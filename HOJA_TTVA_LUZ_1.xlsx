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codeName="ThisWorkbook" defaultThemeVersion="166925"/>
  <mc:AlternateContent xmlns:mc="http://schemas.openxmlformats.org/markup-compatibility/2006">
    <mc:Choice Requires="x15">
      <x15ac:absPath xmlns:x15ac="http://schemas.microsoft.com/office/spreadsheetml/2010/11/ac" url="/Users/albertodesanctis/Desktop/"/>
    </mc:Choice>
  </mc:AlternateContent>
  <xr:revisionPtr revIDLastSave="0" documentId="8_{65EC28CF-72CC-6341-BCBB-0B2C92269460}" xr6:coauthVersionLast="47" xr6:coauthVersionMax="47" xr10:uidLastSave="{00000000-0000-0000-0000-000000000000}"/>
  <bookViews>
    <workbookView xWindow="0" yWindow="500" windowWidth="51200" windowHeight="26800" xr2:uid="{8FD80A05-17B6-1547-B79B-94FA46D7B584}"/>
  </bookViews>
  <sheets>
    <sheet name=" PAGOS vs COBROS" sheetId="1" r:id="rId1"/>
    <sheet name="PLANES DE PAGO" sheetId="7" r:id="rId2"/>
  </sheets>
  <definedNames>
    <definedName name="AccessDatabase" hidden="1">"C:\Mis documentos\ACTIVOS.MDB"</definedName>
    <definedName name="_xlnm.Print_Area" localSheetId="0">' PAGOS vs COBROS'!$A:$C,' PAGOS vs COBROS'!#REF!,' PAGOS vs COBROS'!#REF!</definedName>
    <definedName name="AS2DocOpenMode" hidden="1">"AS2DocumentEdit"</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E1020" i="1" l="1"/>
  <c r="CG963" i="1" l="1"/>
  <c r="CG858" i="1" l="1"/>
  <c r="CG893" i="1"/>
  <c r="CG1038" i="1"/>
  <c r="CG983" i="1"/>
  <c r="CG458" i="1"/>
  <c r="CG653" i="1"/>
  <c r="CG32" i="1" l="1"/>
  <c r="CG1068" i="1" l="1"/>
  <c r="CG818" i="1"/>
  <c r="CG1083" i="1"/>
  <c r="CG523" i="1" l="1"/>
  <c r="CI1078" i="1"/>
  <c r="CG968" i="1"/>
  <c r="CG943" i="1"/>
  <c r="CG233" i="1"/>
  <c r="CG1058" i="1" l="1"/>
  <c r="CG678" i="1"/>
  <c r="CG593" i="1" l="1"/>
  <c r="CG1033" i="1"/>
  <c r="CG928" i="1"/>
  <c r="CG978" i="1" l="1"/>
  <c r="CG3" i="1" l="1"/>
  <c r="CG2" i="1"/>
  <c r="CG1088" i="1"/>
  <c r="CG1073" i="1"/>
  <c r="CE32" i="1"/>
  <c r="CE368" i="1" l="1"/>
  <c r="BY368" i="1"/>
  <c r="CG503" i="1" l="1"/>
  <c r="CG508" i="1"/>
  <c r="CE363" i="1"/>
  <c r="CG403" i="1"/>
  <c r="CG938" i="1"/>
  <c r="CG878" i="1"/>
  <c r="CE878" i="1"/>
  <c r="CG883" i="1"/>
  <c r="CE883" i="1"/>
  <c r="CG808" i="1"/>
  <c r="CE808" i="1"/>
  <c r="CG643" i="1"/>
  <c r="CG1043" i="1"/>
  <c r="CE1043" i="1"/>
  <c r="CG763" i="1" l="1"/>
  <c r="CE818" i="1"/>
  <c r="CG683" i="1"/>
  <c r="CE788" i="1"/>
  <c r="CG568" i="1"/>
  <c r="CG528" i="1"/>
  <c r="CG513" i="1"/>
  <c r="CG558" i="1"/>
  <c r="CG518" i="1"/>
  <c r="CG548" i="1"/>
  <c r="CG538" i="1"/>
  <c r="CG563" i="1" l="1"/>
  <c r="CG553" i="1"/>
  <c r="CG543" i="1"/>
  <c r="CG533" i="1"/>
  <c r="CG453" i="1"/>
  <c r="CG1008" i="1" l="1"/>
  <c r="CG803" i="1"/>
  <c r="CE418" i="1"/>
  <c r="CE573" i="1"/>
  <c r="CE318" i="1" l="1"/>
  <c r="CG615" i="1"/>
  <c r="CE898" i="1"/>
  <c r="CE758" i="1"/>
  <c r="CE853" i="1"/>
  <c r="CG888" i="1" l="1"/>
  <c r="CE833" i="1" l="1"/>
  <c r="CE823" i="1"/>
  <c r="CG1028" i="1"/>
  <c r="CE1028" i="1"/>
  <c r="CE908" i="1"/>
  <c r="CE743" i="1"/>
  <c r="CE933" i="1"/>
  <c r="CE988" i="1"/>
  <c r="CE873" i="1"/>
  <c r="CE993" i="1"/>
  <c r="CE828" i="1"/>
  <c r="CE838" i="1"/>
  <c r="CH919" i="1" l="1"/>
  <c r="CH739" i="1"/>
  <c r="CH614" i="1"/>
  <c r="CH554" i="1"/>
  <c r="CH549" i="1"/>
  <c r="CH494" i="1"/>
  <c r="CG1095" i="1"/>
  <c r="CH1094" i="1" s="1"/>
  <c r="CG1090" i="1"/>
  <c r="CH1089" i="1" s="1"/>
  <c r="CG1085" i="1"/>
  <c r="CH1084" i="1" s="1"/>
  <c r="CG1080" i="1"/>
  <c r="CH1079" i="1" s="1"/>
  <c r="CG1075" i="1"/>
  <c r="CH1074" i="1" s="1"/>
  <c r="CG1070" i="1"/>
  <c r="CH1069" i="1" s="1"/>
  <c r="CG1065" i="1"/>
  <c r="CH1064" i="1" s="1"/>
  <c r="CG1060" i="1"/>
  <c r="CH1059" i="1" s="1"/>
  <c r="CG1055" i="1"/>
  <c r="CH1054" i="1" s="1"/>
  <c r="CG1050" i="1"/>
  <c r="CH1049" i="1" s="1"/>
  <c r="CG1045" i="1"/>
  <c r="CH1044" i="1" s="1"/>
  <c r="CG1040" i="1"/>
  <c r="CH1039" i="1" s="1"/>
  <c r="CG1035" i="1"/>
  <c r="CH1034" i="1" s="1"/>
  <c r="CG1030" i="1"/>
  <c r="CH1029" i="1" s="1"/>
  <c r="CG1025" i="1"/>
  <c r="CH1024" i="1" s="1"/>
  <c r="CG1020" i="1"/>
  <c r="CH1019" i="1" s="1"/>
  <c r="CG1015" i="1"/>
  <c r="CH1014" i="1" s="1"/>
  <c r="CG1010" i="1"/>
  <c r="CH1009" i="1" s="1"/>
  <c r="CG1005" i="1"/>
  <c r="CH1004" i="1" s="1"/>
  <c r="CG1000" i="1"/>
  <c r="CH999" i="1" s="1"/>
  <c r="CG995" i="1"/>
  <c r="CH994" i="1" s="1"/>
  <c r="CG990" i="1"/>
  <c r="CH989" i="1" s="1"/>
  <c r="CG985" i="1"/>
  <c r="CH984" i="1" s="1"/>
  <c r="CG980" i="1"/>
  <c r="CH979" i="1" s="1"/>
  <c r="CG975" i="1"/>
  <c r="CH974" i="1" s="1"/>
  <c r="CG970" i="1"/>
  <c r="CH969" i="1" s="1"/>
  <c r="CG965" i="1"/>
  <c r="CH964" i="1" s="1"/>
  <c r="CG960" i="1"/>
  <c r="CH959" i="1" s="1"/>
  <c r="CG955" i="1"/>
  <c r="CH954" i="1" s="1"/>
  <c r="CG950" i="1"/>
  <c r="CH949" i="1" s="1"/>
  <c r="CG945" i="1"/>
  <c r="CH944" i="1" s="1"/>
  <c r="CG940" i="1"/>
  <c r="CH939" i="1" s="1"/>
  <c r="CG935" i="1"/>
  <c r="CH934" i="1" s="1"/>
  <c r="CG930" i="1"/>
  <c r="CH929" i="1" s="1"/>
  <c r="CG925" i="1"/>
  <c r="CH924" i="1" s="1"/>
  <c r="CG920" i="1"/>
  <c r="CG915" i="1"/>
  <c r="CH914" i="1" s="1"/>
  <c r="CG910" i="1"/>
  <c r="CH909" i="1" s="1"/>
  <c r="CG905" i="1"/>
  <c r="CH904" i="1" s="1"/>
  <c r="CG900" i="1"/>
  <c r="CH899" i="1" s="1"/>
  <c r="CG895" i="1"/>
  <c r="CH894" i="1" s="1"/>
  <c r="CG890" i="1"/>
  <c r="CH889" i="1" s="1"/>
  <c r="CG885" i="1"/>
  <c r="CH884" i="1" s="1"/>
  <c r="CG880" i="1"/>
  <c r="CH879" i="1" s="1"/>
  <c r="CG875" i="1"/>
  <c r="CH874" i="1" s="1"/>
  <c r="CG870" i="1"/>
  <c r="CH869" i="1" s="1"/>
  <c r="CG865" i="1"/>
  <c r="CH864" i="1" s="1"/>
  <c r="CG860" i="1"/>
  <c r="CH859" i="1" s="1"/>
  <c r="CG855" i="1"/>
  <c r="CH854" i="1" s="1"/>
  <c r="CG850" i="1"/>
  <c r="CH849" i="1" s="1"/>
  <c r="CG845" i="1"/>
  <c r="CH844" i="1" s="1"/>
  <c r="CG840" i="1"/>
  <c r="CH839" i="1" s="1"/>
  <c r="CG835" i="1"/>
  <c r="CH834" i="1" s="1"/>
  <c r="CG830" i="1"/>
  <c r="CH829" i="1" s="1"/>
  <c r="CG825" i="1"/>
  <c r="CH824" i="1" s="1"/>
  <c r="CG820" i="1"/>
  <c r="CH819" i="1" s="1"/>
  <c r="CG810" i="1"/>
  <c r="CH809" i="1" s="1"/>
  <c r="CG805" i="1"/>
  <c r="CH804" i="1" s="1"/>
  <c r="CG800" i="1"/>
  <c r="CH799" i="1" s="1"/>
  <c r="CG795" i="1"/>
  <c r="CH794" i="1" s="1"/>
  <c r="CG790" i="1"/>
  <c r="CH789" i="1" s="1"/>
  <c r="CG785" i="1"/>
  <c r="CH784" i="1" s="1"/>
  <c r="CG780" i="1"/>
  <c r="CH779" i="1" s="1"/>
  <c r="CG775" i="1"/>
  <c r="CH774" i="1" s="1"/>
  <c r="CG770" i="1"/>
  <c r="CH769" i="1" s="1"/>
  <c r="CG765" i="1"/>
  <c r="CH764" i="1" s="1"/>
  <c r="CG760" i="1"/>
  <c r="CH759" i="1" s="1"/>
  <c r="CG755" i="1"/>
  <c r="CH754" i="1" s="1"/>
  <c r="CG750" i="1"/>
  <c r="CH749" i="1" s="1"/>
  <c r="CG745" i="1"/>
  <c r="CH744" i="1" s="1"/>
  <c r="CG740" i="1"/>
  <c r="CG725" i="1"/>
  <c r="CH724" i="1" s="1"/>
  <c r="CG720" i="1"/>
  <c r="CH719" i="1" s="1"/>
  <c r="CG715" i="1"/>
  <c r="CH714" i="1" s="1"/>
  <c r="CG705" i="1"/>
  <c r="CH704" i="1" s="1"/>
  <c r="CG700" i="1"/>
  <c r="CH699" i="1" s="1"/>
  <c r="CG695" i="1"/>
  <c r="CH694" i="1" s="1"/>
  <c r="CG690" i="1"/>
  <c r="CH689" i="1" s="1"/>
  <c r="CG685" i="1"/>
  <c r="CH684" i="1" s="1"/>
  <c r="CG680" i="1"/>
  <c r="CH679" i="1" s="1"/>
  <c r="CG675" i="1"/>
  <c r="CH674" i="1" s="1"/>
  <c r="CG670" i="1"/>
  <c r="CH669" i="1" s="1"/>
  <c r="CG660" i="1"/>
  <c r="CH659" i="1" s="1"/>
  <c r="CG655" i="1"/>
  <c r="CH654" i="1" s="1"/>
  <c r="CG650" i="1"/>
  <c r="CH649" i="1" s="1"/>
  <c r="CG645" i="1"/>
  <c r="CH644" i="1" s="1"/>
  <c r="CG640" i="1"/>
  <c r="CH639" i="1" s="1"/>
  <c r="CG635" i="1"/>
  <c r="CH634" i="1" s="1"/>
  <c r="CG630" i="1"/>
  <c r="CH629" i="1" s="1"/>
  <c r="CG625" i="1"/>
  <c r="CH624" i="1" s="1"/>
  <c r="CG620" i="1"/>
  <c r="CH619" i="1" s="1"/>
  <c r="CG610" i="1"/>
  <c r="CH609" i="1" s="1"/>
  <c r="CG605" i="1"/>
  <c r="CH604" i="1" s="1"/>
  <c r="CG600" i="1"/>
  <c r="CH599" i="1" s="1"/>
  <c r="CG595" i="1"/>
  <c r="CH594" i="1" s="1"/>
  <c r="CG590" i="1"/>
  <c r="CH589" i="1" s="1"/>
  <c r="CG585" i="1"/>
  <c r="CH584" i="1" s="1"/>
  <c r="CG580" i="1"/>
  <c r="CH579" i="1" s="1"/>
  <c r="CG575" i="1"/>
  <c r="CH574" i="1" s="1"/>
  <c r="CG570" i="1"/>
  <c r="CH569" i="1" s="1"/>
  <c r="CG565" i="1"/>
  <c r="CH564" i="1" s="1"/>
  <c r="CG560" i="1"/>
  <c r="CH559" i="1" s="1"/>
  <c r="CG555" i="1"/>
  <c r="CG550" i="1"/>
  <c r="CG545" i="1"/>
  <c r="CH544" i="1" s="1"/>
  <c r="CG540" i="1"/>
  <c r="CH539" i="1" s="1"/>
  <c r="CG535" i="1"/>
  <c r="CH534" i="1" s="1"/>
  <c r="CG530" i="1"/>
  <c r="CH529" i="1" s="1"/>
  <c r="CG525" i="1"/>
  <c r="CH524" i="1" s="1"/>
  <c r="CG520" i="1"/>
  <c r="CH519" i="1" s="1"/>
  <c r="CG515" i="1"/>
  <c r="CH514" i="1" s="1"/>
  <c r="CG510" i="1"/>
  <c r="CH509" i="1" s="1"/>
  <c r="CG505" i="1"/>
  <c r="CH504" i="1" s="1"/>
  <c r="CG500" i="1"/>
  <c r="CH499" i="1" s="1"/>
  <c r="CG495" i="1"/>
  <c r="CG490" i="1"/>
  <c r="CH489" i="1" s="1"/>
  <c r="CG485" i="1"/>
  <c r="CH484" i="1" s="1"/>
  <c r="CG480" i="1"/>
  <c r="CH479" i="1" s="1"/>
  <c r="CG475" i="1"/>
  <c r="CH474" i="1" s="1"/>
  <c r="CG470" i="1"/>
  <c r="CH469" i="1" s="1"/>
  <c r="CG465" i="1"/>
  <c r="CH464" i="1" s="1"/>
  <c r="CG460" i="1"/>
  <c r="CH459" i="1" s="1"/>
  <c r="CG455" i="1"/>
  <c r="CH454" i="1" s="1"/>
  <c r="CG450" i="1"/>
  <c r="CH449" i="1" s="1"/>
  <c r="CG445" i="1"/>
  <c r="CH444" i="1" s="1"/>
  <c r="CG440" i="1"/>
  <c r="CH439" i="1" s="1"/>
  <c r="CG435" i="1"/>
  <c r="CH434" i="1" s="1"/>
  <c r="CG430" i="1"/>
  <c r="CH429" i="1" s="1"/>
  <c r="CG425" i="1"/>
  <c r="CH424" i="1" s="1"/>
  <c r="CG420" i="1"/>
  <c r="CH419" i="1" s="1"/>
  <c r="CG415" i="1"/>
  <c r="CH414" i="1" s="1"/>
  <c r="CG410" i="1"/>
  <c r="CH409" i="1" s="1"/>
  <c r="CG405" i="1"/>
  <c r="CH404" i="1" s="1"/>
  <c r="CG400" i="1"/>
  <c r="CH399" i="1" s="1"/>
  <c r="CG395" i="1"/>
  <c r="CH394" i="1" s="1"/>
  <c r="CG390" i="1"/>
  <c r="CH389" i="1" s="1"/>
  <c r="CG385" i="1"/>
  <c r="CH384" i="1" s="1"/>
  <c r="CG380" i="1"/>
  <c r="CH379" i="1" s="1"/>
  <c r="CG375" i="1"/>
  <c r="CH374" i="1" s="1"/>
  <c r="CG370" i="1"/>
  <c r="CH369" i="1" s="1"/>
  <c r="CG365" i="1"/>
  <c r="CH364" i="1" s="1"/>
  <c r="CG360" i="1"/>
  <c r="CH359" i="1" s="1"/>
  <c r="CG355" i="1"/>
  <c r="CH354" i="1" s="1"/>
  <c r="CG350" i="1"/>
  <c r="CH349" i="1" s="1"/>
  <c r="CG345" i="1"/>
  <c r="CH344" i="1" s="1"/>
  <c r="CG340" i="1"/>
  <c r="CH339" i="1" s="1"/>
  <c r="CG335" i="1"/>
  <c r="CH334" i="1" s="1"/>
  <c r="CG330" i="1"/>
  <c r="CH329" i="1" s="1"/>
  <c r="CG325" i="1"/>
  <c r="CH324" i="1" s="1"/>
  <c r="CG320" i="1"/>
  <c r="CH319" i="1" s="1"/>
  <c r="CG315" i="1"/>
  <c r="CH314" i="1" s="1"/>
  <c r="CG310" i="1"/>
  <c r="CH309" i="1" s="1"/>
  <c r="CG305" i="1"/>
  <c r="CH304" i="1" s="1"/>
  <c r="CG300" i="1"/>
  <c r="CH299" i="1" s="1"/>
  <c r="CG295" i="1"/>
  <c r="CH294" i="1" s="1"/>
  <c r="CG290" i="1"/>
  <c r="CH289" i="1" s="1"/>
  <c r="CG285" i="1"/>
  <c r="CH284" i="1" s="1"/>
  <c r="CG280" i="1"/>
  <c r="CH279" i="1" s="1"/>
  <c r="CG275" i="1"/>
  <c r="CH274" i="1" s="1"/>
  <c r="CG270" i="1"/>
  <c r="CH269" i="1" s="1"/>
  <c r="CG265" i="1"/>
  <c r="CH264" i="1" s="1"/>
  <c r="CG255" i="1"/>
  <c r="CH254" i="1" s="1"/>
  <c r="CG250" i="1"/>
  <c r="CH249" i="1" s="1"/>
  <c r="CG245" i="1"/>
  <c r="CH244" i="1" s="1"/>
  <c r="CG240" i="1"/>
  <c r="CH239" i="1" s="1"/>
  <c r="CG235" i="1"/>
  <c r="CH234" i="1" s="1"/>
  <c r="CG230" i="1"/>
  <c r="CH229" i="1" s="1"/>
  <c r="CG225" i="1"/>
  <c r="CH224" i="1" s="1"/>
  <c r="CG220" i="1"/>
  <c r="CH219" i="1" s="1"/>
  <c r="CG215" i="1"/>
  <c r="CH214" i="1" s="1"/>
  <c r="CG210" i="1"/>
  <c r="CH209" i="1" s="1"/>
  <c r="CG205" i="1"/>
  <c r="CH204" i="1" s="1"/>
  <c r="CG200" i="1"/>
  <c r="CH199" i="1" s="1"/>
  <c r="CG195" i="1"/>
  <c r="CH194" i="1" s="1"/>
  <c r="CG190" i="1"/>
  <c r="CH189" i="1" s="1"/>
  <c r="CG180" i="1"/>
  <c r="CH179" i="1" s="1"/>
  <c r="CG175" i="1"/>
  <c r="CH174" i="1" s="1"/>
  <c r="CG134" i="1"/>
  <c r="CH133" i="1" s="1"/>
  <c r="CG129" i="1"/>
  <c r="CH128" i="1" s="1"/>
  <c r="CG109" i="1"/>
  <c r="CH108" i="1" s="1"/>
  <c r="CG104" i="1"/>
  <c r="CH103" i="1" s="1"/>
  <c r="CG99" i="1"/>
  <c r="CH98" i="1" s="1"/>
  <c r="CG74" i="1"/>
  <c r="CH73" i="1" s="1"/>
  <c r="CG69" i="1"/>
  <c r="CH68" i="1" s="1"/>
  <c r="CG64" i="1"/>
  <c r="CH63" i="1" s="1"/>
  <c r="CG59" i="1"/>
  <c r="CH58" i="1" s="1"/>
  <c r="CG54" i="1"/>
  <c r="CH53" i="1" s="1"/>
  <c r="CG49" i="1"/>
  <c r="CH48" i="1" s="1"/>
  <c r="CG44" i="1"/>
  <c r="CH43" i="1" s="1"/>
  <c r="CG39" i="1"/>
  <c r="CH38" i="1" s="1"/>
  <c r="CG34" i="1"/>
  <c r="CH33" i="1" s="1"/>
  <c r="CG29" i="1"/>
  <c r="CH28" i="1" s="1"/>
  <c r="CG24" i="1"/>
  <c r="CH23" i="1" s="1"/>
  <c r="CG19" i="1"/>
  <c r="CH18" i="1" s="1"/>
  <c r="CG14" i="1"/>
  <c r="CH13" i="1" s="1"/>
  <c r="CG9" i="1"/>
  <c r="CH8" i="1" s="1"/>
  <c r="CE9" i="1"/>
  <c r="CE768" i="1"/>
  <c r="CE763" i="1"/>
  <c r="CE723" i="1"/>
  <c r="CE413" i="1"/>
  <c r="CE658" i="1"/>
  <c r="CE648" i="1"/>
  <c r="CG4" i="1" l="1"/>
  <c r="CH3" i="1" s="1"/>
  <c r="CE428" i="1"/>
  <c r="CE348" i="1"/>
  <c r="CE893" i="1"/>
  <c r="CE863" i="1"/>
  <c r="CE393" i="1"/>
  <c r="CE968" i="1"/>
  <c r="CE923" i="1"/>
  <c r="CE793" i="1"/>
  <c r="CE738" i="1"/>
  <c r="CE748" i="1"/>
  <c r="CE618" i="1"/>
  <c r="CE973" i="1" l="1"/>
  <c r="CE858" i="1"/>
  <c r="CE1023" i="1"/>
  <c r="CE448" i="1"/>
  <c r="CE698" i="1"/>
  <c r="CE173" i="1"/>
  <c r="CE353" i="1"/>
  <c r="CE178" i="1"/>
  <c r="CE953" i="1"/>
  <c r="CE603" i="1"/>
  <c r="CE963" i="1"/>
  <c r="CE478" i="1"/>
  <c r="CE598" i="1"/>
  <c r="CE903" i="1"/>
  <c r="CE613" i="1"/>
  <c r="CE633" i="1"/>
  <c r="CE778" i="1"/>
  <c r="CE753" i="1"/>
  <c r="CE673" i="1"/>
  <c r="CE623" i="1"/>
  <c r="CE463" i="1"/>
  <c r="CE653" i="1"/>
  <c r="CE773" i="1"/>
  <c r="CE783" i="1"/>
  <c r="CE798" i="1"/>
  <c r="CE638" i="1"/>
  <c r="CE703" i="1"/>
  <c r="CE583" i="1"/>
  <c r="CE668" i="1"/>
  <c r="CE983" i="1"/>
  <c r="CE423" i="1"/>
  <c r="CE693" i="1"/>
  <c r="CE678" i="1"/>
  <c r="CE1018" i="1" l="1"/>
  <c r="CE943" i="1"/>
  <c r="CE1038" i="1"/>
  <c r="CE233" i="1"/>
  <c r="CE593" i="1"/>
  <c r="CE595" i="1" s="1"/>
  <c r="CF594" i="1" s="1"/>
  <c r="CE1033" i="1"/>
  <c r="CE928" i="1"/>
  <c r="CE978" i="1"/>
  <c r="CE980" i="1" s="1"/>
  <c r="CF979" i="1" s="1"/>
  <c r="CE518" i="1"/>
  <c r="CE803" i="1"/>
  <c r="CE558" i="1"/>
  <c r="CE538" i="1"/>
  <c r="CE553" i="1"/>
  <c r="CE523" i="1"/>
  <c r="CE543" i="1"/>
  <c r="CE528" i="1"/>
  <c r="CE548" i="1"/>
  <c r="CE513" i="1"/>
  <c r="CE508" i="1"/>
  <c r="CE885" i="1"/>
  <c r="CF884" i="1" s="1"/>
  <c r="CE453" i="1"/>
  <c r="CE503" i="1"/>
  <c r="CE533" i="1"/>
  <c r="CE563" i="1"/>
  <c r="CE568" i="1"/>
  <c r="CE403" i="1"/>
  <c r="CC818" i="1"/>
  <c r="CE938" i="1"/>
  <c r="CE643" i="1"/>
  <c r="CE683" i="1"/>
  <c r="CG918" i="1"/>
  <c r="CE1008" i="1"/>
  <c r="CC693" i="1"/>
  <c r="CA693" i="1"/>
  <c r="CE918" i="1"/>
  <c r="CE920" i="1" s="1"/>
  <c r="CF919" i="1" s="1"/>
  <c r="CC318" i="1"/>
  <c r="CC368" i="1"/>
  <c r="CC788" i="1"/>
  <c r="CE888" i="1"/>
  <c r="CC853" i="1"/>
  <c r="CC573" i="1"/>
  <c r="CC758" i="1"/>
  <c r="CC898" i="1"/>
  <c r="CA468" i="1"/>
  <c r="BY468" i="1"/>
  <c r="BQ468" i="1"/>
  <c r="BS468" i="1"/>
  <c r="BO468" i="1"/>
  <c r="CE958" i="1"/>
  <c r="CC958" i="1"/>
  <c r="BU468" i="1"/>
  <c r="CC838" i="1"/>
  <c r="BW468" i="1"/>
  <c r="BM468" i="1"/>
  <c r="CC988" i="1"/>
  <c r="CC873" i="1"/>
  <c r="CC428" i="1"/>
  <c r="CC833" i="1"/>
  <c r="CC698" i="1"/>
  <c r="CC993" i="1"/>
  <c r="CC648" i="1"/>
  <c r="CC743" i="1"/>
  <c r="CC933" i="1"/>
  <c r="CC738" i="1"/>
  <c r="CC908" i="1"/>
  <c r="CF1054" i="1"/>
  <c r="CF1019" i="1"/>
  <c r="CF474" i="1"/>
  <c r="CE2" i="1"/>
  <c r="CE1065" i="1"/>
  <c r="CF1064" i="1" s="1"/>
  <c r="CE1060" i="1"/>
  <c r="CF1059" i="1" s="1"/>
  <c r="CE1055" i="1"/>
  <c r="CE1050" i="1"/>
  <c r="CF1049" i="1" s="1"/>
  <c r="CE1045" i="1"/>
  <c r="CF1044" i="1" s="1"/>
  <c r="CE1040" i="1"/>
  <c r="CF1039" i="1" s="1"/>
  <c r="CE1035" i="1"/>
  <c r="CF1034" i="1" s="1"/>
  <c r="CE1030" i="1"/>
  <c r="CF1029" i="1" s="1"/>
  <c r="CE1025" i="1"/>
  <c r="CF1024" i="1" s="1"/>
  <c r="CE1015" i="1"/>
  <c r="CF1014" i="1" s="1"/>
  <c r="CE1010" i="1"/>
  <c r="CF1009" i="1" s="1"/>
  <c r="CE1005" i="1"/>
  <c r="CF1004" i="1" s="1"/>
  <c r="CE1000" i="1"/>
  <c r="CF999" i="1" s="1"/>
  <c r="CE995" i="1"/>
  <c r="CF994" i="1" s="1"/>
  <c r="CE990" i="1"/>
  <c r="CF989" i="1" s="1"/>
  <c r="CE985" i="1"/>
  <c r="CF984" i="1" s="1"/>
  <c r="CE975" i="1"/>
  <c r="CF974" i="1" s="1"/>
  <c r="CE970" i="1"/>
  <c r="CF969" i="1" s="1"/>
  <c r="CE965" i="1"/>
  <c r="CF964" i="1" s="1"/>
  <c r="CE960" i="1"/>
  <c r="CF959" i="1" s="1"/>
  <c r="CE955" i="1"/>
  <c r="CF954" i="1" s="1"/>
  <c r="CE950" i="1"/>
  <c r="CF949" i="1" s="1"/>
  <c r="CE945" i="1"/>
  <c r="CF944" i="1" s="1"/>
  <c r="CE940" i="1"/>
  <c r="CF939" i="1" s="1"/>
  <c r="CE935" i="1"/>
  <c r="CF934" i="1" s="1"/>
  <c r="CE930" i="1"/>
  <c r="CF929" i="1" s="1"/>
  <c r="CE925" i="1"/>
  <c r="CF924" i="1" s="1"/>
  <c r="CE915" i="1"/>
  <c r="CF914" i="1" s="1"/>
  <c r="CE910" i="1"/>
  <c r="CF909" i="1" s="1"/>
  <c r="CE905" i="1"/>
  <c r="CF904" i="1" s="1"/>
  <c r="CE900" i="1"/>
  <c r="CF899" i="1" s="1"/>
  <c r="CE895" i="1"/>
  <c r="CF894" i="1" s="1"/>
  <c r="CE890" i="1"/>
  <c r="CF889" i="1" s="1"/>
  <c r="CE880" i="1"/>
  <c r="CF879" i="1" s="1"/>
  <c r="CE875" i="1"/>
  <c r="CF874" i="1" s="1"/>
  <c r="CE870" i="1"/>
  <c r="CF869" i="1" s="1"/>
  <c r="CE865" i="1"/>
  <c r="CF864" i="1" s="1"/>
  <c r="CE860" i="1"/>
  <c r="CF859" i="1" s="1"/>
  <c r="CE855" i="1"/>
  <c r="CF854" i="1" s="1"/>
  <c r="CE850" i="1"/>
  <c r="CF849" i="1" s="1"/>
  <c r="CE845" i="1"/>
  <c r="CF844" i="1" s="1"/>
  <c r="CE840" i="1"/>
  <c r="CF839" i="1" s="1"/>
  <c r="CE835" i="1"/>
  <c r="CF834" i="1" s="1"/>
  <c r="CE830" i="1"/>
  <c r="CF829" i="1" s="1"/>
  <c r="CE825" i="1"/>
  <c r="CF824" i="1" s="1"/>
  <c r="CE820" i="1"/>
  <c r="CF819" i="1" s="1"/>
  <c r="CE810" i="1"/>
  <c r="CF809" i="1" s="1"/>
  <c r="CE805" i="1"/>
  <c r="CF804" i="1" s="1"/>
  <c r="CE800" i="1"/>
  <c r="CF799" i="1" s="1"/>
  <c r="CE795" i="1"/>
  <c r="CF794" i="1" s="1"/>
  <c r="CE790" i="1"/>
  <c r="CF789" i="1" s="1"/>
  <c r="CE785" i="1"/>
  <c r="CF784" i="1" s="1"/>
  <c r="CE780" i="1"/>
  <c r="CF779" i="1" s="1"/>
  <c r="CE775" i="1"/>
  <c r="CF774" i="1" s="1"/>
  <c r="CE770" i="1"/>
  <c r="CF769" i="1" s="1"/>
  <c r="CE765" i="1"/>
  <c r="CF764" i="1" s="1"/>
  <c r="CE760" i="1"/>
  <c r="CF759" i="1" s="1"/>
  <c r="CE755" i="1"/>
  <c r="CF754" i="1" s="1"/>
  <c r="CE750" i="1"/>
  <c r="CF749" i="1" s="1"/>
  <c r="CE745" i="1"/>
  <c r="CF744" i="1" s="1"/>
  <c r="CE740" i="1"/>
  <c r="CF739" i="1" s="1"/>
  <c r="CE725" i="1"/>
  <c r="CF724" i="1" s="1"/>
  <c r="CE720" i="1"/>
  <c r="CF719" i="1" s="1"/>
  <c r="CE715" i="1"/>
  <c r="CF714" i="1" s="1"/>
  <c r="CE705" i="1"/>
  <c r="CF704" i="1" s="1"/>
  <c r="CE700" i="1"/>
  <c r="CF699" i="1" s="1"/>
  <c r="CE695" i="1"/>
  <c r="CF694" i="1" s="1"/>
  <c r="CE690" i="1"/>
  <c r="CF689" i="1" s="1"/>
  <c r="CE685" i="1"/>
  <c r="CF684" i="1" s="1"/>
  <c r="CE680" i="1"/>
  <c r="CF679" i="1" s="1"/>
  <c r="CE675" i="1"/>
  <c r="CF674" i="1" s="1"/>
  <c r="CE670" i="1"/>
  <c r="CF669" i="1" s="1"/>
  <c r="CE660" i="1"/>
  <c r="CF659" i="1" s="1"/>
  <c r="CE655" i="1"/>
  <c r="CF654" i="1" s="1"/>
  <c r="CE650" i="1"/>
  <c r="CF649" i="1" s="1"/>
  <c r="CE645" i="1"/>
  <c r="CF644" i="1" s="1"/>
  <c r="CE640" i="1"/>
  <c r="CF639" i="1" s="1"/>
  <c r="CE635" i="1"/>
  <c r="CF634" i="1" s="1"/>
  <c r="CE630" i="1"/>
  <c r="CF629" i="1" s="1"/>
  <c r="CE625" i="1"/>
  <c r="CF624" i="1" s="1"/>
  <c r="CE620" i="1"/>
  <c r="CF619" i="1" s="1"/>
  <c r="CE615" i="1"/>
  <c r="CF614" i="1" s="1"/>
  <c r="CE610" i="1"/>
  <c r="CF609" i="1" s="1"/>
  <c r="CE605" i="1"/>
  <c r="CF604" i="1" s="1"/>
  <c r="CE600" i="1"/>
  <c r="CF599" i="1" s="1"/>
  <c r="CE590" i="1"/>
  <c r="CF589" i="1" s="1"/>
  <c r="CE585" i="1"/>
  <c r="CF584" i="1" s="1"/>
  <c r="CE580" i="1"/>
  <c r="CF579" i="1" s="1"/>
  <c r="CE575" i="1"/>
  <c r="CF574" i="1" s="1"/>
  <c r="CE570" i="1"/>
  <c r="CF569" i="1" s="1"/>
  <c r="CE565" i="1"/>
  <c r="CF564" i="1" s="1"/>
  <c r="CE560" i="1"/>
  <c r="CF559" i="1" s="1"/>
  <c r="CE555" i="1"/>
  <c r="CF554" i="1" s="1"/>
  <c r="CE550" i="1"/>
  <c r="CF549" i="1" s="1"/>
  <c r="CE545" i="1"/>
  <c r="CF544" i="1" s="1"/>
  <c r="CE540" i="1"/>
  <c r="CF539" i="1" s="1"/>
  <c r="CE535" i="1"/>
  <c r="CF534" i="1" s="1"/>
  <c r="CE530" i="1"/>
  <c r="CF529" i="1" s="1"/>
  <c r="CE525" i="1"/>
  <c r="CF524" i="1" s="1"/>
  <c r="CE520" i="1"/>
  <c r="CF519" i="1" s="1"/>
  <c r="CE515" i="1"/>
  <c r="CF514" i="1" s="1"/>
  <c r="CE510" i="1"/>
  <c r="CF509" i="1" s="1"/>
  <c r="CE505" i="1"/>
  <c r="CF504" i="1" s="1"/>
  <c r="CE500" i="1"/>
  <c r="CF499" i="1" s="1"/>
  <c r="CE495" i="1"/>
  <c r="CF494" i="1" s="1"/>
  <c r="CE490" i="1"/>
  <c r="CF489" i="1" s="1"/>
  <c r="CE485" i="1"/>
  <c r="CF484" i="1" s="1"/>
  <c r="CE480" i="1"/>
  <c r="CF479" i="1" s="1"/>
  <c r="CE475" i="1"/>
  <c r="CE470" i="1"/>
  <c r="CF469" i="1" s="1"/>
  <c r="CE465" i="1"/>
  <c r="CF464" i="1" s="1"/>
  <c r="CE460" i="1"/>
  <c r="CF459" i="1" s="1"/>
  <c r="CE455" i="1"/>
  <c r="CF454" i="1" s="1"/>
  <c r="CE450" i="1"/>
  <c r="CF449" i="1" s="1"/>
  <c r="CE445" i="1"/>
  <c r="CF444" i="1" s="1"/>
  <c r="CE440" i="1"/>
  <c r="CF439" i="1" s="1"/>
  <c r="CE435" i="1"/>
  <c r="CF434" i="1" s="1"/>
  <c r="CE430" i="1"/>
  <c r="CF429" i="1" s="1"/>
  <c r="CE425" i="1"/>
  <c r="CF424" i="1" s="1"/>
  <c r="CE420" i="1"/>
  <c r="CF419" i="1" s="1"/>
  <c r="CE415" i="1"/>
  <c r="CF414" i="1" s="1"/>
  <c r="CE410" i="1"/>
  <c r="CF409" i="1" s="1"/>
  <c r="CE405" i="1"/>
  <c r="CF404" i="1" s="1"/>
  <c r="CE400" i="1"/>
  <c r="CF399" i="1" s="1"/>
  <c r="CE395" i="1"/>
  <c r="CF394" i="1" s="1"/>
  <c r="CE390" i="1"/>
  <c r="CF389" i="1" s="1"/>
  <c r="CE385" i="1"/>
  <c r="CF384" i="1" s="1"/>
  <c r="CE380" i="1"/>
  <c r="CF379" i="1" s="1"/>
  <c r="CE375" i="1"/>
  <c r="CF374" i="1" s="1"/>
  <c r="CE370" i="1"/>
  <c r="CF369" i="1" s="1"/>
  <c r="CE365" i="1"/>
  <c r="CF364" i="1" s="1"/>
  <c r="CE360" i="1"/>
  <c r="CF359" i="1" s="1"/>
  <c r="CE355" i="1"/>
  <c r="CF354" i="1" s="1"/>
  <c r="CE350" i="1"/>
  <c r="CF349" i="1" s="1"/>
  <c r="CE345" i="1"/>
  <c r="CF344" i="1" s="1"/>
  <c r="CE340" i="1"/>
  <c r="CF339" i="1" s="1"/>
  <c r="CE335" i="1"/>
  <c r="CF334" i="1" s="1"/>
  <c r="CE330" i="1"/>
  <c r="CF329" i="1" s="1"/>
  <c r="CE325" i="1"/>
  <c r="CF324" i="1" s="1"/>
  <c r="CE320" i="1"/>
  <c r="CF319" i="1" s="1"/>
  <c r="CE315" i="1"/>
  <c r="CF314" i="1" s="1"/>
  <c r="CE310" i="1"/>
  <c r="CF309" i="1" s="1"/>
  <c r="CE305" i="1"/>
  <c r="CF304" i="1" s="1"/>
  <c r="CE300" i="1"/>
  <c r="CF299" i="1" s="1"/>
  <c r="CE295" i="1"/>
  <c r="CF294" i="1" s="1"/>
  <c r="CE290" i="1"/>
  <c r="CF289" i="1" s="1"/>
  <c r="CE285" i="1"/>
  <c r="CF284" i="1" s="1"/>
  <c r="CE280" i="1"/>
  <c r="CF279" i="1" s="1"/>
  <c r="CE275" i="1"/>
  <c r="CF274" i="1" s="1"/>
  <c r="CE270" i="1"/>
  <c r="CF269" i="1" s="1"/>
  <c r="CE265" i="1"/>
  <c r="CF264" i="1" s="1"/>
  <c r="CE255" i="1"/>
  <c r="CF254" i="1" s="1"/>
  <c r="CE250" i="1"/>
  <c r="CF249" i="1" s="1"/>
  <c r="CE245" i="1"/>
  <c r="CF244" i="1" s="1"/>
  <c r="CE240" i="1"/>
  <c r="CF239" i="1" s="1"/>
  <c r="CE235" i="1"/>
  <c r="CF234" i="1" s="1"/>
  <c r="CE230" i="1"/>
  <c r="CF229" i="1" s="1"/>
  <c r="CE225" i="1"/>
  <c r="CF224" i="1" s="1"/>
  <c r="CE220" i="1"/>
  <c r="CF219" i="1" s="1"/>
  <c r="CE215" i="1"/>
  <c r="CF214" i="1" s="1"/>
  <c r="CE210" i="1"/>
  <c r="CF209" i="1" s="1"/>
  <c r="CE205" i="1"/>
  <c r="CF204" i="1" s="1"/>
  <c r="CE200" i="1"/>
  <c r="CF199" i="1" s="1"/>
  <c r="CE195" i="1"/>
  <c r="CF194" i="1" s="1"/>
  <c r="CE190" i="1"/>
  <c r="CF189" i="1" s="1"/>
  <c r="CE180" i="1"/>
  <c r="CF179" i="1" s="1"/>
  <c r="CE175" i="1"/>
  <c r="CF174" i="1" s="1"/>
  <c r="CE134" i="1"/>
  <c r="CF133" i="1" s="1"/>
  <c r="CE129" i="1"/>
  <c r="CF128" i="1" s="1"/>
  <c r="CE109" i="1"/>
  <c r="CF108" i="1" s="1"/>
  <c r="CE104" i="1"/>
  <c r="CF103" i="1" s="1"/>
  <c r="CE99" i="1"/>
  <c r="CF98" i="1" s="1"/>
  <c r="CE74" i="1"/>
  <c r="CF73" i="1" s="1"/>
  <c r="CE69" i="1"/>
  <c r="CF68" i="1" s="1"/>
  <c r="CE64" i="1"/>
  <c r="CF63" i="1" s="1"/>
  <c r="CE59" i="1"/>
  <c r="CF58" i="1" s="1"/>
  <c r="CE54" i="1"/>
  <c r="CF53" i="1" s="1"/>
  <c r="CE49" i="1"/>
  <c r="CF48" i="1" s="1"/>
  <c r="CE44" i="1"/>
  <c r="CF43" i="1" s="1"/>
  <c r="CE39" i="1"/>
  <c r="CF38" i="1" s="1"/>
  <c r="CE34" i="1"/>
  <c r="CF33" i="1" s="1"/>
  <c r="CE29" i="1"/>
  <c r="CF28" i="1" s="1"/>
  <c r="CE24" i="1"/>
  <c r="CF23" i="1" s="1"/>
  <c r="CE19" i="1"/>
  <c r="CF18" i="1" s="1"/>
  <c r="CE14" i="1"/>
  <c r="CF13" i="1" s="1"/>
  <c r="CF8" i="1"/>
  <c r="CE3" i="1"/>
  <c r="CC763" i="1"/>
  <c r="CC768" i="1"/>
  <c r="CC828" i="1"/>
  <c r="CC658" i="1"/>
  <c r="CE4" i="1" l="1"/>
  <c r="CF3" i="1" s="1"/>
  <c r="CC863" i="1"/>
  <c r="CC798" i="1"/>
  <c r="CC673" i="1"/>
  <c r="CC778" i="1"/>
  <c r="CC783" i="1"/>
  <c r="CC668" i="1"/>
  <c r="CC973" i="1" l="1"/>
  <c r="CC963" i="1"/>
  <c r="CC458" i="1"/>
  <c r="CC638" i="1"/>
  <c r="CC173" i="1" l="1"/>
  <c r="CC598" i="1"/>
  <c r="CC478" i="1"/>
  <c r="CC448" i="1"/>
  <c r="CC753" i="1"/>
  <c r="CC633" i="1"/>
  <c r="CC603" i="1"/>
  <c r="CC903" i="1"/>
  <c r="CC893" i="1"/>
  <c r="CC953" i="1"/>
  <c r="CC748" i="1"/>
  <c r="CC918" i="1"/>
  <c r="CC923" i="1"/>
  <c r="CC393" i="1"/>
  <c r="CC423" i="1"/>
  <c r="CC413" i="1"/>
  <c r="CC178" i="1"/>
  <c r="CC348" i="1"/>
  <c r="CC858" i="1"/>
  <c r="CC618" i="1" l="1"/>
  <c r="CC623" i="1"/>
  <c r="CC983" i="1"/>
  <c r="CC773" i="1"/>
  <c r="CC613" i="1"/>
  <c r="CC703" i="1"/>
  <c r="CC353" i="1"/>
  <c r="CC583" i="1"/>
  <c r="CC793" i="1"/>
  <c r="CC463" i="1"/>
  <c r="CC723" i="1"/>
  <c r="CC653" i="1"/>
  <c r="CA428" i="1" l="1"/>
  <c r="CC823" i="1"/>
  <c r="CA633" i="1"/>
  <c r="CC233" i="1" l="1"/>
  <c r="CC943" i="1"/>
  <c r="CC678" i="1" l="1"/>
  <c r="CC968" i="1"/>
  <c r="CC593" i="1"/>
  <c r="CA528" i="1" l="1"/>
  <c r="BY528" i="1"/>
  <c r="BW528" i="1"/>
  <c r="CC528" i="1"/>
  <c r="CC878" i="1" l="1"/>
  <c r="CA818" i="1"/>
  <c r="CC453" i="1"/>
  <c r="CC928" i="1"/>
  <c r="CC978" i="1"/>
  <c r="CC803" i="1"/>
  <c r="CA788" i="1"/>
  <c r="AA1" i="7" l="1"/>
  <c r="AC1" i="7"/>
  <c r="AD1" i="7"/>
  <c r="AE1" i="7"/>
  <c r="AF1" i="7"/>
  <c r="AG1" i="7"/>
  <c r="AH1" i="7"/>
  <c r="AI1" i="7"/>
  <c r="AJ1" i="7"/>
  <c r="AK1" i="7"/>
  <c r="AL1" i="7"/>
  <c r="AB1" i="7"/>
  <c r="CC683" i="1"/>
  <c r="CC883" i="1" l="1"/>
  <c r="CA748" i="1" l="1"/>
  <c r="CC848" i="1"/>
  <c r="CA743" i="1"/>
  <c r="CA873" i="1"/>
  <c r="CA908" i="1"/>
  <c r="CA833" i="1"/>
  <c r="CA848" i="1"/>
  <c r="CA958" i="1" l="1"/>
  <c r="CA838" i="1"/>
  <c r="CC888" i="1"/>
  <c r="CC403" i="1"/>
  <c r="CC533" i="1"/>
  <c r="CC553" i="1"/>
  <c r="CC543" i="1"/>
  <c r="CC523" i="1"/>
  <c r="CC568" i="1"/>
  <c r="CC518" i="1"/>
  <c r="CC513" i="1"/>
  <c r="CC508" i="1"/>
  <c r="CC548" i="1"/>
  <c r="CC538" i="1"/>
  <c r="CC808" i="1"/>
  <c r="CC503" i="1"/>
  <c r="CC643" i="1"/>
  <c r="CC950" i="1" l="1"/>
  <c r="CC1035" i="1"/>
  <c r="CC1030" i="1"/>
  <c r="CC1025" i="1"/>
  <c r="CD1019" i="1"/>
  <c r="CC1015" i="1"/>
  <c r="CD1014" i="1" s="1"/>
  <c r="CC1010" i="1"/>
  <c r="CD1009" i="1" s="1"/>
  <c r="CC1005" i="1"/>
  <c r="CC1000" i="1"/>
  <c r="CD999" i="1" s="1"/>
  <c r="CC995" i="1"/>
  <c r="CD994" i="1" s="1"/>
  <c r="CC990" i="1"/>
  <c r="CD989" i="1" s="1"/>
  <c r="CC985" i="1"/>
  <c r="CD984" i="1" s="1"/>
  <c r="CA985" i="1"/>
  <c r="CC980" i="1"/>
  <c r="CD979" i="1" s="1"/>
  <c r="CA980" i="1"/>
  <c r="CC975" i="1"/>
  <c r="CD974" i="1" s="1"/>
  <c r="CA975" i="1"/>
  <c r="CC970" i="1"/>
  <c r="CD969" i="1" s="1"/>
  <c r="CC965" i="1"/>
  <c r="CD964" i="1" s="1"/>
  <c r="CC960" i="1"/>
  <c r="CD959" i="1" s="1"/>
  <c r="CC955" i="1"/>
  <c r="CD954" i="1" s="1"/>
  <c r="CC945" i="1"/>
  <c r="CC940" i="1"/>
  <c r="CD939" i="1" s="1"/>
  <c r="CC935" i="1"/>
  <c r="CD934" i="1" s="1"/>
  <c r="CC930" i="1"/>
  <c r="CC925" i="1"/>
  <c r="CD924" i="1" s="1"/>
  <c r="CC920" i="1"/>
  <c r="CD919" i="1" s="1"/>
  <c r="CC915" i="1"/>
  <c r="CD914" i="1" s="1"/>
  <c r="CC910" i="1"/>
  <c r="CD909" i="1" s="1"/>
  <c r="CC905" i="1"/>
  <c r="CD904" i="1" s="1"/>
  <c r="CC900" i="1"/>
  <c r="CD899" i="1" s="1"/>
  <c r="CC895" i="1"/>
  <c r="CD894" i="1" s="1"/>
  <c r="CC890" i="1"/>
  <c r="CD889" i="1" s="1"/>
  <c r="CC885" i="1"/>
  <c r="CD884" i="1" s="1"/>
  <c r="CC880" i="1"/>
  <c r="CC875" i="1"/>
  <c r="CD874" i="1" s="1"/>
  <c r="CC870" i="1"/>
  <c r="CD869" i="1" s="1"/>
  <c r="CC865" i="1"/>
  <c r="CD864" i="1" s="1"/>
  <c r="CC860" i="1"/>
  <c r="CD859" i="1" s="1"/>
  <c r="CC855" i="1"/>
  <c r="CD854" i="1" s="1"/>
  <c r="CC850" i="1"/>
  <c r="CD849" i="1" s="1"/>
  <c r="CC845" i="1"/>
  <c r="CD844" i="1" s="1"/>
  <c r="CC840" i="1"/>
  <c r="CD839" i="1" s="1"/>
  <c r="CC835" i="1"/>
  <c r="CD834" i="1" s="1"/>
  <c r="CC830" i="1"/>
  <c r="CD829" i="1" s="1"/>
  <c r="CC825" i="1"/>
  <c r="CD824" i="1" s="1"/>
  <c r="CC820" i="1"/>
  <c r="CD819" i="1" s="1"/>
  <c r="CC810" i="1"/>
  <c r="CD809" i="1" s="1"/>
  <c r="CC805" i="1"/>
  <c r="CD804" i="1" s="1"/>
  <c r="CC800" i="1"/>
  <c r="CD799" i="1" s="1"/>
  <c r="CC795" i="1"/>
  <c r="CD794" i="1" s="1"/>
  <c r="CC790" i="1"/>
  <c r="CD789" i="1" s="1"/>
  <c r="CC785" i="1"/>
  <c r="CD784" i="1" s="1"/>
  <c r="CC780" i="1"/>
  <c r="CD779" i="1" s="1"/>
  <c r="CC775" i="1"/>
  <c r="CD774" i="1" s="1"/>
  <c r="CC770" i="1"/>
  <c r="CD769" i="1" s="1"/>
  <c r="CC765" i="1"/>
  <c r="CD764" i="1" s="1"/>
  <c r="CC760" i="1"/>
  <c r="CD759" i="1" s="1"/>
  <c r="CC755" i="1"/>
  <c r="CD754" i="1" s="1"/>
  <c r="CC750" i="1"/>
  <c r="CD749" i="1" s="1"/>
  <c r="CC745" i="1"/>
  <c r="CD744" i="1" s="1"/>
  <c r="CC740" i="1"/>
  <c r="CD739" i="1" s="1"/>
  <c r="CC725" i="1"/>
  <c r="CC720" i="1"/>
  <c r="CC715" i="1"/>
  <c r="CD714" i="1" s="1"/>
  <c r="CC710" i="1"/>
  <c r="CD709" i="1" s="1"/>
  <c r="CC705" i="1"/>
  <c r="CD704" i="1" s="1"/>
  <c r="CC700" i="1"/>
  <c r="CD699" i="1" s="1"/>
  <c r="CC695" i="1"/>
  <c r="CD694" i="1" s="1"/>
  <c r="CC690" i="1"/>
  <c r="CD689" i="1" s="1"/>
  <c r="CC685" i="1"/>
  <c r="CD684" i="1" s="1"/>
  <c r="CC680" i="1"/>
  <c r="CD679" i="1" s="1"/>
  <c r="CC675" i="1"/>
  <c r="CC670" i="1"/>
  <c r="CD669" i="1" s="1"/>
  <c r="CC660" i="1"/>
  <c r="CD659" i="1" s="1"/>
  <c r="CC655" i="1"/>
  <c r="CD654" i="1" s="1"/>
  <c r="CC650" i="1"/>
  <c r="CD649" i="1" s="1"/>
  <c r="CC645" i="1"/>
  <c r="CC640" i="1"/>
  <c r="CC635" i="1"/>
  <c r="CD634" i="1" s="1"/>
  <c r="CC630" i="1"/>
  <c r="CD629" i="1" s="1"/>
  <c r="CC625" i="1"/>
  <c r="CD624" i="1" s="1"/>
  <c r="CC620" i="1"/>
  <c r="CD619" i="1" s="1"/>
  <c r="CC615" i="1"/>
  <c r="CD614" i="1" s="1"/>
  <c r="CC610" i="1"/>
  <c r="CD609" i="1" s="1"/>
  <c r="CC605" i="1"/>
  <c r="CD604" i="1" s="1"/>
  <c r="CC600" i="1"/>
  <c r="CD599" i="1" s="1"/>
  <c r="CC595" i="1"/>
  <c r="CD594" i="1" s="1"/>
  <c r="CC590" i="1"/>
  <c r="CC585" i="1"/>
  <c r="CD584" i="1" s="1"/>
  <c r="CC580" i="1"/>
  <c r="CC575" i="1"/>
  <c r="CD574" i="1" s="1"/>
  <c r="CC570" i="1"/>
  <c r="CD569" i="1" s="1"/>
  <c r="CC565" i="1"/>
  <c r="CD564" i="1" s="1"/>
  <c r="CC560" i="1"/>
  <c r="CD559" i="1" s="1"/>
  <c r="CC555" i="1"/>
  <c r="CD554" i="1" s="1"/>
  <c r="CC550" i="1"/>
  <c r="CD549" i="1" s="1"/>
  <c r="CC545" i="1"/>
  <c r="CD544" i="1" s="1"/>
  <c r="CC540" i="1"/>
  <c r="CC535" i="1"/>
  <c r="CD534" i="1" s="1"/>
  <c r="CC530" i="1"/>
  <c r="CC525" i="1"/>
  <c r="CD524" i="1" s="1"/>
  <c r="CC520" i="1"/>
  <c r="CD519" i="1" s="1"/>
  <c r="CC515" i="1"/>
  <c r="CD514" i="1" s="1"/>
  <c r="CC510" i="1"/>
  <c r="CD509" i="1" s="1"/>
  <c r="CC505" i="1"/>
  <c r="CD504" i="1" s="1"/>
  <c r="CC500" i="1"/>
  <c r="CD499" i="1" s="1"/>
  <c r="CC495" i="1"/>
  <c r="CD494" i="1" s="1"/>
  <c r="CC490" i="1"/>
  <c r="CD489" i="1" s="1"/>
  <c r="CC485" i="1"/>
  <c r="CD484" i="1" s="1"/>
  <c r="CC480" i="1"/>
  <c r="CD479" i="1" s="1"/>
  <c r="CC475" i="1"/>
  <c r="CC470" i="1"/>
  <c r="CD469" i="1" s="1"/>
  <c r="CC465" i="1"/>
  <c r="CC460" i="1"/>
  <c r="CD459" i="1" s="1"/>
  <c r="CC455" i="1"/>
  <c r="CC450" i="1"/>
  <c r="CD449" i="1" s="1"/>
  <c r="CC445" i="1"/>
  <c r="CD444" i="1" s="1"/>
  <c r="CC440" i="1"/>
  <c r="CD439" i="1" s="1"/>
  <c r="CC435" i="1"/>
  <c r="CD434" i="1" s="1"/>
  <c r="CC430" i="1"/>
  <c r="CD429" i="1" s="1"/>
  <c r="CC425" i="1"/>
  <c r="CD424" i="1" s="1"/>
  <c r="CC420" i="1"/>
  <c r="CD419" i="1" s="1"/>
  <c r="CC415" i="1"/>
  <c r="CD414" i="1" s="1"/>
  <c r="CC410" i="1"/>
  <c r="CD409" i="1" s="1"/>
  <c r="CC405" i="1"/>
  <c r="CD404" i="1" s="1"/>
  <c r="CC400" i="1"/>
  <c r="CD399" i="1" s="1"/>
  <c r="CC395" i="1"/>
  <c r="CD394" i="1" s="1"/>
  <c r="CC390" i="1"/>
  <c r="CD389" i="1" s="1"/>
  <c r="CC385" i="1"/>
  <c r="CD384" i="1" s="1"/>
  <c r="CC380" i="1"/>
  <c r="CD379" i="1" s="1"/>
  <c r="CC375" i="1"/>
  <c r="CD374" i="1" s="1"/>
  <c r="CC370" i="1"/>
  <c r="CD369" i="1" s="1"/>
  <c r="CC365" i="1"/>
  <c r="CD364" i="1" s="1"/>
  <c r="CC360" i="1"/>
  <c r="CD359" i="1" s="1"/>
  <c r="CC355" i="1"/>
  <c r="CD354" i="1" s="1"/>
  <c r="CC350" i="1"/>
  <c r="CD349" i="1" s="1"/>
  <c r="CC345" i="1"/>
  <c r="CD344" i="1" s="1"/>
  <c r="CC340" i="1"/>
  <c r="CD339" i="1" s="1"/>
  <c r="CC335" i="1"/>
  <c r="CD334" i="1" s="1"/>
  <c r="CC330" i="1"/>
  <c r="CD329" i="1" s="1"/>
  <c r="CC325" i="1"/>
  <c r="CC320" i="1"/>
  <c r="CD319" i="1" s="1"/>
  <c r="CC315" i="1"/>
  <c r="CD314" i="1" s="1"/>
  <c r="CC310" i="1"/>
  <c r="CD309" i="1" s="1"/>
  <c r="CC305" i="1"/>
  <c r="CC300" i="1"/>
  <c r="CD299" i="1" s="1"/>
  <c r="CC295" i="1"/>
  <c r="CD294" i="1" s="1"/>
  <c r="CC290" i="1"/>
  <c r="CD289" i="1" s="1"/>
  <c r="CC285" i="1"/>
  <c r="CD284" i="1" s="1"/>
  <c r="CC280" i="1"/>
  <c r="CD279" i="1" s="1"/>
  <c r="CC275" i="1"/>
  <c r="CD274" i="1" s="1"/>
  <c r="CC270" i="1"/>
  <c r="CD269" i="1" s="1"/>
  <c r="CC265" i="1"/>
  <c r="CD264" i="1" s="1"/>
  <c r="CC255" i="1"/>
  <c r="CD254" i="1" s="1"/>
  <c r="CC250" i="1"/>
  <c r="CD249" i="1" s="1"/>
  <c r="CC245" i="1"/>
  <c r="CD244" i="1" s="1"/>
  <c r="CC240" i="1"/>
  <c r="CD239" i="1" s="1"/>
  <c r="CC235" i="1"/>
  <c r="CD234" i="1" s="1"/>
  <c r="CC230" i="1"/>
  <c r="CD229" i="1" s="1"/>
  <c r="CC225" i="1"/>
  <c r="CD224" i="1" s="1"/>
  <c r="CC220" i="1"/>
  <c r="CD219" i="1" s="1"/>
  <c r="CC215" i="1"/>
  <c r="CD214" i="1" s="1"/>
  <c r="CC210" i="1"/>
  <c r="CD209" i="1" s="1"/>
  <c r="CC205" i="1"/>
  <c r="CD204" i="1" s="1"/>
  <c r="CC200" i="1"/>
  <c r="CD199" i="1" s="1"/>
  <c r="CC195" i="1"/>
  <c r="CD194" i="1" s="1"/>
  <c r="CC190" i="1"/>
  <c r="CD189" i="1" s="1"/>
  <c r="CC180" i="1"/>
  <c r="CD179" i="1" s="1"/>
  <c r="CC175" i="1"/>
  <c r="CD174" i="1" s="1"/>
  <c r="CC134" i="1"/>
  <c r="CD133" i="1" s="1"/>
  <c r="CC129" i="1"/>
  <c r="CD128" i="1" s="1"/>
  <c r="CC109" i="1"/>
  <c r="CD108" i="1" s="1"/>
  <c r="CC104" i="1"/>
  <c r="CD103" i="1" s="1"/>
  <c r="CC99" i="1"/>
  <c r="CD98" i="1" s="1"/>
  <c r="CC74" i="1"/>
  <c r="CD73" i="1" s="1"/>
  <c r="CC69" i="1"/>
  <c r="CD68" i="1" s="1"/>
  <c r="CC64" i="1"/>
  <c r="CD63" i="1" s="1"/>
  <c r="CC59" i="1"/>
  <c r="CD58" i="1" s="1"/>
  <c r="CC54" i="1"/>
  <c r="CD53" i="1" s="1"/>
  <c r="CC49" i="1"/>
  <c r="CD48" i="1" s="1"/>
  <c r="CC44" i="1"/>
  <c r="CD43" i="1" s="1"/>
  <c r="CC39" i="1"/>
  <c r="CD38" i="1" s="1"/>
  <c r="CC34" i="1"/>
  <c r="CD33" i="1" s="1"/>
  <c r="CC29" i="1"/>
  <c r="CD28" i="1" s="1"/>
  <c r="CC24" i="1"/>
  <c r="CD23" i="1" s="1"/>
  <c r="CC19" i="1"/>
  <c r="CD18" i="1" s="1"/>
  <c r="CC14" i="1"/>
  <c r="CD13" i="1" s="1"/>
  <c r="CC9" i="1"/>
  <c r="CD8" i="1" s="1"/>
  <c r="CD1034" i="1"/>
  <c r="CD1029" i="1"/>
  <c r="CD1024" i="1"/>
  <c r="CD1004" i="1"/>
  <c r="CD949" i="1"/>
  <c r="CD944" i="1"/>
  <c r="CD929" i="1"/>
  <c r="CD879" i="1"/>
  <c r="CD724" i="1"/>
  <c r="CD719" i="1"/>
  <c r="CD674" i="1"/>
  <c r="CD644" i="1"/>
  <c r="CD639" i="1"/>
  <c r="CD589" i="1"/>
  <c r="CD579" i="1"/>
  <c r="CD539" i="1"/>
  <c r="CD529" i="1"/>
  <c r="CD474" i="1"/>
  <c r="CD464" i="1"/>
  <c r="CD454" i="1"/>
  <c r="CD324" i="1"/>
  <c r="CD304" i="1"/>
  <c r="CA853" i="1"/>
  <c r="CA318" i="1"/>
  <c r="CA898" i="1"/>
  <c r="CA758" i="1"/>
  <c r="CA368" i="1"/>
  <c r="CA573" i="1"/>
  <c r="CC938" i="1"/>
  <c r="CC3" i="1" l="1"/>
  <c r="CC2" i="1"/>
  <c r="CC4" i="1" l="1"/>
  <c r="CD3" i="1" s="1"/>
  <c r="CA653" i="1" l="1"/>
  <c r="CA828" i="1" l="1"/>
  <c r="CA768" i="1"/>
  <c r="CA763" i="1"/>
  <c r="CA393" i="1"/>
  <c r="CA648" i="1"/>
  <c r="CA798" i="1"/>
  <c r="CA658" i="1"/>
  <c r="CA463" i="1"/>
  <c r="CA583" i="1"/>
  <c r="CA458" i="1" l="1"/>
  <c r="CA893" i="1"/>
  <c r="CA858" i="1"/>
  <c r="CC843" i="1"/>
  <c r="CA618" i="1"/>
  <c r="CA668" i="1"/>
  <c r="CA638" i="1"/>
  <c r="CA783" i="1"/>
  <c r="CA778" i="1"/>
  <c r="CA703" i="1"/>
  <c r="CA673" i="1"/>
  <c r="CA678" i="1" l="1"/>
  <c r="BY678" i="1"/>
  <c r="BW678" i="1"/>
  <c r="BU678" i="1"/>
  <c r="BS678" i="1"/>
  <c r="CA943" i="1"/>
  <c r="CA233" i="1"/>
  <c r="CA963" i="1"/>
  <c r="CA413" i="1"/>
  <c r="CA603" i="1"/>
  <c r="CA598" i="1"/>
  <c r="CA753" i="1"/>
  <c r="CA738" i="1"/>
  <c r="CA478" i="1"/>
  <c r="CA933" i="1"/>
  <c r="CA613" i="1"/>
  <c r="CA698" i="1"/>
  <c r="CA723" i="1"/>
  <c r="CA178" i="1"/>
  <c r="CA793" i="1"/>
  <c r="CA773" i="1"/>
  <c r="CA173" i="1" l="1"/>
  <c r="CA448" i="1"/>
  <c r="CA953" i="1"/>
  <c r="CA923" i="1"/>
  <c r="CA423" i="1"/>
  <c r="CA903" i="1"/>
  <c r="CA353" i="1"/>
  <c r="CA623" i="1"/>
  <c r="CA823" i="1"/>
  <c r="CA348" i="1"/>
  <c r="CA918" i="1"/>
  <c r="CA863" i="1"/>
  <c r="BY818" i="1"/>
  <c r="BW818" i="1"/>
  <c r="CA683" i="1"/>
  <c r="CA593" i="1" l="1"/>
  <c r="CA928" i="1"/>
  <c r="CA533" i="1" l="1"/>
  <c r="CA563" i="1"/>
  <c r="CA548" i="1"/>
  <c r="CA538" i="1"/>
  <c r="CA553" i="1"/>
  <c r="CA518" i="1"/>
  <c r="CA508" i="1"/>
  <c r="CA513" i="1"/>
  <c r="CA503" i="1"/>
  <c r="CA523" i="1"/>
  <c r="CA543" i="1"/>
  <c r="CA558" i="1"/>
  <c r="CA568" i="1"/>
  <c r="CA883" i="1"/>
  <c r="CA453" i="1"/>
  <c r="CA878" i="1"/>
  <c r="CA888" i="1" l="1"/>
  <c r="CA808" i="1"/>
  <c r="BY788" i="1"/>
  <c r="CA803" i="1" l="1"/>
  <c r="CA843" i="1"/>
  <c r="CA403" i="1"/>
  <c r="CA643" i="1"/>
  <c r="BY318" i="1"/>
  <c r="BY848" i="1" l="1"/>
  <c r="BY828" i="1" l="1"/>
  <c r="BY853" i="1"/>
  <c r="BY763" i="1"/>
  <c r="BY768" i="1"/>
  <c r="BY573" i="1"/>
  <c r="BY758" i="1"/>
  <c r="BY703" i="1" l="1"/>
  <c r="BY648" i="1"/>
  <c r="BY833" i="1"/>
  <c r="BY798" i="1"/>
  <c r="CB18" i="1" l="1"/>
  <c r="CA3" i="1"/>
  <c r="CA2" i="1"/>
  <c r="CA970" i="1"/>
  <c r="CB969" i="1" s="1"/>
  <c r="CA965" i="1"/>
  <c r="CB964" i="1" s="1"/>
  <c r="CA960" i="1"/>
  <c r="CB959" i="1" s="1"/>
  <c r="CA955" i="1"/>
  <c r="CB954" i="1" s="1"/>
  <c r="CA950" i="1"/>
  <c r="CB949" i="1" s="1"/>
  <c r="CA945" i="1"/>
  <c r="CB944" i="1" s="1"/>
  <c r="CA940" i="1"/>
  <c r="CB939" i="1" s="1"/>
  <c r="CA935" i="1"/>
  <c r="CB934" i="1" s="1"/>
  <c r="CA930" i="1"/>
  <c r="CB929" i="1" s="1"/>
  <c r="CA925" i="1"/>
  <c r="CB924" i="1" s="1"/>
  <c r="CA920" i="1"/>
  <c r="CB919" i="1" s="1"/>
  <c r="CA915" i="1"/>
  <c r="CB914" i="1" s="1"/>
  <c r="CA910" i="1"/>
  <c r="CB909" i="1" s="1"/>
  <c r="CA905" i="1"/>
  <c r="CB904" i="1" s="1"/>
  <c r="CA900" i="1"/>
  <c r="CB899" i="1" s="1"/>
  <c r="CA895" i="1"/>
  <c r="CB894" i="1" s="1"/>
  <c r="CA890" i="1"/>
  <c r="CB889" i="1" s="1"/>
  <c r="CA885" i="1"/>
  <c r="CB884" i="1" s="1"/>
  <c r="CA880" i="1"/>
  <c r="CB879" i="1" s="1"/>
  <c r="CA875" i="1"/>
  <c r="CB874" i="1" s="1"/>
  <c r="CA870" i="1"/>
  <c r="CB869" i="1" s="1"/>
  <c r="CA865" i="1"/>
  <c r="CB864" i="1" s="1"/>
  <c r="CA860" i="1"/>
  <c r="CB859" i="1" s="1"/>
  <c r="CA855" i="1"/>
  <c r="CB854" i="1" s="1"/>
  <c r="CA850" i="1"/>
  <c r="CB849" i="1" s="1"/>
  <c r="CA845" i="1"/>
  <c r="CB844" i="1" s="1"/>
  <c r="CA840" i="1"/>
  <c r="CB839" i="1" s="1"/>
  <c r="CA835" i="1"/>
  <c r="CB834" i="1" s="1"/>
  <c r="CA830" i="1"/>
  <c r="CB829" i="1" s="1"/>
  <c r="CA825" i="1"/>
  <c r="CB824" i="1" s="1"/>
  <c r="CA820" i="1"/>
  <c r="CB819" i="1" s="1"/>
  <c r="CA810" i="1"/>
  <c r="CB809" i="1" s="1"/>
  <c r="CA805" i="1"/>
  <c r="CB804" i="1" s="1"/>
  <c r="CA800" i="1"/>
  <c r="CB799" i="1" s="1"/>
  <c r="CA795" i="1"/>
  <c r="CB794" i="1" s="1"/>
  <c r="CA790" i="1"/>
  <c r="CB789" i="1" s="1"/>
  <c r="CA785" i="1"/>
  <c r="CB784" i="1" s="1"/>
  <c r="CA780" i="1"/>
  <c r="CB779" i="1" s="1"/>
  <c r="CA775" i="1"/>
  <c r="CB774" i="1" s="1"/>
  <c r="CA770" i="1"/>
  <c r="CB769" i="1" s="1"/>
  <c r="CA765" i="1"/>
  <c r="CB764" i="1" s="1"/>
  <c r="CA760" i="1"/>
  <c r="CB759" i="1" s="1"/>
  <c r="CA755" i="1"/>
  <c r="CB754" i="1" s="1"/>
  <c r="CA750" i="1"/>
  <c r="CB749" i="1" s="1"/>
  <c r="CA745" i="1"/>
  <c r="CB744" i="1" s="1"/>
  <c r="CA740" i="1"/>
  <c r="CB739" i="1" s="1"/>
  <c r="CA725" i="1"/>
  <c r="CB724" i="1" s="1"/>
  <c r="CA720" i="1"/>
  <c r="CB719" i="1" s="1"/>
  <c r="CA715" i="1"/>
  <c r="CB714" i="1" s="1"/>
  <c r="CA710" i="1"/>
  <c r="CB709" i="1" s="1"/>
  <c r="CA705" i="1"/>
  <c r="CB704" i="1" s="1"/>
  <c r="CA700" i="1"/>
  <c r="CB699" i="1" s="1"/>
  <c r="CA695" i="1"/>
  <c r="CB694" i="1" s="1"/>
  <c r="CA690" i="1"/>
  <c r="CB689" i="1" s="1"/>
  <c r="CA685" i="1"/>
  <c r="CB684" i="1" s="1"/>
  <c r="CA680" i="1"/>
  <c r="CB679" i="1" s="1"/>
  <c r="CA675" i="1"/>
  <c r="CB674" i="1" s="1"/>
  <c r="CA670" i="1"/>
  <c r="CB669" i="1" s="1"/>
  <c r="CA660" i="1"/>
  <c r="CB659" i="1" s="1"/>
  <c r="CA655" i="1"/>
  <c r="CB654" i="1" s="1"/>
  <c r="CA650" i="1"/>
  <c r="CB649" i="1" s="1"/>
  <c r="CA645" i="1"/>
  <c r="CB644" i="1" s="1"/>
  <c r="CA640" i="1"/>
  <c r="CB639" i="1" s="1"/>
  <c r="CA635" i="1"/>
  <c r="CB634" i="1" s="1"/>
  <c r="CA630" i="1"/>
  <c r="CB629" i="1" s="1"/>
  <c r="CA625" i="1"/>
  <c r="CB624" i="1" s="1"/>
  <c r="CA620" i="1"/>
  <c r="CB619" i="1" s="1"/>
  <c r="CA615" i="1"/>
  <c r="CB614" i="1" s="1"/>
  <c r="CA610" i="1"/>
  <c r="CB609" i="1" s="1"/>
  <c r="CA605" i="1"/>
  <c r="CB604" i="1" s="1"/>
  <c r="CA600" i="1"/>
  <c r="CB599" i="1" s="1"/>
  <c r="CA595" i="1"/>
  <c r="CB594" i="1" s="1"/>
  <c r="CA590" i="1"/>
  <c r="CB589" i="1" s="1"/>
  <c r="CA585" i="1"/>
  <c r="CB584" i="1" s="1"/>
  <c r="CA580" i="1"/>
  <c r="CB579" i="1" s="1"/>
  <c r="CA575" i="1"/>
  <c r="CB574" i="1" s="1"/>
  <c r="CA570" i="1"/>
  <c r="CB569" i="1" s="1"/>
  <c r="CA565" i="1"/>
  <c r="CB564" i="1" s="1"/>
  <c r="CA560" i="1"/>
  <c r="CB559" i="1" s="1"/>
  <c r="CA555" i="1"/>
  <c r="CB554" i="1" s="1"/>
  <c r="CA550" i="1"/>
  <c r="CB549" i="1" s="1"/>
  <c r="CA545" i="1"/>
  <c r="CB544" i="1" s="1"/>
  <c r="CA540" i="1"/>
  <c r="CB539" i="1" s="1"/>
  <c r="CA535" i="1"/>
  <c r="CB534" i="1" s="1"/>
  <c r="CA530" i="1"/>
  <c r="CB529" i="1" s="1"/>
  <c r="CA525" i="1"/>
  <c r="CB524" i="1" s="1"/>
  <c r="CA520" i="1"/>
  <c r="CB519" i="1" s="1"/>
  <c r="CA515" i="1"/>
  <c r="CB514" i="1" s="1"/>
  <c r="CA510" i="1"/>
  <c r="CB509" i="1" s="1"/>
  <c r="CA505" i="1"/>
  <c r="CB504" i="1" s="1"/>
  <c r="CA500" i="1"/>
  <c r="CB499" i="1" s="1"/>
  <c r="CA495" i="1"/>
  <c r="CB494" i="1" s="1"/>
  <c r="CA490" i="1"/>
  <c r="CB489" i="1" s="1"/>
  <c r="CA485" i="1"/>
  <c r="CB484" i="1" s="1"/>
  <c r="CA480" i="1"/>
  <c r="CB479" i="1" s="1"/>
  <c r="CA475" i="1"/>
  <c r="CB474" i="1" s="1"/>
  <c r="CA470" i="1"/>
  <c r="CB469" i="1" s="1"/>
  <c r="CA465" i="1"/>
  <c r="CB464" i="1" s="1"/>
  <c r="CA460" i="1"/>
  <c r="CB459" i="1" s="1"/>
  <c r="CA455" i="1"/>
  <c r="CB454" i="1" s="1"/>
  <c r="CA450" i="1"/>
  <c r="CB449" i="1" s="1"/>
  <c r="CA445" i="1"/>
  <c r="CB444" i="1" s="1"/>
  <c r="CA440" i="1"/>
  <c r="CB439" i="1" s="1"/>
  <c r="CA435" i="1"/>
  <c r="CB434" i="1" s="1"/>
  <c r="CA430" i="1"/>
  <c r="CB429" i="1" s="1"/>
  <c r="CA425" i="1"/>
  <c r="CB424" i="1" s="1"/>
  <c r="CA420" i="1"/>
  <c r="CB419" i="1" s="1"/>
  <c r="CA415" i="1"/>
  <c r="CB414" i="1" s="1"/>
  <c r="CA410" i="1"/>
  <c r="CB409" i="1" s="1"/>
  <c r="CA405" i="1"/>
  <c r="CB404" i="1" s="1"/>
  <c r="CA400" i="1"/>
  <c r="CB399" i="1" s="1"/>
  <c r="CA395" i="1"/>
  <c r="CB394" i="1" s="1"/>
  <c r="CA390" i="1"/>
  <c r="CB389" i="1" s="1"/>
  <c r="CA385" i="1"/>
  <c r="CB384" i="1" s="1"/>
  <c r="CA380" i="1"/>
  <c r="CB379" i="1" s="1"/>
  <c r="CA375" i="1"/>
  <c r="CB374" i="1" s="1"/>
  <c r="CA370" i="1"/>
  <c r="CB369" i="1" s="1"/>
  <c r="CA365" i="1"/>
  <c r="CB364" i="1" s="1"/>
  <c r="CA360" i="1"/>
  <c r="CB359" i="1" s="1"/>
  <c r="CA355" i="1"/>
  <c r="CB354" i="1" s="1"/>
  <c r="CA350" i="1"/>
  <c r="CB349" i="1" s="1"/>
  <c r="CA345" i="1"/>
  <c r="CB344" i="1" s="1"/>
  <c r="CA340" i="1"/>
  <c r="CB339" i="1" s="1"/>
  <c r="CA335" i="1"/>
  <c r="CB334" i="1" s="1"/>
  <c r="CA330" i="1"/>
  <c r="CB329" i="1" s="1"/>
  <c r="CA325" i="1"/>
  <c r="CB324" i="1" s="1"/>
  <c r="CA320" i="1"/>
  <c r="CB319" i="1" s="1"/>
  <c r="CA315" i="1"/>
  <c r="CB314" i="1" s="1"/>
  <c r="CA310" i="1"/>
  <c r="CB309" i="1" s="1"/>
  <c r="CA305" i="1"/>
  <c r="CB304" i="1" s="1"/>
  <c r="CA300" i="1"/>
  <c r="CB299" i="1" s="1"/>
  <c r="CA295" i="1"/>
  <c r="CB294" i="1" s="1"/>
  <c r="CA290" i="1"/>
  <c r="CB289" i="1" s="1"/>
  <c r="CA285" i="1"/>
  <c r="CB284" i="1" s="1"/>
  <c r="CA280" i="1"/>
  <c r="CB279" i="1" s="1"/>
  <c r="CA275" i="1"/>
  <c r="CB274" i="1" s="1"/>
  <c r="CA270" i="1"/>
  <c r="CB269" i="1" s="1"/>
  <c r="CA265" i="1"/>
  <c r="CB264" i="1" s="1"/>
  <c r="CA255" i="1"/>
  <c r="CB254" i="1" s="1"/>
  <c r="CA250" i="1"/>
  <c r="CB249" i="1" s="1"/>
  <c r="CA245" i="1"/>
  <c r="CB244" i="1" s="1"/>
  <c r="CA240" i="1"/>
  <c r="CB239" i="1" s="1"/>
  <c r="CA235" i="1"/>
  <c r="CB234" i="1" s="1"/>
  <c r="CA230" i="1"/>
  <c r="CB229" i="1" s="1"/>
  <c r="CA225" i="1"/>
  <c r="CB224" i="1" s="1"/>
  <c r="CA220" i="1"/>
  <c r="CB219" i="1" s="1"/>
  <c r="CA215" i="1"/>
  <c r="CB214" i="1" s="1"/>
  <c r="CA210" i="1"/>
  <c r="CB209" i="1" s="1"/>
  <c r="CA205" i="1"/>
  <c r="CB204" i="1" s="1"/>
  <c r="CA200" i="1"/>
  <c r="CB199" i="1" s="1"/>
  <c r="CA195" i="1"/>
  <c r="CB194" i="1" s="1"/>
  <c r="CA190" i="1"/>
  <c r="CB189" i="1" s="1"/>
  <c r="CA180" i="1"/>
  <c r="CB179" i="1" s="1"/>
  <c r="CA175" i="1"/>
  <c r="CB174" i="1" s="1"/>
  <c r="CA134" i="1"/>
  <c r="CB133" i="1" s="1"/>
  <c r="CA129" i="1"/>
  <c r="CB128" i="1" s="1"/>
  <c r="CA109" i="1"/>
  <c r="CB108" i="1" s="1"/>
  <c r="CA104" i="1"/>
  <c r="CB103" i="1" s="1"/>
  <c r="CA99" i="1"/>
  <c r="CB98" i="1" s="1"/>
  <c r="CA74" i="1"/>
  <c r="CB73" i="1" s="1"/>
  <c r="CA69" i="1"/>
  <c r="CB68" i="1" s="1"/>
  <c r="CA64" i="1"/>
  <c r="CB63" i="1" s="1"/>
  <c r="CA59" i="1"/>
  <c r="CB58" i="1" s="1"/>
  <c r="CA54" i="1"/>
  <c r="CB53" i="1" s="1"/>
  <c r="CA49" i="1"/>
  <c r="CB48" i="1" s="1"/>
  <c r="CA44" i="1"/>
  <c r="CB43" i="1" s="1"/>
  <c r="CA39" i="1"/>
  <c r="CB38" i="1" s="1"/>
  <c r="CA34" i="1"/>
  <c r="CB33" i="1" s="1"/>
  <c r="CA29" i="1"/>
  <c r="CB28" i="1" s="1"/>
  <c r="CA24" i="1"/>
  <c r="CB23" i="1" s="1"/>
  <c r="CA14" i="1"/>
  <c r="CB13" i="1" s="1"/>
  <c r="CA9" i="1"/>
  <c r="CB8" i="1" s="1"/>
  <c r="BY693" i="1"/>
  <c r="BY658" i="1"/>
  <c r="BY908" i="1"/>
  <c r="BY873" i="1"/>
  <c r="BY838" i="1"/>
  <c r="BY743" i="1"/>
  <c r="CA4" i="1" l="1"/>
  <c r="CB3" i="1" s="1"/>
  <c r="BY2" i="1" l="1"/>
  <c r="BY3" i="1"/>
  <c r="BY653" i="1"/>
  <c r="BW3" i="1"/>
  <c r="BY583" i="1"/>
  <c r="BY423" i="1"/>
  <c r="BY668" i="1"/>
  <c r="BY773" i="1"/>
  <c r="BY178" i="1"/>
  <c r="BY823" i="1"/>
  <c r="BY783" i="1"/>
  <c r="BY413" i="1"/>
  <c r="BY673" i="1" l="1"/>
  <c r="BY778" i="1"/>
  <c r="BY723" i="1"/>
  <c r="BY793" i="1"/>
  <c r="BY698" i="1"/>
  <c r="BY463" i="1"/>
  <c r="BY428" i="1"/>
  <c r="BY753" i="1"/>
  <c r="BY748" i="1"/>
  <c r="BY348" i="1"/>
  <c r="BY633" i="1"/>
  <c r="BY448" i="1"/>
  <c r="BY603" i="1"/>
  <c r="BY458" i="1"/>
  <c r="BY858" i="1"/>
  <c r="BY893" i="1"/>
  <c r="BY903" i="1"/>
  <c r="BY173" i="1"/>
  <c r="BY598" i="1"/>
  <c r="BY738" i="1"/>
  <c r="BY623" i="1"/>
  <c r="BY863" i="1"/>
  <c r="BY618" i="1"/>
  <c r="BY638" i="1"/>
  <c r="BY353" i="1"/>
  <c r="BY478" i="1"/>
  <c r="BY393" i="1"/>
  <c r="BY613" i="1"/>
  <c r="BY205" i="1" l="1"/>
  <c r="BY233" i="1" l="1"/>
  <c r="BW673" i="1" l="1"/>
  <c r="BY593" i="1" l="1"/>
  <c r="BW318" i="1"/>
  <c r="BW788" i="1" l="1"/>
  <c r="BY453" i="1"/>
  <c r="BW573" i="1" l="1"/>
  <c r="BW758" i="1"/>
  <c r="BW368" i="1"/>
  <c r="BW853" i="1"/>
  <c r="BY883" i="1"/>
  <c r="BY878" i="1"/>
  <c r="BW763" i="1" l="1"/>
  <c r="BW768" i="1"/>
  <c r="BW828" i="1"/>
  <c r="BY683" i="1"/>
  <c r="BY508" i="1"/>
  <c r="BY518" i="1"/>
  <c r="BY513" i="1"/>
  <c r="BY558" i="1"/>
  <c r="BY538" i="1"/>
  <c r="BY568" i="1"/>
  <c r="BY543" i="1"/>
  <c r="BY563" i="1"/>
  <c r="BY553" i="1"/>
  <c r="BY523" i="1"/>
  <c r="BY533" i="1"/>
  <c r="BY503" i="1"/>
  <c r="BY548" i="1"/>
  <c r="BW848" i="1"/>
  <c r="BW743" i="1"/>
  <c r="BW838" i="1"/>
  <c r="BW703" i="1"/>
  <c r="BW693" i="1"/>
  <c r="BW798" i="1"/>
  <c r="BW833" i="1"/>
  <c r="BW873" i="1"/>
  <c r="BW648" i="1"/>
  <c r="BW603" i="1"/>
  <c r="BY905" i="1"/>
  <c r="BZ904" i="1" s="1"/>
  <c r="BW623" i="1"/>
  <c r="BW858" i="1"/>
  <c r="BW613" i="1"/>
  <c r="BW723" i="1"/>
  <c r="BW698" i="1"/>
  <c r="BW668" i="1"/>
  <c r="BW893" i="1"/>
  <c r="BW448" i="1"/>
  <c r="BW393" i="1"/>
  <c r="BW638" i="1"/>
  <c r="BW748" i="1"/>
  <c r="BW353" i="1"/>
  <c r="BW178" i="1"/>
  <c r="BW823" i="1"/>
  <c r="BW773" i="1"/>
  <c r="BW778" i="1"/>
  <c r="BW793" i="1"/>
  <c r="BW463" i="1"/>
  <c r="BW783" i="1"/>
  <c r="BW618" i="1"/>
  <c r="BY808" i="1"/>
  <c r="BY843" i="1"/>
  <c r="BY403" i="1" l="1"/>
  <c r="BY803" i="1"/>
  <c r="BY888" i="1"/>
  <c r="BY643" i="1"/>
  <c r="BW423" i="1" l="1"/>
  <c r="BW413" i="1"/>
  <c r="BW863" i="1"/>
  <c r="BW428" i="1"/>
  <c r="BW173" i="1"/>
  <c r="BW348" i="1"/>
  <c r="BW738" i="1"/>
  <c r="BW753" i="1"/>
  <c r="BW478" i="1"/>
  <c r="BW598" i="1"/>
  <c r="BW633" i="1"/>
  <c r="BW458" i="1" l="1"/>
  <c r="BW583" i="1"/>
  <c r="BY915" i="1" l="1"/>
  <c r="BZ914" i="1" s="1"/>
  <c r="BY910" i="1"/>
  <c r="BZ909" i="1" s="1"/>
  <c r="BY900" i="1"/>
  <c r="BY895" i="1"/>
  <c r="BY890" i="1"/>
  <c r="BY885" i="1"/>
  <c r="BY880" i="1"/>
  <c r="BY875" i="1"/>
  <c r="BY870" i="1"/>
  <c r="BY865" i="1"/>
  <c r="BY860" i="1"/>
  <c r="BY855" i="1"/>
  <c r="BY850" i="1"/>
  <c r="BY845" i="1"/>
  <c r="BY840" i="1"/>
  <c r="BY835" i="1"/>
  <c r="BY830" i="1"/>
  <c r="BY825" i="1"/>
  <c r="BY820" i="1"/>
  <c r="BY810" i="1"/>
  <c r="BY805" i="1"/>
  <c r="BY800" i="1"/>
  <c r="BY795" i="1"/>
  <c r="BY790" i="1"/>
  <c r="BY785" i="1"/>
  <c r="BZ784" i="1" s="1"/>
  <c r="BY780" i="1"/>
  <c r="BY775" i="1"/>
  <c r="BY770" i="1"/>
  <c r="BY765" i="1"/>
  <c r="BZ764" i="1" s="1"/>
  <c r="BY760" i="1"/>
  <c r="BY755" i="1"/>
  <c r="BY750" i="1"/>
  <c r="BY745" i="1"/>
  <c r="BY740" i="1"/>
  <c r="BY725" i="1"/>
  <c r="BY720" i="1"/>
  <c r="BY715" i="1"/>
  <c r="BY710" i="1"/>
  <c r="BY705" i="1"/>
  <c r="BZ704" i="1" s="1"/>
  <c r="BY700" i="1"/>
  <c r="BZ699" i="1" s="1"/>
  <c r="BY695" i="1"/>
  <c r="BY690" i="1"/>
  <c r="BY685" i="1"/>
  <c r="BY680" i="1"/>
  <c r="BY675" i="1"/>
  <c r="BY670" i="1"/>
  <c r="BY660" i="1"/>
  <c r="BY655" i="1"/>
  <c r="BZ654" i="1" s="1"/>
  <c r="BY650" i="1"/>
  <c r="BY645" i="1"/>
  <c r="BY640" i="1"/>
  <c r="BY635" i="1"/>
  <c r="BY630" i="1"/>
  <c r="BZ629" i="1" s="1"/>
  <c r="BY625" i="1"/>
  <c r="BY620" i="1"/>
  <c r="BY615" i="1"/>
  <c r="BY610" i="1"/>
  <c r="BY605" i="1"/>
  <c r="BY600" i="1"/>
  <c r="BY595" i="1"/>
  <c r="BY590" i="1"/>
  <c r="BY585" i="1"/>
  <c r="BY580" i="1"/>
  <c r="BY575" i="1"/>
  <c r="BY570" i="1"/>
  <c r="BZ569" i="1" s="1"/>
  <c r="BY565" i="1"/>
  <c r="BZ564" i="1" s="1"/>
  <c r="BY560" i="1"/>
  <c r="BZ559" i="1" s="1"/>
  <c r="BY555" i="1"/>
  <c r="BY550" i="1"/>
  <c r="BY545" i="1"/>
  <c r="BZ544" i="1" s="1"/>
  <c r="BY540" i="1"/>
  <c r="BY535" i="1"/>
  <c r="BZ534" i="1" s="1"/>
  <c r="BY530" i="1"/>
  <c r="BZ529" i="1" s="1"/>
  <c r="BY525" i="1"/>
  <c r="BY520" i="1"/>
  <c r="BY515" i="1"/>
  <c r="BY510" i="1"/>
  <c r="BZ509" i="1" s="1"/>
  <c r="BY505" i="1"/>
  <c r="BZ504" i="1" s="1"/>
  <c r="BY500" i="1"/>
  <c r="BZ499" i="1" s="1"/>
  <c r="BY495" i="1"/>
  <c r="BY490" i="1"/>
  <c r="BZ489" i="1" s="1"/>
  <c r="BY485" i="1"/>
  <c r="BY480" i="1"/>
  <c r="BY475" i="1"/>
  <c r="BY470" i="1"/>
  <c r="BY465" i="1"/>
  <c r="BY460" i="1"/>
  <c r="BY455" i="1"/>
  <c r="BY450" i="1"/>
  <c r="BY445" i="1"/>
  <c r="BY440" i="1"/>
  <c r="BY435" i="1"/>
  <c r="BY430" i="1"/>
  <c r="BY425" i="1"/>
  <c r="BY420" i="1"/>
  <c r="BY415" i="1"/>
  <c r="BY410" i="1"/>
  <c r="BY405" i="1"/>
  <c r="BY400" i="1"/>
  <c r="BY395" i="1"/>
  <c r="BY390" i="1"/>
  <c r="BY385" i="1"/>
  <c r="BY380" i="1"/>
  <c r="BY375" i="1"/>
  <c r="BY370" i="1"/>
  <c r="BY365" i="1"/>
  <c r="BY360" i="1"/>
  <c r="BY355" i="1"/>
  <c r="BY350" i="1"/>
  <c r="BY345" i="1"/>
  <c r="BY340" i="1"/>
  <c r="BY335" i="1"/>
  <c r="BY330" i="1"/>
  <c r="BY325" i="1"/>
  <c r="BY320" i="1"/>
  <c r="BY315" i="1"/>
  <c r="BY310" i="1"/>
  <c r="BY305" i="1"/>
  <c r="BY300" i="1"/>
  <c r="BY295" i="1"/>
  <c r="BY290" i="1"/>
  <c r="BY285" i="1"/>
  <c r="BY280" i="1"/>
  <c r="BY275" i="1"/>
  <c r="BY270" i="1"/>
  <c r="BY265" i="1"/>
  <c r="BY255" i="1"/>
  <c r="BY250" i="1"/>
  <c r="BY245" i="1"/>
  <c r="BY240" i="1"/>
  <c r="BY235" i="1"/>
  <c r="BY230" i="1"/>
  <c r="BY225" i="1"/>
  <c r="BY220" i="1"/>
  <c r="BY215" i="1"/>
  <c r="BY210" i="1"/>
  <c r="BY200" i="1"/>
  <c r="BY195" i="1"/>
  <c r="BY190" i="1"/>
  <c r="BY180" i="1"/>
  <c r="BY175" i="1"/>
  <c r="BY134" i="1"/>
  <c r="BY129" i="1"/>
  <c r="BY109" i="1"/>
  <c r="BY104" i="1"/>
  <c r="BY99" i="1"/>
  <c r="BY74" i="1"/>
  <c r="BY69" i="1"/>
  <c r="BY64" i="1"/>
  <c r="BY59" i="1"/>
  <c r="BY54" i="1"/>
  <c r="BY49" i="1"/>
  <c r="BY44" i="1"/>
  <c r="BY39" i="1"/>
  <c r="BY34" i="1"/>
  <c r="BY29" i="1"/>
  <c r="BY24" i="1"/>
  <c r="BY19" i="1"/>
  <c r="BY14" i="1"/>
  <c r="BY9" i="1"/>
  <c r="BZ744" i="1"/>
  <c r="BY4" i="1" l="1"/>
  <c r="BZ3" i="1" s="1"/>
  <c r="BZ804" i="1"/>
  <c r="BZ799" i="1"/>
  <c r="BZ819" i="1"/>
  <c r="BZ834" i="1"/>
  <c r="BZ874" i="1"/>
  <c r="BZ839" i="1"/>
  <c r="BZ879" i="1"/>
  <c r="BZ214" i="1"/>
  <c r="BZ894" i="1" l="1"/>
  <c r="BZ889" i="1"/>
  <c r="BZ884" i="1"/>
  <c r="BZ869" i="1"/>
  <c r="BZ864" i="1"/>
  <c r="BZ859" i="1"/>
  <c r="BZ854" i="1"/>
  <c r="BZ849" i="1"/>
  <c r="BZ844" i="1"/>
  <c r="BZ829" i="1"/>
  <c r="BZ824" i="1"/>
  <c r="BZ809" i="1"/>
  <c r="BZ794" i="1"/>
  <c r="BZ789" i="1"/>
  <c r="BZ779" i="1"/>
  <c r="BZ774" i="1"/>
  <c r="BZ769" i="1"/>
  <c r="BZ759" i="1"/>
  <c r="BZ754" i="1"/>
  <c r="BZ749" i="1"/>
  <c r="BZ739" i="1"/>
  <c r="BZ724" i="1"/>
  <c r="BZ719" i="1"/>
  <c r="BZ714" i="1"/>
  <c r="BZ709" i="1"/>
  <c r="BZ694" i="1"/>
  <c r="BZ689" i="1"/>
  <c r="BZ684" i="1"/>
  <c r="BZ679" i="1"/>
  <c r="BZ674" i="1"/>
  <c r="BZ669" i="1"/>
  <c r="BZ659" i="1"/>
  <c r="BZ649" i="1"/>
  <c r="BZ644" i="1"/>
  <c r="BZ639" i="1"/>
  <c r="BZ634" i="1"/>
  <c r="BZ624" i="1"/>
  <c r="BZ619" i="1"/>
  <c r="BZ614" i="1"/>
  <c r="BZ609" i="1"/>
  <c r="BZ604" i="1"/>
  <c r="BZ599" i="1"/>
  <c r="BZ594" i="1"/>
  <c r="BZ589" i="1"/>
  <c r="BZ584" i="1"/>
  <c r="BZ579" i="1"/>
  <c r="BZ574" i="1"/>
  <c r="BZ554" i="1"/>
  <c r="BZ549" i="1"/>
  <c r="BZ539" i="1"/>
  <c r="BZ524" i="1"/>
  <c r="BZ519" i="1"/>
  <c r="BZ514" i="1"/>
  <c r="BZ494" i="1"/>
  <c r="BZ484" i="1"/>
  <c r="BZ479" i="1"/>
  <c r="BZ474" i="1"/>
  <c r="BZ469" i="1"/>
  <c r="BZ464" i="1"/>
  <c r="BZ459" i="1"/>
  <c r="BZ454" i="1"/>
  <c r="BZ449" i="1"/>
  <c r="BZ444" i="1"/>
  <c r="BZ439" i="1"/>
  <c r="BZ434" i="1"/>
  <c r="BZ429" i="1"/>
  <c r="BZ424" i="1"/>
  <c r="BZ419" i="1"/>
  <c r="BZ414" i="1"/>
  <c r="BZ409" i="1"/>
  <c r="BZ404" i="1"/>
  <c r="BZ399" i="1"/>
  <c r="BZ394" i="1"/>
  <c r="BZ389" i="1"/>
  <c r="BZ384" i="1"/>
  <c r="BZ379" i="1"/>
  <c r="BZ374" i="1"/>
  <c r="BZ369" i="1"/>
  <c r="BZ364" i="1"/>
  <c r="BZ359" i="1"/>
  <c r="BZ354" i="1"/>
  <c r="BZ349" i="1"/>
  <c r="BZ344" i="1"/>
  <c r="BZ339" i="1"/>
  <c r="BZ334" i="1"/>
  <c r="BZ329" i="1"/>
  <c r="BZ324" i="1"/>
  <c r="BZ319" i="1"/>
  <c r="BZ314" i="1"/>
  <c r="BZ309" i="1"/>
  <c r="BZ304" i="1"/>
  <c r="BZ299" i="1"/>
  <c r="BZ294" i="1"/>
  <c r="BZ289" i="1"/>
  <c r="BZ284" i="1"/>
  <c r="BZ279" i="1"/>
  <c r="BZ274" i="1"/>
  <c r="BZ269" i="1"/>
  <c r="BZ264" i="1"/>
  <c r="BZ254" i="1"/>
  <c r="BZ249" i="1"/>
  <c r="BZ244" i="1"/>
  <c r="BZ239" i="1"/>
  <c r="BZ234" i="1"/>
  <c r="BZ229" i="1"/>
  <c r="BZ224" i="1"/>
  <c r="BZ219" i="1"/>
  <c r="BZ209" i="1"/>
  <c r="BZ204" i="1"/>
  <c r="BZ199" i="1"/>
  <c r="BZ194" i="1"/>
  <c r="BZ189" i="1"/>
  <c r="BZ179" i="1"/>
  <c r="BZ174" i="1"/>
  <c r="BZ133" i="1"/>
  <c r="BZ128" i="1"/>
  <c r="BZ108" i="1"/>
  <c r="BZ103" i="1"/>
  <c r="BZ98" i="1"/>
  <c r="BZ73" i="1"/>
  <c r="BZ68" i="1"/>
  <c r="BZ63" i="1"/>
  <c r="BZ58" i="1"/>
  <c r="BZ53" i="1"/>
  <c r="BZ48" i="1"/>
  <c r="BZ43" i="1"/>
  <c r="BZ38" i="1"/>
  <c r="BZ33" i="1"/>
  <c r="BZ28" i="1"/>
  <c r="BZ23" i="1"/>
  <c r="BZ18" i="1"/>
  <c r="BZ13" i="1"/>
  <c r="BZ8" i="1"/>
  <c r="Z1" i="7" l="1"/>
  <c r="Y1" i="7"/>
  <c r="BW653" i="1" l="1"/>
  <c r="BW233" i="1" l="1"/>
  <c r="BW593" i="1" l="1"/>
  <c r="BW508" i="1"/>
  <c r="BW453" i="1" l="1"/>
  <c r="BW503" i="1"/>
  <c r="BW883" i="1"/>
  <c r="BW518" i="1" l="1"/>
  <c r="BW563" i="1"/>
  <c r="BW568" i="1"/>
  <c r="BU318" i="1"/>
  <c r="BW683" i="1" l="1"/>
  <c r="BW808" i="1" l="1"/>
  <c r="BW878" i="1"/>
  <c r="BB894" i="1" l="1"/>
  <c r="BB889" i="1"/>
  <c r="BB884" i="1"/>
  <c r="BB879" i="1"/>
  <c r="BB874" i="1"/>
  <c r="BB869" i="1"/>
  <c r="BB864" i="1"/>
  <c r="BB859" i="1"/>
  <c r="BB854" i="1"/>
  <c r="BB849" i="1"/>
  <c r="BB844" i="1"/>
  <c r="BB839" i="1"/>
  <c r="BB834" i="1"/>
  <c r="BB829" i="1"/>
  <c r="BB824" i="1"/>
  <c r="BB819" i="1"/>
  <c r="BB809" i="1"/>
  <c r="BB804" i="1"/>
  <c r="BB799" i="1"/>
  <c r="BB794" i="1"/>
  <c r="BB789" i="1"/>
  <c r="BB784" i="1"/>
  <c r="BB779" i="1"/>
  <c r="BB774" i="1"/>
  <c r="BB769" i="1"/>
  <c r="BB764" i="1"/>
  <c r="BB759" i="1"/>
  <c r="BB754" i="1"/>
  <c r="BB749" i="1"/>
  <c r="BB744" i="1"/>
  <c r="BB739" i="1"/>
  <c r="BB724" i="1"/>
  <c r="BB259" i="1"/>
  <c r="BB184" i="1"/>
  <c r="BB158" i="1"/>
  <c r="BB123" i="1"/>
  <c r="BB113" i="1"/>
  <c r="BB88" i="1"/>
  <c r="BD894" i="1"/>
  <c r="BD889" i="1"/>
  <c r="BD884" i="1"/>
  <c r="BD879" i="1"/>
  <c r="BD874" i="1"/>
  <c r="BD869" i="1"/>
  <c r="BD864" i="1"/>
  <c r="BD859" i="1"/>
  <c r="BD854" i="1"/>
  <c r="BD849" i="1"/>
  <c r="BD844" i="1"/>
  <c r="BD839" i="1"/>
  <c r="BD834" i="1"/>
  <c r="BD829" i="1"/>
  <c r="BD824" i="1"/>
  <c r="BD819" i="1"/>
  <c r="BD809" i="1"/>
  <c r="BD804" i="1"/>
  <c r="BD799" i="1"/>
  <c r="BD794" i="1"/>
  <c r="BD789" i="1"/>
  <c r="BD769" i="1"/>
  <c r="BD764" i="1"/>
  <c r="BD259" i="1"/>
  <c r="BD184" i="1"/>
  <c r="BD158" i="1"/>
  <c r="BD123" i="1"/>
  <c r="BD113" i="1"/>
  <c r="BD88" i="1"/>
  <c r="BF894" i="1"/>
  <c r="BF889" i="1"/>
  <c r="BF884" i="1"/>
  <c r="BF879" i="1"/>
  <c r="BF874" i="1"/>
  <c r="BF869" i="1"/>
  <c r="BF864" i="1"/>
  <c r="BF859" i="1"/>
  <c r="BF854" i="1"/>
  <c r="BF849" i="1"/>
  <c r="BF844" i="1"/>
  <c r="BF839" i="1"/>
  <c r="BF834" i="1"/>
  <c r="BF829" i="1"/>
  <c r="BF824" i="1"/>
  <c r="BF819" i="1"/>
  <c r="BF809" i="1"/>
  <c r="BF804" i="1"/>
  <c r="BF259" i="1"/>
  <c r="BF184" i="1"/>
  <c r="BF158" i="1"/>
  <c r="BF123" i="1"/>
  <c r="BF113" i="1"/>
  <c r="BF88" i="1"/>
  <c r="BH894" i="1"/>
  <c r="BH889" i="1"/>
  <c r="BH884" i="1"/>
  <c r="BH879" i="1"/>
  <c r="BH874" i="1"/>
  <c r="BH869" i="1"/>
  <c r="BH864" i="1"/>
  <c r="BH859" i="1"/>
  <c r="BH854" i="1"/>
  <c r="BH849" i="1"/>
  <c r="BH844" i="1"/>
  <c r="BH839" i="1"/>
  <c r="BH834" i="1"/>
  <c r="BH829" i="1"/>
  <c r="BH824" i="1"/>
  <c r="BH819" i="1"/>
  <c r="BH809" i="1"/>
  <c r="BH804" i="1"/>
  <c r="BH259" i="1"/>
  <c r="BH184" i="1"/>
  <c r="BH158" i="1"/>
  <c r="BH123" i="1"/>
  <c r="BH113" i="1"/>
  <c r="BH78" i="1"/>
  <c r="BJ894" i="1"/>
  <c r="BJ889" i="1"/>
  <c r="BJ884" i="1"/>
  <c r="BJ879" i="1"/>
  <c r="BJ874" i="1"/>
  <c r="BJ869" i="1"/>
  <c r="BJ864" i="1"/>
  <c r="BJ859" i="1"/>
  <c r="BJ854" i="1"/>
  <c r="BJ849" i="1"/>
  <c r="BJ844" i="1"/>
  <c r="BJ839" i="1"/>
  <c r="BJ834" i="1"/>
  <c r="BJ829" i="1"/>
  <c r="BJ824" i="1"/>
  <c r="BJ819" i="1"/>
  <c r="BJ259" i="1"/>
  <c r="BJ184" i="1"/>
  <c r="BJ158" i="1"/>
  <c r="BJ123" i="1"/>
  <c r="BJ113" i="1"/>
  <c r="BJ88" i="1"/>
  <c r="BJ78" i="1"/>
  <c r="BL894" i="1"/>
  <c r="BL889" i="1"/>
  <c r="BL884" i="1"/>
  <c r="BL879" i="1"/>
  <c r="BL874" i="1"/>
  <c r="BL869" i="1"/>
  <c r="BL864" i="1"/>
  <c r="BL859" i="1"/>
  <c r="BL854" i="1"/>
  <c r="BL849" i="1"/>
  <c r="BL844" i="1"/>
  <c r="BL839" i="1"/>
  <c r="BL834" i="1"/>
  <c r="BL829" i="1"/>
  <c r="BL824" i="1"/>
  <c r="BL819" i="1"/>
  <c r="BL259" i="1"/>
  <c r="BL184" i="1"/>
  <c r="BL158" i="1"/>
  <c r="BL123" i="1"/>
  <c r="BL113" i="1"/>
  <c r="BL88" i="1"/>
  <c r="BL78" i="1"/>
  <c r="BN894" i="1"/>
  <c r="BN889" i="1"/>
  <c r="BN884" i="1"/>
  <c r="BN879" i="1"/>
  <c r="BN874" i="1"/>
  <c r="BN869" i="1"/>
  <c r="BN864" i="1"/>
  <c r="BN859" i="1"/>
  <c r="BN854" i="1"/>
  <c r="BN849" i="1"/>
  <c r="BN844" i="1"/>
  <c r="BN839" i="1"/>
  <c r="BN834" i="1"/>
  <c r="BN829" i="1"/>
  <c r="BN259" i="1"/>
  <c r="BN184" i="1"/>
  <c r="BN158" i="1"/>
  <c r="BN123" i="1"/>
  <c r="BN113" i="1"/>
  <c r="BN88" i="1"/>
  <c r="BN78" i="1"/>
  <c r="BP894" i="1"/>
  <c r="BP889" i="1"/>
  <c r="BP884" i="1"/>
  <c r="BP879" i="1"/>
  <c r="BP874" i="1"/>
  <c r="BP869" i="1"/>
  <c r="BP864" i="1"/>
  <c r="BP859" i="1"/>
  <c r="BP854" i="1"/>
  <c r="BP849" i="1"/>
  <c r="BP844" i="1"/>
  <c r="BP464" i="1"/>
  <c r="BP259" i="1"/>
  <c r="BP184" i="1"/>
  <c r="BP158" i="1"/>
  <c r="BP123" i="1"/>
  <c r="BP113" i="1"/>
  <c r="BP88" i="1"/>
  <c r="BP78" i="1"/>
  <c r="BR894" i="1"/>
  <c r="BR889" i="1"/>
  <c r="BR884" i="1"/>
  <c r="BR879" i="1"/>
  <c r="BR874" i="1"/>
  <c r="BR869" i="1"/>
  <c r="BR864" i="1"/>
  <c r="BR859" i="1"/>
  <c r="BR854" i="1"/>
  <c r="BR849" i="1"/>
  <c r="BR259" i="1"/>
  <c r="BR184" i="1"/>
  <c r="BR158" i="1"/>
  <c r="BR123" i="1"/>
  <c r="BR113" i="1"/>
  <c r="BR88" i="1"/>
  <c r="BR78" i="1"/>
  <c r="BT894" i="1"/>
  <c r="BT889" i="1"/>
  <c r="BT884" i="1"/>
  <c r="BT879" i="1"/>
  <c r="BT874" i="1"/>
  <c r="BT259" i="1"/>
  <c r="BT184" i="1"/>
  <c r="BT158" i="1"/>
  <c r="BT123" i="1"/>
  <c r="BT113" i="1"/>
  <c r="BT88" i="1"/>
  <c r="BT78" i="1"/>
  <c r="BU788" i="1"/>
  <c r="BU413" i="1"/>
  <c r="BW538" i="1"/>
  <c r="BW533" i="1"/>
  <c r="BW548" i="1"/>
  <c r="BW523" i="1"/>
  <c r="BW543" i="1"/>
  <c r="BW553" i="1"/>
  <c r="BW558" i="1"/>
  <c r="BW513" i="1"/>
  <c r="BU518" i="1" l="1"/>
  <c r="BW403" i="1" l="1"/>
  <c r="BW643" i="1"/>
  <c r="BU643" i="1"/>
  <c r="BW843" i="1"/>
  <c r="BW803" i="1"/>
  <c r="BW888" i="1"/>
  <c r="BW485" i="1" l="1"/>
  <c r="BU853" i="1" l="1"/>
  <c r="BU848" i="1"/>
  <c r="BU758" i="1"/>
  <c r="BU648" i="1" l="1"/>
  <c r="BU743" i="1"/>
  <c r="BU838" i="1"/>
  <c r="BU858" i="1" l="1"/>
  <c r="BC785" i="1" l="1"/>
  <c r="BD784" i="1" s="1"/>
  <c r="BC780" i="1"/>
  <c r="BD779" i="1" s="1"/>
  <c r="BC775" i="1"/>
  <c r="BD774" i="1" s="1"/>
  <c r="BE800" i="1"/>
  <c r="BF799" i="1" s="1"/>
  <c r="BE795" i="1"/>
  <c r="BF794" i="1" s="1"/>
  <c r="BX464" i="1"/>
  <c r="BX259" i="1"/>
  <c r="BX184" i="1"/>
  <c r="BX158" i="1"/>
  <c r="BX123" i="1"/>
  <c r="BX113" i="1"/>
  <c r="BX88" i="1"/>
  <c r="BX78" i="1"/>
  <c r="BV894" i="1"/>
  <c r="BV259" i="1"/>
  <c r="BV184" i="1"/>
  <c r="BV158" i="1"/>
  <c r="BV123" i="1"/>
  <c r="BV113" i="1"/>
  <c r="BV88" i="1"/>
  <c r="BV78" i="1"/>
  <c r="AY894" i="1"/>
  <c r="AY889" i="1"/>
  <c r="AY884" i="1"/>
  <c r="AY879" i="1"/>
  <c r="AY874" i="1"/>
  <c r="AY869" i="1"/>
  <c r="AY864" i="1"/>
  <c r="AY859" i="1"/>
  <c r="AY854" i="1"/>
  <c r="AY849" i="1"/>
  <c r="AY844" i="1"/>
  <c r="AY839" i="1"/>
  <c r="AY834" i="1"/>
  <c r="AY829" i="1"/>
  <c r="AY824" i="1"/>
  <c r="AY819" i="1"/>
  <c r="AY809" i="1"/>
  <c r="AY804" i="1"/>
  <c r="AY799" i="1"/>
  <c r="AY794" i="1"/>
  <c r="AY789" i="1"/>
  <c r="AY784" i="1"/>
  <c r="AY779" i="1"/>
  <c r="AY774" i="1"/>
  <c r="AY769" i="1"/>
  <c r="AY764" i="1"/>
  <c r="AY759" i="1"/>
  <c r="AY754" i="1"/>
  <c r="AY749" i="1"/>
  <c r="AY744" i="1"/>
  <c r="AY739" i="1"/>
  <c r="AY724" i="1"/>
  <c r="AY719" i="1"/>
  <c r="AY259" i="1"/>
  <c r="AY184" i="1"/>
  <c r="AY158" i="1"/>
  <c r="AY123" i="1"/>
  <c r="AY113" i="1"/>
  <c r="AY88" i="1"/>
  <c r="AW894" i="1"/>
  <c r="AW889" i="1"/>
  <c r="AW884" i="1"/>
  <c r="AW879" i="1"/>
  <c r="AW874" i="1"/>
  <c r="AW869" i="1"/>
  <c r="AW864" i="1"/>
  <c r="AW859" i="1"/>
  <c r="AW854" i="1"/>
  <c r="AW849" i="1"/>
  <c r="AW844" i="1"/>
  <c r="AW839" i="1"/>
  <c r="AW834" i="1"/>
  <c r="AW829" i="1"/>
  <c r="AW824" i="1"/>
  <c r="AW819" i="1"/>
  <c r="AW809" i="1"/>
  <c r="AW804" i="1"/>
  <c r="AW799" i="1"/>
  <c r="AW794" i="1"/>
  <c r="AW789" i="1"/>
  <c r="AW784" i="1"/>
  <c r="AW779" i="1"/>
  <c r="AW774" i="1"/>
  <c r="AW769" i="1"/>
  <c r="AW764" i="1"/>
  <c r="AW759" i="1"/>
  <c r="AW754" i="1"/>
  <c r="AW749" i="1"/>
  <c r="AW744" i="1"/>
  <c r="AW739" i="1"/>
  <c r="AW724" i="1"/>
  <c r="AW719" i="1"/>
  <c r="AW259" i="1"/>
  <c r="AW158" i="1"/>
  <c r="AW113" i="1"/>
  <c r="AW88" i="1"/>
  <c r="AU894" i="1"/>
  <c r="AU889" i="1"/>
  <c r="AU884" i="1"/>
  <c r="AU879" i="1"/>
  <c r="AU874" i="1"/>
  <c r="AU869" i="1"/>
  <c r="AU864" i="1"/>
  <c r="AU859" i="1"/>
  <c r="AU854" i="1"/>
  <c r="AU849" i="1"/>
  <c r="AU844" i="1"/>
  <c r="AU839" i="1"/>
  <c r="AU834" i="1"/>
  <c r="AU829" i="1"/>
  <c r="AU824" i="1"/>
  <c r="AU819" i="1"/>
  <c r="AU809" i="1"/>
  <c r="AU804" i="1"/>
  <c r="AU799" i="1"/>
  <c r="AU794" i="1"/>
  <c r="AU789" i="1"/>
  <c r="AU784" i="1"/>
  <c r="AU779" i="1"/>
  <c r="AU774" i="1"/>
  <c r="AU769" i="1"/>
  <c r="AU764" i="1"/>
  <c r="AU759" i="1"/>
  <c r="AU754" i="1"/>
  <c r="AU749" i="1"/>
  <c r="AU744" i="1"/>
  <c r="AU739" i="1"/>
  <c r="AU724" i="1"/>
  <c r="AU719" i="1"/>
  <c r="AU714" i="1"/>
  <c r="AU709" i="1"/>
  <c r="AU704" i="1"/>
  <c r="AU699" i="1"/>
  <c r="AU694" i="1"/>
  <c r="AU689" i="1"/>
  <c r="AV489" i="1"/>
  <c r="AV3" i="1" s="1"/>
  <c r="AU68" i="1"/>
  <c r="AU113" i="1"/>
  <c r="BU3" i="1"/>
  <c r="BS3" i="1"/>
  <c r="BQ3" i="1"/>
  <c r="BO3" i="1"/>
  <c r="BM3" i="1"/>
  <c r="BK3" i="1"/>
  <c r="BI3" i="1"/>
  <c r="BG3" i="1"/>
  <c r="BE3" i="1"/>
  <c r="BC3" i="1"/>
  <c r="AT3" i="1"/>
  <c r="BQ393" i="1"/>
  <c r="BU763" i="1"/>
  <c r="BU573" i="1"/>
  <c r="BU368" i="1"/>
  <c r="BU653" i="1"/>
  <c r="BU393" i="1"/>
  <c r="BU823" i="1"/>
  <c r="BU598" i="1"/>
  <c r="BU353" i="1"/>
  <c r="BU428" i="1"/>
  <c r="BU478" i="1"/>
  <c r="BU738" i="1"/>
  <c r="BU703" i="1"/>
  <c r="BU613" i="1"/>
  <c r="BU668" i="1"/>
  <c r="BU773" i="1"/>
  <c r="BU698" i="1"/>
  <c r="BU723" i="1"/>
  <c r="BU798" i="1"/>
  <c r="BU458" i="1" l="1"/>
  <c r="BU638" i="1"/>
  <c r="BU603" i="1"/>
  <c r="BU618" i="1"/>
  <c r="BU778" i="1"/>
  <c r="BU693" i="1"/>
  <c r="BU348" i="1"/>
  <c r="BU658" i="1"/>
  <c r="BU633" i="1"/>
  <c r="BU748" i="1"/>
  <c r="BU583" i="1"/>
  <c r="BU448" i="1"/>
  <c r="BU863" i="1"/>
  <c r="BU423" i="1"/>
  <c r="BU463" i="1"/>
  <c r="BV464" i="1" s="1"/>
  <c r="BU673" i="1"/>
  <c r="BU178" i="1"/>
  <c r="BU173" i="1"/>
  <c r="BU783" i="1"/>
  <c r="BU753" i="1"/>
  <c r="BU793" i="1"/>
  <c r="BU593" i="1"/>
  <c r="BW895" i="1"/>
  <c r="BX894" i="1" s="1"/>
  <c r="BW875" i="1"/>
  <c r="BX874" i="1" s="1"/>
  <c r="BW870" i="1"/>
  <c r="BX869" i="1" s="1"/>
  <c r="BW865" i="1"/>
  <c r="BX864" i="1" s="1"/>
  <c r="BW860" i="1"/>
  <c r="BX859" i="1" s="1"/>
  <c r="BW855" i="1"/>
  <c r="BX854" i="1" s="1"/>
  <c r="BW850" i="1"/>
  <c r="BX849" i="1" s="1"/>
  <c r="BW845" i="1"/>
  <c r="BX844" i="1" s="1"/>
  <c r="BW840" i="1"/>
  <c r="BX839" i="1" s="1"/>
  <c r="BW835" i="1"/>
  <c r="BX834" i="1" s="1"/>
  <c r="BW830" i="1"/>
  <c r="BX829" i="1" s="1"/>
  <c r="BW825" i="1"/>
  <c r="BX824" i="1" s="1"/>
  <c r="BW820" i="1"/>
  <c r="BX819" i="1" s="1"/>
  <c r="BW810" i="1"/>
  <c r="BX809" i="1" s="1"/>
  <c r="BW805" i="1"/>
  <c r="BX804" i="1" s="1"/>
  <c r="BW800" i="1"/>
  <c r="BX799" i="1" s="1"/>
  <c r="BW795" i="1"/>
  <c r="BX794" i="1" s="1"/>
  <c r="BW790" i="1"/>
  <c r="BX789" i="1" s="1"/>
  <c r="BW785" i="1"/>
  <c r="BX784" i="1" s="1"/>
  <c r="BW780" i="1"/>
  <c r="BX779" i="1" s="1"/>
  <c r="BW775" i="1"/>
  <c r="BX774" i="1" s="1"/>
  <c r="BW770" i="1"/>
  <c r="BX769" i="1" s="1"/>
  <c r="BW765" i="1"/>
  <c r="BX764" i="1" s="1"/>
  <c r="BW760" i="1"/>
  <c r="BX759" i="1" s="1"/>
  <c r="BW755" i="1"/>
  <c r="BX754" i="1" s="1"/>
  <c r="BW750" i="1"/>
  <c r="BX749" i="1" s="1"/>
  <c r="BW745" i="1"/>
  <c r="BX744" i="1" s="1"/>
  <c r="BW740" i="1"/>
  <c r="BX739" i="1" s="1"/>
  <c r="BW725" i="1"/>
  <c r="BX724" i="1" s="1"/>
  <c r="BW720" i="1"/>
  <c r="BX719" i="1" s="1"/>
  <c r="BW715" i="1"/>
  <c r="BX714" i="1" s="1"/>
  <c r="BW710" i="1"/>
  <c r="BX709" i="1" s="1"/>
  <c r="BW705" i="1"/>
  <c r="BX704" i="1" s="1"/>
  <c r="BW700" i="1"/>
  <c r="BX699" i="1" s="1"/>
  <c r="BW695" i="1"/>
  <c r="BX694" i="1" s="1"/>
  <c r="BW690" i="1"/>
  <c r="BX689" i="1" s="1"/>
  <c r="BW685" i="1"/>
  <c r="BX684" i="1" s="1"/>
  <c r="BW680" i="1"/>
  <c r="BX679" i="1" s="1"/>
  <c r="BW675" i="1"/>
  <c r="BX674" i="1" s="1"/>
  <c r="BW670" i="1"/>
  <c r="BX669" i="1" s="1"/>
  <c r="BW660" i="1"/>
  <c r="BX659" i="1" s="1"/>
  <c r="BW655" i="1"/>
  <c r="BX654" i="1" s="1"/>
  <c r="BW650" i="1"/>
  <c r="BX649" i="1" s="1"/>
  <c r="BW645" i="1"/>
  <c r="BX644" i="1" s="1"/>
  <c r="BW640" i="1"/>
  <c r="BX639" i="1" s="1"/>
  <c r="BW635" i="1"/>
  <c r="BX634" i="1" s="1"/>
  <c r="BW630" i="1"/>
  <c r="BX629" i="1" s="1"/>
  <c r="BW625" i="1"/>
  <c r="BX624" i="1" s="1"/>
  <c r="BW620" i="1"/>
  <c r="BX619" i="1" s="1"/>
  <c r="BW615" i="1"/>
  <c r="BX614" i="1" s="1"/>
  <c r="BW610" i="1"/>
  <c r="BX609" i="1" s="1"/>
  <c r="BW605" i="1"/>
  <c r="BX604" i="1" s="1"/>
  <c r="BW600" i="1"/>
  <c r="BX599" i="1" s="1"/>
  <c r="BW595" i="1"/>
  <c r="BX594" i="1" s="1"/>
  <c r="BW590" i="1"/>
  <c r="BX589" i="1" s="1"/>
  <c r="BW585" i="1"/>
  <c r="BX584" i="1" s="1"/>
  <c r="BW580" i="1"/>
  <c r="BX579" i="1" s="1"/>
  <c r="BW575" i="1"/>
  <c r="BX574" i="1" s="1"/>
  <c r="BW570" i="1"/>
  <c r="BX569" i="1" s="1"/>
  <c r="BW565" i="1"/>
  <c r="BX564" i="1" s="1"/>
  <c r="BW560" i="1"/>
  <c r="BX559" i="1" s="1"/>
  <c r="BW555" i="1"/>
  <c r="BX554" i="1" s="1"/>
  <c r="BW550" i="1"/>
  <c r="BX549" i="1" s="1"/>
  <c r="BW545" i="1"/>
  <c r="BX544" i="1" s="1"/>
  <c r="BW540" i="1"/>
  <c r="BX539" i="1" s="1"/>
  <c r="BW535" i="1"/>
  <c r="BX534" i="1" s="1"/>
  <c r="BW530" i="1"/>
  <c r="BX529" i="1" s="1"/>
  <c r="BW525" i="1"/>
  <c r="BX524" i="1" s="1"/>
  <c r="BW520" i="1"/>
  <c r="BX519" i="1" s="1"/>
  <c r="BW515" i="1"/>
  <c r="BX514" i="1" s="1"/>
  <c r="BW510" i="1"/>
  <c r="BX509" i="1" s="1"/>
  <c r="BW505" i="1"/>
  <c r="BX504" i="1" s="1"/>
  <c r="BW500" i="1"/>
  <c r="BX499" i="1" s="1"/>
  <c r="BW495" i="1"/>
  <c r="BW490" i="1"/>
  <c r="BW480" i="1"/>
  <c r="BX479" i="1" s="1"/>
  <c r="BW475" i="1"/>
  <c r="BX474" i="1" s="1"/>
  <c r="BW470" i="1"/>
  <c r="BX469" i="1" s="1"/>
  <c r="BW465" i="1"/>
  <c r="BW460" i="1"/>
  <c r="BX459" i="1" s="1"/>
  <c r="BW455" i="1"/>
  <c r="BX454" i="1" s="1"/>
  <c r="BW450" i="1"/>
  <c r="BX449" i="1" s="1"/>
  <c r="BW445" i="1"/>
  <c r="BX444" i="1" s="1"/>
  <c r="BW440" i="1"/>
  <c r="BX439" i="1" s="1"/>
  <c r="BW435" i="1"/>
  <c r="BX434" i="1" s="1"/>
  <c r="BW430" i="1"/>
  <c r="BX429" i="1" s="1"/>
  <c r="BW425" i="1"/>
  <c r="BX424" i="1" s="1"/>
  <c r="BW420" i="1"/>
  <c r="BX419" i="1" s="1"/>
  <c r="BW415" i="1"/>
  <c r="BX414" i="1" s="1"/>
  <c r="BW410" i="1"/>
  <c r="BX409" i="1" s="1"/>
  <c r="BW405" i="1"/>
  <c r="BX404" i="1" s="1"/>
  <c r="BW400" i="1"/>
  <c r="BX399" i="1" s="1"/>
  <c r="BW395" i="1"/>
  <c r="BX394" i="1" s="1"/>
  <c r="BW390" i="1"/>
  <c r="BX389" i="1" s="1"/>
  <c r="BW385" i="1"/>
  <c r="BX384" i="1" s="1"/>
  <c r="BW380" i="1"/>
  <c r="BX379" i="1" s="1"/>
  <c r="BW375" i="1"/>
  <c r="BX374" i="1" s="1"/>
  <c r="BW370" i="1"/>
  <c r="BX369" i="1" s="1"/>
  <c r="BW365" i="1"/>
  <c r="BX364" i="1" s="1"/>
  <c r="BW360" i="1"/>
  <c r="BX359" i="1" s="1"/>
  <c r="BW355" i="1"/>
  <c r="BX354" i="1" s="1"/>
  <c r="BW350" i="1"/>
  <c r="BX349" i="1" s="1"/>
  <c r="BW345" i="1"/>
  <c r="BX344" i="1" s="1"/>
  <c r="BW340" i="1"/>
  <c r="BX339" i="1" s="1"/>
  <c r="BW335" i="1"/>
  <c r="BX334" i="1" s="1"/>
  <c r="BW330" i="1"/>
  <c r="BX329" i="1" s="1"/>
  <c r="BW325" i="1"/>
  <c r="BX324" i="1" s="1"/>
  <c r="BW320" i="1"/>
  <c r="BX319" i="1" s="1"/>
  <c r="BW315" i="1"/>
  <c r="BX314" i="1" s="1"/>
  <c r="BW310" i="1"/>
  <c r="BX309" i="1" s="1"/>
  <c r="BW305" i="1"/>
  <c r="BX304" i="1" s="1"/>
  <c r="BW300" i="1"/>
  <c r="BX299" i="1" s="1"/>
  <c r="BW295" i="1"/>
  <c r="BX294" i="1" s="1"/>
  <c r="BW290" i="1"/>
  <c r="BX289" i="1" s="1"/>
  <c r="BW285" i="1"/>
  <c r="BX284" i="1" s="1"/>
  <c r="BW280" i="1"/>
  <c r="BX279" i="1" s="1"/>
  <c r="BW275" i="1"/>
  <c r="BX274" i="1" s="1"/>
  <c r="BW270" i="1"/>
  <c r="BX269" i="1" s="1"/>
  <c r="BW265" i="1"/>
  <c r="BX264" i="1" s="1"/>
  <c r="BW255" i="1"/>
  <c r="BX254" i="1" s="1"/>
  <c r="BW250" i="1"/>
  <c r="BX249" i="1" s="1"/>
  <c r="BW245" i="1"/>
  <c r="BX244" i="1" s="1"/>
  <c r="BW240" i="1"/>
  <c r="BX239" i="1" s="1"/>
  <c r="BW235" i="1"/>
  <c r="BX234" i="1" s="1"/>
  <c r="BW230" i="1"/>
  <c r="BX229" i="1" s="1"/>
  <c r="BW225" i="1"/>
  <c r="BX224" i="1" s="1"/>
  <c r="BW220" i="1"/>
  <c r="BX219" i="1" s="1"/>
  <c r="BW215" i="1"/>
  <c r="BX214" i="1" s="1"/>
  <c r="BW210" i="1"/>
  <c r="BX209" i="1" s="1"/>
  <c r="BW205" i="1"/>
  <c r="BX204" i="1" s="1"/>
  <c r="BW200" i="1"/>
  <c r="BX199" i="1" s="1"/>
  <c r="BW195" i="1"/>
  <c r="BX194" i="1" s="1"/>
  <c r="BW190" i="1"/>
  <c r="BX189" i="1" s="1"/>
  <c r="BW180" i="1"/>
  <c r="BX179" i="1" s="1"/>
  <c r="BW175" i="1"/>
  <c r="BX174" i="1" s="1"/>
  <c r="BW134" i="1"/>
  <c r="BX133" i="1" s="1"/>
  <c r="BW129" i="1"/>
  <c r="BX128" i="1" s="1"/>
  <c r="BW109" i="1"/>
  <c r="BX108" i="1" s="1"/>
  <c r="BW104" i="1"/>
  <c r="BX103" i="1" s="1"/>
  <c r="BW99" i="1"/>
  <c r="BX98" i="1" s="1"/>
  <c r="BW74" i="1"/>
  <c r="BX73" i="1" s="1"/>
  <c r="BW69" i="1"/>
  <c r="BX68" i="1" s="1"/>
  <c r="BW59" i="1"/>
  <c r="BX58" i="1" s="1"/>
  <c r="BW64" i="1"/>
  <c r="BX63" i="1" s="1"/>
  <c r="BW54" i="1"/>
  <c r="BX53" i="1" s="1"/>
  <c r="BW49" i="1"/>
  <c r="BX48" i="1" s="1"/>
  <c r="BW44" i="1"/>
  <c r="BX43" i="1" s="1"/>
  <c r="BW39" i="1"/>
  <c r="BX38" i="1" s="1"/>
  <c r="BW34" i="1"/>
  <c r="BX33" i="1" s="1"/>
  <c r="BW29" i="1"/>
  <c r="BX28" i="1" s="1"/>
  <c r="BW24" i="1"/>
  <c r="BX23" i="1" s="1"/>
  <c r="BW19" i="1"/>
  <c r="BX18" i="1" s="1"/>
  <c r="BW14" i="1"/>
  <c r="BX13" i="1" s="1"/>
  <c r="BW9" i="1"/>
  <c r="BX8" i="1" s="1"/>
  <c r="BU768" i="1" l="1"/>
  <c r="BW2" i="1" l="1"/>
  <c r="BU453" i="1"/>
  <c r="BU818" i="1"/>
  <c r="BU873" i="1"/>
  <c r="BU828" i="1"/>
  <c r="BU233" i="1"/>
  <c r="BU623" i="1"/>
  <c r="BU563" i="1"/>
  <c r="BU568" i="1"/>
  <c r="BW880" i="1" l="1"/>
  <c r="BX879" i="1" s="1"/>
  <c r="BW890" i="1"/>
  <c r="BX889" i="1" s="1"/>
  <c r="BW885" i="1"/>
  <c r="BX884" i="1" s="1"/>
  <c r="BU890" i="1"/>
  <c r="BV889" i="1" s="1"/>
  <c r="BU885" i="1"/>
  <c r="BV884" i="1" s="1"/>
  <c r="BU880" i="1"/>
  <c r="BV879" i="1" s="1"/>
  <c r="BU875" i="1"/>
  <c r="BV874" i="1" s="1"/>
  <c r="BU870" i="1"/>
  <c r="BV869" i="1" s="1"/>
  <c r="BU865" i="1"/>
  <c r="BV864" i="1" s="1"/>
  <c r="BU860" i="1"/>
  <c r="BV859" i="1" s="1"/>
  <c r="BU855" i="1"/>
  <c r="BV854" i="1" s="1"/>
  <c r="BU850" i="1"/>
  <c r="BV849" i="1" s="1"/>
  <c r="BU843" i="1"/>
  <c r="BU845" i="1" s="1"/>
  <c r="BV844" i="1" s="1"/>
  <c r="BU840" i="1"/>
  <c r="BV839" i="1" s="1"/>
  <c r="BU835" i="1"/>
  <c r="BV834" i="1" s="1"/>
  <c r="BU830" i="1"/>
  <c r="BV829" i="1" s="1"/>
  <c r="BU825" i="1"/>
  <c r="BV824" i="1" s="1"/>
  <c r="BU820" i="1"/>
  <c r="BV819" i="1" s="1"/>
  <c r="BU808" i="1"/>
  <c r="BU2" i="1" s="1"/>
  <c r="BU4" i="1" s="1"/>
  <c r="BV3" i="1" s="1"/>
  <c r="BU803" i="1"/>
  <c r="BU805" i="1" s="1"/>
  <c r="BV804" i="1" s="1"/>
  <c r="BU800" i="1"/>
  <c r="BV799" i="1" s="1"/>
  <c r="BU795" i="1"/>
  <c r="BV794" i="1" s="1"/>
  <c r="BU790" i="1"/>
  <c r="BV789" i="1" s="1"/>
  <c r="BU785" i="1"/>
  <c r="BV784" i="1" s="1"/>
  <c r="BU780" i="1"/>
  <c r="BV779" i="1" s="1"/>
  <c r="BU775" i="1"/>
  <c r="BV774" i="1" s="1"/>
  <c r="BU770" i="1"/>
  <c r="BV769" i="1" s="1"/>
  <c r="BU765" i="1"/>
  <c r="BV764" i="1" s="1"/>
  <c r="BU760" i="1"/>
  <c r="BV759" i="1" s="1"/>
  <c r="BU755" i="1"/>
  <c r="BV754" i="1" s="1"/>
  <c r="BU750" i="1"/>
  <c r="BV749" i="1" s="1"/>
  <c r="BU745" i="1"/>
  <c r="BV744" i="1" s="1"/>
  <c r="BU740" i="1"/>
  <c r="BV739" i="1" s="1"/>
  <c r="BU735" i="1"/>
  <c r="BU725" i="1"/>
  <c r="BV724" i="1" s="1"/>
  <c r="BU720" i="1"/>
  <c r="BV719" i="1" s="1"/>
  <c r="BU715" i="1"/>
  <c r="BV714" i="1" s="1"/>
  <c r="BU710" i="1"/>
  <c r="BV709" i="1" s="1"/>
  <c r="BU705" i="1"/>
  <c r="BV704" i="1" s="1"/>
  <c r="BU700" i="1"/>
  <c r="BV699" i="1" s="1"/>
  <c r="BU695" i="1"/>
  <c r="BV694" i="1" s="1"/>
  <c r="BU690" i="1"/>
  <c r="BV689" i="1" s="1"/>
  <c r="BU683" i="1"/>
  <c r="BU685" i="1" s="1"/>
  <c r="BV684" i="1" s="1"/>
  <c r="BU680" i="1"/>
  <c r="BV679" i="1" s="1"/>
  <c r="BU675" i="1"/>
  <c r="BV674" i="1" s="1"/>
  <c r="BU670" i="1"/>
  <c r="BV669" i="1" s="1"/>
  <c r="BU665" i="1"/>
  <c r="BU660" i="1"/>
  <c r="BV659" i="1" s="1"/>
  <c r="BU655" i="1"/>
  <c r="BV654" i="1" s="1"/>
  <c r="BU650" i="1"/>
  <c r="BV649" i="1" s="1"/>
  <c r="BU645" i="1"/>
  <c r="BV644" i="1" s="1"/>
  <c r="BU640" i="1"/>
  <c r="BV639" i="1" s="1"/>
  <c r="BU635" i="1"/>
  <c r="BV634" i="1" s="1"/>
  <c r="BU630" i="1"/>
  <c r="BV629" i="1" s="1"/>
  <c r="BU625" i="1"/>
  <c r="BV624" i="1" s="1"/>
  <c r="BU620" i="1"/>
  <c r="BV619" i="1" s="1"/>
  <c r="BU615" i="1"/>
  <c r="BV614" i="1" s="1"/>
  <c r="BU610" i="1"/>
  <c r="BV609" i="1" s="1"/>
  <c r="BU605" i="1"/>
  <c r="BV604" i="1" s="1"/>
  <c r="BU600" i="1"/>
  <c r="BV599" i="1" s="1"/>
  <c r="BU595" i="1"/>
  <c r="BV594" i="1" s="1"/>
  <c r="BU590" i="1"/>
  <c r="BV589" i="1" s="1"/>
  <c r="BU585" i="1"/>
  <c r="BV584" i="1" s="1"/>
  <c r="BU580" i="1"/>
  <c r="BV579" i="1" s="1"/>
  <c r="BU575" i="1"/>
  <c r="BV574" i="1" s="1"/>
  <c r="BU570" i="1"/>
  <c r="BV569" i="1" s="1"/>
  <c r="BU565" i="1"/>
  <c r="BV564" i="1" s="1"/>
  <c r="BU558" i="1"/>
  <c r="BU560" i="1" s="1"/>
  <c r="BV559" i="1" s="1"/>
  <c r="BU553" i="1"/>
  <c r="BU555" i="1" s="1"/>
  <c r="BV554" i="1" s="1"/>
  <c r="BU548" i="1"/>
  <c r="BU550" i="1" s="1"/>
  <c r="BV549" i="1" s="1"/>
  <c r="BU543" i="1"/>
  <c r="BU545" i="1" s="1"/>
  <c r="BV544" i="1" s="1"/>
  <c r="BU538" i="1"/>
  <c r="BU540" i="1" s="1"/>
  <c r="BV539" i="1" s="1"/>
  <c r="BU533" i="1"/>
  <c r="BU535" i="1" s="1"/>
  <c r="BV534" i="1" s="1"/>
  <c r="BU528" i="1"/>
  <c r="BU530" i="1" s="1"/>
  <c r="BV529" i="1" s="1"/>
  <c r="BU523" i="1"/>
  <c r="BU525" i="1" s="1"/>
  <c r="BV524" i="1" s="1"/>
  <c r="BU520" i="1"/>
  <c r="BV519" i="1" s="1"/>
  <c r="BU513" i="1"/>
  <c r="BU515" i="1" s="1"/>
  <c r="BV514" i="1" s="1"/>
  <c r="BU508" i="1"/>
  <c r="BU510" i="1" s="1"/>
  <c r="BV509" i="1" s="1"/>
  <c r="BU503" i="1"/>
  <c r="BU500" i="1"/>
  <c r="BV499" i="1" s="1"/>
  <c r="BU495" i="1"/>
  <c r="BV494" i="1" s="1"/>
  <c r="BU490" i="1"/>
  <c r="BV489" i="1" s="1"/>
  <c r="BU485" i="1"/>
  <c r="BV484" i="1" s="1"/>
  <c r="BU480" i="1"/>
  <c r="BV479" i="1" s="1"/>
  <c r="BU475" i="1"/>
  <c r="BV474" i="1" s="1"/>
  <c r="BU470" i="1"/>
  <c r="BV469" i="1" s="1"/>
  <c r="BU465" i="1"/>
  <c r="BU460" i="1"/>
  <c r="BV459" i="1" s="1"/>
  <c r="BU455" i="1"/>
  <c r="BV454" i="1" s="1"/>
  <c r="BU450" i="1"/>
  <c r="BV449" i="1" s="1"/>
  <c r="BU445" i="1"/>
  <c r="BV444" i="1" s="1"/>
  <c r="BU440" i="1"/>
  <c r="BV439" i="1" s="1"/>
  <c r="BU435" i="1"/>
  <c r="BV434" i="1" s="1"/>
  <c r="BU430" i="1"/>
  <c r="BV429" i="1" s="1"/>
  <c r="BU425" i="1"/>
  <c r="BV424" i="1" s="1"/>
  <c r="BU420" i="1"/>
  <c r="BV419" i="1" s="1"/>
  <c r="BU415" i="1"/>
  <c r="BV414" i="1" s="1"/>
  <c r="BU410" i="1"/>
  <c r="BV409" i="1" s="1"/>
  <c r="BU405" i="1"/>
  <c r="BV404" i="1" s="1"/>
  <c r="BU400" i="1"/>
  <c r="BV399" i="1" s="1"/>
  <c r="BU395" i="1"/>
  <c r="BV394" i="1" s="1"/>
  <c r="BU390" i="1"/>
  <c r="BV389" i="1" s="1"/>
  <c r="BU385" i="1"/>
  <c r="BV384" i="1" s="1"/>
  <c r="BU380" i="1"/>
  <c r="BV379" i="1" s="1"/>
  <c r="BU375" i="1"/>
  <c r="BV374" i="1" s="1"/>
  <c r="BU370" i="1"/>
  <c r="BV369" i="1" s="1"/>
  <c r="BU365" i="1"/>
  <c r="BV364" i="1" s="1"/>
  <c r="BU360" i="1"/>
  <c r="BV359" i="1" s="1"/>
  <c r="BU355" i="1"/>
  <c r="BV354" i="1" s="1"/>
  <c r="BU350" i="1"/>
  <c r="BV349" i="1" s="1"/>
  <c r="BU345" i="1"/>
  <c r="BV344" i="1" s="1"/>
  <c r="BU340" i="1"/>
  <c r="BV339" i="1" s="1"/>
  <c r="BU335" i="1"/>
  <c r="BV334" i="1" s="1"/>
  <c r="BU330" i="1"/>
  <c r="BV329" i="1" s="1"/>
  <c r="BU325" i="1"/>
  <c r="BV324" i="1" s="1"/>
  <c r="BU320" i="1"/>
  <c r="BV319" i="1" s="1"/>
  <c r="BU315" i="1"/>
  <c r="BV314" i="1" s="1"/>
  <c r="BU310" i="1"/>
  <c r="BV309" i="1" s="1"/>
  <c r="BU305" i="1"/>
  <c r="BV304" i="1" s="1"/>
  <c r="BU300" i="1"/>
  <c r="BV299" i="1" s="1"/>
  <c r="BU295" i="1"/>
  <c r="BV294" i="1" s="1"/>
  <c r="BU290" i="1"/>
  <c r="BV289" i="1" s="1"/>
  <c r="BU285" i="1"/>
  <c r="BV284" i="1" s="1"/>
  <c r="BU280" i="1"/>
  <c r="BV279" i="1" s="1"/>
  <c r="BU275" i="1"/>
  <c r="BV274" i="1" s="1"/>
  <c r="BU270" i="1"/>
  <c r="BV269" i="1" s="1"/>
  <c r="BU265" i="1"/>
  <c r="BV264" i="1" s="1"/>
  <c r="BU255" i="1"/>
  <c r="BV254" i="1" s="1"/>
  <c r="BU250" i="1"/>
  <c r="BV249" i="1" s="1"/>
  <c r="BU245" i="1"/>
  <c r="BV244" i="1" s="1"/>
  <c r="BU240" i="1"/>
  <c r="BV239" i="1" s="1"/>
  <c r="BU235" i="1"/>
  <c r="BV234" i="1" s="1"/>
  <c r="BU230" i="1"/>
  <c r="BV229" i="1" s="1"/>
  <c r="BU225" i="1"/>
  <c r="BV224" i="1" s="1"/>
  <c r="BU220" i="1"/>
  <c r="BV219" i="1" s="1"/>
  <c r="BU215" i="1"/>
  <c r="BV214" i="1" s="1"/>
  <c r="BU210" i="1"/>
  <c r="BV209" i="1" s="1"/>
  <c r="BU205" i="1"/>
  <c r="BV204" i="1" s="1"/>
  <c r="BU200" i="1"/>
  <c r="BV199" i="1" s="1"/>
  <c r="BU195" i="1"/>
  <c r="BV194" i="1" s="1"/>
  <c r="BU190" i="1"/>
  <c r="BV189" i="1" s="1"/>
  <c r="BU180" i="1"/>
  <c r="BV179" i="1" s="1"/>
  <c r="BU175" i="1"/>
  <c r="BV174" i="1" s="1"/>
  <c r="BU134" i="1"/>
  <c r="BV133" i="1" s="1"/>
  <c r="BU129" i="1"/>
  <c r="BV128" i="1" s="1"/>
  <c r="BU109" i="1"/>
  <c r="BV108" i="1" s="1"/>
  <c r="BU104" i="1"/>
  <c r="BV103" i="1" s="1"/>
  <c r="BU99" i="1"/>
  <c r="BV98" i="1" s="1"/>
  <c r="BU74" i="1"/>
  <c r="BV73" i="1" s="1"/>
  <c r="BU69" i="1"/>
  <c r="BV68" i="1" s="1"/>
  <c r="BU64" i="1"/>
  <c r="BV63" i="1" s="1"/>
  <c r="BU59" i="1"/>
  <c r="BV58" i="1" s="1"/>
  <c r="BU54" i="1"/>
  <c r="BV53" i="1" s="1"/>
  <c r="BU49" i="1"/>
  <c r="BV48" i="1" s="1"/>
  <c r="BU44" i="1"/>
  <c r="BV43" i="1" s="1"/>
  <c r="BU39" i="1"/>
  <c r="BV38" i="1" s="1"/>
  <c r="BU34" i="1"/>
  <c r="BV33" i="1" s="1"/>
  <c r="BU29" i="1"/>
  <c r="BV28" i="1" s="1"/>
  <c r="BU24" i="1"/>
  <c r="BV23" i="1" s="1"/>
  <c r="BU19" i="1"/>
  <c r="BV18" i="1" s="1"/>
  <c r="BU14" i="1"/>
  <c r="BV13" i="1" s="1"/>
  <c r="BU9" i="1"/>
  <c r="BV8" i="1" s="1"/>
  <c r="BS485" i="1"/>
  <c r="BT484" i="1" s="1"/>
  <c r="BW4" i="1" l="1"/>
  <c r="BX3" i="1" s="1"/>
  <c r="BU810" i="1"/>
  <c r="BV809" i="1" s="1"/>
  <c r="BU505" i="1"/>
  <c r="BV504" i="1" s="1"/>
  <c r="BS318" i="1"/>
  <c r="BS788" i="1"/>
  <c r="X1" i="7"/>
  <c r="W1" i="7"/>
  <c r="BS573" i="1"/>
  <c r="BS368" i="1"/>
  <c r="BS853" i="1"/>
  <c r="BS758" i="1"/>
  <c r="BS753" i="1"/>
  <c r="BS703" i="1"/>
  <c r="BS798" i="1"/>
  <c r="BS693" i="1"/>
  <c r="BS833" i="1"/>
  <c r="BS698" i="1"/>
  <c r="BS648" i="1"/>
  <c r="BS743" i="1"/>
  <c r="BS848" i="1"/>
  <c r="U1" i="7"/>
  <c r="BS478" i="1" l="1"/>
  <c r="BS653" i="1" l="1"/>
  <c r="BS778" i="1"/>
  <c r="BS658" i="1"/>
  <c r="BS178" i="1"/>
  <c r="BS583" i="1"/>
  <c r="BS673" i="1"/>
  <c r="BS638" i="1"/>
  <c r="BS723" i="1" l="1"/>
  <c r="BS668" i="1"/>
  <c r="BS393" i="1"/>
  <c r="BS823" i="1"/>
  <c r="BS423" i="1"/>
  <c r="BS425" i="1" s="1"/>
  <c r="BT424" i="1" s="1"/>
  <c r="BS623" i="1"/>
  <c r="BS625" i="1" s="1"/>
  <c r="BT624" i="1" s="1"/>
  <c r="BS818" i="1"/>
  <c r="BS763" i="1"/>
  <c r="BS768" i="1"/>
  <c r="BS828" i="1"/>
  <c r="BS503" i="1"/>
  <c r="BQ503" i="1"/>
  <c r="BA503" i="1"/>
  <c r="BS233" i="1"/>
  <c r="BO563" i="1"/>
  <c r="BM563" i="1"/>
  <c r="BS748" i="1"/>
  <c r="BS738" i="1"/>
  <c r="BS173" i="1"/>
  <c r="BS413" i="1"/>
  <c r="BS463" i="1"/>
  <c r="BT464" i="1" s="1"/>
  <c r="BS633" i="1"/>
  <c r="BS635" i="1" s="1"/>
  <c r="BT634" i="1" s="1"/>
  <c r="BS458" i="1"/>
  <c r="BS460" i="1" s="1"/>
  <c r="BT459" i="1" s="1"/>
  <c r="BS773" i="1"/>
  <c r="BS793" i="1"/>
  <c r="BS348" i="1"/>
  <c r="BS598" i="1"/>
  <c r="BS600" i="1" s="1"/>
  <c r="BT599" i="1" s="1"/>
  <c r="BS863" i="1"/>
  <c r="BS448" i="1"/>
  <c r="BS783" i="1"/>
  <c r="BS785" i="1" s="1"/>
  <c r="BT784" i="1" s="1"/>
  <c r="BS603" i="1"/>
  <c r="BS605" i="1" s="1"/>
  <c r="BT604" i="1" s="1"/>
  <c r="BS353" i="1"/>
  <c r="BS858" i="1"/>
  <c r="BS618" i="1"/>
  <c r="BS613" i="1"/>
  <c r="BS615" i="1" s="1"/>
  <c r="BT614" i="1" s="1"/>
  <c r="BS428" i="1"/>
  <c r="H2" i="1"/>
  <c r="D3" i="1"/>
  <c r="F3" i="1"/>
  <c r="L3" i="1"/>
  <c r="T3" i="1"/>
  <c r="V3" i="1"/>
  <c r="V2" i="1"/>
  <c r="Z3" i="1"/>
  <c r="BQ623" i="1"/>
  <c r="BS593" i="1"/>
  <c r="BS595" i="1" s="1"/>
  <c r="BT594" i="1" s="1"/>
  <c r="BS680" i="1"/>
  <c r="BT679" i="1" s="1"/>
  <c r="BS808" i="1"/>
  <c r="BQ808" i="1"/>
  <c r="BO835" i="1"/>
  <c r="BP834" i="1" s="1"/>
  <c r="BO830" i="1"/>
  <c r="BP829" i="1" s="1"/>
  <c r="BQ845" i="1"/>
  <c r="BR844" i="1" s="1"/>
  <c r="BS518" i="1"/>
  <c r="BS315" i="1"/>
  <c r="BT314" i="1" s="1"/>
  <c r="BS870" i="1"/>
  <c r="BT869" i="1" s="1"/>
  <c r="BS865" i="1"/>
  <c r="BT864" i="1" s="1"/>
  <c r="BS860" i="1"/>
  <c r="BT859" i="1" s="1"/>
  <c r="BS855" i="1"/>
  <c r="BT854" i="1" s="1"/>
  <c r="BS850" i="1"/>
  <c r="BT849" i="1" s="1"/>
  <c r="BS845" i="1"/>
  <c r="BT844" i="1" s="1"/>
  <c r="BS835" i="1"/>
  <c r="BT834" i="1" s="1"/>
  <c r="BS830" i="1"/>
  <c r="BT829" i="1" s="1"/>
  <c r="BS825" i="1"/>
  <c r="BT824" i="1" s="1"/>
  <c r="BS820" i="1"/>
  <c r="BT819" i="1" s="1"/>
  <c r="BS815" i="1"/>
  <c r="BS800" i="1"/>
  <c r="BT799" i="1" s="1"/>
  <c r="BS795" i="1"/>
  <c r="BT794" i="1" s="1"/>
  <c r="BS790" i="1"/>
  <c r="BT789" i="1" s="1"/>
  <c r="BS780" i="1"/>
  <c r="BT779" i="1" s="1"/>
  <c r="BS770" i="1"/>
  <c r="BT769" i="1" s="1"/>
  <c r="BS760" i="1"/>
  <c r="BT759" i="1" s="1"/>
  <c r="BS755" i="1"/>
  <c r="BT754" i="1" s="1"/>
  <c r="BS750" i="1"/>
  <c r="BT749" i="1" s="1"/>
  <c r="BS745" i="1"/>
  <c r="BT744" i="1" s="1"/>
  <c r="BS740" i="1"/>
  <c r="BT739" i="1" s="1"/>
  <c r="BS735" i="1"/>
  <c r="BS730" i="1"/>
  <c r="BS725" i="1"/>
  <c r="BT724" i="1" s="1"/>
  <c r="BS720" i="1"/>
  <c r="BT719" i="1" s="1"/>
  <c r="BS715" i="1"/>
  <c r="BT714" i="1" s="1"/>
  <c r="BS710" i="1"/>
  <c r="BT709" i="1" s="1"/>
  <c r="BS705" i="1"/>
  <c r="BT704" i="1" s="1"/>
  <c r="BS700" i="1"/>
  <c r="BT699" i="1" s="1"/>
  <c r="BS695" i="1"/>
  <c r="BT694" i="1" s="1"/>
  <c r="BS690" i="1"/>
  <c r="BT689" i="1" s="1"/>
  <c r="BS675" i="1"/>
  <c r="BT674" i="1" s="1"/>
  <c r="BS670" i="1"/>
  <c r="BT669" i="1" s="1"/>
  <c r="BS660" i="1"/>
  <c r="BT659" i="1" s="1"/>
  <c r="BS655" i="1"/>
  <c r="BT654" i="1" s="1"/>
  <c r="BS650" i="1"/>
  <c r="BT649" i="1" s="1"/>
  <c r="BS640" i="1"/>
  <c r="BT639" i="1" s="1"/>
  <c r="BS630" i="1"/>
  <c r="BT629" i="1" s="1"/>
  <c r="BS620" i="1"/>
  <c r="BT619" i="1" s="1"/>
  <c r="BS610" i="1"/>
  <c r="BT609" i="1" s="1"/>
  <c r="BS590" i="1"/>
  <c r="BT589" i="1" s="1"/>
  <c r="BS585" i="1"/>
  <c r="BT584" i="1" s="1"/>
  <c r="BS580" i="1"/>
  <c r="BT579" i="1" s="1"/>
  <c r="BS575" i="1"/>
  <c r="BT574" i="1" s="1"/>
  <c r="BS520" i="1"/>
  <c r="BT519" i="1" s="1"/>
  <c r="BS505" i="1"/>
  <c r="BT504" i="1" s="1"/>
  <c r="BS500" i="1"/>
  <c r="BT499" i="1" s="1"/>
  <c r="BS490" i="1"/>
  <c r="BT489" i="1" s="1"/>
  <c r="BS480" i="1"/>
  <c r="BT479" i="1" s="1"/>
  <c r="BS475" i="1"/>
  <c r="BT474" i="1" s="1"/>
  <c r="BS470" i="1"/>
  <c r="BT469" i="1" s="1"/>
  <c r="BS445" i="1"/>
  <c r="BT444" i="1" s="1"/>
  <c r="BS440" i="1"/>
  <c r="BT439" i="1" s="1"/>
  <c r="BS435" i="1"/>
  <c r="BT434" i="1" s="1"/>
  <c r="BS430" i="1"/>
  <c r="BT429" i="1" s="1"/>
  <c r="BS420" i="1"/>
  <c r="BT419" i="1" s="1"/>
  <c r="BS415" i="1"/>
  <c r="BT414" i="1" s="1"/>
  <c r="BS410" i="1"/>
  <c r="BT409" i="1" s="1"/>
  <c r="BS400" i="1"/>
  <c r="BT399" i="1" s="1"/>
  <c r="BS395" i="1"/>
  <c r="BT394" i="1" s="1"/>
  <c r="BS390" i="1"/>
  <c r="BT389" i="1" s="1"/>
  <c r="BS385" i="1"/>
  <c r="BT384" i="1" s="1"/>
  <c r="BS380" i="1"/>
  <c r="BT379" i="1" s="1"/>
  <c r="BS375" i="1"/>
  <c r="BT374" i="1" s="1"/>
  <c r="BS370" i="1"/>
  <c r="BT369" i="1" s="1"/>
  <c r="BS365" i="1"/>
  <c r="BT364" i="1" s="1"/>
  <c r="BS360" i="1"/>
  <c r="BT359" i="1" s="1"/>
  <c r="BS355" i="1"/>
  <c r="BT354" i="1" s="1"/>
  <c r="BS350" i="1"/>
  <c r="BT349" i="1" s="1"/>
  <c r="BS345" i="1"/>
  <c r="BT344" i="1" s="1"/>
  <c r="BS340" i="1"/>
  <c r="BT339" i="1" s="1"/>
  <c r="BS335" i="1"/>
  <c r="BT334" i="1" s="1"/>
  <c r="BS330" i="1"/>
  <c r="BT329" i="1" s="1"/>
  <c r="BS325" i="1"/>
  <c r="BT324" i="1" s="1"/>
  <c r="BS320" i="1"/>
  <c r="BT319" i="1" s="1"/>
  <c r="BS310" i="1"/>
  <c r="BT309" i="1" s="1"/>
  <c r="BS305" i="1"/>
  <c r="BT304" i="1" s="1"/>
  <c r="BS300" i="1"/>
  <c r="BT299" i="1" s="1"/>
  <c r="BS295" i="1"/>
  <c r="BT294" i="1" s="1"/>
  <c r="BS290" i="1"/>
  <c r="BT289" i="1" s="1"/>
  <c r="BS285" i="1"/>
  <c r="BT284" i="1" s="1"/>
  <c r="BS280" i="1"/>
  <c r="BT279" i="1" s="1"/>
  <c r="BS275" i="1"/>
  <c r="BT274" i="1" s="1"/>
  <c r="BS270" i="1"/>
  <c r="BT269" i="1" s="1"/>
  <c r="BS265" i="1"/>
  <c r="BT264" i="1" s="1"/>
  <c r="BS255" i="1"/>
  <c r="BT254" i="1" s="1"/>
  <c r="BS250" i="1"/>
  <c r="BT249" i="1" s="1"/>
  <c r="BS245" i="1"/>
  <c r="BT244" i="1" s="1"/>
  <c r="BS240" i="1"/>
  <c r="BT239" i="1" s="1"/>
  <c r="BS230" i="1"/>
  <c r="BT229" i="1" s="1"/>
  <c r="BS225" i="1"/>
  <c r="BT224" i="1" s="1"/>
  <c r="BS210" i="1"/>
  <c r="BT209" i="1" s="1"/>
  <c r="BS205" i="1"/>
  <c r="BT204" i="1" s="1"/>
  <c r="BS200" i="1"/>
  <c r="BT199" i="1" s="1"/>
  <c r="BS195" i="1"/>
  <c r="BT194" i="1" s="1"/>
  <c r="BS190" i="1"/>
  <c r="BT189" i="1" s="1"/>
  <c r="BS180" i="1"/>
  <c r="BT179" i="1" s="1"/>
  <c r="BS175" i="1"/>
  <c r="BT174" i="1" s="1"/>
  <c r="BS134" i="1"/>
  <c r="BT133" i="1" s="1"/>
  <c r="BS129" i="1"/>
  <c r="BT128" i="1" s="1"/>
  <c r="BS109" i="1"/>
  <c r="BT108" i="1" s="1"/>
  <c r="BS104" i="1"/>
  <c r="BT103" i="1" s="1"/>
  <c r="BS99" i="1"/>
  <c r="BT98" i="1" s="1"/>
  <c r="BS74" i="1"/>
  <c r="BT73" i="1" s="1"/>
  <c r="BS69" i="1"/>
  <c r="BT68" i="1" s="1"/>
  <c r="BS64" i="1"/>
  <c r="BT63" i="1" s="1"/>
  <c r="BS59" i="1"/>
  <c r="BT58" i="1" s="1"/>
  <c r="BS54" i="1"/>
  <c r="BT53" i="1" s="1"/>
  <c r="BS49" i="1"/>
  <c r="BT48" i="1" s="1"/>
  <c r="BS44" i="1"/>
  <c r="BT43" i="1" s="1"/>
  <c r="BS39" i="1"/>
  <c r="BT38" i="1" s="1"/>
  <c r="BS34" i="1"/>
  <c r="BT33" i="1" s="1"/>
  <c r="BS29" i="1"/>
  <c r="BT28" i="1" s="1"/>
  <c r="BS24" i="1"/>
  <c r="BT23" i="1" s="1"/>
  <c r="BS19" i="1"/>
  <c r="BT18" i="1" s="1"/>
  <c r="BS14" i="1"/>
  <c r="BT13" i="1" s="1"/>
  <c r="BS9" i="1"/>
  <c r="BT8" i="1" s="1"/>
  <c r="BS453" i="1"/>
  <c r="BQ453" i="1"/>
  <c r="BQ603" i="1"/>
  <c r="BQ788" i="1"/>
  <c r="BQ758" i="1"/>
  <c r="BQ368" i="1"/>
  <c r="BQ573" i="1"/>
  <c r="BQ763" i="1"/>
  <c r="BS683" i="1"/>
  <c r="BS533" i="1"/>
  <c r="BS508" i="1"/>
  <c r="BS510" i="1" s="1"/>
  <c r="BT509" i="1" s="1"/>
  <c r="BS568" i="1"/>
  <c r="BS570" i="1" s="1"/>
  <c r="BT569" i="1" s="1"/>
  <c r="BS548" i="1"/>
  <c r="BS550" i="1" s="1"/>
  <c r="BT549" i="1" s="1"/>
  <c r="BS543" i="1"/>
  <c r="BS545" i="1" s="1"/>
  <c r="BT544" i="1" s="1"/>
  <c r="BS563" i="1"/>
  <c r="BS558" i="1"/>
  <c r="BS513" i="1"/>
  <c r="BS515" i="1" s="1"/>
  <c r="BT514" i="1" s="1"/>
  <c r="BS528" i="1"/>
  <c r="BS538" i="1"/>
  <c r="BS540" i="1" s="1"/>
  <c r="BT539" i="1" s="1"/>
  <c r="BS523" i="1"/>
  <c r="BS553" i="1"/>
  <c r="BS555" i="1" s="1"/>
  <c r="BT554" i="1" s="1"/>
  <c r="BS643" i="1"/>
  <c r="BS803" i="1"/>
  <c r="BS403" i="1"/>
  <c r="BS843" i="1"/>
  <c r="BS493" i="1"/>
  <c r="BS218" i="1"/>
  <c r="BS220" i="1" s="1"/>
  <c r="BT219" i="1" s="1"/>
  <c r="BS213" i="1"/>
  <c r="BS215" i="1" s="1"/>
  <c r="BT214" i="1" s="1"/>
  <c r="BS838" i="1"/>
  <c r="BS840" i="1" s="1"/>
  <c r="BT839" i="1" s="1"/>
  <c r="BS2" i="1" l="1"/>
  <c r="BS465" i="1"/>
  <c r="BS405" i="1"/>
  <c r="BT404" i="1" s="1"/>
  <c r="BS805" i="1"/>
  <c r="BT804" i="1" s="1"/>
  <c r="BS495" i="1"/>
  <c r="BT494" i="1" s="1"/>
  <c r="BS535" i="1"/>
  <c r="BT534" i="1" s="1"/>
  <c r="BS560" i="1"/>
  <c r="BT559" i="1" s="1"/>
  <c r="BS685" i="1"/>
  <c r="BT684" i="1" s="1"/>
  <c r="BS645" i="1"/>
  <c r="BT644" i="1" s="1"/>
  <c r="BS775" i="1"/>
  <c r="BT774" i="1" s="1"/>
  <c r="BS765" i="1"/>
  <c r="BT764" i="1" s="1"/>
  <c r="BS450" i="1"/>
  <c r="BT449" i="1" s="1"/>
  <c r="BS525" i="1"/>
  <c r="BT524" i="1" s="1"/>
  <c r="BS235" i="1"/>
  <c r="BT234" i="1" s="1"/>
  <c r="BS530" i="1"/>
  <c r="BT529" i="1" s="1"/>
  <c r="BS565" i="1"/>
  <c r="BT564" i="1" s="1"/>
  <c r="BS810" i="1"/>
  <c r="BT809" i="1" s="1"/>
  <c r="BS455" i="1"/>
  <c r="BT454" i="1" s="1"/>
  <c r="BQ838" i="1"/>
  <c r="BQ833" i="1"/>
  <c r="BS663" i="1"/>
  <c r="BQ738" i="1"/>
  <c r="BQ723" i="1"/>
  <c r="BQ743" i="1"/>
  <c r="BQ703" i="1"/>
  <c r="BS665" i="1" l="1"/>
  <c r="BS4" i="1"/>
  <c r="BT3" i="1" s="1"/>
  <c r="BQ648" i="1"/>
  <c r="BQ693" i="1"/>
  <c r="BQ598" i="1"/>
  <c r="BQ823" i="1"/>
  <c r="BQ668" i="1"/>
  <c r="BQ783" i="1"/>
  <c r="BQ798" i="1"/>
  <c r="BQ638" i="1"/>
  <c r="BQ423" i="1"/>
  <c r="BQ658" i="1"/>
  <c r="BQ773" i="1"/>
  <c r="BQ448" i="1"/>
  <c r="BQ753" i="1"/>
  <c r="BQ613" i="1"/>
  <c r="BQ178" i="1"/>
  <c r="BQ673" i="1"/>
  <c r="BQ413" i="1"/>
  <c r="BQ583" i="1"/>
  <c r="BQ698" i="1"/>
  <c r="BQ633" i="1"/>
  <c r="BQ173" i="1"/>
  <c r="BQ778" i="1"/>
  <c r="BQ428" i="1"/>
  <c r="BQ748" i="1"/>
  <c r="BQ348" i="1"/>
  <c r="BQ618" i="1"/>
  <c r="BQ353" i="1"/>
  <c r="BQ793" i="1"/>
  <c r="BQ478" i="1"/>
  <c r="BQ463" i="1" l="1"/>
  <c r="BR464" i="1" s="1"/>
  <c r="BQ493" i="1"/>
  <c r="BQ458" i="1"/>
  <c r="BQ233" i="1"/>
  <c r="BQ218" i="1"/>
  <c r="BQ653" i="1"/>
  <c r="BQ768" i="1"/>
  <c r="BQ818" i="1"/>
  <c r="BQ828" i="1"/>
  <c r="BO493" i="1" l="1"/>
  <c r="BQ678" i="1"/>
  <c r="BQ593" i="1"/>
  <c r="BO603" i="1"/>
  <c r="BQ563" i="1" l="1"/>
  <c r="BQ538" i="1"/>
  <c r="BQ568" i="1"/>
  <c r="BQ533" i="1"/>
  <c r="BQ508" i="1"/>
  <c r="BQ518" i="1"/>
  <c r="BQ268" i="1"/>
  <c r="BQ558" i="1"/>
  <c r="BQ553" i="1"/>
  <c r="BQ513" i="1"/>
  <c r="BQ523" i="1"/>
  <c r="BQ548" i="1"/>
  <c r="BQ528" i="1"/>
  <c r="BQ543" i="1"/>
  <c r="V1" i="7"/>
  <c r="Q1" i="7" l="1"/>
  <c r="T1" i="7"/>
  <c r="R1" i="7"/>
  <c r="S1" i="7"/>
  <c r="BO218" i="1"/>
  <c r="BG673" i="1"/>
  <c r="BQ683" i="1"/>
  <c r="BO448" i="1"/>
  <c r="BQ403" i="1"/>
  <c r="BQ663" i="1"/>
  <c r="BO363" i="1"/>
  <c r="BQ203" i="1"/>
  <c r="BO788" i="1"/>
  <c r="BQ2" i="1" l="1"/>
  <c r="BO838" i="1"/>
  <c r="BO840" i="1" s="1"/>
  <c r="BP839" i="1" s="1"/>
  <c r="BQ803" i="1"/>
  <c r="BQ643" i="1"/>
  <c r="BO583" i="1" l="1"/>
  <c r="BO233" i="1"/>
  <c r="BO428" i="1" l="1"/>
  <c r="BM428" i="1"/>
  <c r="BK428" i="1"/>
  <c r="BI428" i="1"/>
  <c r="BC428" i="1"/>
  <c r="BA428" i="1"/>
  <c r="BO178" i="1" l="1"/>
  <c r="BM178" i="1"/>
  <c r="BO763" i="1"/>
  <c r="BO818" i="1"/>
  <c r="BO768" i="1"/>
  <c r="BO723" i="1"/>
  <c r="BO773" i="1"/>
  <c r="BO783" i="1"/>
  <c r="BO623" i="1"/>
  <c r="BM623" i="1"/>
  <c r="BO743" i="1"/>
  <c r="BO648" i="1"/>
  <c r="BO758" i="1"/>
  <c r="BO368" i="1"/>
  <c r="BO573" i="1"/>
  <c r="BO658" i="1" l="1"/>
  <c r="BO738" i="1"/>
  <c r="BO798" i="1"/>
  <c r="BO173" i="1"/>
  <c r="BM173" i="1"/>
  <c r="BO413" i="1"/>
  <c r="BO598" i="1"/>
  <c r="BQ840" i="1"/>
  <c r="BR839" i="1" s="1"/>
  <c r="BQ835" i="1"/>
  <c r="BR834" i="1" s="1"/>
  <c r="BQ830" i="1"/>
  <c r="BR829" i="1" s="1"/>
  <c r="BQ825" i="1"/>
  <c r="BR824" i="1" s="1"/>
  <c r="BQ820" i="1"/>
  <c r="BR819" i="1" s="1"/>
  <c r="BQ815" i="1"/>
  <c r="BQ810" i="1"/>
  <c r="BR809" i="1" s="1"/>
  <c r="BQ805" i="1"/>
  <c r="BR804" i="1" s="1"/>
  <c r="BQ800" i="1"/>
  <c r="BR799" i="1" s="1"/>
  <c r="BQ795" i="1"/>
  <c r="BR794" i="1" s="1"/>
  <c r="BQ790" i="1"/>
  <c r="BR789" i="1" s="1"/>
  <c r="BQ785" i="1"/>
  <c r="BR784" i="1" s="1"/>
  <c r="BQ780" i="1"/>
  <c r="BR779" i="1" s="1"/>
  <c r="BQ775" i="1"/>
  <c r="BR774" i="1" s="1"/>
  <c r="BQ770" i="1"/>
  <c r="BR769" i="1" s="1"/>
  <c r="BQ765" i="1"/>
  <c r="BR764" i="1" s="1"/>
  <c r="BQ760" i="1"/>
  <c r="BR759" i="1" s="1"/>
  <c r="BQ755" i="1"/>
  <c r="BR754" i="1" s="1"/>
  <c r="BQ750" i="1"/>
  <c r="BR749" i="1" s="1"/>
  <c r="BQ745" i="1"/>
  <c r="BR744" i="1" s="1"/>
  <c r="BQ740" i="1"/>
  <c r="BR739" i="1" s="1"/>
  <c r="BQ735" i="1"/>
  <c r="BQ730" i="1"/>
  <c r="BQ725" i="1"/>
  <c r="BR724" i="1" s="1"/>
  <c r="BQ720" i="1"/>
  <c r="BR719" i="1" s="1"/>
  <c r="BQ715" i="1"/>
  <c r="BR714" i="1" s="1"/>
  <c r="BQ710" i="1"/>
  <c r="BR709" i="1" s="1"/>
  <c r="BQ705" i="1"/>
  <c r="BR704" i="1" s="1"/>
  <c r="BQ700" i="1"/>
  <c r="BR699" i="1" s="1"/>
  <c r="BQ695" i="1"/>
  <c r="BR694" i="1" s="1"/>
  <c r="BQ690" i="1"/>
  <c r="BR689" i="1" s="1"/>
  <c r="BQ685" i="1"/>
  <c r="BR684" i="1" s="1"/>
  <c r="BQ680" i="1"/>
  <c r="BR679" i="1" s="1"/>
  <c r="BQ675" i="1"/>
  <c r="BR674" i="1" s="1"/>
  <c r="BQ670" i="1"/>
  <c r="BR669" i="1" s="1"/>
  <c r="BQ665" i="1"/>
  <c r="BQ660" i="1"/>
  <c r="BR659" i="1" s="1"/>
  <c r="BQ655" i="1"/>
  <c r="BR654" i="1" s="1"/>
  <c r="BQ650" i="1"/>
  <c r="BR649" i="1" s="1"/>
  <c r="BQ645" i="1"/>
  <c r="BR644" i="1" s="1"/>
  <c r="BQ640" i="1"/>
  <c r="BR639" i="1" s="1"/>
  <c r="BQ635" i="1"/>
  <c r="BR634" i="1" s="1"/>
  <c r="BQ630" i="1"/>
  <c r="BR629" i="1" s="1"/>
  <c r="BQ625" i="1"/>
  <c r="BR624" i="1" s="1"/>
  <c r="BQ620" i="1"/>
  <c r="BR619" i="1" s="1"/>
  <c r="BQ615" i="1"/>
  <c r="BR614" i="1" s="1"/>
  <c r="BQ610" i="1"/>
  <c r="BR609" i="1" s="1"/>
  <c r="BQ605" i="1"/>
  <c r="BR604" i="1" s="1"/>
  <c r="BQ600" i="1"/>
  <c r="BR599" i="1" s="1"/>
  <c r="BQ595" i="1"/>
  <c r="BR594" i="1" s="1"/>
  <c r="BQ590" i="1"/>
  <c r="BR589" i="1" s="1"/>
  <c r="BQ585" i="1"/>
  <c r="BR584" i="1" s="1"/>
  <c r="BQ580" i="1"/>
  <c r="BR579" i="1" s="1"/>
  <c r="BQ575" i="1"/>
  <c r="BR574" i="1" s="1"/>
  <c r="BQ570" i="1"/>
  <c r="BR569" i="1" s="1"/>
  <c r="BQ565" i="1"/>
  <c r="BR564" i="1" s="1"/>
  <c r="BQ560" i="1"/>
  <c r="BR559" i="1" s="1"/>
  <c r="BQ555" i="1"/>
  <c r="BR554" i="1" s="1"/>
  <c r="BQ550" i="1"/>
  <c r="BR549" i="1" s="1"/>
  <c r="BQ545" i="1"/>
  <c r="BR544" i="1" s="1"/>
  <c r="BQ540" i="1"/>
  <c r="BR539" i="1" s="1"/>
  <c r="BQ535" i="1"/>
  <c r="BR534" i="1" s="1"/>
  <c r="BQ530" i="1"/>
  <c r="BR529" i="1" s="1"/>
  <c r="BQ525" i="1"/>
  <c r="BR524" i="1" s="1"/>
  <c r="BQ520" i="1"/>
  <c r="BR519" i="1" s="1"/>
  <c r="BQ515" i="1"/>
  <c r="BR514" i="1" s="1"/>
  <c r="BQ510" i="1"/>
  <c r="BR509" i="1" s="1"/>
  <c r="BQ505" i="1"/>
  <c r="BR504" i="1" s="1"/>
  <c r="BQ500" i="1"/>
  <c r="BR499" i="1" s="1"/>
  <c r="BQ495" i="1"/>
  <c r="BR494" i="1" s="1"/>
  <c r="BQ490" i="1"/>
  <c r="BR489" i="1" s="1"/>
  <c r="BQ485" i="1"/>
  <c r="BR484" i="1" s="1"/>
  <c r="BQ480" i="1"/>
  <c r="BR479" i="1" s="1"/>
  <c r="BQ475" i="1"/>
  <c r="BR474" i="1" s="1"/>
  <c r="BQ470" i="1"/>
  <c r="BR469" i="1" s="1"/>
  <c r="BQ465" i="1"/>
  <c r="BQ460" i="1"/>
  <c r="BR459" i="1" s="1"/>
  <c r="BQ455" i="1"/>
  <c r="BR454" i="1" s="1"/>
  <c r="BQ450" i="1"/>
  <c r="BR449" i="1" s="1"/>
  <c r="BQ445" i="1"/>
  <c r="BR444" i="1" s="1"/>
  <c r="BQ440" i="1"/>
  <c r="BR439" i="1" s="1"/>
  <c r="BQ435" i="1"/>
  <c r="BR434" i="1" s="1"/>
  <c r="BQ430" i="1"/>
  <c r="BR429" i="1" s="1"/>
  <c r="BQ425" i="1"/>
  <c r="BR424" i="1" s="1"/>
  <c r="BQ420" i="1"/>
  <c r="BR419" i="1" s="1"/>
  <c r="BQ415" i="1"/>
  <c r="BR414" i="1" s="1"/>
  <c r="BQ410" i="1"/>
  <c r="BR409" i="1" s="1"/>
  <c r="BQ405" i="1"/>
  <c r="BR404" i="1" s="1"/>
  <c r="BQ400" i="1"/>
  <c r="BR399" i="1" s="1"/>
  <c r="BQ395" i="1"/>
  <c r="BR394" i="1" s="1"/>
  <c r="BQ390" i="1"/>
  <c r="BR389" i="1" s="1"/>
  <c r="BQ385" i="1"/>
  <c r="BR384" i="1" s="1"/>
  <c r="BQ380" i="1"/>
  <c r="BR379" i="1" s="1"/>
  <c r="BQ375" i="1"/>
  <c r="BR374" i="1" s="1"/>
  <c r="BQ370" i="1"/>
  <c r="BR369" i="1" s="1"/>
  <c r="BQ365" i="1"/>
  <c r="BR364" i="1" s="1"/>
  <c r="BQ360" i="1"/>
  <c r="BR359" i="1" s="1"/>
  <c r="BQ355" i="1"/>
  <c r="BR354" i="1" s="1"/>
  <c r="BQ350" i="1"/>
  <c r="BR349" i="1" s="1"/>
  <c r="BQ345" i="1"/>
  <c r="BR344" i="1" s="1"/>
  <c r="BQ340" i="1"/>
  <c r="BR339" i="1" s="1"/>
  <c r="BQ335" i="1"/>
  <c r="BR334" i="1" s="1"/>
  <c r="BQ330" i="1"/>
  <c r="BR329" i="1" s="1"/>
  <c r="BQ325" i="1"/>
  <c r="BR324" i="1" s="1"/>
  <c r="BQ320" i="1"/>
  <c r="BR319" i="1" s="1"/>
  <c r="BQ315" i="1"/>
  <c r="BR314" i="1" s="1"/>
  <c r="BQ310" i="1"/>
  <c r="BR309" i="1" s="1"/>
  <c r="BQ305" i="1"/>
  <c r="BR304" i="1" s="1"/>
  <c r="BQ300" i="1"/>
  <c r="BR299" i="1" s="1"/>
  <c r="BQ295" i="1"/>
  <c r="BR294" i="1" s="1"/>
  <c r="BQ290" i="1"/>
  <c r="BR289" i="1" s="1"/>
  <c r="BQ285" i="1"/>
  <c r="BR284" i="1" s="1"/>
  <c r="BQ280" i="1"/>
  <c r="BR279" i="1" s="1"/>
  <c r="BQ275" i="1"/>
  <c r="BR274" i="1" s="1"/>
  <c r="BQ270" i="1"/>
  <c r="BR269" i="1" s="1"/>
  <c r="BQ265" i="1"/>
  <c r="BR264" i="1" s="1"/>
  <c r="BQ255" i="1"/>
  <c r="BR254" i="1" s="1"/>
  <c r="BQ250" i="1"/>
  <c r="BR249" i="1" s="1"/>
  <c r="BQ245" i="1"/>
  <c r="BR244" i="1" s="1"/>
  <c r="BQ240" i="1"/>
  <c r="BR239" i="1" s="1"/>
  <c r="BQ235" i="1"/>
  <c r="BR234" i="1" s="1"/>
  <c r="BQ230" i="1"/>
  <c r="BR229" i="1" s="1"/>
  <c r="BQ225" i="1"/>
  <c r="BR224" i="1" s="1"/>
  <c r="BQ220" i="1"/>
  <c r="BR219" i="1" s="1"/>
  <c r="BQ215" i="1"/>
  <c r="BR214" i="1" s="1"/>
  <c r="BQ210" i="1"/>
  <c r="BR209" i="1" s="1"/>
  <c r="BQ205" i="1"/>
  <c r="BR204" i="1" s="1"/>
  <c r="BQ200" i="1"/>
  <c r="BR199" i="1" s="1"/>
  <c r="BQ195" i="1"/>
  <c r="BR194" i="1" s="1"/>
  <c r="BQ190" i="1"/>
  <c r="BR189" i="1" s="1"/>
  <c r="BQ180" i="1"/>
  <c r="BR179" i="1" s="1"/>
  <c r="BQ175" i="1"/>
  <c r="BR174" i="1" s="1"/>
  <c r="BQ134" i="1"/>
  <c r="BR133" i="1" s="1"/>
  <c r="BQ129" i="1"/>
  <c r="BR128" i="1" s="1"/>
  <c r="BQ109" i="1"/>
  <c r="BR108" i="1" s="1"/>
  <c r="BQ104" i="1"/>
  <c r="BR103" i="1" s="1"/>
  <c r="BQ99" i="1"/>
  <c r="BR98" i="1" s="1"/>
  <c r="BQ74" i="1"/>
  <c r="BR73" i="1" s="1"/>
  <c r="BQ69" i="1"/>
  <c r="BR68" i="1" s="1"/>
  <c r="BQ64" i="1"/>
  <c r="BR63" i="1" s="1"/>
  <c r="BQ59" i="1"/>
  <c r="BR58" i="1" s="1"/>
  <c r="BQ54" i="1"/>
  <c r="BR53" i="1" s="1"/>
  <c r="BQ49" i="1"/>
  <c r="BR48" i="1" s="1"/>
  <c r="BQ44" i="1"/>
  <c r="BR43" i="1" s="1"/>
  <c r="BQ39" i="1"/>
  <c r="BR38" i="1" s="1"/>
  <c r="BQ34" i="1"/>
  <c r="BR33" i="1" s="1"/>
  <c r="BQ29" i="1"/>
  <c r="BR28" i="1" s="1"/>
  <c r="BQ24" i="1"/>
  <c r="BR23" i="1" s="1"/>
  <c r="BQ19" i="1"/>
  <c r="BR18" i="1" s="1"/>
  <c r="BQ14" i="1"/>
  <c r="BR13" i="1" s="1"/>
  <c r="BQ9" i="1"/>
  <c r="BR8" i="1" s="1"/>
  <c r="BO825" i="1"/>
  <c r="BP824" i="1" s="1"/>
  <c r="BO703" i="1"/>
  <c r="BQ4" i="1" l="1"/>
  <c r="BR3" i="1" s="1"/>
  <c r="BO653" i="1"/>
  <c r="BO793" i="1"/>
  <c r="BO613" i="1"/>
  <c r="BO748" i="1"/>
  <c r="BO778" i="1"/>
  <c r="BO353" i="1"/>
  <c r="BO478" i="1"/>
  <c r="BO458" i="1"/>
  <c r="BO423" i="1"/>
  <c r="BO698" i="1"/>
  <c r="BO668" i="1"/>
  <c r="BO633" i="1"/>
  <c r="BO693" i="1"/>
  <c r="BO638" i="1"/>
  <c r="BO348" i="1"/>
  <c r="BO673" i="1"/>
  <c r="BO753" i="1"/>
  <c r="BO728" i="1"/>
  <c r="BO678" i="1"/>
  <c r="BO593" i="1"/>
  <c r="BO553" i="1"/>
  <c r="BM543" i="1"/>
  <c r="BO808" i="1" l="1"/>
  <c r="BM808" i="1"/>
  <c r="BO733" i="1" l="1"/>
  <c r="AB3" i="1"/>
  <c r="AD3" i="1"/>
  <c r="AF3" i="1"/>
  <c r="AH3" i="1"/>
  <c r="AJ3" i="1"/>
  <c r="AL3" i="1"/>
  <c r="AN3" i="1"/>
  <c r="BO683" i="1" l="1"/>
  <c r="BO815" i="1" l="1"/>
  <c r="BM815" i="1"/>
  <c r="BK815" i="1"/>
  <c r="BI815" i="1"/>
  <c r="BM738" i="1"/>
  <c r="BO503" i="1"/>
  <c r="BO528" i="1"/>
  <c r="BO533" i="1"/>
  <c r="BO548" i="1"/>
  <c r="BO508" i="1"/>
  <c r="BO453" i="1"/>
  <c r="BO518" i="1" l="1"/>
  <c r="BO513" i="1"/>
  <c r="BO523" i="1"/>
  <c r="BO393" i="1"/>
  <c r="BM393" i="1"/>
  <c r="BO543" i="1"/>
  <c r="BO538" i="1"/>
  <c r="BO558" i="1"/>
  <c r="BO568" i="1"/>
  <c r="BO803" i="1"/>
  <c r="BM673" i="1"/>
  <c r="BO643" i="1"/>
  <c r="BM643" i="1"/>
  <c r="BM723" i="1"/>
  <c r="BM678" i="1"/>
  <c r="BM733" i="1"/>
  <c r="BM728" i="1"/>
  <c r="BM593" i="1"/>
  <c r="BO268" i="1"/>
  <c r="BM233" i="1"/>
  <c r="BO2" i="1" l="1"/>
  <c r="BM788" i="1"/>
  <c r="BM823" i="1"/>
  <c r="BM818" i="1"/>
  <c r="BO403" i="1"/>
  <c r="BO663" i="1"/>
  <c r="BM825" i="1" l="1"/>
  <c r="BN824" i="1" s="1"/>
  <c r="BM743" i="1"/>
  <c r="BM798" i="1"/>
  <c r="BM693" i="1"/>
  <c r="BM753" i="1"/>
  <c r="BM613" i="1"/>
  <c r="BM703" i="1"/>
  <c r="BM668" i="1"/>
  <c r="BM658" i="1"/>
  <c r="BM758" i="1"/>
  <c r="BM368" i="1"/>
  <c r="BM573" i="1"/>
  <c r="BM493" i="1"/>
  <c r="BM218" i="1"/>
  <c r="BO39" i="1"/>
  <c r="BP38" i="1" s="1"/>
  <c r="BO109" i="1"/>
  <c r="BP108" i="1" s="1"/>
  <c r="BO420" i="1"/>
  <c r="BP419" i="1" s="1"/>
  <c r="BO430" i="1"/>
  <c r="BP429" i="1" s="1"/>
  <c r="BO585" i="1"/>
  <c r="BP584" i="1" s="1"/>
  <c r="BO225" i="1"/>
  <c r="BP224" i="1" s="1"/>
  <c r="BO820" i="1"/>
  <c r="BP819" i="1" s="1"/>
  <c r="BO810" i="1"/>
  <c r="BP809" i="1" s="1"/>
  <c r="BO805" i="1"/>
  <c r="BP804" i="1" s="1"/>
  <c r="BO800" i="1"/>
  <c r="BP799" i="1" s="1"/>
  <c r="BO795" i="1"/>
  <c r="BP794" i="1" s="1"/>
  <c r="BO790" i="1"/>
  <c r="BP789" i="1" s="1"/>
  <c r="BO785" i="1"/>
  <c r="BP784" i="1" s="1"/>
  <c r="BO780" i="1"/>
  <c r="BP779" i="1" s="1"/>
  <c r="BO775" i="1"/>
  <c r="BP774" i="1" s="1"/>
  <c r="BO770" i="1"/>
  <c r="BP769" i="1" s="1"/>
  <c r="BO765" i="1"/>
  <c r="BP764" i="1" s="1"/>
  <c r="BO760" i="1"/>
  <c r="BP759" i="1" s="1"/>
  <c r="BO755" i="1"/>
  <c r="BP754" i="1" s="1"/>
  <c r="BO750" i="1"/>
  <c r="BP749" i="1" s="1"/>
  <c r="BO745" i="1"/>
  <c r="BP744" i="1" s="1"/>
  <c r="BO740" i="1"/>
  <c r="BP739" i="1" s="1"/>
  <c r="BO735" i="1"/>
  <c r="BO730" i="1"/>
  <c r="BO725" i="1"/>
  <c r="BP724" i="1" s="1"/>
  <c r="BO720" i="1"/>
  <c r="BP719" i="1" s="1"/>
  <c r="BO715" i="1"/>
  <c r="BP714" i="1" s="1"/>
  <c r="BO710" i="1"/>
  <c r="BP709" i="1" s="1"/>
  <c r="BO705" i="1"/>
  <c r="BP704" i="1" s="1"/>
  <c r="BO700" i="1"/>
  <c r="BP699" i="1" s="1"/>
  <c r="BO695" i="1"/>
  <c r="BP694" i="1" s="1"/>
  <c r="BO690" i="1"/>
  <c r="BP689" i="1" s="1"/>
  <c r="BO685" i="1"/>
  <c r="BP684" i="1" s="1"/>
  <c r="BO680" i="1"/>
  <c r="BP679" i="1" s="1"/>
  <c r="BO675" i="1"/>
  <c r="BP674" i="1" s="1"/>
  <c r="BO670" i="1"/>
  <c r="BP669" i="1" s="1"/>
  <c r="BO665" i="1"/>
  <c r="BO660" i="1"/>
  <c r="BP659" i="1" s="1"/>
  <c r="BO655" i="1"/>
  <c r="BP654" i="1" s="1"/>
  <c r="BO650" i="1"/>
  <c r="BP649" i="1" s="1"/>
  <c r="BO645" i="1"/>
  <c r="BP644" i="1" s="1"/>
  <c r="BO640" i="1"/>
  <c r="BP639" i="1" s="1"/>
  <c r="BO635" i="1"/>
  <c r="BP634" i="1" s="1"/>
  <c r="BO630" i="1"/>
  <c r="BP629" i="1" s="1"/>
  <c r="BO625" i="1"/>
  <c r="BP624" i="1" s="1"/>
  <c r="BO620" i="1"/>
  <c r="BP619" i="1" s="1"/>
  <c r="BO615" i="1"/>
  <c r="BP614" i="1" s="1"/>
  <c r="BO610" i="1"/>
  <c r="BP609" i="1" s="1"/>
  <c r="BO605" i="1"/>
  <c r="BP604" i="1" s="1"/>
  <c r="BO600" i="1"/>
  <c r="BP599" i="1" s="1"/>
  <c r="BO595" i="1"/>
  <c r="BP594" i="1" s="1"/>
  <c r="BO590" i="1"/>
  <c r="BP589" i="1" s="1"/>
  <c r="BO580" i="1"/>
  <c r="BP579" i="1" s="1"/>
  <c r="BO575" i="1"/>
  <c r="BP574" i="1" s="1"/>
  <c r="BO570" i="1"/>
  <c r="BP569" i="1" s="1"/>
  <c r="BO565" i="1"/>
  <c r="BP564" i="1" s="1"/>
  <c r="BO560" i="1"/>
  <c r="BP559" i="1" s="1"/>
  <c r="BO555" i="1"/>
  <c r="BP554" i="1" s="1"/>
  <c r="BO550" i="1"/>
  <c r="BP549" i="1" s="1"/>
  <c r="BO545" i="1"/>
  <c r="BP544" i="1" s="1"/>
  <c r="BO540" i="1"/>
  <c r="BP539" i="1" s="1"/>
  <c r="BO530" i="1"/>
  <c r="BP529" i="1" s="1"/>
  <c r="BO525" i="1"/>
  <c r="BP524" i="1" s="1"/>
  <c r="BO520" i="1"/>
  <c r="BP519" i="1" s="1"/>
  <c r="BO515" i="1"/>
  <c r="BP514" i="1" s="1"/>
  <c r="BO510" i="1"/>
  <c r="BP509" i="1" s="1"/>
  <c r="BO505" i="1"/>
  <c r="BP504" i="1" s="1"/>
  <c r="BO500" i="1"/>
  <c r="BP499" i="1" s="1"/>
  <c r="BO495" i="1"/>
  <c r="BP494" i="1" s="1"/>
  <c r="BO490" i="1"/>
  <c r="BP489" i="1" s="1"/>
  <c r="BO485" i="1"/>
  <c r="BP484" i="1" s="1"/>
  <c r="BO480" i="1"/>
  <c r="BP479" i="1" s="1"/>
  <c r="BO475" i="1"/>
  <c r="BP474" i="1" s="1"/>
  <c r="BO470" i="1"/>
  <c r="BP469" i="1" s="1"/>
  <c r="BO465" i="1"/>
  <c r="BO460" i="1"/>
  <c r="BP459" i="1" s="1"/>
  <c r="BO455" i="1"/>
  <c r="BP454" i="1" s="1"/>
  <c r="BO450" i="1"/>
  <c r="BP449" i="1" s="1"/>
  <c r="BO445" i="1"/>
  <c r="BP444" i="1" s="1"/>
  <c r="BO440" i="1"/>
  <c r="BP439" i="1" s="1"/>
  <c r="BO435" i="1"/>
  <c r="BP434" i="1" s="1"/>
  <c r="BO425" i="1"/>
  <c r="BP424" i="1" s="1"/>
  <c r="BO415" i="1"/>
  <c r="BP414" i="1" s="1"/>
  <c r="BO410" i="1"/>
  <c r="BP409" i="1" s="1"/>
  <c r="BO405" i="1"/>
  <c r="BP404" i="1" s="1"/>
  <c r="BO400" i="1"/>
  <c r="BP399" i="1" s="1"/>
  <c r="BO395" i="1"/>
  <c r="BP394" i="1" s="1"/>
  <c r="BO390" i="1"/>
  <c r="BP389" i="1" s="1"/>
  <c r="BO385" i="1"/>
  <c r="BP384" i="1" s="1"/>
  <c r="BO380" i="1"/>
  <c r="BP379" i="1" s="1"/>
  <c r="BO375" i="1"/>
  <c r="BP374" i="1" s="1"/>
  <c r="BO370" i="1"/>
  <c r="BP369" i="1" s="1"/>
  <c r="BO365" i="1"/>
  <c r="BP364" i="1" s="1"/>
  <c r="BO360" i="1"/>
  <c r="BP359" i="1" s="1"/>
  <c r="BO355" i="1"/>
  <c r="BP354" i="1" s="1"/>
  <c r="BO350" i="1"/>
  <c r="BP349" i="1" s="1"/>
  <c r="BO345" i="1"/>
  <c r="BP344" i="1" s="1"/>
  <c r="BO340" i="1"/>
  <c r="BP339" i="1" s="1"/>
  <c r="BO335" i="1"/>
  <c r="BP334" i="1" s="1"/>
  <c r="BO330" i="1"/>
  <c r="BP329" i="1" s="1"/>
  <c r="BO325" i="1"/>
  <c r="BP324" i="1" s="1"/>
  <c r="BO320" i="1"/>
  <c r="BP319" i="1" s="1"/>
  <c r="BO315" i="1"/>
  <c r="BP314" i="1" s="1"/>
  <c r="BO310" i="1"/>
  <c r="BP309" i="1" s="1"/>
  <c r="BO305" i="1"/>
  <c r="BP304" i="1" s="1"/>
  <c r="BO300" i="1"/>
  <c r="BP299" i="1" s="1"/>
  <c r="BO295" i="1"/>
  <c r="BP294" i="1" s="1"/>
  <c r="BO290" i="1"/>
  <c r="BP289" i="1" s="1"/>
  <c r="BO285" i="1"/>
  <c r="BP284" i="1" s="1"/>
  <c r="BO280" i="1"/>
  <c r="BP279" i="1" s="1"/>
  <c r="BO275" i="1"/>
  <c r="BP274" i="1" s="1"/>
  <c r="BO270" i="1"/>
  <c r="BP269" i="1" s="1"/>
  <c r="BO265" i="1"/>
  <c r="BP264" i="1" s="1"/>
  <c r="BO255" i="1"/>
  <c r="BP254" i="1" s="1"/>
  <c r="BO250" i="1"/>
  <c r="BP249" i="1" s="1"/>
  <c r="BO245" i="1"/>
  <c r="BP244" i="1" s="1"/>
  <c r="BO240" i="1"/>
  <c r="BP239" i="1" s="1"/>
  <c r="BO235" i="1"/>
  <c r="BP234" i="1" s="1"/>
  <c r="BO230" i="1"/>
  <c r="BP229" i="1" s="1"/>
  <c r="BO220" i="1"/>
  <c r="BP219" i="1" s="1"/>
  <c r="BO215" i="1"/>
  <c r="BP214" i="1" s="1"/>
  <c r="BO210" i="1"/>
  <c r="BP209" i="1" s="1"/>
  <c r="BO205" i="1"/>
  <c r="BP204" i="1" s="1"/>
  <c r="BO200" i="1"/>
  <c r="BP199" i="1" s="1"/>
  <c r="BO195" i="1"/>
  <c r="BP194" i="1" s="1"/>
  <c r="BO190" i="1"/>
  <c r="BP189" i="1" s="1"/>
  <c r="BO180" i="1"/>
  <c r="BP179" i="1" s="1"/>
  <c r="BO175" i="1"/>
  <c r="BP174" i="1" s="1"/>
  <c r="BO134" i="1"/>
  <c r="BP133" i="1" s="1"/>
  <c r="BO129" i="1"/>
  <c r="BP128" i="1" s="1"/>
  <c r="BO104" i="1"/>
  <c r="BP103" i="1" s="1"/>
  <c r="BO99" i="1"/>
  <c r="BP98" i="1" s="1"/>
  <c r="BO74" i="1"/>
  <c r="BP73" i="1" s="1"/>
  <c r="BO69" i="1"/>
  <c r="BP68" i="1" s="1"/>
  <c r="BO64" i="1"/>
  <c r="BP63" i="1" s="1"/>
  <c r="BO59" i="1"/>
  <c r="BP58" i="1" s="1"/>
  <c r="BO54" i="1"/>
  <c r="BP53" i="1" s="1"/>
  <c r="BO49" i="1"/>
  <c r="BP48" i="1" s="1"/>
  <c r="BO44" i="1"/>
  <c r="BP43" i="1" s="1"/>
  <c r="BO34" i="1"/>
  <c r="BP33" i="1" s="1"/>
  <c r="BO29" i="1"/>
  <c r="BP28" i="1" s="1"/>
  <c r="BO24" i="1"/>
  <c r="BP23" i="1" s="1"/>
  <c r="BO19" i="1"/>
  <c r="BP18" i="1" s="1"/>
  <c r="BO14" i="1"/>
  <c r="BP13" i="1" s="1"/>
  <c r="BO9" i="1"/>
  <c r="BP8" i="1" s="1"/>
  <c r="AR3" i="1"/>
  <c r="AP3" i="1"/>
  <c r="BO4" i="1" l="1"/>
  <c r="BP3" i="1" s="1"/>
  <c r="BM638" i="1"/>
  <c r="BM768" i="1"/>
  <c r="BM770" i="1" s="1"/>
  <c r="BN769" i="1" s="1"/>
  <c r="BM648" i="1"/>
  <c r="BM773" i="1"/>
  <c r="BM775" i="1" s="1"/>
  <c r="BN774" i="1" s="1"/>
  <c r="BM778" i="1"/>
  <c r="BM423" i="1"/>
  <c r="BM583" i="1"/>
  <c r="BM585" i="1" s="1"/>
  <c r="BN584" i="1" s="1"/>
  <c r="BM448" i="1"/>
  <c r="BM783" i="1"/>
  <c r="BM763" i="1"/>
  <c r="BM765" i="1" s="1"/>
  <c r="BN764" i="1" s="1"/>
  <c r="BM748" i="1"/>
  <c r="BM750" i="1" s="1"/>
  <c r="BN749" i="1" s="1"/>
  <c r="BM633" i="1"/>
  <c r="BM635" i="1" s="1"/>
  <c r="BN634" i="1" s="1"/>
  <c r="BM458" i="1"/>
  <c r="BM793" i="1"/>
  <c r="BM795" i="1" s="1"/>
  <c r="BN794" i="1" s="1"/>
  <c r="BM478" i="1"/>
  <c r="BM480" i="1" s="1"/>
  <c r="BN479" i="1" s="1"/>
  <c r="BM463" i="1"/>
  <c r="BN464" i="1" s="1"/>
  <c r="BM698" i="1"/>
  <c r="BM353" i="1"/>
  <c r="BM355" i="1" s="1"/>
  <c r="BN354" i="1" s="1"/>
  <c r="BM413" i="1"/>
  <c r="BM415" i="1" s="1"/>
  <c r="BN414" i="1" s="1"/>
  <c r="BM348" i="1"/>
  <c r="BM618" i="1"/>
  <c r="BM653" i="1"/>
  <c r="BM655" i="1" s="1"/>
  <c r="BN654" i="1" s="1"/>
  <c r="BK788" i="1"/>
  <c r="BM603" i="1"/>
  <c r="BE738" i="1"/>
  <c r="BC738" i="1"/>
  <c r="BM453" i="1"/>
  <c r="BM455" i="1" s="1"/>
  <c r="BN454" i="1" s="1"/>
  <c r="BM503" i="1"/>
  <c r="BM505" i="1" s="1"/>
  <c r="BN504" i="1" s="1"/>
  <c r="BK503" i="1"/>
  <c r="BK505" i="1" s="1"/>
  <c r="BL504" i="1" s="1"/>
  <c r="BM803" i="1"/>
  <c r="BM805" i="1" s="1"/>
  <c r="BN804" i="1" s="1"/>
  <c r="BM568" i="1"/>
  <c r="BM570" i="1" s="1"/>
  <c r="BN569" i="1" s="1"/>
  <c r="BA69" i="1"/>
  <c r="BB68" i="1" s="1"/>
  <c r="BC69" i="1"/>
  <c r="BD68" i="1" s="1"/>
  <c r="BE69" i="1"/>
  <c r="BF68" i="1" s="1"/>
  <c r="BG69" i="1"/>
  <c r="BH68" i="1" s="1"/>
  <c r="BI69" i="1"/>
  <c r="BJ68" i="1" s="1"/>
  <c r="BI563" i="1"/>
  <c r="BG563" i="1"/>
  <c r="BE563" i="1"/>
  <c r="BE565" i="1" s="1"/>
  <c r="BF564" i="1" s="1"/>
  <c r="BA563" i="1"/>
  <c r="BK563" i="1"/>
  <c r="BM528" i="1"/>
  <c r="BM558" i="1"/>
  <c r="BM560" i="1" s="1"/>
  <c r="BN559" i="1" s="1"/>
  <c r="BM553" i="1"/>
  <c r="BM555" i="1" s="1"/>
  <c r="BN554" i="1" s="1"/>
  <c r="BM523" i="1"/>
  <c r="BM538" i="1"/>
  <c r="BM540" i="1" s="1"/>
  <c r="BN539" i="1" s="1"/>
  <c r="BI518" i="1"/>
  <c r="BI520" i="1" s="1"/>
  <c r="BJ519" i="1" s="1"/>
  <c r="BM518" i="1"/>
  <c r="BM513" i="1"/>
  <c r="BM515" i="1" s="1"/>
  <c r="BN514" i="1" s="1"/>
  <c r="BM548" i="1"/>
  <c r="BM550" i="1" s="1"/>
  <c r="BN549" i="1" s="1"/>
  <c r="BO535" i="1"/>
  <c r="BP534" i="1" s="1"/>
  <c r="BM533" i="1"/>
  <c r="BM508" i="1"/>
  <c r="BM510" i="1" s="1"/>
  <c r="BN509" i="1" s="1"/>
  <c r="BM683" i="1"/>
  <c r="BM685" i="1" s="1"/>
  <c r="BN684" i="1" s="1"/>
  <c r="BK683" i="1"/>
  <c r="BK743" i="1"/>
  <c r="BM645" i="1"/>
  <c r="BN644" i="1" s="1"/>
  <c r="BM438" i="1"/>
  <c r="BK728" i="1"/>
  <c r="BK233" i="1"/>
  <c r="BI233" i="1"/>
  <c r="BK593" i="1"/>
  <c r="BK595" i="1" s="1"/>
  <c r="BL594" i="1" s="1"/>
  <c r="BK543" i="1"/>
  <c r="BK545" i="1" s="1"/>
  <c r="BL544" i="1" s="1"/>
  <c r="BK598" i="1"/>
  <c r="BK600" i="1" s="1"/>
  <c r="BL599" i="1" s="1"/>
  <c r="BK693" i="1"/>
  <c r="BK393" i="1"/>
  <c r="BK395" i="1" s="1"/>
  <c r="BL394" i="1" s="1"/>
  <c r="BM403" i="1"/>
  <c r="BM405" i="1" s="1"/>
  <c r="BN404" i="1" s="1"/>
  <c r="BM663" i="1"/>
  <c r="BK758" i="1"/>
  <c r="BK368" i="1"/>
  <c r="BM498" i="1"/>
  <c r="BM500" i="1" s="1"/>
  <c r="BN499" i="1" s="1"/>
  <c r="BK493" i="1"/>
  <c r="BK495" i="1" s="1"/>
  <c r="BL494" i="1" s="1"/>
  <c r="BK638" i="1"/>
  <c r="BK640" i="1" s="1"/>
  <c r="BL639" i="1" s="1"/>
  <c r="BK623" i="1"/>
  <c r="BI623" i="1"/>
  <c r="BI625" i="1" s="1"/>
  <c r="BJ624" i="1" s="1"/>
  <c r="BG623" i="1"/>
  <c r="BE623" i="1"/>
  <c r="BE625" i="1" s="1"/>
  <c r="BF624" i="1" s="1"/>
  <c r="BC623" i="1"/>
  <c r="BC625" i="1" s="1"/>
  <c r="BD624" i="1" s="1"/>
  <c r="BK763" i="1"/>
  <c r="BK768" i="1"/>
  <c r="BK770" i="1" s="1"/>
  <c r="BL769" i="1" s="1"/>
  <c r="BM345" i="1"/>
  <c r="BN344" i="1" s="1"/>
  <c r="BM205" i="1"/>
  <c r="BN204" i="1" s="1"/>
  <c r="BM104" i="1"/>
  <c r="BN103" i="1" s="1"/>
  <c r="BM69" i="1"/>
  <c r="BN68" i="1" s="1"/>
  <c r="BI768" i="1"/>
  <c r="BM820" i="1"/>
  <c r="BN819" i="1" s="1"/>
  <c r="BM810" i="1"/>
  <c r="BN809" i="1" s="1"/>
  <c r="BM800" i="1"/>
  <c r="BN799" i="1" s="1"/>
  <c r="BM790" i="1"/>
  <c r="BN789" i="1" s="1"/>
  <c r="BM785" i="1"/>
  <c r="BN784" i="1" s="1"/>
  <c r="BM780" i="1"/>
  <c r="BN779" i="1" s="1"/>
  <c r="BM760" i="1"/>
  <c r="BN759" i="1" s="1"/>
  <c r="BM755" i="1"/>
  <c r="BN754" i="1" s="1"/>
  <c r="BM745" i="1"/>
  <c r="BN744" i="1" s="1"/>
  <c r="BM740" i="1"/>
  <c r="BN739" i="1" s="1"/>
  <c r="BM735" i="1"/>
  <c r="BM730" i="1"/>
  <c r="BM725" i="1"/>
  <c r="BN724" i="1" s="1"/>
  <c r="BM720" i="1"/>
  <c r="BN719" i="1" s="1"/>
  <c r="BM715" i="1"/>
  <c r="BN714" i="1" s="1"/>
  <c r="BM710" i="1"/>
  <c r="BN709" i="1" s="1"/>
  <c r="BM705" i="1"/>
  <c r="BN704" i="1" s="1"/>
  <c r="BM700" i="1"/>
  <c r="BN699" i="1" s="1"/>
  <c r="BM695" i="1"/>
  <c r="BN694" i="1" s="1"/>
  <c r="BM690" i="1"/>
  <c r="BN689" i="1" s="1"/>
  <c r="BM680" i="1"/>
  <c r="BN679" i="1" s="1"/>
  <c r="BM675" i="1"/>
  <c r="BN674" i="1" s="1"/>
  <c r="BM670" i="1"/>
  <c r="BN669" i="1" s="1"/>
  <c r="BM660" i="1"/>
  <c r="BN659" i="1" s="1"/>
  <c r="BM640" i="1"/>
  <c r="BN639" i="1" s="1"/>
  <c r="BM630" i="1"/>
  <c r="BN629" i="1" s="1"/>
  <c r="BM625" i="1"/>
  <c r="BN624" i="1" s="1"/>
  <c r="BM615" i="1"/>
  <c r="BN614" i="1" s="1"/>
  <c r="BM610" i="1"/>
  <c r="BN609" i="1" s="1"/>
  <c r="BM600" i="1"/>
  <c r="BN599" i="1" s="1"/>
  <c r="BM595" i="1"/>
  <c r="BN594" i="1" s="1"/>
  <c r="BM590" i="1"/>
  <c r="BN589" i="1" s="1"/>
  <c r="BM580" i="1"/>
  <c r="BN579" i="1" s="1"/>
  <c r="BM575" i="1"/>
  <c r="BN574" i="1" s="1"/>
  <c r="BM565" i="1"/>
  <c r="BN564" i="1" s="1"/>
  <c r="BM520" i="1"/>
  <c r="BN519" i="1" s="1"/>
  <c r="BM495" i="1"/>
  <c r="BN494" i="1" s="1"/>
  <c r="BM490" i="1"/>
  <c r="BN489" i="1" s="1"/>
  <c r="BM485" i="1"/>
  <c r="BN484" i="1" s="1"/>
  <c r="BM475" i="1"/>
  <c r="BN474" i="1" s="1"/>
  <c r="BM470" i="1"/>
  <c r="BN469" i="1" s="1"/>
  <c r="BM445" i="1"/>
  <c r="BN444" i="1" s="1"/>
  <c r="BM435" i="1"/>
  <c r="BN434" i="1" s="1"/>
  <c r="BM430" i="1"/>
  <c r="BN429" i="1" s="1"/>
  <c r="BM425" i="1"/>
  <c r="BN424" i="1" s="1"/>
  <c r="BM420" i="1"/>
  <c r="BN419" i="1" s="1"/>
  <c r="BM410" i="1"/>
  <c r="BN409" i="1" s="1"/>
  <c r="BM400" i="1"/>
  <c r="BN399" i="1" s="1"/>
  <c r="BM395" i="1"/>
  <c r="BN394" i="1" s="1"/>
  <c r="BM390" i="1"/>
  <c r="BN389" i="1" s="1"/>
  <c r="BM385" i="1"/>
  <c r="BN384" i="1" s="1"/>
  <c r="BM380" i="1"/>
  <c r="BN379" i="1" s="1"/>
  <c r="BM375" i="1"/>
  <c r="BN374" i="1" s="1"/>
  <c r="BM370" i="1"/>
  <c r="BN369" i="1" s="1"/>
  <c r="BM365" i="1"/>
  <c r="BN364" i="1" s="1"/>
  <c r="BM360" i="1"/>
  <c r="BN359" i="1" s="1"/>
  <c r="BM340" i="1"/>
  <c r="BN339" i="1" s="1"/>
  <c r="BM335" i="1"/>
  <c r="BN334" i="1" s="1"/>
  <c r="BM330" i="1"/>
  <c r="BN329" i="1" s="1"/>
  <c r="BM325" i="1"/>
  <c r="BN324" i="1" s="1"/>
  <c r="BM320" i="1"/>
  <c r="BN319" i="1" s="1"/>
  <c r="BM315" i="1"/>
  <c r="BN314" i="1" s="1"/>
  <c r="BM310" i="1"/>
  <c r="BN309" i="1" s="1"/>
  <c r="BM305" i="1"/>
  <c r="BN304" i="1" s="1"/>
  <c r="BM300" i="1"/>
  <c r="BN299" i="1" s="1"/>
  <c r="BM295" i="1"/>
  <c r="BN294" i="1" s="1"/>
  <c r="BM290" i="1"/>
  <c r="BN289" i="1" s="1"/>
  <c r="BM285" i="1"/>
  <c r="BN284" i="1" s="1"/>
  <c r="BM280" i="1"/>
  <c r="BN279" i="1" s="1"/>
  <c r="BM275" i="1"/>
  <c r="BN274" i="1" s="1"/>
  <c r="BM270" i="1"/>
  <c r="BN269" i="1" s="1"/>
  <c r="BM265" i="1"/>
  <c r="BN264" i="1" s="1"/>
  <c r="BM255" i="1"/>
  <c r="BN254" i="1" s="1"/>
  <c r="BM250" i="1"/>
  <c r="BN249" i="1" s="1"/>
  <c r="BM245" i="1"/>
  <c r="BN244" i="1" s="1"/>
  <c r="BM240" i="1"/>
  <c r="BN239" i="1" s="1"/>
  <c r="BM235" i="1"/>
  <c r="BN234" i="1" s="1"/>
  <c r="BM230" i="1"/>
  <c r="BN229" i="1" s="1"/>
  <c r="BM225" i="1"/>
  <c r="BN224" i="1" s="1"/>
  <c r="BM220" i="1"/>
  <c r="BN219" i="1" s="1"/>
  <c r="BM215" i="1"/>
  <c r="BN214" i="1" s="1"/>
  <c r="BM210" i="1"/>
  <c r="BN209" i="1" s="1"/>
  <c r="BM200" i="1"/>
  <c r="BN199" i="1" s="1"/>
  <c r="BM195" i="1"/>
  <c r="BN194" i="1" s="1"/>
  <c r="BM190" i="1"/>
  <c r="BN189" i="1" s="1"/>
  <c r="BM180" i="1"/>
  <c r="BN179" i="1" s="1"/>
  <c r="BM175" i="1"/>
  <c r="BN174" i="1" s="1"/>
  <c r="BM134" i="1"/>
  <c r="BN133" i="1" s="1"/>
  <c r="BM129" i="1"/>
  <c r="BN128" i="1" s="1"/>
  <c r="BM109" i="1"/>
  <c r="BN108" i="1" s="1"/>
  <c r="BM99" i="1"/>
  <c r="BN98" i="1" s="1"/>
  <c r="BM74" i="1"/>
  <c r="BN73" i="1" s="1"/>
  <c r="BM64" i="1"/>
  <c r="BN63" i="1" s="1"/>
  <c r="BM59" i="1"/>
  <c r="BN58" i="1" s="1"/>
  <c r="BM54" i="1"/>
  <c r="BN53" i="1" s="1"/>
  <c r="BM49" i="1"/>
  <c r="BN48" i="1" s="1"/>
  <c r="BM44" i="1"/>
  <c r="BN43" i="1" s="1"/>
  <c r="BM39" i="1"/>
  <c r="BN38" i="1" s="1"/>
  <c r="BM34" i="1"/>
  <c r="BN33" i="1" s="1"/>
  <c r="BM29" i="1"/>
  <c r="BN28" i="1" s="1"/>
  <c r="BM24" i="1"/>
  <c r="BN23" i="1" s="1"/>
  <c r="BM19" i="1"/>
  <c r="BN18" i="1" s="1"/>
  <c r="BM14" i="1"/>
  <c r="BN13" i="1" s="1"/>
  <c r="BM9" i="1"/>
  <c r="BN8" i="1" s="1"/>
  <c r="BK773" i="1"/>
  <c r="BK775" i="1" s="1"/>
  <c r="BL774" i="1" s="1"/>
  <c r="BK658" i="1"/>
  <c r="BK660" i="1" s="1"/>
  <c r="BL659" i="1" s="1"/>
  <c r="BK723" i="1"/>
  <c r="BK725" i="1" s="1"/>
  <c r="BL724" i="1" s="1"/>
  <c r="BK703" i="1"/>
  <c r="BK705" i="1" s="1"/>
  <c r="BL704" i="1" s="1"/>
  <c r="BK778" i="1"/>
  <c r="BK783" i="1"/>
  <c r="BK668" i="1"/>
  <c r="BK413" i="1"/>
  <c r="BK648" i="1"/>
  <c r="BK793" i="1"/>
  <c r="BK613" i="1"/>
  <c r="BK615" i="1" s="1"/>
  <c r="BL614" i="1" s="1"/>
  <c r="BK698" i="1"/>
  <c r="BK478" i="1"/>
  <c r="BK353" i="1"/>
  <c r="BK355" i="1" s="1"/>
  <c r="BL354" i="1" s="1"/>
  <c r="BK673" i="1"/>
  <c r="BK675" i="1" s="1"/>
  <c r="BL674" i="1" s="1"/>
  <c r="BK463" i="1"/>
  <c r="BL464" i="1" s="1"/>
  <c r="BK738" i="1"/>
  <c r="BK740" i="1" s="1"/>
  <c r="BL739" i="1" s="1"/>
  <c r="BK753" i="1"/>
  <c r="BK755" i="1" s="1"/>
  <c r="BL754" i="1" s="1"/>
  <c r="BK633" i="1"/>
  <c r="BK635" i="1" s="1"/>
  <c r="BL634" i="1" s="1"/>
  <c r="BK348" i="1"/>
  <c r="BK350" i="1" s="1"/>
  <c r="BL349" i="1" s="1"/>
  <c r="BK748" i="1"/>
  <c r="BK583" i="1"/>
  <c r="BK585" i="1" s="1"/>
  <c r="BL584" i="1" s="1"/>
  <c r="BK423" i="1"/>
  <c r="BK448" i="1"/>
  <c r="BK450" i="1" s="1"/>
  <c r="BL449" i="1" s="1"/>
  <c r="BK618" i="1"/>
  <c r="BK653" i="1"/>
  <c r="BI653" i="1"/>
  <c r="BK508" i="1"/>
  <c r="BK510" i="1" s="1"/>
  <c r="BL509" i="1" s="1"/>
  <c r="BC563" i="1"/>
  <c r="BC565" i="1" s="1"/>
  <c r="BD564" i="1" s="1"/>
  <c r="BK678" i="1"/>
  <c r="BK680" i="1" s="1"/>
  <c r="BL679" i="1" s="1"/>
  <c r="BK733" i="1"/>
  <c r="BK735" i="1" s="1"/>
  <c r="BK513" i="1"/>
  <c r="BK515" i="1" s="1"/>
  <c r="BL514" i="1" s="1"/>
  <c r="BI433" i="1"/>
  <c r="BI435" i="1" s="1"/>
  <c r="BJ434" i="1" s="1"/>
  <c r="P1" i="7"/>
  <c r="O1" i="7"/>
  <c r="N1" i="7"/>
  <c r="M1" i="7"/>
  <c r="L1" i="7"/>
  <c r="K1" i="7"/>
  <c r="BI393" i="1"/>
  <c r="BI395" i="1" s="1"/>
  <c r="BJ394" i="1" s="1"/>
  <c r="BK453" i="1"/>
  <c r="BK455" i="1" s="1"/>
  <c r="BL454" i="1" s="1"/>
  <c r="BK518" i="1"/>
  <c r="BK520" i="1" s="1"/>
  <c r="BL519" i="1" s="1"/>
  <c r="BK643" i="1"/>
  <c r="BK645" i="1" s="1"/>
  <c r="BL644" i="1" s="1"/>
  <c r="BK803" i="1"/>
  <c r="BK805" i="1" s="1"/>
  <c r="BL804" i="1" s="1"/>
  <c r="BK403" i="1"/>
  <c r="BK405" i="1" s="1"/>
  <c r="BL404" i="1" s="1"/>
  <c r="BI403" i="1"/>
  <c r="BI633" i="1"/>
  <c r="BI635" i="1" s="1"/>
  <c r="BJ634" i="1" s="1"/>
  <c r="BK568" i="1"/>
  <c r="BK538" i="1"/>
  <c r="BK540" i="1" s="1"/>
  <c r="BL539" i="1" s="1"/>
  <c r="BK533" i="1"/>
  <c r="BK535" i="1" s="1"/>
  <c r="BL534" i="1" s="1"/>
  <c r="BK553" i="1"/>
  <c r="BK555" i="1" s="1"/>
  <c r="BL554" i="1" s="1"/>
  <c r="BK528" i="1"/>
  <c r="BK530" i="1" s="1"/>
  <c r="BL529" i="1" s="1"/>
  <c r="BK523" i="1"/>
  <c r="BK548" i="1"/>
  <c r="BK550" i="1" s="1"/>
  <c r="BL549" i="1" s="1"/>
  <c r="BK558" i="1"/>
  <c r="BK560" i="1" s="1"/>
  <c r="BL559" i="1" s="1"/>
  <c r="BK62" i="1"/>
  <c r="BK663" i="1"/>
  <c r="BI703" i="1"/>
  <c r="BI638" i="1"/>
  <c r="BI598" i="1"/>
  <c r="BI600" i="1" s="1"/>
  <c r="BJ599" i="1" s="1"/>
  <c r="BI173" i="1"/>
  <c r="BI668" i="1"/>
  <c r="BI778" i="1"/>
  <c r="BI693" i="1"/>
  <c r="BI695" i="1" s="1"/>
  <c r="BJ694" i="1" s="1"/>
  <c r="BI753" i="1"/>
  <c r="BI755" i="1" s="1"/>
  <c r="BJ754" i="1" s="1"/>
  <c r="BI618" i="1"/>
  <c r="BK798" i="1"/>
  <c r="BK800" i="1" s="1"/>
  <c r="BL799" i="1" s="1"/>
  <c r="BI255" i="1"/>
  <c r="BJ254" i="1" s="1"/>
  <c r="BK810" i="1"/>
  <c r="BL809" i="1" s="1"/>
  <c r="BK790" i="1"/>
  <c r="BL789" i="1" s="1"/>
  <c r="BK760" i="1"/>
  <c r="BL759" i="1" s="1"/>
  <c r="BK745" i="1"/>
  <c r="BL744" i="1" s="1"/>
  <c r="BK720" i="1"/>
  <c r="BL719" i="1" s="1"/>
  <c r="BK715" i="1"/>
  <c r="BL714" i="1" s="1"/>
  <c r="BK710" i="1"/>
  <c r="BL709" i="1" s="1"/>
  <c r="BK690" i="1"/>
  <c r="BL689" i="1" s="1"/>
  <c r="BK630" i="1"/>
  <c r="BL629" i="1" s="1"/>
  <c r="BK610" i="1"/>
  <c r="BL609" i="1" s="1"/>
  <c r="BK605" i="1"/>
  <c r="BL604" i="1" s="1"/>
  <c r="BK590" i="1"/>
  <c r="BL589" i="1" s="1"/>
  <c r="BK580" i="1"/>
  <c r="BL579" i="1" s="1"/>
  <c r="BK575" i="1"/>
  <c r="BL574" i="1" s="1"/>
  <c r="BK565" i="1"/>
  <c r="BL564" i="1" s="1"/>
  <c r="BK500" i="1"/>
  <c r="BL499" i="1" s="1"/>
  <c r="BK490" i="1"/>
  <c r="BL489" i="1" s="1"/>
  <c r="BK485" i="1"/>
  <c r="BL484" i="1" s="1"/>
  <c r="BK475" i="1"/>
  <c r="BL474" i="1" s="1"/>
  <c r="BK470" i="1"/>
  <c r="BL469" i="1" s="1"/>
  <c r="BK460" i="1"/>
  <c r="BL459" i="1" s="1"/>
  <c r="BK445" i="1"/>
  <c r="BL444" i="1" s="1"/>
  <c r="BK440" i="1"/>
  <c r="BL439" i="1" s="1"/>
  <c r="BK435" i="1"/>
  <c r="BL434" i="1" s="1"/>
  <c r="BK430" i="1"/>
  <c r="BL429" i="1" s="1"/>
  <c r="BK420" i="1"/>
  <c r="BL419" i="1" s="1"/>
  <c r="BK410" i="1"/>
  <c r="BL409" i="1" s="1"/>
  <c r="BK400" i="1"/>
  <c r="BL399" i="1" s="1"/>
  <c r="BK390" i="1"/>
  <c r="BL389" i="1" s="1"/>
  <c r="BK385" i="1"/>
  <c r="BL384" i="1" s="1"/>
  <c r="BK380" i="1"/>
  <c r="BL379" i="1" s="1"/>
  <c r="BK375" i="1"/>
  <c r="BL374" i="1" s="1"/>
  <c r="BK370" i="1"/>
  <c r="BL369" i="1" s="1"/>
  <c r="BK365" i="1"/>
  <c r="BL364" i="1" s="1"/>
  <c r="BK360" i="1"/>
  <c r="BL359" i="1" s="1"/>
  <c r="BK345" i="1"/>
  <c r="BL344" i="1" s="1"/>
  <c r="BK340" i="1"/>
  <c r="BL339" i="1" s="1"/>
  <c r="BK335" i="1"/>
  <c r="BL334" i="1" s="1"/>
  <c r="BK330" i="1"/>
  <c r="BL329" i="1" s="1"/>
  <c r="BK325" i="1"/>
  <c r="BL324" i="1" s="1"/>
  <c r="BK320" i="1"/>
  <c r="BL319" i="1" s="1"/>
  <c r="BK315" i="1"/>
  <c r="BL314" i="1" s="1"/>
  <c r="BK310" i="1"/>
  <c r="BL309" i="1" s="1"/>
  <c r="BK305" i="1"/>
  <c r="BL304" i="1" s="1"/>
  <c r="BK300" i="1"/>
  <c r="BL299" i="1" s="1"/>
  <c r="BK295" i="1"/>
  <c r="BL294" i="1" s="1"/>
  <c r="BK290" i="1"/>
  <c r="BL289" i="1" s="1"/>
  <c r="BK285" i="1"/>
  <c r="BL284" i="1" s="1"/>
  <c r="BK280" i="1"/>
  <c r="BL279" i="1" s="1"/>
  <c r="BK275" i="1"/>
  <c r="BL274" i="1" s="1"/>
  <c r="BK270" i="1"/>
  <c r="BL269" i="1" s="1"/>
  <c r="BK265" i="1"/>
  <c r="BL264" i="1" s="1"/>
  <c r="BK260" i="1"/>
  <c r="BK255" i="1"/>
  <c r="BL254" i="1" s="1"/>
  <c r="BK250" i="1"/>
  <c r="BL249" i="1" s="1"/>
  <c r="BK245" i="1"/>
  <c r="BL244" i="1" s="1"/>
  <c r="BK240" i="1"/>
  <c r="BL239" i="1" s="1"/>
  <c r="BK230" i="1"/>
  <c r="BL229" i="1" s="1"/>
  <c r="BK225" i="1"/>
  <c r="BL224" i="1" s="1"/>
  <c r="BK220" i="1"/>
  <c r="BL219" i="1" s="1"/>
  <c r="BK215" i="1"/>
  <c r="BL214" i="1" s="1"/>
  <c r="BK210" i="1"/>
  <c r="BL209" i="1" s="1"/>
  <c r="BK205" i="1"/>
  <c r="BL204" i="1" s="1"/>
  <c r="BK200" i="1"/>
  <c r="BL199" i="1" s="1"/>
  <c r="BK195" i="1"/>
  <c r="BL194" i="1" s="1"/>
  <c r="BK190" i="1"/>
  <c r="BL189" i="1" s="1"/>
  <c r="BK180" i="1"/>
  <c r="BL179" i="1" s="1"/>
  <c r="BK175" i="1"/>
  <c r="BL174" i="1" s="1"/>
  <c r="BK134" i="1"/>
  <c r="BL133" i="1" s="1"/>
  <c r="BK129" i="1"/>
  <c r="BL128" i="1" s="1"/>
  <c r="BK109" i="1"/>
  <c r="BL108" i="1" s="1"/>
  <c r="BK104" i="1"/>
  <c r="BL103" i="1" s="1"/>
  <c r="BK99" i="1"/>
  <c r="BL98" i="1" s="1"/>
  <c r="BK89" i="1"/>
  <c r="BK74" i="1"/>
  <c r="BL73" i="1" s="1"/>
  <c r="BK69" i="1"/>
  <c r="BL68" i="1" s="1"/>
  <c r="BK59" i="1"/>
  <c r="BL58" i="1" s="1"/>
  <c r="BK54" i="1"/>
  <c r="BL53" i="1" s="1"/>
  <c r="BK49" i="1"/>
  <c r="BL48" i="1" s="1"/>
  <c r="BK44" i="1"/>
  <c r="BL43" i="1" s="1"/>
  <c r="BK39" i="1"/>
  <c r="BL38" i="1" s="1"/>
  <c r="BK34" i="1"/>
  <c r="BL33" i="1" s="1"/>
  <c r="BK29" i="1"/>
  <c r="BL28" i="1" s="1"/>
  <c r="BK24" i="1"/>
  <c r="BL23" i="1" s="1"/>
  <c r="BK19" i="1"/>
  <c r="BL18" i="1" s="1"/>
  <c r="BK14" i="1"/>
  <c r="BL13" i="1" s="1"/>
  <c r="BK9" i="1"/>
  <c r="BL8" i="1" s="1"/>
  <c r="BI683" i="1"/>
  <c r="BI685" i="1" s="1"/>
  <c r="BJ684" i="1" s="1"/>
  <c r="BI503" i="1"/>
  <c r="BG503" i="1"/>
  <c r="BI728" i="1"/>
  <c r="BI730" i="1" s="1"/>
  <c r="BI463" i="1"/>
  <c r="BJ464" i="1" s="1"/>
  <c r="BI363" i="1"/>
  <c r="BI365" i="1" s="1"/>
  <c r="BJ364" i="1" s="1"/>
  <c r="BI673" i="1"/>
  <c r="BI698" i="1"/>
  <c r="BI700" i="1" s="1"/>
  <c r="BJ699" i="1" s="1"/>
  <c r="BI478" i="1"/>
  <c r="BI480" i="1" s="1"/>
  <c r="BJ479" i="1" s="1"/>
  <c r="BI423" i="1"/>
  <c r="BI353" i="1"/>
  <c r="BI355" i="1" s="1"/>
  <c r="BJ354" i="1" s="1"/>
  <c r="BI603" i="1"/>
  <c r="BI605" i="1" s="1"/>
  <c r="BJ604" i="1" s="1"/>
  <c r="BI448" i="1"/>
  <c r="BI450" i="1" s="1"/>
  <c r="BJ449" i="1" s="1"/>
  <c r="BI348" i="1"/>
  <c r="BI413" i="1"/>
  <c r="BI583" i="1"/>
  <c r="BI585" i="1" s="1"/>
  <c r="BJ584" i="1" s="1"/>
  <c r="BI748" i="1"/>
  <c r="BI750" i="1" s="1"/>
  <c r="BJ749" i="1" s="1"/>
  <c r="BI738" i="1"/>
  <c r="BI740" i="1" s="1"/>
  <c r="BJ739" i="1" s="1"/>
  <c r="BI613" i="1"/>
  <c r="BG613" i="1"/>
  <c r="BG615" i="1" s="1"/>
  <c r="BH614" i="1" s="1"/>
  <c r="BI723" i="1"/>
  <c r="BI725" i="1" s="1"/>
  <c r="BJ724" i="1" s="1"/>
  <c r="BI783" i="1"/>
  <c r="BI785" i="1" s="1"/>
  <c r="BJ784" i="1" s="1"/>
  <c r="BI773" i="1"/>
  <c r="BI775" i="1" s="1"/>
  <c r="BJ774" i="1" s="1"/>
  <c r="BI458" i="1"/>
  <c r="BI460" i="1" s="1"/>
  <c r="BJ459" i="1" s="1"/>
  <c r="BI648" i="1"/>
  <c r="BI658" i="1"/>
  <c r="BI660" i="1" s="1"/>
  <c r="BJ659" i="1" s="1"/>
  <c r="BI743" i="1"/>
  <c r="BI745" i="1" s="1"/>
  <c r="BJ744" i="1" s="1"/>
  <c r="BI793" i="1"/>
  <c r="BI795" i="1" s="1"/>
  <c r="BJ794" i="1" s="1"/>
  <c r="BE500" i="1"/>
  <c r="BF499" i="1" s="1"/>
  <c r="BG413" i="1"/>
  <c r="BG415" i="1" s="1"/>
  <c r="BH414" i="1" s="1"/>
  <c r="BE413" i="1"/>
  <c r="BE415" i="1" s="1"/>
  <c r="BF414" i="1" s="1"/>
  <c r="BG233" i="1"/>
  <c r="BG235" i="1" s="1"/>
  <c r="BH234" i="1" s="1"/>
  <c r="BI593" i="1"/>
  <c r="BI595" i="1" s="1"/>
  <c r="BJ594" i="1" s="1"/>
  <c r="BG593" i="1"/>
  <c r="BG595" i="1" s="1"/>
  <c r="BH594" i="1" s="1"/>
  <c r="BG728" i="1"/>
  <c r="BG730" i="1" s="1"/>
  <c r="BI678" i="1"/>
  <c r="BG678" i="1"/>
  <c r="BG680" i="1" s="1"/>
  <c r="BH679" i="1" s="1"/>
  <c r="BG773" i="1"/>
  <c r="BG778" i="1"/>
  <c r="BG780" i="1" s="1"/>
  <c r="BH779" i="1" s="1"/>
  <c r="BG783" i="1"/>
  <c r="BG785" i="1" s="1"/>
  <c r="BH784" i="1" s="1"/>
  <c r="BI733" i="1"/>
  <c r="BI735" i="1" s="1"/>
  <c r="BG703" i="1"/>
  <c r="BG705" i="1" s="1"/>
  <c r="BH704" i="1" s="1"/>
  <c r="BI513" i="1"/>
  <c r="BI515" i="1" s="1"/>
  <c r="BJ514" i="1" s="1"/>
  <c r="BI508" i="1"/>
  <c r="BI510" i="1" s="1"/>
  <c r="BJ509" i="1" s="1"/>
  <c r="BI643" i="1"/>
  <c r="BI645" i="1" s="1"/>
  <c r="BJ644" i="1" s="1"/>
  <c r="BI453" i="1"/>
  <c r="BI798" i="1"/>
  <c r="BI800" i="1" s="1"/>
  <c r="BJ799" i="1" s="1"/>
  <c r="BI528" i="1"/>
  <c r="BI533" i="1"/>
  <c r="BI535" i="1" s="1"/>
  <c r="BJ534" i="1" s="1"/>
  <c r="BI538" i="1"/>
  <c r="BI540" i="1" s="1"/>
  <c r="BJ539" i="1" s="1"/>
  <c r="BI543" i="1"/>
  <c r="BI545" i="1" s="1"/>
  <c r="BJ544" i="1" s="1"/>
  <c r="BI553" i="1"/>
  <c r="BI555" i="1" s="1"/>
  <c r="BJ554" i="1" s="1"/>
  <c r="BI548" i="1"/>
  <c r="BI550" i="1" s="1"/>
  <c r="BJ549" i="1" s="1"/>
  <c r="BI558" i="1"/>
  <c r="BI523" i="1"/>
  <c r="BI525" i="1" s="1"/>
  <c r="BJ524" i="1" s="1"/>
  <c r="BG102" i="1"/>
  <c r="BG104" i="1" s="1"/>
  <c r="BH103" i="1" s="1"/>
  <c r="BI368" i="1"/>
  <c r="BI370" i="1" s="1"/>
  <c r="BJ369" i="1" s="1"/>
  <c r="BI573" i="1"/>
  <c r="BI575" i="1" s="1"/>
  <c r="BJ574" i="1" s="1"/>
  <c r="BI788" i="1"/>
  <c r="BG463" i="1"/>
  <c r="BG598" i="1"/>
  <c r="BG600" i="1" s="1"/>
  <c r="BH599" i="1" s="1"/>
  <c r="BG178" i="1"/>
  <c r="BG173" i="1"/>
  <c r="BG175" i="1" s="1"/>
  <c r="BH174" i="1" s="1"/>
  <c r="BG428" i="1"/>
  <c r="BG430" i="1" s="1"/>
  <c r="BH429" i="1" s="1"/>
  <c r="BI488" i="1"/>
  <c r="BI490" i="1" s="1"/>
  <c r="BJ489" i="1" s="1"/>
  <c r="BI568" i="1"/>
  <c r="BI570" i="1" s="1"/>
  <c r="BJ569" i="1" s="1"/>
  <c r="BI663" i="1"/>
  <c r="BA623" i="1"/>
  <c r="BA625" i="1" s="1"/>
  <c r="BB624" i="1" s="1"/>
  <c r="AX623" i="1"/>
  <c r="AX625" i="1" s="1"/>
  <c r="AY624" i="1" s="1"/>
  <c r="BG348" i="1"/>
  <c r="BG603" i="1"/>
  <c r="BG605" i="1" s="1"/>
  <c r="BH604" i="1" s="1"/>
  <c r="BG478" i="1"/>
  <c r="BG480" i="1" s="1"/>
  <c r="BH479" i="1" s="1"/>
  <c r="BG648" i="1"/>
  <c r="BG650" i="1" s="1"/>
  <c r="BH649" i="1" s="1"/>
  <c r="BG658" i="1"/>
  <c r="BG660" i="1" s="1"/>
  <c r="BH659" i="1" s="1"/>
  <c r="BG748" i="1"/>
  <c r="BG750" i="1" s="1"/>
  <c r="BH749" i="1" s="1"/>
  <c r="BG793" i="1"/>
  <c r="BG795" i="1" s="1"/>
  <c r="BH794" i="1" s="1"/>
  <c r="BG798" i="1"/>
  <c r="BG800" i="1" s="1"/>
  <c r="BH799" i="1" s="1"/>
  <c r="BG693" i="1"/>
  <c r="BG695" i="1" s="1"/>
  <c r="BH694" i="1" s="1"/>
  <c r="BG638" i="1"/>
  <c r="BG640" i="1" s="1"/>
  <c r="BH639" i="1" s="1"/>
  <c r="BG633" i="1"/>
  <c r="BG635" i="1" s="1"/>
  <c r="BH634" i="1" s="1"/>
  <c r="BG353" i="1"/>
  <c r="BG355" i="1" s="1"/>
  <c r="BH354" i="1" s="1"/>
  <c r="BG458" i="1"/>
  <c r="BG460" i="1" s="1"/>
  <c r="BH459" i="1" s="1"/>
  <c r="BG448" i="1"/>
  <c r="BG450" i="1" s="1"/>
  <c r="BH449" i="1" s="1"/>
  <c r="BG583" i="1"/>
  <c r="BG585" i="1" s="1"/>
  <c r="BH584" i="1" s="1"/>
  <c r="BG753" i="1"/>
  <c r="BG755" i="1" s="1"/>
  <c r="BH754" i="1" s="1"/>
  <c r="BG738" i="1"/>
  <c r="BG423" i="1"/>
  <c r="BG425" i="1" s="1"/>
  <c r="BH424" i="1" s="1"/>
  <c r="BG393" i="1"/>
  <c r="BG723" i="1"/>
  <c r="BG725" i="1" s="1"/>
  <c r="BH724" i="1" s="1"/>
  <c r="BG668" i="1"/>
  <c r="BG670" i="1" s="1"/>
  <c r="BH669" i="1" s="1"/>
  <c r="BG698" i="1"/>
  <c r="BG700" i="1" s="1"/>
  <c r="BH699" i="1" s="1"/>
  <c r="BG618" i="1"/>
  <c r="BG620" i="1" s="1"/>
  <c r="BH619" i="1" s="1"/>
  <c r="BE618" i="1"/>
  <c r="BE620" i="1" s="1"/>
  <c r="BF619" i="1" s="1"/>
  <c r="BG763" i="1"/>
  <c r="BG765" i="1" s="1"/>
  <c r="BH764" i="1" s="1"/>
  <c r="BG768" i="1"/>
  <c r="BG770" i="1" s="1"/>
  <c r="BH769" i="1" s="1"/>
  <c r="BI810" i="1"/>
  <c r="BJ809" i="1" s="1"/>
  <c r="BI805" i="1"/>
  <c r="BJ804" i="1" s="1"/>
  <c r="BI770" i="1"/>
  <c r="BJ769" i="1" s="1"/>
  <c r="BI765" i="1"/>
  <c r="BJ764" i="1" s="1"/>
  <c r="BI760" i="1"/>
  <c r="BJ759" i="1" s="1"/>
  <c r="BI720" i="1"/>
  <c r="BJ719" i="1" s="1"/>
  <c r="BI715" i="1"/>
  <c r="BJ714" i="1" s="1"/>
  <c r="BI710" i="1"/>
  <c r="BJ709" i="1" s="1"/>
  <c r="BI690" i="1"/>
  <c r="BJ689" i="1" s="1"/>
  <c r="BI630" i="1"/>
  <c r="BJ629" i="1" s="1"/>
  <c r="BI610" i="1"/>
  <c r="BJ609" i="1" s="1"/>
  <c r="BI590" i="1"/>
  <c r="BJ589" i="1" s="1"/>
  <c r="BI580" i="1"/>
  <c r="BJ579" i="1" s="1"/>
  <c r="BI500" i="1"/>
  <c r="BJ499" i="1" s="1"/>
  <c r="BI495" i="1"/>
  <c r="BJ494" i="1" s="1"/>
  <c r="BI485" i="1"/>
  <c r="BJ484" i="1" s="1"/>
  <c r="BI475" i="1"/>
  <c r="BJ474" i="1" s="1"/>
  <c r="BI470" i="1"/>
  <c r="BJ469" i="1" s="1"/>
  <c r="BI445" i="1"/>
  <c r="BJ444" i="1" s="1"/>
  <c r="BI440" i="1"/>
  <c r="BJ439" i="1" s="1"/>
  <c r="BI430" i="1"/>
  <c r="BJ429" i="1" s="1"/>
  <c r="BI420" i="1"/>
  <c r="BJ419" i="1" s="1"/>
  <c r="BI410" i="1"/>
  <c r="BJ409" i="1" s="1"/>
  <c r="BI400" i="1"/>
  <c r="BJ399" i="1" s="1"/>
  <c r="BI390" i="1"/>
  <c r="BJ389" i="1" s="1"/>
  <c r="BI385" i="1"/>
  <c r="BJ384" i="1" s="1"/>
  <c r="BI380" i="1"/>
  <c r="BJ379" i="1" s="1"/>
  <c r="BI375" i="1"/>
  <c r="BJ374" i="1" s="1"/>
  <c r="BI360" i="1"/>
  <c r="BJ359" i="1" s="1"/>
  <c r="BI345" i="1"/>
  <c r="BJ344" i="1" s="1"/>
  <c r="BI340" i="1"/>
  <c r="BJ339" i="1" s="1"/>
  <c r="BI335" i="1"/>
  <c r="BJ334" i="1" s="1"/>
  <c r="BI330" i="1"/>
  <c r="BJ329" i="1" s="1"/>
  <c r="BI325" i="1"/>
  <c r="BJ324" i="1" s="1"/>
  <c r="BI320" i="1"/>
  <c r="BJ319" i="1" s="1"/>
  <c r="BI315" i="1"/>
  <c r="BJ314" i="1" s="1"/>
  <c r="BI310" i="1"/>
  <c r="BJ309" i="1" s="1"/>
  <c r="BI305" i="1"/>
  <c r="BJ304" i="1" s="1"/>
  <c r="BI300" i="1"/>
  <c r="BJ299" i="1" s="1"/>
  <c r="BI295" i="1"/>
  <c r="BJ294" i="1" s="1"/>
  <c r="BI290" i="1"/>
  <c r="BJ289" i="1" s="1"/>
  <c r="BI285" i="1"/>
  <c r="BJ284" i="1" s="1"/>
  <c r="BI280" i="1"/>
  <c r="BJ279" i="1" s="1"/>
  <c r="BI275" i="1"/>
  <c r="BJ274" i="1" s="1"/>
  <c r="BI270" i="1"/>
  <c r="BJ269" i="1" s="1"/>
  <c r="BI265" i="1"/>
  <c r="BJ264" i="1" s="1"/>
  <c r="BI260" i="1"/>
  <c r="BI250" i="1"/>
  <c r="BJ249" i="1" s="1"/>
  <c r="BI245" i="1"/>
  <c r="BJ244" i="1" s="1"/>
  <c r="BI240" i="1"/>
  <c r="BJ239" i="1" s="1"/>
  <c r="BI235" i="1"/>
  <c r="BJ234" i="1" s="1"/>
  <c r="BI230" i="1"/>
  <c r="BJ229" i="1" s="1"/>
  <c r="BI225" i="1"/>
  <c r="BJ224" i="1" s="1"/>
  <c r="BI220" i="1"/>
  <c r="BJ219" i="1" s="1"/>
  <c r="BI215" i="1"/>
  <c r="BJ214" i="1" s="1"/>
  <c r="BI210" i="1"/>
  <c r="BJ209" i="1" s="1"/>
  <c r="BI205" i="1"/>
  <c r="BJ204" i="1" s="1"/>
  <c r="BI200" i="1"/>
  <c r="BJ199" i="1" s="1"/>
  <c r="BI195" i="1"/>
  <c r="BJ194" i="1" s="1"/>
  <c r="BI190" i="1"/>
  <c r="BJ189" i="1" s="1"/>
  <c r="BI180" i="1"/>
  <c r="BJ179" i="1" s="1"/>
  <c r="BI134" i="1"/>
  <c r="BJ133" i="1" s="1"/>
  <c r="BI129" i="1"/>
  <c r="BJ128" i="1" s="1"/>
  <c r="BI109" i="1"/>
  <c r="BJ108" i="1" s="1"/>
  <c r="BI104" i="1"/>
  <c r="BJ103" i="1" s="1"/>
  <c r="BI99" i="1"/>
  <c r="BJ98" i="1" s="1"/>
  <c r="BI89" i="1"/>
  <c r="BI74" i="1"/>
  <c r="BJ73" i="1" s="1"/>
  <c r="BI64" i="1"/>
  <c r="BJ63" i="1" s="1"/>
  <c r="BI59" i="1"/>
  <c r="BJ58" i="1" s="1"/>
  <c r="BI54" i="1"/>
  <c r="BJ53" i="1" s="1"/>
  <c r="BI49" i="1"/>
  <c r="BJ48" i="1" s="1"/>
  <c r="BI44" i="1"/>
  <c r="BJ43" i="1" s="1"/>
  <c r="BI39" i="1"/>
  <c r="BJ38" i="1" s="1"/>
  <c r="BI34" i="1"/>
  <c r="BJ33" i="1" s="1"/>
  <c r="BI29" i="1"/>
  <c r="BJ28" i="1" s="1"/>
  <c r="BI24" i="1"/>
  <c r="BJ23" i="1" s="1"/>
  <c r="BI19" i="1"/>
  <c r="BJ18" i="1" s="1"/>
  <c r="BI14" i="1"/>
  <c r="BJ13" i="1" s="1"/>
  <c r="BI9" i="1"/>
  <c r="BJ8" i="1" s="1"/>
  <c r="BG435" i="1"/>
  <c r="BH434" i="1" s="1"/>
  <c r="BG87" i="1"/>
  <c r="BG790" i="1"/>
  <c r="BH789" i="1" s="1"/>
  <c r="BG733" i="1"/>
  <c r="BG735" i="1" s="1"/>
  <c r="BE393" i="1"/>
  <c r="BE395" i="1" s="1"/>
  <c r="BF394" i="1" s="1"/>
  <c r="BC393" i="1"/>
  <c r="BC395" i="1" s="1"/>
  <c r="BD394" i="1" s="1"/>
  <c r="BE693" i="1"/>
  <c r="BE695" i="1" s="1"/>
  <c r="BF694" i="1" s="1"/>
  <c r="BC678" i="1"/>
  <c r="BC680" i="1" s="1"/>
  <c r="BD679" i="1" s="1"/>
  <c r="BE668" i="1"/>
  <c r="BE670" i="1" s="1"/>
  <c r="BF669" i="1" s="1"/>
  <c r="BC668" i="1"/>
  <c r="BC670" i="1" s="1"/>
  <c r="BD669" i="1" s="1"/>
  <c r="BE783" i="1"/>
  <c r="BE785" i="1" s="1"/>
  <c r="BF784" i="1" s="1"/>
  <c r="BE778" i="1"/>
  <c r="BE780" i="1" s="1"/>
  <c r="BF779" i="1" s="1"/>
  <c r="BE773" i="1"/>
  <c r="BE775" i="1" s="1"/>
  <c r="BF774" i="1" s="1"/>
  <c r="BE678" i="1"/>
  <c r="BE680" i="1" s="1"/>
  <c r="BF679" i="1" s="1"/>
  <c r="BE458" i="1"/>
  <c r="BE460" i="1" s="1"/>
  <c r="BF459" i="1" s="1"/>
  <c r="BG663" i="1"/>
  <c r="BG665" i="1" s="1"/>
  <c r="BE663" i="1"/>
  <c r="BE665" i="1" s="1"/>
  <c r="BC663" i="1"/>
  <c r="BC665" i="1" s="1"/>
  <c r="BG345" i="1"/>
  <c r="BH344" i="1" s="1"/>
  <c r="BG245" i="1"/>
  <c r="BH244" i="1" s="1"/>
  <c r="BG109" i="1"/>
  <c r="BH108" i="1" s="1"/>
  <c r="BG518" i="1"/>
  <c r="BG520" i="1" s="1"/>
  <c r="BH519" i="1" s="1"/>
  <c r="BG508" i="1"/>
  <c r="BG510" i="1" s="1"/>
  <c r="BH509" i="1" s="1"/>
  <c r="BG513" i="1"/>
  <c r="BG515" i="1" s="1"/>
  <c r="BH514" i="1" s="1"/>
  <c r="BG643" i="1"/>
  <c r="BG645" i="1" s="1"/>
  <c r="BH644" i="1" s="1"/>
  <c r="BE428" i="1"/>
  <c r="BE430" i="1" s="1"/>
  <c r="BF429" i="1" s="1"/>
  <c r="BE178" i="1"/>
  <c r="BE180" i="1" s="1"/>
  <c r="BF179" i="1" s="1"/>
  <c r="BG453" i="1"/>
  <c r="BG455" i="1" s="1"/>
  <c r="BH454" i="1" s="1"/>
  <c r="BE763" i="1"/>
  <c r="BE765" i="1" s="1"/>
  <c r="BF764" i="1" s="1"/>
  <c r="BE768" i="1"/>
  <c r="BE770" i="1" s="1"/>
  <c r="BF769" i="1" s="1"/>
  <c r="BG543" i="1"/>
  <c r="BG545" i="1" s="1"/>
  <c r="BH544" i="1" s="1"/>
  <c r="BG558" i="1"/>
  <c r="BG560" i="1" s="1"/>
  <c r="BH559" i="1" s="1"/>
  <c r="BG548" i="1"/>
  <c r="BG550" i="1" s="1"/>
  <c r="BH549" i="1" s="1"/>
  <c r="BG533" i="1"/>
  <c r="BG535" i="1" s="1"/>
  <c r="BH534" i="1" s="1"/>
  <c r="BG528" i="1"/>
  <c r="BG530" i="1" s="1"/>
  <c r="BH529" i="1" s="1"/>
  <c r="BG523" i="1"/>
  <c r="BG525" i="1" s="1"/>
  <c r="BH524" i="1" s="1"/>
  <c r="BG553" i="1"/>
  <c r="BG555" i="1" s="1"/>
  <c r="BH554" i="1" s="1"/>
  <c r="BG568" i="1"/>
  <c r="BG570" i="1" s="1"/>
  <c r="BH569" i="1" s="1"/>
  <c r="BG538" i="1"/>
  <c r="BG540" i="1" s="1"/>
  <c r="BH539" i="1" s="1"/>
  <c r="BG760" i="1"/>
  <c r="BH759" i="1" s="1"/>
  <c r="BG745" i="1"/>
  <c r="BH744" i="1" s="1"/>
  <c r="BG720" i="1"/>
  <c r="BH719" i="1" s="1"/>
  <c r="BG715" i="1"/>
  <c r="BH714" i="1" s="1"/>
  <c r="BG690" i="1"/>
  <c r="BH689" i="1" s="1"/>
  <c r="BG685" i="1"/>
  <c r="BH684" i="1" s="1"/>
  <c r="BG655" i="1"/>
  <c r="BH654" i="1" s="1"/>
  <c r="BG630" i="1"/>
  <c r="BH629" i="1" s="1"/>
  <c r="BG590" i="1"/>
  <c r="BH589" i="1" s="1"/>
  <c r="BG580" i="1"/>
  <c r="BH579" i="1" s="1"/>
  <c r="BG575" i="1"/>
  <c r="BH574" i="1" s="1"/>
  <c r="BG565" i="1"/>
  <c r="BH564" i="1" s="1"/>
  <c r="BG500" i="1"/>
  <c r="BH499" i="1" s="1"/>
  <c r="BG495" i="1"/>
  <c r="BH494" i="1" s="1"/>
  <c r="BG490" i="1"/>
  <c r="BH489" i="1" s="1"/>
  <c r="BG485" i="1"/>
  <c r="BH484" i="1" s="1"/>
  <c r="BG475" i="1"/>
  <c r="BH474" i="1" s="1"/>
  <c r="BG445" i="1"/>
  <c r="BH444" i="1" s="1"/>
  <c r="BG440" i="1"/>
  <c r="BH439" i="1" s="1"/>
  <c r="BG400" i="1"/>
  <c r="BH399" i="1" s="1"/>
  <c r="BG390" i="1"/>
  <c r="BH389" i="1" s="1"/>
  <c r="BG385" i="1"/>
  <c r="BH384" i="1" s="1"/>
  <c r="BG380" i="1"/>
  <c r="BH379" i="1" s="1"/>
  <c r="BG375" i="1"/>
  <c r="BH374" i="1" s="1"/>
  <c r="BG370" i="1"/>
  <c r="BH369" i="1" s="1"/>
  <c r="BG365" i="1"/>
  <c r="BH364" i="1" s="1"/>
  <c r="BG360" i="1"/>
  <c r="BH359" i="1" s="1"/>
  <c r="BG340" i="1"/>
  <c r="BH339" i="1" s="1"/>
  <c r="BG335" i="1"/>
  <c r="BH334" i="1" s="1"/>
  <c r="BG330" i="1"/>
  <c r="BH329" i="1" s="1"/>
  <c r="BG325" i="1"/>
  <c r="BH324" i="1" s="1"/>
  <c r="BG320" i="1"/>
  <c r="BH319" i="1" s="1"/>
  <c r="BG315" i="1"/>
  <c r="BH314" i="1" s="1"/>
  <c r="BG310" i="1"/>
  <c r="BH309" i="1" s="1"/>
  <c r="BG305" i="1"/>
  <c r="BH304" i="1" s="1"/>
  <c r="BG300" i="1"/>
  <c r="BH299" i="1" s="1"/>
  <c r="BG295" i="1"/>
  <c r="BH294" i="1" s="1"/>
  <c r="BG290" i="1"/>
  <c r="BH289" i="1" s="1"/>
  <c r="BG285" i="1"/>
  <c r="BH284" i="1" s="1"/>
  <c r="BG280" i="1"/>
  <c r="BH279" i="1" s="1"/>
  <c r="BG275" i="1"/>
  <c r="BH274" i="1" s="1"/>
  <c r="BG270" i="1"/>
  <c r="BH269" i="1" s="1"/>
  <c r="BG265" i="1"/>
  <c r="BH264" i="1" s="1"/>
  <c r="BG260" i="1"/>
  <c r="BG255" i="1"/>
  <c r="BH254" i="1" s="1"/>
  <c r="BG250" i="1"/>
  <c r="BH249" i="1" s="1"/>
  <c r="BG240" i="1"/>
  <c r="BH239" i="1" s="1"/>
  <c r="BG230" i="1"/>
  <c r="BH229" i="1" s="1"/>
  <c r="BG225" i="1"/>
  <c r="BH224" i="1" s="1"/>
  <c r="BG220" i="1"/>
  <c r="BH219" i="1" s="1"/>
  <c r="BG215" i="1"/>
  <c r="BH214" i="1" s="1"/>
  <c r="BG210" i="1"/>
  <c r="BH209" i="1" s="1"/>
  <c r="BG205" i="1"/>
  <c r="BH204" i="1" s="1"/>
  <c r="BG200" i="1"/>
  <c r="BH199" i="1" s="1"/>
  <c r="BG195" i="1"/>
  <c r="BH194" i="1" s="1"/>
  <c r="BG190" i="1"/>
  <c r="BH189" i="1" s="1"/>
  <c r="BG134" i="1"/>
  <c r="BH133" i="1" s="1"/>
  <c r="BG129" i="1"/>
  <c r="BH128" i="1" s="1"/>
  <c r="BG124" i="1"/>
  <c r="BG99" i="1"/>
  <c r="BH98" i="1" s="1"/>
  <c r="BG74" i="1"/>
  <c r="BH73" i="1" s="1"/>
  <c r="BG64" i="1"/>
  <c r="BH63" i="1" s="1"/>
  <c r="BG59" i="1"/>
  <c r="BH58" i="1" s="1"/>
  <c r="BG54" i="1"/>
  <c r="BH53" i="1" s="1"/>
  <c r="BG49" i="1"/>
  <c r="BH48" i="1" s="1"/>
  <c r="BG44" i="1"/>
  <c r="BH43" i="1" s="1"/>
  <c r="BG39" i="1"/>
  <c r="BH38" i="1" s="1"/>
  <c r="BG34" i="1"/>
  <c r="BH33" i="1" s="1"/>
  <c r="BG29" i="1"/>
  <c r="BH28" i="1" s="1"/>
  <c r="BG24" i="1"/>
  <c r="BH23" i="1" s="1"/>
  <c r="BG19" i="1"/>
  <c r="BH18" i="1" s="1"/>
  <c r="BG14" i="1"/>
  <c r="BH13" i="1" s="1"/>
  <c r="BG9" i="1"/>
  <c r="BH8" i="1" s="1"/>
  <c r="BE728" i="1"/>
  <c r="BE730" i="1" s="1"/>
  <c r="BG408" i="1"/>
  <c r="BG418" i="1"/>
  <c r="BG420" i="1" s="1"/>
  <c r="BH419" i="1" s="1"/>
  <c r="BG608" i="1"/>
  <c r="BG468" i="1"/>
  <c r="BG470" i="1" s="1"/>
  <c r="BH469" i="1" s="1"/>
  <c r="BG708" i="1"/>
  <c r="BG710" i="1" s="1"/>
  <c r="BH709" i="1" s="1"/>
  <c r="BE658" i="1"/>
  <c r="BE648" i="1"/>
  <c r="BE743" i="1"/>
  <c r="BE703" i="1"/>
  <c r="BE598" i="1"/>
  <c r="BE423" i="1"/>
  <c r="BE723" i="1"/>
  <c r="BE748" i="1"/>
  <c r="BE753" i="1"/>
  <c r="BE698" i="1"/>
  <c r="BE700" i="1" s="1"/>
  <c r="BF699" i="1" s="1"/>
  <c r="BE673" i="1"/>
  <c r="BE583" i="1"/>
  <c r="BE348" i="1"/>
  <c r="BE350" i="1" s="1"/>
  <c r="BF349" i="1" s="1"/>
  <c r="BE353" i="1"/>
  <c r="BE448" i="1"/>
  <c r="BE478" i="1"/>
  <c r="BE603" i="1"/>
  <c r="BE633" i="1"/>
  <c r="BE233" i="1"/>
  <c r="BE638" i="1"/>
  <c r="BG403" i="1"/>
  <c r="BC598" i="1"/>
  <c r="BE463" i="1"/>
  <c r="BF464" i="1" s="1"/>
  <c r="BE758" i="1"/>
  <c r="BE518" i="1"/>
  <c r="BC518" i="1"/>
  <c r="BE790" i="1"/>
  <c r="BF789" i="1" s="1"/>
  <c r="BE593" i="1"/>
  <c r="BE733" i="1"/>
  <c r="BC453" i="1"/>
  <c r="BA453" i="1"/>
  <c r="BA455" i="1" s="1"/>
  <c r="BB454" i="1" s="1"/>
  <c r="BE7" i="1"/>
  <c r="BE503" i="1"/>
  <c r="BC423" i="1"/>
  <c r="BC425" i="1" s="1"/>
  <c r="BD424" i="1" s="1"/>
  <c r="BC478" i="1"/>
  <c r="BC480" i="1" s="1"/>
  <c r="BD479" i="1" s="1"/>
  <c r="BC633" i="1"/>
  <c r="BE453" i="1"/>
  <c r="BE553" i="1"/>
  <c r="BC553" i="1"/>
  <c r="BE548" i="1"/>
  <c r="BC548" i="1"/>
  <c r="BA548" i="1"/>
  <c r="BA550" i="1" s="1"/>
  <c r="BB549" i="1" s="1"/>
  <c r="AX548" i="1"/>
  <c r="BC178" i="1"/>
  <c r="BC180" i="1" s="1"/>
  <c r="BD179" i="1" s="1"/>
  <c r="BC648" i="1"/>
  <c r="BC650" i="1" s="1"/>
  <c r="BD649" i="1" s="1"/>
  <c r="BC658" i="1"/>
  <c r="BC660" i="1" s="1"/>
  <c r="BD659" i="1" s="1"/>
  <c r="BC743" i="1"/>
  <c r="BC748" i="1"/>
  <c r="BE643" i="1"/>
  <c r="BE513" i="1"/>
  <c r="BE508" i="1"/>
  <c r="BC703" i="1"/>
  <c r="BC693" i="1"/>
  <c r="BC723" i="1"/>
  <c r="BE528" i="1"/>
  <c r="BE523" i="1"/>
  <c r="BE533" i="1"/>
  <c r="BE558" i="1"/>
  <c r="BE538" i="1"/>
  <c r="BE543" i="1"/>
  <c r="BC618" i="1"/>
  <c r="BC638" i="1"/>
  <c r="BC640" i="1" s="1"/>
  <c r="BD639" i="1" s="1"/>
  <c r="BE403" i="1"/>
  <c r="BE653" i="1"/>
  <c r="BE568" i="1"/>
  <c r="BE740" i="1"/>
  <c r="BF739" i="1" s="1"/>
  <c r="BE720" i="1"/>
  <c r="BF719" i="1" s="1"/>
  <c r="BE715" i="1"/>
  <c r="BF714" i="1" s="1"/>
  <c r="BE710" i="1"/>
  <c r="BF709" i="1" s="1"/>
  <c r="BE690" i="1"/>
  <c r="BF689" i="1" s="1"/>
  <c r="BE630" i="1"/>
  <c r="BF629" i="1" s="1"/>
  <c r="BE615" i="1"/>
  <c r="BF614" i="1" s="1"/>
  <c r="BE610" i="1"/>
  <c r="BF609" i="1" s="1"/>
  <c r="BE590" i="1"/>
  <c r="BF589" i="1" s="1"/>
  <c r="BE580" i="1"/>
  <c r="BF579" i="1" s="1"/>
  <c r="BE575" i="1"/>
  <c r="BF574" i="1" s="1"/>
  <c r="BE495" i="1"/>
  <c r="BF494" i="1" s="1"/>
  <c r="BE490" i="1"/>
  <c r="BF489" i="1" s="1"/>
  <c r="BE485" i="1"/>
  <c r="BF484" i="1" s="1"/>
  <c r="BE475" i="1"/>
  <c r="BF474" i="1" s="1"/>
  <c r="BE470" i="1"/>
  <c r="BF469" i="1" s="1"/>
  <c r="BE445" i="1"/>
  <c r="BF444" i="1" s="1"/>
  <c r="BE440" i="1"/>
  <c r="BF439" i="1" s="1"/>
  <c r="BE435" i="1"/>
  <c r="BF434" i="1" s="1"/>
  <c r="BE420" i="1"/>
  <c r="BF419" i="1" s="1"/>
  <c r="BE410" i="1"/>
  <c r="BF409" i="1" s="1"/>
  <c r="BE400" i="1"/>
  <c r="BF399" i="1" s="1"/>
  <c r="BE390" i="1"/>
  <c r="BF389" i="1" s="1"/>
  <c r="BE385" i="1"/>
  <c r="BF384" i="1" s="1"/>
  <c r="BE380" i="1"/>
  <c r="BF379" i="1" s="1"/>
  <c r="BE375" i="1"/>
  <c r="BF374" i="1" s="1"/>
  <c r="BE370" i="1"/>
  <c r="BF369" i="1" s="1"/>
  <c r="BE365" i="1"/>
  <c r="BF364" i="1" s="1"/>
  <c r="BE360" i="1"/>
  <c r="BF359" i="1" s="1"/>
  <c r="BE345" i="1"/>
  <c r="BF344" i="1" s="1"/>
  <c r="BE340" i="1"/>
  <c r="BF339" i="1" s="1"/>
  <c r="BE335" i="1"/>
  <c r="BF334" i="1" s="1"/>
  <c r="BE330" i="1"/>
  <c r="BF329" i="1" s="1"/>
  <c r="BE325" i="1"/>
  <c r="BF324" i="1" s="1"/>
  <c r="BE320" i="1"/>
  <c r="BF319" i="1" s="1"/>
  <c r="BE315" i="1"/>
  <c r="BF314" i="1" s="1"/>
  <c r="BE310" i="1"/>
  <c r="BF309" i="1" s="1"/>
  <c r="BE305" i="1"/>
  <c r="BF304" i="1" s="1"/>
  <c r="BE300" i="1"/>
  <c r="BF299" i="1" s="1"/>
  <c r="BE295" i="1"/>
  <c r="BF294" i="1" s="1"/>
  <c r="BE290" i="1"/>
  <c r="BF289" i="1" s="1"/>
  <c r="BE285" i="1"/>
  <c r="BF284" i="1" s="1"/>
  <c r="BE280" i="1"/>
  <c r="BF279" i="1" s="1"/>
  <c r="BE275" i="1"/>
  <c r="BF274" i="1" s="1"/>
  <c r="BE270" i="1"/>
  <c r="BF269" i="1" s="1"/>
  <c r="BE265" i="1"/>
  <c r="BF264" i="1" s="1"/>
  <c r="BE260" i="1"/>
  <c r="BE255" i="1"/>
  <c r="BF254" i="1" s="1"/>
  <c r="BE250" i="1"/>
  <c r="BF249" i="1" s="1"/>
  <c r="BE245" i="1"/>
  <c r="BF244" i="1" s="1"/>
  <c r="BE240" i="1"/>
  <c r="BF239" i="1" s="1"/>
  <c r="BE230" i="1"/>
  <c r="BF229" i="1" s="1"/>
  <c r="BE225" i="1"/>
  <c r="BF224" i="1" s="1"/>
  <c r="BE220" i="1"/>
  <c r="BF219" i="1" s="1"/>
  <c r="BE215" i="1"/>
  <c r="BF214" i="1" s="1"/>
  <c r="BE210" i="1"/>
  <c r="BF209" i="1" s="1"/>
  <c r="BE205" i="1"/>
  <c r="BF204" i="1" s="1"/>
  <c r="BE200" i="1"/>
  <c r="BF199" i="1" s="1"/>
  <c r="BE195" i="1"/>
  <c r="BF194" i="1" s="1"/>
  <c r="BE190" i="1"/>
  <c r="BF189" i="1" s="1"/>
  <c r="BE185" i="1"/>
  <c r="BE175" i="1"/>
  <c r="BF174" i="1" s="1"/>
  <c r="BE134" i="1"/>
  <c r="BF133" i="1" s="1"/>
  <c r="BE129" i="1"/>
  <c r="BF128" i="1" s="1"/>
  <c r="BE124" i="1"/>
  <c r="BE109" i="1"/>
  <c r="BF108" i="1" s="1"/>
  <c r="BE104" i="1"/>
  <c r="BF103" i="1" s="1"/>
  <c r="BE99" i="1"/>
  <c r="BF98" i="1" s="1"/>
  <c r="BE89" i="1"/>
  <c r="BE79" i="1"/>
  <c r="BF78" i="1" s="1"/>
  <c r="BE74" i="1"/>
  <c r="BF73" i="1" s="1"/>
  <c r="BE64" i="1"/>
  <c r="BF63" i="1" s="1"/>
  <c r="BE59" i="1"/>
  <c r="BF58" i="1" s="1"/>
  <c r="BE54" i="1"/>
  <c r="BF53" i="1" s="1"/>
  <c r="BE49" i="1"/>
  <c r="BF48" i="1" s="1"/>
  <c r="BE44" i="1"/>
  <c r="BF43" i="1" s="1"/>
  <c r="BE39" i="1"/>
  <c r="BF38" i="1" s="1"/>
  <c r="BE34" i="1"/>
  <c r="BF33" i="1" s="1"/>
  <c r="BE29" i="1"/>
  <c r="BF28" i="1" s="1"/>
  <c r="BE24" i="1"/>
  <c r="BF23" i="1" s="1"/>
  <c r="BE19" i="1"/>
  <c r="BF18" i="1" s="1"/>
  <c r="BE14" i="1"/>
  <c r="BF13" i="1" s="1"/>
  <c r="BC673" i="1"/>
  <c r="BC698" i="1"/>
  <c r="BC603" i="1"/>
  <c r="BC458" i="1"/>
  <c r="BC413" i="1"/>
  <c r="BC415" i="1" s="1"/>
  <c r="BD414" i="1" s="1"/>
  <c r="BC353" i="1"/>
  <c r="BC348" i="1"/>
  <c r="BC728" i="1"/>
  <c r="BC448" i="1"/>
  <c r="BC583" i="1"/>
  <c r="BC653" i="1"/>
  <c r="BC753" i="1"/>
  <c r="BC503" i="1"/>
  <c r="BC568" i="1"/>
  <c r="BC570" i="1" s="1"/>
  <c r="BD569" i="1" s="1"/>
  <c r="BA568" i="1"/>
  <c r="AX568" i="1"/>
  <c r="AX570" i="1" s="1"/>
  <c r="AY569" i="1" s="1"/>
  <c r="BA703" i="1"/>
  <c r="AJ613" i="1"/>
  <c r="AK614" i="1" s="1"/>
  <c r="BA553" i="1"/>
  <c r="BA555" i="1" s="1"/>
  <c r="BB554" i="1" s="1"/>
  <c r="BA693" i="1"/>
  <c r="BC463" i="1"/>
  <c r="BD464" i="1" s="1"/>
  <c r="BC593" i="1"/>
  <c r="BC595" i="1" s="1"/>
  <c r="BD594" i="1" s="1"/>
  <c r="BC233" i="1"/>
  <c r="BC235" i="1" s="1"/>
  <c r="BD234" i="1" s="1"/>
  <c r="BC643" i="1"/>
  <c r="BA643" i="1"/>
  <c r="BC508" i="1"/>
  <c r="BC513" i="1"/>
  <c r="BC515" i="1" s="1"/>
  <c r="BD514" i="1" s="1"/>
  <c r="BA668" i="1"/>
  <c r="BA670" i="1" s="1"/>
  <c r="BB669" i="1" s="1"/>
  <c r="BA673" i="1"/>
  <c r="BA675" i="1" s="1"/>
  <c r="BB674" i="1" s="1"/>
  <c r="BA678" i="1"/>
  <c r="BA680" i="1" s="1"/>
  <c r="BB679" i="1" s="1"/>
  <c r="BA688" i="1"/>
  <c r="BA698" i="1"/>
  <c r="BA700" i="1" s="1"/>
  <c r="BB699" i="1" s="1"/>
  <c r="BE683" i="1"/>
  <c r="BC683" i="1"/>
  <c r="BC538" i="1"/>
  <c r="BC528" i="1"/>
  <c r="BC533" i="1"/>
  <c r="BC535" i="1" s="1"/>
  <c r="BD534" i="1" s="1"/>
  <c r="BC523" i="1"/>
  <c r="BC525" i="1" s="1"/>
  <c r="BD524" i="1" s="1"/>
  <c r="BC543" i="1"/>
  <c r="BC558" i="1"/>
  <c r="BA178" i="1"/>
  <c r="BC403" i="1"/>
  <c r="BC405" i="1" s="1"/>
  <c r="BD404" i="1" s="1"/>
  <c r="BA403" i="1"/>
  <c r="BA423" i="1"/>
  <c r="BA448" i="1"/>
  <c r="BA458" i="1"/>
  <c r="BA460" i="1" s="1"/>
  <c r="BB459" i="1" s="1"/>
  <c r="BA478" i="1"/>
  <c r="BA583" i="1"/>
  <c r="BA585" i="1" s="1"/>
  <c r="BB584" i="1" s="1"/>
  <c r="BA633" i="1"/>
  <c r="BA635" i="1" s="1"/>
  <c r="BB634" i="1" s="1"/>
  <c r="BA648" i="1"/>
  <c r="BA658" i="1"/>
  <c r="BA653" i="1"/>
  <c r="BA173" i="1"/>
  <c r="BA233" i="1"/>
  <c r="BA235" i="1" s="1"/>
  <c r="BB234" i="1" s="1"/>
  <c r="BA348" i="1"/>
  <c r="BA353" i="1"/>
  <c r="BA355" i="1" s="1"/>
  <c r="BB354" i="1" s="1"/>
  <c r="BC368" i="1"/>
  <c r="BA393" i="1"/>
  <c r="BA413" i="1"/>
  <c r="BA415" i="1" s="1"/>
  <c r="BB414" i="1" s="1"/>
  <c r="BC573" i="1"/>
  <c r="BA593" i="1"/>
  <c r="BA598" i="1"/>
  <c r="BA603" i="1"/>
  <c r="BA463" i="1"/>
  <c r="BB464" i="1" s="1"/>
  <c r="BC37" i="1"/>
  <c r="BA638" i="1"/>
  <c r="BA618" i="1"/>
  <c r="AX453" i="1"/>
  <c r="AV453" i="1"/>
  <c r="AV455" i="1" s="1"/>
  <c r="AW454" i="1" s="1"/>
  <c r="BC720" i="1"/>
  <c r="BD719" i="1" s="1"/>
  <c r="BC715" i="1"/>
  <c r="BD714" i="1" s="1"/>
  <c r="BC710" i="1"/>
  <c r="BD709" i="1" s="1"/>
  <c r="BC690" i="1"/>
  <c r="BD689" i="1" s="1"/>
  <c r="BC630" i="1"/>
  <c r="BD629" i="1" s="1"/>
  <c r="BC615" i="1"/>
  <c r="BD614" i="1" s="1"/>
  <c r="BC610" i="1"/>
  <c r="BD609" i="1" s="1"/>
  <c r="BC590" i="1"/>
  <c r="BD589" i="1" s="1"/>
  <c r="BC580" i="1"/>
  <c r="BD579" i="1" s="1"/>
  <c r="BC500" i="1"/>
  <c r="BD499" i="1" s="1"/>
  <c r="BC495" i="1"/>
  <c r="BD494" i="1" s="1"/>
  <c r="BC490" i="1"/>
  <c r="BD489" i="1" s="1"/>
  <c r="BC485" i="1"/>
  <c r="BD484" i="1" s="1"/>
  <c r="BC475" i="1"/>
  <c r="BD474" i="1" s="1"/>
  <c r="BC470" i="1"/>
  <c r="BD469" i="1" s="1"/>
  <c r="BC445" i="1"/>
  <c r="BD444" i="1" s="1"/>
  <c r="BC440" i="1"/>
  <c r="BD439" i="1" s="1"/>
  <c r="BC435" i="1"/>
  <c r="BD434" i="1" s="1"/>
  <c r="BC420" i="1"/>
  <c r="BD419" i="1" s="1"/>
  <c r="BC410" i="1"/>
  <c r="BD409" i="1" s="1"/>
  <c r="BC400" i="1"/>
  <c r="BD399" i="1" s="1"/>
  <c r="BC390" i="1"/>
  <c r="BD389" i="1" s="1"/>
  <c r="BC385" i="1"/>
  <c r="BD384" i="1" s="1"/>
  <c r="BC380" i="1"/>
  <c r="BD379" i="1" s="1"/>
  <c r="BC375" i="1"/>
  <c r="BD374" i="1" s="1"/>
  <c r="BC365" i="1"/>
  <c r="BD364" i="1" s="1"/>
  <c r="BC360" i="1"/>
  <c r="BD359" i="1" s="1"/>
  <c r="BC345" i="1"/>
  <c r="BD344" i="1" s="1"/>
  <c r="BC340" i="1"/>
  <c r="BD339" i="1" s="1"/>
  <c r="BC335" i="1"/>
  <c r="BD334" i="1" s="1"/>
  <c r="BC330" i="1"/>
  <c r="BD329" i="1" s="1"/>
  <c r="BC325" i="1"/>
  <c r="BD324" i="1" s="1"/>
  <c r="BC320" i="1"/>
  <c r="BD319" i="1" s="1"/>
  <c r="BC315" i="1"/>
  <c r="BD314" i="1" s="1"/>
  <c r="BC310" i="1"/>
  <c r="BD309" i="1" s="1"/>
  <c r="BC305" i="1"/>
  <c r="BD304" i="1" s="1"/>
  <c r="BC300" i="1"/>
  <c r="BD299" i="1" s="1"/>
  <c r="BC295" i="1"/>
  <c r="BD294" i="1" s="1"/>
  <c r="BC290" i="1"/>
  <c r="BD289" i="1" s="1"/>
  <c r="BC285" i="1"/>
  <c r="BD284" i="1" s="1"/>
  <c r="BC280" i="1"/>
  <c r="BD279" i="1" s="1"/>
  <c r="BC275" i="1"/>
  <c r="BD274" i="1" s="1"/>
  <c r="BC270" i="1"/>
  <c r="BD269" i="1" s="1"/>
  <c r="BC265" i="1"/>
  <c r="BD264" i="1" s="1"/>
  <c r="BC260" i="1"/>
  <c r="BC255" i="1"/>
  <c r="BD254" i="1" s="1"/>
  <c r="BC250" i="1"/>
  <c r="BD249" i="1" s="1"/>
  <c r="BC245" i="1"/>
  <c r="BD244" i="1" s="1"/>
  <c r="BC240" i="1"/>
  <c r="BD239" i="1" s="1"/>
  <c r="BC230" i="1"/>
  <c r="BD229" i="1" s="1"/>
  <c r="BC225" i="1"/>
  <c r="BD224" i="1" s="1"/>
  <c r="BC220" i="1"/>
  <c r="BD219" i="1" s="1"/>
  <c r="BC215" i="1"/>
  <c r="BD214" i="1" s="1"/>
  <c r="BC210" i="1"/>
  <c r="BD209" i="1" s="1"/>
  <c r="BC205" i="1"/>
  <c r="BD204" i="1" s="1"/>
  <c r="BC200" i="1"/>
  <c r="BD199" i="1" s="1"/>
  <c r="BC195" i="1"/>
  <c r="BD194" i="1" s="1"/>
  <c r="BC190" i="1"/>
  <c r="BD189" i="1" s="1"/>
  <c r="BC185" i="1"/>
  <c r="BC175" i="1"/>
  <c r="BD174" i="1" s="1"/>
  <c r="BC134" i="1"/>
  <c r="BD133" i="1" s="1"/>
  <c r="BC129" i="1"/>
  <c r="BD128" i="1" s="1"/>
  <c r="BC124" i="1"/>
  <c r="BC109" i="1"/>
  <c r="BD108" i="1" s="1"/>
  <c r="BC104" i="1"/>
  <c r="BD103" i="1" s="1"/>
  <c r="BC99" i="1"/>
  <c r="BD98" i="1" s="1"/>
  <c r="BC89" i="1"/>
  <c r="BC79" i="1"/>
  <c r="BD78" i="1" s="1"/>
  <c r="BC74" i="1"/>
  <c r="BD73" i="1" s="1"/>
  <c r="BC64" i="1"/>
  <c r="BD63" i="1" s="1"/>
  <c r="BC59" i="1"/>
  <c r="BD58" i="1" s="1"/>
  <c r="BC54" i="1"/>
  <c r="BD53" i="1" s="1"/>
  <c r="BC49" i="1"/>
  <c r="BD48" i="1" s="1"/>
  <c r="BC44" i="1"/>
  <c r="BD43" i="1" s="1"/>
  <c r="BC34" i="1"/>
  <c r="BD33" i="1" s="1"/>
  <c r="BC29" i="1"/>
  <c r="BD28" i="1" s="1"/>
  <c r="BC24" i="1"/>
  <c r="BD23" i="1" s="1"/>
  <c r="BC19" i="1"/>
  <c r="BD18" i="1" s="1"/>
  <c r="BC14" i="1"/>
  <c r="BD13" i="1" s="1"/>
  <c r="BC9" i="1"/>
  <c r="BD8" i="1" s="1"/>
  <c r="AX624" i="1"/>
  <c r="BA429" i="1"/>
  <c r="BA3" i="1" s="1"/>
  <c r="BC760" i="1"/>
  <c r="BD759" i="1" s="1"/>
  <c r="BC740" i="1"/>
  <c r="BD739" i="1" s="1"/>
  <c r="BC735" i="1"/>
  <c r="AX413" i="1"/>
  <c r="AX178" i="1"/>
  <c r="AT453" i="1"/>
  <c r="AT455" i="1" s="1"/>
  <c r="AU454" i="1" s="1"/>
  <c r="BA508" i="1"/>
  <c r="BA513" i="1"/>
  <c r="BA515" i="1" s="1"/>
  <c r="BB514" i="1" s="1"/>
  <c r="BA683" i="1"/>
  <c r="BA375" i="1"/>
  <c r="BB374" i="1" s="1"/>
  <c r="BA720" i="1"/>
  <c r="BB719" i="1" s="1"/>
  <c r="BA710" i="1"/>
  <c r="BB709" i="1" s="1"/>
  <c r="BA630" i="1"/>
  <c r="BB629" i="1" s="1"/>
  <c r="BA615" i="1"/>
  <c r="BB614" i="1" s="1"/>
  <c r="BA610" i="1"/>
  <c r="BB609" i="1" s="1"/>
  <c r="BA590" i="1"/>
  <c r="BB589" i="1" s="1"/>
  <c r="BA580" i="1"/>
  <c r="BB579" i="1" s="1"/>
  <c r="BA575" i="1"/>
  <c r="BB574" i="1" s="1"/>
  <c r="BA565" i="1"/>
  <c r="BB564" i="1" s="1"/>
  <c r="BA500" i="1"/>
  <c r="BB499" i="1" s="1"/>
  <c r="BA495" i="1"/>
  <c r="BB494" i="1" s="1"/>
  <c r="BA490" i="1"/>
  <c r="BB489" i="1" s="1"/>
  <c r="BA485" i="1"/>
  <c r="BB484" i="1" s="1"/>
  <c r="BA475" i="1"/>
  <c r="BB474" i="1" s="1"/>
  <c r="BA470" i="1"/>
  <c r="BB469" i="1" s="1"/>
  <c r="BA445" i="1"/>
  <c r="BB444" i="1" s="1"/>
  <c r="BA440" i="1"/>
  <c r="BB439" i="1" s="1"/>
  <c r="BA435" i="1"/>
  <c r="BB434" i="1" s="1"/>
  <c r="BA420" i="1"/>
  <c r="BB419" i="1" s="1"/>
  <c r="BA410" i="1"/>
  <c r="BB409" i="1" s="1"/>
  <c r="BA400" i="1"/>
  <c r="BB399" i="1" s="1"/>
  <c r="BA390" i="1"/>
  <c r="BB389" i="1" s="1"/>
  <c r="BA385" i="1"/>
  <c r="BB384" i="1" s="1"/>
  <c r="BA380" i="1"/>
  <c r="BB379" i="1" s="1"/>
  <c r="BA370" i="1"/>
  <c r="BB369" i="1" s="1"/>
  <c r="BA365" i="1"/>
  <c r="BB364" i="1" s="1"/>
  <c r="BA360" i="1"/>
  <c r="BB359" i="1" s="1"/>
  <c r="BA345" i="1"/>
  <c r="BB344" i="1" s="1"/>
  <c r="BA340" i="1"/>
  <c r="BB339" i="1" s="1"/>
  <c r="BA335" i="1"/>
  <c r="BB334" i="1" s="1"/>
  <c r="BA330" i="1"/>
  <c r="BB329" i="1" s="1"/>
  <c r="BA325" i="1"/>
  <c r="BB324" i="1" s="1"/>
  <c r="BA320" i="1"/>
  <c r="BB319" i="1" s="1"/>
  <c r="BA315" i="1"/>
  <c r="BB314" i="1" s="1"/>
  <c r="BA310" i="1"/>
  <c r="BB309" i="1" s="1"/>
  <c r="BA305" i="1"/>
  <c r="BB304" i="1" s="1"/>
  <c r="BA300" i="1"/>
  <c r="BB299" i="1" s="1"/>
  <c r="BA295" i="1"/>
  <c r="BB294" i="1" s="1"/>
  <c r="BA290" i="1"/>
  <c r="BB289" i="1" s="1"/>
  <c r="BA285" i="1"/>
  <c r="BB284" i="1" s="1"/>
  <c r="BA280" i="1"/>
  <c r="BB279" i="1" s="1"/>
  <c r="BA275" i="1"/>
  <c r="BB274" i="1" s="1"/>
  <c r="BA270" i="1"/>
  <c r="BB269" i="1" s="1"/>
  <c r="BA265" i="1"/>
  <c r="BB264" i="1" s="1"/>
  <c r="BA260" i="1"/>
  <c r="BA255" i="1"/>
  <c r="BB254" i="1" s="1"/>
  <c r="BA250" i="1"/>
  <c r="BB249" i="1" s="1"/>
  <c r="BA245" i="1"/>
  <c r="BB244" i="1" s="1"/>
  <c r="BA240" i="1"/>
  <c r="BB239" i="1" s="1"/>
  <c r="BA230" i="1"/>
  <c r="BB229" i="1" s="1"/>
  <c r="BA225" i="1"/>
  <c r="BB224" i="1" s="1"/>
  <c r="BA220" i="1"/>
  <c r="BB219" i="1" s="1"/>
  <c r="BA215" i="1"/>
  <c r="BB214" i="1" s="1"/>
  <c r="BA210" i="1"/>
  <c r="BB209" i="1" s="1"/>
  <c r="BA205" i="1"/>
  <c r="BB204" i="1" s="1"/>
  <c r="BA200" i="1"/>
  <c r="BB199" i="1" s="1"/>
  <c r="BA195" i="1"/>
  <c r="BB194" i="1" s="1"/>
  <c r="BA190" i="1"/>
  <c r="BB189" i="1" s="1"/>
  <c r="BA185" i="1"/>
  <c r="BA134" i="1"/>
  <c r="BB133" i="1" s="1"/>
  <c r="BA129" i="1"/>
  <c r="BB128" i="1" s="1"/>
  <c r="BA124" i="1"/>
  <c r="BA109" i="1"/>
  <c r="BB108" i="1" s="1"/>
  <c r="BA104" i="1"/>
  <c r="BB103" i="1" s="1"/>
  <c r="BA99" i="1"/>
  <c r="BB98" i="1" s="1"/>
  <c r="BA89" i="1"/>
  <c r="BA79" i="1"/>
  <c r="BB78" i="1" s="1"/>
  <c r="BA74" i="1"/>
  <c r="BB73" i="1" s="1"/>
  <c r="BA64" i="1"/>
  <c r="BB63" i="1" s="1"/>
  <c r="BA59" i="1"/>
  <c r="BB58" i="1" s="1"/>
  <c r="BA54" i="1"/>
  <c r="BB53" i="1" s="1"/>
  <c r="BA49" i="1"/>
  <c r="BB48" i="1" s="1"/>
  <c r="BA44" i="1"/>
  <c r="BB43" i="1" s="1"/>
  <c r="BA39" i="1"/>
  <c r="BB38" i="1" s="1"/>
  <c r="BA34" i="1"/>
  <c r="BB33" i="1" s="1"/>
  <c r="BA29" i="1"/>
  <c r="BB28" i="1" s="1"/>
  <c r="BA24" i="1"/>
  <c r="BB23" i="1" s="1"/>
  <c r="BA19" i="1"/>
  <c r="BB18" i="1" s="1"/>
  <c r="BA14" i="1"/>
  <c r="BB13" i="1" s="1"/>
  <c r="BA9" i="1"/>
  <c r="BB8" i="1" s="1"/>
  <c r="AV623" i="1"/>
  <c r="BA713" i="1"/>
  <c r="BA715" i="1" s="1"/>
  <c r="BB714" i="1" s="1"/>
  <c r="AX368" i="1"/>
  <c r="AX233" i="1"/>
  <c r="AX235" i="1" s="1"/>
  <c r="AY234" i="1" s="1"/>
  <c r="BA663" i="1"/>
  <c r="BA665" i="1" s="1"/>
  <c r="AX463" i="1"/>
  <c r="AY464" i="1" s="1"/>
  <c r="AX583" i="1"/>
  <c r="AX648" i="1"/>
  <c r="AX653" i="1"/>
  <c r="BA543" i="1"/>
  <c r="BA528" i="1"/>
  <c r="BA533" i="1"/>
  <c r="BA523" i="1"/>
  <c r="BA558" i="1"/>
  <c r="BA538" i="1"/>
  <c r="BA540" i="1" s="1"/>
  <c r="BB539" i="1" s="1"/>
  <c r="AX678" i="1"/>
  <c r="AX680" i="1" s="1"/>
  <c r="AY679" i="1" s="1"/>
  <c r="AX693" i="1"/>
  <c r="AX695" i="1" s="1"/>
  <c r="AY694" i="1" s="1"/>
  <c r="BA518" i="1"/>
  <c r="BA520" i="1" s="1"/>
  <c r="BB519" i="1" s="1"/>
  <c r="AX638" i="1"/>
  <c r="AX698" i="1"/>
  <c r="AX700" i="1" s="1"/>
  <c r="AY699" i="1" s="1"/>
  <c r="AT578" i="1"/>
  <c r="AT580" i="1" s="1"/>
  <c r="AU579" i="1" s="1"/>
  <c r="AR588" i="1"/>
  <c r="AT583" i="1"/>
  <c r="AV268" i="1"/>
  <c r="AV270" i="1" s="1"/>
  <c r="AW269" i="1" s="1"/>
  <c r="AV588" i="1"/>
  <c r="AV698" i="1"/>
  <c r="AV700" i="1" s="1"/>
  <c r="AW699" i="1" s="1"/>
  <c r="AV693" i="1"/>
  <c r="AV695" i="1" s="1"/>
  <c r="AW694" i="1" s="1"/>
  <c r="AV77" i="1"/>
  <c r="AX603" i="1"/>
  <c r="AX605" i="1" s="1"/>
  <c r="AY604" i="1" s="1"/>
  <c r="AX348" i="1"/>
  <c r="AX593" i="1"/>
  <c r="AX393" i="1"/>
  <c r="AX395" i="1" s="1"/>
  <c r="AY394" i="1" s="1"/>
  <c r="AX173" i="1"/>
  <c r="AX175" i="1" s="1"/>
  <c r="AY174" i="1" s="1"/>
  <c r="AX353" i="1"/>
  <c r="AX355" i="1" s="1"/>
  <c r="AY354" i="1" s="1"/>
  <c r="AX458" i="1"/>
  <c r="AX460" i="1" s="1"/>
  <c r="AY459" i="1" s="1"/>
  <c r="AX513" i="1"/>
  <c r="AX508" i="1"/>
  <c r="AX643" i="1"/>
  <c r="AX428" i="1"/>
  <c r="AX430" i="1" s="1"/>
  <c r="AY429" i="1" s="1"/>
  <c r="AX658" i="1"/>
  <c r="AX448" i="1"/>
  <c r="AX450" i="1" s="1"/>
  <c r="AY449" i="1" s="1"/>
  <c r="AX423" i="1"/>
  <c r="AX478" i="1"/>
  <c r="AX480" i="1" s="1"/>
  <c r="AY479" i="1" s="1"/>
  <c r="AX633" i="1"/>
  <c r="AT373" i="1"/>
  <c r="AT375" i="1" s="1"/>
  <c r="AU374" i="1" s="1"/>
  <c r="AX618" i="1"/>
  <c r="AX668" i="1"/>
  <c r="AX670" i="1" s="1"/>
  <c r="AY669" i="1" s="1"/>
  <c r="AX703" i="1"/>
  <c r="AX705" i="1" s="1"/>
  <c r="AY704" i="1" s="1"/>
  <c r="AX663" i="1"/>
  <c r="AX665" i="1" s="1"/>
  <c r="AS219" i="1"/>
  <c r="AQ219" i="1"/>
  <c r="AX673" i="1"/>
  <c r="AX675" i="1" s="1"/>
  <c r="AY674" i="1" s="1"/>
  <c r="AX483" i="1"/>
  <c r="AX573" i="1"/>
  <c r="AX575" i="1" s="1"/>
  <c r="AY574" i="1" s="1"/>
  <c r="AX518" i="1"/>
  <c r="AX520" i="1" s="1"/>
  <c r="AY519" i="1" s="1"/>
  <c r="AX268" i="1"/>
  <c r="AX270" i="1" s="1"/>
  <c r="AY269" i="1" s="1"/>
  <c r="AV127" i="1"/>
  <c r="AX598" i="1"/>
  <c r="AX600" i="1" s="1"/>
  <c r="AY599" i="1" s="1"/>
  <c r="AV598" i="1"/>
  <c r="AV603" i="1"/>
  <c r="AV648" i="1"/>
  <c r="AV653" i="1"/>
  <c r="AV655" i="1" s="1"/>
  <c r="AW654" i="1" s="1"/>
  <c r="AV178" i="1"/>
  <c r="AV478" i="1"/>
  <c r="AV480" i="1" s="1"/>
  <c r="AW479" i="1" s="1"/>
  <c r="AV583" i="1"/>
  <c r="AV585" i="1" s="1"/>
  <c r="AW584" i="1" s="1"/>
  <c r="AV458" i="1"/>
  <c r="AV448" i="1"/>
  <c r="AV450" i="1" s="1"/>
  <c r="AW449" i="1" s="1"/>
  <c r="AX443" i="1"/>
  <c r="AV428" i="1"/>
  <c r="AV430" i="1" s="1"/>
  <c r="AW429" i="1" s="1"/>
  <c r="AV423" i="1"/>
  <c r="AV425" i="1" s="1"/>
  <c r="AW424" i="1" s="1"/>
  <c r="AX403" i="1"/>
  <c r="AX405" i="1" s="1"/>
  <c r="AY404" i="1" s="1"/>
  <c r="AV403" i="1"/>
  <c r="AV393" i="1"/>
  <c r="AV395" i="1" s="1"/>
  <c r="AW394" i="1" s="1"/>
  <c r="AV353" i="1"/>
  <c r="AV355" i="1" s="1"/>
  <c r="AW354" i="1" s="1"/>
  <c r="AX558" i="1"/>
  <c r="AX553" i="1"/>
  <c r="AX533" i="1"/>
  <c r="AX538" i="1"/>
  <c r="AX523" i="1"/>
  <c r="AX525" i="1" s="1"/>
  <c r="AY524" i="1" s="1"/>
  <c r="AX528" i="1"/>
  <c r="AX543" i="1"/>
  <c r="AX545" i="1" s="1"/>
  <c r="AY544" i="1" s="1"/>
  <c r="AV673" i="1"/>
  <c r="AV675" i="1" s="1"/>
  <c r="AW674" i="1" s="1"/>
  <c r="AV668" i="1"/>
  <c r="AV670" i="1" s="1"/>
  <c r="AW669" i="1" s="1"/>
  <c r="AV703" i="1"/>
  <c r="AV705" i="1" s="1"/>
  <c r="AW704" i="1" s="1"/>
  <c r="AT97" i="1"/>
  <c r="AV173" i="1"/>
  <c r="AV218" i="1"/>
  <c r="AX503" i="1"/>
  <c r="AX505" i="1" s="1"/>
  <c r="AY504" i="1" s="1"/>
  <c r="AV503" i="1"/>
  <c r="AT503" i="1"/>
  <c r="AT505" i="1" s="1"/>
  <c r="AU504" i="1" s="1"/>
  <c r="AR503" i="1"/>
  <c r="AS504" i="1" s="1"/>
  <c r="AP503" i="1"/>
  <c r="AQ504" i="1" s="1"/>
  <c r="AN503" i="1"/>
  <c r="AO504" i="1" s="1"/>
  <c r="AJ503" i="1"/>
  <c r="AJ505" i="1" s="1"/>
  <c r="AL503" i="1"/>
  <c r="AL505" i="1" s="1"/>
  <c r="AH503" i="1"/>
  <c r="AH505" i="1" s="1"/>
  <c r="AF503" i="1"/>
  <c r="AG504" i="1" s="1"/>
  <c r="AD503" i="1"/>
  <c r="AD505" i="1" s="1"/>
  <c r="AV348" i="1"/>
  <c r="AV350" i="1" s="1"/>
  <c r="AW349" i="1" s="1"/>
  <c r="AV413" i="1"/>
  <c r="AV415" i="1" s="1"/>
  <c r="AW414" i="1" s="1"/>
  <c r="AV433" i="1"/>
  <c r="AX218" i="1"/>
  <c r="AV618" i="1"/>
  <c r="AX683" i="1"/>
  <c r="AX685" i="1" s="1"/>
  <c r="AY684" i="1" s="1"/>
  <c r="AV463" i="1"/>
  <c r="AW464" i="1" s="1"/>
  <c r="AX17" i="1"/>
  <c r="AX715" i="1"/>
  <c r="AY714" i="1" s="1"/>
  <c r="AX710" i="1"/>
  <c r="AY709" i="1" s="1"/>
  <c r="AT665" i="1"/>
  <c r="AV665" i="1"/>
  <c r="AX690" i="1"/>
  <c r="AY689" i="1" s="1"/>
  <c r="AX230" i="1"/>
  <c r="AY229" i="1" s="1"/>
  <c r="AV715" i="1"/>
  <c r="AW714" i="1" s="1"/>
  <c r="AV710" i="1"/>
  <c r="AW709" i="1" s="1"/>
  <c r="AV690" i="1"/>
  <c r="AW689" i="1" s="1"/>
  <c r="AT685" i="1"/>
  <c r="AU684" i="1" s="1"/>
  <c r="AV680" i="1"/>
  <c r="AW679" i="1" s="1"/>
  <c r="AT680" i="1"/>
  <c r="AU679" i="1" s="1"/>
  <c r="AV658" i="1"/>
  <c r="AV568" i="1"/>
  <c r="AV570" i="1" s="1"/>
  <c r="AW569" i="1" s="1"/>
  <c r="AV563" i="1"/>
  <c r="AV188" i="1"/>
  <c r="AV628" i="1"/>
  <c r="AV608" i="1"/>
  <c r="AV610" i="1" s="1"/>
  <c r="AW609" i="1" s="1"/>
  <c r="AV613" i="1"/>
  <c r="AV183" i="1"/>
  <c r="AW184" i="1" s="1"/>
  <c r="AV418" i="1"/>
  <c r="AV420" i="1" s="1"/>
  <c r="AW419" i="1" s="1"/>
  <c r="AV468" i="1"/>
  <c r="AV470" i="1" s="1"/>
  <c r="AW469" i="1" s="1"/>
  <c r="AV408" i="1"/>
  <c r="AV473" i="1"/>
  <c r="AV122" i="1"/>
  <c r="AT593" i="1"/>
  <c r="AT595" i="1" s="1"/>
  <c r="AU594" i="1" s="1"/>
  <c r="AR593" i="1"/>
  <c r="AT673" i="1"/>
  <c r="AT675" i="1" s="1"/>
  <c r="AU674" i="1" s="1"/>
  <c r="AT633" i="1"/>
  <c r="AR633" i="1"/>
  <c r="AR635" i="1" s="1"/>
  <c r="AV633" i="1"/>
  <c r="AV553" i="1"/>
  <c r="AT553" i="1"/>
  <c r="AV543" i="1"/>
  <c r="AV545" i="1" s="1"/>
  <c r="AW544" i="1" s="1"/>
  <c r="AT543" i="1"/>
  <c r="AT545" i="1" s="1"/>
  <c r="AU544" i="1" s="1"/>
  <c r="AV538" i="1"/>
  <c r="AT538" i="1"/>
  <c r="AT540" i="1" s="1"/>
  <c r="AU539" i="1" s="1"/>
  <c r="AV523" i="1"/>
  <c r="AV525" i="1" s="1"/>
  <c r="AW524" i="1" s="1"/>
  <c r="AT523" i="1"/>
  <c r="AT525" i="1" s="1"/>
  <c r="AU524" i="1" s="1"/>
  <c r="AT533" i="1"/>
  <c r="AV533" i="1"/>
  <c r="AV535" i="1" s="1"/>
  <c r="AW534" i="1" s="1"/>
  <c r="AT478" i="1"/>
  <c r="AR478" i="1"/>
  <c r="AS479" i="1" s="1"/>
  <c r="AT458" i="1"/>
  <c r="AR458" i="1"/>
  <c r="AP458" i="1"/>
  <c r="AP460" i="1" s="1"/>
  <c r="AH458" i="1"/>
  <c r="AF458" i="1"/>
  <c r="AG459" i="1" s="1"/>
  <c r="AD458" i="1"/>
  <c r="AD460" i="1" s="1"/>
  <c r="AB458" i="1"/>
  <c r="AB460" i="1" s="1"/>
  <c r="AT448" i="1"/>
  <c r="AR448" i="1"/>
  <c r="AR450" i="1" s="1"/>
  <c r="AT353" i="1"/>
  <c r="AT355" i="1" s="1"/>
  <c r="AU354" i="1" s="1"/>
  <c r="AR353" i="1"/>
  <c r="AS354" i="1" s="1"/>
  <c r="AV233" i="1"/>
  <c r="AT233" i="1"/>
  <c r="AT235" i="1" s="1"/>
  <c r="AU234" i="1" s="1"/>
  <c r="AR233" i="1"/>
  <c r="AS234" i="1" s="1"/>
  <c r="AV593" i="1"/>
  <c r="AV595" i="1" s="1"/>
  <c r="AW594" i="1" s="1"/>
  <c r="AT618" i="1"/>
  <c r="AT620" i="1" s="1"/>
  <c r="AU619" i="1" s="1"/>
  <c r="AR618" i="1"/>
  <c r="AR620" i="1" s="1"/>
  <c r="AP618" i="1"/>
  <c r="AN618" i="1"/>
  <c r="AN620" i="1" s="1"/>
  <c r="AL618" i="1"/>
  <c r="AJ618" i="1"/>
  <c r="AJ620" i="1" s="1"/>
  <c r="AP403" i="1"/>
  <c r="AN403" i="1"/>
  <c r="AN405" i="1" s="1"/>
  <c r="AL403" i="1"/>
  <c r="AM404" i="1" s="1"/>
  <c r="AJ403" i="1"/>
  <c r="AJ405" i="1" s="1"/>
  <c r="AH403" i="1"/>
  <c r="AH405" i="1" s="1"/>
  <c r="AF403" i="1"/>
  <c r="AF405" i="1" s="1"/>
  <c r="AD403" i="1"/>
  <c r="AD405" i="1" s="1"/>
  <c r="AB403" i="1"/>
  <c r="AC404" i="1" s="1"/>
  <c r="AV528" i="1"/>
  <c r="AR403" i="1"/>
  <c r="AR405" i="1" s="1"/>
  <c r="AV558" i="1"/>
  <c r="AT558" i="1"/>
  <c r="AT560" i="1" s="1"/>
  <c r="AU559" i="1" s="1"/>
  <c r="AV548" i="1"/>
  <c r="AT548" i="1"/>
  <c r="AT550" i="1" s="1"/>
  <c r="AU549" i="1" s="1"/>
  <c r="AT132" i="1"/>
  <c r="AT134" i="1" s="1"/>
  <c r="AU133" i="1" s="1"/>
  <c r="AT22" i="1"/>
  <c r="AT668" i="1"/>
  <c r="AT670" i="1" s="1"/>
  <c r="AU669" i="1" s="1"/>
  <c r="AT62" i="1"/>
  <c r="AV683" i="1"/>
  <c r="AV685" i="1" s="1"/>
  <c r="AW684" i="1" s="1"/>
  <c r="AV638" i="1"/>
  <c r="AV518" i="1"/>
  <c r="AT623" i="1"/>
  <c r="AR623" i="1"/>
  <c r="AV230" i="1"/>
  <c r="AW229" i="1" s="1"/>
  <c r="AT9" i="1"/>
  <c r="AU8" i="1" s="1"/>
  <c r="AT14" i="1"/>
  <c r="AU13" i="1" s="1"/>
  <c r="AT19" i="1"/>
  <c r="AU18" i="1" s="1"/>
  <c r="AT29" i="1"/>
  <c r="AU28" i="1" s="1"/>
  <c r="AT34" i="1"/>
  <c r="AU33" i="1" s="1"/>
  <c r="AT39" i="1"/>
  <c r="AU38" i="1" s="1"/>
  <c r="AT44" i="1"/>
  <c r="AU43" i="1" s="1"/>
  <c r="AT49" i="1"/>
  <c r="AU48" i="1" s="1"/>
  <c r="AT54" i="1"/>
  <c r="AU53" i="1" s="1"/>
  <c r="AT59" i="1"/>
  <c r="AU58" i="1" s="1"/>
  <c r="AT67" i="1"/>
  <c r="AT74" i="1"/>
  <c r="AU73" i="1" s="1"/>
  <c r="AT79" i="1"/>
  <c r="AU78" i="1" s="1"/>
  <c r="AT89" i="1"/>
  <c r="AT104" i="1"/>
  <c r="AU103" i="1" s="1"/>
  <c r="AT109" i="1"/>
  <c r="AU108" i="1" s="1"/>
  <c r="AT124" i="1"/>
  <c r="AT127" i="1"/>
  <c r="AT129" i="1" s="1"/>
  <c r="AU128" i="1" s="1"/>
  <c r="AT159" i="1"/>
  <c r="AT173" i="1"/>
  <c r="AT175" i="1" s="1"/>
  <c r="AU174" i="1" s="1"/>
  <c r="AT178" i="1"/>
  <c r="AT185" i="1"/>
  <c r="AT190" i="1"/>
  <c r="AU189" i="1" s="1"/>
  <c r="AT195" i="1"/>
  <c r="AU194" i="1" s="1"/>
  <c r="AT200" i="1"/>
  <c r="AU199" i="1" s="1"/>
  <c r="AT205" i="1"/>
  <c r="AU204" i="1" s="1"/>
  <c r="AT210" i="1"/>
  <c r="AU209" i="1" s="1"/>
  <c r="AT215" i="1"/>
  <c r="AU214" i="1" s="1"/>
  <c r="AT220" i="1"/>
  <c r="AU219" i="1" s="1"/>
  <c r="AT225" i="1"/>
  <c r="AU224" i="1" s="1"/>
  <c r="AT230" i="1"/>
  <c r="AU229" i="1" s="1"/>
  <c r="AT240" i="1"/>
  <c r="AU239" i="1" s="1"/>
  <c r="AT245" i="1"/>
  <c r="AU244" i="1" s="1"/>
  <c r="AT250" i="1"/>
  <c r="AU249" i="1" s="1"/>
  <c r="AT255" i="1"/>
  <c r="AU254" i="1" s="1"/>
  <c r="AT260" i="1"/>
  <c r="AT265" i="1"/>
  <c r="AU264" i="1" s="1"/>
  <c r="AT268" i="1"/>
  <c r="AT275" i="1"/>
  <c r="AU274" i="1" s="1"/>
  <c r="AT280" i="1"/>
  <c r="AU279" i="1" s="1"/>
  <c r="AT285" i="1"/>
  <c r="AU284" i="1" s="1"/>
  <c r="AT290" i="1"/>
  <c r="AU289" i="1" s="1"/>
  <c r="AT295" i="1"/>
  <c r="AU294" i="1" s="1"/>
  <c r="AT300" i="1"/>
  <c r="AU299" i="1" s="1"/>
  <c r="AT305" i="1"/>
  <c r="AU304" i="1" s="1"/>
  <c r="AT310" i="1"/>
  <c r="AU309" i="1" s="1"/>
  <c r="AT315" i="1"/>
  <c r="AU314" i="1" s="1"/>
  <c r="AT320" i="1"/>
  <c r="AU319" i="1" s="1"/>
  <c r="AT325" i="1"/>
  <c r="AU324" i="1" s="1"/>
  <c r="AT330" i="1"/>
  <c r="AU329" i="1" s="1"/>
  <c r="AT335" i="1"/>
  <c r="AU334" i="1" s="1"/>
  <c r="AT340" i="1"/>
  <c r="AU339" i="1" s="1"/>
  <c r="AT345" i="1"/>
  <c r="AU344" i="1" s="1"/>
  <c r="AT348" i="1"/>
  <c r="AT350" i="1" s="1"/>
  <c r="AU349" i="1" s="1"/>
  <c r="AT360" i="1"/>
  <c r="AU359" i="1" s="1"/>
  <c r="AT365" i="1"/>
  <c r="AU364" i="1" s="1"/>
  <c r="AT370" i="1"/>
  <c r="AU369" i="1" s="1"/>
  <c r="AT380" i="1"/>
  <c r="AU379" i="1" s="1"/>
  <c r="AT385" i="1"/>
  <c r="AU384" i="1" s="1"/>
  <c r="AT390" i="1"/>
  <c r="AU389" i="1" s="1"/>
  <c r="AT393" i="1"/>
  <c r="AT395" i="1" s="1"/>
  <c r="AU394" i="1" s="1"/>
  <c r="AT400" i="1"/>
  <c r="AU399" i="1" s="1"/>
  <c r="AT405" i="1"/>
  <c r="AU404" i="1" s="1"/>
  <c r="AT410" i="1"/>
  <c r="AU409" i="1" s="1"/>
  <c r="AT413" i="1"/>
  <c r="AT420" i="1"/>
  <c r="AU419" i="1" s="1"/>
  <c r="AT423" i="1"/>
  <c r="AT425" i="1" s="1"/>
  <c r="AU424" i="1" s="1"/>
  <c r="AT428" i="1"/>
  <c r="AT430" i="1" s="1"/>
  <c r="AU429" i="1" s="1"/>
  <c r="AT435" i="1"/>
  <c r="AU434" i="1" s="1"/>
  <c r="AT440" i="1"/>
  <c r="AU439" i="1" s="1"/>
  <c r="AT443" i="1"/>
  <c r="AT463" i="1"/>
  <c r="AT465" i="1" s="1"/>
  <c r="AT470" i="1"/>
  <c r="AU469" i="1" s="1"/>
  <c r="AT475" i="1"/>
  <c r="AU474" i="1" s="1"/>
  <c r="AT485" i="1"/>
  <c r="AT490" i="1"/>
  <c r="AT495" i="1"/>
  <c r="AT500" i="1"/>
  <c r="AU499" i="1" s="1"/>
  <c r="AT508" i="1"/>
  <c r="AT513" i="1"/>
  <c r="AT515" i="1" s="1"/>
  <c r="AU514" i="1" s="1"/>
  <c r="AT518" i="1"/>
  <c r="AT520" i="1" s="1"/>
  <c r="AU519" i="1" s="1"/>
  <c r="AT528" i="1"/>
  <c r="AT530" i="1" s="1"/>
  <c r="AU529" i="1" s="1"/>
  <c r="AT555" i="1"/>
  <c r="AU554" i="1" s="1"/>
  <c r="AT563" i="1"/>
  <c r="AT568" i="1"/>
  <c r="AT570" i="1" s="1"/>
  <c r="AU569" i="1" s="1"/>
  <c r="AT575" i="1"/>
  <c r="AU574" i="1" s="1"/>
  <c r="AT590" i="1"/>
  <c r="AU589" i="1" s="1"/>
  <c r="AT598" i="1"/>
  <c r="AT600" i="1" s="1"/>
  <c r="AU599" i="1" s="1"/>
  <c r="AT603" i="1"/>
  <c r="AT605" i="1" s="1"/>
  <c r="AU604" i="1" s="1"/>
  <c r="AT610" i="1"/>
  <c r="AU609" i="1" s="1"/>
  <c r="AT615" i="1"/>
  <c r="AU614" i="1" s="1"/>
  <c r="AT630" i="1"/>
  <c r="AU629" i="1" s="1"/>
  <c r="AT638" i="1"/>
  <c r="AT645" i="1"/>
  <c r="AU644" i="1" s="1"/>
  <c r="AT648" i="1"/>
  <c r="AT653" i="1"/>
  <c r="AT655" i="1" s="1"/>
  <c r="AU654" i="1" s="1"/>
  <c r="AT660" i="1"/>
  <c r="AU659" i="1" s="1"/>
  <c r="AV508" i="1"/>
  <c r="AV510" i="1" s="1"/>
  <c r="AW509" i="1" s="1"/>
  <c r="AV513" i="1"/>
  <c r="AR603" i="1"/>
  <c r="AL508" i="1"/>
  <c r="AJ508" i="1"/>
  <c r="AK509" i="1" s="1"/>
  <c r="AR513" i="1"/>
  <c r="AP513" i="1"/>
  <c r="AP515" i="1" s="1"/>
  <c r="AN513" i="1"/>
  <c r="AN515" i="1" s="1"/>
  <c r="AR508" i="1"/>
  <c r="AR510" i="1" s="1"/>
  <c r="AP508" i="1"/>
  <c r="AP510" i="1" s="1"/>
  <c r="AN508" i="1"/>
  <c r="AR178" i="1"/>
  <c r="AV643" i="1"/>
  <c r="AV645" i="1" s="1"/>
  <c r="AW644" i="1" s="1"/>
  <c r="AX630" i="1"/>
  <c r="AY629" i="1" s="1"/>
  <c r="AX615" i="1"/>
  <c r="AY614" i="1" s="1"/>
  <c r="AX610" i="1"/>
  <c r="AY609" i="1" s="1"/>
  <c r="AX590" i="1"/>
  <c r="AY589" i="1" s="1"/>
  <c r="AX580" i="1"/>
  <c r="AY579" i="1" s="1"/>
  <c r="AV580" i="1"/>
  <c r="AW579" i="1" s="1"/>
  <c r="AV575" i="1"/>
  <c r="AW574" i="1" s="1"/>
  <c r="AX565" i="1"/>
  <c r="AY564" i="1" s="1"/>
  <c r="AX500" i="1"/>
  <c r="AY499" i="1" s="1"/>
  <c r="AV500" i="1"/>
  <c r="AW499" i="1" s="1"/>
  <c r="AX495" i="1"/>
  <c r="AV495" i="1"/>
  <c r="AX490" i="1"/>
  <c r="AV490" i="1"/>
  <c r="AV485" i="1"/>
  <c r="AX475" i="1"/>
  <c r="AY474" i="1" s="1"/>
  <c r="AX470" i="1"/>
  <c r="AY469" i="1" s="1"/>
  <c r="AV445" i="1"/>
  <c r="AW444" i="1" s="1"/>
  <c r="AX440" i="1"/>
  <c r="AY439" i="1" s="1"/>
  <c r="AV440" i="1"/>
  <c r="AW439" i="1" s="1"/>
  <c r="AX435" i="1"/>
  <c r="AY434" i="1" s="1"/>
  <c r="AX420" i="1"/>
  <c r="AY419" i="1" s="1"/>
  <c r="AX410" i="1"/>
  <c r="AY409" i="1" s="1"/>
  <c r="AX400" i="1"/>
  <c r="AY399" i="1" s="1"/>
  <c r="AV400" i="1"/>
  <c r="AW399" i="1" s="1"/>
  <c r="AX390" i="1"/>
  <c r="AY389" i="1" s="1"/>
  <c r="AV390" i="1"/>
  <c r="AW389" i="1" s="1"/>
  <c r="AX385" i="1"/>
  <c r="AY384" i="1" s="1"/>
  <c r="AV385" i="1"/>
  <c r="AW384" i="1" s="1"/>
  <c r="AX380" i="1"/>
  <c r="AY379" i="1" s="1"/>
  <c r="AV380" i="1"/>
  <c r="AW379" i="1" s="1"/>
  <c r="AX375" i="1"/>
  <c r="AY374" i="1" s="1"/>
  <c r="AV375" i="1"/>
  <c r="AW374" i="1" s="1"/>
  <c r="AV370" i="1"/>
  <c r="AW369" i="1" s="1"/>
  <c r="AX365" i="1"/>
  <c r="AY364" i="1" s="1"/>
  <c r="AV365" i="1"/>
  <c r="AW364" i="1" s="1"/>
  <c r="AX360" i="1"/>
  <c r="AY359" i="1" s="1"/>
  <c r="AV360" i="1"/>
  <c r="AW359" i="1" s="1"/>
  <c r="AX345" i="1"/>
  <c r="AY344" i="1" s="1"/>
  <c r="AV345" i="1"/>
  <c r="AW344" i="1" s="1"/>
  <c r="AX340" i="1"/>
  <c r="AY339" i="1" s="1"/>
  <c r="AV340" i="1"/>
  <c r="AW339" i="1" s="1"/>
  <c r="AX335" i="1"/>
  <c r="AY334" i="1" s="1"/>
  <c r="AV335" i="1"/>
  <c r="AW334" i="1" s="1"/>
  <c r="AX330" i="1"/>
  <c r="AY329" i="1" s="1"/>
  <c r="AV330" i="1"/>
  <c r="AW329" i="1" s="1"/>
  <c r="AX325" i="1"/>
  <c r="AY324" i="1" s="1"/>
  <c r="AV325" i="1"/>
  <c r="AW324" i="1" s="1"/>
  <c r="AX320" i="1"/>
  <c r="AY319" i="1" s="1"/>
  <c r="AV320" i="1"/>
  <c r="AW319" i="1" s="1"/>
  <c r="AX315" i="1"/>
  <c r="AY314" i="1" s="1"/>
  <c r="AV315" i="1"/>
  <c r="AW314" i="1" s="1"/>
  <c r="AX310" i="1"/>
  <c r="AY309" i="1" s="1"/>
  <c r="AV310" i="1"/>
  <c r="AW309" i="1" s="1"/>
  <c r="AX305" i="1"/>
  <c r="AY304" i="1" s="1"/>
  <c r="AV305" i="1"/>
  <c r="AW304" i="1" s="1"/>
  <c r="AX300" i="1"/>
  <c r="AY299" i="1" s="1"/>
  <c r="AV300" i="1"/>
  <c r="AW299" i="1" s="1"/>
  <c r="AX295" i="1"/>
  <c r="AY294" i="1" s="1"/>
  <c r="AV295" i="1"/>
  <c r="AW294" i="1" s="1"/>
  <c r="AX290" i="1"/>
  <c r="AY289" i="1" s="1"/>
  <c r="AV290" i="1"/>
  <c r="AW289" i="1" s="1"/>
  <c r="AX285" i="1"/>
  <c r="AY284" i="1" s="1"/>
  <c r="AV285" i="1"/>
  <c r="AW284" i="1" s="1"/>
  <c r="AX280" i="1"/>
  <c r="AY279" i="1" s="1"/>
  <c r="AV280" i="1"/>
  <c r="AW279" i="1" s="1"/>
  <c r="AX275" i="1"/>
  <c r="AY274" i="1" s="1"/>
  <c r="AV275" i="1"/>
  <c r="AW274" i="1" s="1"/>
  <c r="AX265" i="1"/>
  <c r="AY264" i="1" s="1"/>
  <c r="AV265" i="1"/>
  <c r="AW264" i="1" s="1"/>
  <c r="AX260" i="1"/>
  <c r="AV260" i="1"/>
  <c r="AX255" i="1"/>
  <c r="AY254" i="1" s="1"/>
  <c r="AV255" i="1"/>
  <c r="AW254" i="1" s="1"/>
  <c r="AX250" i="1"/>
  <c r="AY249" i="1" s="1"/>
  <c r="AV250" i="1"/>
  <c r="AW249" i="1" s="1"/>
  <c r="AX245" i="1"/>
  <c r="AY244" i="1" s="1"/>
  <c r="AV245" i="1"/>
  <c r="AW244" i="1" s="1"/>
  <c r="AX240" i="1"/>
  <c r="AY239" i="1" s="1"/>
  <c r="AV240" i="1"/>
  <c r="AW239" i="1" s="1"/>
  <c r="AX225" i="1"/>
  <c r="AY224" i="1" s="1"/>
  <c r="AV225" i="1"/>
  <c r="AW224" i="1" s="1"/>
  <c r="AX215" i="1"/>
  <c r="AY214" i="1" s="1"/>
  <c r="AV215" i="1"/>
  <c r="AW214" i="1" s="1"/>
  <c r="AX210" i="1"/>
  <c r="AY209" i="1" s="1"/>
  <c r="AV210" i="1"/>
  <c r="AW209" i="1" s="1"/>
  <c r="AX205" i="1"/>
  <c r="AY204" i="1" s="1"/>
  <c r="AV205" i="1"/>
  <c r="AW204" i="1" s="1"/>
  <c r="AX200" i="1"/>
  <c r="AY199" i="1" s="1"/>
  <c r="AV200" i="1"/>
  <c r="AW199" i="1" s="1"/>
  <c r="AX195" i="1"/>
  <c r="AY194" i="1" s="1"/>
  <c r="AV195" i="1"/>
  <c r="AW194" i="1" s="1"/>
  <c r="AX190" i="1"/>
  <c r="AY189" i="1" s="1"/>
  <c r="AX185" i="1"/>
  <c r="AX159" i="1"/>
  <c r="AV159" i="1"/>
  <c r="AX134" i="1"/>
  <c r="AY133" i="1" s="1"/>
  <c r="AV134" i="1"/>
  <c r="AW133" i="1" s="1"/>
  <c r="AX129" i="1"/>
  <c r="AY128" i="1" s="1"/>
  <c r="AX124" i="1"/>
  <c r="AX109" i="1"/>
  <c r="AY108" i="1" s="1"/>
  <c r="AV109" i="1"/>
  <c r="AW108" i="1" s="1"/>
  <c r="AX104" i="1"/>
  <c r="AY103" i="1" s="1"/>
  <c r="AV104" i="1"/>
  <c r="AW103" i="1" s="1"/>
  <c r="AX99" i="1"/>
  <c r="AY98" i="1" s="1"/>
  <c r="AV99" i="1"/>
  <c r="AW98" i="1" s="1"/>
  <c r="AX89" i="1"/>
  <c r="AV89" i="1"/>
  <c r="AX79" i="1"/>
  <c r="AY78" i="1" s="1"/>
  <c r="AX74" i="1"/>
  <c r="AY73" i="1" s="1"/>
  <c r="AV74" i="1"/>
  <c r="AW73" i="1" s="1"/>
  <c r="AX69" i="1"/>
  <c r="AY68" i="1" s="1"/>
  <c r="AV69" i="1"/>
  <c r="AW68" i="1" s="1"/>
  <c r="AX64" i="1"/>
  <c r="AY63" i="1" s="1"/>
  <c r="AV64" i="1"/>
  <c r="AW63" i="1" s="1"/>
  <c r="AX59" i="1"/>
  <c r="AY58" i="1" s="1"/>
  <c r="AV59" i="1"/>
  <c r="AW58" i="1" s="1"/>
  <c r="AX54" i="1"/>
  <c r="AY53" i="1" s="1"/>
  <c r="AV54" i="1"/>
  <c r="AW53" i="1" s="1"/>
  <c r="AX49" i="1"/>
  <c r="AY48" i="1" s="1"/>
  <c r="AV49" i="1"/>
  <c r="AW48" i="1" s="1"/>
  <c r="AX44" i="1"/>
  <c r="AY43" i="1" s="1"/>
  <c r="AV44" i="1"/>
  <c r="AW43" i="1" s="1"/>
  <c r="AX39" i="1"/>
  <c r="AY38" i="1" s="1"/>
  <c r="AV39" i="1"/>
  <c r="AW38" i="1" s="1"/>
  <c r="AX34" i="1"/>
  <c r="AY33" i="1" s="1"/>
  <c r="AV34" i="1"/>
  <c r="AW33" i="1" s="1"/>
  <c r="AX29" i="1"/>
  <c r="AY28" i="1" s="1"/>
  <c r="AV29" i="1"/>
  <c r="AW28" i="1" s="1"/>
  <c r="AX24" i="1"/>
  <c r="AY23" i="1" s="1"/>
  <c r="AV24" i="1"/>
  <c r="AW23" i="1" s="1"/>
  <c r="AV19" i="1"/>
  <c r="AW18" i="1" s="1"/>
  <c r="AV14" i="1"/>
  <c r="AW13" i="1" s="1"/>
  <c r="AX13" i="1" s="1"/>
  <c r="AX3" i="1" s="1"/>
  <c r="AX9" i="1"/>
  <c r="AY8" i="1" s="1"/>
  <c r="AV9" i="1"/>
  <c r="AW8" i="1" s="1"/>
  <c r="AR423" i="1"/>
  <c r="AR425" i="1" s="1"/>
  <c r="AR428" i="1"/>
  <c r="AR430" i="1" s="1"/>
  <c r="AP109" i="1"/>
  <c r="AP62" i="1"/>
  <c r="AQ63" i="1" s="1"/>
  <c r="AR413" i="1"/>
  <c r="AS414" i="1" s="1"/>
  <c r="AR173" i="1"/>
  <c r="AS174" i="1" s="1"/>
  <c r="AR348" i="1"/>
  <c r="AR453" i="1"/>
  <c r="AR393" i="1"/>
  <c r="AS394" i="1" s="1"/>
  <c r="AR528" i="1"/>
  <c r="AS529" i="1" s="1"/>
  <c r="AP528" i="1"/>
  <c r="AP530" i="1" s="1"/>
  <c r="AR638" i="1"/>
  <c r="AR640" i="1" s="1"/>
  <c r="AR598" i="1"/>
  <c r="AR463" i="1"/>
  <c r="AS464" i="1" s="1"/>
  <c r="AU259" i="1"/>
  <c r="AU184" i="1"/>
  <c r="AU158" i="1"/>
  <c r="AU123" i="1"/>
  <c r="AU88" i="1"/>
  <c r="AN640" i="1"/>
  <c r="AO639" i="1"/>
  <c r="AM639" i="1"/>
  <c r="AK639" i="1"/>
  <c r="AP638" i="1"/>
  <c r="AP640" i="1" s="1"/>
  <c r="AM634" i="1"/>
  <c r="AK634" i="1"/>
  <c r="AP633" i="1"/>
  <c r="AQ634" i="1" s="1"/>
  <c r="AN633" i="1"/>
  <c r="AO634" i="1" s="1"/>
  <c r="AP630" i="1"/>
  <c r="AN630" i="1"/>
  <c r="AQ629" i="1"/>
  <c r="AO629" i="1"/>
  <c r="AM629" i="1"/>
  <c r="AK629" i="1"/>
  <c r="AR628" i="1"/>
  <c r="AP623" i="1"/>
  <c r="AN623" i="1"/>
  <c r="AN625" i="1" s="1"/>
  <c r="AL623" i="1"/>
  <c r="AM624" i="1" s="1"/>
  <c r="AJ623" i="1"/>
  <c r="AR615" i="1"/>
  <c r="AP615" i="1"/>
  <c r="AN615" i="1"/>
  <c r="AL615" i="1"/>
  <c r="AS614" i="1"/>
  <c r="AQ614" i="1"/>
  <c r="AO614" i="1"/>
  <c r="AM614" i="1"/>
  <c r="AR610" i="1"/>
  <c r="AP610" i="1"/>
  <c r="AN610" i="1"/>
  <c r="AL610" i="1"/>
  <c r="AS609" i="1"/>
  <c r="AQ609" i="1"/>
  <c r="AO609" i="1"/>
  <c r="AM609" i="1"/>
  <c r="AJ608" i="1"/>
  <c r="AK609" i="1" s="1"/>
  <c r="AH605" i="1"/>
  <c r="AI604" i="1"/>
  <c r="AP603" i="1"/>
  <c r="AQ604" i="1" s="1"/>
  <c r="AN603" i="1"/>
  <c r="AN605" i="1" s="1"/>
  <c r="AL603" i="1"/>
  <c r="AM604" i="1" s="1"/>
  <c r="AJ603" i="1"/>
  <c r="AK604" i="1" s="1"/>
  <c r="AJ600" i="1"/>
  <c r="AH600" i="1"/>
  <c r="AK599" i="1"/>
  <c r="AI599" i="1"/>
  <c r="AG599" i="1"/>
  <c r="AP598" i="1"/>
  <c r="AQ599" i="1" s="1"/>
  <c r="AN598" i="1"/>
  <c r="AO599" i="1" s="1"/>
  <c r="AL598" i="1"/>
  <c r="AM599" i="1" s="1"/>
  <c r="AH595" i="1"/>
  <c r="AI594" i="1"/>
  <c r="AG594" i="1"/>
  <c r="AP593" i="1"/>
  <c r="AP595" i="1" s="1"/>
  <c r="AN593" i="1"/>
  <c r="AO594" i="1" s="1"/>
  <c r="AL593" i="1"/>
  <c r="AJ593" i="1"/>
  <c r="AN590" i="1"/>
  <c r="AL590" i="1"/>
  <c r="AJ590" i="1"/>
  <c r="AF590" i="1"/>
  <c r="AO589" i="1"/>
  <c r="AM589" i="1"/>
  <c r="AK589" i="1"/>
  <c r="AG589" i="1"/>
  <c r="AP588" i="1"/>
  <c r="AQ589" i="1" s="1"/>
  <c r="AH588" i="1"/>
  <c r="AH590" i="1" s="1"/>
  <c r="AR583" i="1"/>
  <c r="AS584" i="1" s="1"/>
  <c r="AP583" i="1"/>
  <c r="AQ584" i="1" s="1"/>
  <c r="AN583" i="1"/>
  <c r="AN585" i="1" s="1"/>
  <c r="AL583" i="1"/>
  <c r="AJ583" i="1"/>
  <c r="AJ585" i="1" s="1"/>
  <c r="AH583" i="1"/>
  <c r="AI584" i="1" s="1"/>
  <c r="AF583" i="1"/>
  <c r="AF585" i="1" s="1"/>
  <c r="AD583" i="1"/>
  <c r="AD585" i="1" s="1"/>
  <c r="AR580" i="1"/>
  <c r="AN580" i="1"/>
  <c r="AL580" i="1"/>
  <c r="AJ580" i="1"/>
  <c r="AF580" i="1"/>
  <c r="AD580" i="1"/>
  <c r="AS579" i="1"/>
  <c r="AO579" i="1"/>
  <c r="AK579" i="1"/>
  <c r="AG579" i="1"/>
  <c r="AP578" i="1"/>
  <c r="AP580" i="1" s="1"/>
  <c r="AH578" i="1"/>
  <c r="AI579" i="1" s="1"/>
  <c r="AR575" i="1"/>
  <c r="AP575" i="1"/>
  <c r="AN575" i="1"/>
  <c r="AL575" i="1"/>
  <c r="AJ575" i="1"/>
  <c r="AH575" i="1"/>
  <c r="AF575" i="1"/>
  <c r="AD575" i="1"/>
  <c r="AS574" i="1"/>
  <c r="AQ574" i="1"/>
  <c r="AO574" i="1"/>
  <c r="AM574" i="1"/>
  <c r="AK574" i="1"/>
  <c r="AI574" i="1"/>
  <c r="AG574" i="1"/>
  <c r="AF570" i="1"/>
  <c r="AG569" i="1"/>
  <c r="AR568" i="1"/>
  <c r="AS569" i="1" s="1"/>
  <c r="AP568" i="1"/>
  <c r="AP570" i="1" s="1"/>
  <c r="AN568" i="1"/>
  <c r="AL568" i="1"/>
  <c r="AM569" i="1" s="1"/>
  <c r="AJ568" i="1"/>
  <c r="AK569" i="1" s="1"/>
  <c r="AH568" i="1"/>
  <c r="AH570" i="1" s="1"/>
  <c r="AF565" i="1"/>
  <c r="AG564" i="1"/>
  <c r="AR563" i="1"/>
  <c r="AR565" i="1" s="1"/>
  <c r="AP563" i="1"/>
  <c r="AQ564" i="1" s="1"/>
  <c r="AN563" i="1"/>
  <c r="AO564" i="1" s="1"/>
  <c r="AL563" i="1"/>
  <c r="AM564" i="1" s="1"/>
  <c r="AJ563" i="1"/>
  <c r="AJ565" i="1" s="1"/>
  <c r="AH563" i="1"/>
  <c r="AH565" i="1" s="1"/>
  <c r="AD560" i="1"/>
  <c r="AE559" i="1"/>
  <c r="AR558" i="1"/>
  <c r="AS559" i="1" s="1"/>
  <c r="AP558" i="1"/>
  <c r="AP560" i="1" s="1"/>
  <c r="AN558" i="1"/>
  <c r="AN560" i="1" s="1"/>
  <c r="AL558" i="1"/>
  <c r="AL560" i="1" s="1"/>
  <c r="AJ558" i="1"/>
  <c r="AJ560" i="1" s="1"/>
  <c r="AH558" i="1"/>
  <c r="AH560" i="1" s="1"/>
  <c r="AF558" i="1"/>
  <c r="AG559" i="1" s="1"/>
  <c r="AD555" i="1"/>
  <c r="AE554" i="1"/>
  <c r="AR553" i="1"/>
  <c r="AR555" i="1" s="1"/>
  <c r="AP553" i="1"/>
  <c r="AP555" i="1" s="1"/>
  <c r="AN553" i="1"/>
  <c r="AN555" i="1" s="1"/>
  <c r="AL553" i="1"/>
  <c r="AM554" i="1" s="1"/>
  <c r="AJ553" i="1"/>
  <c r="AJ555" i="1" s="1"/>
  <c r="AH553" i="1"/>
  <c r="AH555" i="1" s="1"/>
  <c r="AF553" i="1"/>
  <c r="AD550" i="1"/>
  <c r="AE549" i="1"/>
  <c r="AR548" i="1"/>
  <c r="AP548" i="1"/>
  <c r="AP550" i="1" s="1"/>
  <c r="AN548" i="1"/>
  <c r="AO549" i="1" s="1"/>
  <c r="AL548" i="1"/>
  <c r="AL550" i="1" s="1"/>
  <c r="AJ548" i="1"/>
  <c r="AJ550" i="1" s="1"/>
  <c r="AH548" i="1"/>
  <c r="AF548" i="1"/>
  <c r="AD545" i="1"/>
  <c r="AE544" i="1"/>
  <c r="AR543" i="1"/>
  <c r="AR545" i="1" s="1"/>
  <c r="AP543" i="1"/>
  <c r="AQ544" i="1" s="1"/>
  <c r="AN543" i="1"/>
  <c r="AN545" i="1" s="1"/>
  <c r="AL543" i="1"/>
  <c r="AM544" i="1" s="1"/>
  <c r="AJ543" i="1"/>
  <c r="AH543" i="1"/>
  <c r="AF543" i="1"/>
  <c r="AF545" i="1" s="1"/>
  <c r="AD540" i="1"/>
  <c r="AE539" i="1"/>
  <c r="AR538" i="1"/>
  <c r="AR540" i="1" s="1"/>
  <c r="AP538" i="1"/>
  <c r="AP540" i="1" s="1"/>
  <c r="AN538" i="1"/>
  <c r="AO539" i="1" s="1"/>
  <c r="AL538" i="1"/>
  <c r="AJ538" i="1"/>
  <c r="AK539" i="1" s="1"/>
  <c r="AH538" i="1"/>
  <c r="AH540" i="1" s="1"/>
  <c r="AF538" i="1"/>
  <c r="AF540" i="1" s="1"/>
  <c r="AD535" i="1"/>
  <c r="AE534" i="1"/>
  <c r="AR533" i="1"/>
  <c r="AS534" i="1" s="1"/>
  <c r="AP533" i="1"/>
  <c r="AN533" i="1"/>
  <c r="AL533" i="1"/>
  <c r="AL535" i="1" s="1"/>
  <c r="AJ533" i="1"/>
  <c r="AJ535" i="1" s="1"/>
  <c r="AH533" i="1"/>
  <c r="AF533" i="1"/>
  <c r="AF535" i="1" s="1"/>
  <c r="AD530" i="1"/>
  <c r="AE529" i="1"/>
  <c r="AN528" i="1"/>
  <c r="AL528" i="1"/>
  <c r="AM529" i="1" s="1"/>
  <c r="AJ528" i="1"/>
  <c r="AJ530" i="1" s="1"/>
  <c r="AH528" i="1"/>
  <c r="AH530" i="1" s="1"/>
  <c r="AF528" i="1"/>
  <c r="AG529" i="1" s="1"/>
  <c r="AD525" i="1"/>
  <c r="AE524" i="1"/>
  <c r="AR523" i="1"/>
  <c r="AR525" i="1" s="1"/>
  <c r="AP523" i="1"/>
  <c r="AN523" i="1"/>
  <c r="AN525" i="1" s="1"/>
  <c r="AL523" i="1"/>
  <c r="AJ523" i="1"/>
  <c r="AJ525" i="1" s="1"/>
  <c r="AH523" i="1"/>
  <c r="AI524" i="1" s="1"/>
  <c r="AF523" i="1"/>
  <c r="AF525" i="1" s="1"/>
  <c r="AD520" i="1"/>
  <c r="AE519" i="1"/>
  <c r="AR518" i="1"/>
  <c r="AR520" i="1" s="1"/>
  <c r="AP518" i="1"/>
  <c r="AN518" i="1"/>
  <c r="AL518" i="1"/>
  <c r="AL520" i="1" s="1"/>
  <c r="AJ518" i="1"/>
  <c r="AK519" i="1" s="1"/>
  <c r="AH518" i="1"/>
  <c r="AH520" i="1" s="1"/>
  <c r="AF518" i="1"/>
  <c r="AF520" i="1" s="1"/>
  <c r="AL513" i="1"/>
  <c r="AL515" i="1" s="1"/>
  <c r="AJ513" i="1"/>
  <c r="AJ515" i="1" s="1"/>
  <c r="AH513" i="1"/>
  <c r="AF513" i="1"/>
  <c r="AG514" i="1" s="1"/>
  <c r="AD513" i="1"/>
  <c r="AD515" i="1" s="1"/>
  <c r="AH508" i="1"/>
  <c r="AH510" i="1" s="1"/>
  <c r="AF508" i="1"/>
  <c r="AF510" i="1" s="1"/>
  <c r="AD508" i="1"/>
  <c r="AD510" i="1" s="1"/>
  <c r="AR500" i="1"/>
  <c r="AP500" i="1"/>
  <c r="AN500" i="1"/>
  <c r="AL500" i="1"/>
  <c r="AJ500" i="1"/>
  <c r="AH500" i="1"/>
  <c r="AF500" i="1"/>
  <c r="AD500" i="1"/>
  <c r="AS499" i="1"/>
  <c r="AQ499" i="1"/>
  <c r="AO499" i="1"/>
  <c r="AM499" i="1"/>
  <c r="AK499" i="1"/>
  <c r="AI499" i="1"/>
  <c r="AG499" i="1"/>
  <c r="AE499" i="1"/>
  <c r="AR495" i="1"/>
  <c r="AP495" i="1"/>
  <c r="AN495" i="1"/>
  <c r="AL495" i="1"/>
  <c r="AJ495" i="1"/>
  <c r="AH495" i="1"/>
  <c r="AF495" i="1"/>
  <c r="AD495" i="1"/>
  <c r="AS494" i="1"/>
  <c r="AQ494" i="1"/>
  <c r="AO494" i="1"/>
  <c r="AM494" i="1"/>
  <c r="AK494" i="1"/>
  <c r="AI494" i="1"/>
  <c r="AG494" i="1"/>
  <c r="AE494" i="1"/>
  <c r="AR490" i="1"/>
  <c r="AP490" i="1"/>
  <c r="AN490" i="1"/>
  <c r="AL490" i="1"/>
  <c r="AJ490" i="1"/>
  <c r="AH490" i="1"/>
  <c r="AF490" i="1"/>
  <c r="AD490" i="1"/>
  <c r="AS489" i="1"/>
  <c r="AQ489" i="1"/>
  <c r="AO489" i="1"/>
  <c r="AM489" i="1"/>
  <c r="AK489" i="1"/>
  <c r="AI489" i="1"/>
  <c r="AG489" i="1"/>
  <c r="AE489" i="1"/>
  <c r="AR485" i="1"/>
  <c r="AP485" i="1"/>
  <c r="AN485" i="1"/>
  <c r="AL485" i="1"/>
  <c r="AJ485" i="1"/>
  <c r="AH485" i="1"/>
  <c r="AF485" i="1"/>
  <c r="AD485" i="1"/>
  <c r="AS484" i="1"/>
  <c r="AQ484" i="1"/>
  <c r="AO484" i="1"/>
  <c r="AM484" i="1"/>
  <c r="AK484" i="1"/>
  <c r="AI484" i="1"/>
  <c r="AG484" i="1"/>
  <c r="AE484" i="1"/>
  <c r="AP478" i="1"/>
  <c r="AP480" i="1" s="1"/>
  <c r="AN478" i="1"/>
  <c r="AO479" i="1" s="1"/>
  <c r="AL478" i="1"/>
  <c r="AM479" i="1" s="1"/>
  <c r="AJ478" i="1"/>
  <c r="AJ480" i="1" s="1"/>
  <c r="AH478" i="1"/>
  <c r="AF478" i="1"/>
  <c r="AG479" i="1" s="1"/>
  <c r="AD478" i="1"/>
  <c r="AD480" i="1" s="1"/>
  <c r="AB478" i="1"/>
  <c r="AR475" i="1"/>
  <c r="AP475" i="1"/>
  <c r="AL475" i="1"/>
  <c r="AJ475" i="1"/>
  <c r="AH475" i="1"/>
  <c r="AF475" i="1"/>
  <c r="AD475" i="1"/>
  <c r="AB475" i="1"/>
  <c r="Z475" i="1"/>
  <c r="AS474" i="1"/>
  <c r="AQ474" i="1"/>
  <c r="AM474" i="1"/>
  <c r="AK474" i="1"/>
  <c r="AI474" i="1"/>
  <c r="AG474" i="1"/>
  <c r="AE474" i="1"/>
  <c r="AN473" i="1"/>
  <c r="AN475" i="1" s="1"/>
  <c r="AR470" i="1"/>
  <c r="AP470" i="1"/>
  <c r="AL470" i="1"/>
  <c r="AJ470" i="1"/>
  <c r="AH470" i="1"/>
  <c r="AF470" i="1"/>
  <c r="AD470" i="1"/>
  <c r="AB470" i="1"/>
  <c r="Z470" i="1"/>
  <c r="AS469" i="1"/>
  <c r="AQ469" i="1"/>
  <c r="AM469" i="1"/>
  <c r="AK469" i="1"/>
  <c r="AI469" i="1"/>
  <c r="AG469" i="1"/>
  <c r="AE469" i="1"/>
  <c r="AN468" i="1"/>
  <c r="AO469" i="1" s="1"/>
  <c r="Z465" i="1"/>
  <c r="AP463" i="1"/>
  <c r="AP465" i="1" s="1"/>
  <c r="AN463" i="1"/>
  <c r="AL463" i="1"/>
  <c r="AL465" i="1" s="1"/>
  <c r="AJ463" i="1"/>
  <c r="AK464" i="1" s="1"/>
  <c r="AH463" i="1"/>
  <c r="AH465" i="1" s="1"/>
  <c r="AF463" i="1"/>
  <c r="AG464" i="1" s="1"/>
  <c r="AD463" i="1"/>
  <c r="AB463" i="1"/>
  <c r="AB465" i="1" s="1"/>
  <c r="Z460" i="1"/>
  <c r="AQ459" i="1"/>
  <c r="AN458" i="1"/>
  <c r="AO459" i="1" s="1"/>
  <c r="AL458" i="1"/>
  <c r="AM459" i="1" s="1"/>
  <c r="AJ458" i="1"/>
  <c r="AJ460" i="1" s="1"/>
  <c r="Z455" i="1"/>
  <c r="X455" i="1"/>
  <c r="AA454" i="1"/>
  <c r="Y454" i="1"/>
  <c r="AP453" i="1"/>
  <c r="AN453" i="1"/>
  <c r="AO454" i="1" s="1"/>
  <c r="AL453" i="1"/>
  <c r="AM454" i="1" s="1"/>
  <c r="AJ453" i="1"/>
  <c r="AK454" i="1" s="1"/>
  <c r="AH453" i="1"/>
  <c r="AH455" i="1" s="1"/>
  <c r="AI454" i="1" s="1"/>
  <c r="AF453" i="1"/>
  <c r="AF455" i="1" s="1"/>
  <c r="AD453" i="1"/>
  <c r="AE454" i="1" s="1"/>
  <c r="AB453" i="1"/>
  <c r="AC454" i="1" s="1"/>
  <c r="AJ450" i="1"/>
  <c r="AD450" i="1"/>
  <c r="AB450" i="1"/>
  <c r="Z450" i="1"/>
  <c r="AK449" i="1"/>
  <c r="AE449" i="1"/>
  <c r="AC449" i="1"/>
  <c r="AA449" i="1"/>
  <c r="AP448" i="1"/>
  <c r="AQ449" i="1" s="1"/>
  <c r="AN448" i="1"/>
  <c r="AN450" i="1" s="1"/>
  <c r="AL448" i="1"/>
  <c r="AM449" i="1" s="1"/>
  <c r="AH448" i="1"/>
  <c r="AI449" i="1" s="1"/>
  <c r="AF448" i="1"/>
  <c r="AG449" i="1" s="1"/>
  <c r="X448" i="1"/>
  <c r="X450" i="1" s="1"/>
  <c r="AR445" i="1"/>
  <c r="AP445" i="1"/>
  <c r="AN445" i="1"/>
  <c r="AL445" i="1"/>
  <c r="AJ445" i="1"/>
  <c r="AF445" i="1"/>
  <c r="AD445" i="1"/>
  <c r="AB445" i="1"/>
  <c r="Z445" i="1"/>
  <c r="X445" i="1"/>
  <c r="AS444" i="1"/>
  <c r="AQ444" i="1"/>
  <c r="AK444" i="1"/>
  <c r="AG444" i="1"/>
  <c r="AE444" i="1"/>
  <c r="AH443" i="1"/>
  <c r="AI444" i="1" s="1"/>
  <c r="AR440" i="1"/>
  <c r="AP440" i="1"/>
  <c r="AN440" i="1"/>
  <c r="AL440" i="1"/>
  <c r="AH440" i="1"/>
  <c r="AF440" i="1"/>
  <c r="AB440" i="1"/>
  <c r="Z440" i="1"/>
  <c r="AS439" i="1"/>
  <c r="AQ439" i="1"/>
  <c r="AO439" i="1"/>
  <c r="AM439" i="1"/>
  <c r="AI439" i="1"/>
  <c r="AG439" i="1"/>
  <c r="AC439" i="1"/>
  <c r="AJ438" i="1"/>
  <c r="AK439" i="1" s="1"/>
  <c r="AD438" i="1"/>
  <c r="AD440" i="1" s="1"/>
  <c r="AR435" i="1"/>
  <c r="AP435" i="1"/>
  <c r="AN435" i="1"/>
  <c r="AL435" i="1"/>
  <c r="AJ435" i="1"/>
  <c r="AH435" i="1"/>
  <c r="AD435" i="1"/>
  <c r="AB435" i="1"/>
  <c r="Z435" i="1"/>
  <c r="AS434" i="1"/>
  <c r="AQ434" i="1"/>
  <c r="AO434" i="1"/>
  <c r="AM434" i="1"/>
  <c r="AK434" i="1"/>
  <c r="AE434" i="1"/>
  <c r="AI433" i="1"/>
  <c r="AF433" i="1"/>
  <c r="AF435" i="1" s="1"/>
  <c r="Z430" i="1"/>
  <c r="X430" i="1"/>
  <c r="V430" i="1"/>
  <c r="T430" i="1"/>
  <c r="W429" i="1"/>
  <c r="U429" i="1"/>
  <c r="AP428" i="1"/>
  <c r="AQ429" i="1" s="1"/>
  <c r="AN428" i="1"/>
  <c r="AO429" i="1" s="1"/>
  <c r="AL428" i="1"/>
  <c r="AJ428" i="1"/>
  <c r="AJ430" i="1" s="1"/>
  <c r="AH428" i="1"/>
  <c r="AI429" i="1" s="1"/>
  <c r="AF428" i="1"/>
  <c r="AF430" i="1" s="1"/>
  <c r="AD428" i="1"/>
  <c r="AD430" i="1" s="1"/>
  <c r="AB428" i="1"/>
  <c r="AB430" i="1" s="1"/>
  <c r="Z425" i="1"/>
  <c r="X425" i="1"/>
  <c r="V425" i="1"/>
  <c r="T425" i="1"/>
  <c r="P425" i="1"/>
  <c r="AA424" i="1"/>
  <c r="Y424" i="1"/>
  <c r="W424" i="1"/>
  <c r="AP423" i="1"/>
  <c r="AN423" i="1"/>
  <c r="AN425" i="1" s="1"/>
  <c r="AL423" i="1"/>
  <c r="AJ423" i="1"/>
  <c r="AJ425" i="1" s="1"/>
  <c r="AH423" i="1"/>
  <c r="AI424" i="1" s="1"/>
  <c r="AF423" i="1"/>
  <c r="AF425" i="1" s="1"/>
  <c r="AD423" i="1"/>
  <c r="AB423" i="1"/>
  <c r="AC424" i="1" s="1"/>
  <c r="R423" i="1"/>
  <c r="R425" i="1" s="1"/>
  <c r="AR420" i="1"/>
  <c r="AN420" i="1"/>
  <c r="AJ420" i="1"/>
  <c r="AH420" i="1"/>
  <c r="AF420" i="1"/>
  <c r="AD420" i="1"/>
  <c r="AB420" i="1"/>
  <c r="Z420" i="1"/>
  <c r="V420" i="1"/>
  <c r="T420" i="1"/>
  <c r="R420" i="1"/>
  <c r="AS419" i="1"/>
  <c r="AO419" i="1"/>
  <c r="AK419" i="1"/>
  <c r="AI419" i="1"/>
  <c r="AG419" i="1"/>
  <c r="AE419" i="1"/>
  <c r="AC419" i="1"/>
  <c r="W419" i="1"/>
  <c r="S419" i="1"/>
  <c r="AP418" i="1"/>
  <c r="AP420" i="1" s="1"/>
  <c r="AL418" i="1"/>
  <c r="X418" i="1"/>
  <c r="X420" i="1" s="1"/>
  <c r="Z415" i="1"/>
  <c r="X415" i="1"/>
  <c r="V415" i="1"/>
  <c r="T415" i="1"/>
  <c r="P415" i="1"/>
  <c r="AA414" i="1"/>
  <c r="Y414" i="1"/>
  <c r="W414" i="1"/>
  <c r="Q414" i="1"/>
  <c r="AP413" i="1"/>
  <c r="AP415" i="1" s="1"/>
  <c r="AN413" i="1"/>
  <c r="AN415" i="1" s="1"/>
  <c r="AL413" i="1"/>
  <c r="AM414" i="1" s="1"/>
  <c r="AJ413" i="1"/>
  <c r="AK414" i="1" s="1"/>
  <c r="AH413" i="1"/>
  <c r="AI414" i="1" s="1"/>
  <c r="AF413" i="1"/>
  <c r="AD413" i="1"/>
  <c r="AE414" i="1" s="1"/>
  <c r="AB413" i="1"/>
  <c r="R413" i="1"/>
  <c r="R415" i="1" s="1"/>
  <c r="AR410" i="1"/>
  <c r="AP410" i="1"/>
  <c r="AL410" i="1"/>
  <c r="AJ410" i="1"/>
  <c r="AH410" i="1"/>
  <c r="AF410" i="1"/>
  <c r="AB410" i="1"/>
  <c r="Z410" i="1"/>
  <c r="V410" i="1"/>
  <c r="T410" i="1"/>
  <c r="R410" i="1"/>
  <c r="P410" i="1"/>
  <c r="N410" i="1"/>
  <c r="AS409" i="1"/>
  <c r="AQ409" i="1"/>
  <c r="AM409" i="1"/>
  <c r="AK409" i="1"/>
  <c r="AI409" i="1"/>
  <c r="AG409" i="1"/>
  <c r="S409" i="1"/>
  <c r="Q409" i="1"/>
  <c r="O409" i="1"/>
  <c r="AN408" i="1"/>
  <c r="AN410" i="1" s="1"/>
  <c r="AD408" i="1"/>
  <c r="AD410" i="1" s="1"/>
  <c r="X408" i="1"/>
  <c r="X410" i="1" s="1"/>
  <c r="Z405" i="1"/>
  <c r="X405" i="1"/>
  <c r="V405" i="1"/>
  <c r="T405" i="1"/>
  <c r="R405" i="1"/>
  <c r="P405" i="1"/>
  <c r="N405" i="1"/>
  <c r="AA404" i="1"/>
  <c r="Y404" i="1"/>
  <c r="W404" i="1"/>
  <c r="Q404" i="1"/>
  <c r="O404" i="1"/>
  <c r="AP400" i="1"/>
  <c r="AN400" i="1"/>
  <c r="AL400" i="1"/>
  <c r="AJ400" i="1"/>
  <c r="AF400" i="1"/>
  <c r="AD400" i="1"/>
  <c r="AB400" i="1"/>
  <c r="Z400" i="1"/>
  <c r="X400" i="1"/>
  <c r="V400" i="1"/>
  <c r="T400" i="1"/>
  <c r="R400" i="1"/>
  <c r="P400" i="1"/>
  <c r="N400" i="1"/>
  <c r="AQ399" i="1"/>
  <c r="AO399" i="1"/>
  <c r="AM399" i="1"/>
  <c r="AG399" i="1"/>
  <c r="AE399" i="1"/>
  <c r="AC399" i="1"/>
  <c r="AA399" i="1"/>
  <c r="Y399" i="1"/>
  <c r="S399" i="1"/>
  <c r="Q399" i="1"/>
  <c r="O399" i="1"/>
  <c r="AR398" i="1"/>
  <c r="AH398" i="1"/>
  <c r="AI399" i="1" s="1"/>
  <c r="Z395" i="1"/>
  <c r="X395" i="1"/>
  <c r="V395" i="1"/>
  <c r="T395" i="1"/>
  <c r="P395" i="1"/>
  <c r="AA394" i="1"/>
  <c r="Y394" i="1"/>
  <c r="W394" i="1"/>
  <c r="U394" i="1"/>
  <c r="R394" i="1"/>
  <c r="Q394" i="1"/>
  <c r="AP393" i="1"/>
  <c r="AP395" i="1" s="1"/>
  <c r="AN393" i="1"/>
  <c r="AN395" i="1" s="1"/>
  <c r="AL393" i="1"/>
  <c r="AM394" i="1" s="1"/>
  <c r="AJ393" i="1"/>
  <c r="AK394" i="1" s="1"/>
  <c r="AH393" i="1"/>
  <c r="AI394" i="1" s="1"/>
  <c r="AF393" i="1"/>
  <c r="AD393" i="1"/>
  <c r="AD395" i="1" s="1"/>
  <c r="AB393" i="1"/>
  <c r="AC394" i="1" s="1"/>
  <c r="R393" i="1"/>
  <c r="AP390" i="1"/>
  <c r="AN390" i="1"/>
  <c r="AL390" i="1"/>
  <c r="AF390" i="1"/>
  <c r="AD390" i="1"/>
  <c r="AB390" i="1"/>
  <c r="Z390" i="1"/>
  <c r="X390" i="1"/>
  <c r="V390" i="1"/>
  <c r="T390" i="1"/>
  <c r="R390" i="1"/>
  <c r="P390" i="1"/>
  <c r="N390" i="1"/>
  <c r="AQ389" i="1"/>
  <c r="AO389" i="1"/>
  <c r="AM389" i="1"/>
  <c r="AE389" i="1"/>
  <c r="W389" i="1"/>
  <c r="U389" i="1"/>
  <c r="S389" i="1"/>
  <c r="Q389" i="1"/>
  <c r="O389" i="1"/>
  <c r="AR388" i="1"/>
  <c r="AR390" i="1" s="1"/>
  <c r="AJ388" i="1"/>
  <c r="AJ390" i="1" s="1"/>
  <c r="AH388" i="1"/>
  <c r="AP385" i="1"/>
  <c r="AN385" i="1"/>
  <c r="AL385" i="1"/>
  <c r="AJ385" i="1"/>
  <c r="AF385" i="1"/>
  <c r="AD385" i="1"/>
  <c r="AB385" i="1"/>
  <c r="Z385" i="1"/>
  <c r="X385" i="1"/>
  <c r="V385" i="1"/>
  <c r="T385" i="1"/>
  <c r="R385" i="1"/>
  <c r="P385" i="1"/>
  <c r="N385" i="1"/>
  <c r="AQ384" i="1"/>
  <c r="AO384" i="1"/>
  <c r="AM384" i="1"/>
  <c r="AK384" i="1"/>
  <c r="AG384" i="1"/>
  <c r="AE384" i="1"/>
  <c r="U384" i="1"/>
  <c r="S384" i="1"/>
  <c r="Q384" i="1"/>
  <c r="O384" i="1"/>
  <c r="AR383" i="1"/>
  <c r="AH383" i="1"/>
  <c r="AR380" i="1"/>
  <c r="AP380" i="1"/>
  <c r="AN380" i="1"/>
  <c r="AL380" i="1"/>
  <c r="AJ380" i="1"/>
  <c r="AH380" i="1"/>
  <c r="AF380" i="1"/>
  <c r="AD380" i="1"/>
  <c r="AB380" i="1"/>
  <c r="Z380" i="1"/>
  <c r="V380" i="1"/>
  <c r="T380" i="1"/>
  <c r="R380" i="1"/>
  <c r="P380" i="1"/>
  <c r="N380" i="1"/>
  <c r="L380" i="1"/>
  <c r="AS379" i="1"/>
  <c r="AQ379" i="1"/>
  <c r="AO379" i="1"/>
  <c r="AM379" i="1"/>
  <c r="AK379" i="1"/>
  <c r="AI379" i="1"/>
  <c r="AG379" i="1"/>
  <c r="AE379" i="1"/>
  <c r="W379" i="1"/>
  <c r="U379" i="1"/>
  <c r="S379" i="1"/>
  <c r="Q379" i="1"/>
  <c r="O379" i="1"/>
  <c r="M379" i="1"/>
  <c r="X378" i="1"/>
  <c r="X380" i="1" s="1"/>
  <c r="AR375" i="1"/>
  <c r="AN375" i="1"/>
  <c r="AL375" i="1"/>
  <c r="AJ375" i="1"/>
  <c r="AF375" i="1"/>
  <c r="AD375" i="1"/>
  <c r="AB375" i="1"/>
  <c r="Z375" i="1"/>
  <c r="X375" i="1"/>
  <c r="V375" i="1"/>
  <c r="T375" i="1"/>
  <c r="R375" i="1"/>
  <c r="P375" i="1"/>
  <c r="N375" i="1"/>
  <c r="AS374" i="1"/>
  <c r="AM374" i="1"/>
  <c r="AK374" i="1"/>
  <c r="AG374" i="1"/>
  <c r="AE374" i="1"/>
  <c r="U374" i="1"/>
  <c r="AP373" i="1"/>
  <c r="AQ374" i="1" s="1"/>
  <c r="AH373" i="1"/>
  <c r="AH375" i="1" s="1"/>
  <c r="L373" i="1"/>
  <c r="L375" i="1" s="1"/>
  <c r="AR370" i="1"/>
  <c r="AP370" i="1"/>
  <c r="AN370" i="1"/>
  <c r="AL370" i="1"/>
  <c r="AJ370" i="1"/>
  <c r="AH370" i="1"/>
  <c r="AF370" i="1"/>
  <c r="AB370" i="1"/>
  <c r="Z370" i="1"/>
  <c r="V370" i="1"/>
  <c r="T370" i="1"/>
  <c r="R370" i="1"/>
  <c r="P370" i="1"/>
  <c r="L370" i="1"/>
  <c r="AS369" i="1"/>
  <c r="AQ369" i="1"/>
  <c r="AO369" i="1"/>
  <c r="AM369" i="1"/>
  <c r="AK369" i="1"/>
  <c r="AI369" i="1"/>
  <c r="AG369" i="1"/>
  <c r="AC369" i="1"/>
  <c r="AA369" i="1"/>
  <c r="X369" i="1"/>
  <c r="W369" i="1"/>
  <c r="U369" i="1"/>
  <c r="S369" i="1"/>
  <c r="Q369" i="1"/>
  <c r="N369" i="1"/>
  <c r="O369" i="1" s="1"/>
  <c r="M369" i="1"/>
  <c r="AD368" i="1"/>
  <c r="AE369" i="1" s="1"/>
  <c r="X368" i="1"/>
  <c r="X370" i="1" s="1"/>
  <c r="AN365" i="1"/>
  <c r="AL365" i="1"/>
  <c r="AJ365" i="1"/>
  <c r="AF365" i="1"/>
  <c r="AD365" i="1"/>
  <c r="AB365" i="1"/>
  <c r="Z365" i="1"/>
  <c r="X365" i="1"/>
  <c r="V365" i="1"/>
  <c r="T365" i="1"/>
  <c r="R365" i="1"/>
  <c r="L365" i="1"/>
  <c r="AO364" i="1"/>
  <c r="AM364" i="1"/>
  <c r="AK364" i="1"/>
  <c r="AG364" i="1"/>
  <c r="AE364" i="1"/>
  <c r="AC364" i="1"/>
  <c r="AA364" i="1"/>
  <c r="Y364" i="1"/>
  <c r="W364" i="1"/>
  <c r="S364" i="1"/>
  <c r="M364" i="1"/>
  <c r="AR363" i="1"/>
  <c r="AR365" i="1" s="1"/>
  <c r="AP363" i="1"/>
  <c r="AQ364" i="1" s="1"/>
  <c r="AH363" i="1"/>
  <c r="P363" i="1"/>
  <c r="P365" i="1" s="1"/>
  <c r="N363" i="1"/>
  <c r="AP360" i="1"/>
  <c r="AN360" i="1"/>
  <c r="AL360" i="1"/>
  <c r="AJ360" i="1"/>
  <c r="AF360" i="1"/>
  <c r="AD360" i="1"/>
  <c r="AB360" i="1"/>
  <c r="Z360" i="1"/>
  <c r="X360" i="1"/>
  <c r="V360" i="1"/>
  <c r="T360" i="1"/>
  <c r="R360" i="1"/>
  <c r="P360" i="1"/>
  <c r="AQ359" i="1"/>
  <c r="AO359" i="1"/>
  <c r="AM359" i="1"/>
  <c r="AK359" i="1"/>
  <c r="AG359" i="1"/>
  <c r="AE359" i="1"/>
  <c r="AC359" i="1"/>
  <c r="W359" i="1"/>
  <c r="Q359" i="1"/>
  <c r="AR358" i="1"/>
  <c r="AR360" i="1" s="1"/>
  <c r="AH358" i="1"/>
  <c r="N358" i="1"/>
  <c r="O359" i="1" s="1"/>
  <c r="Z355" i="1"/>
  <c r="X355" i="1"/>
  <c r="V355" i="1"/>
  <c r="T355" i="1"/>
  <c r="P355" i="1"/>
  <c r="N355" i="1"/>
  <c r="J355" i="1"/>
  <c r="AA354" i="1"/>
  <c r="Y354" i="1"/>
  <c r="W354" i="1"/>
  <c r="Q354" i="1"/>
  <c r="O354" i="1"/>
  <c r="K354" i="1"/>
  <c r="AP353" i="1"/>
  <c r="AP355" i="1" s="1"/>
  <c r="AN353" i="1"/>
  <c r="AL353" i="1"/>
  <c r="AM354" i="1" s="1"/>
  <c r="AJ353" i="1"/>
  <c r="AJ355" i="1" s="1"/>
  <c r="AH353" i="1"/>
  <c r="AH355" i="1" s="1"/>
  <c r="AF353" i="1"/>
  <c r="AD353" i="1"/>
  <c r="AE354" i="1" s="1"/>
  <c r="AB353" i="1"/>
  <c r="R353" i="1"/>
  <c r="R355" i="1" s="1"/>
  <c r="L353" i="1"/>
  <c r="Z350" i="1"/>
  <c r="X350" i="1"/>
  <c r="V350" i="1"/>
  <c r="T350" i="1"/>
  <c r="P350" i="1"/>
  <c r="N350" i="1"/>
  <c r="L350" i="1"/>
  <c r="J350" i="1"/>
  <c r="AA349" i="1"/>
  <c r="Y349" i="1"/>
  <c r="W349" i="1"/>
  <c r="Q349" i="1"/>
  <c r="M349" i="1"/>
  <c r="K349" i="1"/>
  <c r="AP348" i="1"/>
  <c r="AP350" i="1" s="1"/>
  <c r="AN348" i="1"/>
  <c r="AL348" i="1"/>
  <c r="AM349" i="1" s="1"/>
  <c r="AJ348" i="1"/>
  <c r="AJ350" i="1" s="1"/>
  <c r="AH348" i="1"/>
  <c r="AI349" i="1" s="1"/>
  <c r="AF348" i="1"/>
  <c r="AG349" i="1" s="1"/>
  <c r="AD348" i="1"/>
  <c r="AD350" i="1" s="1"/>
  <c r="AB348" i="1"/>
  <c r="AB350" i="1" s="1"/>
  <c r="R348" i="1"/>
  <c r="R350" i="1" s="1"/>
  <c r="AP345" i="1"/>
  <c r="AN345" i="1"/>
  <c r="AL345" i="1"/>
  <c r="AJ345" i="1"/>
  <c r="AF345" i="1"/>
  <c r="AD345" i="1"/>
  <c r="AB345" i="1"/>
  <c r="Z345" i="1"/>
  <c r="X345" i="1"/>
  <c r="V345" i="1"/>
  <c r="T345" i="1"/>
  <c r="R345" i="1"/>
  <c r="P345" i="1"/>
  <c r="AQ344" i="1"/>
  <c r="AO344" i="1"/>
  <c r="AM344" i="1"/>
  <c r="AK344" i="1"/>
  <c r="AG344" i="1"/>
  <c r="AE344" i="1"/>
  <c r="AC344" i="1"/>
  <c r="AA344" i="1"/>
  <c r="Y344" i="1"/>
  <c r="W344" i="1"/>
  <c r="S344" i="1"/>
  <c r="Q344" i="1"/>
  <c r="AR343" i="1"/>
  <c r="AS344" i="1" s="1"/>
  <c r="AH343" i="1"/>
  <c r="AH345" i="1" s="1"/>
  <c r="N343" i="1"/>
  <c r="O344" i="1" s="1"/>
  <c r="AL340" i="1"/>
  <c r="AJ340" i="1"/>
  <c r="AF340" i="1"/>
  <c r="AD340" i="1"/>
  <c r="AB340" i="1"/>
  <c r="Z340" i="1"/>
  <c r="X340" i="1"/>
  <c r="V340" i="1"/>
  <c r="T340" i="1"/>
  <c r="R340" i="1"/>
  <c r="P340" i="1"/>
  <c r="AM339" i="1"/>
  <c r="AK339" i="1"/>
  <c r="AG339" i="1"/>
  <c r="AE339" i="1"/>
  <c r="AC339" i="1"/>
  <c r="W339" i="1"/>
  <c r="U339" i="1"/>
  <c r="S339" i="1"/>
  <c r="Q339" i="1"/>
  <c r="AR338" i="1"/>
  <c r="AS339" i="1" s="1"/>
  <c r="AP338" i="1"/>
  <c r="AP340" i="1" s="1"/>
  <c r="AN338" i="1"/>
  <c r="AO339" i="1" s="1"/>
  <c r="AH338" i="1"/>
  <c r="AH340" i="1" s="1"/>
  <c r="N338" i="1"/>
  <c r="N340" i="1" s="1"/>
  <c r="AP335" i="1"/>
  <c r="AN335" i="1"/>
  <c r="AL335" i="1"/>
  <c r="AJ335" i="1"/>
  <c r="AF335" i="1"/>
  <c r="AD335" i="1"/>
  <c r="AB335" i="1"/>
  <c r="Z335" i="1"/>
  <c r="X335" i="1"/>
  <c r="V335" i="1"/>
  <c r="T335" i="1"/>
  <c r="R335" i="1"/>
  <c r="P335" i="1"/>
  <c r="AQ334" i="1"/>
  <c r="AO334" i="1"/>
  <c r="AM334" i="1"/>
  <c r="AK334" i="1"/>
  <c r="AG334" i="1"/>
  <c r="AE334" i="1"/>
  <c r="AC334" i="1"/>
  <c r="W334" i="1"/>
  <c r="U334" i="1"/>
  <c r="S334" i="1"/>
  <c r="Q334" i="1"/>
  <c r="AR333" i="1"/>
  <c r="AH333" i="1"/>
  <c r="N333" i="1"/>
  <c r="N335" i="1" s="1"/>
  <c r="AP330" i="1"/>
  <c r="AN330" i="1"/>
  <c r="AL330" i="1"/>
  <c r="AJ330" i="1"/>
  <c r="AF330" i="1"/>
  <c r="AD330" i="1"/>
  <c r="AB330" i="1"/>
  <c r="Z330" i="1"/>
  <c r="X330" i="1"/>
  <c r="V330" i="1"/>
  <c r="T330" i="1"/>
  <c r="AQ329" i="1"/>
  <c r="AO329" i="1"/>
  <c r="AM329" i="1"/>
  <c r="AK329" i="1"/>
  <c r="AG329" i="1"/>
  <c r="AC329" i="1"/>
  <c r="AA329" i="1"/>
  <c r="Y329" i="1"/>
  <c r="W329" i="1"/>
  <c r="U329" i="1"/>
  <c r="AR328" i="1"/>
  <c r="AS329" i="1" s="1"/>
  <c r="AH328" i="1"/>
  <c r="AI329" i="1" s="1"/>
  <c r="AP325" i="1"/>
  <c r="AN325" i="1"/>
  <c r="AL325" i="1"/>
  <c r="AJ325" i="1"/>
  <c r="AF325" i="1"/>
  <c r="AD325" i="1"/>
  <c r="AB325" i="1"/>
  <c r="Z325" i="1"/>
  <c r="X325" i="1"/>
  <c r="V325" i="1"/>
  <c r="T325" i="1"/>
  <c r="R325" i="1"/>
  <c r="P325" i="1"/>
  <c r="N325" i="1"/>
  <c r="AQ324" i="1"/>
  <c r="AK324" i="1"/>
  <c r="AG324" i="1"/>
  <c r="U324" i="1"/>
  <c r="S324" i="1"/>
  <c r="O324" i="1"/>
  <c r="AR323" i="1"/>
  <c r="AS324" i="1" s="1"/>
  <c r="AH323" i="1"/>
  <c r="AI324" i="1" s="1"/>
  <c r="AR320" i="1"/>
  <c r="AP320" i="1"/>
  <c r="AN320" i="1"/>
  <c r="AL320" i="1"/>
  <c r="AJ320" i="1"/>
  <c r="AH320" i="1"/>
  <c r="AF320" i="1"/>
  <c r="AD320" i="1"/>
  <c r="AB320" i="1"/>
  <c r="Z320" i="1"/>
  <c r="X320" i="1"/>
  <c r="V320" i="1"/>
  <c r="T320" i="1"/>
  <c r="R320" i="1"/>
  <c r="P320" i="1"/>
  <c r="N320" i="1"/>
  <c r="L320" i="1"/>
  <c r="J320" i="1"/>
  <c r="H320" i="1"/>
  <c r="F320" i="1"/>
  <c r="AS319" i="1"/>
  <c r="AQ319" i="1"/>
  <c r="AO319" i="1"/>
  <c r="AM319" i="1"/>
  <c r="AK319" i="1"/>
  <c r="AI319" i="1"/>
  <c r="AG319" i="1"/>
  <c r="W319" i="1"/>
  <c r="U319" i="1"/>
  <c r="S319" i="1"/>
  <c r="Q319" i="1"/>
  <c r="O319" i="1"/>
  <c r="M319" i="1"/>
  <c r="K319" i="1"/>
  <c r="I319" i="1"/>
  <c r="G319" i="1"/>
  <c r="AP315" i="1"/>
  <c r="AN315" i="1"/>
  <c r="AL315" i="1"/>
  <c r="AJ315" i="1"/>
  <c r="AF315" i="1"/>
  <c r="AD315" i="1"/>
  <c r="AB315" i="1"/>
  <c r="Z315" i="1"/>
  <c r="X315" i="1"/>
  <c r="V315" i="1"/>
  <c r="T315" i="1"/>
  <c r="R315" i="1"/>
  <c r="P315" i="1"/>
  <c r="L315" i="1"/>
  <c r="J315" i="1"/>
  <c r="H315" i="1"/>
  <c r="AQ314" i="1"/>
  <c r="AO314" i="1"/>
  <c r="AM314" i="1"/>
  <c r="AK314" i="1"/>
  <c r="AG314" i="1"/>
  <c r="AC314" i="1"/>
  <c r="AA314" i="1"/>
  <c r="Y314" i="1"/>
  <c r="W314" i="1"/>
  <c r="U314" i="1"/>
  <c r="S314" i="1"/>
  <c r="M314" i="1"/>
  <c r="I314" i="1"/>
  <c r="AR313" i="1"/>
  <c r="AH313" i="1"/>
  <c r="AI314" i="1" s="1"/>
  <c r="N313" i="1"/>
  <c r="F313" i="1"/>
  <c r="G314" i="1" s="1"/>
  <c r="AP310" i="1"/>
  <c r="AN310" i="1"/>
  <c r="AL310" i="1"/>
  <c r="AJ310" i="1"/>
  <c r="AF310" i="1"/>
  <c r="AD310" i="1"/>
  <c r="AB310" i="1"/>
  <c r="Z310" i="1"/>
  <c r="X310" i="1"/>
  <c r="V310" i="1"/>
  <c r="T310" i="1"/>
  <c r="R310" i="1"/>
  <c r="P310" i="1"/>
  <c r="N310" i="1"/>
  <c r="L310" i="1"/>
  <c r="J310" i="1"/>
  <c r="AQ309" i="1"/>
  <c r="AK309" i="1"/>
  <c r="AG309" i="1"/>
  <c r="AC309" i="1"/>
  <c r="U309" i="1"/>
  <c r="S309" i="1"/>
  <c r="Q309" i="1"/>
  <c r="O309" i="1"/>
  <c r="K309" i="1"/>
  <c r="AR308" i="1"/>
  <c r="AR310" i="1" s="1"/>
  <c r="AH308" i="1"/>
  <c r="AP305" i="1"/>
  <c r="AN305" i="1"/>
  <c r="AL305" i="1"/>
  <c r="AJ305" i="1"/>
  <c r="AF305" i="1"/>
  <c r="AD305" i="1"/>
  <c r="AB305" i="1"/>
  <c r="Z305" i="1"/>
  <c r="X305" i="1"/>
  <c r="V305" i="1"/>
  <c r="T305" i="1"/>
  <c r="R305" i="1"/>
  <c r="AQ304" i="1"/>
  <c r="AO304" i="1"/>
  <c r="AM304" i="1"/>
  <c r="AK304" i="1"/>
  <c r="AC304" i="1"/>
  <c r="W304" i="1"/>
  <c r="U304" i="1"/>
  <c r="S304" i="1"/>
  <c r="AR303" i="1"/>
  <c r="AR305" i="1" s="1"/>
  <c r="AH303" i="1"/>
  <c r="AH305" i="1" s="1"/>
  <c r="P303" i="1"/>
  <c r="N303" i="1"/>
  <c r="O304" i="1" s="1"/>
  <c r="L303" i="1"/>
  <c r="L305" i="1" s="1"/>
  <c r="AP300" i="1"/>
  <c r="AN300" i="1"/>
  <c r="AL300" i="1"/>
  <c r="AJ300" i="1"/>
  <c r="AF300" i="1"/>
  <c r="AD300" i="1"/>
  <c r="AB300" i="1"/>
  <c r="Z300" i="1"/>
  <c r="X300" i="1"/>
  <c r="V300" i="1"/>
  <c r="T300" i="1"/>
  <c r="R300" i="1"/>
  <c r="P300" i="1"/>
  <c r="AQ299" i="1"/>
  <c r="AO299" i="1"/>
  <c r="AM299" i="1"/>
  <c r="AK299" i="1"/>
  <c r="AG299" i="1"/>
  <c r="AC299" i="1"/>
  <c r="AA299" i="1"/>
  <c r="Y299" i="1"/>
  <c r="W299" i="1"/>
  <c r="U299" i="1"/>
  <c r="S299" i="1"/>
  <c r="Q299" i="1"/>
  <c r="AR298" i="1"/>
  <c r="AR300" i="1" s="1"/>
  <c r="AH298" i="1"/>
  <c r="AH300" i="1" s="1"/>
  <c r="N298" i="1"/>
  <c r="O299" i="1" s="1"/>
  <c r="AP295" i="1"/>
  <c r="AN295" i="1"/>
  <c r="AL295" i="1"/>
  <c r="AJ295" i="1"/>
  <c r="AF295" i="1"/>
  <c r="AD295" i="1"/>
  <c r="AB295" i="1"/>
  <c r="Z295" i="1"/>
  <c r="X295" i="1"/>
  <c r="V295" i="1"/>
  <c r="T295" i="1"/>
  <c r="R295" i="1"/>
  <c r="P295" i="1"/>
  <c r="N295" i="1"/>
  <c r="L295" i="1"/>
  <c r="J295" i="1"/>
  <c r="H295" i="1"/>
  <c r="F295" i="1"/>
  <c r="E295" i="1"/>
  <c r="D295" i="1"/>
  <c r="AQ294" i="1"/>
  <c r="AO294" i="1"/>
  <c r="AG294" i="1"/>
  <c r="AC294" i="1"/>
  <c r="AA294" i="1"/>
  <c r="Y294" i="1"/>
  <c r="W294" i="1"/>
  <c r="U294" i="1"/>
  <c r="S294" i="1"/>
  <c r="Q294" i="1"/>
  <c r="O294" i="1"/>
  <c r="M294" i="1"/>
  <c r="K294" i="1"/>
  <c r="I294" i="1"/>
  <c r="G294" i="1"/>
  <c r="AR293" i="1"/>
  <c r="AR295" i="1" s="1"/>
  <c r="AH293" i="1"/>
  <c r="AI294" i="1" s="1"/>
  <c r="AP290" i="1"/>
  <c r="AN290" i="1"/>
  <c r="AL290" i="1"/>
  <c r="AJ290" i="1"/>
  <c r="AF290" i="1"/>
  <c r="AD290" i="1"/>
  <c r="AB290" i="1"/>
  <c r="Z290" i="1"/>
  <c r="X290" i="1"/>
  <c r="V290" i="1"/>
  <c r="T290" i="1"/>
  <c r="R290" i="1"/>
  <c r="P290" i="1"/>
  <c r="N290" i="1"/>
  <c r="L290" i="1"/>
  <c r="J290" i="1"/>
  <c r="H290" i="1"/>
  <c r="F290" i="1"/>
  <c r="AQ289" i="1"/>
  <c r="AO289" i="1"/>
  <c r="AM289" i="1"/>
  <c r="AK289" i="1"/>
  <c r="AG289" i="1"/>
  <c r="AC289" i="1"/>
  <c r="AA289" i="1"/>
  <c r="Y289" i="1"/>
  <c r="W289" i="1"/>
  <c r="U289" i="1"/>
  <c r="S289" i="1"/>
  <c r="Q289" i="1"/>
  <c r="O289" i="1"/>
  <c r="M289" i="1"/>
  <c r="K289" i="1"/>
  <c r="I289" i="1"/>
  <c r="G289" i="1"/>
  <c r="AR288" i="1"/>
  <c r="AS289" i="1" s="1"/>
  <c r="AH288" i="1"/>
  <c r="AH290" i="1" s="1"/>
  <c r="D288" i="1"/>
  <c r="D2" i="1" s="1"/>
  <c r="AP285" i="1"/>
  <c r="AN285" i="1"/>
  <c r="AL285" i="1"/>
  <c r="AJ285" i="1"/>
  <c r="AF285" i="1"/>
  <c r="AD285" i="1"/>
  <c r="AB285" i="1"/>
  <c r="Z285" i="1"/>
  <c r="X285" i="1"/>
  <c r="V285" i="1"/>
  <c r="T285" i="1"/>
  <c r="R285" i="1"/>
  <c r="P285" i="1"/>
  <c r="N285" i="1"/>
  <c r="L285" i="1"/>
  <c r="J285" i="1"/>
  <c r="H285" i="1"/>
  <c r="F285" i="1"/>
  <c r="AQ284" i="1"/>
  <c r="AO284" i="1"/>
  <c r="AM284" i="1"/>
  <c r="AK284" i="1"/>
  <c r="AG284" i="1"/>
  <c r="AC284" i="1"/>
  <c r="AA284" i="1"/>
  <c r="Y284" i="1"/>
  <c r="W284" i="1"/>
  <c r="U284" i="1"/>
  <c r="S284" i="1"/>
  <c r="Q284" i="1"/>
  <c r="O284" i="1"/>
  <c r="M284" i="1"/>
  <c r="K284" i="1"/>
  <c r="I284" i="1"/>
  <c r="G284" i="1"/>
  <c r="AR283" i="1"/>
  <c r="AS284" i="1" s="1"/>
  <c r="AH283" i="1"/>
  <c r="AI284" i="1" s="1"/>
  <c r="A286" i="1"/>
  <c r="A291" i="1" s="1"/>
  <c r="AP280" i="1"/>
  <c r="AN280" i="1"/>
  <c r="AL280" i="1"/>
  <c r="AJ280" i="1"/>
  <c r="AF280" i="1"/>
  <c r="AD280" i="1"/>
  <c r="AB280" i="1"/>
  <c r="Z280" i="1"/>
  <c r="X280" i="1"/>
  <c r="V280" i="1"/>
  <c r="T280" i="1"/>
  <c r="R280" i="1"/>
  <c r="P280" i="1"/>
  <c r="N280" i="1"/>
  <c r="L280" i="1"/>
  <c r="H280" i="1"/>
  <c r="F280" i="1"/>
  <c r="E280" i="1"/>
  <c r="D280" i="1"/>
  <c r="AQ279" i="1"/>
  <c r="AK279" i="1"/>
  <c r="AG279" i="1"/>
  <c r="U279" i="1"/>
  <c r="S279" i="1"/>
  <c r="Q279" i="1"/>
  <c r="O279" i="1"/>
  <c r="M279" i="1"/>
  <c r="I279" i="1"/>
  <c r="G279" i="1"/>
  <c r="AR278" i="1"/>
  <c r="AR280" i="1" s="1"/>
  <c r="AH278" i="1"/>
  <c r="AH280" i="1" s="1"/>
  <c r="J278" i="1"/>
  <c r="K279" i="1" s="1"/>
  <c r="AP275" i="1"/>
  <c r="AN275" i="1"/>
  <c r="AL275" i="1"/>
  <c r="AJ275" i="1"/>
  <c r="AF275" i="1"/>
  <c r="AD275" i="1"/>
  <c r="AB275" i="1"/>
  <c r="Z275" i="1"/>
  <c r="X275" i="1"/>
  <c r="V275" i="1"/>
  <c r="T275" i="1"/>
  <c r="R275" i="1"/>
  <c r="P275" i="1"/>
  <c r="N275" i="1"/>
  <c r="L275" i="1"/>
  <c r="J275" i="1"/>
  <c r="H275" i="1"/>
  <c r="F275" i="1"/>
  <c r="E275" i="1"/>
  <c r="D275" i="1"/>
  <c r="AQ274" i="1"/>
  <c r="AK274" i="1"/>
  <c r="AG274" i="1"/>
  <c r="U274" i="1"/>
  <c r="S274" i="1"/>
  <c r="Q274" i="1"/>
  <c r="O274" i="1"/>
  <c r="M274" i="1"/>
  <c r="K274" i="1"/>
  <c r="I274" i="1"/>
  <c r="G274" i="1"/>
  <c r="AR273" i="1"/>
  <c r="AR275" i="1" s="1"/>
  <c r="AH273" i="1"/>
  <c r="AI274" i="1" s="1"/>
  <c r="AR270" i="1"/>
  <c r="AP270" i="1"/>
  <c r="AN270" i="1"/>
  <c r="AL270" i="1"/>
  <c r="AJ270" i="1"/>
  <c r="AD270" i="1"/>
  <c r="AB270" i="1"/>
  <c r="Z270" i="1"/>
  <c r="V270" i="1"/>
  <c r="T270" i="1"/>
  <c r="R270" i="1"/>
  <c r="P270" i="1"/>
  <c r="N270" i="1"/>
  <c r="L270" i="1"/>
  <c r="J270" i="1"/>
  <c r="H270" i="1"/>
  <c r="F270" i="1"/>
  <c r="D270" i="1"/>
  <c r="AS269" i="1"/>
  <c r="AQ269" i="1"/>
  <c r="AO269" i="1"/>
  <c r="AM269" i="1"/>
  <c r="AK269" i="1"/>
  <c r="AE269" i="1"/>
  <c r="AC269" i="1"/>
  <c r="W269" i="1"/>
  <c r="U269" i="1"/>
  <c r="Q269" i="1"/>
  <c r="O269" i="1"/>
  <c r="M269" i="1"/>
  <c r="K269" i="1"/>
  <c r="I269" i="1"/>
  <c r="G269" i="1"/>
  <c r="AH268" i="1"/>
  <c r="AH270" i="1" s="1"/>
  <c r="AF268" i="1"/>
  <c r="AF270" i="1" s="1"/>
  <c r="AP265" i="1"/>
  <c r="AN265" i="1"/>
  <c r="AL265" i="1"/>
  <c r="AJ265" i="1"/>
  <c r="AF265" i="1"/>
  <c r="AD265" i="1"/>
  <c r="AB265" i="1"/>
  <c r="Z265" i="1"/>
  <c r="X265" i="1"/>
  <c r="V265" i="1"/>
  <c r="T265" i="1"/>
  <c r="R265" i="1"/>
  <c r="P265" i="1"/>
  <c r="N265" i="1"/>
  <c r="L265" i="1"/>
  <c r="J265" i="1"/>
  <c r="H265" i="1"/>
  <c r="F265" i="1"/>
  <c r="AQ264" i="1"/>
  <c r="AK264" i="1"/>
  <c r="AG264" i="1"/>
  <c r="AE264" i="1"/>
  <c r="AC264" i="1"/>
  <c r="AA264" i="1"/>
  <c r="Y264" i="1"/>
  <c r="W264" i="1"/>
  <c r="U264" i="1"/>
  <c r="S264" i="1"/>
  <c r="Q264" i="1"/>
  <c r="O264" i="1"/>
  <c r="M264" i="1"/>
  <c r="K264" i="1"/>
  <c r="I264" i="1"/>
  <c r="G264" i="1"/>
  <c r="AR263" i="1"/>
  <c r="AR265" i="1" s="1"/>
  <c r="AH263" i="1"/>
  <c r="AI264" i="1" s="1"/>
  <c r="AP260" i="1"/>
  <c r="AN260" i="1"/>
  <c r="AL260" i="1"/>
  <c r="AJ260" i="1"/>
  <c r="AF260" i="1"/>
  <c r="AD260" i="1"/>
  <c r="AB260" i="1"/>
  <c r="Z260" i="1"/>
  <c r="X260" i="1"/>
  <c r="V260" i="1"/>
  <c r="T260" i="1"/>
  <c r="R260" i="1"/>
  <c r="P260" i="1"/>
  <c r="N260" i="1"/>
  <c r="L260" i="1"/>
  <c r="J260" i="1"/>
  <c r="E260" i="1"/>
  <c r="D260" i="1"/>
  <c r="AQ259" i="1"/>
  <c r="AO259" i="1"/>
  <c r="AM259" i="1"/>
  <c r="AK259" i="1"/>
  <c r="AG259" i="1"/>
  <c r="AE259" i="1"/>
  <c r="AC259" i="1"/>
  <c r="AA259" i="1"/>
  <c r="Y259" i="1"/>
  <c r="W259" i="1"/>
  <c r="U259" i="1"/>
  <c r="S259" i="1"/>
  <c r="Q259" i="1"/>
  <c r="O259" i="1"/>
  <c r="M259" i="1"/>
  <c r="AR258" i="1"/>
  <c r="AR260" i="1" s="1"/>
  <c r="AH258" i="1"/>
  <c r="AH260" i="1" s="1"/>
  <c r="AP255" i="1"/>
  <c r="AN255" i="1"/>
  <c r="AL255" i="1"/>
  <c r="AJ255" i="1"/>
  <c r="AF255" i="1"/>
  <c r="AD255" i="1"/>
  <c r="AB255" i="1"/>
  <c r="Z255" i="1"/>
  <c r="X255" i="1"/>
  <c r="V255" i="1"/>
  <c r="T255" i="1"/>
  <c r="R255" i="1"/>
  <c r="P255" i="1"/>
  <c r="N255" i="1"/>
  <c r="J255" i="1"/>
  <c r="H255" i="1"/>
  <c r="F255" i="1"/>
  <c r="E255" i="1"/>
  <c r="D255" i="1"/>
  <c r="AQ254" i="1"/>
  <c r="AO254" i="1"/>
  <c r="AM254" i="1"/>
  <c r="AK254" i="1"/>
  <c r="AG254" i="1"/>
  <c r="AC254" i="1"/>
  <c r="AA254" i="1"/>
  <c r="Y254" i="1"/>
  <c r="U254" i="1"/>
  <c r="S254" i="1"/>
  <c r="Q254" i="1"/>
  <c r="O254" i="1"/>
  <c r="K254" i="1"/>
  <c r="I254" i="1"/>
  <c r="G254" i="1"/>
  <c r="AR253" i="1"/>
  <c r="AR255" i="1" s="1"/>
  <c r="AH253" i="1"/>
  <c r="AH255" i="1" s="1"/>
  <c r="L253" i="1"/>
  <c r="M254" i="1" s="1"/>
  <c r="AP250" i="1"/>
  <c r="AN250" i="1"/>
  <c r="AL250" i="1"/>
  <c r="AJ250" i="1"/>
  <c r="AF250" i="1"/>
  <c r="AD250" i="1"/>
  <c r="AB250" i="1"/>
  <c r="Z250" i="1"/>
  <c r="X250" i="1"/>
  <c r="V250" i="1"/>
  <c r="T250" i="1"/>
  <c r="R250" i="1"/>
  <c r="P250" i="1"/>
  <c r="L250" i="1"/>
  <c r="J250" i="1"/>
  <c r="H250" i="1"/>
  <c r="F250" i="1"/>
  <c r="AQ249" i="1"/>
  <c r="AO249" i="1"/>
  <c r="AM249" i="1"/>
  <c r="AK249" i="1"/>
  <c r="AG249" i="1"/>
  <c r="AE249" i="1"/>
  <c r="AC249" i="1"/>
  <c r="AA249" i="1"/>
  <c r="Y249" i="1"/>
  <c r="W249" i="1"/>
  <c r="U249" i="1"/>
  <c r="S249" i="1"/>
  <c r="Q249" i="1"/>
  <c r="M249" i="1"/>
  <c r="K249" i="1"/>
  <c r="I249" i="1"/>
  <c r="G249" i="1"/>
  <c r="AR248" i="1"/>
  <c r="AR250" i="1" s="1"/>
  <c r="AH248" i="1"/>
  <c r="N248" i="1"/>
  <c r="N250" i="1" s="1"/>
  <c r="AP245" i="1"/>
  <c r="AN245" i="1"/>
  <c r="AL245" i="1"/>
  <c r="AJ245" i="1"/>
  <c r="AF245" i="1"/>
  <c r="AD245" i="1"/>
  <c r="AB245" i="1"/>
  <c r="Z245" i="1"/>
  <c r="X245" i="1"/>
  <c r="V245" i="1"/>
  <c r="T245" i="1"/>
  <c r="R245" i="1"/>
  <c r="P245" i="1"/>
  <c r="L245" i="1"/>
  <c r="AQ244" i="1"/>
  <c r="AO244" i="1"/>
  <c r="AM244" i="1"/>
  <c r="AK244" i="1"/>
  <c r="AG244" i="1"/>
  <c r="AE244" i="1"/>
  <c r="AC244" i="1"/>
  <c r="AA244" i="1"/>
  <c r="Y244" i="1"/>
  <c r="U244" i="1"/>
  <c r="S244" i="1"/>
  <c r="Q244" i="1"/>
  <c r="M244" i="1"/>
  <c r="AR243" i="1"/>
  <c r="AS244" i="1" s="1"/>
  <c r="AH243" i="1"/>
  <c r="AI244" i="1" s="1"/>
  <c r="N243" i="1"/>
  <c r="N245" i="1" s="1"/>
  <c r="J243" i="1"/>
  <c r="K244" i="1" s="1"/>
  <c r="AP240" i="1"/>
  <c r="AN240" i="1"/>
  <c r="AL240" i="1"/>
  <c r="AJ240" i="1"/>
  <c r="AF240" i="1"/>
  <c r="AD240" i="1"/>
  <c r="AB240" i="1"/>
  <c r="Z240" i="1"/>
  <c r="X240" i="1"/>
  <c r="V240" i="1"/>
  <c r="T240" i="1"/>
  <c r="R240" i="1"/>
  <c r="P240" i="1"/>
  <c r="N240" i="1"/>
  <c r="L240" i="1"/>
  <c r="J240" i="1"/>
  <c r="H240" i="1"/>
  <c r="AQ239" i="1"/>
  <c r="AO239" i="1"/>
  <c r="AM239" i="1"/>
  <c r="AK239" i="1"/>
  <c r="AE239" i="1"/>
  <c r="AC239" i="1"/>
  <c r="AA239" i="1"/>
  <c r="Y239" i="1"/>
  <c r="W239" i="1"/>
  <c r="U239" i="1"/>
  <c r="S239" i="1"/>
  <c r="Q239" i="1"/>
  <c r="O239" i="1"/>
  <c r="M239" i="1"/>
  <c r="K239" i="1"/>
  <c r="I239" i="1"/>
  <c r="AR238" i="1"/>
  <c r="AS239" i="1" s="1"/>
  <c r="AH238" i="1"/>
  <c r="AH240" i="1" s="1"/>
  <c r="F238" i="1"/>
  <c r="F240" i="1" s="1"/>
  <c r="Z235" i="1"/>
  <c r="X235" i="1"/>
  <c r="V235" i="1"/>
  <c r="T235" i="1"/>
  <c r="N235" i="1"/>
  <c r="AA234" i="1"/>
  <c r="Y234" i="1"/>
  <c r="W234" i="1"/>
  <c r="U234" i="1"/>
  <c r="P234" i="1"/>
  <c r="P3" i="1" s="1"/>
  <c r="O234" i="1"/>
  <c r="AP233" i="1"/>
  <c r="AN233" i="1"/>
  <c r="AN235" i="1" s="1"/>
  <c r="AL233" i="1"/>
  <c r="AJ233" i="1"/>
  <c r="AK234" i="1" s="1"/>
  <c r="AH233" i="1"/>
  <c r="AI234" i="1" s="1"/>
  <c r="AF233" i="1"/>
  <c r="AG234" i="1" s="1"/>
  <c r="AD233" i="1"/>
  <c r="AB233" i="1"/>
  <c r="R233" i="1"/>
  <c r="S234" i="1" s="1"/>
  <c r="L233" i="1"/>
  <c r="M234" i="1" s="1"/>
  <c r="J233" i="1"/>
  <c r="J235" i="1" s="1"/>
  <c r="AP230" i="1"/>
  <c r="AN230" i="1"/>
  <c r="AL230" i="1"/>
  <c r="AJ230" i="1"/>
  <c r="AF230" i="1"/>
  <c r="AD230" i="1"/>
  <c r="AB230" i="1"/>
  <c r="Z230" i="1"/>
  <c r="X230" i="1"/>
  <c r="V230" i="1"/>
  <c r="T230" i="1"/>
  <c r="R230" i="1"/>
  <c r="P230" i="1"/>
  <c r="L230" i="1"/>
  <c r="J230" i="1"/>
  <c r="AQ229" i="1"/>
  <c r="AO229" i="1"/>
  <c r="AM229" i="1"/>
  <c r="AK229" i="1"/>
  <c r="AG229" i="1"/>
  <c r="AE229" i="1"/>
  <c r="AC229" i="1"/>
  <c r="AA229" i="1"/>
  <c r="Y229" i="1"/>
  <c r="W229" i="1"/>
  <c r="U229" i="1"/>
  <c r="S229" i="1"/>
  <c r="Q229" i="1"/>
  <c r="M229" i="1"/>
  <c r="K229" i="1"/>
  <c r="AR228" i="1"/>
  <c r="AR230" i="1" s="1"/>
  <c r="AH228" i="1"/>
  <c r="AH230" i="1" s="1"/>
  <c r="N228" i="1"/>
  <c r="N230" i="1" s="1"/>
  <c r="AR225" i="1"/>
  <c r="AN225" i="1"/>
  <c r="AL225" i="1"/>
  <c r="AJ225" i="1"/>
  <c r="AH225" i="1"/>
  <c r="AF225" i="1"/>
  <c r="AB225" i="1"/>
  <c r="Z225" i="1"/>
  <c r="V225" i="1"/>
  <c r="T225" i="1"/>
  <c r="R225" i="1"/>
  <c r="P225" i="1"/>
  <c r="N225" i="1"/>
  <c r="L225" i="1"/>
  <c r="J225" i="1"/>
  <c r="H225" i="1"/>
  <c r="F225" i="1"/>
  <c r="D225" i="1"/>
  <c r="AS224" i="1"/>
  <c r="AO224" i="1"/>
  <c r="AM224" i="1"/>
  <c r="AK224" i="1"/>
  <c r="AI224" i="1"/>
  <c r="AG224" i="1"/>
  <c r="AC224" i="1"/>
  <c r="AA224" i="1"/>
  <c r="X224" i="1"/>
  <c r="W224" i="1"/>
  <c r="U224" i="1"/>
  <c r="S224" i="1"/>
  <c r="Q224" i="1"/>
  <c r="O224" i="1"/>
  <c r="M224" i="1"/>
  <c r="K224" i="1"/>
  <c r="I224" i="1"/>
  <c r="G224" i="1"/>
  <c r="E224" i="1"/>
  <c r="AP223" i="1"/>
  <c r="AP225" i="1" s="1"/>
  <c r="AD223" i="1"/>
  <c r="AD225" i="1" s="1"/>
  <c r="X223" i="1"/>
  <c r="AR220" i="1"/>
  <c r="AP220" i="1"/>
  <c r="AN220" i="1"/>
  <c r="AL220" i="1"/>
  <c r="AJ220" i="1"/>
  <c r="AH220" i="1"/>
  <c r="AF220" i="1"/>
  <c r="AD220" i="1"/>
  <c r="AB220" i="1"/>
  <c r="Z220" i="1"/>
  <c r="V220" i="1"/>
  <c r="T220" i="1"/>
  <c r="R220" i="1"/>
  <c r="P220" i="1"/>
  <c r="N220" i="1"/>
  <c r="L220" i="1"/>
  <c r="J220" i="1"/>
  <c r="H220" i="1"/>
  <c r="F220" i="1"/>
  <c r="D220" i="1"/>
  <c r="AO219" i="1"/>
  <c r="AM219" i="1"/>
  <c r="AK219" i="1"/>
  <c r="AI219" i="1"/>
  <c r="AG219" i="1"/>
  <c r="AE219" i="1"/>
  <c r="AC219" i="1"/>
  <c r="AA219" i="1"/>
  <c r="X219" i="1"/>
  <c r="W219" i="1"/>
  <c r="U219" i="1"/>
  <c r="S219" i="1"/>
  <c r="Q219" i="1"/>
  <c r="O219" i="1"/>
  <c r="M219" i="1"/>
  <c r="K219" i="1"/>
  <c r="I219" i="1"/>
  <c r="G219" i="1"/>
  <c r="E219" i="1"/>
  <c r="X218" i="1"/>
  <c r="AR215" i="1"/>
  <c r="AP215" i="1"/>
  <c r="AN215" i="1"/>
  <c r="AL215" i="1"/>
  <c r="AJ215" i="1"/>
  <c r="AH215" i="1"/>
  <c r="AF215" i="1"/>
  <c r="AD215" i="1"/>
  <c r="AB215" i="1"/>
  <c r="V215" i="1"/>
  <c r="T215" i="1"/>
  <c r="P215" i="1"/>
  <c r="N215" i="1"/>
  <c r="L215" i="1"/>
  <c r="J215" i="1"/>
  <c r="H215" i="1"/>
  <c r="F215" i="1"/>
  <c r="D215" i="1"/>
  <c r="AS214" i="1"/>
  <c r="AQ214" i="1"/>
  <c r="AO214" i="1"/>
  <c r="AM214" i="1"/>
  <c r="AK214" i="1"/>
  <c r="AI214" i="1"/>
  <c r="AG214" i="1"/>
  <c r="AC214" i="1"/>
  <c r="X214" i="1"/>
  <c r="W214" i="1"/>
  <c r="U214" i="1"/>
  <c r="R214" i="1"/>
  <c r="Q214" i="1"/>
  <c r="O214" i="1"/>
  <c r="M214" i="1"/>
  <c r="K214" i="1"/>
  <c r="I214" i="1"/>
  <c r="G214" i="1"/>
  <c r="E214" i="1"/>
  <c r="Z213" i="1"/>
  <c r="Z2" i="1" s="1"/>
  <c r="X213" i="1"/>
  <c r="X215" i="1" s="1"/>
  <c r="AP210" i="1"/>
  <c r="AN210" i="1"/>
  <c r="AL210" i="1"/>
  <c r="AJ210" i="1"/>
  <c r="AF210" i="1"/>
  <c r="AD210" i="1"/>
  <c r="AB210" i="1"/>
  <c r="Z210" i="1"/>
  <c r="X210" i="1"/>
  <c r="V210" i="1"/>
  <c r="T210" i="1"/>
  <c r="R210" i="1"/>
  <c r="P210" i="1"/>
  <c r="L210" i="1"/>
  <c r="J210" i="1"/>
  <c r="H210" i="1"/>
  <c r="F210" i="1"/>
  <c r="D210" i="1"/>
  <c r="AQ209" i="1"/>
  <c r="AO209" i="1"/>
  <c r="AM209" i="1"/>
  <c r="AK209" i="1"/>
  <c r="AG209" i="1"/>
  <c r="W209" i="1"/>
  <c r="U209" i="1"/>
  <c r="S209" i="1"/>
  <c r="Q209" i="1"/>
  <c r="M209" i="1"/>
  <c r="K209" i="1"/>
  <c r="I209" i="1"/>
  <c r="G209" i="1"/>
  <c r="E209" i="1"/>
  <c r="AR208" i="1"/>
  <c r="AR210" i="1" s="1"/>
  <c r="AH208" i="1"/>
  <c r="AH210" i="1" s="1"/>
  <c r="N208" i="1"/>
  <c r="N210" i="1" s="1"/>
  <c r="AP205" i="1"/>
  <c r="AN205" i="1"/>
  <c r="AL205" i="1"/>
  <c r="AD205" i="1"/>
  <c r="Z205" i="1"/>
  <c r="X205" i="1"/>
  <c r="V205" i="1"/>
  <c r="R205" i="1"/>
  <c r="P205" i="1"/>
  <c r="N205" i="1"/>
  <c r="L205" i="1"/>
  <c r="J205" i="1"/>
  <c r="H205" i="1"/>
  <c r="F205" i="1"/>
  <c r="D205" i="1"/>
  <c r="AQ204" i="1"/>
  <c r="AA204" i="1"/>
  <c r="Y204" i="1"/>
  <c r="W204" i="1"/>
  <c r="S204" i="1"/>
  <c r="Q204" i="1"/>
  <c r="O204" i="1"/>
  <c r="K204" i="1"/>
  <c r="I204" i="1"/>
  <c r="G204" i="1"/>
  <c r="E204" i="1"/>
  <c r="AR203" i="1"/>
  <c r="AS204" i="1" s="1"/>
  <c r="AJ203" i="1"/>
  <c r="AJ205" i="1" s="1"/>
  <c r="AH203" i="1"/>
  <c r="AI204" i="1" s="1"/>
  <c r="AF203" i="1"/>
  <c r="AF205" i="1" s="1"/>
  <c r="AB203" i="1"/>
  <c r="AC204" i="1" s="1"/>
  <c r="T203" i="1"/>
  <c r="T205" i="1" s="1"/>
  <c r="AP200" i="1"/>
  <c r="AN200" i="1"/>
  <c r="AL200" i="1"/>
  <c r="AJ200" i="1"/>
  <c r="AF200" i="1"/>
  <c r="AD200" i="1"/>
  <c r="AB200" i="1"/>
  <c r="Z200" i="1"/>
  <c r="X200" i="1"/>
  <c r="V200" i="1"/>
  <c r="T200" i="1"/>
  <c r="R200" i="1"/>
  <c r="P200" i="1"/>
  <c r="L200" i="1"/>
  <c r="J200" i="1"/>
  <c r="H200" i="1"/>
  <c r="F200" i="1"/>
  <c r="D200" i="1"/>
  <c r="AQ199" i="1"/>
  <c r="AK199" i="1"/>
  <c r="AG199" i="1"/>
  <c r="AC199" i="1"/>
  <c r="AA199" i="1"/>
  <c r="Y199" i="1"/>
  <c r="W199" i="1"/>
  <c r="U199" i="1"/>
  <c r="S199" i="1"/>
  <c r="Q199" i="1"/>
  <c r="M199" i="1"/>
  <c r="K199" i="1"/>
  <c r="I199" i="1"/>
  <c r="G199" i="1"/>
  <c r="E199" i="1"/>
  <c r="AR198" i="1"/>
  <c r="AH198" i="1"/>
  <c r="AI199" i="1" s="1"/>
  <c r="N198" i="1"/>
  <c r="N200" i="1" s="1"/>
  <c r="AR195" i="1"/>
  <c r="AP195" i="1"/>
  <c r="AN195" i="1"/>
  <c r="AH195" i="1"/>
  <c r="AF195" i="1"/>
  <c r="AB195" i="1"/>
  <c r="Z195" i="1"/>
  <c r="X195" i="1"/>
  <c r="V195" i="1"/>
  <c r="R195" i="1"/>
  <c r="P195" i="1"/>
  <c r="N195" i="1"/>
  <c r="L195" i="1"/>
  <c r="H195" i="1"/>
  <c r="F195" i="1"/>
  <c r="D195" i="1"/>
  <c r="AS194" i="1"/>
  <c r="AQ194" i="1"/>
  <c r="AO194" i="1"/>
  <c r="AI194" i="1"/>
  <c r="AG194" i="1"/>
  <c r="AA194" i="1"/>
  <c r="S194" i="1"/>
  <c r="Q194" i="1"/>
  <c r="O194" i="1"/>
  <c r="M194" i="1"/>
  <c r="J194" i="1"/>
  <c r="J3" i="1" s="1"/>
  <c r="I194" i="1"/>
  <c r="G194" i="1"/>
  <c r="E194" i="1"/>
  <c r="AL193" i="1"/>
  <c r="AM194" i="1" s="1"/>
  <c r="AJ193" i="1"/>
  <c r="AK194" i="1" s="1"/>
  <c r="AD193" i="1"/>
  <c r="AD195" i="1" s="1"/>
  <c r="T193" i="1"/>
  <c r="T195" i="1" s="1"/>
  <c r="J193" i="1"/>
  <c r="K194" i="1" s="1"/>
  <c r="AR190" i="1"/>
  <c r="AP190" i="1"/>
  <c r="AL190" i="1"/>
  <c r="AJ190" i="1"/>
  <c r="AH190" i="1"/>
  <c r="AF190" i="1"/>
  <c r="AB190" i="1"/>
  <c r="Z190" i="1"/>
  <c r="V190" i="1"/>
  <c r="T190" i="1"/>
  <c r="R190" i="1"/>
  <c r="P190" i="1"/>
  <c r="N190" i="1"/>
  <c r="L190" i="1"/>
  <c r="J190" i="1"/>
  <c r="H190" i="1"/>
  <c r="F190" i="1"/>
  <c r="D190" i="1"/>
  <c r="AS189" i="1"/>
  <c r="AQ189" i="1"/>
  <c r="AM189" i="1"/>
  <c r="AK189" i="1"/>
  <c r="AI189" i="1"/>
  <c r="AG189" i="1"/>
  <c r="AC189" i="1"/>
  <c r="AA189" i="1"/>
  <c r="W189" i="1"/>
  <c r="U189" i="1"/>
  <c r="S189" i="1"/>
  <c r="Q189" i="1"/>
  <c r="O189" i="1"/>
  <c r="M189" i="1"/>
  <c r="K189" i="1"/>
  <c r="I189" i="1"/>
  <c r="G189" i="1"/>
  <c r="E189" i="1"/>
  <c r="AN188" i="1"/>
  <c r="AN190" i="1" s="1"/>
  <c r="AD188" i="1"/>
  <c r="AD190" i="1" s="1"/>
  <c r="X188" i="1"/>
  <c r="X190" i="1" s="1"/>
  <c r="A186" i="1"/>
  <c r="A191" i="1" s="1"/>
  <c r="A196" i="1" s="1"/>
  <c r="AR185" i="1"/>
  <c r="AN185" i="1"/>
  <c r="AL185" i="1"/>
  <c r="AJ185" i="1"/>
  <c r="AF185" i="1"/>
  <c r="AD185" i="1"/>
  <c r="AB185" i="1"/>
  <c r="X185" i="1"/>
  <c r="V185" i="1"/>
  <c r="T185" i="1"/>
  <c r="R185" i="1"/>
  <c r="P185" i="1"/>
  <c r="N185" i="1"/>
  <c r="L185" i="1"/>
  <c r="J185" i="1"/>
  <c r="H185" i="1"/>
  <c r="F185" i="1"/>
  <c r="D185" i="1"/>
  <c r="AS184" i="1"/>
  <c r="AO184" i="1"/>
  <c r="AM184" i="1"/>
  <c r="AK184" i="1"/>
  <c r="AG184" i="1"/>
  <c r="AE184" i="1"/>
  <c r="AC184" i="1"/>
  <c r="Y184" i="1"/>
  <c r="W184" i="1"/>
  <c r="U184" i="1"/>
  <c r="S184" i="1"/>
  <c r="Q184" i="1"/>
  <c r="O184" i="1"/>
  <c r="M184" i="1"/>
  <c r="K184" i="1"/>
  <c r="I184" i="1"/>
  <c r="G184" i="1"/>
  <c r="E184" i="1"/>
  <c r="AP183" i="1"/>
  <c r="AP185" i="1" s="1"/>
  <c r="AH183" i="1"/>
  <c r="AH185" i="1" s="1"/>
  <c r="Z183" i="1"/>
  <c r="AA184" i="1" s="1"/>
  <c r="Z180" i="1"/>
  <c r="X180" i="1"/>
  <c r="V180" i="1"/>
  <c r="T180" i="1"/>
  <c r="P180" i="1"/>
  <c r="N180" i="1"/>
  <c r="J180" i="1"/>
  <c r="H180" i="1"/>
  <c r="F180" i="1"/>
  <c r="D180" i="1"/>
  <c r="AA179" i="1"/>
  <c r="Y179" i="1"/>
  <c r="W179" i="1"/>
  <c r="U179" i="1"/>
  <c r="Q179" i="1"/>
  <c r="O179" i="1"/>
  <c r="K179" i="1"/>
  <c r="I179" i="1"/>
  <c r="G179" i="1"/>
  <c r="E179" i="1"/>
  <c r="AP178" i="1"/>
  <c r="AN178" i="1"/>
  <c r="AN180" i="1" s="1"/>
  <c r="AL178" i="1"/>
  <c r="AL180" i="1" s="1"/>
  <c r="AJ178" i="1"/>
  <c r="AJ180" i="1" s="1"/>
  <c r="AH178" i="1"/>
  <c r="AI179" i="1" s="1"/>
  <c r="AF178" i="1"/>
  <c r="AF180" i="1" s="1"/>
  <c r="AD178" i="1"/>
  <c r="AE179" i="1" s="1"/>
  <c r="AB178" i="1"/>
  <c r="R178" i="1"/>
  <c r="L178" i="1"/>
  <c r="L180" i="1" s="1"/>
  <c r="Z175" i="1"/>
  <c r="X175" i="1"/>
  <c r="V175" i="1"/>
  <c r="T175" i="1"/>
  <c r="P175" i="1"/>
  <c r="N175" i="1"/>
  <c r="J175" i="1"/>
  <c r="H175" i="1"/>
  <c r="F175" i="1"/>
  <c r="D175" i="1"/>
  <c r="AA174" i="1"/>
  <c r="Y174" i="1"/>
  <c r="W174" i="1"/>
  <c r="U174" i="1"/>
  <c r="Q174" i="1"/>
  <c r="O174" i="1"/>
  <c r="K174" i="1"/>
  <c r="I174" i="1"/>
  <c r="G174" i="1"/>
  <c r="E174" i="1"/>
  <c r="AP173" i="1"/>
  <c r="AQ174" i="1" s="1"/>
  <c r="AN173" i="1"/>
  <c r="AL173" i="1"/>
  <c r="AL175" i="1" s="1"/>
  <c r="AJ173" i="1"/>
  <c r="AH173" i="1"/>
  <c r="AH175" i="1" s="1"/>
  <c r="AF173" i="1"/>
  <c r="AD173" i="1"/>
  <c r="AB173" i="1"/>
  <c r="R173" i="1"/>
  <c r="S174" i="1" s="1"/>
  <c r="L173" i="1"/>
  <c r="J170" i="1"/>
  <c r="H170" i="1"/>
  <c r="F170" i="1"/>
  <c r="D170" i="1"/>
  <c r="Q169" i="1"/>
  <c r="K169" i="1"/>
  <c r="I169" i="1"/>
  <c r="G169" i="1"/>
  <c r="E169" i="1"/>
  <c r="N168" i="1"/>
  <c r="O169" i="1" s="1"/>
  <c r="L168" i="1"/>
  <c r="M169" i="1" s="1"/>
  <c r="AP159" i="1"/>
  <c r="AN159" i="1"/>
  <c r="AL159" i="1"/>
  <c r="AJ159" i="1"/>
  <c r="AF159" i="1"/>
  <c r="AD159" i="1"/>
  <c r="AB159" i="1"/>
  <c r="Z159" i="1"/>
  <c r="X159" i="1"/>
  <c r="V159" i="1"/>
  <c r="T159" i="1"/>
  <c r="R159" i="1"/>
  <c r="P159" i="1"/>
  <c r="L159" i="1"/>
  <c r="J159" i="1"/>
  <c r="H159" i="1"/>
  <c r="F159" i="1"/>
  <c r="D159" i="1"/>
  <c r="AQ158" i="1"/>
  <c r="AO158" i="1"/>
  <c r="AM158" i="1"/>
  <c r="AK158" i="1"/>
  <c r="AG158" i="1"/>
  <c r="AE158" i="1"/>
  <c r="AC158" i="1"/>
  <c r="AA158" i="1"/>
  <c r="Y158" i="1"/>
  <c r="W158" i="1"/>
  <c r="U158" i="1"/>
  <c r="S158" i="1"/>
  <c r="Q158" i="1"/>
  <c r="M158" i="1"/>
  <c r="K158" i="1"/>
  <c r="I158" i="1"/>
  <c r="G158" i="1"/>
  <c r="E158" i="1"/>
  <c r="AR157" i="1"/>
  <c r="AH157" i="1"/>
  <c r="AI158" i="1" s="1"/>
  <c r="N157" i="1"/>
  <c r="O158" i="1" s="1"/>
  <c r="F149" i="1"/>
  <c r="G148" i="1"/>
  <c r="D147" i="1"/>
  <c r="D149" i="1" s="1"/>
  <c r="J144" i="1"/>
  <c r="H144" i="1"/>
  <c r="D144" i="1"/>
  <c r="K143" i="1"/>
  <c r="I143" i="1"/>
  <c r="E143" i="1"/>
  <c r="F142" i="1"/>
  <c r="F144" i="1" s="1"/>
  <c r="F139" i="1"/>
  <c r="D139" i="1"/>
  <c r="AR134" i="1"/>
  <c r="AN134" i="1"/>
  <c r="AL134" i="1"/>
  <c r="AJ134" i="1"/>
  <c r="AF134" i="1"/>
  <c r="AD134" i="1"/>
  <c r="AB134" i="1"/>
  <c r="Z134" i="1"/>
  <c r="X134" i="1"/>
  <c r="V134" i="1"/>
  <c r="T134" i="1"/>
  <c r="P134" i="1"/>
  <c r="L134" i="1"/>
  <c r="J134" i="1"/>
  <c r="H134" i="1"/>
  <c r="F134" i="1"/>
  <c r="D134" i="1"/>
  <c r="AS133" i="1"/>
  <c r="AO133" i="1"/>
  <c r="AM133" i="1"/>
  <c r="AK133" i="1"/>
  <c r="AG133" i="1"/>
  <c r="AE133" i="1"/>
  <c r="AC133" i="1"/>
  <c r="AA133" i="1"/>
  <c r="Y133" i="1"/>
  <c r="W133" i="1"/>
  <c r="U133" i="1"/>
  <c r="Q133" i="1"/>
  <c r="M133" i="1"/>
  <c r="K133" i="1"/>
  <c r="I133" i="1"/>
  <c r="G133" i="1"/>
  <c r="E133" i="1"/>
  <c r="AP132" i="1"/>
  <c r="AQ133" i="1" s="1"/>
  <c r="AH132" i="1"/>
  <c r="AH134" i="1" s="1"/>
  <c r="R132" i="1"/>
  <c r="N132" i="1"/>
  <c r="N134" i="1" s="1"/>
  <c r="AR129" i="1"/>
  <c r="AN129" i="1"/>
  <c r="AJ129" i="1"/>
  <c r="AF129" i="1"/>
  <c r="AD129" i="1"/>
  <c r="AB129" i="1"/>
  <c r="Z129" i="1"/>
  <c r="X129" i="1"/>
  <c r="V129" i="1"/>
  <c r="T129" i="1"/>
  <c r="R129" i="1"/>
  <c r="P129" i="1"/>
  <c r="L129" i="1"/>
  <c r="J129" i="1"/>
  <c r="H129" i="1"/>
  <c r="F129" i="1"/>
  <c r="D129" i="1"/>
  <c r="AK128" i="1"/>
  <c r="AG128" i="1"/>
  <c r="AE128" i="1"/>
  <c r="AC128" i="1"/>
  <c r="AA128" i="1"/>
  <c r="Y128" i="1"/>
  <c r="W128" i="1"/>
  <c r="U128" i="1"/>
  <c r="Q128" i="1"/>
  <c r="M128" i="1"/>
  <c r="K128" i="1"/>
  <c r="I128" i="1"/>
  <c r="G128" i="1"/>
  <c r="E128" i="1"/>
  <c r="AP127" i="1"/>
  <c r="AQ128" i="1" s="1"/>
  <c r="AL127" i="1"/>
  <c r="AH127" i="1"/>
  <c r="AI128" i="1" s="1"/>
  <c r="N127" i="1"/>
  <c r="N129" i="1" s="1"/>
  <c r="AR124" i="1"/>
  <c r="AP124" i="1"/>
  <c r="AN124" i="1"/>
  <c r="AL124" i="1"/>
  <c r="AJ124" i="1"/>
  <c r="AH124" i="1"/>
  <c r="AF124" i="1"/>
  <c r="AD124" i="1"/>
  <c r="AB124" i="1"/>
  <c r="X124" i="1"/>
  <c r="V124" i="1"/>
  <c r="T124" i="1"/>
  <c r="R124" i="1"/>
  <c r="P124" i="1"/>
  <c r="N124" i="1"/>
  <c r="L124" i="1"/>
  <c r="J124" i="1"/>
  <c r="H124" i="1"/>
  <c r="F124" i="1"/>
  <c r="D124" i="1"/>
  <c r="AS123" i="1"/>
  <c r="AQ123" i="1"/>
  <c r="AO123" i="1"/>
  <c r="AM123" i="1"/>
  <c r="AK123" i="1"/>
  <c r="AI123" i="1"/>
  <c r="AG123" i="1"/>
  <c r="AE123" i="1"/>
  <c r="AC123" i="1"/>
  <c r="Y123" i="1"/>
  <c r="W123" i="1"/>
  <c r="U123" i="1"/>
  <c r="S123" i="1"/>
  <c r="Q123" i="1"/>
  <c r="O123" i="1"/>
  <c r="M123" i="1"/>
  <c r="K123" i="1"/>
  <c r="I123" i="1"/>
  <c r="G123" i="1"/>
  <c r="E123" i="1"/>
  <c r="Z122" i="1"/>
  <c r="AA123" i="1" s="1"/>
  <c r="T119" i="1"/>
  <c r="R119" i="1"/>
  <c r="P119" i="1"/>
  <c r="J119" i="1"/>
  <c r="H119" i="1"/>
  <c r="F119" i="1"/>
  <c r="U118" i="1"/>
  <c r="S118" i="1"/>
  <c r="Q118" i="1"/>
  <c r="K118" i="1"/>
  <c r="I118" i="1"/>
  <c r="G118" i="1"/>
  <c r="N117" i="1"/>
  <c r="N119" i="1" s="1"/>
  <c r="L117" i="1"/>
  <c r="L119" i="1" s="1"/>
  <c r="D117" i="1"/>
  <c r="E118" i="1" s="1"/>
  <c r="L114" i="1"/>
  <c r="J114" i="1"/>
  <c r="H114" i="1"/>
  <c r="F114" i="1"/>
  <c r="D114" i="1"/>
  <c r="Q113" i="1"/>
  <c r="K113" i="1"/>
  <c r="I113" i="1"/>
  <c r="G113" i="1"/>
  <c r="E113" i="1"/>
  <c r="N112" i="1"/>
  <c r="N114" i="1" s="1"/>
  <c r="AN109" i="1"/>
  <c r="AL109" i="1"/>
  <c r="AJ109" i="1"/>
  <c r="AF109" i="1"/>
  <c r="AD109" i="1"/>
  <c r="AB109" i="1"/>
  <c r="Z109" i="1"/>
  <c r="X109" i="1"/>
  <c r="V109" i="1"/>
  <c r="T109" i="1"/>
  <c r="R109" i="1"/>
  <c r="P109" i="1"/>
  <c r="L109" i="1"/>
  <c r="J109" i="1"/>
  <c r="H109" i="1"/>
  <c r="F109" i="1"/>
  <c r="D109" i="1"/>
  <c r="AQ108" i="1"/>
  <c r="AO108" i="1"/>
  <c r="AM108" i="1"/>
  <c r="AK108" i="1"/>
  <c r="AG108" i="1"/>
  <c r="AE108" i="1"/>
  <c r="AC108" i="1"/>
  <c r="AA108" i="1"/>
  <c r="Y108" i="1"/>
  <c r="W108" i="1"/>
  <c r="U108" i="1"/>
  <c r="S108" i="1"/>
  <c r="Q108" i="1"/>
  <c r="M108" i="1"/>
  <c r="K108" i="1"/>
  <c r="G108" i="1"/>
  <c r="E108" i="1"/>
  <c r="AR107" i="1"/>
  <c r="AR109" i="1" s="1"/>
  <c r="AH107" i="1"/>
  <c r="AI108" i="1" s="1"/>
  <c r="N107" i="1"/>
  <c r="N109" i="1" s="1"/>
  <c r="AP104" i="1"/>
  <c r="AN104" i="1"/>
  <c r="AL104" i="1"/>
  <c r="AJ104" i="1"/>
  <c r="AF104" i="1"/>
  <c r="AD104" i="1"/>
  <c r="AB104" i="1"/>
  <c r="Z104" i="1"/>
  <c r="X104" i="1"/>
  <c r="V104" i="1"/>
  <c r="T104" i="1"/>
  <c r="R104" i="1"/>
  <c r="P104" i="1"/>
  <c r="N104" i="1"/>
  <c r="L104" i="1"/>
  <c r="J104" i="1"/>
  <c r="D104" i="1"/>
  <c r="AQ103" i="1"/>
  <c r="AO103" i="1"/>
  <c r="AM103" i="1"/>
  <c r="AK103" i="1"/>
  <c r="AG103" i="1"/>
  <c r="AE103" i="1"/>
  <c r="AC103" i="1"/>
  <c r="AA103" i="1"/>
  <c r="Y103" i="1"/>
  <c r="W103" i="1"/>
  <c r="U103" i="1"/>
  <c r="S103" i="1"/>
  <c r="Q103" i="1"/>
  <c r="O103" i="1"/>
  <c r="M103" i="1"/>
  <c r="K103" i="1"/>
  <c r="H103" i="1"/>
  <c r="E103" i="1"/>
  <c r="AR102" i="1"/>
  <c r="AS103" i="1" s="1"/>
  <c r="AH102" i="1"/>
  <c r="AI103" i="1" s="1"/>
  <c r="F102" i="1"/>
  <c r="A100" i="1"/>
  <c r="A105" i="1" s="1"/>
  <c r="A110" i="1" s="1"/>
  <c r="A115" i="1" s="1"/>
  <c r="A130" i="1"/>
  <c r="A135" i="1" s="1"/>
  <c r="A140" i="1" s="1"/>
  <c r="A145" i="1" s="1"/>
  <c r="A150" i="1" s="1"/>
  <c r="A155" i="1" s="1"/>
  <c r="A160" i="1" s="1"/>
  <c r="A165" i="1" s="1"/>
  <c r="A166" i="1" s="1"/>
  <c r="A171" i="1" s="1"/>
  <c r="A176" i="1" s="1"/>
  <c r="AR99" i="1"/>
  <c r="AN99" i="1"/>
  <c r="AL99" i="1"/>
  <c r="AJ99" i="1"/>
  <c r="AF99" i="1"/>
  <c r="AD99" i="1"/>
  <c r="AB99" i="1"/>
  <c r="Z99" i="1"/>
  <c r="X99" i="1"/>
  <c r="V99" i="1"/>
  <c r="R99" i="1"/>
  <c r="P99" i="1"/>
  <c r="N99" i="1"/>
  <c r="L99" i="1"/>
  <c r="J99" i="1"/>
  <c r="H99" i="1"/>
  <c r="F99" i="1"/>
  <c r="D99" i="1"/>
  <c r="AS98" i="1"/>
  <c r="AO98" i="1"/>
  <c r="AM98" i="1"/>
  <c r="AK98" i="1"/>
  <c r="AG98" i="1"/>
  <c r="AE98" i="1"/>
  <c r="AC98" i="1"/>
  <c r="AA98" i="1"/>
  <c r="Y98" i="1"/>
  <c r="W98" i="1"/>
  <c r="S98" i="1"/>
  <c r="Q98" i="1"/>
  <c r="O98" i="1"/>
  <c r="M98" i="1"/>
  <c r="K98" i="1"/>
  <c r="I98" i="1"/>
  <c r="G98" i="1"/>
  <c r="E98" i="1"/>
  <c r="AP97" i="1"/>
  <c r="AQ98" i="1" s="1"/>
  <c r="AH97" i="1"/>
  <c r="AI98" i="1" s="1"/>
  <c r="T97" i="1"/>
  <c r="AR95" i="1"/>
  <c r="AB94" i="1"/>
  <c r="Z94" i="1"/>
  <c r="X94" i="1"/>
  <c r="V94" i="1"/>
  <c r="T94" i="1"/>
  <c r="R94" i="1"/>
  <c r="N94" i="1"/>
  <c r="L94" i="1"/>
  <c r="J94" i="1"/>
  <c r="H94" i="1"/>
  <c r="F94" i="1"/>
  <c r="D94" i="1"/>
  <c r="AC93" i="1"/>
  <c r="AA93" i="1"/>
  <c r="Y93" i="1"/>
  <c r="W93" i="1"/>
  <c r="U93" i="1"/>
  <c r="S93" i="1"/>
  <c r="O93" i="1"/>
  <c r="M93" i="1"/>
  <c r="K93" i="1"/>
  <c r="I93" i="1"/>
  <c r="G93" i="1"/>
  <c r="E93" i="1"/>
  <c r="P92" i="1"/>
  <c r="Q93" i="1" s="1"/>
  <c r="AR89" i="1"/>
  <c r="AN89" i="1"/>
  <c r="AL89" i="1"/>
  <c r="AJ89" i="1"/>
  <c r="AH89" i="1"/>
  <c r="AD89" i="1"/>
  <c r="AB89" i="1"/>
  <c r="Z89" i="1"/>
  <c r="X89" i="1"/>
  <c r="V89" i="1"/>
  <c r="T89" i="1"/>
  <c r="R89" i="1"/>
  <c r="P89" i="1"/>
  <c r="N89" i="1"/>
  <c r="J89" i="1"/>
  <c r="H89" i="1"/>
  <c r="F89" i="1"/>
  <c r="D89" i="1"/>
  <c r="AS88" i="1"/>
  <c r="AO88" i="1"/>
  <c r="AM88" i="1"/>
  <c r="AK88" i="1"/>
  <c r="AI88" i="1"/>
  <c r="AE88" i="1"/>
  <c r="AC88" i="1"/>
  <c r="AA88" i="1"/>
  <c r="Y88" i="1"/>
  <c r="W88" i="1"/>
  <c r="U88" i="1"/>
  <c r="Q88" i="1"/>
  <c r="O88" i="1"/>
  <c r="K88" i="1"/>
  <c r="I88" i="1"/>
  <c r="G88" i="1"/>
  <c r="E88" i="1"/>
  <c r="AP87" i="1"/>
  <c r="AQ88" i="1" s="1"/>
  <c r="AF87" i="1"/>
  <c r="AG88" i="1" s="1"/>
  <c r="L87" i="1"/>
  <c r="M88" i="1" s="1"/>
  <c r="AR79" i="1"/>
  <c r="AP79" i="1"/>
  <c r="AL79" i="1"/>
  <c r="AJ79" i="1"/>
  <c r="AH79" i="1"/>
  <c r="AF79" i="1"/>
  <c r="AD79" i="1"/>
  <c r="AB79" i="1"/>
  <c r="Z79" i="1"/>
  <c r="X79" i="1"/>
  <c r="V79" i="1"/>
  <c r="T79" i="1"/>
  <c r="R79" i="1"/>
  <c r="P79" i="1"/>
  <c r="L79" i="1"/>
  <c r="J79" i="1"/>
  <c r="H79" i="1"/>
  <c r="F79" i="1"/>
  <c r="D79" i="1"/>
  <c r="AS78" i="1"/>
  <c r="AQ78" i="1"/>
  <c r="AM78" i="1"/>
  <c r="AK78" i="1"/>
  <c r="AI78" i="1"/>
  <c r="AG78" i="1"/>
  <c r="AE78" i="1"/>
  <c r="AC78" i="1"/>
  <c r="AA78" i="1"/>
  <c r="Y78" i="1"/>
  <c r="W78" i="1"/>
  <c r="U78" i="1"/>
  <c r="M78" i="1"/>
  <c r="K78" i="1"/>
  <c r="I78" i="1"/>
  <c r="G78" i="1"/>
  <c r="E78" i="1"/>
  <c r="AN77" i="1"/>
  <c r="AO78" i="1" s="1"/>
  <c r="N77" i="1"/>
  <c r="O78" i="1" s="1"/>
  <c r="AP74" i="1"/>
  <c r="AN74" i="1"/>
  <c r="AL74" i="1"/>
  <c r="AJ74" i="1"/>
  <c r="AF74" i="1"/>
  <c r="AD74" i="1"/>
  <c r="AB74" i="1"/>
  <c r="Z74" i="1"/>
  <c r="X74" i="1"/>
  <c r="V74" i="1"/>
  <c r="T74" i="1"/>
  <c r="R74" i="1"/>
  <c r="P74" i="1"/>
  <c r="L74" i="1"/>
  <c r="J74" i="1"/>
  <c r="H74" i="1"/>
  <c r="F74" i="1"/>
  <c r="D74" i="1"/>
  <c r="AQ73" i="1"/>
  <c r="AO73" i="1"/>
  <c r="AM73" i="1"/>
  <c r="AK73" i="1"/>
  <c r="AG73" i="1"/>
  <c r="AE73" i="1"/>
  <c r="AC73" i="1"/>
  <c r="AA73" i="1"/>
  <c r="Y73" i="1"/>
  <c r="W73" i="1"/>
  <c r="U73" i="1"/>
  <c r="S73" i="1"/>
  <c r="Q73" i="1"/>
  <c r="M73" i="1"/>
  <c r="K73" i="1"/>
  <c r="I73" i="1"/>
  <c r="G73" i="1"/>
  <c r="E73" i="1"/>
  <c r="AR72" i="1"/>
  <c r="AS73" i="1" s="1"/>
  <c r="AH72" i="1"/>
  <c r="AI73" i="1" s="1"/>
  <c r="N72" i="1"/>
  <c r="AB69" i="1"/>
  <c r="Z69" i="1"/>
  <c r="X69" i="1"/>
  <c r="V69" i="1"/>
  <c r="T69" i="1"/>
  <c r="R69" i="1"/>
  <c r="P69" i="1"/>
  <c r="N69" i="1"/>
  <c r="L69" i="1"/>
  <c r="J69" i="1"/>
  <c r="H69" i="1"/>
  <c r="F69" i="1"/>
  <c r="D69" i="1"/>
  <c r="AA68" i="1"/>
  <c r="Y68" i="1"/>
  <c r="U68" i="1"/>
  <c r="Q68" i="1"/>
  <c r="O68" i="1"/>
  <c r="M68" i="1"/>
  <c r="K68" i="1"/>
  <c r="I68" i="1"/>
  <c r="G68" i="1"/>
  <c r="E68" i="1"/>
  <c r="AR64" i="1"/>
  <c r="AN64" i="1"/>
  <c r="AL64" i="1"/>
  <c r="AJ64" i="1"/>
  <c r="AF64" i="1"/>
  <c r="AD64" i="1"/>
  <c r="AB64" i="1"/>
  <c r="Z64" i="1"/>
  <c r="X64" i="1"/>
  <c r="V64" i="1"/>
  <c r="T64" i="1"/>
  <c r="R64" i="1"/>
  <c r="P64" i="1"/>
  <c r="L64" i="1"/>
  <c r="J64" i="1"/>
  <c r="H64" i="1"/>
  <c r="F64" i="1"/>
  <c r="D64" i="1"/>
  <c r="AS63" i="1"/>
  <c r="AO63" i="1"/>
  <c r="AM63" i="1"/>
  <c r="AK63" i="1"/>
  <c r="AG63" i="1"/>
  <c r="AE63" i="1"/>
  <c r="AC63" i="1"/>
  <c r="AA63" i="1"/>
  <c r="Y63" i="1"/>
  <c r="W63" i="1"/>
  <c r="U63" i="1"/>
  <c r="S63" i="1"/>
  <c r="Q63" i="1"/>
  <c r="M63" i="1"/>
  <c r="K63" i="1"/>
  <c r="I63" i="1"/>
  <c r="G63" i="1"/>
  <c r="E63" i="1"/>
  <c r="AH62" i="1"/>
  <c r="AI63" i="1" s="1"/>
  <c r="N62" i="1"/>
  <c r="N64" i="1" s="1"/>
  <c r="AP59" i="1"/>
  <c r="AN59" i="1"/>
  <c r="AL59" i="1"/>
  <c r="AJ59" i="1"/>
  <c r="AF59" i="1"/>
  <c r="AD59" i="1"/>
  <c r="AB59" i="1"/>
  <c r="Z59" i="1"/>
  <c r="X59" i="1"/>
  <c r="V59" i="1"/>
  <c r="T59" i="1"/>
  <c r="R59" i="1"/>
  <c r="P59" i="1"/>
  <c r="L59" i="1"/>
  <c r="J59" i="1"/>
  <c r="H59" i="1"/>
  <c r="F59" i="1"/>
  <c r="D59" i="1"/>
  <c r="AQ58" i="1"/>
  <c r="AO58" i="1"/>
  <c r="AM58" i="1"/>
  <c r="AK58" i="1"/>
  <c r="AG58" i="1"/>
  <c r="AE58" i="1"/>
  <c r="W58" i="1"/>
  <c r="U58" i="1"/>
  <c r="S58" i="1"/>
  <c r="Q58" i="1"/>
  <c r="M58" i="1"/>
  <c r="K58" i="1"/>
  <c r="I58" i="1"/>
  <c r="G58" i="1"/>
  <c r="E58" i="1"/>
  <c r="AR57" i="1"/>
  <c r="AS58" i="1" s="1"/>
  <c r="AH57" i="1"/>
  <c r="AH59" i="1" s="1"/>
  <c r="N57" i="1"/>
  <c r="N59" i="1" s="1"/>
  <c r="AP54" i="1"/>
  <c r="AN54" i="1"/>
  <c r="AL54" i="1"/>
  <c r="AJ54" i="1"/>
  <c r="AF54" i="1"/>
  <c r="AD54" i="1"/>
  <c r="AB54" i="1"/>
  <c r="Z54" i="1"/>
  <c r="X54" i="1"/>
  <c r="V54" i="1"/>
  <c r="T54" i="1"/>
  <c r="R54" i="1"/>
  <c r="P54" i="1"/>
  <c r="L54" i="1"/>
  <c r="J54" i="1"/>
  <c r="H54" i="1"/>
  <c r="F54" i="1"/>
  <c r="D54" i="1"/>
  <c r="AQ53" i="1"/>
  <c r="AO53" i="1"/>
  <c r="AM53" i="1"/>
  <c r="AK53" i="1"/>
  <c r="AG53" i="1"/>
  <c r="AE53" i="1"/>
  <c r="AC53" i="1"/>
  <c r="AA53" i="1"/>
  <c r="Y53" i="1"/>
  <c r="W53" i="1"/>
  <c r="U53" i="1"/>
  <c r="S53" i="1"/>
  <c r="Q53" i="1"/>
  <c r="M53" i="1"/>
  <c r="K53" i="1"/>
  <c r="I53" i="1"/>
  <c r="G53" i="1"/>
  <c r="E53" i="1"/>
  <c r="AR52" i="1"/>
  <c r="AR54" i="1" s="1"/>
  <c r="AH52" i="1"/>
  <c r="AI53" i="1" s="1"/>
  <c r="N52" i="1"/>
  <c r="N54" i="1" s="1"/>
  <c r="AP49" i="1"/>
  <c r="AN49" i="1"/>
  <c r="AL49" i="1"/>
  <c r="AJ49" i="1"/>
  <c r="AF49" i="1"/>
  <c r="AD49" i="1"/>
  <c r="AB49" i="1"/>
  <c r="Z49" i="1"/>
  <c r="X49" i="1"/>
  <c r="V49" i="1"/>
  <c r="T49" i="1"/>
  <c r="R49" i="1"/>
  <c r="P49" i="1"/>
  <c r="N49" i="1"/>
  <c r="L49" i="1"/>
  <c r="J49" i="1"/>
  <c r="H49" i="1"/>
  <c r="F49" i="1"/>
  <c r="D49" i="1"/>
  <c r="AQ48" i="1"/>
  <c r="AO48" i="1"/>
  <c r="AM48" i="1"/>
  <c r="AK48" i="1"/>
  <c r="AG48" i="1"/>
  <c r="AE48" i="1"/>
  <c r="AC48" i="1"/>
  <c r="AA48" i="1"/>
  <c r="Y48" i="1"/>
  <c r="W48" i="1"/>
  <c r="U48" i="1"/>
  <c r="S48" i="1"/>
  <c r="Q48" i="1"/>
  <c r="O48" i="1"/>
  <c r="M48" i="1"/>
  <c r="K48" i="1"/>
  <c r="I48" i="1"/>
  <c r="G48" i="1"/>
  <c r="E48" i="1"/>
  <c r="AR47" i="1"/>
  <c r="AS48" i="1" s="1"/>
  <c r="AH47" i="1"/>
  <c r="AH49" i="1" s="1"/>
  <c r="AP44" i="1"/>
  <c r="AN44" i="1"/>
  <c r="AL44" i="1"/>
  <c r="AJ44" i="1"/>
  <c r="AF44" i="1"/>
  <c r="AD44" i="1"/>
  <c r="AB44" i="1"/>
  <c r="Z44" i="1"/>
  <c r="X44" i="1"/>
  <c r="V44" i="1"/>
  <c r="T44" i="1"/>
  <c r="R44" i="1"/>
  <c r="P44" i="1"/>
  <c r="L44" i="1"/>
  <c r="J44" i="1"/>
  <c r="H44" i="1"/>
  <c r="F44" i="1"/>
  <c r="D44" i="1"/>
  <c r="AQ43" i="1"/>
  <c r="AO43" i="1"/>
  <c r="AM43" i="1"/>
  <c r="AK43" i="1"/>
  <c r="AG43" i="1"/>
  <c r="AE43" i="1"/>
  <c r="AC43" i="1"/>
  <c r="AA43" i="1"/>
  <c r="Y43" i="1"/>
  <c r="W43" i="1"/>
  <c r="U43" i="1"/>
  <c r="S43" i="1"/>
  <c r="Q43" i="1"/>
  <c r="M43" i="1"/>
  <c r="K43" i="1"/>
  <c r="I43" i="1"/>
  <c r="G43" i="1"/>
  <c r="E43" i="1"/>
  <c r="AR42" i="1"/>
  <c r="AS43" i="1" s="1"/>
  <c r="AH42" i="1"/>
  <c r="AH44" i="1" s="1"/>
  <c r="N42" i="1"/>
  <c r="O43" i="1" s="1"/>
  <c r="AP39" i="1"/>
  <c r="AN39" i="1"/>
  <c r="AL39" i="1"/>
  <c r="AJ39" i="1"/>
  <c r="AF39" i="1"/>
  <c r="AD39" i="1"/>
  <c r="AB39" i="1"/>
  <c r="Z39" i="1"/>
  <c r="X39" i="1"/>
  <c r="V39" i="1"/>
  <c r="T39" i="1"/>
  <c r="R39" i="1"/>
  <c r="P39" i="1"/>
  <c r="N39" i="1"/>
  <c r="L39" i="1"/>
  <c r="J39" i="1"/>
  <c r="H39" i="1"/>
  <c r="F39" i="1"/>
  <c r="D39" i="1"/>
  <c r="AQ38" i="1"/>
  <c r="AK38" i="1"/>
  <c r="AG38" i="1"/>
  <c r="AE38" i="1"/>
  <c r="AC38" i="1"/>
  <c r="W38" i="1"/>
  <c r="U38" i="1"/>
  <c r="Q38" i="1"/>
  <c r="O38" i="1"/>
  <c r="M38" i="1"/>
  <c r="K38" i="1"/>
  <c r="I38" i="1"/>
  <c r="G38" i="1"/>
  <c r="E38" i="1"/>
  <c r="AR37" i="1"/>
  <c r="AS38" i="1" s="1"/>
  <c r="AH37" i="1"/>
  <c r="AH39" i="1" s="1"/>
  <c r="AP34" i="1"/>
  <c r="AN34" i="1"/>
  <c r="AL34" i="1"/>
  <c r="AJ34" i="1"/>
  <c r="AF34" i="1"/>
  <c r="AD34" i="1"/>
  <c r="AB34" i="1"/>
  <c r="Z34" i="1"/>
  <c r="X34" i="1"/>
  <c r="V34" i="1"/>
  <c r="T34" i="1"/>
  <c r="R34" i="1"/>
  <c r="P34" i="1"/>
  <c r="L34" i="1"/>
  <c r="J34" i="1"/>
  <c r="H34" i="1"/>
  <c r="F34" i="1"/>
  <c r="D34" i="1"/>
  <c r="AQ33" i="1"/>
  <c r="AO33" i="1"/>
  <c r="AM33" i="1"/>
  <c r="AK33" i="1"/>
  <c r="AG33" i="1"/>
  <c r="AE33" i="1"/>
  <c r="AC33" i="1"/>
  <c r="AA33" i="1"/>
  <c r="Y33" i="1"/>
  <c r="W33" i="1"/>
  <c r="U33" i="1"/>
  <c r="S33" i="1"/>
  <c r="Q33" i="1"/>
  <c r="M33" i="1"/>
  <c r="K33" i="1"/>
  <c r="I33" i="1"/>
  <c r="G33" i="1"/>
  <c r="E33" i="1"/>
  <c r="AR32" i="1"/>
  <c r="AS33" i="1" s="1"/>
  <c r="AH32" i="1"/>
  <c r="AH34" i="1" s="1"/>
  <c r="N32" i="1"/>
  <c r="O33" i="1" s="1"/>
  <c r="AP29" i="1"/>
  <c r="AN29" i="1"/>
  <c r="AL29" i="1"/>
  <c r="AJ29" i="1"/>
  <c r="AF29" i="1"/>
  <c r="AD29" i="1"/>
  <c r="AB29" i="1"/>
  <c r="Z29" i="1"/>
  <c r="X29" i="1"/>
  <c r="V29" i="1"/>
  <c r="T29" i="1"/>
  <c r="R29" i="1"/>
  <c r="P29" i="1"/>
  <c r="N29" i="1"/>
  <c r="L29" i="1"/>
  <c r="J29" i="1"/>
  <c r="H29" i="1"/>
  <c r="F29" i="1"/>
  <c r="D29" i="1"/>
  <c r="AQ28" i="1"/>
  <c r="AO28" i="1"/>
  <c r="AM28" i="1"/>
  <c r="AK28" i="1"/>
  <c r="AG28" i="1"/>
  <c r="AE28" i="1"/>
  <c r="AC28" i="1"/>
  <c r="W28" i="1"/>
  <c r="U28" i="1"/>
  <c r="O28" i="1"/>
  <c r="M28" i="1"/>
  <c r="K28" i="1"/>
  <c r="I28" i="1"/>
  <c r="G28" i="1"/>
  <c r="E28" i="1"/>
  <c r="AR27" i="1"/>
  <c r="AH27" i="1"/>
  <c r="AH29" i="1" s="1"/>
  <c r="AR24" i="1"/>
  <c r="AP24" i="1"/>
  <c r="AN24" i="1"/>
  <c r="AL24" i="1"/>
  <c r="AJ24" i="1"/>
  <c r="AF24" i="1"/>
  <c r="AD24" i="1"/>
  <c r="AB24" i="1"/>
  <c r="Z24" i="1"/>
  <c r="X24" i="1"/>
  <c r="V24" i="1"/>
  <c r="T24" i="1"/>
  <c r="R24" i="1"/>
  <c r="P24" i="1"/>
  <c r="L24" i="1"/>
  <c r="J24" i="1"/>
  <c r="H24" i="1"/>
  <c r="F24" i="1"/>
  <c r="D24" i="1"/>
  <c r="AS23" i="1"/>
  <c r="AQ23" i="1"/>
  <c r="AO23" i="1"/>
  <c r="AM23" i="1"/>
  <c r="AK23" i="1"/>
  <c r="AG23" i="1"/>
  <c r="AE23" i="1"/>
  <c r="AC23" i="1"/>
  <c r="AA23" i="1"/>
  <c r="Y23" i="1"/>
  <c r="W23" i="1"/>
  <c r="U23" i="1"/>
  <c r="S23" i="1"/>
  <c r="Q23" i="1"/>
  <c r="M23" i="1"/>
  <c r="K23" i="1"/>
  <c r="I23" i="1"/>
  <c r="G23" i="1"/>
  <c r="E23" i="1"/>
  <c r="AH22" i="1"/>
  <c r="AH24" i="1" s="1"/>
  <c r="N22" i="1"/>
  <c r="N24" i="1" s="1"/>
  <c r="AP19" i="1"/>
  <c r="AN19" i="1"/>
  <c r="AL19" i="1"/>
  <c r="AJ19" i="1"/>
  <c r="AF19" i="1"/>
  <c r="AD19" i="1"/>
  <c r="AB19" i="1"/>
  <c r="Z19" i="1"/>
  <c r="X19" i="1"/>
  <c r="V19" i="1"/>
  <c r="T19" i="1"/>
  <c r="R19" i="1"/>
  <c r="P19" i="1"/>
  <c r="L19" i="1"/>
  <c r="J19" i="1"/>
  <c r="H19" i="1"/>
  <c r="F19" i="1"/>
  <c r="D19" i="1"/>
  <c r="AQ18" i="1"/>
  <c r="AO18" i="1"/>
  <c r="AM18" i="1"/>
  <c r="AK18" i="1"/>
  <c r="AG18" i="1"/>
  <c r="AE18" i="1"/>
  <c r="AC18" i="1"/>
  <c r="AA18" i="1"/>
  <c r="Y18" i="1"/>
  <c r="W18" i="1"/>
  <c r="U18" i="1"/>
  <c r="S18" i="1"/>
  <c r="Q18" i="1"/>
  <c r="M18" i="1"/>
  <c r="K18" i="1"/>
  <c r="I18" i="1"/>
  <c r="G18" i="1"/>
  <c r="E18" i="1"/>
  <c r="AR17" i="1"/>
  <c r="AS18" i="1" s="1"/>
  <c r="AH17" i="1"/>
  <c r="AI18" i="1" s="1"/>
  <c r="N17" i="1"/>
  <c r="O18" i="1" s="1"/>
  <c r="AP14" i="1"/>
  <c r="AN14" i="1"/>
  <c r="AL14" i="1"/>
  <c r="AJ14" i="1"/>
  <c r="AF14" i="1"/>
  <c r="AD14" i="1"/>
  <c r="AB14" i="1"/>
  <c r="Z14" i="1"/>
  <c r="X14" i="1"/>
  <c r="V14" i="1"/>
  <c r="T14" i="1"/>
  <c r="R14" i="1"/>
  <c r="P14" i="1"/>
  <c r="L14" i="1"/>
  <c r="J14" i="1"/>
  <c r="H14" i="1"/>
  <c r="F14" i="1"/>
  <c r="D14" i="1"/>
  <c r="AQ13" i="1"/>
  <c r="AO13" i="1"/>
  <c r="AM13" i="1"/>
  <c r="AK13" i="1"/>
  <c r="AG13" i="1"/>
  <c r="AE13" i="1"/>
  <c r="AC13" i="1"/>
  <c r="AA13" i="1"/>
  <c r="Y13" i="1"/>
  <c r="W13" i="1"/>
  <c r="U13" i="1"/>
  <c r="S13" i="1"/>
  <c r="Q13" i="1"/>
  <c r="M13" i="1"/>
  <c r="K13" i="1"/>
  <c r="I13" i="1"/>
  <c r="G13" i="1"/>
  <c r="E13" i="1"/>
  <c r="AR12" i="1"/>
  <c r="AS13" i="1" s="1"/>
  <c r="AH12" i="1"/>
  <c r="AI13" i="1" s="1"/>
  <c r="N12" i="1"/>
  <c r="N14" i="1" s="1"/>
  <c r="AP9" i="1"/>
  <c r="AN9" i="1"/>
  <c r="AL9" i="1"/>
  <c r="AJ9" i="1"/>
  <c r="AF9" i="1"/>
  <c r="AD9" i="1"/>
  <c r="AB9" i="1"/>
  <c r="Z9" i="1"/>
  <c r="X9" i="1"/>
  <c r="V9" i="1"/>
  <c r="T9" i="1"/>
  <c r="R9" i="1"/>
  <c r="P9" i="1"/>
  <c r="L9" i="1"/>
  <c r="J9" i="1"/>
  <c r="H9" i="1"/>
  <c r="F9" i="1"/>
  <c r="D9" i="1"/>
  <c r="AQ8" i="1"/>
  <c r="AO8" i="1"/>
  <c r="AM8" i="1"/>
  <c r="AK8" i="1"/>
  <c r="AG8" i="1"/>
  <c r="AC8" i="1"/>
  <c r="AA8" i="1"/>
  <c r="Y8" i="1"/>
  <c r="W8" i="1"/>
  <c r="U8" i="1"/>
  <c r="S8" i="1"/>
  <c r="Q8" i="1"/>
  <c r="M8" i="1"/>
  <c r="K8" i="1"/>
  <c r="I8" i="1"/>
  <c r="G8" i="1"/>
  <c r="E8" i="1"/>
  <c r="AR7" i="1"/>
  <c r="AH7" i="1"/>
  <c r="N7" i="1"/>
  <c r="AP635" i="1"/>
  <c r="R235" i="1"/>
  <c r="AR245" i="1"/>
  <c r="AJ395" i="1"/>
  <c r="P235" i="1"/>
  <c r="AQ509" i="1"/>
  <c r="AG544" i="1"/>
  <c r="AQ404" i="1"/>
  <c r="AP405" i="1"/>
  <c r="M118" i="1"/>
  <c r="AN480" i="1"/>
  <c r="Q234" i="1"/>
  <c r="AF465" i="1"/>
  <c r="AV630" i="1"/>
  <c r="AW629" i="1" s="1"/>
  <c r="AS524" i="1"/>
  <c r="AH325" i="1"/>
  <c r="AT450" i="1"/>
  <c r="AU449" i="1" s="1"/>
  <c r="BI405" i="1"/>
  <c r="BJ404" i="1" s="1"/>
  <c r="BI620" i="1"/>
  <c r="BJ619" i="1" s="1"/>
  <c r="AV615" i="1"/>
  <c r="AW614" i="1" s="1"/>
  <c r="AQ529" i="1"/>
  <c r="BA560" i="1"/>
  <c r="BB559" i="1" s="1"/>
  <c r="BE480" i="1"/>
  <c r="BF479" i="1" s="1"/>
  <c r="BE600" i="1"/>
  <c r="BF599" i="1" s="1"/>
  <c r="AR505" i="1"/>
  <c r="AV560" i="1"/>
  <c r="AW559" i="1" s="1"/>
  <c r="AL570" i="1"/>
  <c r="BE760" i="1"/>
  <c r="BF759" i="1" s="1"/>
  <c r="AH580" i="1"/>
  <c r="AK479" i="1"/>
  <c r="AP545" i="1"/>
  <c r="AG584" i="1"/>
  <c r="AR235" i="1"/>
  <c r="BG675" i="1"/>
  <c r="BH674" i="1" s="1"/>
  <c r="BC620" i="1"/>
  <c r="BD619" i="1" s="1"/>
  <c r="AI559" i="1"/>
  <c r="AO394" i="1"/>
  <c r="AL605" i="1"/>
  <c r="AQ579" i="1"/>
  <c r="AD370" i="1"/>
  <c r="AP600" i="1"/>
  <c r="AG424" i="1"/>
  <c r="AS509" i="1"/>
  <c r="BE645" i="1"/>
  <c r="BF644" i="1" s="1"/>
  <c r="AL625" i="1"/>
  <c r="BE595" i="1"/>
  <c r="BF594" i="1" s="1"/>
  <c r="AQ419" i="1"/>
  <c r="BE640" i="1"/>
  <c r="BF639" i="1" s="1"/>
  <c r="AE404" i="1"/>
  <c r="BA695" i="1"/>
  <c r="BB694" i="1" s="1"/>
  <c r="AX635" i="1"/>
  <c r="AY634" i="1" s="1"/>
  <c r="BA395" i="1"/>
  <c r="BB394" i="1" s="1"/>
  <c r="BE515" i="1"/>
  <c r="BF514" i="1" s="1"/>
  <c r="AN635" i="1"/>
  <c r="AT415" i="1"/>
  <c r="AU414" i="1" s="1"/>
  <c r="AM549" i="1"/>
  <c r="AL405" i="1"/>
  <c r="AR585" i="1"/>
  <c r="AO409" i="1"/>
  <c r="J245" i="1"/>
  <c r="AS359" i="1"/>
  <c r="AS259" i="1"/>
  <c r="AI464" i="1"/>
  <c r="AR560" i="1"/>
  <c r="AP505" i="1"/>
  <c r="AI519" i="1"/>
  <c r="Z215" i="1"/>
  <c r="AP585" i="1"/>
  <c r="AF460" i="1"/>
  <c r="AE459" i="1"/>
  <c r="AP430" i="1"/>
  <c r="AP375" i="1"/>
  <c r="AX180" i="1"/>
  <c r="AY179" i="1" s="1"/>
  <c r="BA650" i="1"/>
  <c r="BB649" i="1" s="1"/>
  <c r="BC430" i="1"/>
  <c r="BD429" i="1" s="1"/>
  <c r="BE235" i="1"/>
  <c r="BF234" i="1" s="1"/>
  <c r="AV530" i="1"/>
  <c r="AW529" i="1" s="1"/>
  <c r="BA690" i="1"/>
  <c r="BB689" i="1" s="1"/>
  <c r="BE725" i="1"/>
  <c r="BF724" i="1" s="1"/>
  <c r="AX640" i="1"/>
  <c r="AY639" i="1" s="1"/>
  <c r="AT535" i="1"/>
  <c r="AU534" i="1" s="1"/>
  <c r="BA600" i="1"/>
  <c r="BB599" i="1" s="1"/>
  <c r="AI564" i="1"/>
  <c r="BE605" i="1"/>
  <c r="BF604" i="1" s="1"/>
  <c r="BC460" i="1"/>
  <c r="BD459" i="1" s="1"/>
  <c r="BC645" i="1"/>
  <c r="BD644" i="1" s="1"/>
  <c r="AE509" i="1"/>
  <c r="AN505" i="1"/>
  <c r="AX19" i="1"/>
  <c r="AY18" i="1" s="1"/>
  <c r="BA405" i="1"/>
  <c r="BB404" i="1" s="1"/>
  <c r="BE750" i="1"/>
  <c r="BF749" i="1" s="1"/>
  <c r="AE349" i="1"/>
  <c r="AQ464" i="1"/>
  <c r="AO404" i="1"/>
  <c r="AH14" i="1"/>
  <c r="AH445" i="1"/>
  <c r="AO584" i="1"/>
  <c r="AO514" i="1"/>
  <c r="AR465" i="1"/>
  <c r="BC560" i="1"/>
  <c r="BD559" i="1" s="1"/>
  <c r="BC700" i="1"/>
  <c r="BD699" i="1" s="1"/>
  <c r="AO604" i="1"/>
  <c r="AJ440" i="1"/>
  <c r="AT625" i="1"/>
  <c r="AU624" i="1" s="1"/>
  <c r="AM174" i="1"/>
  <c r="AV460" i="1"/>
  <c r="AW459" i="1" s="1"/>
  <c r="BE635" i="1"/>
  <c r="BF634" i="1" s="1"/>
  <c r="AQ539" i="1"/>
  <c r="AI339" i="1"/>
  <c r="AX485" i="1"/>
  <c r="BA620" i="1"/>
  <c r="BB619" i="1" s="1"/>
  <c r="Q364" i="1"/>
  <c r="AR535" i="1"/>
  <c r="AD415" i="1"/>
  <c r="AH400" i="1"/>
  <c r="BC530" i="1"/>
  <c r="BD529" i="1" s="1"/>
  <c r="BC350" i="1"/>
  <c r="BD349" i="1" s="1"/>
  <c r="BE510" i="1"/>
  <c r="BF509" i="1" s="1"/>
  <c r="O128" i="1"/>
  <c r="AG434" i="1"/>
  <c r="BC355" i="1"/>
  <c r="BD354" i="1" s="1"/>
  <c r="AG429" i="1"/>
  <c r="AP590" i="1"/>
  <c r="AH395" i="1"/>
  <c r="AH415" i="1"/>
  <c r="AI354" i="1"/>
  <c r="AR415" i="1"/>
  <c r="AX455" i="1"/>
  <c r="AY454" i="1" s="1"/>
  <c r="AG454" i="1"/>
  <c r="AD455" i="1"/>
  <c r="AX560" i="1"/>
  <c r="AY559" i="1" s="1"/>
  <c r="AS539" i="1"/>
  <c r="AS544" i="1"/>
  <c r="AX585" i="1"/>
  <c r="AY584" i="1" s="1"/>
  <c r="BI505" i="1"/>
  <c r="BJ504" i="1" s="1"/>
  <c r="BK695" i="1"/>
  <c r="BL694" i="1" s="1"/>
  <c r="AO189" i="1"/>
  <c r="U204" i="1"/>
  <c r="BE655" i="1"/>
  <c r="BF654" i="1" s="1"/>
  <c r="BC750" i="1"/>
  <c r="BD749" i="1" s="1"/>
  <c r="BC605" i="1"/>
  <c r="BD604" i="1" s="1"/>
  <c r="AH585" i="1"/>
  <c r="AI504" i="1"/>
  <c r="AK534" i="1"/>
  <c r="AL600" i="1"/>
  <c r="AU464" i="1"/>
  <c r="AX370" i="1"/>
  <c r="AY369" i="1" s="1"/>
  <c r="BC635" i="1"/>
  <c r="BD634" i="1" s="1"/>
  <c r="AE409" i="1"/>
  <c r="BE585" i="1"/>
  <c r="BF584" i="1" s="1"/>
  <c r="AK584" i="1"/>
  <c r="AP175" i="1"/>
  <c r="AX515" i="1"/>
  <c r="AY514" i="1" s="1"/>
  <c r="AI374" i="1"/>
  <c r="AS424" i="1"/>
  <c r="AJ510" i="1"/>
  <c r="AX555" i="1"/>
  <c r="AY554" i="1" s="1"/>
  <c r="BE550" i="1"/>
  <c r="BF549" i="1" s="1"/>
  <c r="BE525" i="1"/>
  <c r="BF524" i="1" s="1"/>
  <c r="BK650" i="1"/>
  <c r="BL649" i="1" s="1"/>
  <c r="Q304" i="1"/>
  <c r="AT99" i="1"/>
  <c r="AU98" i="1" s="1"/>
  <c r="AH450" i="1"/>
  <c r="AQ394" i="1"/>
  <c r="BK655" i="1"/>
  <c r="BL654" i="1" s="1"/>
  <c r="AS404" i="1"/>
  <c r="AQ594" i="1"/>
  <c r="AO554" i="1"/>
  <c r="Y449" i="1"/>
  <c r="AM514" i="1"/>
  <c r="AS309" i="1"/>
  <c r="BA425" i="1"/>
  <c r="BB424" i="1" s="1"/>
  <c r="BE570" i="1"/>
  <c r="BF569" i="1" s="1"/>
  <c r="AQ549" i="1"/>
  <c r="AR345" i="1"/>
  <c r="AS639" i="1"/>
  <c r="AN600" i="1"/>
  <c r="BE650" i="1"/>
  <c r="BF649" i="1" s="1"/>
  <c r="BK670" i="1"/>
  <c r="BL669" i="1" s="1"/>
  <c r="AO174" i="1"/>
  <c r="BA525" i="1"/>
  <c r="BB524" i="1" s="1"/>
  <c r="BC685" i="1"/>
  <c r="BD684" i="1" s="1"/>
  <c r="AS364" i="1"/>
  <c r="BE535" i="1"/>
  <c r="BF534" i="1" s="1"/>
  <c r="BC600" i="1"/>
  <c r="BD599" i="1" s="1"/>
  <c r="AT24" i="1"/>
  <c r="AU23" i="1" s="1"/>
  <c r="AH275" i="1"/>
  <c r="M374" i="1"/>
  <c r="AF515" i="1"/>
  <c r="AN540" i="1"/>
  <c r="AO544" i="1"/>
  <c r="AB405" i="1"/>
  <c r="AX445" i="1"/>
  <c r="AY444" i="1" s="1"/>
  <c r="AV600" i="1"/>
  <c r="AW599" i="1" s="1"/>
  <c r="BA545" i="1"/>
  <c r="BB544" i="1" s="1"/>
  <c r="BI780" i="1"/>
  <c r="BJ779" i="1" s="1"/>
  <c r="AQ514" i="1"/>
  <c r="AH295" i="1"/>
  <c r="AH104" i="1"/>
  <c r="AE429" i="1"/>
  <c r="AK619" i="1"/>
  <c r="L89" i="1"/>
  <c r="AJ540" i="1"/>
  <c r="AL350" i="1"/>
  <c r="AG524" i="1"/>
  <c r="J280" i="1"/>
  <c r="BE675" i="1"/>
  <c r="BF674" i="1" s="1"/>
  <c r="BI615" i="1"/>
  <c r="BJ614" i="1" s="1"/>
  <c r="R215" i="1"/>
  <c r="AO424" i="1"/>
  <c r="AI28" i="1"/>
  <c r="BE405" i="1"/>
  <c r="BF404" i="1" s="1"/>
  <c r="AI529" i="1"/>
  <c r="AF175" i="1"/>
  <c r="R395" i="1"/>
  <c r="AV605" i="1"/>
  <c r="AW604" i="1" s="1"/>
  <c r="BA510" i="1"/>
  <c r="BB509" i="1" s="1"/>
  <c r="BA655" i="1"/>
  <c r="BB654" i="1" s="1"/>
  <c r="BE355" i="1"/>
  <c r="BF354" i="1" s="1"/>
  <c r="BG775" i="1"/>
  <c r="BH774" i="1" s="1"/>
  <c r="AH330" i="1"/>
  <c r="AK529" i="1"/>
  <c r="BA605" i="1"/>
  <c r="BB604" i="1" s="1"/>
  <c r="BA660" i="1"/>
  <c r="BB659" i="1" s="1"/>
  <c r="BE450" i="1"/>
  <c r="BF449" i="1" s="1"/>
  <c r="AS564" i="1"/>
  <c r="AF480" i="1"/>
  <c r="AE479" i="1"/>
  <c r="P305" i="1"/>
  <c r="BC725" i="1"/>
  <c r="BD724" i="1" s="1"/>
  <c r="AF350" i="1"/>
  <c r="AK389" i="1"/>
  <c r="O249" i="1"/>
  <c r="AV505" i="1"/>
  <c r="AW504" i="1" s="1"/>
  <c r="AK524" i="1"/>
  <c r="AN470" i="1"/>
  <c r="AO524" i="1"/>
  <c r="AK554" i="1"/>
  <c r="AE504" i="1"/>
  <c r="AM534" i="1"/>
  <c r="AV410" i="1"/>
  <c r="AW409" i="1" s="1"/>
  <c r="BE735" i="1"/>
  <c r="BG410" i="1"/>
  <c r="BH409" i="1" s="1"/>
  <c r="AH350" i="1"/>
  <c r="AM464" i="1"/>
  <c r="N34" i="1"/>
  <c r="L175" i="1"/>
  <c r="BA535" i="1"/>
  <c r="BB534" i="1" s="1"/>
  <c r="BC755" i="1"/>
  <c r="BD754" i="1" s="1"/>
  <c r="AK459" i="1"/>
  <c r="BC730" i="1"/>
  <c r="N345" i="1"/>
  <c r="D119" i="1"/>
  <c r="AJ455" i="1"/>
  <c r="AX650" i="1"/>
  <c r="AY649" i="1" s="1"/>
  <c r="BA530" i="1"/>
  <c r="BB529" i="1" s="1"/>
  <c r="BC550" i="1"/>
  <c r="BD549" i="1" s="1"/>
  <c r="AR480" i="1"/>
  <c r="AR570" i="1"/>
  <c r="O108" i="1"/>
  <c r="V4" i="1"/>
  <c r="AQ479" i="1"/>
  <c r="AV515" i="1"/>
  <c r="AW514" i="1" s="1"/>
  <c r="AP605" i="1"/>
  <c r="AQ569" i="1"/>
  <c r="AS449" i="1"/>
  <c r="AI289" i="1"/>
  <c r="AT480" i="1"/>
  <c r="AU479" i="1" s="1"/>
  <c r="BC745" i="1"/>
  <c r="BD744" i="1" s="1"/>
  <c r="AX660" i="1"/>
  <c r="AY659" i="1" s="1"/>
  <c r="BC575" i="1"/>
  <c r="BD574" i="1" s="1"/>
  <c r="AN565" i="1"/>
  <c r="AS554" i="1"/>
  <c r="AI344" i="1"/>
  <c r="AK404" i="1"/>
  <c r="N19" i="1"/>
  <c r="BC465" i="1"/>
  <c r="AL195" i="1"/>
  <c r="AR175" i="1"/>
  <c r="AH159" i="1"/>
  <c r="BA180" i="1"/>
  <c r="BB179" i="1" s="1"/>
  <c r="BA570" i="1"/>
  <c r="BB569" i="1" s="1"/>
  <c r="BE745" i="1"/>
  <c r="BF744" i="1" s="1"/>
  <c r="AV555" i="1"/>
  <c r="AW554" i="1" s="1"/>
  <c r="BI790" i="1"/>
  <c r="BJ789" i="1" s="1"/>
  <c r="BI680" i="1"/>
  <c r="BJ679" i="1" s="1"/>
  <c r="BI350" i="1"/>
  <c r="BJ349" i="1" s="1"/>
  <c r="BI665" i="1"/>
  <c r="AV129" i="1"/>
  <c r="AW128" i="1" s="1"/>
  <c r="AX510" i="1"/>
  <c r="AY509" i="1" s="1"/>
  <c r="BC555" i="1"/>
  <c r="BD554" i="1" s="1"/>
  <c r="BE9" i="1"/>
  <c r="BF8" i="1" s="1"/>
  <c r="BE685" i="1"/>
  <c r="BF684" i="1" s="1"/>
  <c r="BI530" i="1"/>
  <c r="BJ529" i="1" s="1"/>
  <c r="BI650" i="1"/>
  <c r="BJ649" i="1" s="1"/>
  <c r="AI48" i="1"/>
  <c r="BC545" i="1"/>
  <c r="BD544" i="1" s="1"/>
  <c r="BK620" i="1"/>
  <c r="BL619" i="1" s="1"/>
  <c r="BK480" i="1"/>
  <c r="BL479" i="1" s="1"/>
  <c r="BK785" i="1"/>
  <c r="BL784" i="1" s="1"/>
  <c r="AT270" i="1"/>
  <c r="AU269" i="1" s="1"/>
  <c r="BC705" i="1"/>
  <c r="BD704" i="1" s="1"/>
  <c r="BE705" i="1"/>
  <c r="BF704" i="1" s="1"/>
  <c r="BG405" i="1"/>
  <c r="BH404" i="1" s="1"/>
  <c r="AR44" i="1"/>
  <c r="BA640" i="1"/>
  <c r="BB639" i="1" s="1"/>
  <c r="BE560" i="1"/>
  <c r="BF559" i="1" s="1"/>
  <c r="BI705" i="1"/>
  <c r="BJ704" i="1" s="1"/>
  <c r="BK570" i="1"/>
  <c r="BL569" i="1" s="1"/>
  <c r="BG505" i="1"/>
  <c r="BH504" i="1" s="1"/>
  <c r="BA505" i="1"/>
  <c r="BB504" i="1" s="1"/>
  <c r="BC585" i="1"/>
  <c r="BD584" i="1" s="1"/>
  <c r="BC520" i="1"/>
  <c r="BD519" i="1" s="1"/>
  <c r="AI23" i="1"/>
  <c r="AV475" i="1"/>
  <c r="AW474" i="1" s="1"/>
  <c r="AV190" i="1"/>
  <c r="AW189" i="1" s="1"/>
  <c r="AX655" i="1"/>
  <c r="AY654" i="1" s="1"/>
  <c r="BA430" i="1"/>
  <c r="BB429" i="1" s="1"/>
  <c r="BE660" i="1"/>
  <c r="BF659" i="1" s="1"/>
  <c r="AT64" i="1"/>
  <c r="AU63" i="1" s="1"/>
  <c r="AX415" i="1"/>
  <c r="AY414" i="1" s="1"/>
  <c r="BA685" i="1"/>
  <c r="BB684" i="1" s="1"/>
  <c r="BC540" i="1"/>
  <c r="BD539" i="1" s="1"/>
  <c r="BC370" i="1"/>
  <c r="BD369" i="1" s="1"/>
  <c r="BI425" i="1"/>
  <c r="BJ424" i="1" s="1"/>
  <c r="BI560" i="1"/>
  <c r="BJ559" i="1" s="1"/>
  <c r="BG610" i="1"/>
  <c r="BH609" i="1" s="1"/>
  <c r="BK665" i="1"/>
  <c r="W3" i="1"/>
  <c r="BM440" i="1"/>
  <c r="BN439" i="1" s="1"/>
  <c r="BK2" i="1" l="1"/>
  <c r="AX2" i="1"/>
  <c r="AX4" i="1" s="1"/>
  <c r="AY3" i="1" s="1"/>
  <c r="BH464" i="1"/>
  <c r="BG465" i="1"/>
  <c r="BH88" i="1"/>
  <c r="BG89" i="1"/>
  <c r="AR49" i="1"/>
  <c r="AX14" i="1"/>
  <c r="AY13" i="1" s="1"/>
  <c r="BI2" i="1"/>
  <c r="AH54" i="1"/>
  <c r="AV79" i="1"/>
  <c r="AW78" i="1" s="1"/>
  <c r="AV2" i="1"/>
  <c r="BE2" i="1"/>
  <c r="BE4" i="1" s="1"/>
  <c r="BF3" i="1" s="1"/>
  <c r="BG2" i="1"/>
  <c r="BG4" i="1" s="1"/>
  <c r="BH3" i="1" s="1"/>
  <c r="BI465" i="1"/>
  <c r="AR59" i="1"/>
  <c r="AV124" i="1"/>
  <c r="AW123" i="1"/>
  <c r="BC2" i="1"/>
  <c r="BC4" i="1" s="1"/>
  <c r="BD3" i="1" s="1"/>
  <c r="BA2" i="1"/>
  <c r="BA4" i="1" s="1"/>
  <c r="BE465" i="1"/>
  <c r="AT2" i="1"/>
  <c r="BA465" i="1"/>
  <c r="BM2" i="1"/>
  <c r="Y224" i="1"/>
  <c r="G143" i="1"/>
  <c r="R3" i="1"/>
  <c r="AT445" i="1"/>
  <c r="AU444" i="1" s="1"/>
  <c r="AR19" i="1"/>
  <c r="AQ559" i="1"/>
  <c r="AK354" i="1"/>
  <c r="F315" i="1"/>
  <c r="N300" i="1"/>
  <c r="AP565" i="1"/>
  <c r="L170" i="1"/>
  <c r="AH425" i="1"/>
  <c r="AH205" i="1"/>
  <c r="AR34" i="1"/>
  <c r="BC455" i="1"/>
  <c r="BD454" i="1" s="1"/>
  <c r="AB455" i="1"/>
  <c r="BE555" i="1"/>
  <c r="BF554" i="1" s="1"/>
  <c r="AM559" i="1"/>
  <c r="AV590" i="1"/>
  <c r="AW589" i="1" s="1"/>
  <c r="AF530" i="1"/>
  <c r="AO619" i="1"/>
  <c r="BA450" i="1"/>
  <c r="BB449" i="1" s="1"/>
  <c r="AV540" i="1"/>
  <c r="AW539" i="1" s="1"/>
  <c r="AN550" i="1"/>
  <c r="AH430" i="1"/>
  <c r="AX530" i="1"/>
  <c r="AY529" i="1" s="1"/>
  <c r="G239" i="1"/>
  <c r="P2" i="1"/>
  <c r="Q3" i="1" s="1"/>
  <c r="BI655" i="1"/>
  <c r="BJ654" i="1" s="1"/>
  <c r="J195" i="1"/>
  <c r="AJ570" i="1"/>
  <c r="AK424" i="1"/>
  <c r="AS429" i="1"/>
  <c r="BE425" i="1"/>
  <c r="BF424" i="1" s="1"/>
  <c r="AQ354" i="1"/>
  <c r="AI539" i="1"/>
  <c r="AI304" i="1"/>
  <c r="AP89" i="1"/>
  <c r="AS209" i="1"/>
  <c r="AT640" i="1"/>
  <c r="AU639" i="1" s="1"/>
  <c r="AI509" i="1"/>
  <c r="AN430" i="1"/>
  <c r="S349" i="1"/>
  <c r="AQ349" i="1"/>
  <c r="AR530" i="1"/>
  <c r="AS634" i="1"/>
  <c r="AQ414" i="1"/>
  <c r="AR355" i="1"/>
  <c r="AH265" i="1"/>
  <c r="AR290" i="1"/>
  <c r="L255" i="1"/>
  <c r="AJ415" i="1"/>
  <c r="AQ224" i="1"/>
  <c r="O229" i="1"/>
  <c r="AP129" i="1"/>
  <c r="AL415" i="1"/>
  <c r="AJ235" i="1"/>
  <c r="Z185" i="1"/>
  <c r="AL555" i="1"/>
  <c r="AB205" i="1"/>
  <c r="AF505" i="1"/>
  <c r="AG519" i="1"/>
  <c r="AI239" i="1"/>
  <c r="AL450" i="1"/>
  <c r="AH235" i="1"/>
  <c r="AB395" i="1"/>
  <c r="AN340" i="1"/>
  <c r="BE545" i="1"/>
  <c r="BF544" i="1" s="1"/>
  <c r="AK559" i="1"/>
  <c r="BG625" i="1"/>
  <c r="BH624" i="1" s="1"/>
  <c r="BM530" i="1"/>
  <c r="BN529" i="1" s="1"/>
  <c r="BM650" i="1"/>
  <c r="BN649" i="1" s="1"/>
  <c r="AL455" i="1"/>
  <c r="AO449" i="1"/>
  <c r="AG534" i="1"/>
  <c r="BC695" i="1"/>
  <c r="BD694" i="1" s="1"/>
  <c r="AK179" i="1"/>
  <c r="AK504" i="1"/>
  <c r="AG509" i="1"/>
  <c r="AV625" i="1"/>
  <c r="AW624" i="1" s="1"/>
  <c r="AL355" i="1"/>
  <c r="AS299" i="1"/>
  <c r="AN460" i="1"/>
  <c r="AV405" i="1"/>
  <c r="AW404" i="1" s="1"/>
  <c r="AL565" i="1"/>
  <c r="AS389" i="1"/>
  <c r="AH180" i="1"/>
  <c r="AK564" i="1"/>
  <c r="AQ639" i="1"/>
  <c r="AM519" i="1"/>
  <c r="BK795" i="1"/>
  <c r="BL794" i="1" s="1"/>
  <c r="AH9" i="1"/>
  <c r="AH2" i="1"/>
  <c r="AI3" i="1" s="1"/>
  <c r="AL235" i="1"/>
  <c r="AM234" i="1"/>
  <c r="AO354" i="1"/>
  <c r="AN355" i="1"/>
  <c r="AR340" i="1"/>
  <c r="AI269" i="1"/>
  <c r="AJ520" i="1"/>
  <c r="BG350" i="1"/>
  <c r="BH349" i="1" s="1"/>
  <c r="AG539" i="1"/>
  <c r="AO559" i="1"/>
  <c r="AR515" i="1"/>
  <c r="AS514" i="1"/>
  <c r="AT650" i="1"/>
  <c r="AU649" i="1" s="1"/>
  <c r="AT510" i="1"/>
  <c r="AU509" i="1" s="1"/>
  <c r="AR625" i="1"/>
  <c r="AS624" i="1"/>
  <c r="AM619" i="1"/>
  <c r="AL620" i="1"/>
  <c r="AV235" i="1"/>
  <c r="AW234" i="1" s="1"/>
  <c r="AI459" i="1"/>
  <c r="AH460" i="1"/>
  <c r="AV635" i="1"/>
  <c r="AW634" i="1" s="1"/>
  <c r="AV565" i="1"/>
  <c r="AW564" i="1" s="1"/>
  <c r="AV465" i="1"/>
  <c r="AX425" i="1"/>
  <c r="AY424" i="1" s="1"/>
  <c r="BK235" i="1"/>
  <c r="BL234" i="1" s="1"/>
  <c r="BM535" i="1"/>
  <c r="BN534" i="1" s="1"/>
  <c r="BM525" i="1"/>
  <c r="BN524" i="1" s="1"/>
  <c r="BI565" i="1"/>
  <c r="BJ564" i="1" s="1"/>
  <c r="BM620" i="1"/>
  <c r="BN619" i="1" s="1"/>
  <c r="BM460" i="1"/>
  <c r="BN459" i="1" s="1"/>
  <c r="R134" i="1"/>
  <c r="R2" i="1"/>
  <c r="S133" i="1"/>
  <c r="AO349" i="1"/>
  <c r="AN350" i="1"/>
  <c r="O364" i="1"/>
  <c r="N365" i="1"/>
  <c r="AG394" i="1"/>
  <c r="AF395" i="1"/>
  <c r="AL425" i="1"/>
  <c r="AM424" i="1"/>
  <c r="AL430" i="1"/>
  <c r="AM429" i="1"/>
  <c r="AP455" i="1"/>
  <c r="AQ454" i="1"/>
  <c r="AN465" i="1"/>
  <c r="AO464" i="1"/>
  <c r="AH480" i="1"/>
  <c r="AI479" i="1"/>
  <c r="AH535" i="1"/>
  <c r="AI534" i="1"/>
  <c r="AR550" i="1"/>
  <c r="AS549" i="1"/>
  <c r="AN570" i="1"/>
  <c r="AO569" i="1"/>
  <c r="AJ625" i="1"/>
  <c r="AK624" i="1"/>
  <c r="AS179" i="1"/>
  <c r="AR180" i="1"/>
  <c r="AL510" i="1"/>
  <c r="AM509" i="1"/>
  <c r="AT180" i="1"/>
  <c r="AU179" i="1" s="1"/>
  <c r="AV520" i="1"/>
  <c r="AW519" i="1" s="1"/>
  <c r="AP620" i="1"/>
  <c r="AQ619" i="1"/>
  <c r="AS459" i="1"/>
  <c r="AR460" i="1"/>
  <c r="AT635" i="1"/>
  <c r="AU634" i="1" s="1"/>
  <c r="AV660" i="1"/>
  <c r="AW659" i="1" s="1"/>
  <c r="AV620" i="1"/>
  <c r="AW619" i="1" s="1"/>
  <c r="AV220" i="1"/>
  <c r="AW219" i="1" s="1"/>
  <c r="AV180" i="1"/>
  <c r="AW179" i="1" s="1"/>
  <c r="AN510" i="1"/>
  <c r="AO509" i="1"/>
  <c r="AR605" i="1"/>
  <c r="AS604" i="1"/>
  <c r="AT460" i="1"/>
  <c r="AU459" i="1" s="1"/>
  <c r="AV185" i="1"/>
  <c r="AX220" i="1"/>
  <c r="AY219" i="1" s="1"/>
  <c r="AX540" i="1"/>
  <c r="AY539" i="1" s="1"/>
  <c r="AX595" i="1"/>
  <c r="AY594" i="1" s="1"/>
  <c r="BG740" i="1"/>
  <c r="BH739" i="1" s="1"/>
  <c r="BG180" i="1"/>
  <c r="BH179" i="1" s="1"/>
  <c r="BI455" i="1"/>
  <c r="BJ454" i="1" s="1"/>
  <c r="BI415" i="1"/>
  <c r="BJ414" i="1" s="1"/>
  <c r="BI675" i="1"/>
  <c r="BJ674" i="1" s="1"/>
  <c r="N74" i="1"/>
  <c r="O73" i="1"/>
  <c r="AI404" i="1"/>
  <c r="AS279" i="1"/>
  <c r="AS619" i="1"/>
  <c r="H3" i="1"/>
  <c r="H4" i="1" s="1"/>
  <c r="R180" i="1"/>
  <c r="S179" i="1"/>
  <c r="AP180" i="1"/>
  <c r="AQ179" i="1"/>
  <c r="AP235" i="1"/>
  <c r="AQ234" i="1"/>
  <c r="AI249" i="1"/>
  <c r="AH250" i="1"/>
  <c r="AR315" i="1"/>
  <c r="AS314" i="1"/>
  <c r="AH335" i="1"/>
  <c r="AI334" i="1"/>
  <c r="AB355" i="1"/>
  <c r="AC354" i="1"/>
  <c r="AI364" i="1"/>
  <c r="AH365" i="1"/>
  <c r="AH385" i="1"/>
  <c r="AI384" i="1"/>
  <c r="AS399" i="1"/>
  <c r="AR400" i="1"/>
  <c r="AB415" i="1"/>
  <c r="AC414" i="1"/>
  <c r="AP425" i="1"/>
  <c r="AQ424" i="1"/>
  <c r="AN520" i="1"/>
  <c r="AO519" i="1"/>
  <c r="AL525" i="1"/>
  <c r="AM524" i="1"/>
  <c r="AH545" i="1"/>
  <c r="AI544" i="1"/>
  <c r="AF550" i="1"/>
  <c r="AG549" i="1"/>
  <c r="AJ595" i="1"/>
  <c r="AK594" i="1"/>
  <c r="AR455" i="1"/>
  <c r="AS454" i="1"/>
  <c r="AR595" i="1"/>
  <c r="AS594" i="1"/>
  <c r="AV435" i="1"/>
  <c r="AW434" i="1" s="1"/>
  <c r="AX535" i="1"/>
  <c r="AY534" i="1" s="1"/>
  <c r="AV650" i="1"/>
  <c r="AW649" i="1" s="1"/>
  <c r="AX620" i="1"/>
  <c r="AY619" i="1" s="1"/>
  <c r="AX645" i="1"/>
  <c r="AY644" i="1" s="1"/>
  <c r="AX350" i="1"/>
  <c r="AY349" i="1" s="1"/>
  <c r="AR590" i="1"/>
  <c r="AS589" i="1"/>
  <c r="M354" i="1"/>
  <c r="L355" i="1"/>
  <c r="AR285" i="1"/>
  <c r="AI229" i="1"/>
  <c r="AV640" i="1"/>
  <c r="AW639" i="1" s="1"/>
  <c r="AO414" i="1"/>
  <c r="AM504" i="1"/>
  <c r="AS158" i="1"/>
  <c r="AR159" i="1"/>
  <c r="M174" i="1"/>
  <c r="L2" i="1"/>
  <c r="M3" i="1" s="1"/>
  <c r="AN175" i="1"/>
  <c r="AN2" i="1"/>
  <c r="AN4" i="1" s="1"/>
  <c r="AB180" i="1"/>
  <c r="AC179" i="1"/>
  <c r="AS199" i="1"/>
  <c r="AR200" i="1"/>
  <c r="AC234" i="1"/>
  <c r="AB235" i="1"/>
  <c r="AS334" i="1"/>
  <c r="AR335" i="1"/>
  <c r="AS384" i="1"/>
  <c r="AR385" i="1"/>
  <c r="AE464" i="1"/>
  <c r="AD465" i="1"/>
  <c r="AH515" i="1"/>
  <c r="AI514" i="1"/>
  <c r="AP520" i="1"/>
  <c r="AQ519" i="1"/>
  <c r="AN535" i="1"/>
  <c r="AO534" i="1"/>
  <c r="AL540" i="1"/>
  <c r="AM539" i="1"/>
  <c r="AJ545" i="1"/>
  <c r="AK544" i="1"/>
  <c r="AI549" i="1"/>
  <c r="AH550" i="1"/>
  <c r="AF555" i="1"/>
  <c r="AG554" i="1"/>
  <c r="AL595" i="1"/>
  <c r="AM594" i="1"/>
  <c r="AQ624" i="1"/>
  <c r="AP625" i="1"/>
  <c r="AR350" i="1"/>
  <c r="AS349" i="1"/>
  <c r="BA645" i="1"/>
  <c r="BB644" i="1" s="1"/>
  <c r="BA705" i="1"/>
  <c r="BB704" i="1" s="1"/>
  <c r="BC450" i="1"/>
  <c r="BD449" i="1" s="1"/>
  <c r="BC675" i="1"/>
  <c r="BD674" i="1" s="1"/>
  <c r="BE530" i="1"/>
  <c r="BF529" i="1" s="1"/>
  <c r="BE505" i="1"/>
  <c r="BF504" i="1" s="1"/>
  <c r="BE520" i="1"/>
  <c r="BF519" i="1" s="1"/>
  <c r="BE755" i="1"/>
  <c r="BF754" i="1" s="1"/>
  <c r="BK465" i="1"/>
  <c r="BK415" i="1"/>
  <c r="BL414" i="1" s="1"/>
  <c r="O314" i="1"/>
  <c r="N315" i="1"/>
  <c r="AH360" i="1"/>
  <c r="AI359" i="1"/>
  <c r="Y214" i="1"/>
  <c r="AR104" i="1"/>
  <c r="K234" i="1"/>
  <c r="AH525" i="1"/>
  <c r="AV175" i="1"/>
  <c r="AW174" i="1" s="1"/>
  <c r="AV550" i="1"/>
  <c r="AW549" i="1" s="1"/>
  <c r="AS28" i="1"/>
  <c r="AR29" i="1"/>
  <c r="X3" i="1"/>
  <c r="AE234" i="1"/>
  <c r="AD235" i="1"/>
  <c r="AH310" i="1"/>
  <c r="AI309" i="1"/>
  <c r="AF355" i="1"/>
  <c r="AG354" i="1"/>
  <c r="AI389" i="1"/>
  <c r="AH390" i="1"/>
  <c r="AF415" i="1"/>
  <c r="AG414" i="1"/>
  <c r="AM419" i="1"/>
  <c r="AL420" i="1"/>
  <c r="AE424" i="1"/>
  <c r="AD425" i="1"/>
  <c r="AP525" i="1"/>
  <c r="AQ524" i="1"/>
  <c r="AO529" i="1"/>
  <c r="AN530" i="1"/>
  <c r="AQ534" i="1"/>
  <c r="AP535" i="1"/>
  <c r="AL585" i="1"/>
  <c r="AM584" i="1"/>
  <c r="AR630" i="1"/>
  <c r="AS629" i="1"/>
  <c r="AS599" i="1"/>
  <c r="AR600" i="1"/>
  <c r="BI670" i="1"/>
  <c r="BJ669" i="1" s="1"/>
  <c r="AR2" i="1"/>
  <c r="AK174" i="1"/>
  <c r="AJ2" i="1"/>
  <c r="AJ4" i="1" s="1"/>
  <c r="BK625" i="1"/>
  <c r="BL624" i="1" s="1"/>
  <c r="BK750" i="1"/>
  <c r="BL749" i="1" s="1"/>
  <c r="BA595" i="1"/>
  <c r="BB594" i="1" s="1"/>
  <c r="AT585" i="1"/>
  <c r="AU584" i="1" s="1"/>
  <c r="T99" i="1"/>
  <c r="T2" i="1"/>
  <c r="AB175" i="1"/>
  <c r="AB2" i="1"/>
  <c r="AC3" i="1" s="1"/>
  <c r="BA480" i="1"/>
  <c r="BB479" i="1" s="1"/>
  <c r="F104" i="1"/>
  <c r="F2" i="1"/>
  <c r="G3" i="1" s="1"/>
  <c r="AL129" i="1"/>
  <c r="AL2" i="1"/>
  <c r="AD175" i="1"/>
  <c r="AD2" i="1"/>
  <c r="AD4" i="1" s="1"/>
  <c r="J2" i="1"/>
  <c r="K3" i="1" s="1"/>
  <c r="AP2" i="1"/>
  <c r="AQ3" i="1" s="1"/>
  <c r="BK780" i="1"/>
  <c r="BL779" i="1" s="1"/>
  <c r="BA175" i="1"/>
  <c r="BB174" i="1" s="1"/>
  <c r="BE455" i="1"/>
  <c r="BF454" i="1" s="1"/>
  <c r="BA350" i="1"/>
  <c r="BB349" i="1" s="1"/>
  <c r="BC505" i="1"/>
  <c r="BD504" i="1" s="1"/>
  <c r="BE540" i="1"/>
  <c r="BF539" i="1" s="1"/>
  <c r="N9" i="1"/>
  <c r="N2" i="1"/>
  <c r="AG174" i="1"/>
  <c r="AF2" i="1"/>
  <c r="AF4" i="1" s="1"/>
  <c r="Y189" i="1"/>
  <c r="X2" i="1"/>
  <c r="N370" i="1"/>
  <c r="N3" i="1"/>
  <c r="BK425" i="1"/>
  <c r="BL424" i="1" s="1"/>
  <c r="BK700" i="1"/>
  <c r="BL699" i="1" s="1"/>
  <c r="AR9" i="1"/>
  <c r="BC39" i="1"/>
  <c r="BD38" i="1" s="1"/>
  <c r="AP64" i="1"/>
  <c r="BI175" i="1"/>
  <c r="BJ174" i="1" s="1"/>
  <c r="BM350" i="1"/>
  <c r="BN349" i="1" s="1"/>
  <c r="A296" i="1"/>
  <c r="A301" i="1" s="1"/>
  <c r="O63" i="1"/>
  <c r="AP99" i="1"/>
  <c r="O58" i="1"/>
  <c r="AX465" i="1"/>
  <c r="AS254" i="1"/>
  <c r="M179" i="1"/>
  <c r="O118" i="1"/>
  <c r="M304" i="1"/>
  <c r="AO179" i="1"/>
  <c r="AD355" i="1"/>
  <c r="O209" i="1"/>
  <c r="AS229" i="1"/>
  <c r="I103" i="1"/>
  <c r="AK204" i="1"/>
  <c r="AO234" i="1"/>
  <c r="AJ195" i="1"/>
  <c r="E148" i="1"/>
  <c r="O199" i="1"/>
  <c r="BC510" i="1"/>
  <c r="BD509" i="1" s="1"/>
  <c r="AS8" i="1"/>
  <c r="H104" i="1"/>
  <c r="L235" i="1"/>
  <c r="AG179" i="1"/>
  <c r="AS294" i="1"/>
  <c r="AH245" i="1"/>
  <c r="AQ339" i="1"/>
  <c r="BK525" i="1"/>
  <c r="BL524" i="1" s="1"/>
  <c r="AI58" i="1"/>
  <c r="AH99" i="1"/>
  <c r="O53" i="1"/>
  <c r="BG395" i="1"/>
  <c r="BH394" i="1" s="1"/>
  <c r="BK730" i="1"/>
  <c r="O23" i="1"/>
  <c r="AF89" i="1"/>
  <c r="AS108" i="1"/>
  <c r="AP134" i="1"/>
  <c r="G103" i="1"/>
  <c r="AR74" i="1"/>
  <c r="AX550" i="1"/>
  <c r="AY549" i="1" s="1"/>
  <c r="BC655" i="1"/>
  <c r="BD654" i="1" s="1"/>
  <c r="BK685" i="1"/>
  <c r="BL684" i="1" s="1"/>
  <c r="BK765" i="1"/>
  <c r="BL764" i="1" s="1"/>
  <c r="AH64" i="1"/>
  <c r="AA214" i="1"/>
  <c r="AI33" i="1"/>
  <c r="BI640" i="1"/>
  <c r="BJ639" i="1" s="1"/>
  <c r="Y219" i="1"/>
  <c r="S394" i="1"/>
  <c r="BM545" i="1"/>
  <c r="BN544" i="1" s="1"/>
  <c r="BM465" i="1"/>
  <c r="AE189" i="1"/>
  <c r="AR240" i="1"/>
  <c r="AI184" i="1"/>
  <c r="O339" i="1"/>
  <c r="AS249" i="1"/>
  <c r="X220" i="1"/>
  <c r="AI133" i="1"/>
  <c r="O334" i="1"/>
  <c r="AI174" i="1"/>
  <c r="AL545" i="1"/>
  <c r="AH129" i="1"/>
  <c r="AF560" i="1"/>
  <c r="AR395" i="1"/>
  <c r="AI569" i="1"/>
  <c r="AS304" i="1"/>
  <c r="AH109" i="1"/>
  <c r="AI209" i="1"/>
  <c r="AT565" i="1"/>
  <c r="AU564" i="1" s="1"/>
  <c r="O13" i="1"/>
  <c r="N79" i="1"/>
  <c r="AG269" i="1"/>
  <c r="AK349" i="1"/>
  <c r="D290" i="1"/>
  <c r="AD180" i="1"/>
  <c r="O8" i="1"/>
  <c r="AS53" i="1"/>
  <c r="AC349" i="1"/>
  <c r="AL395" i="1"/>
  <c r="AS274" i="1"/>
  <c r="AN455" i="1"/>
  <c r="AE394" i="1"/>
  <c r="AR325" i="1"/>
  <c r="AI254" i="1"/>
  <c r="AI589" i="1"/>
  <c r="AF235" i="1"/>
  <c r="AE439" i="1"/>
  <c r="AK514" i="1"/>
  <c r="AI299" i="1"/>
  <c r="AM179" i="1"/>
  <c r="O244" i="1"/>
  <c r="AP450" i="1"/>
  <c r="AQ554" i="1"/>
  <c r="AL480" i="1"/>
  <c r="AK549" i="1"/>
  <c r="AS264" i="1"/>
  <c r="N360" i="1"/>
  <c r="AJ605" i="1"/>
  <c r="AG404" i="1"/>
  <c r="E290" i="1"/>
  <c r="AI259" i="1"/>
  <c r="O113" i="1"/>
  <c r="P94" i="1"/>
  <c r="AS519" i="1"/>
  <c r="R175" i="1"/>
  <c r="AP365" i="1"/>
  <c r="N305" i="1"/>
  <c r="AF450" i="1"/>
  <c r="AJ465" i="1"/>
  <c r="AK429" i="1"/>
  <c r="AN595" i="1"/>
  <c r="AL530" i="1"/>
  <c r="AH315" i="1"/>
  <c r="AI554" i="1"/>
  <c r="AB425" i="1"/>
  <c r="AI43" i="1"/>
  <c r="X225" i="1"/>
  <c r="BK64" i="1"/>
  <c r="BL63" i="1" s="1"/>
  <c r="BM450" i="1"/>
  <c r="BN449" i="1" s="1"/>
  <c r="BM605" i="1"/>
  <c r="BN604" i="1" s="1"/>
  <c r="AI38" i="1"/>
  <c r="AR330" i="1"/>
  <c r="BM665" i="1"/>
  <c r="N44" i="1"/>
  <c r="Z124" i="1"/>
  <c r="N159" i="1"/>
  <c r="AN79" i="1"/>
  <c r="N170" i="1"/>
  <c r="U98" i="1"/>
  <c r="AR205" i="1"/>
  <c r="AQ184" i="1"/>
  <c r="AI8" i="1"/>
  <c r="AJ175" i="1"/>
  <c r="AH200" i="1"/>
  <c r="AH74" i="1"/>
  <c r="AR14" i="1"/>
  <c r="AI279" i="1"/>
  <c r="AH285" i="1"/>
  <c r="AC174" i="1"/>
  <c r="O133" i="1"/>
  <c r="AR39" i="1"/>
  <c r="Z4" i="1"/>
  <c r="AA3" i="1"/>
  <c r="E3" i="1"/>
  <c r="D4" i="1"/>
  <c r="Y3" i="1" l="1"/>
  <c r="BB3" i="1"/>
  <c r="O3" i="1"/>
  <c r="AV4" i="1"/>
  <c r="AW3" i="1" s="1"/>
  <c r="BI4" i="1"/>
  <c r="BJ3" i="1" s="1"/>
  <c r="J4" i="1"/>
  <c r="AP4" i="1"/>
  <c r="P4" i="1"/>
  <c r="I3" i="1"/>
  <c r="BK4" i="1"/>
  <c r="BL3" i="1" s="1"/>
  <c r="N4" i="1"/>
  <c r="AG3" i="1"/>
  <c r="AT4" i="1"/>
  <c r="AU3" i="1" s="1"/>
  <c r="AB4" i="1"/>
  <c r="AH4" i="1"/>
  <c r="F4" i="1"/>
  <c r="X4" i="1"/>
  <c r="AE3" i="1"/>
  <c r="AO3" i="1"/>
  <c r="AK3" i="1"/>
  <c r="L4" i="1"/>
  <c r="R4" i="1"/>
  <c r="S3" i="1"/>
  <c r="AL4" i="1"/>
  <c r="AM3" i="1"/>
  <c r="U3" i="1"/>
  <c r="T4" i="1"/>
  <c r="AS3" i="1"/>
  <c r="AR4" i="1"/>
  <c r="BM4" i="1"/>
  <c r="BN3"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abula-01JUL_31JUL22" description="Conexión a la consulta 'tabula-01JUL_31JUL22' en el libro." type="5" refreshedVersion="0" background="1">
    <dbPr connection="Provider=Microsoft.Mashup.OleDb.1;Data Source=$Workbook$;Location=tabula-01JUL_31JUL22;Extended Properties=&quot;&quot;" command="SELECT * FROM [tabula-01JUL_31JUL22]"/>
  </connection>
</connections>
</file>

<file path=xl/sharedStrings.xml><?xml version="1.0" encoding="utf-8"?>
<sst xmlns="http://schemas.openxmlformats.org/spreadsheetml/2006/main" count="1786" uniqueCount="783">
  <si>
    <t>TOTAL PAGADO</t>
  </si>
  <si>
    <t>DIF</t>
  </si>
  <si>
    <t xml:space="preserve"> </t>
  </si>
  <si>
    <t>IBERDROLA</t>
  </si>
  <si>
    <t>ADS</t>
  </si>
  <si>
    <t>ES0021000000831419VN, MARIA PASTOR GARCÍA</t>
  </si>
  <si>
    <t>POL. 7, 175 - Benitatxel - Producción desde 26/03/2021</t>
  </si>
  <si>
    <t>Pagado</t>
  </si>
  <si>
    <t>Cobrado</t>
  </si>
  <si>
    <t>Saldo Vivo</t>
  </si>
  <si>
    <t>ES0021000001208140CQ (CLAUDE GOFFINET)</t>
  </si>
  <si>
    <t>NICCOLÓ PAGANINI, 27 - Javea - Producción desde 06/03/2021</t>
  </si>
  <si>
    <t>NATURGY</t>
  </si>
  <si>
    <t>ES0021000019508950TW (JULIA RODRÍGUEZ RIAÑO - JAIME)</t>
  </si>
  <si>
    <t>JEAN ARP, 38 - Javea  - Producción desde 22/07/2021</t>
  </si>
  <si>
    <t>ES0021000021936589WZ (STEPHEN ROBINSON)</t>
  </si>
  <si>
    <t>CASTILLEJAR 11,  - Teulada  - Producción desde 24/09/2021</t>
  </si>
  <si>
    <t>130814350</t>
  </si>
  <si>
    <t>TORRETA DE CANOR, 38 - Benisa - Producción desde 26/06/2021</t>
  </si>
  <si>
    <t>ES0021000000827846TG (XARO)</t>
  </si>
  <si>
    <t>SERPETA, 9 (CAMI CREUAT) - Javea - Producción desde 08/12/2020</t>
  </si>
  <si>
    <t>5,27</t>
  </si>
  <si>
    <t>ES0021000001206049KH (CRISTINA MARIA FALCÓN ESCALONA)</t>
  </si>
  <si>
    <t>CTRA. DE LA GUARDIA, 181 - Javea - Producción desde 30/07/2021</t>
  </si>
  <si>
    <t>NICCOLÓ PAGANINI, 4 - Javea - Producción desde 05/06/2021</t>
  </si>
  <si>
    <t>ES0021000001209135VE, (JARDIN BIOSOSTENIBLE)</t>
  </si>
  <si>
    <t>CTRA. DE GATA, 64 - Javea - Producción desde 27/08/2021</t>
  </si>
  <si>
    <t>AVDA. DE LA LLIBERTAT, 19-D - Javea - Producción desde 17/06/2021</t>
  </si>
  <si>
    <t>ES0021000001215951SF (SALVA)</t>
  </si>
  <si>
    <t>CAMÍ TAPIES, 18 ab - Javea - Producción desde 29/01/2020</t>
  </si>
  <si>
    <t>BAJA</t>
  </si>
  <si>
    <t>TTVA</t>
  </si>
  <si>
    <t>ES0021000001498936ZT (MICHAEL BALMER)</t>
  </si>
  <si>
    <t>BENIMEIT, 66 - BENISA - Producción desde 12/11/2021</t>
  </si>
  <si>
    <t>ES0021000000819827LN (M.E. DÍAZ MULET)</t>
  </si>
  <si>
    <t>REPSOL</t>
  </si>
  <si>
    <t>ES0021000015401108QY (VILAMARINA)</t>
  </si>
  <si>
    <t>-</t>
  </si>
  <si>
    <t>ES0021000001200342AS (SEGURITEC)</t>
  </si>
  <si>
    <t>CALLE CUBA, 3 - JAVEA</t>
  </si>
  <si>
    <t>ENDESA</t>
  </si>
  <si>
    <t>ES0021000013052670FY (LA MEZQUIDA)</t>
  </si>
  <si>
    <t>ROMA, 11 - JAVEA</t>
  </si>
  <si>
    <t>ES0021000011059101VP (FARMACIA FONT DE VIDA)</t>
  </si>
  <si>
    <t xml:space="preserve">               </t>
  </si>
  <si>
    <t>VALENCIA, 14 - BENISA - Producción desde 12/02/2022</t>
  </si>
  <si>
    <t>ES0021000011666174FL (PEDRO CAÑADAS FDEZ.)</t>
  </si>
  <si>
    <t>104361220</t>
  </si>
  <si>
    <t>ES0021000001212737JJ (KARINA IWONA TRAFNA)</t>
  </si>
  <si>
    <t>MAR DE NORUEGA, 90 - JAVEA - Producción desde 06/02/2022</t>
  </si>
  <si>
    <t>ES0021000001215730MQ (VALENTINA BARCA)</t>
  </si>
  <si>
    <t>TRAVESSIA DE LES SORTS, 10 - JAVEA - Producción desde 17/02/2022</t>
  </si>
  <si>
    <t>ES0021000001197951ZQ (ANGELICA M. NIETZKE)</t>
  </si>
  <si>
    <t>TINTORETTO, 6 - JAVEA - Producción desde 08/03/2022</t>
  </si>
  <si>
    <t>ES0021000010586369WH, (PARROQUIA DE BENISSA)</t>
  </si>
  <si>
    <t>FRAY HUMILDE SORIA, 3BA - BENISA - Producción desde 22/07/2022</t>
  </si>
  <si>
    <t>ES0021000001199302GX, (CRISTALERÍA CARDONA BAÑÓN)</t>
  </si>
  <si>
    <t>PRINCIPE DE ASTURIAS, 37- Javea - Producción desde 19/04/2022</t>
  </si>
  <si>
    <t>ES0021000010662391LW, (SABINE SUZANNE LAMORAL)</t>
  </si>
  <si>
    <t>CORB, 12 - Benisa - Producción desde 02/05/2022</t>
  </si>
  <si>
    <t>ES0021000000820544GQ, (OXANA MARAKULINA)</t>
  </si>
  <si>
    <t>TRUITA BALADRAR, 5 - Benisa - Producción desde 14/06/2022</t>
  </si>
  <si>
    <t>ES0021000000825687KF, (VERENA KNOLL)</t>
  </si>
  <si>
    <t>CASTELLA LA MANXA, 43 - Benisa - Producción desde 25/07/2022</t>
  </si>
  <si>
    <t>ES0021000000958955LJ, (ANNE MASSON)</t>
  </si>
  <si>
    <t>PTDA. BOVETES SUD, 40 - Denia -</t>
  </si>
  <si>
    <t xml:space="preserve">ES0021000001216863PE, ADELINE LESSENTIER </t>
  </si>
  <si>
    <t>AMELIA PELAEZ, 6 - Javea - Producción desde 11/06/2022</t>
  </si>
  <si>
    <t>ES0021000021936547TH, ROB WINFIELD</t>
  </si>
  <si>
    <t>BENIFAIRÓ DE LES VALLS, 3 - TEULADA - Producción desde 01/06/2022</t>
  </si>
  <si>
    <t xml:space="preserve">ES0021000001216858PV, DOMINIQUE BERGER </t>
  </si>
  <si>
    <t>AMELIA PELAEZ, 36 - JAVEA - Producción desde 12/07/2022</t>
  </si>
  <si>
    <t xml:space="preserve">ES0021000010377805LH, ASTRID MONCHO </t>
  </si>
  <si>
    <t>ES0021000001214275BX, CHISPAS JAVEA</t>
  </si>
  <si>
    <t>CAMI CABANES, 94 - JAVEA - Producción desde</t>
  </si>
  <si>
    <t>ES0021000001192533DA, SALVADOR TORRES BISQUERT</t>
  </si>
  <si>
    <t>MERCADO DE ABASTOS, 10 - JAVEA</t>
  </si>
  <si>
    <t>ES0021000039192179PS, CARLOS PAUCAR</t>
  </si>
  <si>
    <t>MERCADO DE ABASTOS, 7 - JAVEA</t>
  </si>
  <si>
    <t>ES0021000001215426SB, RESTAURANTE LOS AMIGOS CABANES</t>
  </si>
  <si>
    <t>DIEGO RIVERA 8, JAVEA</t>
  </si>
  <si>
    <t>PINTOR EL GRECO, 7 - MORAIRA - Producción desde</t>
  </si>
  <si>
    <t>ES0162000000001264JN, BOXFERRER, S.L. (RELLEU)</t>
  </si>
  <si>
    <t>l</t>
  </si>
  <si>
    <t>SOLIGUER, 4 - BENISA - Producción desde 30/04/2020</t>
  </si>
  <si>
    <t>BLAS DE OTERO, 30A - JAVEA - Producción desde …</t>
  </si>
  <si>
    <t>CALVARIO, 4 - SAGRA</t>
  </si>
  <si>
    <t>PTDA. MARJAL 6-bis, ORBA</t>
  </si>
  <si>
    <t>ES0021000001209594ZK, SOL. GASTR. DE JAVEA 2014</t>
  </si>
  <si>
    <t>AVDA. MEDITERRANEO, 96, JAVEA</t>
  </si>
  <si>
    <t>ES0021000001217418XW, RESTAURANTE NOU AMARRE 2024</t>
  </si>
  <si>
    <t>BURDEOS, 4, JAVEA</t>
  </si>
  <si>
    <t xml:space="preserve">ES0021000013325188XC, JAIME VIVES </t>
  </si>
  <si>
    <t>REGNE DE VALÈNCIA, 102, VALENCIA</t>
  </si>
  <si>
    <t>ES0021000001218582ZQ, PATRICE HECQ</t>
  </si>
  <si>
    <t xml:space="preserve">             -  </t>
  </si>
  <si>
    <t>ES0021000001199725EL, ANDRE DOUTREVAL</t>
  </si>
  <si>
    <t>MONTALBANA, 7, JAVEA</t>
  </si>
  <si>
    <t>136579656</t>
  </si>
  <si>
    <t>ES0021000000842533VV, WILLEM VAN HOORELBEKE</t>
  </si>
  <si>
    <t>Urb ORTEMBACH, 19 B ,1,  CALPE</t>
  </si>
  <si>
    <t>ES0021000000717167HR, JERPHAAS CAMPAGNE</t>
  </si>
  <si>
    <t xml:space="preserve">PTDA RIQUET 26-B, Altea la Vella </t>
  </si>
  <si>
    <t>ES0021000000840344ZJ, THOMAS GREVE</t>
  </si>
  <si>
    <t>CANUTA DE IFACH, 10R, CALPE</t>
  </si>
  <si>
    <t>ES0021000000838405EY, CHRISTOPHE PETER VERHAEGHE</t>
  </si>
  <si>
    <t xml:space="preserve">PTDA. LA EMPEDROLA-DTO 61 -3C, CALPE </t>
  </si>
  <si>
    <t>U. FENOSA</t>
  </si>
  <si>
    <t>ES0022000007974829ZA, MANUEL GARCIA DEL VALLE</t>
  </si>
  <si>
    <t>MESENA 72, MADRID</t>
  </si>
  <si>
    <t>ES0021000000845315TQ, DESIREE DE SCHUTTER</t>
  </si>
  <si>
    <t>18,66</t>
  </si>
  <si>
    <t>ES0021000000829804QF, WILLY SCHLUP</t>
  </si>
  <si>
    <t>Urb LES FONTS, 5, 1</t>
  </si>
  <si>
    <t>9,15</t>
  </si>
  <si>
    <t>ES0021000010924473ME, ANOUK AIMEE MONNIK</t>
  </si>
  <si>
    <t>ES0021000011060321RD, DEBORAH LEFFELAAR</t>
  </si>
  <si>
    <t>ES0021000000825192EH, ARIE PIETR PETRI</t>
  </si>
  <si>
    <t>ES0021000000829575YP, BART VAN OERLE</t>
  </si>
  <si>
    <t>URB. GOLDEN VALLEY, 25-1 - BENITACHELL</t>
  </si>
  <si>
    <t>ES0021000010309034LV, DENNIS MICHELS</t>
  </si>
  <si>
    <t xml:space="preserve">RIU DUERO, 2-1 - L'ALFALS DEL PI </t>
  </si>
  <si>
    <t>ES0021000000828326KR, DANIELLE B. PAULI</t>
  </si>
  <si>
    <t>ES0021000000820395KM, Mª ISABEL HEVIA TENA</t>
  </si>
  <si>
    <t>Avda MEDITERRANIA, 12, 2</t>
  </si>
  <si>
    <t>ES0021000016067263EN, VIVES ELECTRODOMÉSTICOS TIEN 21</t>
  </si>
  <si>
    <t>ES0021000000828286LF, FRANK GUDE</t>
  </si>
  <si>
    <t>ES0021000001501271TN, ROY SCHOLTEN</t>
  </si>
  <si>
    <t>CABO TRAFALGAR, 11-1 - TEULADA</t>
  </si>
  <si>
    <t>ES0021000000826123VY, ULF BALZER</t>
  </si>
  <si>
    <t>ES0021000000841859BX, CORDULA PETERS</t>
  </si>
  <si>
    <t>PTDA. MARYVILLA, 36 PUERTA B-1 - CALPE</t>
  </si>
  <si>
    <t>ES0021000011984452TT, DANIEL DE WIT</t>
  </si>
  <si>
    <t>URB. ENGINENT II, 45-1 - CALPE</t>
  </si>
  <si>
    <t>ES0021000001200654VM, JAIME VIVES (C/. ESPARTA)</t>
  </si>
  <si>
    <t/>
  </si>
  <si>
    <t>ES0021000011331851PR, VICENTE BAS ALENTADO</t>
  </si>
  <si>
    <t>MILAN, 6, esc C - JAVEA</t>
  </si>
  <si>
    <t>ES0021000000958945LA, BRIGITTE HAFELI (KURT)</t>
  </si>
  <si>
    <t>PTDA. BOVETES SUD 30, PTA. 1 - DENIA</t>
  </si>
  <si>
    <t>ES0021000001274226LT, CHRISTOPH BLUME</t>
  </si>
  <si>
    <t>PTDA. EL CAUTIVADOR, 20-1 - LA NUCÍA</t>
  </si>
  <si>
    <t>ES0021000037410824EX, LAVANDERIA ZEN (SANTIAGO NUÑEZ JOVER)</t>
  </si>
  <si>
    <t>LEÓN, 3-1 -  TEULADA</t>
  </si>
  <si>
    <t>ES0021000001210140SS, BACKSTUBE</t>
  </si>
  <si>
    <t>ES0021000000845404GJ, LIEUWE KOOPMANS</t>
  </si>
  <si>
    <t>ES0021000001196881ZG, JOAN POCH</t>
  </si>
  <si>
    <t>JORGE CUESTA, 4 - JAVEA</t>
  </si>
  <si>
    <t>ES0021000000827388AY, FORN MONICA</t>
  </si>
  <si>
    <t>MAJOR, 47 - BENITACHELL</t>
  </si>
  <si>
    <t>ES0021000000820403KJ, LIEUWE KOOPMANS_2</t>
  </si>
  <si>
    <t>ES0021000000971679CH, FCO. MULA ROBERTO</t>
  </si>
  <si>
    <t>PINTOR SEGRELLES 4, LA XARA</t>
  </si>
  <si>
    <t>ES0021000001209877GM, RESTAURANTE L'HELLIN (ALEJANDRO BOX)</t>
  </si>
  <si>
    <t>AVDA. MEDITERRANEO, 186 - JAVEA</t>
  </si>
  <si>
    <t>PZA. BAIX, 5 - JAVEA</t>
  </si>
  <si>
    <t>ES0021000001207126EZ, FARMACIA ESPINÓS</t>
  </si>
  <si>
    <t>SANTA MARTA, 1 - JAVEA</t>
  </si>
  <si>
    <t>ES0021000001212203JP, PELUQUERIA AHMED</t>
  </si>
  <si>
    <t>AVDA. PARIS, 21, BAJO D - JAVEA</t>
  </si>
  <si>
    <t>ES0021000001192552DE, LORENA ROCÍO PAUCAR LÓPEZ</t>
  </si>
  <si>
    <t>C/MERCADO DE ABASTOS,33, BAJO - JAVEA</t>
  </si>
  <si>
    <t>ES0021000016199402VQ, HORST FOGOLIN</t>
  </si>
  <si>
    <t>PTDA. PIOCO, PARCELA 202 (BENISA)</t>
  </si>
  <si>
    <t>ES0021000012742166PW, CASA LILI JAVEA</t>
  </si>
  <si>
    <t>ES0021000001195518TK, GUILLERMO CHOLBI SART</t>
  </si>
  <si>
    <t>AVDA. REY JUAN CARLOS I, 18 (JAVEA)</t>
  </si>
  <si>
    <t>ES0021000001204184DQ, GUILLERMO CHOLBI SART (2)</t>
  </si>
  <si>
    <t>AVDA. DEL PORT, 17 (JAVEA)</t>
  </si>
  <si>
    <t>ES0021000001664631LA, GUILLERMO CHOLBI SART (3)</t>
  </si>
  <si>
    <t>CTRA. DE LES MARINES, 30 (ELS POBLETS - DENIA)</t>
  </si>
  <si>
    <t>PTDA. QUADROS, 70 (GATA DE GORGOS)</t>
  </si>
  <si>
    <t>ES0021000001216036LT, ALEJANDRO BOX CASA</t>
  </si>
  <si>
    <t>FARFARA 3,1 - JAVEA</t>
  </si>
  <si>
    <t>ES0021000001502015DC, PIZZERIA TIGER</t>
  </si>
  <si>
    <t>AVDA. MADRID 12, 2 - MORAIRA</t>
  </si>
  <si>
    <t>ES0021000001502014DL, KATARSIS</t>
  </si>
  <si>
    <t>AVDA. MADRID 12, 1 - MORAIRA</t>
  </si>
  <si>
    <t>ES0021000001192307EF, ANDREA SALERNO</t>
  </si>
  <si>
    <t>EL CAVALLET, 8 - JAVEA</t>
  </si>
  <si>
    <t>ES0021000020111643FA</t>
  </si>
  <si>
    <t>SERRANOS, 18, PATIO, VALENCIA (FSU)</t>
  </si>
  <si>
    <t>ES0021000020111642FW</t>
  </si>
  <si>
    <t>SERRANOS, 18, BAJO, 1, 46003-VALENCIA (FSU)</t>
  </si>
  <si>
    <t>BLANQUERIAS, 2, A, 46003 - VALENCIA (FSU)</t>
  </si>
  <si>
    <t>ES0021000020111638YK</t>
  </si>
  <si>
    <t>SERRANOS, 18 , 2º2 46003-VALENCIA (FSU)</t>
  </si>
  <si>
    <t>ES0021000020111637YC</t>
  </si>
  <si>
    <t>SERRANOS, 18 , 1º1 46003-VALENCIA (FSU)</t>
  </si>
  <si>
    <t>ES0021000020111640FT</t>
  </si>
  <si>
    <t>SERRANOS, 18 , 3º 3, 46003-VALENCIA (FSU)</t>
  </si>
  <si>
    <t>ES0021000008997145KW</t>
  </si>
  <si>
    <t>BLANQUERIAS, 2 , 1 46003-VALENCIA (FSU)</t>
  </si>
  <si>
    <t>ES0021000012268833JD</t>
  </si>
  <si>
    <t>BLANQUERIAS, 2 , 9 46003-VALENCIA (FSU)</t>
  </si>
  <si>
    <t>ES0021000012268831JF</t>
  </si>
  <si>
    <t>BLANQUERIAS, 2 , 8 46003-VALENCIA (FSU)</t>
  </si>
  <si>
    <t>ES0021000012268829JM</t>
  </si>
  <si>
    <t>BLANQUERIAS, 2 , 7 46003-VALENCIA (FSU)</t>
  </si>
  <si>
    <t>ES0021000012268826JW</t>
  </si>
  <si>
    <t>BLANQUERIAS, 2 , 5 46003-VALENCIA (FSU)</t>
  </si>
  <si>
    <t xml:space="preserve">ES0021000012268828JG </t>
  </si>
  <si>
    <t>BLANQUERIAS, 2 , 6 46003-VALENCIA (FSU)</t>
  </si>
  <si>
    <t>BLANQUERIAS, 2 , 4 46003-VALENCIA (FSU)</t>
  </si>
  <si>
    <t xml:space="preserve">ES0021000008997147KG </t>
  </si>
  <si>
    <t>BLANQUERIAS, 2 , 3 46003-VALENCIA (FSU)</t>
  </si>
  <si>
    <t>ES0021000008997146KA</t>
  </si>
  <si>
    <t>BLANQUERIAS, 2 , 2 46003-VALENCIA (FSU)</t>
  </si>
  <si>
    <t>ES0021000009023658TL, (FSU)</t>
  </si>
  <si>
    <t>ROCAS, 6, 2 - VALENCIA</t>
  </si>
  <si>
    <t>ES0021000009023659TC, (FSU)</t>
  </si>
  <si>
    <t>ROCAS, 6, 3 - VALENCIA</t>
  </si>
  <si>
    <t>ES0021000001194238ZY, LAVANDERIA COLOMER</t>
  </si>
  <si>
    <t>AVDA. COLOMER, 5A , JAVEA</t>
  </si>
  <si>
    <t>ES0021000000821181DD, GERRIT JONGEJAN</t>
  </si>
  <si>
    <t>FRIGOLA (UR.LA FUSTERA), 47 K 03720-BENISA</t>
  </si>
  <si>
    <t>ES0021000012599393XJ, CASA LILI SL (CASA)</t>
  </si>
  <si>
    <t>AVDA. MEDITERRANEO 200, 1-1, TEULADA</t>
  </si>
  <si>
    <t>ES0021000010447948XB, EDWIN BAUMGARTNER</t>
  </si>
  <si>
    <t>Ptda COLINA DEL SOL, 36-A, CALPE</t>
  </si>
  <si>
    <t>ES0021000000961277MN, TAIRÉ VERA</t>
  </si>
  <si>
    <t>JOAN FUSTER 8, 4º-12, DENIA</t>
  </si>
  <si>
    <t>ES0021000022141069SR, MATEUSZ ZBIGNIEW WARCHOLINKI</t>
  </si>
  <si>
    <t>Avda. LA HAYA, 8-1B, 2o 11, JAVEA</t>
  </si>
  <si>
    <t>BENIDOLEIG,12, EL CAMPELLO</t>
  </si>
  <si>
    <t>ANDRÉS LAMBERT, 2 Bajo, JAVEA</t>
  </si>
  <si>
    <t>ES0021000012718599HX, PRISCILA WELTER</t>
  </si>
  <si>
    <t>C/STMO. CRISTO DEL MAR, 24, Bajo 5, JAVEA</t>
  </si>
  <si>
    <t>AVDA FONTANA, 9A, 2C - JAVEA</t>
  </si>
  <si>
    <t>ES0021000001192535DM, FORMATGES MONICA</t>
  </si>
  <si>
    <t>CL MERCADO DE ABASTOS 11 BIS A</t>
  </si>
  <si>
    <t>ES0021000013419235MC, CINDY DEPERE (MARC WERNER)</t>
  </si>
  <si>
    <t>ES0021000013419226MB, KHALID EL JEBLI</t>
  </si>
  <si>
    <t xml:space="preserve">C/. PIETER BRUEGEL, 13 - 03730 JAVEA </t>
  </si>
  <si>
    <t>Avda LEPANTO, 1 ESC. 1, 3º-12, JAVEA</t>
  </si>
  <si>
    <t xml:space="preserve">C/ PIETER BRUEGEL, 31 - 03730 JAVEA </t>
  </si>
  <si>
    <t>ES0021000008997143KT</t>
  </si>
  <si>
    <t>ES0021000008997144KR</t>
  </si>
  <si>
    <t>CTRA. DEL PORTITXOL, 90 - JAVEA</t>
  </si>
  <si>
    <t>TOTAL COBRADO</t>
  </si>
  <si>
    <t>ES0021000001197056KH, ADRIAN ORENES BOU (ORENCO)</t>
  </si>
  <si>
    <t>PTDA. SERRA 7 (PARCELA 97) - RELLEU - SELLA</t>
  </si>
  <si>
    <t>PENAGUILA, 45, JAVEA</t>
  </si>
  <si>
    <t>PTDA. MIRABO, 38 - PEDREGUER - Producción desde 03/01/2022</t>
  </si>
  <si>
    <t>BISBE JUAN BAUTISTA CABRERA 12, BAJO 1       BENISSA</t>
  </si>
  <si>
    <t>SAldo Vivo</t>
  </si>
  <si>
    <t>ES0021000000851515VY, MECANICA JOANS S.C.</t>
  </si>
  <si>
    <t xml:space="preserve">CONDE DE ALTEA, 15 CALPE </t>
  </si>
  <si>
    <t>ES0021000001149669PB,  FRANCISCO MATEO PEDROS PÉREZ</t>
  </si>
  <si>
    <t>C/TROSSETS, 67   GATA DE GORGOS</t>
  </si>
  <si>
    <t>GIOVANNI TIEPOLO, 13, 1  JAVEA</t>
  </si>
  <si>
    <t>MAR DE BALI, 3   TEULADA</t>
  </si>
  <si>
    <t>LLIMERA (URB. LES BASSETES), 2  BENISSA</t>
  </si>
  <si>
    <t>ROMER (URB. FANADIX), 12-1  BENISSA</t>
  </si>
  <si>
    <t>BEGONIAS, 61   BENITACHEL</t>
  </si>
  <si>
    <t xml:space="preserve">BEGONIAS, 54  </t>
  </si>
  <si>
    <t>VERDEROL (URB. BUENAVISTA), 8, Bajo  BENISSA</t>
  </si>
  <si>
    <t>C/. ESPARTA 9, 1  JAVEA</t>
  </si>
  <si>
    <t>LIVERPOOL, 2 A - JAVEA - Producción desde 05/04/2022</t>
  </si>
  <si>
    <t>BERDICA, 31A - BENISA- Producción desde 18/09/2021</t>
  </si>
  <si>
    <t>NOBEL, 2 - MARCONI 2 BENISSA - Producción desde 04/01/2022</t>
  </si>
  <si>
    <t>POL. 7, 10 BAJO -  Benitatxell  Pda ALCASSAR, 10 BJ</t>
  </si>
  <si>
    <t>ES0021000000822827BE,  TALLER SENDRA CUELLO S. L.</t>
  </si>
  <si>
    <t>DELS MANYANS, 9 ,EN FACT. PTDA BONAIRE 35, BENISSA</t>
  </si>
  <si>
    <t>ES0021000001206201MD, (PANADERIA SANTACREU)FCO TORRES FERRER</t>
  </si>
  <si>
    <t>ES0021000001351263XX,  DUGAR MOVIL SL</t>
  </si>
  <si>
    <t>P.L. LES GALGUES CARRER LA PANSA 2  EL VERGEL</t>
  </si>
  <si>
    <t>ES0021000001197237YS,  ANTONIO LLIDO ESPASA</t>
  </si>
  <si>
    <t>ES0021000011425522DQ,  TERESA MENGUAL ALBEROLA</t>
  </si>
  <si>
    <t>C/ BENASSAU, 1 ESC. 1, 3o 12  JAVEA</t>
  </si>
  <si>
    <t>ES0021000000959128GW,  PEDRO IVARS TRO</t>
  </si>
  <si>
    <t>PTDA. MADRIGUERES SUD, 9-14A  DENIA</t>
  </si>
  <si>
    <t>ES0021000001283336RW,  NIZAR EL MAIMOUNI</t>
  </si>
  <si>
    <t>C/ VERGE DE LA SOLEDAT, 11   ONDARA</t>
  </si>
  <si>
    <t>ES0021000020674389WP,  CRISTIAN FERRARI</t>
  </si>
  <si>
    <t>CTRA. MORAIRA-TEULADA 23E  TEULADA</t>
  </si>
  <si>
    <t>ES0021000001194258SA,  VEHICULOS ANDRADA, S.L.</t>
  </si>
  <si>
    <t>AVDA COLOMER, 32  JAVEA</t>
  </si>
  <si>
    <t>ES0021000013052712DW, AUTOCENTER LA MARINA ALTA S.L.</t>
  </si>
  <si>
    <t>C/. ROMA 24-2  JAVEA</t>
  </si>
  <si>
    <t>ES0021000001216678MY,  JUAN CARLOS HERNANDEZ MELEDO</t>
  </si>
  <si>
    <t>AVDA PALMELA 27 BAJO 2,  JAVEA</t>
  </si>
  <si>
    <t>ES0021000001210058NW,  RTJ DOS TRENTA VUIT, SLU</t>
  </si>
  <si>
    <t>AVDA MEDITERRANEO 238 2 A  JAVEA</t>
  </si>
  <si>
    <t>ES0021000001197843XT,  JAVEA PADEL &amp; TENIS S.L.</t>
  </si>
  <si>
    <t>AVENIDA PARIS, 24A   JAVEA</t>
  </si>
  <si>
    <t>ES0021000001201476YE (FCO. JOSÉ TORRES BISQUERT)</t>
  </si>
  <si>
    <t>ES0021000001504069FG, MARC MULLER</t>
  </si>
  <si>
    <t xml:space="preserve"> ES0021000001210794KW (ESPI)</t>
  </si>
  <si>
    <t>BLANQUERIAS, 2  B 46003-VALENCIA (FSU)</t>
  </si>
  <si>
    <t>Ftorres</t>
  </si>
  <si>
    <t xml:space="preserve">NATURGY </t>
  </si>
  <si>
    <t>ES0021000001496936LR   ANOUK AIMEE MONNIK</t>
  </si>
  <si>
    <t>86.83+186.36= 273.19</t>
  </si>
  <si>
    <t>166.56+193.42= 359.98</t>
  </si>
  <si>
    <t>83.16+121.10 = 204.26</t>
  </si>
  <si>
    <t>95.13+60.73+9.57+63.89+76.99+154.07+39.24+68.71+38.15=606.48</t>
  </si>
  <si>
    <t>PLENITUDE</t>
  </si>
  <si>
    <t>321,79+ 990,26= 1.312.05</t>
  </si>
  <si>
    <t>354,83+ 1.542,59=1.897.42</t>
  </si>
  <si>
    <t>(1153,69+ 1600,03+6.16)+1.215.02= 3.974.90</t>
  </si>
  <si>
    <t>918,44+ 1443,40= 2.361.84</t>
  </si>
  <si>
    <t>Blanquerias, 2-7</t>
  </si>
  <si>
    <t>Fraccionada</t>
  </si>
  <si>
    <t>1444.72+973.26=2.417.98</t>
  </si>
  <si>
    <t>ene-26</t>
  </si>
  <si>
    <t>dic-25</t>
  </si>
  <si>
    <t>nov-25</t>
  </si>
  <si>
    <t>oct-25</t>
  </si>
  <si>
    <t>sept-25</t>
  </si>
  <si>
    <t>ago-25</t>
  </si>
  <si>
    <t>jul-25</t>
  </si>
  <si>
    <t>jun-25</t>
  </si>
  <si>
    <t>may-25</t>
  </si>
  <si>
    <t>abr-25</t>
  </si>
  <si>
    <t>mar-25</t>
  </si>
  <si>
    <t>feb-25</t>
  </si>
  <si>
    <t>ene-25</t>
  </si>
  <si>
    <t>dic-24</t>
  </si>
  <si>
    <t>oct-24</t>
  </si>
  <si>
    <t>sept-24</t>
  </si>
  <si>
    <t>ago-24</t>
  </si>
  <si>
    <t>jul-24</t>
  </si>
  <si>
    <t>jun-24</t>
  </si>
  <si>
    <t>may-24</t>
  </si>
  <si>
    <t>COMERCIALIZADORA</t>
  </si>
  <si>
    <t>IMPORTE FRA</t>
  </si>
  <si>
    <t>Saldo de 638.74, pagado el 25/02/25</t>
  </si>
  <si>
    <t>756.44+ 226.22= 982.66</t>
  </si>
  <si>
    <t>ES0021000015284291CY,  VICENTE BAS ALENTADO</t>
  </si>
  <si>
    <t>ES0021000001194530AE, MARUJA CHOLBI PUIG</t>
  </si>
  <si>
    <t>545.67+532.00=1.077.67</t>
  </si>
  <si>
    <t>229.54+209.25=438.79</t>
  </si>
  <si>
    <t>340.69+762.14+502.41=1.605.24</t>
  </si>
  <si>
    <t>542.35+485.48=1.027.83</t>
  </si>
  <si>
    <t>336.22+313.91=650.13</t>
  </si>
  <si>
    <t>264.71+180.28=444.99</t>
  </si>
  <si>
    <t>262.15+260.84=522.99</t>
  </si>
  <si>
    <t>1072.14+568.06+217.77=1.857.97</t>
  </si>
  <si>
    <t>940.81+3.053.21= 3.994.02</t>
  </si>
  <si>
    <t>2.784.50+1.829.90= 4.614.40</t>
  </si>
  <si>
    <t>ES0021000000948281SB,  FLORENTINO PALACIOS GARCÍA</t>
  </si>
  <si>
    <t>ES0021000000929544ML,  FLORENTINO PALACIOS GARCÍA</t>
  </si>
  <si>
    <t>ES0021000001201668SF,  SALVADOR TORRES BISQUERT</t>
  </si>
  <si>
    <t>C/ ROQUES, 5, A  ALMACÉN BAR MERCAT   JAVEA</t>
  </si>
  <si>
    <t>RONDA MURALLAS, 45  AUTOS  REPARACIÓN  DENIA</t>
  </si>
  <si>
    <t>CTRA. LAS ROTAS, 43,1 BARRANC DEL MONYO, DENIA</t>
  </si>
  <si>
    <t>C/ MAYOR, 67,  JAVEA</t>
  </si>
  <si>
    <t>ES0021000001498862XH,  CASA LILI S.L.  AUTOS (EXPOSICIÓN)</t>
  </si>
  <si>
    <t>C/ PINTOR EL GRECO, 9  TEULADA</t>
  </si>
  <si>
    <t>ES0021000001213790JP,  ALVARO DAVID OCHOA BIOSCA</t>
  </si>
  <si>
    <t xml:space="preserve">CAMINO VELL DE GATA, 155, 1, 1 </t>
  </si>
  <si>
    <t>C/ PUERTO DE SAN JUAN, 3,  TEULADA, MORAIRA</t>
  </si>
  <si>
    <t>ES0021000017299736HF, PIZZERIA ORBA</t>
  </si>
  <si>
    <t>ES0021000011702707DM,  TALLERES MARTINEZ JAVEA S.L.</t>
  </si>
  <si>
    <t>C/  LA FALZIA, 2  LOCAL</t>
  </si>
  <si>
    <t>ES0021000001198420NW,  TALLERES MARTINEZ JAVEA S.L.</t>
  </si>
  <si>
    <t>C/  SANDOVAL, 3</t>
  </si>
  <si>
    <t>ES0021000001208122LK (HUGHES VINCENT)</t>
  </si>
  <si>
    <t xml:space="preserve">Fraccionada  </t>
  </si>
  <si>
    <t>ES0021000001205999LZ, COCKTAIL BAR AYAHUMA</t>
  </si>
  <si>
    <t xml:space="preserve">PTDA.CARRIÓ   5 C 1, Dto. 49  03710 CALPE </t>
  </si>
  <si>
    <t>732.80-10010/03/25,abono= 632.8+834.82= 1.567.62</t>
  </si>
  <si>
    <t>1.100.59+1.344.99+1.126.72=3.572.30</t>
  </si>
  <si>
    <t>ES0020000001191925MQ,  ABDESLAM LAMRANI</t>
  </si>
  <si>
    <t>AVDA. RAMÓN LLIDÓ. 27   JAVEA</t>
  </si>
  <si>
    <t>ES0021000001191926MV,  FRANCISCO DANIEL GUIJARRO ORTEGA</t>
  </si>
  <si>
    <t>AVDA. RAMÓN LLIDÓ, 27, PUERTA 1    JAVEA</t>
  </si>
  <si>
    <t>ES0021000012536447XH, ISABEL RAMIREZ CAPDEVILA</t>
  </si>
  <si>
    <t>C/ AZORÍN, 19  BAJO  JAVEA</t>
  </si>
  <si>
    <t>ES0021000001197031CQ,  MARIA PILAR CATALA SANTAMARIA</t>
  </si>
  <si>
    <t>C/ CRONISTA MOSEN FEBRER, 17  JAVEA</t>
  </si>
  <si>
    <t>ES0021000012536439XX,  FRANCISCO DANIEL GUIJARRO ORTEGA</t>
  </si>
  <si>
    <t>C/ ORTEGA Y GASET, 2,  BAJO C   JAVEA</t>
  </si>
  <si>
    <t>809.90+706.83=1.516.73</t>
  </si>
  <si>
    <t>PAGADA 24/03/25</t>
  </si>
  <si>
    <t>939.63+1.088.79=2.028.42</t>
  </si>
  <si>
    <t>PAGADA 14/04/25</t>
  </si>
  <si>
    <t>Ortenbach 19, Calpe  Tranf. Sábado 12 de abril</t>
  </si>
  <si>
    <t>NICCOLO PAGANINI 27 Transf. Sábado 12 de abril</t>
  </si>
  <si>
    <t>Mar de Bali, 3,  Transf. Sábado 12 de abril</t>
  </si>
  <si>
    <t xml:space="preserve">Fraccionada, Transf.sábado 12 de abril </t>
  </si>
  <si>
    <t>Jean Arp 38, Transf. Lunes 14 de abril</t>
  </si>
  <si>
    <t>EUGENI D'ORS, 6   JAVEA</t>
  </si>
  <si>
    <t>CL CTRA CABO DE LA NAO-PLA 122 3   JAVEA</t>
  </si>
  <si>
    <t>ES0021000015846775GW,  NICHOLAS JAMES RATCLIFFE</t>
  </si>
  <si>
    <t>CABO ESTANCA DE BARES 25, A   TEULADA</t>
  </si>
  <si>
    <t>216.38+147.32+155.64=519.34</t>
  </si>
  <si>
    <t>239.52+130.83+149.58=519.93</t>
  </si>
  <si>
    <t xml:space="preserve">316.28+302.84+299.37=918.49 </t>
  </si>
  <si>
    <t>1.602+ Nov 1.358, última cuota pagada por transferencia 23/04/25</t>
  </si>
  <si>
    <t>703,74+ 1.000,69= 1.704.43</t>
  </si>
  <si>
    <t>958.42+655.47=1.613.89</t>
  </si>
  <si>
    <t xml:space="preserve">   109.40+ 599.33+408.22=1.116.95</t>
  </si>
  <si>
    <t xml:space="preserve">CL CABO DE LA NAO PLA 136 BJ 12  </t>
  </si>
  <si>
    <t>956.32+544.37+563.86=2.064.55</t>
  </si>
  <si>
    <t>ES0021000043297204PT,  JAKUB JAN PICHOLA</t>
  </si>
  <si>
    <t>C/ CANNES, 6 ESC. B, BAJO B,  JAVEA</t>
  </si>
  <si>
    <t>1.050.43+1.002.55=2.052.98</t>
  </si>
  <si>
    <t>505.73+403.05+</t>
  </si>
  <si>
    <t>DELS TARONGERS, 15, BAJO, 1   JAVEA</t>
  </si>
  <si>
    <t>442.09+438.09-77.51=957.69</t>
  </si>
  <si>
    <t>738.35+616.24-107.11=1.461.70</t>
  </si>
  <si>
    <t>350.75+450.59=801,34</t>
  </si>
  <si>
    <t>PAGADA 21/05/25</t>
  </si>
  <si>
    <t>901.24+378,88=1.280,12</t>
  </si>
  <si>
    <t>512.14+521.24=1.033,38</t>
  </si>
  <si>
    <t>1.084,85+1.130,26+978.56=3.193,67</t>
  </si>
  <si>
    <t xml:space="preserve">PAGADA 07/03/25  </t>
  </si>
  <si>
    <t xml:space="preserve"> PAGADA 07/03/25  </t>
  </si>
  <si>
    <t>PAGADA  13/05/25</t>
  </si>
  <si>
    <t xml:space="preserve"> PAGADA 07/03/25, SALDO 338,92</t>
  </si>
  <si>
    <t>LOS PINOS 43, Transf. Lunes 14 de abril,PAGAR CUOTA DE MAYO</t>
  </si>
  <si>
    <t>878.94+869.45</t>
  </si>
  <si>
    <t>PAGADAS</t>
  </si>
  <si>
    <t>Blanquerias, 2-8  Iberia</t>
  </si>
  <si>
    <t>Blanquerias, 2-6     Iberia</t>
  </si>
  <si>
    <t>Blanquerias 2-9      Iberia</t>
  </si>
  <si>
    <t>Blanquerias, 2-2     Iberia</t>
  </si>
  <si>
    <t xml:space="preserve">Blanquerias 2-3 </t>
  </si>
  <si>
    <t>ES0021000000842065CD, UWE HEINZ WERNER SCHMUCK</t>
  </si>
  <si>
    <t xml:space="preserve">PDA. MARYVILLA, 74, 1,  CALPE </t>
  </si>
  <si>
    <t>ES0021000000844565ZW,  FRANK CLEMENT</t>
  </si>
  <si>
    <t>C/XALO,12 ESC.1 BAJO 20    CALPE</t>
  </si>
  <si>
    <t>ADS 043</t>
  </si>
  <si>
    <t>ADS  052 Y 043</t>
  </si>
  <si>
    <t>ADS  52 Y 043</t>
  </si>
  <si>
    <t>712.64-235.55=948.19</t>
  </si>
  <si>
    <t>ES0021000018456661HD, JOERI DEBRUYNE (META VOLANTE)</t>
  </si>
  <si>
    <t>PAGADA,  MAYO 15</t>
  </si>
  <si>
    <t>PAGADA,  MAYO 19</t>
  </si>
  <si>
    <t>ES0021000000824899XR, ELEEN VELTHOVEN</t>
  </si>
  <si>
    <t>306.37+147.54+88.44+=</t>
  </si>
  <si>
    <t>309.86+268.28+253.30+</t>
  </si>
  <si>
    <t>CAPTIVADOR LA NUCIA, 20</t>
  </si>
  <si>
    <t>LLOMA DE LA FONTFREDA,11 Transf. Lunes 14 de abril</t>
  </si>
  <si>
    <t>CALVARIO 4,SAGRA Transf. Lunes 14 de abril</t>
  </si>
  <si>
    <t>233.8+225.52+274.14=</t>
  </si>
  <si>
    <t>243.69+195.52+137.65=</t>
  </si>
  <si>
    <t>PAGADAS TRANSF. 10/06</t>
  </si>
  <si>
    <t xml:space="preserve"> ADS 527</t>
  </si>
  <si>
    <t>PAGADA TRANSF. 10/06</t>
  </si>
  <si>
    <t>ADS IBERIA</t>
  </si>
  <si>
    <t xml:space="preserve">ES0021000012261825JR </t>
  </si>
  <si>
    <t>CTRA. CAP DE SANT ANTONI, 13 1 - JAVEA LEPANTO 12</t>
  </si>
  <si>
    <t>1.375.75+876.26+962,02=3.214,03</t>
  </si>
  <si>
    <t>415,01+516,72+459,84=1.391,57</t>
  </si>
  <si>
    <t xml:space="preserve">PAGADAS 02/06/25    </t>
  </si>
  <si>
    <t>TRANSACTIVA 2000 S.L.</t>
  </si>
  <si>
    <t>Resto de 245,12 pagado 25/06/25</t>
  </si>
  <si>
    <t>Resto de 326,97 pagado 25/06/25</t>
  </si>
  <si>
    <t>PAGADA CON TARJETA 25/06/25</t>
  </si>
  <si>
    <t>PAGARLA 10 DE JULIO</t>
  </si>
  <si>
    <t>939,34-205,29=734,05+1.015.61+1.054,62= 2.804,28</t>
  </si>
  <si>
    <t>453.81+319.65+143.20=916,66</t>
  </si>
  <si>
    <t>Todos los saldos de fracc. Anteriores con 52784</t>
  </si>
  <si>
    <t>603,39  y  548,36 Y 589,96</t>
  </si>
  <si>
    <t>ADS 52 Y 043 CAMBIO CUENTA</t>
  </si>
  <si>
    <t>293,52 06/06 CARGADO EN BANCO,resto de 45,75 cargado 26/06</t>
  </si>
  <si>
    <t>TTVA  CORREG CTA</t>
  </si>
  <si>
    <t xml:space="preserve">471,10-235,55=235,55/ 474,09 </t>
  </si>
  <si>
    <t>REFERENCIA CONTRTATO COM.</t>
  </si>
  <si>
    <t>AV. MEDITERRANEO, 96 BJ</t>
  </si>
  <si>
    <t>BLANQUERÍAS, 2, A</t>
  </si>
  <si>
    <t>BLANQUERÍAS 2, A</t>
  </si>
  <si>
    <t>SERRANOS 18, 1,1</t>
  </si>
  <si>
    <t>SERRANOS 18, PATIO</t>
  </si>
  <si>
    <t>CL CABO DE LA NAO PLA 136 BJ 12</t>
  </si>
  <si>
    <t>BLANQUERÍAS, 2, B</t>
  </si>
  <si>
    <t>BLANQUERIAS, 2, B</t>
  </si>
  <si>
    <t>GARGANTA DE GATA, 420</t>
  </si>
  <si>
    <t xml:space="preserve">MEDITERRANEO,96 </t>
  </si>
  <si>
    <t>SERRANOS 18, 2,2</t>
  </si>
  <si>
    <t>TOLOUSE LAUTREC, 6 - 03730 JAVEA</t>
  </si>
  <si>
    <t>POBLE NOU DE BENITACHELL, 9</t>
  </si>
  <si>
    <t>TORRETA DE CANOR, 38B,1 - Benisa</t>
  </si>
  <si>
    <t>MERCADO DE ABASTOS, 7</t>
  </si>
  <si>
    <t>AVDA. MADRID, 12, 1</t>
  </si>
  <si>
    <t>Ptda ALCAZAR, 10 , BAJO 03726- /POBLE NOU DE BENITATXELL (EL)</t>
  </si>
  <si>
    <t xml:space="preserve">AVDA. COLOMER, 32 </t>
  </si>
  <si>
    <t>CTRA. DE LES MARINES, 30</t>
  </si>
  <si>
    <t>NICCOLÓ PAGANINI, 27 - Javea</t>
  </si>
  <si>
    <t>ALCASSAR,10 BJ -  Benitatxell</t>
  </si>
  <si>
    <t xml:space="preserve">CTRA. DE LES MARINES, 30 </t>
  </si>
  <si>
    <t>PRINCIPE DE ASTURIAS</t>
  </si>
  <si>
    <t>LIVERPOOL, 2 - Javea</t>
  </si>
  <si>
    <t>PTDA. LOS PINOS DTO 43, 18J. - CALPE</t>
  </si>
  <si>
    <t>ROMA, 11 JAVEA</t>
  </si>
  <si>
    <t>MERCADO DE ABASTOS,33 BAJO</t>
  </si>
  <si>
    <t>AVDA. MEDITERRANEO, 186</t>
  </si>
  <si>
    <t>C/ ROMA, 11</t>
  </si>
  <si>
    <t>MARCONI 0002, JAVEA</t>
  </si>
  <si>
    <t xml:space="preserve">C/. PIETER BRUEGEL, 31 - 03730 JAVEA </t>
  </si>
  <si>
    <t>AVDA. MEDITERRANEO 238</t>
  </si>
  <si>
    <t>AVDA.PARIS, 24</t>
  </si>
  <si>
    <t>MARCONI,2  BENISSA</t>
  </si>
  <si>
    <t>AVENIDA DEL MEDITERRANEO,200</t>
  </si>
  <si>
    <t>GINJOLER, 13</t>
  </si>
  <si>
    <t>PTDA.MADRIGUERES SUD,14 A</t>
  </si>
  <si>
    <t>STMO.CRISTO DEL MAR,24,BJ,5</t>
  </si>
  <si>
    <t>ROMER (URB. FANADIX), 12-1</t>
  </si>
  <si>
    <t>SANTA MARTA, 1</t>
  </si>
  <si>
    <t>DIEGO RIVERA 8, JAVE</t>
  </si>
  <si>
    <t>MERCADO DE ABASTOS, 10</t>
  </si>
  <si>
    <t>SERRANOS, 18, PATIO</t>
  </si>
  <si>
    <t>AVDA. AUGUSTA, 64, 1</t>
  </si>
  <si>
    <t>FCO. HEERERA, 11, JAVEA</t>
  </si>
  <si>
    <t>MITGETA, 10,  BENISSA</t>
  </si>
  <si>
    <t>BURDEOS, 4</t>
  </si>
  <si>
    <t>BENIDOLEIG, 12,1</t>
  </si>
  <si>
    <t>BLANQUERIAS, 2 , 4</t>
  </si>
  <si>
    <t>SERRANOS, 18 , 3º 3</t>
  </si>
  <si>
    <t xml:space="preserve">AVDA. COLOMER,5 A </t>
  </si>
  <si>
    <t>PTDA. MARJAL 6, BIS BAJO</t>
  </si>
  <si>
    <t>EUGENI D'ORS, 6</t>
  </si>
  <si>
    <t>ROMA, 11, JAVEA</t>
  </si>
  <si>
    <t>MAJOR, 47 A - BENITACHELL</t>
  </si>
  <si>
    <t xml:space="preserve">C/  SANDOVAL, 3  </t>
  </si>
  <si>
    <t>CABO DE LA NAO PLA 136, BAJO 12,  JAVEA</t>
  </si>
  <si>
    <t>CABO DE LA NAO  PLA 136, BAJO 12</t>
  </si>
  <si>
    <t>CUPS</t>
  </si>
  <si>
    <t>ES0021000001209594ZK</t>
  </si>
  <si>
    <t>ES0021000001194238ZY</t>
  </si>
  <si>
    <t>E</t>
  </si>
  <si>
    <t>ES0021000037410824EX</t>
  </si>
  <si>
    <t>ES0021000013625278VY</t>
  </si>
  <si>
    <t>ES0021000022362814LA</t>
  </si>
  <si>
    <t>ES0021000001202657NF</t>
  </si>
  <si>
    <t>ES0021000001205448HS</t>
  </si>
  <si>
    <t>ES0021000000842533VV</t>
  </si>
  <si>
    <t>ES0021000001208140CQ</t>
  </si>
  <si>
    <t>ES0021000000846305CV</t>
  </si>
  <si>
    <t>ES0021000001274226LT</t>
  </si>
  <si>
    <t>ES0021000001503355EA</t>
  </si>
  <si>
    <t>ES0021000019508950TW</t>
  </si>
  <si>
    <t>ES0021000012268828JG</t>
  </si>
  <si>
    <t>ES0021000010924473ME</t>
  </si>
  <si>
    <t>ES0021000018456661HD</t>
  </si>
  <si>
    <t>ES0021000000823230YB</t>
  </si>
  <si>
    <t>ES0021000001502014DL</t>
  </si>
  <si>
    <t>ES0021000000827846TG</t>
  </si>
  <si>
    <t>ES0021000001194258SA</t>
  </si>
  <si>
    <t>ES0021000001664631LA</t>
  </si>
  <si>
    <t>ES0021000001206201MD</t>
  </si>
  <si>
    <t>ES0021000000891582BF</t>
  </si>
  <si>
    <t>ES0021000001199302GX</t>
  </si>
  <si>
    <t>ES0021000000827388AY</t>
  </si>
  <si>
    <t>ES0021000013052670FY</t>
  </si>
  <si>
    <t>ES0021000001192552DE</t>
  </si>
  <si>
    <t>ES0021000001209877GM</t>
  </si>
  <si>
    <t>ES0021000015401108QY</t>
  </si>
  <si>
    <t>ES0021000013419235MC</t>
  </si>
  <si>
    <t>ES0021000001197056KH</t>
  </si>
  <si>
    <t>ES0021000001215426SB</t>
  </si>
  <si>
    <t>ES0021000001217418XW</t>
  </si>
  <si>
    <t>ES0021000001210058NW</t>
  </si>
  <si>
    <t xml:space="preserve">ES0021000001217418XW </t>
  </si>
  <si>
    <t>ES0021000017299736HF</t>
  </si>
  <si>
    <t>ES0021000001498860XQ</t>
  </si>
  <si>
    <t>ES0021000001197843XT</t>
  </si>
  <si>
    <t>ES0021000012599393XJ</t>
  </si>
  <si>
    <t>ES0021000001214014TW</t>
  </si>
  <si>
    <t>ES0021000012742166PW</t>
  </si>
  <si>
    <t>ES0021000020674389WP</t>
  </si>
  <si>
    <t>ES0021000000959128GW</t>
  </si>
  <si>
    <t>ES0021000012718599HX</t>
  </si>
  <si>
    <t>ES0021000000825192EH</t>
  </si>
  <si>
    <t>ES0021000001207126EZ</t>
  </si>
  <si>
    <t>ES0021000001192533DA</t>
  </si>
  <si>
    <t>ES0021000021724954RW</t>
  </si>
  <si>
    <t>ES0021000011058398DH</t>
  </si>
  <si>
    <t>ES0021000000825580QS</t>
  </si>
  <si>
    <t>ES0021000012261825JR</t>
  </si>
  <si>
    <t>ES0021000001198420NW</t>
  </si>
  <si>
    <t>ES0021000016067263EN</t>
  </si>
  <si>
    <t>CRA. MORAIRA TEULADA 23E</t>
  </si>
  <si>
    <t xml:space="preserve">ES0021000001204720XT, AMARE BOTEGA S.L. </t>
  </si>
  <si>
    <t xml:space="preserve">MAJOR 8,  03730  JAVEA, ALICANTE </t>
  </si>
  <si>
    <t>PAGADA EL 27/01/25,ASÍ: 1.156,86 + 180,78= 1.337,64</t>
  </si>
  <si>
    <t>851,80+968,12+1.112,41=2.932,33</t>
  </si>
  <si>
    <t>ES0021000039192179PS</t>
  </si>
  <si>
    <t>ES0021000000821424LE,  SARA HERMINA NIJENHUIJS GREVE</t>
  </si>
  <si>
    <t>Ptda BENIMALLUNT, 62 C , BAJO 03720-BENISSA - ALICANTE</t>
  </si>
  <si>
    <t>385.61+434.68+261.61+311.09+281,48</t>
  </si>
  <si>
    <t>ES0021000011306311RZ, TALLERES MARTINEZ</t>
  </si>
  <si>
    <t>544.61+378,88=923,49</t>
  </si>
  <si>
    <t>CABO LA NAO PLA, 136, BJ, 12</t>
  </si>
  <si>
    <t>PAGADA 07/04/25</t>
  </si>
  <si>
    <t>PAGADA 25/07/25</t>
  </si>
  <si>
    <t>PAGADA 20/06/25</t>
  </si>
  <si>
    <t>ES0021000001202657NF, YANIS DAHIANA JIMENEZ</t>
  </si>
  <si>
    <t>TTVA CLIENTES,pagar 438,09 por baja fraccionamiento</t>
  </si>
  <si>
    <t>TTVA CLIENTES,pagar 251,13,616,24,107,11 por baja de fr.</t>
  </si>
  <si>
    <t>PINTOR EL GRECO 7</t>
  </si>
  <si>
    <t>PORTIXOL, 90</t>
  </si>
  <si>
    <t>ES0021000021069440CB, JUAN LUIS SALA GINER</t>
  </si>
  <si>
    <t xml:space="preserve">MARJAL, 6, BIS BJ </t>
  </si>
  <si>
    <t>MUNICIPAL DE ABASTOS,33</t>
  </si>
  <si>
    <t>MEDITERRANEO 186</t>
  </si>
  <si>
    <t>MEDITERRANEO, 238</t>
  </si>
  <si>
    <t>MUNICIPAL DE ABASTOS, 10</t>
  </si>
  <si>
    <t xml:space="preserve">CALLE BALADRE, 40, BENISA </t>
  </si>
  <si>
    <t>CARRIO 13 - 1  CALPE (EL FADRÍ)</t>
  </si>
  <si>
    <t xml:space="preserve">PTDA.PIOCO </t>
  </si>
  <si>
    <t>ES0021000016199402VQ</t>
  </si>
  <si>
    <t>698.41</t>
  </si>
  <si>
    <t>Saldo de 194,13, sigue fracc.,pagadas 4 cuotas 22/08</t>
  </si>
  <si>
    <t>ES0021000001212039YM,  JUAN MANUEL CAMACHO GONZALEZ</t>
  </si>
  <si>
    <t>AVDA. PARIS, 8 ESC. 7, 4º 22   03730  JAVEA</t>
  </si>
  <si>
    <t>ES0021000005295382MC,  JUAN MANUEL CAMACHO GONZALEZ</t>
  </si>
  <si>
    <t>C/ LOS YEBENES 71, 1º   28047   MADRID</t>
  </si>
  <si>
    <t>ES0021000004645064KG,  RUBEN CAMACHO PATRICIO</t>
  </si>
  <si>
    <t>SESEÑA 2, 5º A     28024  MADRID</t>
  </si>
  <si>
    <t>Nº CONSEC.</t>
  </si>
  <si>
    <t>Nº CONT. DIST</t>
  </si>
  <si>
    <t>ES0021000008703423SJ, EDUARDO BAYONA SOTOS</t>
  </si>
  <si>
    <t>CABO LA NAO PLA 136,BJ</t>
  </si>
  <si>
    <t>ES0021000001206078TR, MARUJA CHOLBI PUIG (LECHUGA)</t>
  </si>
  <si>
    <t>ES0021000011476267PT,  JOSÉ PEDRO PEDRÓS</t>
  </si>
  <si>
    <t>DE LES ALCOLAIES 14, 03740   GATA DE GORGOS</t>
  </si>
  <si>
    <t>1.156,19 + 572,09 -por compensación</t>
  </si>
  <si>
    <t>1.029,84 + 926,33+665,56=2.621,73</t>
  </si>
  <si>
    <t>ES0021000008620543TW,  MUSEO DE VALENCIA</t>
  </si>
  <si>
    <t>ES0021000043781374JC,  MONTGO SEGURIDAD, JUANVI MATA</t>
  </si>
  <si>
    <t>C/ VENECIA, 28 4 , BAJO , C1 03730 - Jávea/Xàbia (ALICANTE)</t>
  </si>
  <si>
    <t xml:space="preserve">CALLE MAESTRO CLAVE, 3, BAJO 1, 46001 VALENCIA </t>
  </si>
  <si>
    <t>C/ BUENOS AIRES, 5, BAJO 7 48001 BILBAO (BIZKAIA)</t>
  </si>
  <si>
    <t>ES0021000013610497HZ,  CASA LILI, BENITACHEL</t>
  </si>
  <si>
    <t>CL ENCINAS, 62 03726 -    BENITACHELL (ALICANTE)</t>
  </si>
  <si>
    <t xml:space="preserve">1.568,39 y 1.567,64 y 1.456,14 + 2.056,23 + 2.049,86 </t>
  </si>
  <si>
    <t>582,95 + 697,96 + 540,51= 1.821,42</t>
  </si>
  <si>
    <t xml:space="preserve"> 2.908,51 + 2.573,34 + 2.144,66= 7.626,51</t>
  </si>
  <si>
    <t>3.029,46 + 2.595,58 + 2.005,08 = 7.630,12</t>
  </si>
  <si>
    <t>ES0021000001201680SL,   MARIA TERESA PONS DEVESA</t>
  </si>
  <si>
    <t>C/ ROQUES 7, 2                  JAVEA</t>
  </si>
  <si>
    <t>ES0021000000938748ST,    MARCELO RAUCCI</t>
  </si>
  <si>
    <t>C/ LLEO (ROTES-RACONA), 10, 1 BAJO 03700 DENIA (ALICANTE)</t>
  </si>
  <si>
    <t>BLANQUERIAS 2, B</t>
  </si>
  <si>
    <t>1.261,03 + 1.512,96 + 1.272,86 =4.046,85</t>
  </si>
  <si>
    <t>1.131,56 + 564,88 + 481,23 = 2.177,67</t>
  </si>
  <si>
    <t>1.968,56 + 810,45 + 976,01= 3.755,02</t>
  </si>
  <si>
    <t>1.747,81 + 1.724,42 + 1.134,46= 4.606,69</t>
  </si>
  <si>
    <t>ES0021000001502901WD,   JAN ANDERS ANSEHN</t>
  </si>
  <si>
    <t xml:space="preserve">C/ MORERA, 14, 1    MORAIRA, TEULADA </t>
  </si>
  <si>
    <t>ES0021000000936988FB,  JACOBO VIVES LADRON DE GUEVARA</t>
  </si>
  <si>
    <t xml:space="preserve">C/ RIU BELLCAIRE (DEVESES) 10, 1  DENIA </t>
  </si>
  <si>
    <t>CAMINO AL BASSOT (DEVESES) 4, A, 9   DENIA</t>
  </si>
  <si>
    <t>ES0021000001348488GH,  MOISES CARMONA FERNANDEZ</t>
  </si>
  <si>
    <t>PTDA. MATOSES, 37, 1   PEDREGUER</t>
  </si>
  <si>
    <t>SANDOVAL, 3 TALLER</t>
  </si>
  <si>
    <t xml:space="preserve">CALLE MAYOR,47 </t>
  </si>
  <si>
    <r>
      <rPr>
        <b/>
        <sz val="12"/>
        <color rgb="FF00B050"/>
        <rFont val="Calibri"/>
        <family val="2"/>
        <scheme val="minor"/>
      </rPr>
      <t>1.021,07</t>
    </r>
    <r>
      <rPr>
        <b/>
        <sz val="12"/>
        <color rgb="FFFF0000"/>
        <rFont val="Calibri"/>
        <family val="2"/>
        <scheme val="minor"/>
      </rPr>
      <t xml:space="preserve"> +</t>
    </r>
    <r>
      <rPr>
        <b/>
        <sz val="12"/>
        <color rgb="FF00B050"/>
        <rFont val="Calibri"/>
        <family val="2"/>
        <scheme val="minor"/>
      </rPr>
      <t xml:space="preserve"> 1.243,07</t>
    </r>
    <r>
      <rPr>
        <b/>
        <sz val="12"/>
        <color rgb="FFFF0000"/>
        <rFont val="Calibri"/>
        <family val="2"/>
        <scheme val="minor"/>
      </rPr>
      <t xml:space="preserve"> + </t>
    </r>
    <r>
      <rPr>
        <b/>
        <sz val="12"/>
        <color rgb="FF00B050"/>
        <rFont val="Calibri"/>
        <family val="2"/>
        <scheme val="minor"/>
      </rPr>
      <t xml:space="preserve">1.490,87 </t>
    </r>
    <r>
      <rPr>
        <b/>
        <sz val="12"/>
        <color rgb="FFFF0000"/>
        <rFont val="Calibri"/>
        <family val="2"/>
        <scheme val="minor"/>
      </rPr>
      <t>+</t>
    </r>
    <r>
      <rPr>
        <b/>
        <sz val="12"/>
        <color rgb="FF00B050"/>
        <rFont val="Calibri"/>
        <family val="2"/>
        <scheme val="minor"/>
      </rPr>
      <t xml:space="preserve"> 1.742,98</t>
    </r>
    <r>
      <rPr>
        <b/>
        <sz val="12"/>
        <color rgb="FFFF0000"/>
        <rFont val="Calibri"/>
        <family val="2"/>
        <scheme val="minor"/>
      </rPr>
      <t xml:space="preserve"> + </t>
    </r>
    <r>
      <rPr>
        <b/>
        <sz val="12"/>
        <color rgb="FF00B050"/>
        <rFont val="Calibri"/>
        <family val="2"/>
        <scheme val="minor"/>
      </rPr>
      <t>1.145,95</t>
    </r>
  </si>
  <si>
    <t>MEDITERRANEO 96 BJ</t>
  </si>
  <si>
    <t>Ω</t>
  </si>
  <si>
    <t>1.275,58 + 1.031,26 + 1.027,51= 3.334,35</t>
  </si>
  <si>
    <t>PARADIS, 24</t>
  </si>
  <si>
    <t>BLANQUERÍAS 2, B</t>
  </si>
  <si>
    <t>FRACCIONADA</t>
  </si>
  <si>
    <t>ES0021000000827500PA,  MAGDALENA ORTOLÁ FERRER</t>
  </si>
  <si>
    <t>C/ PARE PLACIDO, 51, BAJO 1    BENITACHEL</t>
  </si>
  <si>
    <t>PIETER BRUEGEL  31</t>
  </si>
  <si>
    <t>ES0021000000823230YB (MAGDALENA ORTOLÁ FERRER)</t>
  </si>
  <si>
    <t>PINTOR EL GRECO, 9</t>
  </si>
  <si>
    <t>ES0021000001498862XH</t>
  </si>
  <si>
    <t xml:space="preserve"> 1.349,66 + 1.412,88 + 1.739.80 = 4.502,34</t>
  </si>
  <si>
    <t>ES0021000001150884SF, GUILLERMO CHOLBI SART (4)</t>
  </si>
  <si>
    <r>
      <t xml:space="preserve"> 1.293,37</t>
    </r>
    <r>
      <rPr>
        <b/>
        <sz val="12"/>
        <color rgb="FFFF0000"/>
        <rFont val="Calibri"/>
        <family val="2"/>
        <scheme val="minor"/>
      </rPr>
      <t xml:space="preserve"> +</t>
    </r>
    <r>
      <rPr>
        <b/>
        <sz val="12"/>
        <color rgb="FF00B050"/>
        <rFont val="Calibri"/>
        <family val="2"/>
        <scheme val="minor"/>
      </rPr>
      <t xml:space="preserve"> 1.117,75 </t>
    </r>
    <r>
      <rPr>
        <b/>
        <sz val="12"/>
        <color rgb="FFFF0000"/>
        <rFont val="Calibri"/>
        <family val="2"/>
        <scheme val="minor"/>
      </rPr>
      <t xml:space="preserve">+ </t>
    </r>
    <r>
      <rPr>
        <b/>
        <sz val="12"/>
        <color rgb="FF00B050"/>
        <rFont val="Calibri"/>
        <family val="2"/>
        <scheme val="minor"/>
      </rPr>
      <t>983,42</t>
    </r>
    <r>
      <rPr>
        <b/>
        <sz val="12"/>
        <color rgb="FFFF0000"/>
        <rFont val="Calibri"/>
        <family val="2"/>
        <scheme val="minor"/>
      </rPr>
      <t xml:space="preserve"> + </t>
    </r>
    <r>
      <rPr>
        <b/>
        <sz val="12"/>
        <color rgb="FF00B050"/>
        <rFont val="Calibri"/>
        <family val="2"/>
        <scheme val="minor"/>
      </rPr>
      <t>423,19</t>
    </r>
  </si>
  <si>
    <t>423,19€ PAGADA 13/01/2026</t>
  </si>
  <si>
    <t xml:space="preserve">  1.229,02 + 1.176,82 + 839,42 = 3.245,26 </t>
  </si>
  <si>
    <t>890,37 + 663,67 + 1.128,34 = 2.681,38</t>
  </si>
  <si>
    <t>1.640,49 + 1.670,38 + 2.133,12 = 5.443,99</t>
  </si>
  <si>
    <t xml:space="preserve">AVDA. LA LIBERTAD, 11,  JAVEA  </t>
  </si>
  <si>
    <t>C/ AMSTERDAM 1, A ESC. 4, 1º G,  JAVEA</t>
  </si>
  <si>
    <t>ES0021000001504221JH,  THOMAS CHRISTIAAN GREVE</t>
  </si>
  <si>
    <t>C/ MANZANO, 28, 1,  MORAIRA - TEULADA</t>
  </si>
  <si>
    <t>ES0021000018843904LR,  LERWIN SANTIAGO AVENDAÑO ANDRADE</t>
  </si>
  <si>
    <t>C/ JUAN CORDERO, 34, BAJO   JAVEA</t>
  </si>
  <si>
    <t>JUAN RAMÓN JIMENEZ, 15A  JAVEA</t>
  </si>
  <si>
    <t>556,55 + 400,89 + 521,97= 1.479,41</t>
  </si>
  <si>
    <t>669,96 + 371,53 + 610,47 = 1.651,96</t>
  </si>
  <si>
    <t>700,21 + 734,74 = 1.434,95</t>
  </si>
  <si>
    <t>1.260,93 + 1.327,42 = 2.588,35</t>
  </si>
  <si>
    <t>TJ 05/02/26</t>
  </si>
  <si>
    <t>ES0021000039701028YN,  VLADIMIR KREMPASKY   (EVA)</t>
  </si>
  <si>
    <t>AVDA. BENISSA, 2 ESC. 1, 30ºC        BENIDORM</t>
  </si>
  <si>
    <t>C/ CARRIS, 10, 1    JAVEA</t>
  </si>
  <si>
    <t>ES0021000000948050MX,   OLDRICH PETRAS      ( EVA)</t>
  </si>
  <si>
    <t>C/ POSEIDO (MARQUESA VI), 12, BAJO     DENIA</t>
  </si>
  <si>
    <t>ES0021000001209164LM,   SPAINLIFE AND HOUSES S.L.  (EVA)</t>
  </si>
  <si>
    <t>AVDA. FONTANA, 2, BAJO A      03730   JAVEA</t>
  </si>
  <si>
    <t>ES0021000042961967ZB,  SPAINLIFE AND HOUSES S.L.  (EVA)</t>
  </si>
  <si>
    <t>C/ BENIMELI 8, BJ. 2              03770  EL VERGER</t>
  </si>
  <si>
    <t>ES0021000042994597FG,   MICHAL CUKAN    (EVA)</t>
  </si>
  <si>
    <t>C/ COLON, 22, 1º C             03140    GUARDAMAR DE SEGURA</t>
  </si>
  <si>
    <t>ES0021000001205457LR,    LULU BEACH CLUB JAVEA SL</t>
  </si>
  <si>
    <t>DEL POBLE NOU DE BENITATXELL 183 BJ    JAVEA</t>
  </si>
  <si>
    <t>ES0021000001212470RE,   SOPHIA ROSE WADLE   (EVA)</t>
  </si>
  <si>
    <t>C/ NICOSIA, 11 ESC. 2, 4                JAVEA</t>
  </si>
  <si>
    <t>ES0021000001498860XQ, CASA LILI, S.L</t>
  </si>
  <si>
    <t>ES0021000011513513VD, JUANVI MATA  (MONTGO SEGURIDAD SL.)</t>
  </si>
  <si>
    <t>ES0021000009532773XY,  MUSEO DE BILBAO  (EXHIBITION OF ILUSIONS SL.)</t>
  </si>
  <si>
    <t>ES0021000041455631WZ,   CHRISTIAN STRUYF      (THOMAS GREVE)</t>
  </si>
  <si>
    <t xml:space="preserve">AVDA. GARCÍAS, 115, 1              BENISSA </t>
  </si>
  <si>
    <t>AVDA. DE LA LIBERTAD 12,16  APTOS. HAWAI     JAVEA</t>
  </si>
  <si>
    <t xml:space="preserve">ES0021000038540357GJ,  AMANDA APARICI MARTINEZ  </t>
  </si>
  <si>
    <t>C/ BOMBER RAMÓN DUART, 15- B, 4º 13   VALENCIA</t>
  </si>
  <si>
    <t>PTDA. MARJAL 6-BIS, ORBA</t>
  </si>
  <si>
    <t xml:space="preserve">C/ BURDEOS, 9, 2B ESC. B, 2º 5    JAVEA </t>
  </si>
  <si>
    <t>C/  SEGORBE,6, 8      VALENCIA</t>
  </si>
  <si>
    <t>ES0021000001150431HZ,  CRISTIAN BETANCUR BARRERA</t>
  </si>
  <si>
    <t>AVDA. MARINA ALTA, 89, PTA. 7   GATA DE GORGOS</t>
  </si>
  <si>
    <t>ES0021000012286668YL,   ELISABETH M.PAREDES DE QUINTERO</t>
  </si>
  <si>
    <t>ES0021000001214540EE,   EVA ROHRMAN MADOVA  (EVA)</t>
  </si>
  <si>
    <t>ES0021000007872840JY,   SARA BARBERÁ SOLA</t>
  </si>
  <si>
    <t>C/ VIRGEN DEL CARMEN, 19   CATADAU, VALENCIA</t>
  </si>
  <si>
    <t>ES0021000008123399MA,  CBDSROLL, S.L.</t>
  </si>
  <si>
    <t>ES0021000019477983XQ,  SERGIO BARBERÁ SLU</t>
  </si>
  <si>
    <t>AVDA. AUSIAS MARCH, 49, PISO 1, PTA 2  LLOMBAI, VALENCIA</t>
  </si>
  <si>
    <t>ES0021000008123313RD,   SERGIO BARBERÁ SLU</t>
  </si>
  <si>
    <t>PZ REGNE DE VALENCIA, 5    VALENCIA</t>
  </si>
  <si>
    <t>610,49 + 614,72 + 438,88= 1.664,09</t>
  </si>
  <si>
    <t>632,62 + 617,11 + 408,29= 1.658,02</t>
  </si>
  <si>
    <t>1.145,23 + 1.093,05 + 1.022,96 = 3.261,24</t>
  </si>
  <si>
    <t>626,20 + 509,75 + 442,74= 1.578,69</t>
  </si>
  <si>
    <t>ES0021000001205457LR</t>
  </si>
  <si>
    <t>LULU BEACH CLUB JAVEA</t>
  </si>
  <si>
    <t>ES0021000001386440KC,  ZISKO SLAVOMIR</t>
  </si>
  <si>
    <t>URB. MONTE PEGO,80, 1  RAFOL DE ALMUNIA, ALICANTE</t>
  </si>
  <si>
    <t>ES0021000001194487WW,  NORAY PUERTO 2012, S.L.</t>
  </si>
  <si>
    <t xml:space="preserve">AVDA. JAIME 1, 1, 1º,   03730  JAVEA </t>
  </si>
  <si>
    <t>ES0021000043613462GP,  TIBOR ZACIK   (EVA)</t>
  </si>
  <si>
    <t>AVDA. MEDITERRÁNIA, 23, ESC. 1,, 2º B  DAIMUS, VALENCIA</t>
  </si>
  <si>
    <t>ES0021000001204298ZS,  MARIA DEL MAR FERRANDO GUILLEM (EVA)</t>
  </si>
  <si>
    <t>C/ ESTRET, 1, 1º, 1       03730  JAVEA</t>
  </si>
  <si>
    <t xml:space="preserve">ES0021000001200743KW,  DIEGO BARQUERO PÉREZ </t>
  </si>
  <si>
    <t>CR. JESÚS POBRE 28,      03730  JAVEA</t>
  </si>
  <si>
    <t>ES0021000013695713CS,   RADEK ERBEN   (EVA)</t>
  </si>
  <si>
    <t>C/ PIT ROIG, 10 ESC. B, 1    03700  DENIA</t>
  </si>
  <si>
    <t>1.468,31 + 784,48 + 898,30 = 3.151,09</t>
  </si>
  <si>
    <t>1.968,21 + 1.636,83 + 1.395,07 = 5.000,11</t>
  </si>
  <si>
    <t>ES0021000001502015DC</t>
  </si>
  <si>
    <t>ES0021000039701362KR,  SILVIA KREMPASKA   (EVA)</t>
  </si>
  <si>
    <t>AVDA. BENISSA, 2 ESC. 2, 34ºC,  03502  BENIDORM</t>
  </si>
  <si>
    <t>ES0021000042199454GV,  MICHAL GLOSIK   (EVA)</t>
  </si>
  <si>
    <t xml:space="preserve">AVDA. DE LA MAR, 11,   03770 EL VERGER </t>
  </si>
  <si>
    <t>449,68 + 349,71 + 300,70 + 322,31 = 1.422,40</t>
  </si>
  <si>
    <t>s</t>
  </si>
  <si>
    <t>ES0021000001277089MB,  URB. KRISTAL ANT</t>
  </si>
  <si>
    <t>KRISTAL, 12, 1      03530 BARRANC FONDO, ALICANTE</t>
  </si>
  <si>
    <t>ES0021000001277078MT,  WILLIAM GAMEZ RODRIGUEZ</t>
  </si>
  <si>
    <t>CAP ROIG, 24     03530  LA NUCIA, ALICANTE</t>
  </si>
  <si>
    <t>ES0021000000802907LC,  WILLIAM GAMEZ RODRIGUEZ</t>
  </si>
  <si>
    <t>ES0021000001504001GM,  THOMAS HERBERT GILLESSEN</t>
  </si>
  <si>
    <t>SATURNO, 1, 3, 1,     03501  BENIDORM, ALICANTE</t>
  </si>
  <si>
    <t>C/ LAHORE, 16, 1   MORAIRA, 03724  TEULADA</t>
  </si>
  <si>
    <t>ES0021000008759184RE,  JOSÉ CLIMENT APARISI (MARIA SOLEDAD ANSOLA E.)</t>
  </si>
  <si>
    <t>ES0021000000845749LJ,  JEANNETTE BROEKHUIJSEN</t>
  </si>
  <si>
    <t>PTDA. COMETA II- DTO. 54, 14C, 1     03710  CALPE</t>
  </si>
  <si>
    <t>ES0021000001507142WH,  LEONNE MARIE PROMPERS</t>
  </si>
  <si>
    <t>C/ CIGÚEÑA, 54, 1    03724   MORAIRA, TEULADA</t>
  </si>
  <si>
    <t xml:space="preserve">747,45 +855,98 +850,94 +758,48 +688,53 +712,88 = 4.614,26 </t>
  </si>
  <si>
    <t>ES0021000043613543FC,   MARTIN HERCEG</t>
  </si>
  <si>
    <t>AVDA. MEDITERRANEA, 23, ESC. 2, 3ºC  DAIMUS, VALENCIA</t>
  </si>
  <si>
    <t>ES0021000020488213AV,   ALAIN EDUARD VAN DEN W.</t>
  </si>
  <si>
    <t>AVDA. LA FUSTERA, 30 BAJO, 1  03720 BENISSA, ALICANTE</t>
  </si>
  <si>
    <t>ES0021000000826771EX,   REMBRANDT EMMANUEL</t>
  </si>
  <si>
    <t>C/CUABLANC, 26   03720  BENISSA, ALICANTE</t>
  </si>
  <si>
    <t>ES0021000000951808FL,  ALEXANDER GAITAN TUSELL</t>
  </si>
  <si>
    <t>3.068,66 + 2.581,37= 5.650,03</t>
  </si>
  <si>
    <t>ES0021000012804597PB,  GLAMPINGSERVICE BV</t>
  </si>
  <si>
    <t>C/ RIO GORGOS, 18, B1    MORAIRA, 03724 TEULADA</t>
  </si>
  <si>
    <t>C/ DIPUTACIO, 8, PISO 1    ART DE PIEL    VALENCIA</t>
  </si>
  <si>
    <t>ES0021000000827850TP,  FRANK GENDERS</t>
  </si>
  <si>
    <t>C/ VIENA, 4    03726  BENITACHEL,  ALICANTE</t>
  </si>
  <si>
    <t>ES0021000012841364CR,   KATHY ROELANT</t>
  </si>
  <si>
    <t>C/ LA EMPEDRUELA, 7, BLOQUE 1, 1   03710   CALPE</t>
  </si>
  <si>
    <t>ES0021000000856709JW,  ELLEN ERIKA A BELLEKENS</t>
  </si>
  <si>
    <t>PTDA. MANZANERA, 1 F, ESC. 2, 1º 4   03710  CALPE</t>
  </si>
  <si>
    <t>ES0021000000822969HA,  ANDRE FRANK VOGELAAR</t>
  </si>
  <si>
    <t>PTDA. PARATELLA, 33 BAJO,  03720   BENISSA</t>
  </si>
  <si>
    <t>ES0021000001211776VH,   COMPASS IBERICA 2007 SL.  (EVA)</t>
  </si>
  <si>
    <t>ES0021000037345279RS, 2 HAND FULL S.L. (JUAN CARLOS GONZALEZ B.)</t>
  </si>
  <si>
    <t>ES0021000001210751LM, ASAWAR ABBAS, S.L.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</si>
</sst>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00_);_(* \(#,##0.00\);_(* &quot;-&quot;??_);_(@_)"/>
  </numFmts>
  <fonts count="32">
    <font>
      <sz val="12"/>
      <color theme="1"/>
      <name val="Calibri"/>
      <family val="2"/>
      <scheme val="minor"/>
    </font>
    <font>
      <sz val="11"/>
      <color theme="1"/>
      <name val="Calibri"/>
      <family val="2"/>
      <scheme val="minor"/>
    </font>
    <font>
      <sz val="12"/>
      <color theme="1"/>
      <name val="Calibri"/>
      <family val="2"/>
      <scheme val="minor"/>
    </font>
    <font>
      <sz val="10"/>
      <color indexed="8"/>
      <name val="MS Sans Serif"/>
      <family val="2"/>
    </font>
    <font>
      <sz val="11"/>
      <color theme="1"/>
      <name val="Calibri"/>
      <family val="2"/>
      <scheme val="minor"/>
    </font>
    <font>
      <b/>
      <sz val="12"/>
      <color theme="0"/>
      <name val="Calibri"/>
      <family val="2"/>
      <scheme val="minor"/>
    </font>
    <font>
      <b/>
      <sz val="12"/>
      <color rgb="FFFF0000"/>
      <name val="Calibri"/>
      <family val="2"/>
      <scheme val="minor"/>
    </font>
    <font>
      <sz val="12"/>
      <color rgb="FF00B050"/>
      <name val="Calibri"/>
      <family val="2"/>
      <scheme val="minor"/>
    </font>
    <font>
      <b/>
      <sz val="12"/>
      <color rgb="FF00B050"/>
      <name val="Calibri"/>
      <family val="2"/>
      <scheme val="minor"/>
    </font>
    <font>
      <sz val="12"/>
      <name val="Calibri"/>
      <family val="2"/>
      <scheme val="minor"/>
    </font>
    <font>
      <b/>
      <sz val="12"/>
      <color rgb="FFEE0000"/>
      <name val="Calibri"/>
      <family val="2"/>
      <scheme val="minor"/>
    </font>
    <font>
      <sz val="12"/>
      <color theme="1"/>
      <name val="Calibri"/>
      <family val="2"/>
    </font>
    <font>
      <sz val="12"/>
      <color rgb="FF000000"/>
      <name val="Aptos Narrow"/>
      <family val="2"/>
    </font>
    <font>
      <sz val="12"/>
      <color rgb="FF000000"/>
      <name val="Calibri"/>
      <family val="2"/>
    </font>
    <font>
      <b/>
      <sz val="12"/>
      <color rgb="FF00B050"/>
      <name val="Aptos Narrow"/>
      <family val="2"/>
    </font>
    <font>
      <b/>
      <sz val="12"/>
      <color rgb="FF00B050"/>
      <name val="Aptos Narrow"/>
      <family val="2"/>
    </font>
    <font>
      <sz val="12"/>
      <color rgb="FFC00000"/>
      <name val="Calibri"/>
      <family val="2"/>
      <scheme val="minor"/>
    </font>
    <font>
      <b/>
      <sz val="12"/>
      <color rgb="FF7030A0"/>
      <name val="Calibri"/>
      <family val="2"/>
      <scheme val="minor"/>
    </font>
    <font>
      <b/>
      <sz val="12"/>
      <color theme="1"/>
      <name val="Calibri"/>
      <family val="2"/>
      <scheme val="minor"/>
    </font>
    <font>
      <b/>
      <sz val="12"/>
      <color theme="4"/>
      <name val="Calibri"/>
      <family val="2"/>
      <scheme val="minor"/>
    </font>
    <font>
      <b/>
      <sz val="12"/>
      <color rgb="FFFFFFFF"/>
      <name val="Calibri"/>
      <family val="2"/>
      <scheme val="minor"/>
    </font>
    <font>
      <b/>
      <sz val="12"/>
      <color rgb="FF0070C0"/>
      <name val="Calibri"/>
      <family val="2"/>
      <scheme val="minor"/>
    </font>
    <font>
      <b/>
      <sz val="12"/>
      <color rgb="FF000000"/>
      <name val="Calibri"/>
      <family val="2"/>
      <scheme val="minor"/>
    </font>
    <font>
      <b/>
      <sz val="12"/>
      <color rgb="FF000000"/>
      <name val="Calibri"/>
      <family val="2"/>
    </font>
    <font>
      <b/>
      <sz val="12"/>
      <name val="Calibri"/>
      <family val="2"/>
      <scheme val="minor"/>
    </font>
    <font>
      <b/>
      <sz val="12"/>
      <color rgb="FFFFFFFF"/>
      <name val="Calibri"/>
      <family val="2"/>
    </font>
    <font>
      <b/>
      <sz val="12"/>
      <color rgb="FFFFFFFF"/>
      <name val="Aptos Narrow"/>
      <family val="2"/>
    </font>
    <font>
      <b/>
      <sz val="12"/>
      <color theme="1"/>
      <name val="Calibri"/>
      <family val="2"/>
    </font>
    <font>
      <b/>
      <sz val="12"/>
      <color theme="0"/>
      <name val="Calibri (Cuerpo)"/>
    </font>
    <font>
      <b/>
      <sz val="12"/>
      <color theme="1"/>
      <name val="Nunito SemiBold"/>
    </font>
    <font>
      <b/>
      <sz val="14"/>
      <color rgb="FF8F9097"/>
      <name val="Arial"/>
      <family val="2"/>
    </font>
    <font>
      <b/>
      <sz val="11"/>
      <color rgb="FF000000"/>
      <name val="Aptos Narrow"/>
      <family val="2"/>
    </font>
  </fonts>
  <fills count="36">
    <fill>
      <patternFill patternType="none"/>
    </fill>
    <fill>
      <patternFill patternType="gray125"/>
    </fill>
    <fill>
      <patternFill patternType="solid">
        <fgColor theme="4" tint="0.59999389629810485"/>
        <bgColor indexed="64"/>
      </patternFill>
    </fill>
    <fill>
      <patternFill patternType="solid">
        <fgColor theme="0" tint="-4.9989318521683403E-2"/>
        <bgColor indexed="64"/>
      </patternFill>
    </fill>
    <fill>
      <patternFill patternType="solid">
        <fgColor rgb="FFF2F2F2"/>
        <bgColor rgb="FF000000"/>
      </patternFill>
    </fill>
    <fill>
      <patternFill patternType="solid">
        <fgColor rgb="FFC00000"/>
        <bgColor indexed="64"/>
      </patternFill>
    </fill>
    <fill>
      <patternFill patternType="solid">
        <fgColor theme="4" tint="0.79998168889431442"/>
        <bgColor indexed="64"/>
      </patternFill>
    </fill>
    <fill>
      <patternFill patternType="solid">
        <fgColor theme="4" tint="0.59999389629810485"/>
        <bgColor rgb="FF000000"/>
      </patternFill>
    </fill>
    <fill>
      <patternFill patternType="solid">
        <fgColor rgb="FF00B050"/>
        <bgColor indexed="64"/>
      </patternFill>
    </fill>
    <fill>
      <patternFill patternType="solid">
        <fgColor rgb="FFFF0000"/>
        <bgColor indexed="64"/>
      </patternFill>
    </fill>
    <fill>
      <patternFill patternType="solid">
        <fgColor theme="4" tint="-0.249977111117893"/>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B4C6E7"/>
        <bgColor rgb="FFB4C6E7"/>
      </patternFill>
    </fill>
    <fill>
      <patternFill patternType="solid">
        <fgColor rgb="FF00B0F0"/>
        <bgColor indexed="64"/>
      </patternFill>
    </fill>
    <fill>
      <patternFill patternType="solid">
        <fgColor rgb="FFF6C3FF"/>
        <bgColor indexed="64"/>
      </patternFill>
    </fill>
    <fill>
      <patternFill patternType="solid">
        <fgColor rgb="FF92D050"/>
        <bgColor indexed="64"/>
      </patternFill>
    </fill>
    <fill>
      <patternFill patternType="solid">
        <fgColor rgb="FFDDEBF7"/>
        <bgColor rgb="FFDDEBF7"/>
      </patternFill>
    </fill>
    <fill>
      <patternFill patternType="solid">
        <fgColor theme="4" tint="0.79998168889431442"/>
        <bgColor theme="4" tint="0.79998168889431442"/>
      </patternFill>
    </fill>
    <fill>
      <patternFill patternType="solid">
        <fgColor theme="0"/>
        <bgColor theme="4" tint="0.79998168889431442"/>
      </patternFill>
    </fill>
    <fill>
      <patternFill patternType="solid">
        <fgColor theme="4"/>
        <bgColor theme="4"/>
      </patternFill>
    </fill>
    <fill>
      <patternFill patternType="solid">
        <fgColor rgb="FF00B050"/>
        <bgColor theme="4" tint="0.79998168889431442"/>
      </patternFill>
    </fill>
    <fill>
      <patternFill patternType="solid">
        <fgColor rgb="FFFF0000"/>
        <bgColor rgb="FF00B050"/>
      </patternFill>
    </fill>
    <fill>
      <patternFill patternType="solid">
        <fgColor theme="4" tint="0.79998168889431442"/>
        <bgColor theme="4"/>
      </patternFill>
    </fill>
    <fill>
      <patternFill patternType="solid">
        <fgColor rgb="FFFFC000"/>
        <bgColor indexed="64"/>
      </patternFill>
    </fill>
    <fill>
      <patternFill patternType="solid">
        <fgColor rgb="FFEE0000"/>
        <bgColor indexed="64"/>
      </patternFill>
    </fill>
    <fill>
      <patternFill patternType="solid">
        <fgColor theme="0"/>
        <bgColor theme="4"/>
      </patternFill>
    </fill>
    <fill>
      <patternFill patternType="solid">
        <fgColor theme="4" tint="0.79998168889431442"/>
        <bgColor rgb="FFFFFFFF"/>
      </patternFill>
    </fill>
    <fill>
      <patternFill patternType="solid">
        <fgColor rgb="FFFFFFFF"/>
        <bgColor rgb="FFFFFFFF"/>
      </patternFill>
    </fill>
    <fill>
      <patternFill patternType="solid">
        <fgColor theme="4" tint="0.79998168889431442"/>
        <bgColor rgb="FFB4C6E7"/>
      </patternFill>
    </fill>
    <fill>
      <patternFill patternType="solid">
        <fgColor rgb="FF00B050"/>
        <bgColor rgb="FF00B050"/>
      </patternFill>
    </fill>
    <fill>
      <patternFill patternType="solid">
        <fgColor theme="0"/>
        <bgColor rgb="FF00B050"/>
      </patternFill>
    </fill>
    <fill>
      <patternFill patternType="solid">
        <fgColor theme="6" tint="0.59999389629810485"/>
        <bgColor indexed="65"/>
      </patternFill>
    </fill>
    <fill>
      <patternFill patternType="solid">
        <fgColor theme="3" tint="0.79998168889431442"/>
        <bgColor indexed="64"/>
      </patternFill>
    </fill>
    <fill>
      <patternFill patternType="solid">
        <fgColor rgb="FFFFC000"/>
        <bgColor theme="4" tint="0.79998168889431442"/>
      </patternFill>
    </fill>
  </fills>
  <borders count="16">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rgb="FF8EA9DB"/>
      </top>
      <bottom style="thin">
        <color rgb="FF8EA9DB"/>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theme="4" tint="0.39997558519241921"/>
      </right>
      <top style="thin">
        <color theme="4" tint="0.39997558519241921"/>
      </top>
      <bottom/>
      <diagonal/>
    </border>
    <border>
      <left/>
      <right/>
      <top style="thin">
        <color theme="4" tint="0.39997558519241921"/>
      </top>
      <bottom/>
      <diagonal/>
    </border>
    <border>
      <left style="medium">
        <color indexed="64"/>
      </left>
      <right/>
      <top style="medium">
        <color indexed="64"/>
      </top>
      <bottom/>
      <diagonal/>
    </border>
    <border>
      <left style="thin">
        <color rgb="FF000000"/>
      </left>
      <right style="thin">
        <color rgb="FF000000"/>
      </right>
      <top style="thin">
        <color rgb="FF000000"/>
      </top>
      <bottom style="thin">
        <color rgb="FF000000"/>
      </bottom>
      <diagonal/>
    </border>
    <border>
      <left style="thin">
        <color theme="4" tint="0.39997558519241921"/>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style="medium">
        <color indexed="64"/>
      </left>
      <right/>
      <top style="thin">
        <color theme="4" tint="0.39997558519241921"/>
      </top>
      <bottom/>
      <diagonal/>
    </border>
    <border>
      <left/>
      <right style="thin">
        <color rgb="FF000000"/>
      </right>
      <top style="thin">
        <color rgb="FF000000"/>
      </top>
      <bottom style="thin">
        <color rgb="FF000000"/>
      </bottom>
      <diagonal/>
    </border>
  </borders>
  <cellStyleXfs count="8">
    <xf numFmtId="0" fontId="0" fillId="0" borderId="0"/>
    <xf numFmtId="43" fontId="2" fillId="0" borderId="0" applyFont="0" applyFill="0" applyBorder="0" applyAlignment="0" applyProtection="0"/>
    <xf numFmtId="9" fontId="2" fillId="0" borderId="0" applyFont="0" applyFill="0" applyBorder="0" applyAlignment="0" applyProtection="0"/>
    <xf numFmtId="0" fontId="3" fillId="0" borderId="0"/>
    <xf numFmtId="165" fontId="4" fillId="0" borderId="0" applyFont="0" applyFill="0" applyBorder="0" applyAlignment="0" applyProtection="0"/>
    <xf numFmtId="0" fontId="4" fillId="0" borderId="0"/>
    <xf numFmtId="43" fontId="4" fillId="0" borderId="0" applyFont="0" applyFill="0" applyBorder="0" applyAlignment="0" applyProtection="0"/>
    <xf numFmtId="0" fontId="1" fillId="33" borderId="0" applyNumberFormat="0" applyBorder="0" applyAlignment="0" applyProtection="0"/>
  </cellStyleXfs>
  <cellXfs count="345">
    <xf numFmtId="0" fontId="0" fillId="0" borderId="0" xfId="0"/>
    <xf numFmtId="43" fontId="0" fillId="0" borderId="0" xfId="1" applyFont="1"/>
    <xf numFmtId="43" fontId="0" fillId="8" borderId="0" xfId="1" applyFont="1" applyFill="1"/>
    <xf numFmtId="43" fontId="6" fillId="0" borderId="0" xfId="1" applyFont="1"/>
    <xf numFmtId="0" fontId="6" fillId="0" borderId="0" xfId="0" applyFont="1" applyAlignment="1">
      <alignment horizontal="center"/>
    </xf>
    <xf numFmtId="0" fontId="7" fillId="0" borderId="0" xfId="0" applyFont="1"/>
    <xf numFmtId="0" fontId="0" fillId="6" borderId="0" xfId="0" applyFill="1"/>
    <xf numFmtId="0" fontId="0" fillId="13" borderId="0" xfId="0" applyFill="1"/>
    <xf numFmtId="0" fontId="6" fillId="6" borderId="0" xfId="0" applyFont="1" applyFill="1" applyAlignment="1">
      <alignment horizontal="center"/>
    </xf>
    <xf numFmtId="0" fontId="6" fillId="6" borderId="0" xfId="0" applyFont="1" applyFill="1"/>
    <xf numFmtId="0" fontId="6" fillId="0" borderId="0" xfId="0" applyFont="1"/>
    <xf numFmtId="0" fontId="6" fillId="13" borderId="0" xfId="0" applyFont="1" applyFill="1" applyAlignment="1">
      <alignment horizontal="center"/>
    </xf>
    <xf numFmtId="0" fontId="8" fillId="6" borderId="0" xfId="0" applyFont="1" applyFill="1"/>
    <xf numFmtId="0" fontId="8" fillId="0" borderId="0" xfId="0" applyFont="1"/>
    <xf numFmtId="0" fontId="8" fillId="0" borderId="0" xfId="0" applyFont="1" applyAlignment="1">
      <alignment horizontal="center"/>
    </xf>
    <xf numFmtId="0" fontId="8" fillId="6" borderId="0" xfId="0" applyFont="1" applyFill="1" applyAlignment="1">
      <alignment horizontal="center"/>
    </xf>
    <xf numFmtId="0" fontId="8" fillId="6" borderId="0" xfId="0" applyFont="1" applyFill="1" applyAlignment="1">
      <alignment horizontal="right"/>
    </xf>
    <xf numFmtId="0" fontId="8" fillId="6" borderId="0" xfId="0" applyFont="1" applyFill="1" applyAlignment="1">
      <alignment horizontal="left"/>
    </xf>
    <xf numFmtId="0" fontId="8" fillId="0" borderId="0" xfId="0" applyFont="1" applyAlignment="1">
      <alignment horizontal="right"/>
    </xf>
    <xf numFmtId="4" fontId="8" fillId="0" borderId="0" xfId="0" applyNumberFormat="1" applyFont="1" applyAlignment="1">
      <alignment horizontal="right"/>
    </xf>
    <xf numFmtId="43" fontId="8" fillId="0" borderId="0" xfId="1" applyFont="1"/>
    <xf numFmtId="43" fontId="0" fillId="0" borderId="0" xfId="0" applyNumberFormat="1"/>
    <xf numFmtId="0" fontId="0" fillId="19" borderId="9" xfId="0" applyFill="1" applyBorder="1"/>
    <xf numFmtId="0" fontId="8" fillId="19" borderId="9" xfId="0" applyFont="1" applyFill="1" applyBorder="1"/>
    <xf numFmtId="0" fontId="8" fillId="19" borderId="9" xfId="0" applyFont="1" applyFill="1" applyBorder="1" applyAlignment="1">
      <alignment horizontal="center"/>
    </xf>
    <xf numFmtId="0" fontId="0" fillId="0" borderId="9" xfId="0" applyBorder="1"/>
    <xf numFmtId="0" fontId="8" fillId="0" borderId="9" xfId="0" applyFont="1" applyBorder="1" applyAlignment="1">
      <alignment horizontal="center"/>
    </xf>
    <xf numFmtId="43" fontId="8" fillId="0" borderId="9" xfId="1" applyFont="1" applyBorder="1"/>
    <xf numFmtId="43" fontId="8" fillId="19" borderId="9" xfId="1" applyFont="1" applyFill="1" applyBorder="1"/>
    <xf numFmtId="0" fontId="8" fillId="0" borderId="9" xfId="0" applyFont="1" applyBorder="1"/>
    <xf numFmtId="43" fontId="8" fillId="19" borderId="9" xfId="1" applyFont="1" applyFill="1" applyBorder="1" applyAlignment="1">
      <alignment horizontal="center"/>
    </xf>
    <xf numFmtId="0" fontId="0" fillId="8" borderId="9" xfId="0" applyFill="1" applyBorder="1"/>
    <xf numFmtId="0" fontId="0" fillId="6" borderId="9" xfId="0" applyFill="1" applyBorder="1"/>
    <xf numFmtId="0" fontId="0" fillId="8" borderId="0" xfId="0" applyFill="1"/>
    <xf numFmtId="43" fontId="8" fillId="0" borderId="0" xfId="1" applyFont="1" applyAlignment="1">
      <alignment horizontal="right"/>
    </xf>
    <xf numFmtId="43" fontId="0" fillId="17" borderId="0" xfId="1" applyFont="1" applyFill="1"/>
    <xf numFmtId="43" fontId="9" fillId="0" borderId="0" xfId="1" applyFont="1" applyFill="1"/>
    <xf numFmtId="43" fontId="9" fillId="8" borderId="0" xfId="1" applyFont="1" applyFill="1"/>
    <xf numFmtId="17" fontId="5" fillId="21" borderId="8" xfId="0" applyNumberFormat="1" applyFont="1" applyFill="1" applyBorder="1"/>
    <xf numFmtId="17" fontId="5" fillId="21" borderId="9" xfId="0" applyNumberFormat="1" applyFont="1" applyFill="1" applyBorder="1"/>
    <xf numFmtId="0" fontId="5" fillId="21" borderId="9" xfId="0" applyFont="1" applyFill="1" applyBorder="1"/>
    <xf numFmtId="0" fontId="8" fillId="13" borderId="0" xfId="0" applyFont="1" applyFill="1"/>
    <xf numFmtId="0" fontId="6" fillId="0" borderId="9" xfId="0" applyFont="1" applyBorder="1" applyAlignment="1">
      <alignment horizontal="center"/>
    </xf>
    <xf numFmtId="0" fontId="8" fillId="19" borderId="0" xfId="0" applyFont="1" applyFill="1"/>
    <xf numFmtId="43" fontId="8" fillId="0" borderId="0" xfId="1" applyFont="1" applyBorder="1"/>
    <xf numFmtId="43" fontId="8" fillId="19" borderId="0" xfId="1" applyFont="1" applyFill="1" applyBorder="1"/>
    <xf numFmtId="43" fontId="8" fillId="0" borderId="9" xfId="1" applyFont="1" applyBorder="1" applyAlignment="1"/>
    <xf numFmtId="0" fontId="8" fillId="19" borderId="0" xfId="0" applyFont="1" applyFill="1" applyAlignment="1">
      <alignment horizontal="center"/>
    </xf>
    <xf numFmtId="43" fontId="8" fillId="0" borderId="0" xfId="1" applyFont="1" applyBorder="1" applyAlignment="1">
      <alignment horizontal="center"/>
    </xf>
    <xf numFmtId="43" fontId="8" fillId="19" borderId="0" xfId="1" applyFont="1" applyFill="1" applyBorder="1" applyAlignment="1">
      <alignment horizontal="center"/>
    </xf>
    <xf numFmtId="0" fontId="6" fillId="19" borderId="0" xfId="0" applyFont="1" applyFill="1"/>
    <xf numFmtId="0" fontId="0" fillId="19" borderId="0" xfId="0" applyFill="1"/>
    <xf numFmtId="0" fontId="7" fillId="19" borderId="0" xfId="0" applyFont="1" applyFill="1"/>
    <xf numFmtId="0" fontId="9" fillId="0" borderId="0" xfId="0" applyFont="1"/>
    <xf numFmtId="43" fontId="0" fillId="6" borderId="0" xfId="1" applyFont="1" applyFill="1"/>
    <xf numFmtId="0" fontId="0" fillId="22" borderId="9" xfId="0" applyFill="1" applyBorder="1"/>
    <xf numFmtId="0" fontId="8" fillId="19" borderId="0" xfId="0" applyFont="1" applyFill="1" applyAlignment="1">
      <alignment horizontal="right"/>
    </xf>
    <xf numFmtId="43" fontId="8" fillId="6" borderId="9" xfId="1" applyFont="1" applyFill="1" applyBorder="1"/>
    <xf numFmtId="43" fontId="8" fillId="19" borderId="0" xfId="1" applyFont="1" applyFill="1" applyBorder="1" applyAlignment="1">
      <alignment horizontal="right"/>
    </xf>
    <xf numFmtId="43" fontId="8" fillId="0" borderId="0" xfId="1" applyFont="1" applyBorder="1" applyAlignment="1">
      <alignment horizontal="right"/>
    </xf>
    <xf numFmtId="0" fontId="8" fillId="6" borderId="9" xfId="0" applyFont="1" applyFill="1" applyBorder="1" applyAlignment="1">
      <alignment horizontal="center"/>
    </xf>
    <xf numFmtId="0" fontId="6" fillId="6" borderId="9" xfId="0" applyFont="1" applyFill="1" applyBorder="1" applyAlignment="1">
      <alignment horizontal="center"/>
    </xf>
    <xf numFmtId="0" fontId="9" fillId="19" borderId="0" xfId="0" applyFont="1" applyFill="1"/>
    <xf numFmtId="0" fontId="0" fillId="22" borderId="0" xfId="0" applyFill="1"/>
    <xf numFmtId="43" fontId="0" fillId="0" borderId="0" xfId="1" applyFont="1" applyBorder="1"/>
    <xf numFmtId="43" fontId="8" fillId="6" borderId="0" xfId="1" applyFont="1" applyFill="1" applyBorder="1"/>
    <xf numFmtId="43" fontId="0" fillId="8" borderId="0" xfId="1" applyFont="1" applyFill="1" applyBorder="1"/>
    <xf numFmtId="0" fontId="9" fillId="22" borderId="0" xfId="0" applyFont="1" applyFill="1"/>
    <xf numFmtId="43" fontId="0" fillId="22" borderId="0" xfId="1" applyFont="1" applyFill="1"/>
    <xf numFmtId="43" fontId="9" fillId="22" borderId="0" xfId="1" applyFont="1" applyFill="1"/>
    <xf numFmtId="0" fontId="8" fillId="13" borderId="0" xfId="0" applyFont="1" applyFill="1" applyAlignment="1">
      <alignment horizontal="center"/>
    </xf>
    <xf numFmtId="0" fontId="8" fillId="13" borderId="0" xfId="0" applyFont="1" applyFill="1" applyAlignment="1">
      <alignment horizontal="right"/>
    </xf>
    <xf numFmtId="0" fontId="0" fillId="0" borderId="6" xfId="0" applyBorder="1"/>
    <xf numFmtId="17" fontId="6" fillId="24" borderId="0" xfId="0" applyNumberFormat="1" applyFont="1" applyFill="1"/>
    <xf numFmtId="17" fontId="6" fillId="24" borderId="0" xfId="0" applyNumberFormat="1" applyFont="1" applyFill="1" applyAlignment="1">
      <alignment horizontal="center"/>
    </xf>
    <xf numFmtId="17" fontId="5" fillId="24" borderId="0" xfId="0" applyNumberFormat="1" applyFont="1" applyFill="1"/>
    <xf numFmtId="43" fontId="6" fillId="0" borderId="0" xfId="1" applyFont="1" applyAlignment="1">
      <alignment horizontal="center"/>
    </xf>
    <xf numFmtId="4" fontId="8" fillId="0" borderId="9" xfId="0" applyNumberFormat="1" applyFont="1" applyBorder="1"/>
    <xf numFmtId="43" fontId="2" fillId="8" borderId="0" xfId="1" applyFont="1" applyFill="1"/>
    <xf numFmtId="4" fontId="8" fillId="0" borderId="0" xfId="0" applyNumberFormat="1" applyFont="1"/>
    <xf numFmtId="43" fontId="6" fillId="8" borderId="0" xfId="1" applyFont="1" applyFill="1"/>
    <xf numFmtId="0" fontId="6" fillId="22" borderId="0" xfId="0" applyFont="1" applyFill="1"/>
    <xf numFmtId="0" fontId="6" fillId="8" borderId="0" xfId="0" applyFont="1" applyFill="1"/>
    <xf numFmtId="0" fontId="6" fillId="22" borderId="9" xfId="0" applyFont="1" applyFill="1" applyBorder="1"/>
    <xf numFmtId="0" fontId="6" fillId="8" borderId="9" xfId="0" applyFont="1" applyFill="1" applyBorder="1"/>
    <xf numFmtId="43" fontId="6" fillId="0" borderId="0" xfId="1" applyFont="1" applyAlignment="1"/>
    <xf numFmtId="43" fontId="9" fillId="0" borderId="0" xfId="1" applyFont="1"/>
    <xf numFmtId="43" fontId="8" fillId="6" borderId="0" xfId="1" applyFont="1" applyFill="1" applyAlignment="1">
      <alignment horizontal="right"/>
    </xf>
    <xf numFmtId="0" fontId="8" fillId="6" borderId="9" xfId="0" applyFont="1" applyFill="1" applyBorder="1"/>
    <xf numFmtId="4" fontId="8" fillId="6" borderId="0" xfId="0" applyNumberFormat="1" applyFont="1" applyFill="1" applyAlignment="1">
      <alignment horizontal="right"/>
    </xf>
    <xf numFmtId="0" fontId="6" fillId="19" borderId="0" xfId="0" applyFont="1" applyFill="1" applyAlignment="1">
      <alignment horizontal="center"/>
    </xf>
    <xf numFmtId="4" fontId="8" fillId="6" borderId="0" xfId="0" applyNumberFormat="1" applyFont="1" applyFill="1"/>
    <xf numFmtId="0" fontId="8" fillId="24" borderId="0" xfId="0" applyFont="1" applyFill="1" applyAlignment="1">
      <alignment horizontal="right"/>
    </xf>
    <xf numFmtId="0" fontId="8" fillId="24" borderId="0" xfId="0" applyFont="1" applyFill="1" applyAlignment="1">
      <alignment horizontal="center"/>
    </xf>
    <xf numFmtId="43" fontId="9" fillId="19" borderId="0" xfId="1" applyFont="1" applyFill="1"/>
    <xf numFmtId="0" fontId="0" fillId="6" borderId="6" xfId="0" applyFill="1" applyBorder="1"/>
    <xf numFmtId="0" fontId="6" fillId="13" borderId="0" xfId="0" applyFont="1" applyFill="1"/>
    <xf numFmtId="0" fontId="8" fillId="6" borderId="9" xfId="0" applyFont="1" applyFill="1" applyBorder="1" applyAlignment="1">
      <alignment horizontal="right"/>
    </xf>
    <xf numFmtId="0" fontId="8" fillId="6" borderId="9" xfId="0" applyFont="1" applyFill="1" applyBorder="1" applyAlignment="1">
      <alignment horizontal="left"/>
    </xf>
    <xf numFmtId="0" fontId="0" fillId="25" borderId="9" xfId="0" applyFill="1" applyBorder="1"/>
    <xf numFmtId="43" fontId="8" fillId="0" borderId="0" xfId="1" applyFont="1" applyBorder="1" applyAlignment="1"/>
    <xf numFmtId="0" fontId="6" fillId="0" borderId="6" xfId="0" applyFont="1" applyBorder="1" applyAlignment="1">
      <alignment horizontal="center"/>
    </xf>
    <xf numFmtId="43" fontId="6" fillId="6" borderId="9" xfId="1" applyFont="1" applyFill="1" applyBorder="1"/>
    <xf numFmtId="0" fontId="6" fillId="0" borderId="6" xfId="0" applyFont="1" applyBorder="1"/>
    <xf numFmtId="0" fontId="0" fillId="25" borderId="0" xfId="0" applyFill="1"/>
    <xf numFmtId="43" fontId="8" fillId="6" borderId="0" xfId="1" applyFont="1" applyFill="1" applyBorder="1" applyAlignment="1">
      <alignment horizontal="left"/>
    </xf>
    <xf numFmtId="0" fontId="6" fillId="8" borderId="0" xfId="0" applyFont="1" applyFill="1" applyAlignment="1">
      <alignment horizontal="right"/>
    </xf>
    <xf numFmtId="0" fontId="7" fillId="6" borderId="0" xfId="0" applyFont="1" applyFill="1"/>
    <xf numFmtId="0" fontId="10" fillId="8" borderId="0" xfId="0" applyFont="1" applyFill="1"/>
    <xf numFmtId="0" fontId="10" fillId="6" borderId="0" xfId="0" applyFont="1" applyFill="1"/>
    <xf numFmtId="43" fontId="6" fillId="17" borderId="0" xfId="1" applyFont="1" applyFill="1" applyBorder="1"/>
    <xf numFmtId="43" fontId="0" fillId="6" borderId="0" xfId="1" applyFont="1" applyFill="1" applyBorder="1"/>
    <xf numFmtId="43" fontId="8" fillId="6" borderId="0" xfId="1" applyFont="1" applyFill="1" applyBorder="1" applyAlignment="1">
      <alignment horizontal="center"/>
    </xf>
    <xf numFmtId="0" fontId="0" fillId="0" borderId="0" xfId="0" applyAlignment="1">
      <alignment horizontal="right"/>
    </xf>
    <xf numFmtId="0" fontId="0" fillId="13" borderId="0" xfId="0" applyFill="1" applyAlignment="1">
      <alignment horizontal="right"/>
    </xf>
    <xf numFmtId="0" fontId="0" fillId="6" borderId="0" xfId="0" applyFill="1" applyAlignment="1">
      <alignment horizontal="right"/>
    </xf>
    <xf numFmtId="0" fontId="12" fillId="28" borderId="11" xfId="0" applyFont="1" applyFill="1" applyBorder="1" applyAlignment="1">
      <alignment horizontal="right"/>
    </xf>
    <xf numFmtId="0" fontId="0" fillId="6" borderId="11" xfId="0" applyFill="1" applyBorder="1" applyAlignment="1">
      <alignment horizontal="right"/>
    </xf>
    <xf numFmtId="0" fontId="0" fillId="0" borderId="11" xfId="0" applyBorder="1" applyAlignment="1">
      <alignment horizontal="right"/>
    </xf>
    <xf numFmtId="0" fontId="0" fillId="19" borderId="0" xfId="0" applyFill="1" applyAlignment="1">
      <alignment horizontal="right"/>
    </xf>
    <xf numFmtId="0" fontId="12" fillId="0" borderId="0" xfId="0" applyFont="1" applyAlignment="1">
      <alignment horizontal="right"/>
    </xf>
    <xf numFmtId="0" fontId="0" fillId="6" borderId="12" xfId="0" applyFill="1" applyBorder="1" applyAlignment="1">
      <alignment horizontal="right"/>
    </xf>
    <xf numFmtId="0" fontId="0" fillId="0" borderId="12" xfId="0" applyBorder="1" applyAlignment="1">
      <alignment horizontal="right"/>
    </xf>
    <xf numFmtId="0" fontId="13" fillId="0" borderId="12" xfId="0" applyFont="1" applyBorder="1" applyAlignment="1">
      <alignment horizontal="right"/>
    </xf>
    <xf numFmtId="0" fontId="0" fillId="19" borderId="12" xfId="0" applyFill="1" applyBorder="1" applyAlignment="1">
      <alignment horizontal="right"/>
    </xf>
    <xf numFmtId="0" fontId="13" fillId="14" borderId="0" xfId="0" applyFont="1" applyFill="1" applyAlignment="1">
      <alignment horizontal="right"/>
    </xf>
    <xf numFmtId="0" fontId="0" fillId="19" borderId="11" xfId="0" applyFill="1" applyBorder="1" applyAlignment="1">
      <alignment horizontal="right"/>
    </xf>
    <xf numFmtId="0" fontId="0" fillId="24" borderId="11" xfId="0" applyFill="1" applyBorder="1" applyAlignment="1">
      <alignment horizontal="right"/>
    </xf>
    <xf numFmtId="0" fontId="13" fillId="0" borderId="0" xfId="0" applyFont="1" applyAlignment="1">
      <alignment horizontal="right"/>
    </xf>
    <xf numFmtId="0" fontId="13" fillId="30" borderId="0" xfId="0" applyFont="1" applyFill="1" applyAlignment="1">
      <alignment horizontal="right"/>
    </xf>
    <xf numFmtId="0" fontId="13" fillId="6" borderId="0" xfId="0" applyFont="1" applyFill="1" applyAlignment="1">
      <alignment horizontal="right"/>
    </xf>
    <xf numFmtId="0" fontId="12" fillId="0" borderId="11" xfId="0" applyFont="1" applyBorder="1" applyAlignment="1">
      <alignment horizontal="right"/>
    </xf>
    <xf numFmtId="0" fontId="13" fillId="0" borderId="11" xfId="0" applyFont="1" applyBorder="1" applyAlignment="1">
      <alignment horizontal="right"/>
    </xf>
    <xf numFmtId="0" fontId="12" fillId="29" borderId="11" xfId="0" applyFont="1" applyFill="1" applyBorder="1" applyAlignment="1">
      <alignment horizontal="right"/>
    </xf>
    <xf numFmtId="0" fontId="12" fillId="0" borderId="13" xfId="0" applyFont="1" applyBorder="1" applyAlignment="1">
      <alignment horizontal="right"/>
    </xf>
    <xf numFmtId="0" fontId="0" fillId="0" borderId="0" xfId="0" applyAlignment="1">
      <alignment horizontal="center"/>
    </xf>
    <xf numFmtId="0" fontId="5" fillId="21" borderId="14" xfId="0" applyFont="1" applyFill="1" applyBorder="1" applyAlignment="1">
      <alignment horizontal="center"/>
    </xf>
    <xf numFmtId="0" fontId="8" fillId="13" borderId="0" xfId="0" applyFont="1" applyFill="1" applyAlignment="1">
      <alignment horizontal="left"/>
    </xf>
    <xf numFmtId="0" fontId="14" fillId="28" borderId="11" xfId="0" applyFont="1" applyFill="1" applyBorder="1"/>
    <xf numFmtId="0" fontId="8" fillId="19" borderId="0" xfId="0" applyFont="1" applyFill="1" applyAlignment="1">
      <alignment horizontal="left"/>
    </xf>
    <xf numFmtId="0" fontId="8" fillId="0" borderId="0" xfId="0" applyFont="1" applyAlignment="1">
      <alignment horizontal="left"/>
    </xf>
    <xf numFmtId="0" fontId="8" fillId="0" borderId="6" xfId="0" applyFont="1" applyBorder="1" applyAlignment="1">
      <alignment horizontal="left"/>
    </xf>
    <xf numFmtId="0" fontId="8" fillId="0" borderId="9" xfId="0" applyFont="1" applyBorder="1" applyAlignment="1">
      <alignment horizontal="left"/>
    </xf>
    <xf numFmtId="0" fontId="8" fillId="0" borderId="12" xfId="0" applyFont="1" applyBorder="1" applyAlignment="1">
      <alignment horizontal="left"/>
    </xf>
    <xf numFmtId="0" fontId="8" fillId="6" borderId="12" xfId="0" applyFont="1" applyFill="1" applyBorder="1" applyAlignment="1">
      <alignment horizontal="left"/>
    </xf>
    <xf numFmtId="0" fontId="8" fillId="0" borderId="12" xfId="0" applyFont="1" applyBorder="1"/>
    <xf numFmtId="0" fontId="8" fillId="19" borderId="12" xfId="0" applyFont="1" applyFill="1" applyBorder="1" applyAlignment="1">
      <alignment horizontal="left"/>
    </xf>
    <xf numFmtId="0" fontId="8" fillId="24" borderId="0" xfId="0" applyFont="1" applyFill="1" applyAlignment="1">
      <alignment horizontal="left"/>
    </xf>
    <xf numFmtId="0" fontId="8" fillId="6" borderId="6" xfId="0" applyFont="1" applyFill="1" applyBorder="1"/>
    <xf numFmtId="0" fontId="8" fillId="0" borderId="6" xfId="0" applyFont="1" applyBorder="1"/>
    <xf numFmtId="0" fontId="8" fillId="6" borderId="6" xfId="0" applyFont="1" applyFill="1" applyBorder="1" applyAlignment="1">
      <alignment horizontal="left"/>
    </xf>
    <xf numFmtId="0" fontId="0" fillId="6" borderId="0" xfId="0" applyFill="1" applyAlignment="1">
      <alignment horizontal="center"/>
    </xf>
    <xf numFmtId="0" fontId="13" fillId="0" borderId="6" xfId="0" applyFont="1" applyBorder="1" applyAlignment="1">
      <alignment horizontal="right"/>
    </xf>
    <xf numFmtId="0" fontId="5" fillId="21" borderId="10" xfId="0" applyFont="1" applyFill="1" applyBorder="1" applyAlignment="1">
      <alignment horizontal="right"/>
    </xf>
    <xf numFmtId="0" fontId="8" fillId="0" borderId="6" xfId="0" applyFont="1" applyBorder="1" applyAlignment="1">
      <alignment horizontal="right"/>
    </xf>
    <xf numFmtId="0" fontId="8" fillId="0" borderId="6" xfId="0" applyFont="1" applyBorder="1" applyAlignment="1">
      <alignment horizontal="center"/>
    </xf>
    <xf numFmtId="4" fontId="6" fillId="6" borderId="0" xfId="0" applyNumberFormat="1" applyFont="1" applyFill="1" applyAlignment="1">
      <alignment horizontal="right"/>
    </xf>
    <xf numFmtId="0" fontId="12" fillId="29" borderId="0" xfId="0" applyFont="1" applyFill="1" applyAlignment="1">
      <alignment horizontal="right"/>
    </xf>
    <xf numFmtId="43" fontId="2" fillId="13" borderId="0" xfId="1" applyFont="1" applyFill="1"/>
    <xf numFmtId="43" fontId="0" fillId="13" borderId="0" xfId="1" applyFont="1" applyFill="1"/>
    <xf numFmtId="43" fontId="8" fillId="13" borderId="0" xfId="1" applyFont="1" applyFill="1" applyBorder="1"/>
    <xf numFmtId="0" fontId="8" fillId="0" borderId="0" xfId="1" applyNumberFormat="1" applyFont="1" applyAlignment="1"/>
    <xf numFmtId="0" fontId="11" fillId="13" borderId="0" xfId="0" applyFont="1" applyFill="1" applyAlignment="1">
      <alignment horizontal="right"/>
    </xf>
    <xf numFmtId="0" fontId="6" fillId="8" borderId="6" xfId="0" applyFont="1" applyFill="1" applyBorder="1"/>
    <xf numFmtId="0" fontId="0" fillId="8" borderId="6" xfId="0" applyFill="1" applyBorder="1"/>
    <xf numFmtId="4" fontId="8" fillId="0" borderId="0" xfId="0" applyNumberFormat="1" applyFont="1" applyAlignment="1">
      <alignment horizontal="left"/>
    </xf>
    <xf numFmtId="43" fontId="5" fillId="27" borderId="8" xfId="1" applyFont="1" applyFill="1" applyBorder="1"/>
    <xf numFmtId="43" fontId="0" fillId="6" borderId="7" xfId="1" applyFont="1" applyFill="1" applyBorder="1"/>
    <xf numFmtId="43" fontId="0" fillId="20" borderId="7" xfId="1" applyFont="1" applyFill="1" applyBorder="1"/>
    <xf numFmtId="43" fontId="0" fillId="19" borderId="7" xfId="1" applyFont="1" applyFill="1" applyBorder="1"/>
    <xf numFmtId="43" fontId="0" fillId="19" borderId="0" xfId="1" applyFont="1" applyFill="1"/>
    <xf numFmtId="43" fontId="0" fillId="13" borderId="7" xfId="1" applyFont="1" applyFill="1" applyBorder="1"/>
    <xf numFmtId="43" fontId="0" fillId="0" borderId="9" xfId="1" applyFont="1" applyBorder="1"/>
    <xf numFmtId="43" fontId="0" fillId="0" borderId="8" xfId="1" applyFont="1" applyBorder="1"/>
    <xf numFmtId="43" fontId="0" fillId="19" borderId="8" xfId="1" applyFont="1" applyFill="1" applyBorder="1"/>
    <xf numFmtId="43" fontId="0" fillId="8" borderId="9" xfId="1" applyFont="1" applyFill="1" applyBorder="1"/>
    <xf numFmtId="43" fontId="0" fillId="6" borderId="9" xfId="1" applyFont="1" applyFill="1" applyBorder="1"/>
    <xf numFmtId="43" fontId="0" fillId="6" borderId="8" xfId="1" applyFont="1" applyFill="1" applyBorder="1"/>
    <xf numFmtId="43" fontId="7" fillId="19" borderId="8" xfId="1" applyFont="1" applyFill="1" applyBorder="1"/>
    <xf numFmtId="43" fontId="0" fillId="19" borderId="9" xfId="1" applyFont="1" applyFill="1" applyBorder="1"/>
    <xf numFmtId="43" fontId="7" fillId="0" borderId="0" xfId="1" applyFont="1"/>
    <xf numFmtId="43" fontId="9" fillId="19" borderId="9" xfId="1" applyFont="1" applyFill="1" applyBorder="1"/>
    <xf numFmtId="43" fontId="0" fillId="22" borderId="9" xfId="1" applyFont="1" applyFill="1" applyBorder="1"/>
    <xf numFmtId="43" fontId="0" fillId="0" borderId="6" xfId="1" applyFont="1" applyBorder="1"/>
    <xf numFmtId="43" fontId="0" fillId="0" borderId="7" xfId="1" applyFont="1" applyBorder="1"/>
    <xf numFmtId="43" fontId="0" fillId="25" borderId="0" xfId="1" applyFont="1" applyFill="1"/>
    <xf numFmtId="43" fontId="6" fillId="6" borderId="0" xfId="1" applyFont="1" applyFill="1"/>
    <xf numFmtId="43" fontId="5" fillId="24" borderId="0" xfId="1" applyFont="1" applyFill="1"/>
    <xf numFmtId="43" fontId="0" fillId="0" borderId="0" xfId="1" applyFont="1" applyAlignment="1">
      <alignment horizontal="center"/>
    </xf>
    <xf numFmtId="43" fontId="0" fillId="8" borderId="0" xfId="1" applyFont="1" applyFill="1" applyAlignment="1">
      <alignment horizontal="center"/>
    </xf>
    <xf numFmtId="0" fontId="14" fillId="0" borderId="0" xfId="0" applyFont="1"/>
    <xf numFmtId="0" fontId="14" fillId="6" borderId="0" xfId="0" applyFont="1" applyFill="1"/>
    <xf numFmtId="43" fontId="0" fillId="8" borderId="6" xfId="1" applyFont="1" applyFill="1" applyBorder="1"/>
    <xf numFmtId="43" fontId="0" fillId="25" borderId="9" xfId="1" applyFont="1" applyFill="1" applyBorder="1"/>
    <xf numFmtId="0" fontId="8" fillId="33" borderId="0" xfId="7" applyFont="1"/>
    <xf numFmtId="0" fontId="15" fillId="6" borderId="0" xfId="0" applyFont="1" applyFill="1"/>
    <xf numFmtId="43" fontId="9" fillId="13" borderId="0" xfId="1" applyFont="1" applyFill="1"/>
    <xf numFmtId="43" fontId="6" fillId="8" borderId="6" xfId="1" applyFont="1" applyFill="1" applyBorder="1"/>
    <xf numFmtId="43" fontId="0" fillId="8" borderId="8" xfId="1" applyFont="1" applyFill="1" applyBorder="1"/>
    <xf numFmtId="0" fontId="8" fillId="34" borderId="0" xfId="0" applyFont="1" applyFill="1"/>
    <xf numFmtId="0" fontId="8" fillId="3" borderId="0" xfId="0" applyFont="1" applyFill="1" applyAlignment="1">
      <alignment horizontal="center"/>
    </xf>
    <xf numFmtId="4" fontId="8" fillId="13" borderId="0" xfId="0" applyNumberFormat="1" applyFont="1" applyFill="1" applyAlignment="1">
      <alignment horizontal="right"/>
    </xf>
    <xf numFmtId="43" fontId="16" fillId="0" borderId="0" xfId="1" applyFont="1"/>
    <xf numFmtId="43" fontId="6" fillId="25" borderId="0" xfId="1" applyFont="1" applyFill="1"/>
    <xf numFmtId="43" fontId="0" fillId="20" borderId="0" xfId="1" applyFont="1" applyFill="1"/>
    <xf numFmtId="0" fontId="13" fillId="14" borderId="15" xfId="0" applyFont="1" applyFill="1" applyBorder="1" applyAlignment="1">
      <alignment horizontal="right"/>
    </xf>
    <xf numFmtId="43" fontId="17" fillId="8" borderId="0" xfId="1" applyFont="1" applyFill="1"/>
    <xf numFmtId="43" fontId="0" fillId="22" borderId="8" xfId="1" applyFont="1" applyFill="1" applyBorder="1"/>
    <xf numFmtId="43" fontId="2" fillId="0" borderId="0" xfId="1" applyFont="1"/>
    <xf numFmtId="43" fontId="9" fillId="25" borderId="0" xfId="1" applyFont="1" applyFill="1"/>
    <xf numFmtId="43" fontId="0" fillId="35" borderId="8" xfId="1" applyFont="1" applyFill="1" applyBorder="1"/>
    <xf numFmtId="0" fontId="18" fillId="0" borderId="0" xfId="0" applyFont="1" applyAlignment="1">
      <alignment horizontal="left"/>
    </xf>
    <xf numFmtId="1" fontId="19" fillId="0" borderId="0" xfId="1" applyNumberFormat="1" applyFont="1" applyBorder="1" applyAlignment="1">
      <alignment horizontal="center"/>
    </xf>
    <xf numFmtId="0" fontId="18" fillId="0" borderId="0" xfId="0" applyFont="1"/>
    <xf numFmtId="43" fontId="18" fillId="0" borderId="0" xfId="1" applyFont="1"/>
    <xf numFmtId="0" fontId="20" fillId="0" borderId="3" xfId="0" applyFont="1" applyBorder="1" applyAlignment="1">
      <alignment horizontal="right"/>
    </xf>
    <xf numFmtId="0" fontId="18" fillId="0" borderId="2" xfId="0" applyFont="1" applyBorder="1" applyAlignment="1">
      <alignment horizontal="right"/>
    </xf>
    <xf numFmtId="43" fontId="18" fillId="0" borderId="2" xfId="1" applyFont="1" applyBorder="1"/>
    <xf numFmtId="43" fontId="18" fillId="0" borderId="2" xfId="0" applyNumberFormat="1" applyFont="1" applyBorder="1"/>
    <xf numFmtId="43" fontId="18" fillId="0" borderId="0" xfId="0" applyNumberFormat="1" applyFont="1"/>
    <xf numFmtId="43" fontId="18" fillId="0" borderId="4" xfId="1" applyFont="1" applyBorder="1"/>
    <xf numFmtId="43" fontId="18" fillId="0" borderId="2" xfId="0" applyNumberFormat="1" applyFont="1" applyBorder="1" applyAlignment="1">
      <alignment horizontal="right"/>
    </xf>
    <xf numFmtId="164" fontId="21" fillId="0" borderId="2" xfId="2" applyNumberFormat="1" applyFont="1" applyBorder="1"/>
    <xf numFmtId="164" fontId="21" fillId="0" borderId="4" xfId="2" applyNumberFormat="1" applyFont="1" applyBorder="1"/>
    <xf numFmtId="164" fontId="21" fillId="0" borderId="1" xfId="2" applyNumberFormat="1" applyFont="1" applyBorder="1"/>
    <xf numFmtId="164" fontId="21" fillId="0" borderId="0" xfId="2" applyNumberFormat="1" applyFont="1" applyBorder="1"/>
    <xf numFmtId="1" fontId="18" fillId="0" borderId="0" xfId="1" applyNumberFormat="1" applyFont="1" applyBorder="1" applyAlignment="1">
      <alignment horizontal="center"/>
    </xf>
    <xf numFmtId="43" fontId="21" fillId="0" borderId="2" xfId="1" applyFont="1" applyBorder="1" applyAlignment="1">
      <alignment horizontal="right"/>
    </xf>
    <xf numFmtId="43" fontId="21" fillId="0" borderId="2" xfId="1" applyFont="1" applyBorder="1"/>
    <xf numFmtId="43" fontId="21" fillId="0" borderId="0" xfId="1" applyFont="1"/>
    <xf numFmtId="43" fontId="21" fillId="0" borderId="4" xfId="1" applyFont="1" applyBorder="1"/>
    <xf numFmtId="0" fontId="18" fillId="13" borderId="0" xfId="0" applyFont="1" applyFill="1" applyAlignment="1">
      <alignment horizontal="left"/>
    </xf>
    <xf numFmtId="1" fontId="5" fillId="8" borderId="0" xfId="1" applyNumberFormat="1" applyFont="1" applyFill="1" applyBorder="1" applyAlignment="1">
      <alignment horizontal="center"/>
    </xf>
    <xf numFmtId="0" fontId="18" fillId="11" borderId="0" xfId="0" applyFont="1" applyFill="1"/>
    <xf numFmtId="0" fontId="18" fillId="0" borderId="1" xfId="0" applyFont="1" applyBorder="1"/>
    <xf numFmtId="17" fontId="18" fillId="0" borderId="0" xfId="0" applyNumberFormat="1" applyFont="1"/>
    <xf numFmtId="17" fontId="18" fillId="0" borderId="0" xfId="1" applyNumberFormat="1" applyFont="1"/>
    <xf numFmtId="43" fontId="18" fillId="8" borderId="0" xfId="1" applyFont="1" applyFill="1"/>
    <xf numFmtId="0" fontId="18" fillId="8" borderId="0" xfId="0" applyFont="1" applyFill="1"/>
    <xf numFmtId="43" fontId="18" fillId="13" borderId="0" xfId="1" applyFont="1" applyFill="1"/>
    <xf numFmtId="43" fontId="18" fillId="0" borderId="0" xfId="1" applyFont="1" applyAlignment="1">
      <alignment horizontal="right"/>
    </xf>
    <xf numFmtId="0" fontId="18" fillId="12" borderId="0" xfId="0" applyFont="1" applyFill="1"/>
    <xf numFmtId="43" fontId="18" fillId="15" borderId="0" xfId="1" applyFont="1" applyFill="1"/>
    <xf numFmtId="43" fontId="18" fillId="16" borderId="0" xfId="1" applyFont="1" applyFill="1"/>
    <xf numFmtId="43" fontId="18" fillId="8" borderId="0" xfId="1" applyFont="1" applyFill="1" applyAlignment="1">
      <alignment horizontal="right"/>
    </xf>
    <xf numFmtId="43" fontId="18" fillId="16" borderId="0" xfId="1" applyFont="1" applyFill="1" applyAlignment="1">
      <alignment horizontal="right"/>
    </xf>
    <xf numFmtId="17" fontId="22" fillId="0" borderId="0" xfId="0" applyNumberFormat="1" applyFont="1"/>
    <xf numFmtId="0" fontId="18" fillId="13" borderId="0" xfId="0" applyFont="1" applyFill="1"/>
    <xf numFmtId="0" fontId="5" fillId="0" borderId="0" xfId="0" applyFont="1"/>
    <xf numFmtId="43" fontId="18" fillId="3" borderId="0" xfId="1" applyFont="1" applyFill="1"/>
    <xf numFmtId="0" fontId="23" fillId="18" borderId="0" xfId="0" applyFont="1" applyFill="1"/>
    <xf numFmtId="43" fontId="22" fillId="4" borderId="0" xfId="0" applyNumberFormat="1" applyFont="1" applyFill="1"/>
    <xf numFmtId="43" fontId="22" fillId="4" borderId="0" xfId="1" applyFont="1" applyFill="1"/>
    <xf numFmtId="0" fontId="18" fillId="0" borderId="2" xfId="0" applyFont="1" applyBorder="1"/>
    <xf numFmtId="0" fontId="24" fillId="0" borderId="0" xfId="0" applyFont="1" applyAlignment="1">
      <alignment horizontal="left"/>
    </xf>
    <xf numFmtId="1" fontId="5" fillId="9" borderId="0" xfId="1" applyNumberFormat="1" applyFont="1" applyFill="1" applyBorder="1" applyAlignment="1">
      <alignment horizontal="center"/>
    </xf>
    <xf numFmtId="0" fontId="24" fillId="0" borderId="0" xfId="0" applyFont="1"/>
    <xf numFmtId="43" fontId="24" fillId="0" borderId="0" xfId="1" applyFont="1"/>
    <xf numFmtId="4" fontId="18" fillId="8" borderId="0" xfId="0" applyNumberFormat="1" applyFont="1" applyFill="1"/>
    <xf numFmtId="43" fontId="24" fillId="8" borderId="0" xfId="1" applyFont="1" applyFill="1"/>
    <xf numFmtId="4" fontId="18" fillId="0" borderId="0" xfId="0" applyNumberFormat="1" applyFont="1"/>
    <xf numFmtId="0" fontId="5" fillId="5" borderId="0" xfId="0" applyFont="1" applyFill="1" applyAlignment="1">
      <alignment horizontal="left"/>
    </xf>
    <xf numFmtId="0" fontId="5" fillId="5" borderId="0" xfId="0" applyFont="1" applyFill="1"/>
    <xf numFmtId="43" fontId="5" fillId="5" borderId="0" xfId="1" applyFont="1" applyFill="1"/>
    <xf numFmtId="43" fontId="5" fillId="0" borderId="0" xfId="1" applyFont="1"/>
    <xf numFmtId="0" fontId="5" fillId="5" borderId="2" xfId="0" applyFont="1" applyFill="1" applyBorder="1"/>
    <xf numFmtId="164" fontId="21" fillId="0" borderId="0" xfId="2" applyNumberFormat="1" applyFont="1"/>
    <xf numFmtId="0" fontId="18" fillId="2" borderId="0" xfId="0" applyFont="1" applyFill="1"/>
    <xf numFmtId="43" fontId="18" fillId="2" borderId="0" xfId="1" applyFont="1" applyFill="1"/>
    <xf numFmtId="0" fontId="18" fillId="2" borderId="0" xfId="0" applyFont="1" applyFill="1" applyAlignment="1">
      <alignment horizontal="left"/>
    </xf>
    <xf numFmtId="0" fontId="18" fillId="2" borderId="2" xfId="0" applyFont="1" applyFill="1" applyBorder="1"/>
    <xf numFmtId="17" fontId="18" fillId="2" borderId="0" xfId="0" applyNumberFormat="1" applyFont="1" applyFill="1"/>
    <xf numFmtId="43" fontId="18" fillId="2" borderId="2" xfId="1" applyFont="1" applyFill="1" applyBorder="1"/>
    <xf numFmtId="43" fontId="18" fillId="8" borderId="2" xfId="1" applyFont="1" applyFill="1" applyBorder="1"/>
    <xf numFmtId="0" fontId="18" fillId="8" borderId="2" xfId="0" applyFont="1" applyFill="1" applyBorder="1"/>
    <xf numFmtId="0" fontId="18" fillId="8" borderId="1" xfId="0" applyFont="1" applyFill="1" applyBorder="1"/>
    <xf numFmtId="164" fontId="21" fillId="2" borderId="2" xfId="2" applyNumberFormat="1" applyFont="1" applyFill="1" applyBorder="1"/>
    <xf numFmtId="4" fontId="18" fillId="2" borderId="2" xfId="0" applyNumberFormat="1" applyFont="1" applyFill="1" applyBorder="1"/>
    <xf numFmtId="4" fontId="18" fillId="0" borderId="1" xfId="0" applyNumberFormat="1" applyFont="1" applyBorder="1"/>
    <xf numFmtId="0" fontId="5" fillId="8" borderId="0" xfId="0" applyFont="1" applyFill="1" applyAlignment="1">
      <alignment horizontal="center"/>
    </xf>
    <xf numFmtId="17" fontId="18" fillId="2" borderId="2" xfId="0" applyNumberFormat="1" applyFont="1" applyFill="1" applyBorder="1"/>
    <xf numFmtId="17" fontId="18" fillId="0" borderId="2" xfId="0" applyNumberFormat="1" applyFont="1" applyBorder="1"/>
    <xf numFmtId="17" fontId="18" fillId="2" borderId="1" xfId="0" applyNumberFormat="1" applyFont="1" applyFill="1" applyBorder="1"/>
    <xf numFmtId="43" fontId="18" fillId="2" borderId="1" xfId="1" applyFont="1" applyFill="1" applyBorder="1"/>
    <xf numFmtId="1" fontId="25" fillId="23" borderId="0" xfId="1" applyNumberFormat="1" applyFont="1" applyFill="1" applyAlignment="1">
      <alignment horizontal="center"/>
    </xf>
    <xf numFmtId="0" fontId="23" fillId="14" borderId="0" xfId="0" applyFont="1" applyFill="1"/>
    <xf numFmtId="43" fontId="18" fillId="8" borderId="1" xfId="1" applyFont="1" applyFill="1" applyBorder="1"/>
    <xf numFmtId="43" fontId="18" fillId="0" borderId="1" xfId="1" applyFont="1" applyFill="1" applyBorder="1"/>
    <xf numFmtId="1" fontId="26" fillId="31" borderId="0" xfId="1" applyNumberFormat="1" applyFont="1" applyFill="1" applyAlignment="1">
      <alignment horizontal="center"/>
    </xf>
    <xf numFmtId="17" fontId="18" fillId="13" borderId="2" xfId="0" applyNumberFormat="1" applyFont="1" applyFill="1" applyBorder="1"/>
    <xf numFmtId="0" fontId="18" fillId="17" borderId="0" xfId="0" applyFont="1" applyFill="1" applyAlignment="1">
      <alignment horizontal="left"/>
    </xf>
    <xf numFmtId="17" fontId="18" fillId="2" borderId="4" xfId="0" applyNumberFormat="1" applyFont="1" applyFill="1" applyBorder="1"/>
    <xf numFmtId="0" fontId="18" fillId="2" borderId="1" xfId="0" applyFont="1" applyFill="1" applyBorder="1"/>
    <xf numFmtId="0" fontId="18" fillId="2" borderId="4" xfId="0" applyFont="1" applyFill="1" applyBorder="1"/>
    <xf numFmtId="164" fontId="21" fillId="2" borderId="1" xfId="2" applyNumberFormat="1" applyFont="1" applyFill="1" applyBorder="1"/>
    <xf numFmtId="43" fontId="18" fillId="0" borderId="1" xfId="1" applyFont="1" applyBorder="1"/>
    <xf numFmtId="43" fontId="22" fillId="16" borderId="0" xfId="1" applyFont="1" applyFill="1"/>
    <xf numFmtId="4" fontId="18" fillId="8" borderId="2" xfId="0" applyNumberFormat="1" applyFont="1" applyFill="1" applyBorder="1"/>
    <xf numFmtId="4" fontId="18" fillId="8" borderId="1" xfId="0" applyNumberFormat="1" applyFont="1" applyFill="1" applyBorder="1"/>
    <xf numFmtId="43" fontId="18" fillId="0" borderId="0" xfId="1" applyFont="1" applyFill="1"/>
    <xf numFmtId="43" fontId="18" fillId="16" borderId="0" xfId="1" applyFont="1" applyFill="1" applyBorder="1"/>
    <xf numFmtId="164" fontId="21" fillId="0" borderId="2" xfId="0" applyNumberFormat="1" applyFont="1" applyBorder="1"/>
    <xf numFmtId="43" fontId="18" fillId="15" borderId="0" xfId="1" applyFont="1" applyFill="1" applyBorder="1"/>
    <xf numFmtId="0" fontId="6" fillId="2" borderId="0" xfId="0" applyFont="1" applyFill="1" applyAlignment="1">
      <alignment horizontal="center"/>
    </xf>
    <xf numFmtId="17" fontId="22" fillId="2" borderId="2" xfId="0" applyNumberFormat="1" applyFont="1" applyFill="1" applyBorder="1"/>
    <xf numFmtId="1" fontId="19" fillId="2" borderId="0" xfId="1" applyNumberFormat="1" applyFont="1" applyFill="1" applyBorder="1" applyAlignment="1">
      <alignment horizontal="center"/>
    </xf>
    <xf numFmtId="43" fontId="22" fillId="7" borderId="0" xfId="1" applyFont="1" applyFill="1"/>
    <xf numFmtId="43" fontId="22" fillId="7" borderId="2" xfId="1" applyFont="1" applyFill="1" applyBorder="1"/>
    <xf numFmtId="20" fontId="18" fillId="0" borderId="0" xfId="0" applyNumberFormat="1" applyFont="1"/>
    <xf numFmtId="43" fontId="23" fillId="15" borderId="0" xfId="1" applyFont="1" applyFill="1"/>
    <xf numFmtId="0" fontId="27" fillId="0" borderId="0" xfId="0" applyFont="1"/>
    <xf numFmtId="0" fontId="18" fillId="0" borderId="0" xfId="0" applyFont="1" applyAlignment="1">
      <alignment horizontal="right"/>
    </xf>
    <xf numFmtId="1" fontId="5" fillId="26" borderId="0" xfId="1" applyNumberFormat="1" applyFont="1" applyFill="1" applyBorder="1" applyAlignment="1">
      <alignment horizontal="center"/>
    </xf>
    <xf numFmtId="43" fontId="22" fillId="0" borderId="0" xfId="0" applyNumberFormat="1" applyFont="1"/>
    <xf numFmtId="43" fontId="22" fillId="0" borderId="0" xfId="1" applyFont="1"/>
    <xf numFmtId="1" fontId="28" fillId="10" borderId="0" xfId="1" applyNumberFormat="1" applyFont="1" applyFill="1" applyBorder="1" applyAlignment="1">
      <alignment horizontal="center"/>
    </xf>
    <xf numFmtId="49" fontId="18" fillId="0" borderId="0" xfId="1" applyNumberFormat="1" applyFont="1" applyAlignment="1">
      <alignment horizontal="left"/>
    </xf>
    <xf numFmtId="164" fontId="21" fillId="0" borderId="2" xfId="2" quotePrefix="1" applyNumberFormat="1" applyFont="1" applyBorder="1"/>
    <xf numFmtId="0" fontId="23" fillId="0" borderId="0" xfId="0" applyFont="1"/>
    <xf numFmtId="1" fontId="5" fillId="8" borderId="0" xfId="1" applyNumberFormat="1" applyFont="1" applyFill="1" applyBorder="1" applyAlignment="1">
      <alignment horizontal="center" wrapText="1"/>
    </xf>
    <xf numFmtId="43" fontId="18" fillId="8" borderId="0" xfId="1" applyFont="1" applyFill="1" applyAlignment="1">
      <alignment horizontal="center"/>
    </xf>
    <xf numFmtId="43" fontId="18" fillId="0" borderId="0" xfId="1" applyFont="1" applyAlignment="1">
      <alignment horizontal="center"/>
    </xf>
    <xf numFmtId="164" fontId="21" fillId="0" borderId="2" xfId="2" applyNumberFormat="1" applyFont="1" applyFill="1" applyBorder="1"/>
    <xf numFmtId="0" fontId="5" fillId="13" borderId="0" xfId="0" applyFont="1" applyFill="1" applyAlignment="1">
      <alignment horizontal="center"/>
    </xf>
    <xf numFmtId="0" fontId="29" fillId="0" borderId="0" xfId="0" applyFont="1"/>
    <xf numFmtId="0" fontId="5" fillId="0" borderId="0" xfId="0" applyFont="1" applyAlignment="1">
      <alignment horizontal="center"/>
    </xf>
    <xf numFmtId="164" fontId="21" fillId="0" borderId="1" xfId="0" applyNumberFormat="1" applyFont="1" applyBorder="1"/>
    <xf numFmtId="164" fontId="21" fillId="0" borderId="0" xfId="0" applyNumberFormat="1" applyFont="1"/>
    <xf numFmtId="43" fontId="18" fillId="8" borderId="0" xfId="1" applyFont="1" applyFill="1" applyBorder="1"/>
    <xf numFmtId="0" fontId="30" fillId="0" borderId="0" xfId="0" applyFont="1"/>
    <xf numFmtId="0" fontId="22" fillId="0" borderId="0" xfId="0" applyFont="1"/>
    <xf numFmtId="0" fontId="18" fillId="0" borderId="5" xfId="0" applyFont="1" applyBorder="1"/>
    <xf numFmtId="1" fontId="18" fillId="9" borderId="0" xfId="1" applyNumberFormat="1" applyFont="1" applyFill="1" applyAlignment="1">
      <alignment horizontal="center"/>
    </xf>
    <xf numFmtId="43" fontId="18" fillId="0" borderId="0" xfId="1" applyFont="1" applyBorder="1"/>
    <xf numFmtId="1" fontId="18" fillId="9" borderId="0" xfId="1" applyNumberFormat="1" applyFont="1" applyFill="1" applyBorder="1" applyAlignment="1">
      <alignment horizontal="center"/>
    </xf>
    <xf numFmtId="0" fontId="18" fillId="9" borderId="0" xfId="0" applyFont="1" applyFill="1" applyAlignment="1">
      <alignment horizontal="center"/>
    </xf>
    <xf numFmtId="0" fontId="31" fillId="0" borderId="0" xfId="0" applyFont="1"/>
    <xf numFmtId="0" fontId="23" fillId="0" borderId="0" xfId="0" applyFont="1" applyAlignment="1">
      <alignment horizontal="left"/>
    </xf>
    <xf numFmtId="0" fontId="23" fillId="9" borderId="0" xfId="0" applyFont="1" applyFill="1" applyAlignment="1">
      <alignment horizontal="center"/>
    </xf>
    <xf numFmtId="49" fontId="23" fillId="0" borderId="0" xfId="1" applyNumberFormat="1" applyFont="1" applyAlignment="1">
      <alignment horizontal="center"/>
    </xf>
    <xf numFmtId="43" fontId="23" fillId="0" borderId="0" xfId="1" applyFont="1"/>
    <xf numFmtId="17" fontId="23" fillId="0" borderId="0" xfId="0" applyNumberFormat="1" applyFont="1"/>
    <xf numFmtId="43" fontId="23" fillId="31" borderId="0" xfId="1" applyFont="1" applyFill="1"/>
    <xf numFmtId="43" fontId="23" fillId="8" borderId="0" xfId="1" applyFont="1" applyFill="1"/>
    <xf numFmtId="0" fontId="23" fillId="32" borderId="0" xfId="0" applyFont="1" applyFill="1"/>
  </cellXfs>
  <cellStyles count="8">
    <cellStyle name="40% - Énfasis3" xfId="7" builtinId="39"/>
    <cellStyle name="Millares" xfId="1" builtinId="3"/>
    <cellStyle name="Millares 2" xfId="6" xr:uid="{390D53B4-7FE0-894B-8B34-A9CE8D126F1D}"/>
    <cellStyle name="Millares 3" xfId="4" xr:uid="{9366985B-E2E1-D147-928A-57B233F3AC56}"/>
    <cellStyle name="Normal" xfId="0" builtinId="0"/>
    <cellStyle name="Normal 2" xfId="5" xr:uid="{D3753CA8-089A-D842-A9A7-D0415E1A5311}"/>
    <cellStyle name="Normal 3 10" xfId="3" xr:uid="{6ED695FC-0002-654C-8FB5-C1C6BB837603}"/>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connections" Target="connection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2.png"/><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10" Type="http://schemas.openxmlformats.org/officeDocument/2006/relationships/customXml" Target="../ink/ink4.xml"/><Relationship Id="rId4" Type="http://schemas.openxmlformats.org/officeDocument/2006/relationships/customXml" Target="../ink/ink3.xml"/><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oneCellAnchor>
    <xdr:from>
      <xdr:col>3</xdr:col>
      <xdr:colOff>0</xdr:colOff>
      <xdr:row>141</xdr:row>
      <xdr:rowOff>94463</xdr:rowOff>
    </xdr:from>
    <xdr:ext cx="304800" cy="301021"/>
    <xdr:sp macro="" textlink="">
      <xdr:nvSpPr>
        <xdr:cNvPr id="3" name="&lt;48883AB3-371C-4B49-BA90-417E78DB6927&gt;" descr="Imagen (21).jpg">
          <a:extLst>
            <a:ext uri="{FF2B5EF4-FFF2-40B4-BE49-F238E27FC236}">
              <a16:creationId xmlns:a16="http://schemas.microsoft.com/office/drawing/2014/main" id="{E15CEC10-A1FF-DA4A-B7CB-837A1EC18E23}"/>
            </a:ext>
          </a:extLst>
        </xdr:cNvPr>
        <xdr:cNvSpPr>
          <a:spLocks noChangeAspect="1" noChangeArrowheads="1"/>
        </xdr:cNvSpPr>
      </xdr:nvSpPr>
      <xdr:spPr bwMode="auto">
        <a:xfrm>
          <a:off x="14452810" y="27016364"/>
          <a:ext cx="304800" cy="30102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151</xdr:row>
      <xdr:rowOff>94463</xdr:rowOff>
    </xdr:from>
    <xdr:ext cx="304800" cy="301021"/>
    <xdr:sp macro="" textlink="">
      <xdr:nvSpPr>
        <xdr:cNvPr id="4" name="&lt;48883AB3-371C-4B49-BA90-417E78DB6927&gt;" descr="Imagen (21).jpg">
          <a:extLst>
            <a:ext uri="{FF2B5EF4-FFF2-40B4-BE49-F238E27FC236}">
              <a16:creationId xmlns:a16="http://schemas.microsoft.com/office/drawing/2014/main" id="{167CA214-F6D0-3749-BDF8-9CBACA161729}"/>
            </a:ext>
          </a:extLst>
        </xdr:cNvPr>
        <xdr:cNvSpPr>
          <a:spLocks noChangeAspect="1" noChangeArrowheads="1"/>
        </xdr:cNvSpPr>
      </xdr:nvSpPr>
      <xdr:spPr bwMode="auto">
        <a:xfrm>
          <a:off x="14452810" y="34993223"/>
          <a:ext cx="304800" cy="30102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131</xdr:row>
      <xdr:rowOff>94463</xdr:rowOff>
    </xdr:from>
    <xdr:ext cx="304800" cy="301021"/>
    <xdr:sp macro="" textlink="">
      <xdr:nvSpPr>
        <xdr:cNvPr id="5" name="&lt;48883AB3-371C-4B49-BA90-417E78DB6927&gt;" descr="Imagen (21).jpg">
          <a:extLst>
            <a:ext uri="{FF2B5EF4-FFF2-40B4-BE49-F238E27FC236}">
              <a16:creationId xmlns:a16="http://schemas.microsoft.com/office/drawing/2014/main" id="{B3623EDB-3E2F-3B49-8CF5-A7C9177E29FF}"/>
            </a:ext>
          </a:extLst>
        </xdr:cNvPr>
        <xdr:cNvSpPr>
          <a:spLocks noChangeAspect="1" noChangeArrowheads="1"/>
        </xdr:cNvSpPr>
      </xdr:nvSpPr>
      <xdr:spPr bwMode="auto">
        <a:xfrm>
          <a:off x="14452810" y="34993223"/>
          <a:ext cx="304800" cy="301021"/>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64</xdr:row>
      <xdr:rowOff>0</xdr:rowOff>
    </xdr:from>
    <xdr:ext cx="0" cy="9000"/>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5">
              <a:extLst>
                <a:ext uri="{FF2B5EF4-FFF2-40B4-BE49-F238E27FC236}">
                  <a16:creationId xmlns:a16="http://schemas.microsoft.com/office/drawing/2014/main" id="{864B3A14-F3A1-BA48-960C-DA7BFD7B09E7}"/>
                </a:ext>
                <a:ext uri="{147F2762-F138-4A5C-976F-8EAC2B608ADB}">
                  <a16:predDERef xmlns:a16="http://schemas.microsoft.com/office/drawing/2014/main" pred="{4E280BD3-6EB9-D960-A677-29F7EDD13C4A}"/>
                </a:ext>
              </a:extLst>
            </xdr14:cNvPr>
            <xdr14:cNvContentPartPr/>
          </xdr14:nvContentPartPr>
          <xdr14:nvPr macro=""/>
          <xdr14:xfrm>
            <a:off x="14469480" y="17208360"/>
            <a:ext cx="4680" cy="9000"/>
          </xdr14:xfrm>
        </xdr:contentPart>
      </mc:Choice>
      <mc:Fallback xmlns="">
        <xdr:pic>
          <xdr:nvPicPr>
            <xdr:cNvPr id="6" name="Ink 5">
              <a:extLst>
                <a:ext uri="{FF2B5EF4-FFF2-40B4-BE49-F238E27FC236}">
                  <a16:creationId xmlns:a16="http://schemas.microsoft.com/office/drawing/2014/main" id="{7C56380C-88F4-A3F1-F2A6-350E873C4DBD}"/>
                </a:ext>
                <a:ext uri="{147F2762-F138-4A5C-976F-8EAC2B608ADB}">
                  <a16:predDERef xmlns:a16="http://schemas.microsoft.com/office/drawing/2014/main" pred="{4E280BD3-6EB9-D960-A677-29F7EDD13C4A}"/>
                </a:ext>
              </a:extLst>
            </xdr:cNvPr>
            <xdr:cNvPicPr/>
          </xdr:nvPicPr>
          <xdr:blipFill>
            <a:blip xmlns:r="http://schemas.openxmlformats.org/officeDocument/2006/relationships" r:embed="rId2"/>
            <a:stretch>
              <a:fillRect/>
            </a:stretch>
          </xdr:blipFill>
          <xdr:spPr>
            <a:xfrm>
              <a:off x="14454000" y="17193240"/>
              <a:ext cx="34920" cy="39240"/>
            </a:xfrm>
            <a:prstGeom prst="rect">
              <a:avLst/>
            </a:prstGeom>
          </xdr:spPr>
        </xdr:pic>
      </mc:Fallback>
    </mc:AlternateContent>
    <xdr:clientData/>
  </xdr:oneCellAnchor>
  <xdr:oneCellAnchor>
    <xdr:from>
      <xdr:col>3</xdr:col>
      <xdr:colOff>0</xdr:colOff>
      <xdr:row>64</xdr:row>
      <xdr:rowOff>0</xdr:rowOff>
    </xdr:from>
    <xdr:ext cx="0" cy="900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8" name="Ink 5">
              <a:extLst>
                <a:ext uri="{FF2B5EF4-FFF2-40B4-BE49-F238E27FC236}">
                  <a16:creationId xmlns:a16="http://schemas.microsoft.com/office/drawing/2014/main" id="{56374CC9-3934-44E4-9EBB-53CEECCAA97F}"/>
                </a:ext>
                <a:ext uri="{147F2762-F138-4A5C-976F-8EAC2B608ADB}">
                  <a16:predDERef xmlns:a16="http://schemas.microsoft.com/office/drawing/2014/main" pred="{527ED61C-F2CB-400E-8AC8-84798265E550}"/>
                </a:ext>
              </a:extLst>
            </xdr14:cNvPr>
            <xdr14:cNvContentPartPr/>
          </xdr14:nvContentPartPr>
          <xdr14:nvPr macro=""/>
          <xdr14:xfrm>
            <a:off x="14469480" y="17208360"/>
            <a:ext cx="4680" cy="9000"/>
          </xdr14:xfrm>
        </xdr:contentPart>
      </mc:Choice>
      <mc:Fallback xmlns="">
        <xdr:pic>
          <xdr:nvPicPr>
            <xdr:cNvPr id="6" name="Ink 5">
              <a:extLst>
                <a:ext uri="{FF2B5EF4-FFF2-40B4-BE49-F238E27FC236}">
                  <a16:creationId xmlns:a16="http://schemas.microsoft.com/office/drawing/2014/main" id="{7C56380C-88F4-A3F1-F2A6-350E873C4DBD}"/>
                </a:ext>
                <a:ext uri="{147F2762-F138-4A5C-976F-8EAC2B608ADB}">
                  <a16:predDERef xmlns:a16="http://schemas.microsoft.com/office/drawing/2014/main" pred="{4E280BD3-6EB9-D960-A677-29F7EDD13C4A}"/>
                </a:ext>
              </a:extLst>
            </xdr:cNvPr>
            <xdr:cNvPicPr/>
          </xdr:nvPicPr>
          <xdr:blipFill>
            <a:blip xmlns:r="http://schemas.openxmlformats.org/officeDocument/2006/relationships" r:embed="rId2"/>
            <a:stretch>
              <a:fillRect/>
            </a:stretch>
          </xdr:blipFill>
          <xdr:spPr>
            <a:xfrm>
              <a:off x="14454000" y="17193240"/>
              <a:ext cx="34920" cy="39240"/>
            </a:xfrm>
            <a:prstGeom prst="rect">
              <a:avLst/>
            </a:prstGeom>
          </xdr:spPr>
        </xdr:pic>
      </mc:Fallback>
    </mc:AlternateContent>
    <xdr:clientData/>
  </xdr:oneCellAnchor>
  <xdr:oneCellAnchor>
    <xdr:from>
      <xdr:col>3</xdr:col>
      <xdr:colOff>0</xdr:colOff>
      <xdr:row>64</xdr:row>
      <xdr:rowOff>0</xdr:rowOff>
    </xdr:from>
    <xdr:ext cx="0" cy="9000"/>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10" name="Ink 5">
              <a:extLst>
                <a:ext uri="{FF2B5EF4-FFF2-40B4-BE49-F238E27FC236}">
                  <a16:creationId xmlns:a16="http://schemas.microsoft.com/office/drawing/2014/main" id="{520C1951-835E-4445-BA13-8DA6E9635EF3}"/>
                </a:ext>
                <a:ext uri="{147F2762-F138-4A5C-976F-8EAC2B608ADB}">
                  <a16:predDERef xmlns:a16="http://schemas.microsoft.com/office/drawing/2014/main" pred="{1D79BB3B-8787-4494-8322-E99E4A9E68B9}"/>
                </a:ext>
              </a:extLst>
            </xdr14:cNvPr>
            <xdr14:cNvContentPartPr/>
          </xdr14:nvContentPartPr>
          <xdr14:nvPr macro=""/>
          <xdr14:xfrm>
            <a:off x="14469480" y="17208360"/>
            <a:ext cx="4680" cy="9000"/>
          </xdr14:xfrm>
        </xdr:contentPart>
      </mc:Choice>
      <mc:Fallback xmlns="">
        <xdr:pic>
          <xdr:nvPicPr>
            <xdr:cNvPr id="6" name="Ink 5">
              <a:extLst>
                <a:ext uri="{FF2B5EF4-FFF2-40B4-BE49-F238E27FC236}">
                  <a16:creationId xmlns:a16="http://schemas.microsoft.com/office/drawing/2014/main" id="{7C56380C-88F4-A3F1-F2A6-350E873C4DBD}"/>
                </a:ext>
                <a:ext uri="{147F2762-F138-4A5C-976F-8EAC2B608ADB}">
                  <a16:predDERef xmlns:a16="http://schemas.microsoft.com/office/drawing/2014/main" pred="{4E280BD3-6EB9-D960-A677-29F7EDD13C4A}"/>
                </a:ext>
              </a:extLst>
            </xdr:cNvPr>
            <xdr:cNvPicPr/>
          </xdr:nvPicPr>
          <xdr:blipFill>
            <a:blip xmlns:r="http://schemas.openxmlformats.org/officeDocument/2006/relationships" r:embed="rId9"/>
            <a:stretch>
              <a:fillRect/>
            </a:stretch>
          </xdr:blipFill>
          <xdr:spPr>
            <a:xfrm>
              <a:off x="14454000" y="17193240"/>
              <a:ext cx="34920" cy="39240"/>
            </a:xfrm>
            <a:prstGeom prst="rect">
              <a:avLst/>
            </a:prstGeom>
          </xdr:spPr>
        </xdr:pic>
      </mc:Fallback>
    </mc:AlternateContent>
    <xdr:clientData/>
  </xdr:oneCellAnchor>
  <xdr:oneCellAnchor>
    <xdr:from>
      <xdr:col>3</xdr:col>
      <xdr:colOff>0</xdr:colOff>
      <xdr:row>64</xdr:row>
      <xdr:rowOff>0</xdr:rowOff>
    </xdr:from>
    <xdr:ext cx="0" cy="9000"/>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2" name="Ink 5">
              <a:extLst>
                <a:ext uri="{FF2B5EF4-FFF2-40B4-BE49-F238E27FC236}">
                  <a16:creationId xmlns:a16="http://schemas.microsoft.com/office/drawing/2014/main" id="{0924409A-B25B-44B8-9C65-998C70DD4498}"/>
                </a:ext>
                <a:ext uri="{147F2762-F138-4A5C-976F-8EAC2B608ADB}">
                  <a16:predDERef xmlns:a16="http://schemas.microsoft.com/office/drawing/2014/main" pred="{75107EED-682A-494E-8B34-7EC6594C43DC}"/>
                </a:ext>
              </a:extLst>
            </xdr14:cNvPr>
            <xdr14:cNvContentPartPr/>
          </xdr14:nvContentPartPr>
          <xdr14:nvPr macro=""/>
          <xdr14:xfrm>
            <a:off x="14469480" y="17208360"/>
            <a:ext cx="4680" cy="9000"/>
          </xdr14:xfrm>
        </xdr:contentPart>
      </mc:Choice>
      <mc:Fallback xmlns="">
        <xdr:pic>
          <xdr:nvPicPr>
            <xdr:cNvPr id="6" name="Ink 5">
              <a:extLst>
                <a:ext uri="{FF2B5EF4-FFF2-40B4-BE49-F238E27FC236}">
                  <a16:creationId xmlns:a16="http://schemas.microsoft.com/office/drawing/2014/main" id="{7C56380C-88F4-A3F1-F2A6-350E873C4DBD}"/>
                </a:ext>
                <a:ext uri="{147F2762-F138-4A5C-976F-8EAC2B608ADB}">
                  <a16:predDERef xmlns:a16="http://schemas.microsoft.com/office/drawing/2014/main" pred="{4E280BD3-6EB9-D960-A677-29F7EDD13C4A}"/>
                </a:ext>
              </a:extLst>
            </xdr:cNvPr>
            <xdr:cNvPicPr/>
          </xdr:nvPicPr>
          <xdr:blipFill>
            <a:blip xmlns:r="http://schemas.openxmlformats.org/officeDocument/2006/relationships" r:embed="rId13"/>
            <a:stretch>
              <a:fillRect/>
            </a:stretch>
          </xdr:blipFill>
          <xdr:spPr>
            <a:xfrm>
              <a:off x="14454000" y="17193240"/>
              <a:ext cx="34920" cy="39240"/>
            </a:xfrm>
            <a:prstGeom prst="rect">
              <a:avLst/>
            </a:prstGeom>
          </xdr:spPr>
        </xdr:pic>
      </mc:Fallback>
    </mc:AlternateContent>
    <xdr:clientData/>
  </xdr:one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6-15T04:50:50.459"/>
    </inkml:context>
    <inkml:brush xml:id="br0">
      <inkml:brushProperty name="width" value="0.08571" units="cm"/>
      <inkml:brushProperty name="height" value="0.08571" units="cm"/>
    </inkml:brush>
  </inkml:definitions>
  <inkml:trace contextRef="#ctx0" brushRef="#br0">12 24 6142,'0'-7'-47,"0"2"1,-5 0 0,-2-2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6-27T08:30:55.078"/>
    </inkml:context>
    <inkml:brush xml:id="br0">
      <inkml:brushProperty name="width" value="0.08571" units="cm"/>
      <inkml:brushProperty name="height" value="0.08571" units="cm"/>
    </inkml:brush>
  </inkml:definitions>
  <inkml:trace contextRef="#ctx0" brushRef="#br0">12 24 6142,'0'-7'-47,"0"2"1,-5 0 0,-2-2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9-06T09:45:03.743"/>
    </inkml:context>
    <inkml:brush xml:id="br0">
      <inkml:brushProperty name="width" value="0.08571" units="cm"/>
      <inkml:brushProperty name="height" value="0.08571" units="cm"/>
    </inkml:brush>
  </inkml:definitions>
  <inkml:trace contextRef="#ctx0" brushRef="#br0">12 24 6142,'0'-7'-47,"0"2"1,-5 0 0,-2-2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9-06T09:45:03.745"/>
    </inkml:context>
    <inkml:brush xml:id="br0">
      <inkml:brushProperty name="width" value="0.08571" units="cm"/>
      <inkml:brushProperty name="height" value="0.08571" units="cm"/>
    </inkml:brush>
  </inkml:definitions>
  <inkml:trace contextRef="#ctx0" brushRef="#br0">12 24 6142,'0'-7'-47,"0"2"1,-5 0 0,-2-2 0</inkml:trace>
</inkm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320CB429-CE8B-D94F-AFC0-0D3B05BD57E1}">
  <we:reference id="wa200005502" version="1.0.0.11" store="es-ES" storeType="OMEX"/>
  <we:alternateReferences>
    <we:reference id="wa200005502" version="1.0.0.11" store="wa200005502" storeType="OMEX"/>
  </we:alternateReferences>
  <we:properties>
    <we:property name="docId" value="&quot;irA8JyddJIlcmt_TNQYEZ&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25C21D78-46B2-3A4B-BF8C-59C6D7DF1D72}">
  <we:reference id="wa104100404" version="3.0.0.1" store="es-ES" storeType="OMEX"/>
  <we:alternateReferences>
    <we:reference id="wa104100404" version="3.0.0.1" store="wa104100404" storeType="OMEX"/>
  </we:alternateReferences>
  <we:properties>
    <we:property name="UniqueID" value="&quot;20241071730936258876&quot;"/>
    <we:property name="aBY1MhUcUxUQZisnGjUDKWkJFh8=" value="&quot;&quot;"/>
    <we:property name="aBY1MhUcUxUQZisnGjUDKWk1GxksKgE8BigP" value="&quot;DxQz&quot;"/>
    <we:property name="aBY1MhUcUxUQZisnGjUDKWkLFQ0XJh0=" value="&quot;eQ==&quot;"/>
    <we:property name="aBY1MhUcUxUQZisnGjUDKWk1GxksKgE8DSMP" value="&quot;eQ==&quot;"/>
    <we:property name="aBY1MhUcUxUQZisnGjUDKWk1GxksKgE8EzQN" value="&quot;eGhERWp/Q1I=&quot;"/>
    <we:property name="aBY1MhUcUxUQZisnGjUDKWk1GxksKgE8ECUE" value="&quot;eQ==&quot;"/>
    <we:property name="aBY1MhUcUxUQZisnGjUDKWk1GxksKgE8ESoQ" value="&quot;eA==&quot;"/>
    <we:property name="aBY1MhUcUxUQZisnGjUDKWk1GxksKgE8FykE" value="&quot;eGhERA==&quot;"/>
    <we:property name="aBY1MhUcUxUQZisnGjUDKWk1GxksKgE8ADAP" value="&quot;eGhERWp+&quot;"/>
    <we:property name="aBY1MhUcUxUQZisnGjUDKWk1GxksKgE8DjUE" value="&quot;eA==&quot;"/>
    <we:property name="aBY1MhUcUxUQZisnGjUDKWk1GxksKgE8EDUS" value="&quot;eXZE&quot;"/>
    <we:property name="aBY1MhUcUxUQZisnGjUDKWk1GxksKgE8ETUM" value="&quot;eA==&quot;"/>
    <we:property name="aBY1MhUcUxUQZisnGjUDKWk1GxksKgE8DjQc" value="&quot;eGhEQm8=&quot;"/>
    <we:property name="aBY1MhUcUxUQZisnGjUDKWk1GxksKgE8DigB" value="&quot;e3Y=&quot;"/>
    <we:property name="aBY1MhUcUxUQZisnGjUDKWk1GxksKgE8ESQe" value="&quot;eQ==&quot;"/>
    <we:property name="aBY1MhUcUxUQZisnGjUDKWk1GxksKgE8DTIa" value="&quot;eg==&quot;"/>
    <we:property name="aBY1MhUcUxUQZisnGjUDKWk1GxksKgE8AiUL" value="&quot;eGhERWs=&quot;"/>
    <we:property name="aBY1MhUcUxUQZisnGjUDKWk1GxksKgE8ESMb" value="&quot;fQ==&quot;"/>
    <we:property name="aBY1MhUcUxUQZisnGjUDKWk1GxksKgE8AjQb" value="&quot;eQ==&quot;"/>
    <we:property name="aBY1MhUcUxUQZisnGjUDKWk1GxksKgE8EDIJ" value="&quot;eA==&quot;"/>
    <we:property name="aBY1MhUcUxUQZisnGjUDKWk1GxksKgE8DiMc" value="&quot;eg==&quot;"/>
    <we:property name="aBY1MhUcUxUQZisnGjUDKWk1GxksKgE8ECkL" value="&quot;eA==&quot;"/>
    <we:property name="aBY1MhUcUxUQZisnGjUDKWk1GxksKgE8DzYc" value="&quot;eA==&quot;"/>
    <we:property name="aBY1MhUcUxUQZisnGjUDKWk1GxksKgE8DzYY" value="&quot;eA==&quot;"/>
    <we:property name="aBY1MhUcUxUQZisnGjUDKWk1GxksKgE8BCcY" value="&quot;eGhERWp/Q1I=&quot;"/>
    <we:property name="aBY1MhUcUxUQZisnGjUDKWk1GxksKgE8CjYb" value="&quot;eGhNTA==&quot;"/>
    <we:property name="aBY1MhUcUxUQZisnGjUDKWk1GxksKgE8BSMJ" value="&quot;eGhERWp/Q1I=&quot;"/>
    <we:property name="aBY1MhUcUxUQZisnGjUDKWk1GxksKgE8CjYB" value="&quot;eQ==&quot;"/>
    <we:property name="aBY1MhUcUxUQZisnGjUDKWk1GxksKgE8CjYM" value="&quot;ew==&quot;"/>
  </we:properties>
  <we:bindings>
    <we:binding id="refEdit" type="matrix" appref="{B8A85474-0FD5-924F-8B59-C09B1258AD00}"/>
    <we:binding id="Worker" type="matrix" appref="{7DF7F38A-E43D-6E46-B6A1-69E1281C7578}"/>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448F7-B85F-0746-A281-F3AB8FCF22DB}">
  <sheetPr codeName="Hoja1">
    <pageSetUpPr fitToPage="1"/>
  </sheetPr>
  <dimension ref="A1:AAV1180"/>
  <sheetViews>
    <sheetView tabSelected="1" topLeftCell="A991" zoomScaleNormal="100" zoomScaleSheetLayoutView="69" workbookViewId="0">
      <selection activeCell="CH1022" sqref="CH1022"/>
    </sheetView>
  </sheetViews>
  <sheetFormatPr baseColWidth="10" defaultColWidth="11.1640625" defaultRowHeight="16"/>
  <cols>
    <col min="1" max="1" width="11" style="211" bestFit="1" customWidth="1"/>
    <col min="2" max="2" width="14.1640625" style="212" customWidth="1"/>
    <col min="3" max="3" width="64.1640625" style="213" customWidth="1"/>
    <col min="4" max="4" width="10.6640625" style="214" hidden="1" customWidth="1"/>
    <col min="5" max="5" width="7.1640625" style="214" hidden="1" customWidth="1"/>
    <col min="6" max="6" width="10.6640625" style="214" hidden="1" customWidth="1"/>
    <col min="7" max="7" width="8.1640625" style="213" hidden="1" customWidth="1"/>
    <col min="8" max="8" width="10.5" style="214" hidden="1" customWidth="1"/>
    <col min="9" max="9" width="9.1640625" style="213" hidden="1" customWidth="1"/>
    <col min="10" max="10" width="10.5" style="213" hidden="1" customWidth="1"/>
    <col min="11" max="11" width="8.1640625" style="213" hidden="1" customWidth="1"/>
    <col min="12" max="12" width="10.5" style="213" hidden="1" customWidth="1"/>
    <col min="13" max="13" width="7.1640625" style="213" hidden="1" customWidth="1"/>
    <col min="14" max="14" width="10.5" style="213" hidden="1" customWidth="1"/>
    <col min="15" max="15" width="7.1640625" style="213" hidden="1" customWidth="1"/>
    <col min="16" max="16" width="10.5" style="213" hidden="1" customWidth="1"/>
    <col min="17" max="17" width="8.33203125" style="213" hidden="1" customWidth="1"/>
    <col min="18" max="18" width="10.5" style="213" hidden="1" customWidth="1"/>
    <col min="19" max="19" width="8.1640625" style="213" hidden="1" customWidth="1"/>
    <col min="20" max="20" width="10.5" style="213" hidden="1" customWidth="1"/>
    <col min="21" max="21" width="8.33203125" style="213" hidden="1" customWidth="1"/>
    <col min="22" max="22" width="10.5" style="213" hidden="1" customWidth="1"/>
    <col min="23" max="23" width="8.33203125" style="213" hidden="1" customWidth="1"/>
    <col min="24" max="24" width="10.5" style="213" hidden="1" customWidth="1"/>
    <col min="25" max="25" width="8.33203125" style="213" hidden="1" customWidth="1"/>
    <col min="26" max="26" width="10.5" style="213" hidden="1" customWidth="1"/>
    <col min="27" max="27" width="8.33203125" style="213" hidden="1" customWidth="1"/>
    <col min="28" max="28" width="10.5" style="213" hidden="1" customWidth="1"/>
    <col min="29" max="29" width="8.1640625" style="213" hidden="1" customWidth="1"/>
    <col min="30" max="30" width="10.5" style="213" hidden="1" customWidth="1"/>
    <col min="31" max="31" width="7.1640625" style="213" hidden="1" customWidth="1"/>
    <col min="32" max="32" width="10.5" style="213" hidden="1" customWidth="1"/>
    <col min="33" max="33" width="8.33203125" style="213" hidden="1" customWidth="1"/>
    <col min="34" max="34" width="10.5" style="213" hidden="1" customWidth="1"/>
    <col min="35" max="35" width="8.33203125" style="213" hidden="1" customWidth="1"/>
    <col min="36" max="36" width="10.5" style="213" hidden="1" customWidth="1"/>
    <col min="37" max="37" width="8.33203125" style="213" hidden="1" customWidth="1"/>
    <col min="38" max="38" width="10.5" style="213" hidden="1" customWidth="1"/>
    <col min="39" max="39" width="8.33203125" style="213" hidden="1" customWidth="1"/>
    <col min="40" max="40" width="10.5" style="213" hidden="1" customWidth="1"/>
    <col min="41" max="41" width="8.33203125" style="213" hidden="1" customWidth="1"/>
    <col min="42" max="42" width="10.5" style="213" hidden="1" customWidth="1"/>
    <col min="43" max="43" width="7.1640625" style="213" hidden="1" customWidth="1"/>
    <col min="44" max="44" width="10.5" style="214" hidden="1" customWidth="1"/>
    <col min="45" max="45" width="7.1640625" style="213" hidden="1" customWidth="1"/>
    <col min="46" max="46" width="10.5" style="213" hidden="1" customWidth="1"/>
    <col min="47" max="47" width="8.1640625" style="213" hidden="1" customWidth="1"/>
    <col min="48" max="48" width="10.5" style="213" hidden="1" customWidth="1"/>
    <col min="49" max="49" width="8.1640625" style="213" hidden="1" customWidth="1"/>
    <col min="50" max="50" width="10.5" style="213" hidden="1" customWidth="1"/>
    <col min="51" max="52" width="8.1640625" style="213" hidden="1" customWidth="1"/>
    <col min="53" max="53" width="10.5" style="213" customWidth="1"/>
    <col min="54" max="54" width="8.1640625" style="213" customWidth="1"/>
    <col min="55" max="55" width="10.5" style="213" customWidth="1"/>
    <col min="56" max="56" width="8.1640625" style="213" customWidth="1"/>
    <col min="57" max="57" width="10.5" style="213" customWidth="1"/>
    <col min="58" max="58" width="8.1640625" style="213" customWidth="1"/>
    <col min="59" max="59" width="10.5" style="213" customWidth="1"/>
    <col min="60" max="60" width="8.1640625" style="213" customWidth="1"/>
    <col min="61" max="61" width="10.5" style="213" customWidth="1"/>
    <col min="62" max="62" width="8.1640625" style="213" customWidth="1"/>
    <col min="63" max="63" width="10.5" style="213" customWidth="1"/>
    <col min="64" max="64" width="8.1640625" style="213" customWidth="1"/>
    <col min="65" max="65" width="10.5" style="213" customWidth="1"/>
    <col min="66" max="66" width="8.83203125" style="213" customWidth="1"/>
    <col min="67" max="67" width="10.33203125" style="213" customWidth="1"/>
    <col min="68" max="68" width="8.1640625" style="213" customWidth="1"/>
    <col min="69" max="69" width="10.5" style="213" customWidth="1"/>
    <col min="70" max="70" width="8.1640625" style="213" customWidth="1"/>
    <col min="71" max="71" width="10.5" style="213" customWidth="1"/>
    <col min="72" max="72" width="8.1640625" style="213" customWidth="1"/>
    <col min="73" max="73" width="10.1640625" style="213" customWidth="1"/>
    <col min="74" max="74" width="8.1640625" style="213" customWidth="1"/>
    <col min="75" max="75" width="11.1640625" style="213" customWidth="1"/>
    <col min="76" max="76" width="9.5" style="213" customWidth="1"/>
    <col min="77" max="77" width="10.1640625" style="213" customWidth="1"/>
    <col min="78" max="78" width="11.1640625" style="213"/>
    <col min="79" max="79" width="10.6640625" style="213" customWidth="1"/>
    <col min="80" max="723" width="11.1640625" style="213"/>
    <col min="724" max="724" width="2.1640625" style="213" bestFit="1" customWidth="1"/>
    <col min="725" max="16384" width="11.1640625" style="213"/>
  </cols>
  <sheetData>
    <row r="1" spans="1:724">
      <c r="B1" s="212" t="s">
        <v>746</v>
      </c>
      <c r="G1" s="214"/>
      <c r="I1" s="214"/>
      <c r="J1" s="214"/>
      <c r="K1" s="214"/>
      <c r="L1" s="214"/>
      <c r="M1" s="214"/>
      <c r="N1" s="214"/>
      <c r="O1" s="214"/>
      <c r="P1" s="214"/>
      <c r="Q1" s="214"/>
      <c r="R1" s="214"/>
      <c r="T1" s="214"/>
      <c r="V1" s="214"/>
      <c r="X1" s="214"/>
      <c r="Z1" s="214"/>
      <c r="AB1" s="214"/>
      <c r="AD1" s="214"/>
      <c r="AF1" s="214"/>
    </row>
    <row r="2" spans="1:724">
      <c r="A2" s="215"/>
      <c r="C2" s="216" t="s">
        <v>0</v>
      </c>
      <c r="D2" s="217">
        <f t="shared" ref="D2:X3" si="0">D7+D12+D17+D22+D27+D32+D37+D42+D47+D52+D57+D62+D67+D72+D97+D102+D107+D102+D127+D132+D173+D178+D188+D193+D198+D203+D208+D213+D218+D223+D228+D233+D238+D243+D248+D253+D263+D268+D273+D278+D283+D288+D293+D298+D303+D308+D313+D318+D323+D328+D333+D338+D343+D348+D353+D358+D363+D368+D373+D378+D383+D388+D393+D398+D403+D408+D413+D418+D423+D428+D433+D438+D443+D448+D453+D458+D463+D468+D473+D478+D483+D488+D493+D498+D503+D508+D513+D518+D523+D528+D533+D538+D543+D548+D553+D558+D563+D568+D573+D578+D583+D588+D593+D598+D603+D608+D613+D618+D623+D628+D633+D638+D643+D648+D653+D658+D663+D668+D673++D678+D683+D688+D693+D698+D703+D708+D713+D718+D723+D728+D733+D738+D743+D748+D753+D758+D763+D768+D773+D778+D783+D788+D793+D798+D803+D808+D813+D818+D823+D828+D833</f>
        <v>-9531.6600000000017</v>
      </c>
      <c r="E2" s="218"/>
      <c r="F2" s="217">
        <f t="shared" si="0"/>
        <v>-9674.52</v>
      </c>
      <c r="H2" s="217">
        <f t="shared" si="0"/>
        <v>-9219.57</v>
      </c>
      <c r="J2" s="217">
        <f t="shared" si="0"/>
        <v>-8251.3799999999992</v>
      </c>
      <c r="L2" s="217">
        <f t="shared" si="0"/>
        <v>-9994.4499999999989</v>
      </c>
      <c r="N2" s="217">
        <f t="shared" si="0"/>
        <v>-12806.399999999992</v>
      </c>
      <c r="P2" s="217">
        <f t="shared" si="0"/>
        <v>-20221.339999999997</v>
      </c>
      <c r="R2" s="217">
        <f t="shared" si="0"/>
        <v>-24023.89</v>
      </c>
      <c r="S2" s="219"/>
      <c r="T2" s="217">
        <f t="shared" si="0"/>
        <v>-15814.369999999997</v>
      </c>
      <c r="V2" s="217">
        <f t="shared" si="0"/>
        <v>-13995.589999999997</v>
      </c>
      <c r="X2" s="217">
        <f t="shared" si="0"/>
        <v>-14084.750000000002</v>
      </c>
      <c r="Z2" s="217">
        <f>Z7+Z12+Z17+Z22+Z27+Z32+Z37+Z42+Z47+Z52+Z57+Z62+Z67+Z72+Z97+Z102+Z107+Z102+Z127+Z132+Z173+Z178+Z188+Z193+Z198+Z203+Z208+Z213+Z218+Z223+Z228+Z233+Z238+Z243+Z248+Z253+Z263+Z268+Z273+Z278+Z283+Z288+Z293+Z298+Z303+Z308+Z313+Z318+Z323+Z328+Z333+Z338+Z343+Z348+Z353+Z358+Z363+Z368+Z373+Z378+Z383+Z388+Z393+Z398+Z403+Z408+Z413+Z418+Z423+Z428+Z433+Z438+Z443+Z448+Z453+Z458+Z463+Z468+Z473+Z478+Z483+Z488+Z493+Z498+Z503+Z508+Z513+Z518+Z523+Z528+Z533+Z538+Z543+Z548+Z553+Z558+Z563+Z568+Z573+Z578+Z583+Z588+Z593+Z598+Z603+Z608+Z613+Z618+Z623+Z628+Z633+Z638+Z643+Z648+Z653+Z658+Z663+Z668+Z673++Z678+Z683+Z688+Z693+Z698+Z703+Z708+Z713+Z718+Z723+Z728+Z733+Z738+Z743+Z748+Z753+Z758+Z763+Z768+Z773+Z778+Z783+Z788+Z793+Z798+Z803+Z808+Z813+Z818+Z823+Z828+Z833</f>
        <v>-18953.419999999998</v>
      </c>
      <c r="AB2" s="217">
        <f>AB7+AB12+AB17+AB22+AB27+AB32+AB37+AB42+AB47+AB52+AB57+AB62+AB67+AB72+AB97+AB102+AB107+AB102+AB127+AB132+AB173+AB178+AB188+AB193+AB198+AB203+AB208+AB213+AB218+AB223+AB228+AB233+AB238+AB243+AB248+AB253+AB263+AB268+AB273+AB278+AB283+AB288+AB293+AB298+AB303+AB308+AB313+AB318+AB323+AB328+AB333+AB338+AB343+AB348+AB353+AB358+AB363+AB368+AB373+AB378+AB383+AB388+AB393+AB398+AB403+AB408+AB413+AB418+AB423+AB428+AB433+AB438+AB443+AB448+AB453+AB458+AB463+AB468+AB473+AB478+AB483+AB488+AB493+AB498+AB503+AB508+AB513+AB518+AB523+AB528+AB533+AB538+AB543+AB548+AB553+AB558+AB563+AB568+AB573+AB578+AB583+AB588+AB593+AB598+AB603+AB608+AB613+AB618+AB623+AB628+AB633+AB638+AB643+AB648+AB653+AB658+AB663+AB668+AB673++AB678+AB683+AB688+AB693+AB698+AB703+AB708+AB713+AB718+AB723+AB728+AB733+AB738+AB743+AB748+AB753+AB758+AB763+AB768+AB773+AB778+AB783+AB788+AB793+AB798+AB803+AB808+AB813+AB818+AB823+AB828+AB833</f>
        <v>-19679.639999999996</v>
      </c>
      <c r="AD2" s="217">
        <f>AD7+AD12+AD17+AD22+AD27+AD32+AD37+AD42+AD47+AD52+AD57+AD62+AD67+AD72+AD97+AD102+AD107+AD102+AD127+AD132+AD173+AD178+AD188+AD193+AD198+AD203+AD208+AD213+AD218+AD223+AD228+AD233+AD238+AD243+AD248+AD253+AD263+AD268+AD273+AD278+AD283+AD288+AD293+AD298+AD303+AD308+AD313+AD318+AD323+AD328+AD333+AD338+AD343+AD348+AD353+AD358+AD363+AD368+AD373+AD378+AD383+AD388+AD393+AD398+AD403+AD408+AD413+AD418+AD423+AD428+AD433+AD438+AD443+AD448+AD453+AD458+AD463+AD468+AD473+AD478+AD483+AD488+AD493+AD498+AD503+AD508+AD513+AD518+AD523+AD528+AD533+AD538+AD543+AD548+AD553+AD558+AD563+AD568+AD573+AD578+AD583+AD588+AD593+AD598+AD603+AD608+AD613+AD618+AD623+AD628+AD633+AD638+AD643+AD648+AD653+AD658+AD663+AD668+AD673++AD678+AD683+AD688+AD693+AD698+AD703+AD708+AD713+AD718+AD723+AD728+AD733+AD738+AD743+AD748+AD753+AD758+AD763+AD768+AD773+AD778+AD783+AD788+AD793+AD798+AD803+AD808+AD813+AD818+AD823+AD828+AD833</f>
        <v>-22987.63</v>
      </c>
      <c r="AF2" s="217">
        <f>AF7+AF12+AF17+AF22+AF27+AF32+AF37+AF42+AF47+AF52+AF57+AF62+AF67+AF72+AF97+AF102+AF107+AF102+AF127+AF132+AF173+AF178+AF188+AF193+AF198+AF203+AF208+AF213+AF218+AF223+AF228+AF233+AF238+AF243+AF248+AF253+AF263+AF268+AF273+AF278+AF283+AF288+AF293+AF298+AF303+AF308+AF313+AF318+AF323+AF328+AF333+AF338+AF343+AF348+AF353+AF358+AF363+AF368+AF373+AF378+AF383+AF388+AF393+AF398+AF403+AF408+AF413+AF418+AF423+AF428+AF433+AF438+AF443+AF448+AF453+AF458+AF463+AF468+AF473+AF478+AF483+AF488+AF493+AF498+AF503+AF508+AF513+AF518+AF523+AF528+AF533+AF538+AF543+AF548+AF553+AF558+AF563+AF568+AF573+AF578+AF583+AF588+AF593+AF598+AF603+AF608+AF613+AF618+AF623+AF628+AF633+AF638+AF643+AF648+AF653+AF658+AF663+AF668+AF673++AF678+AF683+AF688+AF693+AF698+AF703+AF708+AF713+AF718+AF723+AF728+AF733+AF738+AF743+AF748+AF753+AF758+AF763+AF768+AF773+AF778+AF783+AF788+AF793+AF798+AF803+AF808+AF813+AF818+AF823+AF828+AF833</f>
        <v>-22434.709999999992</v>
      </c>
      <c r="AH2" s="217">
        <f>AH7+AH12+AH17+AH22+AH27+AH32+AH37+AH42+AH47+AH52+AH57+AH62+AH67+AH72+AH97+AH102+AH107+AH102+AH127+AH132+AH173+AH178+AH188+AH193+AH198+AH203+AH208+AH213+AH218+AH223+AH228+AH233+AH238+AH243+AH248+AH253+AH263+AH268+AH273+AH278+AH283+AH288+AH293+AH298+AH303+AH308+AH313+AH318+AH323+AH328+AH333+AH338+AH343+AH348+AH353+AH358+AH363+AH368+AH373+AH378+AH383+AH388+AH393+AH398+AH403+AH408+AH413+AH418+AH423+AH428+AH433+AH438+AH443+AH448+AH453+AH458+AH463+AH468+AH473+AH478+AH483+AH488+AH493+AH498+AH503+AH508+AH513+AH518+AH523+AH528+AH533+AH538+AH543+AH548+AH553+AH558+AH563+AH568+AH573+AH578+AH583+AH588+AH593+AH598+AH603+AH608+AH613+AH618+AH623+AH628+AH633+AH638+AH643+AH648+AH653+AH658+AH663+AH668+AH673++AH678+AH683+AH688+AH693+AH698+AH703+AH708+AH713+AH718+AH723+AH728+AH733+AH738+AH743+AH748+AH753+AH758+AH763+AH768+AH773+AH778+AH783+AH788+AH793+AH798+AH803+AH808+AH813+AH818+AH823+AH828+AH833</f>
        <v>-20906.07</v>
      </c>
      <c r="AJ2" s="217">
        <f>AJ7+AJ12+AJ17+AJ22+AJ27+AJ32+AJ37+AJ42+AJ47+AJ52+AJ57+AJ62+AJ67+AJ72+AJ97+AJ102+AJ107+AJ102+AJ127+AJ132+AJ173+AJ178+AJ188+AJ193+AJ198+AJ203+AJ208+AJ213+AJ218+AJ223+AJ228+AJ233+AJ238+AJ243+AJ248+AJ253+AJ263+AJ268+AJ273+AJ278+AJ283+AJ288+AJ293+AJ298+AJ303+AJ308+AJ313+AJ318+AJ323+AJ328+AJ333+AJ338+AJ343+AJ348+AJ353+AJ358+AJ363+AJ368+AJ373+AJ378+AJ383+AJ388+AJ393+AJ398+AJ403+AJ408+AJ413+AJ418+AJ423+AJ428+AJ433+AJ438+AJ443+AJ448+AJ453+AJ458+AJ463+AJ468+AJ473+AJ478+AJ483+AJ488+AJ493+AJ498+AJ503+AJ508+AJ513+AJ518+AJ523+AJ528+AJ533+AJ538+AJ543+AJ548+AJ553+AJ558+AJ563+AJ568+AJ573+AJ578+AJ583+AJ588+AJ593+AJ598+AJ603+AJ608+AJ613+AJ618+AJ623+AJ628+AJ633+AJ638+AJ643+AJ648+AJ653+AJ658+AJ663+AJ668+AJ673++AJ678+AJ683+AJ688+AJ693+AJ698+AJ703+AJ708+AJ713+AJ718+AJ723+AJ728+AJ733+AJ738+AJ743+AJ748+AJ753+AJ758+AJ763+AJ768+AJ773+AJ778+AJ783+AJ788+AJ793+AJ798+AJ803+AJ808+AJ813+AJ818+AJ823+AJ828+AJ833</f>
        <v>-24110.040000000005</v>
      </c>
      <c r="AL2" s="217">
        <f>AL7+AL12+AL17+AL22+AL27+AL32+AL37+AL42+AL47+AL52+AL57+AL62+AL67+AL72+AL97+AL102+AL107+AL102+AL127+AL132+AL173+AL178+AL188+AL193+AL198+AL203+AL208+AL213+AL218+AL223+AL228+AL233+AL238+AL243+AL248+AL253+AL263+AL268+AL273+AL278+AL283+AL288+AL293+AL298+AL303+AL308+AL313+AL318+AL323+AL328+AL333+AL338+AL343+AL348+AL353+AL358+AL363+AL368+AL373+AL378+AL383+AL388+AL393+AL398+AL403+AL408+AL413+AL418+AL423+AL428+AL433+AL438+AL443+AL448+AL453+AL458+AL463+AL468+AL473+AL478+AL483+AL488+AL493+AL498+AL503+AL508+AL513+AL518+AL523+AL528+AL533+AL538+AL543+AL548+AL553+AL558+AL563+AL568+AL573+AL578+AL583+AL588+AL593+AL598+AL603+AL608+AL613+AL618+AL623+AL628+AL633+AL638+AL643+AL648+AL653+AL658+AL663+AL668+AL673++AL678+AL683+AL688+AL693+AL698+AL703+AL708+AL713+AL718+AL723+AL728+AL733+AL738+AL743+AL748+AL753+AL758+AL763+AL768+AL773+AL778+AL783+AL788+AL793+AL798+AL803+AL808+AL813+AL818+AL823+AL828+AL833</f>
        <v>-28482.650000000009</v>
      </c>
      <c r="AN2" s="217">
        <f>AN7+AN12+AN17+AN22+AN27+AN32+AN37+AN42+AN47+AN52+AN57+AN62+AN67+AN72+AN97+AN102+AN107+AN102+AN127+AN132+AN173+AN178+AN188+AN193+AN198+AN203+AN208+AN213+AN218+AN223+AN228+AN233+AN238+AN243+AN248+AN253+AN263+AN268+AN273+AN278+AN283+AN288+AN293+AN298+AN303+AN308+AN313+AN318+AN323+AN328+AN333+AN338+AN343+AN348+AN353+AN358+AN363+AN368+AN373+AN378+AN383+AN388+AN393+AN398+AN403+AN408+AN413+AN418+AN423+AN428+AN433+AN438+AN443+AN448+AN453+AN458+AN463+AN468+AN473+AN478+AN483+AN488+AN493+AN498+AN503+AN508+AN513+AN518+AN523+AN528+AN533+AN538+AN543+AN548+AN553+AN558+AN563+AN568+AN573+AN578+AN583+AN588+AN593+AN598+AN603+AN608+AN613+AN618+AN623+AN628+AN633+AN638+AN643+AN648+AN653+AN658+AN663+AN668+AN673++AN678+AN683+AN688+AN693+AN698+AN703+AN708+AN713+AN718+AN723+AN728+AN733+AN738+AN743+AN748+AN753+AN758+AN763+AN768+AN773+AN778+AN783+AN788+AN793+AN798+AN803+AN808+AN813+AN818+AN823+AN828+AN833</f>
        <v>-37261.839999999989</v>
      </c>
      <c r="AO2" s="217"/>
      <c r="AP2" s="217">
        <f>AP7+AP12+AP17+AP22+AP27+AP32+AP37+AP42+AP47+AP52+AP57+AP62+AP67+AP72+AP97+AP102+AP107+AP102+AP127+AP132+AP173+AP178+AP188+AP193+AP198+AP203+AP208+AP213+AP218+AP223+AP228+AP233+AP238+AP243+AP248+AP253+AP263+AP268+AP273+AP278+AP283+AP288+AP293+AP298+AP303+AP308+AP313+AP318+AP323+AP328+AP333+AP338+AP343+AP348+AP353+AP358+AP363+AP368+AP373+AP378+AP383+AP388+AP393+AP398+AP403+AP408+AP413+AP418+AP423+AP428+AP433+AP438+AP443+AP448+AP453+AP458+AP463+AP468+AP473+AP478+AP483+AP488+AP493+AP498+AP503+AP508+AP513+AP518+AP523+AP528+AP533+AP538+AP543+AP548+AP553+AP558+AP563+AP568+AP573+AP578+AP583+AP588+AP593+AP598+AP603+AP608+AP613+AP618+AP623+AP628+AP633+AP638+AP643+AP648+AP653+AP658+AP663+AP668+AP673++AP678+AP683+AP688+AP693+AP698+AP703+AP708+AP713+AP718+AP723+AP728+AP733+AP738+AP743+AP748+AP753+AP758+AP763+AP768+AP773+AP778+AP783+AP788+AP793+AP798+AP803+AP808+AP813+AP818+AP823+AP828+AP833</f>
        <v>-36934.829999999987</v>
      </c>
      <c r="AR2" s="217">
        <f>AR7+AR12+AR17+AR22+AR27+AR32+AR37+AR42+AR47+AR52+AR57+AR62+AR67+AR72+AR97+AR102+AR107+AR102+AR127+AR132+AR173+AR178+AR188+AR193+AR198+AR203+AR208+AR213+AR218+AR223+AR228+AR233+AR238+AR243+AR248+AR253+AR263+AR268+AR273+AR278+AR283+AR288+AR293+AR298+AR303+AR308+AR313+AR318+AR323+AR328+AR333+AR338+AR343+AR348+AR353+AR358+AR363+AR368+AR373+AR378+AR383+AR388+AR393+AR398+AR403+AR408+AR413+AR418+AR423+AR428+AR433+AR438+AR443+AR448+AR453+AR458+AR463+AR468+AR473+AR478+AR483+AR488+AR493+AR498+AR503+AR508+AR513+AR518+AR523+AR528+AR533+AR538+AR543+AR548+AR553+AR558+AR563+AR568+AR573+AR578+AR583+AR588+AR593+AR598+AR603+AR608+AR613+AR618+AR623+AR628+AR633+AR638+AR643+AR648+AR653+AR658+AR663+AR668+AR673++AR678+AR683+AR688+AR693+AR698+AR703+AR708+AR713+AR718+AR723+AR728+AR733+AR738+AR743+AR748+AR753+AR758+AR763+AR768+AR773+AR778+AR783+AR788+AR793+AR798+AR803+AR808+AR813+AR818+AR823+AR828+AR833</f>
        <v>-29039.29</v>
      </c>
      <c r="AT2" s="217">
        <f>SUMIF($C:$C,"Pagado",AT:AT)</f>
        <v>-29923.120000000014</v>
      </c>
      <c r="AV2" s="217">
        <f>SUMIF($C:$C,"Pagado",AV:AV)</f>
        <v>-30438.000000000004</v>
      </c>
      <c r="AX2" s="217">
        <f>SUMIF($C:$C,"Pagado",AX:AX)</f>
        <v>-38297.519999999997</v>
      </c>
      <c r="BA2" s="220">
        <f>SUMIF($C:$C,"Pagado",BA:BA)</f>
        <v>-36966.119999999995</v>
      </c>
      <c r="BC2" s="217">
        <f>SUMIF($C:$C,"Pagado",BC:BC)</f>
        <v>-32345.869999999988</v>
      </c>
      <c r="BE2" s="217">
        <f>SUMIF($C:$C,"Pagado",BE:BE)</f>
        <v>-35152.080000000016</v>
      </c>
      <c r="BG2" s="217">
        <f>SUMIF($C:$C,"Pagado",BG:BG)</f>
        <v>-29305.959999999988</v>
      </c>
      <c r="BI2" s="217">
        <f>SUMIF($C:$C,"Pagado",BI:BI)</f>
        <v>-30265.350000000009</v>
      </c>
      <c r="BK2" s="217">
        <f>SUMIF($C:$C,"Pagado",BK:BK)</f>
        <v>-36643.98000000001</v>
      </c>
      <c r="BM2" s="217">
        <f>SUMIF($C:$C,"Pagado",BM:BM)</f>
        <v>-49209.77</v>
      </c>
      <c r="BO2" s="217">
        <f>SUMIF($C:$C,"Pagado",BO:BO)</f>
        <v>-43296.560000000012</v>
      </c>
      <c r="BQ2" s="217">
        <f>SUMIF($C:$C,"Pagado",BQ:BQ)</f>
        <v>-37537.229999999996</v>
      </c>
      <c r="BS2" s="217">
        <f>SUMIF($C:$C,"Pagado",BS:BS)</f>
        <v>-34357.629999999997</v>
      </c>
      <c r="BU2" s="217">
        <f>SUMIF($C:$C,"Pagado",BU:BU)</f>
        <v>-31797.509999999995</v>
      </c>
      <c r="BW2" s="217">
        <f>SUMIF($C:$C,"Pagado",BW:BW)</f>
        <v>-37236.220000000008</v>
      </c>
      <c r="BY2" s="217">
        <f>SUMIF($C:$C,"Pagado",BY:BY)</f>
        <v>-39048.439999999988</v>
      </c>
      <c r="BZ2" s="217"/>
      <c r="CA2" s="217">
        <f>SUMIF($C:$C,"Pagado",CA:CA)</f>
        <v>-33612.010000000009</v>
      </c>
      <c r="CC2" s="217">
        <f>SUMIF($C:$C,"Pagado",CC:CC)</f>
        <v>-36610.310000000012</v>
      </c>
      <c r="CE2" s="217">
        <f>SUMIF($C:$C,"Pagado",CE:CE)</f>
        <v>-31728.779999999992</v>
      </c>
      <c r="CG2" s="217">
        <f>SUMIF($C:$C,"Pagado",CG:CG)</f>
        <v>-34677.539999999994</v>
      </c>
    </row>
    <row r="3" spans="1:724">
      <c r="C3" s="221" t="s">
        <v>239</v>
      </c>
      <c r="D3" s="217">
        <f t="shared" si="0"/>
        <v>14845.029999999999</v>
      </c>
      <c r="E3" s="222">
        <f>ABS(((D2+D3)/D2))</f>
        <v>0.55744434862342929</v>
      </c>
      <c r="F3" s="217">
        <f t="shared" si="0"/>
        <v>12845.129999999997</v>
      </c>
      <c r="G3" s="222">
        <f>ABS(((F2+F3)/F2))</f>
        <v>0.32772788727502727</v>
      </c>
      <c r="H3" s="217">
        <f t="shared" si="0"/>
        <v>14039.61</v>
      </c>
      <c r="I3" s="222">
        <f>ABS(((H2+H3)/H2))</f>
        <v>0.52280529352236615</v>
      </c>
      <c r="J3" s="217">
        <f t="shared" si="0"/>
        <v>13826.869999999999</v>
      </c>
      <c r="K3" s="222">
        <f>ABS(((J2+J3)/J2))</f>
        <v>0.6757039428556193</v>
      </c>
      <c r="L3" s="217">
        <f t="shared" si="0"/>
        <v>15497.109999999999</v>
      </c>
      <c r="M3" s="222">
        <f>ABS(((L2+L3)/L2))</f>
        <v>0.55057156721980705</v>
      </c>
      <c r="N3" s="217">
        <f t="shared" si="0"/>
        <v>20642.59</v>
      </c>
      <c r="O3" s="222">
        <f>ABS(((N2+N3)/N2))</f>
        <v>0.61189639555222486</v>
      </c>
      <c r="P3" s="217">
        <f t="shared" si="0"/>
        <v>26267.079999999987</v>
      </c>
      <c r="Q3" s="222">
        <f>ABS(((P2+P3)/P2))</f>
        <v>0.29897820817018023</v>
      </c>
      <c r="R3" s="217">
        <f t="shared" si="0"/>
        <v>31735.63</v>
      </c>
      <c r="S3" s="222">
        <f>ABS(((R2+R3)/R2))</f>
        <v>0.32100296829530944</v>
      </c>
      <c r="T3" s="217">
        <f t="shared" si="0"/>
        <v>24931.200000000001</v>
      </c>
      <c r="U3" s="222">
        <f>ABS(((T2+T3)/T2))</f>
        <v>0.57649024273493066</v>
      </c>
      <c r="V3" s="217">
        <f t="shared" si="0"/>
        <v>19337.160000000003</v>
      </c>
      <c r="W3" s="222">
        <f>ABS(((V2+V3)/V2))</f>
        <v>0.38166093748102142</v>
      </c>
      <c r="X3" s="217">
        <f t="shared" si="0"/>
        <v>23734.579999999998</v>
      </c>
      <c r="Y3" s="222">
        <f>ABS(((X2+X3)/X2))</f>
        <v>0.68512611157457504</v>
      </c>
      <c r="Z3" s="217">
        <f>Z8+Z13+Z18+Z23+Z28+Z33+Z38+Z43+Z48+Z53+Z58+Z63+Z68+Z73+Z98+Z103+Z108+Z103+Z128+Z133+Z174+Z179+Z189+Z194+Z199+Z204+Z209+Z214+Z219+Z224+Z229+Z234+Z239+Z244+Z249+Z254+Z264+Z269+Z274+Z279+Z284+Z289+Z294+Z299+Z304+Z309+Z314+Z319+Z324+Z329+Z334+Z339+Z344+Z349+Z354+Z359+Z364+Z369+Z374+Z379+Z384+Z389+Z394+Z399+Z404+Z409+Z414+Z419+Z424+Z429+Z434+Z439+Z444+Z449+Z454+Z459+Z464+Z469+Z474+Z479+Z484+Z489+Z494+Z499+Z504+Z509+Z514+Z519+Z524+Z529+Z534+Z539+Z544+Z549+Z554+Z559+Z564+Z569+Z574+Z579+Z584+Z589+Z594+Z599+Z604+Z609+Z614+Z619+Z624+Z629+Z634+Z639+Z644+Z649+Z654+Z659+Z664+Z669+Z674++Z679+Z684+Z689+Z694+Z699+Z704+Z709+Z714+Z719+Z724+Z729+Z734+Z739+Z744+Z749+Z754+Z759+Z764+Z769+Z774+Z779+Z784+Z789+Z794+Z799+Z804+Z809+Z814+Z819+Z824+Z829+Z834</f>
        <v>25911.310000000005</v>
      </c>
      <c r="AA3" s="222">
        <f>ABS(((Z2+Z3)/Z2))</f>
        <v>0.36710472305262098</v>
      </c>
      <c r="AB3" s="217">
        <f>AB8+AB13+AB18+AB23+AB28+AB33+AB38+AB43+AB48+AB53+AB58+AB63+AB68+AB73+AB98+AB103+AB108+AB103+AB128+AB133+AB174+AB179+AB189+AB194+AB199+AB204+AB209+AB214+AB219+AB224+AB229+AB234+AB239+AB244+AB249+AB254+AB264+AB269+AB274+AB279+AB284+AB289+AB294+AB299+AB304+AB309+AB314+AB319+AB324+AB329+AB334+AB339+AB344+AB349+AB354+AB359+AB364+AB369+AB374+AB379+AB384+AB389+AB394+AB399+AB404+AB409+AB414+AB419+AB424+AB429+AB434+AB439+AB444+AB449+AB454+AB459+AB464+AB469+AB474+AB479+AB484+AB489+AB494+AB499+AB504+AB509+AB514+AB519+AB524+AB529+AB534+AB539+AB544+AB549+AB554+AB559+AB564+AB569+AB574+AB579+AB584+AB589+AB594+AB599+AB604+AB609+AB614+AB619+AB624+AB629+AB634+AB639+AB644+AB649+AB654+AB659+AB664+AB669+AB674++AB679+AB684+AB689+AB694+AB699+AB704+AB709+AB714+AB719+AB724+AB729+AB734+AB739+AB744+AB749+AB754+AB759+AB764+AB769+AB774+AB779+AB784+AB789+AB794+AB799+AB804+AB809+AB814+AB819+AB824+AB829+AB834</f>
        <v>26547.02</v>
      </c>
      <c r="AC3" s="223">
        <f>ABS(((AB2+AB3)/AB2))</f>
        <v>0.34895861916173293</v>
      </c>
      <c r="AD3" s="217">
        <f>AD8+AD13+AD18+AD23+AD28+AD33+AD38+AD43+AD48+AD53+AD58+AD63+AD68+AD73+AD98+AD103+AD108+AD103+AD128+AD133+AD174+AD179+AD189+AD194+AD199+AD204+AD209+AD214+AD219+AD224+AD229+AD234+AD239+AD244+AD249+AD254+AD264+AD269+AD274+AD279+AD284+AD289+AD294+AD299+AD304+AD309+AD314+AD319+AD324+AD329+AD334+AD339+AD344+AD349+AD354+AD359+AD364+AD369+AD374+AD379+AD384+AD389+AD394+AD399+AD404+AD409+AD414+AD419+AD424+AD429+AD434+AD439+AD444+AD449+AD454+AD459+AD464+AD469+AD474+AD479+AD484+AD489+AD494+AD499+AD504+AD509+AD514+AD519+AD524+AD529+AD534+AD539+AD544+AD549+AD554+AD559+AD564+AD569+AD574+AD579+AD584+AD589+AD594+AD599+AD604+AD609+AD614+AD619+AD624+AD629+AD634+AD639+AD644+AD649+AD654+AD659+AD664+AD669+AD674++AD679+AD684+AD689+AD694+AD699+AD704+AD709+AD714+AD719+AD724+AD729+AD734+AD739+AD744+AD749+AD754+AD759+AD764+AD769+AD774+AD779+AD784+AD789+AD794+AD799+AD804+AD809+AD814+AD819+AD824+AD829+AD834</f>
        <v>29941.380000000008</v>
      </c>
      <c r="AE3" s="222">
        <f>ABS(((AD2+AD3)/AD2))</f>
        <v>0.30249964872411844</v>
      </c>
      <c r="AF3" s="217">
        <f>AF8+AF13+AF18+AF23+AF28+AF33+AF38+AF43+AF48+AF53+AF58+AF63+AF68+AF73+AF98+AF103+AF108+AF103+AF128+AF133+AF174+AF179+AF189+AF194+AF199+AF204+AF209+AF214+AF219+AF224+AF229+AF234+AF239+AF244+AF249+AF254+AF264+AF269+AF274+AF279+AF284+AF289+AF294+AF299+AF304+AF309+AF314+AF319+AF324+AF329+AF334+AF339+AF344+AF349+AF354+AF359+AF364+AF369+AF374+AF379+AF384+AF389+AF394+AF399+AF404+AF409+AF414+AF419+AF424+AF429+AF434+AF439+AF444+AF449+AF454+AF459+AF464+AF469+AF474+AF479+AF484+AF489+AF494+AF499+AF504+AF509+AF514+AF519+AF524+AF529+AF534+AF539+AF544+AF549+AF554+AF559+AF564+AF569+AF574+AF579+AF584+AF589+AF594+AF599+AF604+AF609+AF614+AF619+AF624+AF629+AF634+AF639+AF644+AF649+AF654+AF659+AF664+AF669+AF674++AF679+AF684+AF689+AF694+AF699+AF704+AF709+AF714+AF719+AF724+AF729+AF734+AF739+AF744+AF749+AF754+AF759+AF764+AF769+AF774+AF779+AF784+AF789+AF794+AF799+AF804+AF809+AF814+AF819+AF824+AF829+AF834</f>
        <v>33567.743000000009</v>
      </c>
      <c r="AG3" s="222">
        <f>ABS(((AF2+AF3)/AF2))</f>
        <v>0.49624144907600864</v>
      </c>
      <c r="AH3" s="217">
        <f>AH8+AH13+AH18+AH23+AH28+AH33+AH38+AH43+AH48+AH53+AH58+AH63+AH68+AH73+AH98+AH103+AH108+AH103+AH128+AH133+AH174+AH179+AH189+AH194+AH199+AH204+AH209+AH214+AH219+AH224+AH229+AH234+AH239+AH244+AH249+AH254+AH264+AH269+AH274+AH279+AH284+AH289+AH294+AH299+AH304+AH309+AH314+AH319+AH324+AH329+AH334+AH339+AH344+AH349+AH354+AH359+AH364+AH369+AH374+AH379+AH384+AH389+AH394+AH399+AH404+AH409+AH414+AH419+AH424+AH429+AH434+AH439+AH444+AH449+AH454+AH459+AH464+AH469+AH474+AH479+AH484+AH489+AH494+AH499+AH504+AH509+AH514+AH519+AH524+AH529+AH534+AH539+AH544+AH549+AH554+AH559+AH564+AH569+AH574+AH579+AH584+AH589+AH594+AH599+AH604+AH609+AH614+AH619+AH624+AH629+AH634+AH639+AH644+AH649+AH654+AH659+AH664+AH669+AH674++AH679+AH684+AH689+AH694+AH699+AH704+AH709+AH714+AH719+AH724+AH729+AH734+AH739+AH744+AH749+AH754+AH759+AH764+AH769+AH774+AH779+AH784+AH789+AH794+AH799+AH804+AH809+AH814+AH819+AH824+AH829+AH834</f>
        <v>30880.000000000004</v>
      </c>
      <c r="AI3" s="222">
        <f>ABS(((AH2+AH3)/AH2))</f>
        <v>0.47708297159628776</v>
      </c>
      <c r="AJ3" s="217">
        <f>AJ8+AJ13+AJ18+AJ23+AJ28+AJ33+AJ38+AJ43+AJ48+AJ53+AJ58+AJ63+AJ68+AJ73+AJ98+AJ103+AJ108+AJ103+AJ128+AJ133+AJ174+AJ179+AJ189+AJ194+AJ199+AJ204+AJ209+AJ214+AJ219+AJ224+AJ229+AJ234+AJ239+AJ244+AJ249+AJ254+AJ264+AJ269+AJ274+AJ279+AJ284+AJ289+AJ294+AJ299+AJ304+AJ309+AJ314+AJ319+AJ324+AJ329+AJ334+AJ339+AJ344+AJ349+AJ354+AJ359+AJ364+AJ369+AJ374+AJ379+AJ384+AJ389+AJ394+AJ399+AJ404+AJ409+AJ414+AJ419+AJ424+AJ429+AJ434+AJ439+AJ444+AJ449+AJ454+AJ459+AJ464+AJ469+AJ474+AJ479+AJ484+AJ489+AJ494+AJ499+AJ504+AJ509+AJ514+AJ519+AJ524+AJ529+AJ534+AJ539+AJ544+AJ549+AJ554+AJ559+AJ564+AJ569+AJ574+AJ579+AJ584+AJ589+AJ594+AJ599+AJ604+AJ609+AJ614+AJ619+AJ624+AJ629+AJ634+AJ639+AJ644+AJ649+AJ654+AJ659+AJ664+AJ669+AJ674++AJ679+AJ684+AJ689+AJ694+AJ699+AJ704+AJ709+AJ714+AJ719+AJ724+AJ729+AJ734+AJ739+AJ744+AJ749+AJ754+AJ759+AJ764+AJ769+AJ774+AJ779+AJ784+AJ789+AJ794+AJ799+AJ804+AJ809+AJ814+AJ819+AJ824+AJ829+AJ834</f>
        <v>33662.67</v>
      </c>
      <c r="AK3" s="222">
        <f>ABS(((AJ2+AJ3)/AJ2))</f>
        <v>0.39620962885171457</v>
      </c>
      <c r="AL3" s="217">
        <f>AL8+AL13+AL18+AL23+AL28+AL33+AL38+AL43+AL48+AL53+AL58+AL63+AL68+AL73+AL98+AL103+AL108+AL103+AL128+AL133+AL174+AL179+AL189+AL194+AL199+AL204+AL209+AL214+AL219+AL224+AL229+AL234+AL239+AL244+AL249+AL254+AL264+AL269+AL274+AL279+AL284+AL289+AL294+AL299+AL304+AL309+AL314+AL319+AL324+AL329+AL334+AL339+AL344+AL349+AL354+AL359+AL364+AL369+AL374+AL379+AL384+AL389+AL394+AL399+AL404+AL409+AL414+AL419+AL424+AL429+AL434+AL439+AL444+AL449+AL454+AL459+AL464+AL469+AL474+AL479+AL484+AL489+AL494+AL499+AL504+AL509+AL514+AL519+AL524+AL529+AL534+AL539+AL544+AL549+AL554+AL559+AL564+AL569+AL574+AL579+AL584+AL589+AL594+AL599+AL604+AL609+AL614+AL619+AL624+AL629+AL634+AL639+AL644+AL649+AL654+AL659+AL664+AL669+AL674++AL679+AL684+AL689+AL694+AL699+AL704+AL709+AL714+AL719+AL724+AL729+AL734+AL739+AL744+AL749+AL754+AL759+AL764+AL769+AL774+AL779+AL784+AL789+AL794+AL799+AL804+AL809+AL814+AL819+AL824+AL829+AL834</f>
        <v>42560.769999999982</v>
      </c>
      <c r="AM3" s="222">
        <f>ABS(((AL2+AL3)/AL2))</f>
        <v>0.49427002052126362</v>
      </c>
      <c r="AN3" s="217">
        <f>AN8+AN13+AN18+AN23+AN28+AN33+AN38+AN43+AN48+AN53+AN58+AN63+AN68+AN73+AN98+AN103+AN108+AN103+AN128+AN133+AN174+AN179+AN189+AN194+AN199+AN204+AN209+AN214+AN219+AN224+AN229+AN234+AN239+AN244+AN249+AN254+AN264+AN269+AN274+AN279+AN284+AN289+AN294+AN299+AN304+AN309+AN314+AN319+AN324+AN329+AN334+AN339+AN344+AN349+AN354+AN359+AN364+AN369+AN374+AN379+AN384+AN389+AN394+AN399+AN404+AN409+AN414+AN419+AN424+AN429+AN434+AN439+AN444+AN449+AN454+AN459+AN464+AN469+AN474+AN479+AN484+AN489+AN494+AN499+AN504+AN509+AN514+AN519+AN524+AN529+AN534+AN539+AN544+AN549+AN554+AN559+AN564+AN569+AN574+AN579+AN584+AN589+AN594+AN599+AN604+AN609+AN614+AN619+AN624+AN629+AN634+AN639+AN644+AN649+AN654+AN659+AN664+AN669+AN674++AN679+AN684+AN689+AN694+AN699+AN704+AN709+AN714+AN719+AN724+AN729+AN734+AN739+AN744+AN749+AN754+AN759+AN764+AN769+AN774+AN779+AN784+AN789+AN794+AN799+AN804+AN809+AN814+AN819+AN824+AN829+AN834</f>
        <v>49412.030000000006</v>
      </c>
      <c r="AO3" s="222">
        <f>ABS(((AN2+AN3)/AN2))</f>
        <v>0.32607595330772771</v>
      </c>
      <c r="AP3" s="217">
        <f>AP8+AP13+AP18+AP23+AP28+AP33+AP38+AP43+AP48+AP53+AP58+AP63+AP68+AP73+AP98+AP103+AP108+AP103+AP128+AP133+AP174+AP179+AP189+AP194+AP199+AP204+AP209+AP214+AP219+AP224+AP229+AP234+AP239+AP244+AP249+AP254+AP264+AP269+AP274+AP279+AP284+AP289+AP294+AP299+AP304+AP309+AP314+AP319+AP324+AP329+AP334+AP339+AP344+AP349+AP354+AP359+AP364+AP369+AP374+AP379+AP384+AP389+AP394+AP399+AP404+AP409+AP414+AP419+AP424+AP429+AP434+AP439+AP444+AP449+AP454+AP459+AP464+AP469+AP474+AP479+AP484+AP489+AP494+AP499+AP504+AP509+AP514+AP519+AP524+AP529+AP534+AP539+AP544+AP549+AP554+AP559+AP564+AP569+AP574+AP579+AP584+AP589+AP594+AP599+AP604+AP609+AP614+AP619+AP624+AP629+AP634+AP639+AP644+AP649+AP654+AP659+AP664+AP669+AP674++AP679+AP684+AP689+AP694+AP699+AP704+AP709+AP714+AP719+AP724+AP729+AP734+AP739+AP744+AP749+AP754+AP759+AP764+AP769+AP774+AP779+AP784+AP789+AP794+AP799+AP804+AP809+AP814+AP819+AP824+AP829+AP834</f>
        <v>49345.369999999995</v>
      </c>
      <c r="AQ3" s="222">
        <f>ABS(((AP2+AP3)/AP2))</f>
        <v>0.33601183489947056</v>
      </c>
      <c r="AR3" s="217">
        <f>AR8+AR13+AR18+AR23+AR28+AR33+AR38+AR43+AR48+AR53+AR58+AR63+AR68+AR73+AR98+AR103+AR108+AR103+AR128+AR133+AR174+AR179+AR189+AR194+AR199+AR204+AR209+AR214+AR219+AR224+AR229+AR234+AR239+AR244+AR249+AR254+AR264+AR269+AR274+AR279+AR284+AR289+AR294+AR299+AR304+AR309+AR314+AR319+AR324+AR329+AR334+AR339+AR344+AR349+AR354+AR359+AR364+AR369+AR374+AR379+AR384+AR389+AR394+AR399+AR404+AR409+AR414+AR419+AR424+AR429+AR434+AR439+AR444+AR449+AR454+AR459+AR464+AR469+AR474+AR479+AR484+AR489+AR494+AR499+AR504+AR509+AR514+AR519+AR524+AR529+AR534+AR539+AR544+AR549+AR554+AR559+AR564+AR569+AR574+AR579+AR584+AR589+AR594+AR599+AR604+AR609+AR614+AR619+AR624+AR629+AR634+AR639+AR644+AR649+AR654+AR659+AR664+AR669+AR674++AR679+AR684+AR689+AR694+AR699+AR704+AR709+AR714+AR719+AR724+AR729+AR734+AR739+AR744+AR749+AR754+AR759+AR764+AR769+AR774+AR779+AR784+AR789+AR794+AR799+AR804+AR809+AR814+AR819+AR824+AR829+AR834</f>
        <v>41144.820000000007</v>
      </c>
      <c r="AS3" s="222">
        <f>ABS(((AR2+AR3)/AR2))</f>
        <v>0.41686728566710846</v>
      </c>
      <c r="AT3" s="217">
        <f>SUMIF($C:$C,"Cobrado",AT:AT)</f>
        <v>43842.900000000016</v>
      </c>
      <c r="AU3" s="222">
        <f>(AT4/AT3)</f>
        <v>0.3174922279320026</v>
      </c>
      <c r="AV3" s="217">
        <f>SUMIF($C:$C,"Cobrado",AV:AV)</f>
        <v>40819.340000000026</v>
      </c>
      <c r="AW3" s="222">
        <f>(AV4/AV3)</f>
        <v>0.25432405325514856</v>
      </c>
      <c r="AX3" s="217">
        <f>SUMIF($C:$C,"Cobrado",AX:AX)</f>
        <v>47185.990000000005</v>
      </c>
      <c r="AY3" s="224">
        <f>(AX4/AX3)</f>
        <v>0.18837095502287876</v>
      </c>
      <c r="AZ3" s="225"/>
      <c r="BA3" s="220">
        <f>SUMIF($C:$C,"Cobrado",BA:BA)</f>
        <v>45923.400000000016</v>
      </c>
      <c r="BB3" s="222">
        <f>(BA4/BA3)</f>
        <v>0.19504827604227948</v>
      </c>
      <c r="BC3" s="217">
        <f>SUMIF($C:$C,"Cobrado",BC:BC)</f>
        <v>41626.360000000022</v>
      </c>
      <c r="BD3" s="222">
        <f>(BC4/BC3)</f>
        <v>0.22294743042629789</v>
      </c>
      <c r="BE3" s="217">
        <f>SUMIF($C:$C,"Cobrado",BE:BE)</f>
        <v>50659.590000000018</v>
      </c>
      <c r="BF3" s="222">
        <f>(BE4/BE3)</f>
        <v>0.30611203130542503</v>
      </c>
      <c r="BG3" s="217">
        <f>SUMIF($C:$C,"Cobrado",BG:BG)</f>
        <v>45269.300000000025</v>
      </c>
      <c r="BH3" s="222">
        <f>(BG4/BG3)</f>
        <v>0.35263059070937763</v>
      </c>
      <c r="BI3" s="217">
        <f>SUMIF($C:$C,"Cobrado",BI:BI)</f>
        <v>45487.230000000018</v>
      </c>
      <c r="BJ3" s="222">
        <f>(BI4/BI3)</f>
        <v>0.33464073323436055</v>
      </c>
      <c r="BK3" s="217">
        <f>SUMIF($C:$C,"Cobrado",BK:BK)</f>
        <v>52179.969999999987</v>
      </c>
      <c r="BL3" s="222">
        <f>(BK4/BK3)</f>
        <v>0.29773857669906634</v>
      </c>
      <c r="BM3" s="217">
        <f>SUMIF($C:$C,"Cobrado",BM:BM)</f>
        <v>68970.460000000021</v>
      </c>
      <c r="BN3" s="222">
        <f>(BM4/BM3)</f>
        <v>0.2865094708662233</v>
      </c>
      <c r="BO3" s="217">
        <f>SUMIF($C:$C,"Cobrado",BO:BO)</f>
        <v>65459.69999999999</v>
      </c>
      <c r="BP3" s="222">
        <f>(BO4/BO3)</f>
        <v>0.33857686484967059</v>
      </c>
      <c r="BQ3" s="217">
        <f>SUMIF($C:$C,"Cobrado",BQ:BQ)</f>
        <v>59811.180000000029</v>
      </c>
      <c r="BR3" s="222">
        <f>(BQ4/BQ3)</f>
        <v>0.37240445682563061</v>
      </c>
      <c r="BS3" s="217">
        <f>SUMIF($C:$C,"Cobrado",BS:BS)</f>
        <v>50999.29</v>
      </c>
      <c r="BT3" s="222">
        <f>(BS4/BS3)</f>
        <v>0.32631160159288497</v>
      </c>
      <c r="BU3" s="217">
        <f>SUMIF($C:$C,"Cobrado",BU:BU)</f>
        <v>44956.520000000011</v>
      </c>
      <c r="BV3" s="222">
        <f>(BU4/BU3)</f>
        <v>0.2927052627738983</v>
      </c>
      <c r="BW3" s="217">
        <f>SUMIF($C:$C,"Cobrado",BW:BW)</f>
        <v>48747.44999999999</v>
      </c>
      <c r="BX3" s="222">
        <f>(BW4/BW3)</f>
        <v>0.2361401468179358</v>
      </c>
      <c r="BY3" s="217">
        <f>SUMIF($C:$C,"Cobrado",BY:BY)</f>
        <v>50468.119999999995</v>
      </c>
      <c r="BZ3" s="222">
        <f>(BY4/BY3)</f>
        <v>0.226275121799663</v>
      </c>
      <c r="CA3" s="217">
        <f>SUMIF($C:$C,"Cobrado",CA:CA)</f>
        <v>50812.94999999999</v>
      </c>
      <c r="CB3" s="222">
        <f>(CA4/CA3)</f>
        <v>0.33851488646102978</v>
      </c>
      <c r="CC3" s="217">
        <f>SUMIF($C:$C,"Cobrado",CC:CC)</f>
        <v>56721.699999999975</v>
      </c>
      <c r="CD3" s="222">
        <f>(CC4/CC3)</f>
        <v>0.35456253955717076</v>
      </c>
      <c r="CE3" s="217">
        <f>SUMIF($C:$C,"Cobrado",CE:CE)</f>
        <v>53259.810000000012</v>
      </c>
      <c r="CF3" s="222">
        <f>(CE4/CE3)</f>
        <v>0.40426411585020705</v>
      </c>
      <c r="CG3" s="217">
        <f>SUMIF($C:$C,"Cobrado",CG:CG)</f>
        <v>55438.92000000002</v>
      </c>
      <c r="CH3" s="222">
        <f>(CG4/CG3)</f>
        <v>0.37449106151418571</v>
      </c>
    </row>
    <row r="4" spans="1:724">
      <c r="A4" s="211" t="s">
        <v>613</v>
      </c>
      <c r="B4" s="226" t="s">
        <v>614</v>
      </c>
      <c r="C4" s="227" t="s">
        <v>1</v>
      </c>
      <c r="D4" s="228">
        <f t="shared" ref="D4" si="1">SUM(D2:D3)</f>
        <v>5313.3699999999972</v>
      </c>
      <c r="F4" s="228">
        <f>SUM(F2:F3)</f>
        <v>3170.6099999999969</v>
      </c>
      <c r="G4" s="213" t="s">
        <v>2</v>
      </c>
      <c r="H4" s="228">
        <f>SUM(H2:H3)</f>
        <v>4820.0400000000009</v>
      </c>
      <c r="J4" s="228">
        <f>SUM(J2:J3)</f>
        <v>5575.49</v>
      </c>
      <c r="L4" s="228">
        <f>SUM(L2:L3)</f>
        <v>5502.66</v>
      </c>
      <c r="N4" s="228">
        <f>SUM(N2:N3)</f>
        <v>7836.1900000000078</v>
      </c>
      <c r="P4" s="228">
        <f>SUM(P2:P3)</f>
        <v>6045.7399999999907</v>
      </c>
      <c r="R4" s="228">
        <f>SUM(R2:R3)</f>
        <v>7711.7400000000016</v>
      </c>
      <c r="S4" s="229"/>
      <c r="T4" s="228">
        <f>SUM(T2:T3)</f>
        <v>9116.8300000000036</v>
      </c>
      <c r="V4" s="228">
        <f>SUM(V2:V3)</f>
        <v>5341.570000000007</v>
      </c>
      <c r="X4" s="228">
        <f>SUM(X2:X3)</f>
        <v>9649.8299999999963</v>
      </c>
      <c r="Z4" s="228">
        <f>SUM(Z2:Z3)</f>
        <v>6957.8900000000067</v>
      </c>
      <c r="AB4" s="228">
        <f>SUM(AB2:AB3)</f>
        <v>6867.3800000000047</v>
      </c>
      <c r="AD4" s="228">
        <f>SUM(AD2:AD3)</f>
        <v>6953.7500000000073</v>
      </c>
      <c r="AF4" s="228">
        <f>SUM(AF2:AF3)</f>
        <v>11133.033000000018</v>
      </c>
      <c r="AH4" s="228">
        <f>SUM(AH2:AH3)</f>
        <v>9973.9300000000039</v>
      </c>
      <c r="AJ4" s="228">
        <f>SUM(AJ2:AJ3)</f>
        <v>9552.6299999999937</v>
      </c>
      <c r="AL4" s="228">
        <f>SUM(AL2:AL3)</f>
        <v>14078.119999999974</v>
      </c>
      <c r="AN4" s="228">
        <f>SUM(AN2:AN3)</f>
        <v>12150.190000000017</v>
      </c>
      <c r="AP4" s="228">
        <f>AP2+AP3</f>
        <v>12410.540000000008</v>
      </c>
      <c r="AR4" s="228">
        <f>SUM(AR2:AR3)</f>
        <v>12105.530000000006</v>
      </c>
      <c r="AT4" s="228">
        <f>SUM(AT2:AT3)</f>
        <v>13919.780000000002</v>
      </c>
      <c r="AV4" s="228">
        <f>SUM(AV2:AV3)</f>
        <v>10381.340000000022</v>
      </c>
      <c r="AX4" s="228">
        <f>SUM(AX2:AX3)</f>
        <v>8888.4700000000084</v>
      </c>
      <c r="BA4" s="230">
        <f>SUM(BA2:BA3)</f>
        <v>8957.2800000000207</v>
      </c>
      <c r="BC4" s="228">
        <f>SUM(BC2:BC3)</f>
        <v>9280.4900000000343</v>
      </c>
      <c r="BE4" s="228">
        <f>SUM(BE2:BE3)</f>
        <v>15507.510000000002</v>
      </c>
      <c r="BG4" s="228">
        <f>SUM(BG2:BG3)</f>
        <v>15963.340000000037</v>
      </c>
      <c r="BI4" s="228">
        <f>SUM(BI2:BI3)</f>
        <v>15221.880000000008</v>
      </c>
      <c r="BK4" s="228">
        <f>SUM(BK2:BK3)</f>
        <v>15535.989999999976</v>
      </c>
      <c r="BM4" s="228">
        <f>SUM(BM2:BM3)</f>
        <v>19760.690000000024</v>
      </c>
      <c r="BO4" s="228">
        <f>SUM(BO2:BO3)</f>
        <v>22163.139999999978</v>
      </c>
      <c r="BQ4" s="228">
        <f>SUM(BQ2:BQ3)</f>
        <v>22273.950000000033</v>
      </c>
      <c r="BS4" s="228">
        <f>SUM(BS2:BS3)</f>
        <v>16641.660000000003</v>
      </c>
      <c r="BU4" s="228">
        <f>SUM(BU2:BU3)</f>
        <v>13159.010000000017</v>
      </c>
      <c r="BW4" s="228">
        <f>SUM(BW2:BW3)</f>
        <v>11511.229999999981</v>
      </c>
      <c r="BY4" s="228">
        <f>SUM(BY2:BY3)</f>
        <v>11419.680000000008</v>
      </c>
      <c r="CA4" s="228">
        <f>SUM(CA2:CA3)</f>
        <v>17200.939999999981</v>
      </c>
      <c r="CC4" s="228">
        <f>SUM(CC2:CC3)</f>
        <v>20111.389999999963</v>
      </c>
      <c r="CE4" s="228">
        <f>SUM(CE2:CE3)</f>
        <v>21531.030000000021</v>
      </c>
      <c r="CG4" s="228">
        <f>SUM(CG2:CG3)</f>
        <v>20761.380000000026</v>
      </c>
    </row>
    <row r="5" spans="1:724">
      <c r="A5" s="231">
        <v>1</v>
      </c>
      <c r="B5" s="232">
        <v>129060045</v>
      </c>
      <c r="C5" s="233" t="s">
        <v>5</v>
      </c>
      <c r="AT5" s="214"/>
    </row>
    <row r="6" spans="1:724">
      <c r="C6" s="234" t="s">
        <v>6</v>
      </c>
      <c r="D6" s="235">
        <v>44927</v>
      </c>
      <c r="E6" s="235"/>
      <c r="F6" s="235">
        <v>44958</v>
      </c>
      <c r="H6" s="235">
        <v>44986</v>
      </c>
      <c r="I6" s="235"/>
      <c r="J6" s="235">
        <v>45017</v>
      </c>
      <c r="K6" s="235"/>
      <c r="L6" s="235">
        <v>45047</v>
      </c>
      <c r="M6" s="235"/>
      <c r="N6" s="235">
        <v>45078</v>
      </c>
      <c r="O6" s="235"/>
      <c r="P6" s="235">
        <v>45108</v>
      </c>
      <c r="Q6" s="235"/>
      <c r="R6" s="235">
        <v>45139</v>
      </c>
      <c r="S6" s="235"/>
      <c r="T6" s="235">
        <v>45170</v>
      </c>
      <c r="U6" s="235"/>
      <c r="V6" s="235">
        <v>45200</v>
      </c>
      <c r="W6" s="235"/>
      <c r="X6" s="235">
        <v>45231</v>
      </c>
      <c r="Y6" s="235"/>
      <c r="Z6" s="235">
        <v>45261</v>
      </c>
      <c r="AA6" s="235"/>
      <c r="AB6" s="235">
        <v>45292</v>
      </c>
      <c r="AC6" s="235"/>
      <c r="AD6" s="235">
        <v>45323</v>
      </c>
      <c r="AE6" s="235"/>
      <c r="AF6" s="235">
        <v>45352</v>
      </c>
      <c r="AH6" s="235">
        <v>45383</v>
      </c>
      <c r="AJ6" s="235">
        <v>45413</v>
      </c>
      <c r="AL6" s="235">
        <v>45444</v>
      </c>
      <c r="AN6" s="235">
        <v>45474</v>
      </c>
      <c r="AP6" s="235">
        <v>45505</v>
      </c>
      <c r="AR6" s="236">
        <v>45536</v>
      </c>
      <c r="AT6" s="236">
        <v>45566</v>
      </c>
      <c r="AV6" s="235">
        <v>45597</v>
      </c>
      <c r="AX6" s="235">
        <v>45627</v>
      </c>
      <c r="BA6" s="235">
        <v>45658</v>
      </c>
      <c r="BC6" s="235">
        <v>45689</v>
      </c>
      <c r="BE6" s="235">
        <v>45717</v>
      </c>
      <c r="BG6" s="235">
        <v>45748</v>
      </c>
      <c r="BI6" s="235">
        <v>45778</v>
      </c>
      <c r="BK6" s="235">
        <v>45809</v>
      </c>
      <c r="BM6" s="235">
        <v>45839</v>
      </c>
      <c r="BO6" s="235">
        <v>45870</v>
      </c>
      <c r="BQ6" s="235">
        <v>45901</v>
      </c>
      <c r="BS6" s="235">
        <v>45931</v>
      </c>
      <c r="BU6" s="235">
        <v>45962</v>
      </c>
      <c r="BW6" s="235">
        <v>45992</v>
      </c>
      <c r="BY6" s="235">
        <v>46023</v>
      </c>
      <c r="CA6" s="235">
        <v>46054</v>
      </c>
      <c r="CC6" s="235">
        <v>46082</v>
      </c>
      <c r="CE6" s="235">
        <v>46113</v>
      </c>
      <c r="CG6" s="235">
        <v>46143</v>
      </c>
      <c r="CI6" s="341">
        <v>46174</v>
      </c>
    </row>
    <row r="7" spans="1:724">
      <c r="C7" s="213" t="s">
        <v>7</v>
      </c>
      <c r="D7" s="214">
        <v>-235.57</v>
      </c>
      <c r="F7" s="214">
        <v>-212.61</v>
      </c>
      <c r="H7" s="214">
        <v>-81.739999999999995</v>
      </c>
      <c r="J7" s="237">
        <v>-22.81</v>
      </c>
      <c r="L7" s="237">
        <v>-10.66</v>
      </c>
      <c r="N7" s="237">
        <f>-23.8-0.73-8.05</f>
        <v>-32.58</v>
      </c>
      <c r="P7" s="237">
        <v>-31.03</v>
      </c>
      <c r="R7" s="237">
        <v>-31.01</v>
      </c>
      <c r="T7" s="237">
        <v>-21.51</v>
      </c>
      <c r="V7" s="237">
        <v>-26.78</v>
      </c>
      <c r="X7" s="237">
        <v>-69.790000000000006</v>
      </c>
      <c r="Z7" s="238">
        <v>-144.88999999999999</v>
      </c>
      <c r="AB7" s="237">
        <v>-167.54</v>
      </c>
      <c r="AD7" s="239">
        <v>0</v>
      </c>
      <c r="AF7" s="239">
        <v>0</v>
      </c>
      <c r="AH7" s="237">
        <f>-14.6-23.24</f>
        <v>-37.839999999999996</v>
      </c>
      <c r="AJ7" s="237">
        <v>-41.83</v>
      </c>
      <c r="AL7" s="237">
        <v>-41.09</v>
      </c>
      <c r="AN7" s="237">
        <v>-38.880000000000003</v>
      </c>
      <c r="AP7" s="237">
        <v>-39.43</v>
      </c>
      <c r="AR7" s="237">
        <f>-10.11-26.83</f>
        <v>-36.94</v>
      </c>
      <c r="AT7" s="237">
        <v>-35.67</v>
      </c>
      <c r="AV7" s="237">
        <v>-92.52</v>
      </c>
      <c r="AX7" s="237">
        <v>-172.18</v>
      </c>
      <c r="BA7" s="237">
        <v>-186.36</v>
      </c>
      <c r="BC7" s="237">
        <v>-142.19</v>
      </c>
      <c r="BE7" s="237">
        <f>-107.33-5.9</f>
        <v>-113.23</v>
      </c>
      <c r="BG7" s="237">
        <v>-57.41</v>
      </c>
      <c r="BI7" s="237">
        <v>-37.24</v>
      </c>
      <c r="BK7" s="237">
        <v>-16</v>
      </c>
      <c r="BM7" s="237">
        <v>-36.03</v>
      </c>
      <c r="BO7" s="237">
        <v>-37.24</v>
      </c>
      <c r="BQ7" s="237">
        <v>-36.03</v>
      </c>
      <c r="BS7" s="237">
        <v>-45.12</v>
      </c>
      <c r="BU7" s="237">
        <v>-101.3</v>
      </c>
      <c r="BW7" s="237">
        <v>-160.25</v>
      </c>
      <c r="BY7" s="237">
        <v>-184.84</v>
      </c>
      <c r="CA7" s="237">
        <v>-122.61</v>
      </c>
      <c r="CC7" s="237">
        <v>-128.84</v>
      </c>
      <c r="CE7" s="237">
        <v>-59.82</v>
      </c>
      <c r="CG7" s="237">
        <v>-43.75</v>
      </c>
    </row>
    <row r="8" spans="1:724">
      <c r="C8" s="213" t="s">
        <v>8</v>
      </c>
      <c r="D8" s="214">
        <v>350.81</v>
      </c>
      <c r="E8" s="222">
        <f>ABS(((D7+D8)/D7))</f>
        <v>0.48919641720083207</v>
      </c>
      <c r="F8" s="214">
        <v>330.96</v>
      </c>
      <c r="G8" s="222">
        <f>ABS(((F7+F8)/F7))</f>
        <v>0.55665302666854788</v>
      </c>
      <c r="H8" s="240">
        <v>134.82</v>
      </c>
      <c r="I8" s="222">
        <f>ABS(((H7+H8)/H7))</f>
        <v>0.64937607046733548</v>
      </c>
      <c r="J8" s="214">
        <v>71.510000000000005</v>
      </c>
      <c r="K8" s="222">
        <f>ABS(((J7+J8)/J7))</f>
        <v>2.1350284962735646</v>
      </c>
      <c r="L8" s="214">
        <v>49.09</v>
      </c>
      <c r="M8" s="222">
        <f>ABS(((L7+L8)/L7))</f>
        <v>3.6050656660412765</v>
      </c>
      <c r="N8" s="214">
        <v>40.33</v>
      </c>
      <c r="O8" s="222">
        <f>ABS(((N7+N8)/N7))</f>
        <v>0.23787599754450584</v>
      </c>
      <c r="P8" s="214">
        <v>17.63</v>
      </c>
      <c r="Q8" s="222">
        <f>ABS(((P7+P8)/P7))</f>
        <v>0.43184015468901071</v>
      </c>
      <c r="R8" s="214">
        <v>45.79</v>
      </c>
      <c r="S8" s="222">
        <f>ABS(((R7+R8)/R7))</f>
        <v>0.47662044501773609</v>
      </c>
      <c r="T8" s="214">
        <v>64.45</v>
      </c>
      <c r="U8" s="222">
        <f>ABS(((T7+T8)/T7))</f>
        <v>1.9962807996280798</v>
      </c>
      <c r="V8" s="214">
        <v>78.34</v>
      </c>
      <c r="W8" s="222">
        <f>ABS(((V7+V8)/V7))</f>
        <v>1.9253174010455565</v>
      </c>
      <c r="X8" s="214">
        <v>131.28</v>
      </c>
      <c r="Y8" s="222">
        <f>ABS(((X7+X8)/X7))</f>
        <v>0.88107178678893805</v>
      </c>
      <c r="Z8" s="213">
        <v>179.94</v>
      </c>
      <c r="AA8" s="222">
        <f>ABS(((Z7+Z8)/Z7))</f>
        <v>0.24190765408240744</v>
      </c>
      <c r="AB8" s="214">
        <v>207.56</v>
      </c>
      <c r="AC8" s="222">
        <f>ABS(((AB7+AB8)/AB7))</f>
        <v>0.23886832995105653</v>
      </c>
      <c r="AD8" s="214">
        <v>163.93</v>
      </c>
      <c r="AE8" s="222" t="s">
        <v>290</v>
      </c>
      <c r="AF8" s="214">
        <v>164.6</v>
      </c>
      <c r="AG8" s="222" t="e">
        <f>ABS(((AF7+AF8)/AF7))</f>
        <v>#DIV/0!</v>
      </c>
      <c r="AH8" s="214">
        <v>94.19</v>
      </c>
      <c r="AI8" s="222">
        <f>ABS(((AH7+AH8)/AH7))</f>
        <v>1.4891649048625795</v>
      </c>
      <c r="AJ8" s="214">
        <v>49.11</v>
      </c>
      <c r="AK8" s="222">
        <f>ABS(((AJ7+AJ8)/AJ7))</f>
        <v>0.17403777193401868</v>
      </c>
      <c r="AL8" s="214">
        <v>42.87</v>
      </c>
      <c r="AM8" s="222">
        <f>ABS(((AL7+AL8)/AL7))</f>
        <v>4.3319542467753561E-2</v>
      </c>
      <c r="AN8" s="214">
        <v>52.6</v>
      </c>
      <c r="AO8" s="222">
        <f>ABS(((AN7+AN8)/AN7))</f>
        <v>0.35288065843621391</v>
      </c>
      <c r="AP8" s="214">
        <v>68.08</v>
      </c>
      <c r="AQ8" s="222">
        <f>ABS(((AP7+AP8)/AP7))</f>
        <v>0.7266041085467918</v>
      </c>
      <c r="AR8" s="214">
        <v>76.040000000000006</v>
      </c>
      <c r="AS8" s="222">
        <f>ABS(((AR7+AR8)/AR7))</f>
        <v>1.0584731997834329</v>
      </c>
      <c r="AT8" s="214">
        <v>100.01</v>
      </c>
      <c r="AU8" s="222">
        <f>AT9/AT8</f>
        <v>0.64333566643335671</v>
      </c>
      <c r="AV8" s="214">
        <v>174.09</v>
      </c>
      <c r="AW8" s="222">
        <f>AV9/AV8</f>
        <v>0.46855074961226956</v>
      </c>
      <c r="AX8" s="214">
        <v>309.83</v>
      </c>
      <c r="AY8" s="224">
        <f>AX9/AX8</f>
        <v>0.44427589323177219</v>
      </c>
      <c r="AZ8" s="225"/>
      <c r="BA8" s="214">
        <v>300.98</v>
      </c>
      <c r="BB8" s="222">
        <f>BA9/BA8</f>
        <v>0.38082264602299154</v>
      </c>
      <c r="BC8" s="214">
        <v>179.02</v>
      </c>
      <c r="BD8" s="222">
        <f>BC9/BC8</f>
        <v>0.20573120321751764</v>
      </c>
      <c r="BE8" s="214">
        <v>56.99</v>
      </c>
      <c r="BF8" s="222">
        <f>BE9/BE8</f>
        <v>-0.98683979645551856</v>
      </c>
      <c r="BG8" s="214">
        <v>73.11</v>
      </c>
      <c r="BH8" s="222">
        <f>BG9/BG8</f>
        <v>0.21474490493776505</v>
      </c>
      <c r="BI8" s="214">
        <v>44.09</v>
      </c>
      <c r="BJ8" s="222">
        <f>BI9/BI8</f>
        <v>0.15536402812429123</v>
      </c>
      <c r="BK8" s="214">
        <v>45.69</v>
      </c>
      <c r="BL8" s="222">
        <f>BK9/BK8</f>
        <v>0.64981396366819877</v>
      </c>
      <c r="BM8" s="214">
        <v>44.09</v>
      </c>
      <c r="BN8" s="222">
        <f>BM9/BM8</f>
        <v>0.18280789294624636</v>
      </c>
      <c r="BO8" s="214">
        <v>44.09</v>
      </c>
      <c r="BP8" s="222">
        <f>BO9/BO8</f>
        <v>0.15536402812429123</v>
      </c>
      <c r="BQ8" s="214">
        <v>44.09</v>
      </c>
      <c r="BR8" s="222">
        <f>BQ9/BQ8</f>
        <v>0.18280789294624636</v>
      </c>
      <c r="BS8" s="214">
        <v>44.09</v>
      </c>
      <c r="BT8" s="222">
        <f>BS9/BS8</f>
        <v>-2.3361306418688908E-2</v>
      </c>
      <c r="BU8" s="214">
        <v>122.51</v>
      </c>
      <c r="BV8" s="222">
        <f>BU9/BU8</f>
        <v>0.17312872418578082</v>
      </c>
      <c r="BW8" s="214">
        <v>157.07</v>
      </c>
      <c r="BX8" s="222">
        <f>BW9/BW8</f>
        <v>-2.024575030241298E-2</v>
      </c>
      <c r="BY8" s="214">
        <v>177.29</v>
      </c>
      <c r="BZ8" s="222">
        <f>BY9/BY8</f>
        <v>-4.2585594224152583E-2</v>
      </c>
      <c r="CA8" s="214">
        <v>123.14</v>
      </c>
      <c r="CB8" s="222">
        <f>CA9/CA8</f>
        <v>4.3040441773591126E-3</v>
      </c>
      <c r="CC8" s="214">
        <v>150.87</v>
      </c>
      <c r="CD8" s="222">
        <f>CC9/CC8</f>
        <v>0.1460197521044608</v>
      </c>
      <c r="CE8" s="214">
        <v>62.53</v>
      </c>
      <c r="CF8" s="222">
        <f>CE9/CE8</f>
        <v>4.3339197185351043E-2</v>
      </c>
      <c r="CG8" s="214">
        <v>44.09</v>
      </c>
      <c r="CH8" s="222">
        <f>CG9/CG8</f>
        <v>7.7114992061692762E-3</v>
      </c>
    </row>
    <row r="9" spans="1:724">
      <c r="C9" s="241" t="s">
        <v>9</v>
      </c>
      <c r="D9" s="214">
        <f>D7+D8</f>
        <v>115.24000000000001</v>
      </c>
      <c r="F9" s="214">
        <f>F7+F8</f>
        <v>118.34999999999997</v>
      </c>
      <c r="H9" s="214">
        <f>H7+H8</f>
        <v>53.08</v>
      </c>
      <c r="J9" s="214">
        <f>J7+J8</f>
        <v>48.7</v>
      </c>
      <c r="L9" s="214">
        <f>L7+L8</f>
        <v>38.430000000000007</v>
      </c>
      <c r="N9" s="214">
        <f>N7+N8</f>
        <v>7.75</v>
      </c>
      <c r="P9" s="214">
        <f>P7+P8</f>
        <v>-13.400000000000002</v>
      </c>
      <c r="R9" s="214">
        <f>R7+R8</f>
        <v>14.779999999999998</v>
      </c>
      <c r="S9" s="214"/>
      <c r="T9" s="214">
        <f>T7+T8</f>
        <v>42.94</v>
      </c>
      <c r="V9" s="214">
        <f>V7+V8</f>
        <v>51.56</v>
      </c>
      <c r="X9" s="214">
        <f>X7+X8</f>
        <v>61.489999999999995</v>
      </c>
      <c r="Z9" s="214">
        <f>Z7+Z8</f>
        <v>35.050000000000011</v>
      </c>
      <c r="AB9" s="242">
        <f>AB7+AB8</f>
        <v>40.02000000000001</v>
      </c>
      <c r="AD9" s="242">
        <f>AD7+AD8</f>
        <v>163.93</v>
      </c>
      <c r="AF9" s="242">
        <f>AF7+AF8</f>
        <v>164.6</v>
      </c>
      <c r="AH9" s="243">
        <f>AH7+AH8</f>
        <v>56.35</v>
      </c>
      <c r="AJ9" s="242">
        <f>AJ7+AJ8</f>
        <v>7.2800000000000011</v>
      </c>
      <c r="AL9" s="243">
        <f>AL7+AL8</f>
        <v>1.779999999999994</v>
      </c>
      <c r="AN9" s="243">
        <f>AN7+AN8</f>
        <v>13.719999999999999</v>
      </c>
      <c r="AP9" s="214">
        <f>AP7+AP8</f>
        <v>28.65</v>
      </c>
      <c r="AR9" s="214">
        <f>AR7+AR8</f>
        <v>39.100000000000009</v>
      </c>
      <c r="AT9" s="214">
        <f>AT7+AT8</f>
        <v>64.34</v>
      </c>
      <c r="AV9" s="214">
        <f>AV7+AV8</f>
        <v>81.570000000000007</v>
      </c>
      <c r="AX9" s="214">
        <f>AX7+AX8</f>
        <v>137.64999999999998</v>
      </c>
      <c r="BA9" s="214">
        <f>BA7+BA8</f>
        <v>114.62</v>
      </c>
      <c r="BC9" s="214">
        <f>BC7+BC8</f>
        <v>36.830000000000013</v>
      </c>
      <c r="BE9" s="214">
        <f>BE7+BE8</f>
        <v>-56.24</v>
      </c>
      <c r="BG9" s="214">
        <f>BG7+BG8</f>
        <v>15.700000000000003</v>
      </c>
      <c r="BI9" s="214">
        <f>BI7+BI8</f>
        <v>6.8500000000000014</v>
      </c>
      <c r="BK9" s="214">
        <f>BK7+BK8</f>
        <v>29.689999999999998</v>
      </c>
      <c r="BM9" s="214">
        <f>BM7+BM8</f>
        <v>8.0600000000000023</v>
      </c>
      <c r="BO9" s="214">
        <f>BO7+BO8</f>
        <v>6.8500000000000014</v>
      </c>
      <c r="BQ9" s="214">
        <f>BQ7+BQ8</f>
        <v>8.0600000000000023</v>
      </c>
      <c r="BS9" s="214">
        <f>BS7+BS8</f>
        <v>-1.029999999999994</v>
      </c>
      <c r="BU9" s="214">
        <f>BU7+BU8</f>
        <v>21.210000000000008</v>
      </c>
      <c r="BW9" s="214">
        <f>BW7+BW8</f>
        <v>-3.1800000000000068</v>
      </c>
      <c r="BY9" s="214">
        <f>BY7+BY8</f>
        <v>-7.5500000000000114</v>
      </c>
      <c r="CA9" s="214">
        <f>CA7+CA8</f>
        <v>0.53000000000000114</v>
      </c>
      <c r="CC9" s="214">
        <f>CC7+CC8</f>
        <v>22.03</v>
      </c>
      <c r="CE9" s="214">
        <f>CE7+CE8</f>
        <v>2.7100000000000009</v>
      </c>
      <c r="CG9" s="214">
        <f>CG7+CG8</f>
        <v>0.34000000000000341</v>
      </c>
    </row>
    <row r="10" spans="1:724">
      <c r="A10" s="231">
        <v>2</v>
      </c>
      <c r="B10" s="232">
        <v>118411895</v>
      </c>
      <c r="C10" s="233" t="s">
        <v>10</v>
      </c>
      <c r="AP10" s="214"/>
      <c r="AT10" s="214"/>
    </row>
    <row r="11" spans="1:724">
      <c r="C11" s="234" t="s">
        <v>11</v>
      </c>
      <c r="D11" s="235">
        <v>44927</v>
      </c>
      <c r="E11" s="235"/>
      <c r="F11" s="235">
        <v>44958</v>
      </c>
      <c r="G11" s="235"/>
      <c r="H11" s="235">
        <v>44986</v>
      </c>
      <c r="I11" s="235"/>
      <c r="J11" s="235">
        <v>45017</v>
      </c>
      <c r="K11" s="235"/>
      <c r="L11" s="235">
        <v>45047</v>
      </c>
      <c r="M11" s="235"/>
      <c r="N11" s="235">
        <v>45078</v>
      </c>
      <c r="O11" s="235"/>
      <c r="P11" s="235">
        <v>45108</v>
      </c>
      <c r="Q11" s="235"/>
      <c r="R11" s="235">
        <v>45139</v>
      </c>
      <c r="S11" s="235"/>
      <c r="T11" s="235">
        <v>45170</v>
      </c>
      <c r="U11" s="235"/>
      <c r="V11" s="235">
        <v>45200</v>
      </c>
      <c r="W11" s="235"/>
      <c r="X11" s="235">
        <v>45231</v>
      </c>
      <c r="Y11" s="235"/>
      <c r="Z11" s="235">
        <v>45261</v>
      </c>
      <c r="AA11" s="235"/>
      <c r="AB11" s="235">
        <v>45292</v>
      </c>
      <c r="AC11" s="235"/>
      <c r="AD11" s="235">
        <v>45323</v>
      </c>
      <c r="AE11" s="235"/>
      <c r="AF11" s="235">
        <v>45352</v>
      </c>
      <c r="AH11" s="235">
        <v>45383</v>
      </c>
      <c r="AJ11" s="235">
        <v>45413</v>
      </c>
      <c r="AL11" s="235">
        <v>45444</v>
      </c>
      <c r="AN11" s="235">
        <v>45474</v>
      </c>
      <c r="AP11" s="235">
        <v>45505</v>
      </c>
      <c r="AR11" s="236">
        <v>45536</v>
      </c>
      <c r="AT11" s="236">
        <v>45566</v>
      </c>
      <c r="AV11" s="235">
        <v>45597</v>
      </c>
      <c r="AX11" s="235">
        <v>45627</v>
      </c>
      <c r="BA11" s="235">
        <v>45658</v>
      </c>
      <c r="BC11" s="235">
        <v>45689</v>
      </c>
      <c r="BE11" s="235">
        <v>45717</v>
      </c>
      <c r="BG11" s="235">
        <v>45748</v>
      </c>
      <c r="BI11" s="235">
        <v>45778</v>
      </c>
      <c r="BK11" s="235">
        <v>45809</v>
      </c>
      <c r="BM11" s="235">
        <v>45839</v>
      </c>
      <c r="BO11" s="235">
        <v>45870</v>
      </c>
      <c r="BQ11" s="235">
        <v>45901</v>
      </c>
      <c r="BS11" s="235">
        <v>45931</v>
      </c>
      <c r="BU11" s="235">
        <v>45962</v>
      </c>
      <c r="BW11" s="235">
        <v>45992</v>
      </c>
      <c r="BY11" s="235">
        <v>46023</v>
      </c>
      <c r="CA11" s="235">
        <v>46054</v>
      </c>
      <c r="CC11" s="235">
        <v>46082</v>
      </c>
      <c r="CE11" s="235">
        <v>46113</v>
      </c>
      <c r="CG11" s="235">
        <v>46143</v>
      </c>
      <c r="CI11" s="341">
        <v>46174</v>
      </c>
    </row>
    <row r="12" spans="1:724">
      <c r="C12" s="213" t="s">
        <v>7</v>
      </c>
      <c r="D12" s="214">
        <v>-211.99</v>
      </c>
      <c r="F12" s="214">
        <v>-86.73</v>
      </c>
      <c r="H12" s="237">
        <v>-57.71</v>
      </c>
      <c r="J12" s="237">
        <v>-40.31</v>
      </c>
      <c r="L12" s="237">
        <v>-109.5</v>
      </c>
      <c r="N12" s="237">
        <f>-3.34-2.69-30.95-10.23</f>
        <v>-47.209999999999994</v>
      </c>
      <c r="P12" s="237">
        <v>-161.13999999999999</v>
      </c>
      <c r="R12" s="237">
        <v>-166.87</v>
      </c>
      <c r="T12" s="237">
        <v>-67.73</v>
      </c>
      <c r="V12" s="237">
        <v>-67.459999999999994</v>
      </c>
      <c r="X12" s="237">
        <v>-44.08</v>
      </c>
      <c r="Z12" s="238">
        <v>-155.41</v>
      </c>
      <c r="AB12" s="237">
        <v>-102.83</v>
      </c>
      <c r="AD12" s="237">
        <v>-50.17</v>
      </c>
      <c r="AF12" s="237">
        <v>-97.89</v>
      </c>
      <c r="AH12" s="244">
        <f>-41.78-30.66</f>
        <v>-72.44</v>
      </c>
      <c r="AJ12" s="237">
        <v>-115.97</v>
      </c>
      <c r="AL12" s="237">
        <v>-52.51</v>
      </c>
      <c r="AN12" s="237">
        <v>-184.12</v>
      </c>
      <c r="AP12" s="237">
        <v>-29.79</v>
      </c>
      <c r="AR12" s="237">
        <f>-20.87-115.45</f>
        <v>-136.32</v>
      </c>
      <c r="AT12" s="237">
        <v>-103.28</v>
      </c>
      <c r="AV12" s="237">
        <v>-88.55</v>
      </c>
      <c r="AX12" s="237">
        <v>-162.66999999999999</v>
      </c>
      <c r="BA12" s="237">
        <v>-306.37</v>
      </c>
      <c r="BC12" s="237">
        <v>-147.54</v>
      </c>
      <c r="BE12" s="237">
        <v>-88.44</v>
      </c>
      <c r="BG12" s="237">
        <v>-57.41</v>
      </c>
      <c r="BI12" s="237">
        <v>-58.94</v>
      </c>
      <c r="BK12" s="237">
        <v>-57.41</v>
      </c>
      <c r="BM12" s="237">
        <v>-64.36</v>
      </c>
      <c r="BO12" s="237">
        <v>-58.94</v>
      </c>
      <c r="BQ12" s="237">
        <v>-45.31</v>
      </c>
      <c r="BS12" s="237">
        <v>-48.87</v>
      </c>
      <c r="BU12" s="237">
        <v>-47.29</v>
      </c>
      <c r="BW12" s="237">
        <v>-74.400000000000006</v>
      </c>
      <c r="BY12" s="237">
        <v>-81.760000000000005</v>
      </c>
      <c r="CA12" s="237">
        <v>-104.85</v>
      </c>
      <c r="CC12" s="237">
        <v>-113.64</v>
      </c>
      <c r="CE12" s="237">
        <v>-53.65</v>
      </c>
      <c r="CG12" s="237">
        <v>-59.41</v>
      </c>
    </row>
    <row r="13" spans="1:724">
      <c r="C13" s="213" t="s">
        <v>8</v>
      </c>
      <c r="D13" s="214">
        <v>370.56</v>
      </c>
      <c r="E13" s="222">
        <f>ABS(((D12+D13)/D12))</f>
        <v>0.74800698146138966</v>
      </c>
      <c r="F13" s="214">
        <v>140.47</v>
      </c>
      <c r="G13" s="222">
        <f>ABS(((F12+F13)/F12))</f>
        <v>0.61962412083477447</v>
      </c>
      <c r="H13" s="214">
        <v>120.22</v>
      </c>
      <c r="I13" s="222">
        <f>ABS(((H12+H13)/H12))</f>
        <v>1.0831744931554323</v>
      </c>
      <c r="J13" s="214">
        <v>67.13</v>
      </c>
      <c r="K13" s="222">
        <f>ABS(((J12+J13)/J12))</f>
        <v>0.66534358719920594</v>
      </c>
      <c r="L13" s="214">
        <v>186.45</v>
      </c>
      <c r="M13" s="222">
        <f>ABS(((L12+L13)/L12))</f>
        <v>0.7027397260273972</v>
      </c>
      <c r="N13" s="214">
        <v>72.709999999999994</v>
      </c>
      <c r="O13" s="222">
        <f>ABS(((N12+N13)/N12))</f>
        <v>0.54013980088964209</v>
      </c>
      <c r="P13" s="214">
        <v>262.54000000000002</v>
      </c>
      <c r="Q13" s="222">
        <f>ABS(((P12+P13)/P12))</f>
        <v>0.629266476355964</v>
      </c>
      <c r="R13" s="214">
        <v>282.61</v>
      </c>
      <c r="S13" s="222">
        <f>ABS(((R12+R13)/R12))</f>
        <v>0.69359381554503508</v>
      </c>
      <c r="T13" s="214">
        <v>160.57</v>
      </c>
      <c r="U13" s="222">
        <f>ABS(((T12+T13)/T12))</f>
        <v>1.3707367488557505</v>
      </c>
      <c r="V13" s="214">
        <v>144.88999999999999</v>
      </c>
      <c r="W13" s="222">
        <f>ABS(((V12+V13)/V12))</f>
        <v>1.1477912837236881</v>
      </c>
      <c r="X13" s="214">
        <v>108.3</v>
      </c>
      <c r="Y13" s="222">
        <f>ABS(((X12+X13)/X12))</f>
        <v>1.4568965517241379</v>
      </c>
      <c r="Z13" s="213">
        <v>252.82</v>
      </c>
      <c r="AA13" s="222">
        <f>ABS(((Z12+Z13)/Z12))</f>
        <v>0.62679364262273984</v>
      </c>
      <c r="AB13" s="214">
        <v>182.33</v>
      </c>
      <c r="AC13" s="222">
        <f>ABS(((AB12+AB13)/AB12))</f>
        <v>0.77312068462510952</v>
      </c>
      <c r="AD13" s="214">
        <v>123</v>
      </c>
      <c r="AE13" s="222">
        <f>ABS(((AD12+AD13)/AD12))</f>
        <v>1.4516643412397847</v>
      </c>
      <c r="AF13" s="214">
        <v>208.64</v>
      </c>
      <c r="AG13" s="222">
        <f>ABS(((AF12+AF13)/AF12))</f>
        <v>1.1313719481050157</v>
      </c>
      <c r="AH13" s="240">
        <v>143.13</v>
      </c>
      <c r="AI13" s="222">
        <f>ABS(((AH12+AH13)/AH12))</f>
        <v>0.97584207620099395</v>
      </c>
      <c r="AJ13" s="214">
        <v>233.64</v>
      </c>
      <c r="AK13" s="222">
        <f>ABS(((AJ12+AJ13)/AJ12))</f>
        <v>1.0146589635250496</v>
      </c>
      <c r="AL13" s="214">
        <v>88.73</v>
      </c>
      <c r="AM13" s="222">
        <f>ABS(((AL12+AL13)/AL12))</f>
        <v>0.68977337649971449</v>
      </c>
      <c r="AN13" s="214">
        <v>351.29</v>
      </c>
      <c r="AO13" s="222">
        <f>ABS(((AN12+AN13)/AN12))</f>
        <v>0.90794047360417129</v>
      </c>
      <c r="AP13" s="214">
        <v>324.63</v>
      </c>
      <c r="AQ13" s="222">
        <f>ABS(((AP12+AP13)/AP12))</f>
        <v>9.8972809667673705</v>
      </c>
      <c r="AR13" s="214">
        <v>254.9</v>
      </c>
      <c r="AS13" s="222">
        <f>ABS(((AR12+AR13)/AR12))</f>
        <v>0.86986502347417849</v>
      </c>
      <c r="AT13" s="214">
        <v>206.73</v>
      </c>
      <c r="AU13" s="222">
        <f>AT14/AT13</f>
        <v>0.50041116432061139</v>
      </c>
      <c r="AV13" s="214">
        <v>178.49</v>
      </c>
      <c r="AW13" s="222">
        <f t="shared" ref="AW13:AX13" si="2">AV14/AV13</f>
        <v>0.50389377556165615</v>
      </c>
      <c r="AX13" s="222">
        <f t="shared" si="2"/>
        <v>0</v>
      </c>
      <c r="AY13" s="224" t="e">
        <f>AX14/AX13</f>
        <v>#DIV/0!</v>
      </c>
      <c r="AZ13" s="225"/>
      <c r="BA13" s="214">
        <v>359.75</v>
      </c>
      <c r="BB13" s="222">
        <f>BA14/BA13</f>
        <v>0.14838082001389852</v>
      </c>
      <c r="BC13" s="214">
        <v>184.04</v>
      </c>
      <c r="BD13" s="222">
        <f>BC14/BC13</f>
        <v>0.19832645077157141</v>
      </c>
      <c r="BE13" s="214">
        <v>117.67</v>
      </c>
      <c r="BF13" s="222">
        <f>BE14/BE13</f>
        <v>0.2484065607206595</v>
      </c>
      <c r="BG13" s="214">
        <v>56.13</v>
      </c>
      <c r="BH13" s="222">
        <f>BG14/BG13</f>
        <v>-2.2804204525209228E-2</v>
      </c>
      <c r="BI13" s="214">
        <v>56.36</v>
      </c>
      <c r="BJ13" s="222">
        <f>BI14/BI13</f>
        <v>-4.5777146912704014E-2</v>
      </c>
      <c r="BK13" s="214">
        <v>80.400000000000006</v>
      </c>
      <c r="BL13" s="222">
        <f>BK14/BK13</f>
        <v>0.28594527363184091</v>
      </c>
      <c r="BM13" s="214">
        <v>96.57</v>
      </c>
      <c r="BN13" s="222">
        <f>BM14/BM13</f>
        <v>0.33354043698871283</v>
      </c>
      <c r="BO13" s="214">
        <v>56.36</v>
      </c>
      <c r="BP13" s="222">
        <f>BO14/BO13</f>
        <v>-4.5777146912704014E-2</v>
      </c>
      <c r="BQ13" s="214">
        <v>56.36</v>
      </c>
      <c r="BR13" s="222">
        <f>BQ14/BQ13</f>
        <v>0.19606103619588355</v>
      </c>
      <c r="BS13" s="214">
        <v>57.13</v>
      </c>
      <c r="BT13" s="222">
        <f>BS14/BS13</f>
        <v>0.14458253106949071</v>
      </c>
      <c r="BU13" s="214">
        <v>60.34</v>
      </c>
      <c r="BV13" s="222">
        <f>BU14/BU13</f>
        <v>0.21627444481272792</v>
      </c>
      <c r="BW13" s="214">
        <v>97.88</v>
      </c>
      <c r="BX13" s="222">
        <f>BW14/BW13</f>
        <v>0.23988557417245598</v>
      </c>
      <c r="BY13" s="214">
        <v>104.33</v>
      </c>
      <c r="BZ13" s="222">
        <f>BY14/BY13</f>
        <v>0.21633279018498988</v>
      </c>
      <c r="CA13" s="214">
        <v>142.47</v>
      </c>
      <c r="CB13" s="222">
        <f>CA14/CA13</f>
        <v>0.26405559065066331</v>
      </c>
      <c r="CC13" s="214">
        <v>165.25</v>
      </c>
      <c r="CD13" s="222">
        <f>CC14/CC13</f>
        <v>0.3123146747352496</v>
      </c>
      <c r="CE13" s="214">
        <v>84.33</v>
      </c>
      <c r="CF13" s="222">
        <f>CE14/CE13</f>
        <v>0.36380884619945453</v>
      </c>
      <c r="CG13" s="214">
        <v>82.75</v>
      </c>
      <c r="CH13" s="222">
        <f>CG14/CG13</f>
        <v>0.2820543806646526</v>
      </c>
    </row>
    <row r="14" spans="1:724">
      <c r="C14" s="241" t="s">
        <v>9</v>
      </c>
      <c r="D14" s="214">
        <f>D12+D13</f>
        <v>158.57</v>
      </c>
      <c r="F14" s="214">
        <f>F12+F13</f>
        <v>53.739999999999995</v>
      </c>
      <c r="H14" s="214">
        <f>H12+H13</f>
        <v>62.51</v>
      </c>
      <c r="J14" s="214">
        <f>J12+J13</f>
        <v>26.819999999999993</v>
      </c>
      <c r="L14" s="214">
        <f>L12+L13</f>
        <v>76.949999999999989</v>
      </c>
      <c r="N14" s="214">
        <f>N12+N13</f>
        <v>25.5</v>
      </c>
      <c r="P14" s="214">
        <f>P12+P13</f>
        <v>101.40000000000003</v>
      </c>
      <c r="R14" s="214">
        <f>R12+R13</f>
        <v>115.74000000000001</v>
      </c>
      <c r="S14" s="214"/>
      <c r="T14" s="214">
        <f>T12+T13</f>
        <v>92.839999999999989</v>
      </c>
      <c r="V14" s="214">
        <f>V12+V13</f>
        <v>77.429999999999993</v>
      </c>
      <c r="X14" s="214">
        <f>X12+X13</f>
        <v>64.22</v>
      </c>
      <c r="Z14" s="214">
        <f>Z12+Z13</f>
        <v>97.41</v>
      </c>
      <c r="AB14" s="242">
        <f>AB12+AB13</f>
        <v>79.500000000000014</v>
      </c>
      <c r="AD14" s="242">
        <f>AD12+AD13</f>
        <v>72.83</v>
      </c>
      <c r="AF14" s="242">
        <f>AF12+AF13</f>
        <v>110.74999999999999</v>
      </c>
      <c r="AH14" s="245">
        <f>AH12+AH13</f>
        <v>70.69</v>
      </c>
      <c r="AJ14" s="243">
        <f>AJ12+AJ13</f>
        <v>117.66999999999999</v>
      </c>
      <c r="AL14" s="243">
        <f>AL12+AL13</f>
        <v>36.220000000000006</v>
      </c>
      <c r="AN14" s="214">
        <f>AN12+AN13</f>
        <v>167.17000000000002</v>
      </c>
      <c r="AP14" s="214">
        <f>AP12+AP13</f>
        <v>294.83999999999997</v>
      </c>
      <c r="AR14" s="214">
        <f>AR12+AR13</f>
        <v>118.58000000000001</v>
      </c>
      <c r="AT14" s="214">
        <f>AT12+AT13</f>
        <v>103.44999999999999</v>
      </c>
      <c r="AV14" s="214">
        <f>AV12+AV13</f>
        <v>89.940000000000012</v>
      </c>
      <c r="AX14" s="214">
        <f>AX12+AX13</f>
        <v>-162.66999999999999</v>
      </c>
      <c r="BA14" s="214">
        <f>BA12+BA13</f>
        <v>53.379999999999995</v>
      </c>
      <c r="BC14" s="214">
        <f>BC12+BC13</f>
        <v>36.5</v>
      </c>
      <c r="BE14" s="214">
        <f>BE12+BE13</f>
        <v>29.230000000000004</v>
      </c>
      <c r="BG14" s="214">
        <f>BG12+BG13</f>
        <v>-1.279999999999994</v>
      </c>
      <c r="BI14" s="214">
        <f>BI12+BI13</f>
        <v>-2.5799999999999983</v>
      </c>
      <c r="BK14" s="214">
        <f>BK12+BK13</f>
        <v>22.990000000000009</v>
      </c>
      <c r="BM14" s="214">
        <f>BM12+BM13</f>
        <v>32.209999999999994</v>
      </c>
      <c r="BO14" s="214">
        <f>BO12+BO13</f>
        <v>-2.5799999999999983</v>
      </c>
      <c r="BQ14" s="214">
        <f>BQ12+BQ13</f>
        <v>11.049999999999997</v>
      </c>
      <c r="BS14" s="214">
        <f>BS12+BS13</f>
        <v>8.2600000000000051</v>
      </c>
      <c r="BU14" s="214">
        <f>BU12+BU13</f>
        <v>13.050000000000004</v>
      </c>
      <c r="BW14" s="214">
        <f>BW12+BW13</f>
        <v>23.47999999999999</v>
      </c>
      <c r="BY14" s="214">
        <f>BY12+BY13</f>
        <v>22.569999999999993</v>
      </c>
      <c r="CA14" s="214">
        <f>CA12+CA13</f>
        <v>37.620000000000005</v>
      </c>
      <c r="CC14" s="214">
        <f>CC12+CC13</f>
        <v>51.61</v>
      </c>
      <c r="CE14" s="214">
        <f>CE12+CE13</f>
        <v>30.68</v>
      </c>
      <c r="CG14" s="214">
        <f>CG12+CG13</f>
        <v>23.340000000000003</v>
      </c>
    </row>
    <row r="15" spans="1:724">
      <c r="A15" s="231">
        <v>6</v>
      </c>
      <c r="B15" s="232">
        <v>672481819</v>
      </c>
      <c r="C15" s="233" t="s">
        <v>13</v>
      </c>
      <c r="AP15" s="214"/>
      <c r="AT15" s="214"/>
    </row>
    <row r="16" spans="1:724">
      <c r="C16" s="234" t="s">
        <v>14</v>
      </c>
      <c r="D16" s="235">
        <v>44927</v>
      </c>
      <c r="E16" s="235"/>
      <c r="F16" s="235">
        <v>44958</v>
      </c>
      <c r="G16" s="235"/>
      <c r="H16" s="235">
        <v>44986</v>
      </c>
      <c r="I16" s="235"/>
      <c r="J16" s="235">
        <v>45017</v>
      </c>
      <c r="K16" s="235"/>
      <c r="L16" s="246">
        <v>45047</v>
      </c>
      <c r="M16" s="235"/>
      <c r="N16" s="235">
        <v>45078</v>
      </c>
      <c r="O16" s="235"/>
      <c r="P16" s="235">
        <v>45108</v>
      </c>
      <c r="Q16" s="235"/>
      <c r="R16" s="235">
        <v>45139</v>
      </c>
      <c r="S16" s="235"/>
      <c r="T16" s="235">
        <v>45170</v>
      </c>
      <c r="U16" s="235"/>
      <c r="V16" s="235">
        <v>45200</v>
      </c>
      <c r="W16" s="235"/>
      <c r="X16" s="235">
        <v>45231</v>
      </c>
      <c r="Y16" s="235"/>
      <c r="Z16" s="235">
        <v>45261</v>
      </c>
      <c r="AA16" s="235"/>
      <c r="AB16" s="235">
        <v>45292</v>
      </c>
      <c r="AC16" s="235"/>
      <c r="AD16" s="235">
        <v>45323</v>
      </c>
      <c r="AE16" s="235"/>
      <c r="AF16" s="235">
        <v>45352</v>
      </c>
      <c r="AH16" s="235">
        <v>45383</v>
      </c>
      <c r="AJ16" s="235">
        <v>45413</v>
      </c>
      <c r="AL16" s="235">
        <v>45444</v>
      </c>
      <c r="AN16" s="235">
        <v>45474</v>
      </c>
      <c r="AP16" s="235">
        <v>45505</v>
      </c>
      <c r="AR16" s="236">
        <v>45536</v>
      </c>
      <c r="AT16" s="236">
        <v>45566</v>
      </c>
      <c r="AV16" s="235">
        <v>45597</v>
      </c>
      <c r="AX16" s="235">
        <v>45627</v>
      </c>
      <c r="BA16" s="235">
        <v>45658</v>
      </c>
      <c r="BC16" s="235">
        <v>45689</v>
      </c>
      <c r="BE16" s="235">
        <v>45717</v>
      </c>
      <c r="BG16" s="235">
        <v>45748</v>
      </c>
      <c r="BI16" s="235">
        <v>45778</v>
      </c>
      <c r="BK16" s="235">
        <v>45809</v>
      </c>
      <c r="BM16" s="235">
        <v>45839</v>
      </c>
      <c r="BO16" s="235">
        <v>45870</v>
      </c>
      <c r="BQ16" s="235">
        <v>45901</v>
      </c>
      <c r="BS16" s="235">
        <v>45931</v>
      </c>
      <c r="BU16" s="235">
        <v>45962</v>
      </c>
      <c r="BW16" s="235">
        <v>45992</v>
      </c>
      <c r="BY16" s="235">
        <v>46023</v>
      </c>
      <c r="CA16" s="235">
        <v>46054</v>
      </c>
      <c r="CC16" s="235">
        <v>46082</v>
      </c>
      <c r="CE16" s="235">
        <v>46113</v>
      </c>
      <c r="CG16" s="235">
        <v>46143</v>
      </c>
      <c r="CI16" s="341">
        <v>46174</v>
      </c>
      <c r="AAV16" s="213">
        <v>0</v>
      </c>
    </row>
    <row r="17" spans="1:87">
      <c r="C17" s="213" t="s">
        <v>7</v>
      </c>
      <c r="D17" s="214">
        <v>-159.51</v>
      </c>
      <c r="F17" s="214">
        <v>-161.22999999999999</v>
      </c>
      <c r="H17" s="237">
        <v>-79.06</v>
      </c>
      <c r="J17" s="237">
        <v>-41.81</v>
      </c>
      <c r="L17" s="237">
        <v>-38.35</v>
      </c>
      <c r="N17" s="237">
        <f>-1.96-35.34</f>
        <v>-37.300000000000004</v>
      </c>
      <c r="P17" s="237">
        <v>-68.2</v>
      </c>
      <c r="R17" s="237">
        <v>-64.17</v>
      </c>
      <c r="T17" s="237">
        <v>-24.79</v>
      </c>
      <c r="V17" s="214">
        <v>0</v>
      </c>
      <c r="X17" s="237">
        <v>-48.41</v>
      </c>
      <c r="Z17" s="238">
        <v>-130.69</v>
      </c>
      <c r="AB17" s="237">
        <v>-104.48</v>
      </c>
      <c r="AD17" s="237">
        <v>-81.66</v>
      </c>
      <c r="AF17" s="237">
        <v>-53.99</v>
      </c>
      <c r="AH17" s="237">
        <f>-15.38-19.19</f>
        <v>-34.57</v>
      </c>
      <c r="AJ17" s="237">
        <v>-35.270000000000003</v>
      </c>
      <c r="AL17" s="237">
        <v>-34.78</v>
      </c>
      <c r="AN17" s="237">
        <v>-61.13</v>
      </c>
      <c r="AP17" s="237">
        <v>-79.81</v>
      </c>
      <c r="AR17" s="237">
        <f>-18.47-70.51</f>
        <v>-88.98</v>
      </c>
      <c r="AT17" s="237">
        <v>-109.75</v>
      </c>
      <c r="AV17" s="237">
        <v>-123.01</v>
      </c>
      <c r="AX17" s="237">
        <f>-154.59-192.03</f>
        <v>-346.62</v>
      </c>
      <c r="BA17" s="238">
        <v>-239.63</v>
      </c>
      <c r="BC17" s="237">
        <v>-211.65</v>
      </c>
      <c r="BE17" s="237">
        <v>-194.56</v>
      </c>
      <c r="BG17" s="237">
        <v>-128.49</v>
      </c>
      <c r="BI17" s="237">
        <v>-117.24</v>
      </c>
      <c r="BK17" s="237">
        <v>-147.69</v>
      </c>
      <c r="BM17" s="237">
        <v>-153.78</v>
      </c>
      <c r="BO17" s="237">
        <v>-137.47</v>
      </c>
      <c r="BQ17" s="237">
        <v>-105.68</v>
      </c>
      <c r="BS17" s="237">
        <v>-99.47</v>
      </c>
      <c r="BU17" s="237">
        <v>-174.39</v>
      </c>
      <c r="BW17" s="237">
        <v>-272.7</v>
      </c>
      <c r="BY17" s="237">
        <v>-227.27</v>
      </c>
      <c r="CA17" s="237">
        <v>-124.3</v>
      </c>
      <c r="CC17" s="237">
        <v>-136.18</v>
      </c>
      <c r="CE17" s="237">
        <v>-79.23</v>
      </c>
      <c r="CG17" s="237">
        <v>-86.18</v>
      </c>
    </row>
    <row r="18" spans="1:87">
      <c r="C18" s="213" t="s">
        <v>8</v>
      </c>
      <c r="D18" s="214">
        <v>232.35</v>
      </c>
      <c r="E18" s="222">
        <f>ABS(((D17+D18)/D17))</f>
        <v>0.45664848598833935</v>
      </c>
      <c r="F18" s="214">
        <v>250.7</v>
      </c>
      <c r="G18" s="222">
        <f>ABS(((F17+F18)/F17))</f>
        <v>0.55492154065620547</v>
      </c>
      <c r="H18" s="214">
        <v>140.16999999999999</v>
      </c>
      <c r="I18" s="222">
        <f>ABS(((H17+H18)/H17))</f>
        <v>0.77295724766000484</v>
      </c>
      <c r="J18" s="214">
        <v>74.03</v>
      </c>
      <c r="K18" s="222">
        <f>ABS(((J17+J18)/J17))</f>
        <v>0.77062903611576172</v>
      </c>
      <c r="L18" s="214">
        <v>60.62</v>
      </c>
      <c r="M18" s="222">
        <f>ABS(((L17+L18)/L17))</f>
        <v>0.58070404172099077</v>
      </c>
      <c r="N18" s="214">
        <v>58.64</v>
      </c>
      <c r="O18" s="222">
        <f>ABS(((N17+N18)/N17))</f>
        <v>0.57211796246648772</v>
      </c>
      <c r="P18" s="214">
        <v>83.86</v>
      </c>
      <c r="Q18" s="222">
        <f>ABS(((P17+P18)/P17))</f>
        <v>0.22961876832844569</v>
      </c>
      <c r="R18" s="214">
        <v>95.74</v>
      </c>
      <c r="S18" s="222">
        <f>ABS(((R17+R18)/R17))</f>
        <v>0.49197444288608372</v>
      </c>
      <c r="T18" s="214">
        <v>67.61</v>
      </c>
      <c r="U18" s="222">
        <f>ABS(((T17+T18)/T17))</f>
        <v>1.7273093989511901</v>
      </c>
      <c r="V18" s="214">
        <v>57.87</v>
      </c>
      <c r="W18" s="222" t="e">
        <f>ABS(((V17+V18)/V17))</f>
        <v>#DIV/0!</v>
      </c>
      <c r="X18" s="214">
        <v>85.67</v>
      </c>
      <c r="Y18" s="222">
        <f>ABS(((X17+X18)/X17))</f>
        <v>0.76967568684156185</v>
      </c>
      <c r="Z18" s="213">
        <v>184.42</v>
      </c>
      <c r="AA18" s="222">
        <f>ABS(((Z17+Z18)/Z17))</f>
        <v>0.41112556431249514</v>
      </c>
      <c r="AB18" s="214">
        <v>144.05000000000001</v>
      </c>
      <c r="AC18" s="222">
        <f>ABS(((AB17+AB18)/AB17))</f>
        <v>0.37873277182235843</v>
      </c>
      <c r="AD18" s="214">
        <v>137.36000000000001</v>
      </c>
      <c r="AE18" s="222">
        <f>ABS(((AD17+AD18)/AD17))</f>
        <v>0.68209649767327973</v>
      </c>
      <c r="AF18" s="214">
        <v>108.84</v>
      </c>
      <c r="AG18" s="222">
        <f>ABS(((AF17+AF18)/AF17))</f>
        <v>1.0159288757177254</v>
      </c>
      <c r="AH18" s="214">
        <v>74.56</v>
      </c>
      <c r="AI18" s="222">
        <f>ABS(((AH17+AH18)/AH17))</f>
        <v>1.1567833381544692</v>
      </c>
      <c r="AJ18" s="214">
        <v>57.08</v>
      </c>
      <c r="AK18" s="222">
        <f>ABS(((AJ17+AJ18)/AJ17))</f>
        <v>0.61837255457896212</v>
      </c>
      <c r="AL18" s="214">
        <v>60.34</v>
      </c>
      <c r="AM18" s="222">
        <f>ABS(((AL17+AL18)/AL17))</f>
        <v>0.73490511788384127</v>
      </c>
      <c r="AN18" s="214">
        <v>98.51</v>
      </c>
      <c r="AO18" s="222">
        <f>ABS(((AN17+AN18)/AN17))</f>
        <v>0.61148372321282518</v>
      </c>
      <c r="AP18" s="214">
        <v>105.17</v>
      </c>
      <c r="AQ18" s="222">
        <f>ABS(((AP17+AP18)/AP17))</f>
        <v>0.31775466733492042</v>
      </c>
      <c r="AR18" s="214">
        <v>121.57</v>
      </c>
      <c r="AS18" s="222">
        <f>ABS(((AR17+AR18)/AR17))</f>
        <v>0.3662620813665991</v>
      </c>
      <c r="AT18" s="214">
        <v>150.05000000000001</v>
      </c>
      <c r="AU18" s="222">
        <f>AT19/AT18</f>
        <v>0.26857714095301571</v>
      </c>
      <c r="AV18" s="214">
        <v>157.24</v>
      </c>
      <c r="AW18" s="222">
        <f>AV19/AV18</f>
        <v>0.21769269905876368</v>
      </c>
      <c r="AX18" s="214">
        <v>303.27999999999997</v>
      </c>
      <c r="AY18" s="224">
        <f>AX19/AX18</f>
        <v>-0.14290424690055406</v>
      </c>
      <c r="AZ18" s="225"/>
      <c r="BA18" s="214">
        <v>308.85000000000002</v>
      </c>
      <c r="BB18" s="222">
        <f>BA19/BA18</f>
        <v>0.22412174194592852</v>
      </c>
      <c r="BC18" s="214">
        <v>234.62</v>
      </c>
      <c r="BD18" s="222">
        <f>BC19/BC18</f>
        <v>9.7902992072287101E-2</v>
      </c>
      <c r="BE18" s="214">
        <v>210.97</v>
      </c>
      <c r="BF18" s="222">
        <f>BE19/BE18</f>
        <v>7.7783571123856463E-2</v>
      </c>
      <c r="BG18" s="214">
        <v>138.47</v>
      </c>
      <c r="BH18" s="222">
        <f>BG19/BG18</f>
        <v>7.2073373293854187E-2</v>
      </c>
      <c r="BI18" s="214">
        <v>123.52</v>
      </c>
      <c r="BJ18" s="222">
        <f>BI19/BI18</f>
        <v>5.0841968911917113E-2</v>
      </c>
      <c r="BK18" s="214">
        <v>176.48</v>
      </c>
      <c r="BL18" s="222">
        <f>BK19/BK18</f>
        <v>0.16313463281958293</v>
      </c>
      <c r="BM18" s="214">
        <v>173.52</v>
      </c>
      <c r="BN18" s="222">
        <f>BM19/BM18</f>
        <v>0.11376210235131401</v>
      </c>
      <c r="BO18" s="214">
        <v>154.97999999999999</v>
      </c>
      <c r="BP18" s="222">
        <f>BO19/BO18</f>
        <v>0.11298232029939342</v>
      </c>
      <c r="BQ18" s="214">
        <v>117.91</v>
      </c>
      <c r="BR18" s="222">
        <f>BQ19/BQ18</f>
        <v>0.10372317869561522</v>
      </c>
      <c r="BS18" s="214">
        <v>113.56</v>
      </c>
      <c r="BT18" s="222">
        <f>BS19/BS18</f>
        <v>0.12407537865445582</v>
      </c>
      <c r="BU18" s="214">
        <v>206.87</v>
      </c>
      <c r="BV18" s="222">
        <f>BU19/BU18</f>
        <v>0.157006815874704</v>
      </c>
      <c r="BW18" s="214">
        <v>330.98</v>
      </c>
      <c r="BX18" s="222">
        <f>BW19/BW18</f>
        <v>0.17608314701794678</v>
      </c>
      <c r="BY18" s="214">
        <v>270.43</v>
      </c>
      <c r="BZ18" s="222">
        <f>BY19/BY18</f>
        <v>0.15959767777243647</v>
      </c>
      <c r="CA18" s="214">
        <v>149.22</v>
      </c>
      <c r="CB18" s="222">
        <f>CA19/CA18</f>
        <v>1</v>
      </c>
      <c r="CC18" s="214">
        <v>161.46</v>
      </c>
      <c r="CD18" s="222">
        <f>CC19/CC18</f>
        <v>0.15657128700606962</v>
      </c>
      <c r="CE18" s="214">
        <v>92.28</v>
      </c>
      <c r="CF18" s="222">
        <f>CE19/CE18</f>
        <v>0.14141742522756823</v>
      </c>
      <c r="CG18" s="214">
        <v>85.05</v>
      </c>
      <c r="CH18" s="222">
        <f>CG19/CG18</f>
        <v>-1.3286302175191177E-2</v>
      </c>
    </row>
    <row r="19" spans="1:87">
      <c r="C19" s="241" t="s">
        <v>9</v>
      </c>
      <c r="D19" s="214">
        <f>D17+D18</f>
        <v>72.84</v>
      </c>
      <c r="F19" s="214">
        <f>F17+F18</f>
        <v>89.47</v>
      </c>
      <c r="H19" s="214">
        <f>H17+H18</f>
        <v>61.109999999999985</v>
      </c>
      <c r="J19" s="214">
        <f>J17+J18</f>
        <v>32.22</v>
      </c>
      <c r="L19" s="214">
        <f>L17+L18</f>
        <v>22.269999999999996</v>
      </c>
      <c r="N19" s="214">
        <f>N17+N18</f>
        <v>21.339999999999996</v>
      </c>
      <c r="P19" s="214">
        <f>P17+P18</f>
        <v>15.659999999999997</v>
      </c>
      <c r="R19" s="214">
        <f>R17+R18</f>
        <v>31.569999999999993</v>
      </c>
      <c r="S19" s="214"/>
      <c r="T19" s="214">
        <f>T17+T18</f>
        <v>42.82</v>
      </c>
      <c r="V19" s="214">
        <f>V17+V18</f>
        <v>57.87</v>
      </c>
      <c r="X19" s="214">
        <f>X17+X18</f>
        <v>37.260000000000005</v>
      </c>
      <c r="Z19" s="214">
        <f>Z17+Z18</f>
        <v>53.72999999999999</v>
      </c>
      <c r="AB19" s="242">
        <f>AB17+AB18</f>
        <v>39.570000000000007</v>
      </c>
      <c r="AD19" s="242">
        <f>AD17+AD18</f>
        <v>55.700000000000017</v>
      </c>
      <c r="AF19" s="242">
        <f>AF17+AF18</f>
        <v>54.85</v>
      </c>
      <c r="AH19" s="243">
        <v>74.56</v>
      </c>
      <c r="AJ19" s="243">
        <f>AJ17+AJ18</f>
        <v>21.809999999999995</v>
      </c>
      <c r="AL19" s="243">
        <f>AL17+AL18</f>
        <v>25.560000000000002</v>
      </c>
      <c r="AN19" s="243">
        <f>AN17+AN18</f>
        <v>37.380000000000003</v>
      </c>
      <c r="AP19" s="214">
        <f>AP17+AP18</f>
        <v>25.36</v>
      </c>
      <c r="AR19" s="214">
        <f>AR17+AR18</f>
        <v>32.589999999999989</v>
      </c>
      <c r="AT19" s="214">
        <f>AT17+AT18</f>
        <v>40.300000000000011</v>
      </c>
      <c r="AV19" s="214">
        <f>AV17+AV18</f>
        <v>34.230000000000004</v>
      </c>
      <c r="AX19" s="214">
        <f>AX17+AX18</f>
        <v>-43.340000000000032</v>
      </c>
      <c r="BA19" s="214">
        <f>BA17+BA18</f>
        <v>69.220000000000027</v>
      </c>
      <c r="BC19" s="214">
        <f>BC17+BC18</f>
        <v>22.97</v>
      </c>
      <c r="BE19" s="214">
        <f>BE17+BE18</f>
        <v>16.409999999999997</v>
      </c>
      <c r="BG19" s="214">
        <f>BG17+BG18</f>
        <v>9.9799999999999898</v>
      </c>
      <c r="BI19" s="214">
        <f>BI17+BI18</f>
        <v>6.2800000000000011</v>
      </c>
      <c r="BK19" s="214">
        <f>BK17+BK18</f>
        <v>28.789999999999992</v>
      </c>
      <c r="BM19" s="214">
        <f>BM17+BM18</f>
        <v>19.740000000000009</v>
      </c>
      <c r="BO19" s="214">
        <f>BO17+BO18</f>
        <v>17.509999999999991</v>
      </c>
      <c r="BQ19" s="214">
        <f>BQ17+BQ18</f>
        <v>12.22999999999999</v>
      </c>
      <c r="BS19" s="214">
        <f>BS17+BS18</f>
        <v>14.090000000000003</v>
      </c>
      <c r="BU19" s="214">
        <f>BU17+BU18</f>
        <v>32.480000000000018</v>
      </c>
      <c r="BW19" s="214">
        <f>BW17+BW18</f>
        <v>58.28000000000003</v>
      </c>
      <c r="BY19" s="214">
        <f>BY17+BY18</f>
        <v>43.16</v>
      </c>
      <c r="CA19" s="214">
        <v>149.22</v>
      </c>
      <c r="CC19" s="214">
        <f>CC17+CC18</f>
        <v>25.28</v>
      </c>
      <c r="CE19" s="214">
        <f>CE17+CE18</f>
        <v>13.049999999999997</v>
      </c>
      <c r="CG19" s="214">
        <f>CG17+CG18</f>
        <v>-1.1300000000000097</v>
      </c>
    </row>
    <row r="20" spans="1:87">
      <c r="A20" s="231">
        <v>7</v>
      </c>
      <c r="B20" s="232">
        <v>752860926</v>
      </c>
      <c r="C20" s="233" t="s">
        <v>15</v>
      </c>
      <c r="AP20" s="214"/>
      <c r="AT20" s="214"/>
      <c r="CE20" s="247"/>
    </row>
    <row r="21" spans="1:87">
      <c r="C21" s="234" t="s">
        <v>16</v>
      </c>
      <c r="D21" s="235">
        <v>44927</v>
      </c>
      <c r="E21" s="235"/>
      <c r="F21" s="235">
        <v>44958</v>
      </c>
      <c r="G21" s="235"/>
      <c r="H21" s="235">
        <v>44986</v>
      </c>
      <c r="I21" s="235"/>
      <c r="J21" s="235">
        <v>45017</v>
      </c>
      <c r="K21" s="235"/>
      <c r="L21" s="246">
        <v>45047</v>
      </c>
      <c r="M21" s="235"/>
      <c r="N21" s="235">
        <v>45078</v>
      </c>
      <c r="O21" s="235"/>
      <c r="P21" s="235">
        <v>45108</v>
      </c>
      <c r="Q21" s="235"/>
      <c r="R21" s="235">
        <v>45139</v>
      </c>
      <c r="S21" s="235"/>
      <c r="T21" s="235">
        <v>45170</v>
      </c>
      <c r="U21" s="235"/>
      <c r="V21" s="235">
        <v>45200</v>
      </c>
      <c r="W21" s="235"/>
      <c r="X21" s="235">
        <v>45231</v>
      </c>
      <c r="Y21" s="235"/>
      <c r="Z21" s="235">
        <v>45261</v>
      </c>
      <c r="AA21" s="235"/>
      <c r="AB21" s="235">
        <v>45292</v>
      </c>
      <c r="AC21" s="235"/>
      <c r="AD21" s="235">
        <v>45323</v>
      </c>
      <c r="AE21" s="235"/>
      <c r="AF21" s="235">
        <v>45352</v>
      </c>
      <c r="AH21" s="235">
        <v>45383</v>
      </c>
      <c r="AJ21" s="235">
        <v>45413</v>
      </c>
      <c r="AL21" s="235">
        <v>45444</v>
      </c>
      <c r="AN21" s="235">
        <v>45474</v>
      </c>
      <c r="AP21" s="235">
        <v>45505</v>
      </c>
      <c r="AR21" s="236">
        <v>45536</v>
      </c>
      <c r="AT21" s="236">
        <v>45566</v>
      </c>
      <c r="AV21" s="235">
        <v>45597</v>
      </c>
      <c r="AX21" s="235">
        <v>45627</v>
      </c>
      <c r="BA21" s="235">
        <v>45658</v>
      </c>
      <c r="BC21" s="235">
        <v>45689</v>
      </c>
      <c r="BE21" s="235">
        <v>45717</v>
      </c>
      <c r="BG21" s="235">
        <v>45748</v>
      </c>
      <c r="BI21" s="235">
        <v>45778</v>
      </c>
      <c r="BK21" s="235">
        <v>45809</v>
      </c>
      <c r="BM21" s="235">
        <v>45839</v>
      </c>
      <c r="BO21" s="235">
        <v>45870</v>
      </c>
      <c r="BQ21" s="235">
        <v>45901</v>
      </c>
      <c r="BS21" s="235">
        <v>45931</v>
      </c>
      <c r="BU21" s="235">
        <v>45962</v>
      </c>
      <c r="BW21" s="235">
        <v>45992</v>
      </c>
      <c r="BY21" s="235">
        <v>46023</v>
      </c>
      <c r="CA21" s="235">
        <v>46054</v>
      </c>
      <c r="CC21" s="235">
        <v>46082</v>
      </c>
      <c r="CE21" s="235">
        <v>46113</v>
      </c>
      <c r="CG21" s="235">
        <v>46143</v>
      </c>
      <c r="CI21" s="341">
        <v>46174</v>
      </c>
    </row>
    <row r="22" spans="1:87">
      <c r="C22" s="213" t="s">
        <v>7</v>
      </c>
      <c r="D22" s="214">
        <v>-119.65</v>
      </c>
      <c r="F22" s="214">
        <v>-82.89</v>
      </c>
      <c r="H22" s="237">
        <v>-126.15</v>
      </c>
      <c r="J22" s="237">
        <v>-8.98</v>
      </c>
      <c r="L22" s="237">
        <v>-90.13</v>
      </c>
      <c r="N22" s="237">
        <f>-68.46-7.45-56.29</f>
        <v>-132.19999999999999</v>
      </c>
      <c r="P22" s="237">
        <v>-105.95</v>
      </c>
      <c r="R22" s="237">
        <v>-68.87</v>
      </c>
      <c r="T22" s="237">
        <v>-104.5</v>
      </c>
      <c r="V22" s="238">
        <v>-103.84</v>
      </c>
      <c r="X22" s="237">
        <v>-90.37</v>
      </c>
      <c r="Z22" s="238">
        <v>-197.34</v>
      </c>
      <c r="AB22" s="237">
        <v>-149.66</v>
      </c>
      <c r="AD22" s="237">
        <v>-88.52</v>
      </c>
      <c r="AF22" s="237">
        <v>-87.71</v>
      </c>
      <c r="AH22" s="237">
        <f>-17.7-48.88</f>
        <v>-66.58</v>
      </c>
      <c r="AJ22" s="237">
        <v>-82.73</v>
      </c>
      <c r="AL22" s="237">
        <v>-109.59</v>
      </c>
      <c r="AN22" s="237">
        <v>-83.68</v>
      </c>
      <c r="AP22" s="237">
        <v>-23.52</v>
      </c>
      <c r="AR22" s="237">
        <v>-83.56</v>
      </c>
      <c r="AT22" s="237">
        <f>-62.73-35.28</f>
        <v>-98.009999999999991</v>
      </c>
      <c r="AV22" s="237">
        <v>-117.76</v>
      </c>
      <c r="AX22" s="214">
        <v>-215.66</v>
      </c>
      <c r="BA22" s="237">
        <v>-120.14</v>
      </c>
      <c r="BC22" s="237">
        <v>-128.25</v>
      </c>
      <c r="BE22" s="237">
        <v>-86.62</v>
      </c>
      <c r="BG22" s="237">
        <v>-119.39</v>
      </c>
      <c r="BI22" s="237">
        <v>-83.82</v>
      </c>
      <c r="BK22" s="237">
        <v>-83.82</v>
      </c>
      <c r="BM22" s="237">
        <v>-86.62</v>
      </c>
      <c r="BO22" s="237">
        <v>-86.62</v>
      </c>
      <c r="BQ22" s="237">
        <v>-93.33</v>
      </c>
      <c r="BS22" s="237">
        <v>-124.56</v>
      </c>
      <c r="BU22" s="237">
        <v>-102.52</v>
      </c>
      <c r="BW22" s="237">
        <v>-160.22999999999999</v>
      </c>
      <c r="BY22" s="237">
        <v>-129.08000000000001</v>
      </c>
      <c r="CA22" s="237">
        <v>-86.64</v>
      </c>
      <c r="CC22" s="237">
        <v>-89.59</v>
      </c>
      <c r="CE22" s="237">
        <v>-81.489999999999995</v>
      </c>
      <c r="CG22" s="237">
        <v>-102.58</v>
      </c>
    </row>
    <row r="23" spans="1:87">
      <c r="C23" s="213" t="s">
        <v>8</v>
      </c>
      <c r="D23" s="214">
        <v>192.46</v>
      </c>
      <c r="E23" s="222">
        <f>ABS(((D22+D23)/D22))</f>
        <v>0.60852486418721274</v>
      </c>
      <c r="F23" s="214">
        <v>128.96</v>
      </c>
      <c r="G23" s="222">
        <f>ABS(((F22+F23)/F22))</f>
        <v>0.55579683918446143</v>
      </c>
      <c r="H23" s="214">
        <v>228.91</v>
      </c>
      <c r="I23" s="222">
        <f>ABS(((H22+H23)/H22))</f>
        <v>0.81458581054300427</v>
      </c>
      <c r="J23" s="214">
        <v>276.35000000000002</v>
      </c>
      <c r="K23" s="222">
        <f>ABS(((J22+J23)/J22))</f>
        <v>29.773942093541201</v>
      </c>
      <c r="L23" s="214">
        <v>105.82</v>
      </c>
      <c r="M23" s="222">
        <f>ABS(((L22+L23)/L22))</f>
        <v>0.17408188172639519</v>
      </c>
      <c r="N23" s="214">
        <v>174.24</v>
      </c>
      <c r="O23" s="222">
        <f>ABS(((N22+N23)/N22))</f>
        <v>0.31800302571860833</v>
      </c>
      <c r="P23" s="214">
        <v>134.01</v>
      </c>
      <c r="Q23" s="222">
        <f>ABS(((P22+P23)/P22))</f>
        <v>0.26484190655969786</v>
      </c>
      <c r="R23" s="214">
        <v>89.18</v>
      </c>
      <c r="S23" s="222">
        <f>ABS(((R22+R23)/R22))</f>
        <v>0.29490344126615364</v>
      </c>
      <c r="T23" s="214">
        <v>160.41</v>
      </c>
      <c r="U23" s="222">
        <f>ABS(((T22+T23)/T22))</f>
        <v>0.53502392344497607</v>
      </c>
      <c r="V23" s="213">
        <v>142.16</v>
      </c>
      <c r="W23" s="222">
        <f>ABS(((V22+V23)/V22))</f>
        <v>0.36902927580893674</v>
      </c>
      <c r="X23" s="214">
        <v>118.92</v>
      </c>
      <c r="Y23" s="222">
        <f>ABS(((X22+X23)/X22))</f>
        <v>0.31592342591567996</v>
      </c>
      <c r="Z23" s="213">
        <v>249.88</v>
      </c>
      <c r="AA23" s="222">
        <f>ABS(((Z22+Z23)/Z22))</f>
        <v>0.26624100537144013</v>
      </c>
      <c r="AB23" s="214">
        <v>200.14</v>
      </c>
      <c r="AC23" s="222">
        <f>ABS(((AB22+AB23)/AB22))</f>
        <v>0.33729787518374976</v>
      </c>
      <c r="AD23" s="214">
        <v>136.05000000000001</v>
      </c>
      <c r="AE23" s="222">
        <f>ABS(((AD22+AD23)/AD22))</f>
        <v>0.53694080433800295</v>
      </c>
      <c r="AF23" s="214">
        <v>162.19999999999999</v>
      </c>
      <c r="AG23" s="222">
        <f>ABS(((AF22+AF23)/AF22))</f>
        <v>0.84927602325846541</v>
      </c>
      <c r="AH23" s="214">
        <v>96.73</v>
      </c>
      <c r="AI23" s="222">
        <f>ABS(((AH22+AH23)/AH22))</f>
        <v>0.45283869029738671</v>
      </c>
      <c r="AJ23" s="214">
        <v>81.819999999999993</v>
      </c>
      <c r="AK23" s="222">
        <f>ABS(((AJ22+AJ23)/AJ22))</f>
        <v>1.0999637374592176E-2</v>
      </c>
      <c r="AL23" s="214">
        <v>178.98</v>
      </c>
      <c r="AM23" s="222">
        <f>ABS(((AL22+AL23)/AL22))</f>
        <v>0.63317820969066507</v>
      </c>
      <c r="AN23" s="214">
        <v>115.33</v>
      </c>
      <c r="AO23" s="222">
        <f>ABS(((AN22+AN23)/AN22))</f>
        <v>0.37822657743785837</v>
      </c>
      <c r="AP23" s="214">
        <v>60.45</v>
      </c>
      <c r="AQ23" s="222">
        <f>ABS(((AP22+AP23)/AP22))</f>
        <v>1.5701530612244901</v>
      </c>
      <c r="AR23" s="214">
        <v>87.01</v>
      </c>
      <c r="AS23" s="222">
        <f>ABS(((AR22+AR23)/AR22))</f>
        <v>4.1287697462900945E-2</v>
      </c>
      <c r="AT23" s="214">
        <v>93.95</v>
      </c>
      <c r="AU23" s="222">
        <f>AT24/AT23</f>
        <v>-4.3214475784991886E-2</v>
      </c>
      <c r="AV23" s="214">
        <v>117.62</v>
      </c>
      <c r="AW23" s="222">
        <f>AV24/AV23</f>
        <v>-1.190273762965487E-3</v>
      </c>
      <c r="AX23" s="214">
        <v>246.58</v>
      </c>
      <c r="AY23" s="224">
        <f>AX24/AX23</f>
        <v>0.12539540919782632</v>
      </c>
      <c r="AZ23" s="225"/>
      <c r="BA23" s="214">
        <v>217.11</v>
      </c>
      <c r="BB23" s="222">
        <f>BA24/BA23</f>
        <v>0.44663995209801488</v>
      </c>
      <c r="BC23" s="214">
        <v>140.76</v>
      </c>
      <c r="BD23" s="222">
        <f>BC24/BC23</f>
        <v>8.8874680306905318E-2</v>
      </c>
      <c r="BE23" s="214">
        <v>132.27000000000001</v>
      </c>
      <c r="BF23" s="222">
        <f>BE24/BE23</f>
        <v>0.34512739094276862</v>
      </c>
      <c r="BG23" s="214">
        <v>187.64</v>
      </c>
      <c r="BH23" s="222">
        <f>BG24/BG23</f>
        <v>0.36372841611596668</v>
      </c>
      <c r="BI23" s="214">
        <v>144.1</v>
      </c>
      <c r="BJ23" s="222">
        <f>BI24/BI23</f>
        <v>0.41832061068702292</v>
      </c>
      <c r="BK23" s="214">
        <v>128.69999999999999</v>
      </c>
      <c r="BL23" s="222">
        <f>BK24/BK23</f>
        <v>0.3487179487179487</v>
      </c>
      <c r="BM23" s="214">
        <v>114.59</v>
      </c>
      <c r="BN23" s="222">
        <f>BM24/BM23</f>
        <v>0.24408761672048171</v>
      </c>
      <c r="BO23" s="214">
        <v>115.33</v>
      </c>
      <c r="BP23" s="222">
        <f>BO24/BO23</f>
        <v>0.2489378305731379</v>
      </c>
      <c r="BQ23" s="214">
        <v>144.31</v>
      </c>
      <c r="BR23" s="222">
        <f>BQ24/BQ23</f>
        <v>0.35326727184533296</v>
      </c>
      <c r="BS23" s="214">
        <v>176.64</v>
      </c>
      <c r="BT23" s="222">
        <f>BS24/BS23</f>
        <v>0.29483695652173908</v>
      </c>
      <c r="BU23" s="214">
        <v>143.22999999999999</v>
      </c>
      <c r="BV23" s="222">
        <f>BU24/BU23</f>
        <v>0.28422816449067928</v>
      </c>
      <c r="BW23" s="214">
        <v>217.18</v>
      </c>
      <c r="BX23" s="222">
        <f>BW24/BW23</f>
        <v>0.26222488258587356</v>
      </c>
      <c r="BY23" s="214">
        <v>170.06</v>
      </c>
      <c r="BZ23" s="222">
        <f>BY24/BY23</f>
        <v>0.24097377396213096</v>
      </c>
      <c r="CA23" s="214">
        <v>135.44999999999999</v>
      </c>
      <c r="CB23" s="222">
        <f>CA24/CA23</f>
        <v>0.3603543743078626</v>
      </c>
      <c r="CC23" s="214">
        <v>136.26</v>
      </c>
      <c r="CD23" s="222">
        <f>CC24/CC23</f>
        <v>0.34250697196536029</v>
      </c>
      <c r="CE23" s="214">
        <v>121.96</v>
      </c>
      <c r="CF23" s="222">
        <f>CE24/CE23</f>
        <v>0.33183010823220727</v>
      </c>
      <c r="CG23" s="214">
        <v>157.06</v>
      </c>
      <c r="CH23" s="222">
        <f>CG24/CG23</f>
        <v>0.34687380618871771</v>
      </c>
    </row>
    <row r="24" spans="1:87">
      <c r="C24" s="241" t="s">
        <v>9</v>
      </c>
      <c r="D24" s="214">
        <f>D22+D23</f>
        <v>72.81</v>
      </c>
      <c r="F24" s="214">
        <f>F22+F23</f>
        <v>46.070000000000007</v>
      </c>
      <c r="H24" s="214">
        <f>H22+H23</f>
        <v>102.75999999999999</v>
      </c>
      <c r="J24" s="214">
        <f>J22+J23</f>
        <v>267.37</v>
      </c>
      <c r="L24" s="214">
        <f>L22+L23</f>
        <v>15.689999999999998</v>
      </c>
      <c r="N24" s="214">
        <f>N22+N23</f>
        <v>42.04000000000002</v>
      </c>
      <c r="P24" s="214">
        <f>P22+P23</f>
        <v>28.059999999999988</v>
      </c>
      <c r="R24" s="214">
        <f>R22+R23</f>
        <v>20.310000000000002</v>
      </c>
      <c r="S24" s="214"/>
      <c r="T24" s="214">
        <f>T22+T23</f>
        <v>55.91</v>
      </c>
      <c r="V24" s="214">
        <f>V22+V23</f>
        <v>38.319999999999993</v>
      </c>
      <c r="X24" s="214">
        <f>X22+X23</f>
        <v>28.549999999999997</v>
      </c>
      <c r="Z24" s="214">
        <f>Z22+Z23</f>
        <v>52.539999999999992</v>
      </c>
      <c r="AB24" s="242">
        <f>AB22+AB23</f>
        <v>50.47999999999999</v>
      </c>
      <c r="AD24" s="242">
        <f>AD22+AD23</f>
        <v>47.530000000000015</v>
      </c>
      <c r="AF24" s="242">
        <f>AF22+AF23</f>
        <v>74.489999999999995</v>
      </c>
      <c r="AH24" s="243">
        <f>AH22+AH23</f>
        <v>30.150000000000006</v>
      </c>
      <c r="AJ24" s="243">
        <f>AJ22+AJ23</f>
        <v>-0.9100000000000108</v>
      </c>
      <c r="AL24" s="243">
        <f>AL22+AL23</f>
        <v>69.389999999999986</v>
      </c>
      <c r="AN24" s="243">
        <f>AN22+AN23</f>
        <v>31.649999999999991</v>
      </c>
      <c r="AP24" s="214">
        <f>AP22+AP23</f>
        <v>36.930000000000007</v>
      </c>
      <c r="AR24" s="214">
        <f>AR22+AR23</f>
        <v>3.4500000000000028</v>
      </c>
      <c r="AT24" s="214">
        <f>AT22+AT23</f>
        <v>-4.0599999999999881</v>
      </c>
      <c r="AV24" s="214">
        <f>AV22+AV23</f>
        <v>-0.14000000000000057</v>
      </c>
      <c r="AX24" s="214">
        <f>AX22+AX23</f>
        <v>30.920000000000016</v>
      </c>
      <c r="BA24" s="214">
        <f>BA22+BA23</f>
        <v>96.970000000000013</v>
      </c>
      <c r="BC24" s="214">
        <f>BC22+BC23</f>
        <v>12.509999999999991</v>
      </c>
      <c r="BE24" s="214">
        <f>BE22+BE23</f>
        <v>45.650000000000006</v>
      </c>
      <c r="BG24" s="214">
        <f>BG22+BG23</f>
        <v>68.249999999999986</v>
      </c>
      <c r="BI24" s="214">
        <f>BI22+BI23</f>
        <v>60.28</v>
      </c>
      <c r="BK24" s="214">
        <f>BK22+BK23</f>
        <v>44.879999999999995</v>
      </c>
      <c r="BM24" s="214">
        <f>BM22+BM23</f>
        <v>27.97</v>
      </c>
      <c r="BO24" s="214">
        <f>BO22+BO23</f>
        <v>28.709999999999994</v>
      </c>
      <c r="BQ24" s="214">
        <f>BQ22+BQ23</f>
        <v>50.980000000000004</v>
      </c>
      <c r="BS24" s="214">
        <f>BS22+BS23</f>
        <v>52.079999999999984</v>
      </c>
      <c r="BU24" s="214">
        <f>BU22+BU23</f>
        <v>40.709999999999994</v>
      </c>
      <c r="BW24" s="214">
        <f>BW22+BW23</f>
        <v>56.950000000000017</v>
      </c>
      <c r="BY24" s="214">
        <f>BY22+BY23</f>
        <v>40.97999999999999</v>
      </c>
      <c r="CA24" s="214">
        <f>CA22+CA23</f>
        <v>48.809999999999988</v>
      </c>
      <c r="CC24" s="214">
        <f>CC22+CC23</f>
        <v>46.669999999999987</v>
      </c>
      <c r="CE24" s="214">
        <f>CE22+CE23</f>
        <v>40.47</v>
      </c>
      <c r="CG24" s="214">
        <f>CG22+CG23</f>
        <v>54.480000000000004</v>
      </c>
    </row>
    <row r="25" spans="1:87">
      <c r="A25" s="231">
        <v>10</v>
      </c>
      <c r="B25" s="232" t="s">
        <v>17</v>
      </c>
      <c r="C25" s="233" t="s">
        <v>661</v>
      </c>
      <c r="AP25" s="214"/>
      <c r="AT25" s="214"/>
    </row>
    <row r="26" spans="1:87">
      <c r="C26" s="234" t="s">
        <v>18</v>
      </c>
      <c r="D26" s="235">
        <v>44927</v>
      </c>
      <c r="E26" s="235"/>
      <c r="F26" s="235">
        <v>44958</v>
      </c>
      <c r="G26" s="235"/>
      <c r="H26" s="235">
        <v>44986</v>
      </c>
      <c r="I26" s="235"/>
      <c r="J26" s="235">
        <v>45017</v>
      </c>
      <c r="K26" s="235"/>
      <c r="L26" s="246">
        <v>45047</v>
      </c>
      <c r="M26" s="235"/>
      <c r="N26" s="235">
        <v>45078</v>
      </c>
      <c r="O26" s="235"/>
      <c r="P26" s="235">
        <v>45108</v>
      </c>
      <c r="Q26" s="235"/>
      <c r="R26" s="235">
        <v>45139</v>
      </c>
      <c r="S26" s="235"/>
      <c r="T26" s="235">
        <v>45170</v>
      </c>
      <c r="U26" s="235"/>
      <c r="V26" s="235">
        <v>45200</v>
      </c>
      <c r="W26" s="235"/>
      <c r="X26" s="235">
        <v>45231</v>
      </c>
      <c r="Y26" s="235"/>
      <c r="Z26" s="235">
        <v>45261</v>
      </c>
      <c r="AA26" s="235"/>
      <c r="AB26" s="235">
        <v>45292</v>
      </c>
      <c r="AC26" s="235"/>
      <c r="AD26" s="235">
        <v>45323</v>
      </c>
      <c r="AE26" s="235"/>
      <c r="AF26" s="235">
        <v>45352</v>
      </c>
      <c r="AH26" s="235">
        <v>45383</v>
      </c>
      <c r="AJ26" s="235">
        <v>45413</v>
      </c>
      <c r="AL26" s="235">
        <v>45444</v>
      </c>
      <c r="AN26" s="235">
        <v>45474</v>
      </c>
      <c r="AP26" s="235">
        <v>45505</v>
      </c>
      <c r="AR26" s="236">
        <v>45536</v>
      </c>
      <c r="AT26" s="236">
        <v>45566</v>
      </c>
      <c r="AV26" s="235">
        <v>45597</v>
      </c>
      <c r="AX26" s="235">
        <v>45627</v>
      </c>
      <c r="BA26" s="235">
        <v>45658</v>
      </c>
      <c r="BC26" s="235">
        <v>45689</v>
      </c>
      <c r="BE26" s="235">
        <v>45717</v>
      </c>
      <c r="BG26" s="235">
        <v>45748</v>
      </c>
      <c r="BI26" s="235">
        <v>45778</v>
      </c>
      <c r="BK26" s="235">
        <v>45809</v>
      </c>
      <c r="BM26" s="235">
        <v>45839</v>
      </c>
      <c r="BO26" s="235">
        <v>45870</v>
      </c>
      <c r="BQ26" s="235">
        <v>45901</v>
      </c>
      <c r="BS26" s="235">
        <v>45931</v>
      </c>
      <c r="BU26" s="235">
        <v>45962</v>
      </c>
      <c r="BW26" s="235">
        <v>45992</v>
      </c>
      <c r="BY26" s="235">
        <v>46023</v>
      </c>
      <c r="CA26" s="235">
        <v>46054</v>
      </c>
      <c r="CC26" s="235">
        <v>46082</v>
      </c>
      <c r="CE26" s="235">
        <v>46113</v>
      </c>
      <c r="CG26" s="235">
        <v>46143</v>
      </c>
      <c r="CI26" s="341">
        <v>46174</v>
      </c>
    </row>
    <row r="27" spans="1:87">
      <c r="C27" s="213" t="s">
        <v>7</v>
      </c>
      <c r="D27" s="214">
        <v>-60.54</v>
      </c>
      <c r="F27" s="214">
        <v>-50.96</v>
      </c>
      <c r="H27" s="237">
        <v>-22.48</v>
      </c>
      <c r="J27" s="237">
        <v>-14.84</v>
      </c>
      <c r="L27" s="237">
        <v>-29.07</v>
      </c>
      <c r="N27" s="237">
        <v>-58.22</v>
      </c>
      <c r="P27" s="238">
        <v>-90.38</v>
      </c>
      <c r="R27" s="237">
        <v>-120.73</v>
      </c>
      <c r="T27" s="237">
        <v>-45.42</v>
      </c>
      <c r="V27" s="237">
        <v>-40.479999999999997</v>
      </c>
      <c r="X27" s="237">
        <v>-23.8</v>
      </c>
      <c r="Z27" s="238">
        <v>-66.78</v>
      </c>
      <c r="AB27" s="238">
        <v>-71.69</v>
      </c>
      <c r="AD27" s="237">
        <v>-43.71</v>
      </c>
      <c r="AF27" s="237">
        <v>-121.64</v>
      </c>
      <c r="AH27" s="237">
        <f>-32.6-74.52</f>
        <v>-107.12</v>
      </c>
      <c r="AJ27" s="237">
        <v>-62.69</v>
      </c>
      <c r="AL27" s="237">
        <v>-40.86</v>
      </c>
      <c r="AN27" s="237">
        <v>-56.74</v>
      </c>
      <c r="AP27" s="237">
        <v>-88.16</v>
      </c>
      <c r="AR27" s="237">
        <f>-44.91-15.74</f>
        <v>-60.65</v>
      </c>
      <c r="AT27" s="237">
        <v>-77.540000000000006</v>
      </c>
      <c r="AV27" s="237">
        <v>-176.88</v>
      </c>
      <c r="AX27" s="237">
        <v>-278.08</v>
      </c>
      <c r="BA27" s="237">
        <v>-243.69</v>
      </c>
      <c r="BC27" s="237">
        <v>-195.52</v>
      </c>
      <c r="BE27" s="237">
        <v>-137.65</v>
      </c>
      <c r="BG27" s="237">
        <v>-156.43</v>
      </c>
      <c r="BI27" s="237">
        <v>-20.76</v>
      </c>
      <c r="BK27" s="237">
        <v>-20.09</v>
      </c>
      <c r="BM27" s="237">
        <v>-61.71</v>
      </c>
      <c r="BO27" s="237">
        <v>-70.19</v>
      </c>
      <c r="BQ27" s="237">
        <v>-59.62</v>
      </c>
      <c r="BS27" s="237">
        <v>-54.03</v>
      </c>
      <c r="BU27" s="237">
        <v>-18.86</v>
      </c>
      <c r="BW27" s="237">
        <v>-175</v>
      </c>
      <c r="BY27" s="237">
        <v>-231.75</v>
      </c>
      <c r="CA27" s="237">
        <v>-198.06</v>
      </c>
      <c r="CC27" s="237">
        <v>-160.22999999999999</v>
      </c>
      <c r="CE27" s="237">
        <v>-66.91</v>
      </c>
      <c r="CG27" s="237">
        <v>-45.74</v>
      </c>
    </row>
    <row r="28" spans="1:87">
      <c r="C28" s="213" t="s">
        <v>8</v>
      </c>
      <c r="D28" s="214">
        <v>117.47</v>
      </c>
      <c r="E28" s="222">
        <f>ABS(((D27+D28)/D27))</f>
        <v>0.94037000330360099</v>
      </c>
      <c r="F28" s="214">
        <v>82.97</v>
      </c>
      <c r="G28" s="222">
        <f>ABS(((F27+F28)/F27))</f>
        <v>0.62813971742543162</v>
      </c>
      <c r="H28" s="214">
        <v>78.03</v>
      </c>
      <c r="I28" s="222">
        <f>ABS(((H27+H28)/H27))</f>
        <v>2.4710854092526691</v>
      </c>
      <c r="J28" s="214">
        <v>70.63</v>
      </c>
      <c r="K28" s="222">
        <f>ABS(((J27+J28)/J27))</f>
        <v>3.7594339622641506</v>
      </c>
      <c r="L28" s="214">
        <v>85.35</v>
      </c>
      <c r="M28" s="222">
        <f>ABS(((L27+L28)/L27))</f>
        <v>1.9360165118679049</v>
      </c>
      <c r="N28" s="214">
        <v>116.68</v>
      </c>
      <c r="O28" s="222">
        <f>ABS(((N27+N28)/N27))</f>
        <v>1.0041222947440744</v>
      </c>
      <c r="P28" s="214">
        <v>86.92</v>
      </c>
      <c r="Q28" s="222"/>
      <c r="R28" s="214">
        <v>112.18</v>
      </c>
      <c r="S28" s="248">
        <v>0</v>
      </c>
      <c r="T28" s="214">
        <v>74.09</v>
      </c>
      <c r="U28" s="222">
        <f>ABS(((T27+T28)/T27))</f>
        <v>0.63121972699251427</v>
      </c>
      <c r="V28" s="214">
        <v>83.41</v>
      </c>
      <c r="W28" s="222">
        <f>ABS(((V27+V28)/V27))</f>
        <v>1.0605237154150198</v>
      </c>
      <c r="X28" s="214">
        <v>94.79</v>
      </c>
      <c r="Y28" s="214">
        <v>-25.26</v>
      </c>
      <c r="Z28" s="213">
        <v>76.8</v>
      </c>
      <c r="AA28" s="214">
        <v>-25.26</v>
      </c>
      <c r="AB28" s="213">
        <v>87.94</v>
      </c>
      <c r="AC28" s="222">
        <f>ABS(((AB27+AB28)/AB27))</f>
        <v>0.22667038638582787</v>
      </c>
      <c r="AD28" s="213">
        <v>49.31</v>
      </c>
      <c r="AE28" s="222">
        <f>ABS(((AD27+AD28)/AD27))</f>
        <v>0.12811713566689548</v>
      </c>
      <c r="AF28" s="213">
        <v>148.52000000000001</v>
      </c>
      <c r="AG28" s="222">
        <f>ABS(((AF27+AF28)/AF27))</f>
        <v>0.22097994080894451</v>
      </c>
      <c r="AH28" s="214">
        <v>142.99</v>
      </c>
      <c r="AI28" s="222">
        <f>ABS(((AH27+AH28)/AH27))</f>
        <v>0.3348581030619866</v>
      </c>
      <c r="AJ28" s="214">
        <v>93.64</v>
      </c>
      <c r="AK28" s="222">
        <f>ABS(((AJ27+AJ28)/AJ27))</f>
        <v>0.49369915457010694</v>
      </c>
      <c r="AL28" s="214">
        <v>66.92</v>
      </c>
      <c r="AM28" s="222">
        <f>ABS(((AL27+AL28)/AL27))</f>
        <v>0.63778756730298591</v>
      </c>
      <c r="AN28" s="214">
        <v>81.95</v>
      </c>
      <c r="AO28" s="222">
        <f>ABS(((AN27+AN28)/AN27))</f>
        <v>0.4443073669369052</v>
      </c>
      <c r="AP28" s="214">
        <v>115.24</v>
      </c>
      <c r="AQ28" s="222">
        <f>ABS(((AP27+AP28)/AP27))</f>
        <v>0.30716878402903808</v>
      </c>
      <c r="AR28" s="214">
        <v>85.45</v>
      </c>
      <c r="AS28" s="222">
        <f>ABS(((AR27+AR28)/AR27))</f>
        <v>0.40890354492992587</v>
      </c>
      <c r="AT28" s="214">
        <v>111.48</v>
      </c>
      <c r="AU28" s="222">
        <f>AT29/AT28</f>
        <v>0.30444922856117684</v>
      </c>
      <c r="AV28" s="214">
        <v>216.82</v>
      </c>
      <c r="AW28" s="222">
        <f>AV29/AV28</f>
        <v>0.1842080988838668</v>
      </c>
      <c r="AX28" s="214">
        <v>321.88</v>
      </c>
      <c r="AY28" s="224">
        <f>AX29/AX28</f>
        <v>0.13607555610786631</v>
      </c>
      <c r="AZ28" s="225"/>
      <c r="BA28" s="214">
        <v>318.32</v>
      </c>
      <c r="BB28" s="222">
        <f>BA29/BA28</f>
        <v>0.23444961045488816</v>
      </c>
      <c r="BC28" s="214">
        <v>259.41000000000003</v>
      </c>
      <c r="BD28" s="222">
        <f>BC29/BC28</f>
        <v>0.24628965729925603</v>
      </c>
      <c r="BE28" s="214">
        <v>189.21</v>
      </c>
      <c r="BF28" s="222">
        <f>BE29/BE28</f>
        <v>0.2725014534115533</v>
      </c>
      <c r="BG28" s="214">
        <v>177.5</v>
      </c>
      <c r="BH28" s="222">
        <f>BG29/BG28</f>
        <v>0.11870422535211264</v>
      </c>
      <c r="BI28" s="214">
        <v>53.78</v>
      </c>
      <c r="BJ28" s="222">
        <f>BI29/BI28</f>
        <v>0.61398289326887312</v>
      </c>
      <c r="BK28" s="214">
        <v>59.86</v>
      </c>
      <c r="BL28" s="222">
        <f>BK29/BK28</f>
        <v>0.66438356164383561</v>
      </c>
      <c r="BM28" s="214">
        <v>94.33</v>
      </c>
      <c r="BN28" s="222">
        <f>BM29/BM28</f>
        <v>0.34580727234177883</v>
      </c>
      <c r="BO28" s="214">
        <v>103.98</v>
      </c>
      <c r="BP28" s="222">
        <f>BO29/BO28</f>
        <v>0.32496633968070787</v>
      </c>
      <c r="BQ28" s="214">
        <v>87.34</v>
      </c>
      <c r="BR28" s="222">
        <f>BQ29/BQ28</f>
        <v>0.31738035264483633</v>
      </c>
      <c r="BS28" s="214">
        <v>84.72</v>
      </c>
      <c r="BT28" s="222">
        <f>BS29/BS28</f>
        <v>0.36225212464589235</v>
      </c>
      <c r="BU28" s="214">
        <v>33</v>
      </c>
      <c r="BV28" s="222">
        <f>BU29/BU28</f>
        <v>0.42848484848484852</v>
      </c>
      <c r="BW28" s="214">
        <v>210.66</v>
      </c>
      <c r="BX28" s="222">
        <f>BW29/BW28</f>
        <v>0.16927750878192346</v>
      </c>
      <c r="BY28" s="214">
        <v>249.31</v>
      </c>
      <c r="BZ28" s="222">
        <f>BY29/BY28</f>
        <v>7.0434398941077378E-2</v>
      </c>
      <c r="CA28" s="214">
        <v>250.07</v>
      </c>
      <c r="CB28" s="222">
        <f>CA29/CA28</f>
        <v>0.20798176510577035</v>
      </c>
      <c r="CC28" s="214">
        <v>192.7</v>
      </c>
      <c r="CD28" s="222">
        <f>CC29/CC28</f>
        <v>0.16850025947067981</v>
      </c>
      <c r="CE28" s="214">
        <v>127.11</v>
      </c>
      <c r="CF28" s="222">
        <f>CE29/CE28</f>
        <v>0.47360553850995202</v>
      </c>
      <c r="CG28" s="214">
        <v>92.9</v>
      </c>
      <c r="CH28" s="222">
        <f>CG29/CG28</f>
        <v>0.50764262648008607</v>
      </c>
    </row>
    <row r="29" spans="1:87">
      <c r="C29" s="241" t="s">
        <v>9</v>
      </c>
      <c r="D29" s="249">
        <f t="shared" ref="D29" si="3">D27+D28</f>
        <v>56.93</v>
      </c>
      <c r="F29" s="214">
        <f>F27+F28</f>
        <v>32.01</v>
      </c>
      <c r="H29" s="214">
        <f>H27+H28</f>
        <v>55.55</v>
      </c>
      <c r="J29" s="214">
        <f>J27+J28</f>
        <v>55.789999999999992</v>
      </c>
      <c r="L29" s="214">
        <f>L27+L28</f>
        <v>56.279999999999994</v>
      </c>
      <c r="N29" s="214">
        <f>N27+N28</f>
        <v>58.460000000000008</v>
      </c>
      <c r="P29" s="214">
        <f>P27+P28</f>
        <v>-3.4599999999999937</v>
      </c>
      <c r="R29" s="214">
        <f>R27+R28</f>
        <v>-8.5499999999999972</v>
      </c>
      <c r="S29" s="214"/>
      <c r="T29" s="214">
        <f>T27+T28</f>
        <v>28.67</v>
      </c>
      <c r="V29" s="214">
        <f>V27+V28</f>
        <v>42.93</v>
      </c>
      <c r="X29" s="214">
        <f>X27+X28</f>
        <v>70.990000000000009</v>
      </c>
      <c r="Z29" s="214">
        <f>Z27+Z28</f>
        <v>10.019999999999996</v>
      </c>
      <c r="AB29" s="242">
        <f>AB27+AB28</f>
        <v>16.25</v>
      </c>
      <c r="AD29" s="242">
        <f>AD27+AD28</f>
        <v>5.6000000000000014</v>
      </c>
      <c r="AF29" s="242">
        <f>AF27+AF28</f>
        <v>26.88000000000001</v>
      </c>
      <c r="AH29" s="243">
        <f>AH27+AH28</f>
        <v>35.870000000000005</v>
      </c>
      <c r="AJ29" s="243">
        <f>AJ27+AJ28</f>
        <v>30.950000000000003</v>
      </c>
      <c r="AL29" s="243">
        <f>AL27+AL28</f>
        <v>26.060000000000002</v>
      </c>
      <c r="AN29" s="243">
        <f>AN27+AN28</f>
        <v>25.21</v>
      </c>
      <c r="AP29" s="214">
        <f>AP27+AP28</f>
        <v>27.08</v>
      </c>
      <c r="AR29" s="214">
        <f>AR27+AR28</f>
        <v>24.800000000000004</v>
      </c>
      <c r="AT29" s="214">
        <f>AT27+AT28</f>
        <v>33.94</v>
      </c>
      <c r="AV29" s="214">
        <f>AV27+AV28</f>
        <v>39.94</v>
      </c>
      <c r="AX29" s="214">
        <f>AX27+AX28</f>
        <v>43.800000000000011</v>
      </c>
      <c r="BA29" s="214">
        <f>BA27+BA28</f>
        <v>74.63</v>
      </c>
      <c r="BC29" s="214">
        <f>BC27+BC28</f>
        <v>63.890000000000015</v>
      </c>
      <c r="BE29" s="214">
        <f>BE27+BE28</f>
        <v>51.56</v>
      </c>
      <c r="BG29" s="214">
        <f>BG27+BG28</f>
        <v>21.069999999999993</v>
      </c>
      <c r="BI29" s="214">
        <f>BI27+BI28</f>
        <v>33.019999999999996</v>
      </c>
      <c r="BK29" s="214">
        <f>BK27+BK28</f>
        <v>39.769999999999996</v>
      </c>
      <c r="BM29" s="214">
        <f>BM27+BM28</f>
        <v>32.619999999999997</v>
      </c>
      <c r="BO29" s="214">
        <f>BO27+BO28</f>
        <v>33.790000000000006</v>
      </c>
      <c r="BQ29" s="214">
        <f>BQ27+BQ28</f>
        <v>27.720000000000006</v>
      </c>
      <c r="BS29" s="214">
        <f>BS27+BS28</f>
        <v>30.689999999999998</v>
      </c>
      <c r="BU29" s="214">
        <f>BU27+BU28</f>
        <v>14.14</v>
      </c>
      <c r="BW29" s="214">
        <f>BW27+BW28</f>
        <v>35.659999999999997</v>
      </c>
      <c r="BY29" s="214">
        <f>BY27+BY28</f>
        <v>17.560000000000002</v>
      </c>
      <c r="CA29" s="214">
        <f>CA27+CA28</f>
        <v>52.009999999999991</v>
      </c>
      <c r="CC29" s="214">
        <f>CC27+CC28</f>
        <v>32.47</v>
      </c>
      <c r="CE29" s="214">
        <f>CE27+CE28</f>
        <v>60.2</v>
      </c>
      <c r="CG29" s="214">
        <f>CG27+CG28</f>
        <v>47.160000000000004</v>
      </c>
    </row>
    <row r="30" spans="1:87">
      <c r="A30" s="231">
        <v>11</v>
      </c>
      <c r="B30" s="232">
        <v>399598984</v>
      </c>
      <c r="C30" s="233" t="s">
        <v>19</v>
      </c>
      <c r="AP30" s="214"/>
      <c r="AT30" s="214"/>
    </row>
    <row r="31" spans="1:87">
      <c r="C31" s="234" t="s">
        <v>261</v>
      </c>
      <c r="D31" s="235">
        <v>44927</v>
      </c>
      <c r="E31" s="235"/>
      <c r="F31" s="235">
        <v>44958</v>
      </c>
      <c r="G31" s="235" t="s">
        <v>2</v>
      </c>
      <c r="H31" s="235">
        <v>44986</v>
      </c>
      <c r="I31" s="235"/>
      <c r="J31" s="235">
        <v>45017</v>
      </c>
      <c r="K31" s="235"/>
      <c r="L31" s="246">
        <v>45047</v>
      </c>
      <c r="M31" s="235"/>
      <c r="N31" s="235">
        <v>45078</v>
      </c>
      <c r="O31" s="235"/>
      <c r="P31" s="235">
        <v>45108</v>
      </c>
      <c r="Q31" s="235"/>
      <c r="R31" s="235">
        <v>45139</v>
      </c>
      <c r="S31" s="235"/>
      <c r="T31" s="235">
        <v>45170</v>
      </c>
      <c r="U31" s="235"/>
      <c r="V31" s="235">
        <v>45200</v>
      </c>
      <c r="W31" s="235"/>
      <c r="X31" s="235">
        <v>45231</v>
      </c>
      <c r="Y31" s="235"/>
      <c r="Z31" s="235">
        <v>45261</v>
      </c>
      <c r="AA31" s="235"/>
      <c r="AB31" s="235">
        <v>45292</v>
      </c>
      <c r="AC31" s="235"/>
      <c r="AD31" s="235">
        <v>45323</v>
      </c>
      <c r="AE31" s="235"/>
      <c r="AF31" s="235">
        <v>45352</v>
      </c>
      <c r="AH31" s="235">
        <v>45383</v>
      </c>
      <c r="AJ31" s="235">
        <v>45413</v>
      </c>
      <c r="AL31" s="235">
        <v>45444</v>
      </c>
      <c r="AN31" s="235">
        <v>45474</v>
      </c>
      <c r="AP31" s="235">
        <v>45505</v>
      </c>
      <c r="AR31" s="236">
        <v>45536</v>
      </c>
      <c r="AT31" s="236">
        <v>45566</v>
      </c>
      <c r="AV31" s="235">
        <v>45597</v>
      </c>
      <c r="AX31" s="235">
        <v>45627</v>
      </c>
      <c r="BA31" s="235">
        <v>45658</v>
      </c>
      <c r="BC31" s="235">
        <v>45689</v>
      </c>
      <c r="BE31" s="235">
        <v>45717</v>
      </c>
      <c r="BG31" s="235">
        <v>45748</v>
      </c>
      <c r="BI31" s="235">
        <v>45778</v>
      </c>
      <c r="BK31" s="235">
        <v>45809</v>
      </c>
      <c r="BM31" s="235">
        <v>45839</v>
      </c>
      <c r="BO31" s="235">
        <v>45870</v>
      </c>
      <c r="BQ31" s="235">
        <v>45901</v>
      </c>
      <c r="BS31" s="235">
        <v>45931</v>
      </c>
      <c r="BU31" s="235">
        <v>45962</v>
      </c>
      <c r="BW31" s="235">
        <v>45992</v>
      </c>
      <c r="BY31" s="235">
        <v>46023</v>
      </c>
      <c r="CA31" s="235">
        <v>46054</v>
      </c>
      <c r="CC31" s="235">
        <v>46082</v>
      </c>
      <c r="CE31" s="235">
        <v>46113</v>
      </c>
      <c r="CG31" s="235">
        <v>46143</v>
      </c>
      <c r="CI31" s="341">
        <v>46174</v>
      </c>
    </row>
    <row r="32" spans="1:87">
      <c r="C32" s="213" t="s">
        <v>7</v>
      </c>
      <c r="D32" s="214">
        <v>-243.12</v>
      </c>
      <c r="F32" s="214">
        <v>-183.77</v>
      </c>
      <c r="H32" s="237">
        <v>-195.2</v>
      </c>
      <c r="J32" s="237">
        <v>-283.44</v>
      </c>
      <c r="L32" s="237">
        <v>-301.68</v>
      </c>
      <c r="N32" s="237">
        <f>-21.28-222.02-83.73</f>
        <v>-327.03000000000003</v>
      </c>
      <c r="P32" s="237">
        <v>-447.94</v>
      </c>
      <c r="R32" s="237">
        <v>-416.36</v>
      </c>
      <c r="T32" s="237">
        <v>-342.11</v>
      </c>
      <c r="V32" s="237">
        <v>-308.2</v>
      </c>
      <c r="X32" s="237">
        <v>-274.93</v>
      </c>
      <c r="Z32" s="238">
        <v>-352.51</v>
      </c>
      <c r="AB32" s="238">
        <v>-292.14</v>
      </c>
      <c r="AD32" s="237">
        <v>-243.87</v>
      </c>
      <c r="AF32" s="237">
        <v>-248.8</v>
      </c>
      <c r="AH32" s="237">
        <f>-48.45-192.06</f>
        <v>-240.51</v>
      </c>
      <c r="AJ32" s="237">
        <v>-207.49</v>
      </c>
      <c r="AL32" s="237">
        <v>-273.06</v>
      </c>
      <c r="AN32" s="237">
        <v>-318.25</v>
      </c>
      <c r="AP32" s="237">
        <v>-397.69</v>
      </c>
      <c r="AR32" s="237">
        <f>-98.9-204.79</f>
        <v>-303.69</v>
      </c>
      <c r="AT32" s="237">
        <v>-267.41000000000003</v>
      </c>
      <c r="AV32" s="237">
        <v>-225.64</v>
      </c>
      <c r="AX32" s="214">
        <v>-268.27999999999997</v>
      </c>
      <c r="BA32" s="237">
        <v>-309.86</v>
      </c>
      <c r="BC32" s="237">
        <v>-253.3</v>
      </c>
      <c r="BE32" s="237">
        <v>-278.37</v>
      </c>
      <c r="BG32" s="237">
        <v>-251.91</v>
      </c>
      <c r="BI32" s="237">
        <v>-224.83</v>
      </c>
      <c r="BK32" s="237">
        <v>-372.67</v>
      </c>
      <c r="BM32" s="237">
        <v>-444.3</v>
      </c>
      <c r="BO32" s="237">
        <v>-423.85</v>
      </c>
      <c r="BQ32" s="237">
        <v>-373.9</v>
      </c>
      <c r="BS32" s="237">
        <v>-342.48</v>
      </c>
      <c r="BU32" s="237">
        <v>-274.02999999999997</v>
      </c>
      <c r="BW32" s="237">
        <v>-327.79</v>
      </c>
      <c r="BY32" s="237">
        <v>-309.58</v>
      </c>
      <c r="CA32" s="237">
        <v>-248.41</v>
      </c>
      <c r="CC32" s="237">
        <v>-262.42</v>
      </c>
      <c r="CE32" s="237">
        <f>-203.01</f>
        <v>-203.01</v>
      </c>
      <c r="CG32" s="237">
        <f>-182.66-15.53</f>
        <v>-198.19</v>
      </c>
      <c r="CI32" s="213">
        <v>-248.52</v>
      </c>
    </row>
    <row r="33" spans="1:87">
      <c r="C33" s="213" t="s">
        <v>8</v>
      </c>
      <c r="D33" s="214">
        <v>559.54999999999995</v>
      </c>
      <c r="E33" s="222">
        <f>ABS(((D32+D33)/D32))</f>
        <v>1.3015383349786112</v>
      </c>
      <c r="F33" s="214">
        <v>413.12</v>
      </c>
      <c r="G33" s="222">
        <f>ABS(((F32+F33)/F32))</f>
        <v>1.2480274255863306</v>
      </c>
      <c r="H33" s="214">
        <v>411.24</v>
      </c>
      <c r="I33" s="222">
        <f>ABS(((H32+H33)/H32))</f>
        <v>1.1067622950819673</v>
      </c>
      <c r="J33" s="214">
        <v>526.79</v>
      </c>
      <c r="K33" s="222">
        <f>ABS(((J32+J33)/J32))</f>
        <v>0.85855913068021439</v>
      </c>
      <c r="L33" s="214">
        <v>537.57000000000005</v>
      </c>
      <c r="M33" s="222">
        <f>ABS(((L32+L33)/L32))</f>
        <v>0.78192124105011951</v>
      </c>
      <c r="N33" s="214">
        <v>475.72</v>
      </c>
      <c r="O33" s="222">
        <f>ABS(((N32+N33)/N32))</f>
        <v>0.4546677674831055</v>
      </c>
      <c r="P33" s="214">
        <v>767.53</v>
      </c>
      <c r="Q33" s="222">
        <f>ABS(((P32+P33)/P32))</f>
        <v>0.71346608920837606</v>
      </c>
      <c r="R33" s="214">
        <v>722.5</v>
      </c>
      <c r="S33" s="222">
        <f>ABS(((R32+R33)/R32))</f>
        <v>0.7352771639926986</v>
      </c>
      <c r="T33" s="214">
        <v>658.6</v>
      </c>
      <c r="U33" s="222">
        <f>ABS(((T32+T33)/T32))</f>
        <v>0.92511180614422261</v>
      </c>
      <c r="V33" s="214">
        <v>449.91</v>
      </c>
      <c r="W33" s="222">
        <f>ABS(((V32+V33)/V32))</f>
        <v>0.45979883192732007</v>
      </c>
      <c r="X33" s="214">
        <v>532.21</v>
      </c>
      <c r="Y33" s="222">
        <f>ABS(((X32+X33)/X32))</f>
        <v>0.93580184046848303</v>
      </c>
      <c r="Z33" s="213">
        <v>611.86</v>
      </c>
      <c r="AA33" s="222">
        <f>ABS(((Z32+Z33)/Z32))</f>
        <v>0.73572380925363823</v>
      </c>
      <c r="AB33" s="213">
        <v>205.02</v>
      </c>
      <c r="AC33" s="222">
        <f>ABS(((AB32+AB33)/AB32))</f>
        <v>0.29821318545902642</v>
      </c>
      <c r="AD33" s="213">
        <v>294.31</v>
      </c>
      <c r="AE33" s="222">
        <f>ABS(((AD32+AD33)/AD32))</f>
        <v>0.20683150859064253</v>
      </c>
      <c r="AF33" s="213">
        <v>302.18</v>
      </c>
      <c r="AG33" s="222">
        <f>ABS(((AF32+AF33)/AF32))</f>
        <v>0.21454983922829579</v>
      </c>
      <c r="AH33" s="214">
        <v>305.48</v>
      </c>
      <c r="AI33" s="222">
        <f>ABS(((AH32+AH33)/AH32))</f>
        <v>0.27013429795018928</v>
      </c>
      <c r="AJ33" s="214">
        <v>294.8</v>
      </c>
      <c r="AK33" s="222">
        <f>ABS(((AJ32+AJ33)/AJ32))</f>
        <v>0.42079136343920187</v>
      </c>
      <c r="AL33" s="214">
        <v>373.29</v>
      </c>
      <c r="AM33" s="222">
        <f>ABS(((AL32+AL33)/AL32))</f>
        <v>0.36706218413535491</v>
      </c>
      <c r="AN33" s="214">
        <v>440.08</v>
      </c>
      <c r="AO33" s="222">
        <f>ABS(((AN32+AN33)/AN32))</f>
        <v>0.38281225451688916</v>
      </c>
      <c r="AP33" s="214">
        <v>551.21</v>
      </c>
      <c r="AQ33" s="222">
        <f>ABS(((AP32+AP33)/AP32))</f>
        <v>0.3860293193190677</v>
      </c>
      <c r="AR33" s="214">
        <v>411.52</v>
      </c>
      <c r="AS33" s="222">
        <f>ABS(((AR32+AR33)/AR32))</f>
        <v>0.35506602127169146</v>
      </c>
      <c r="AT33" s="214">
        <v>348.91</v>
      </c>
      <c r="AU33" s="222">
        <f>AT34/AT33</f>
        <v>0.23358459201513282</v>
      </c>
      <c r="AV33" s="214">
        <v>296.2</v>
      </c>
      <c r="AW33" s="222">
        <f>AV34/AV33</f>
        <v>0.23821742066171508</v>
      </c>
      <c r="AX33" s="214">
        <v>348.85</v>
      </c>
      <c r="AY33" s="224">
        <f>AX34/AX33</f>
        <v>0.23095886484162259</v>
      </c>
      <c r="AZ33" s="225"/>
      <c r="BA33" s="214">
        <v>389.1</v>
      </c>
      <c r="BB33" s="222">
        <f>BA34/BA33</f>
        <v>0.20364944744281677</v>
      </c>
      <c r="BC33" s="214">
        <v>325.39</v>
      </c>
      <c r="BD33" s="222">
        <f>BC34/BC33</f>
        <v>0.22154952518516235</v>
      </c>
      <c r="BE33" s="214">
        <v>352.9</v>
      </c>
      <c r="BF33" s="222">
        <f>BE34/BE33</f>
        <v>0.21119297251345984</v>
      </c>
      <c r="BG33" s="214">
        <v>366.26</v>
      </c>
      <c r="BH33" s="222">
        <f>BG34/BG33</f>
        <v>0.31220990553158956</v>
      </c>
      <c r="BI33" s="214">
        <v>289.02</v>
      </c>
      <c r="BJ33" s="222">
        <f>BI34/BI33</f>
        <v>0.22209535672271805</v>
      </c>
      <c r="BK33" s="214">
        <v>455.2</v>
      </c>
      <c r="BL33" s="222">
        <f>BK34/BK33</f>
        <v>0.18130492091388395</v>
      </c>
      <c r="BM33" s="214">
        <v>556.6</v>
      </c>
      <c r="BN33" s="222">
        <f>BM34/BM33</f>
        <v>0.2017606899029824</v>
      </c>
      <c r="BO33" s="214">
        <v>640.24</v>
      </c>
      <c r="BP33" s="222">
        <f>BO34/BO33</f>
        <v>0.33798263151318253</v>
      </c>
      <c r="BQ33" s="214">
        <v>446.92</v>
      </c>
      <c r="BR33" s="222">
        <f>BQ34/BQ33</f>
        <v>0.16338494585160662</v>
      </c>
      <c r="BS33" s="214">
        <v>461.21</v>
      </c>
      <c r="BT33" s="222">
        <f>BS34/BS33</f>
        <v>0.25743153877843056</v>
      </c>
      <c r="BU33" s="214">
        <v>371.16</v>
      </c>
      <c r="BV33" s="222">
        <f>BU34/BU33</f>
        <v>0.26169307037396283</v>
      </c>
      <c r="BW33" s="214">
        <v>442.36</v>
      </c>
      <c r="BX33" s="222">
        <f>BW34/BW33</f>
        <v>0.25899719685324168</v>
      </c>
      <c r="BY33" s="214">
        <v>412.19</v>
      </c>
      <c r="BZ33" s="222">
        <f>BY34/BY33</f>
        <v>0.24893859627841533</v>
      </c>
      <c r="CA33" s="214">
        <v>336.35</v>
      </c>
      <c r="CB33" s="222">
        <f>CA34/CA33</f>
        <v>0.2614538427233537</v>
      </c>
      <c r="CC33" s="214">
        <v>402.88</v>
      </c>
      <c r="CD33" s="222">
        <f>CC34/CC33</f>
        <v>0.34863979348689433</v>
      </c>
      <c r="CE33" s="214">
        <v>80.680000000000007</v>
      </c>
      <c r="CF33" s="222">
        <f>CE34/CE33</f>
        <v>-1.5162369856222109</v>
      </c>
      <c r="CG33" s="214">
        <v>239.36</v>
      </c>
      <c r="CH33" s="222">
        <f>CG34/CG33</f>
        <v>0.17200033422459898</v>
      </c>
    </row>
    <row r="34" spans="1:87">
      <c r="C34" s="241" t="s">
        <v>9</v>
      </c>
      <c r="D34" s="214">
        <f>D32+D33</f>
        <v>316.42999999999995</v>
      </c>
      <c r="F34" s="214">
        <f>F32+F33</f>
        <v>229.35</v>
      </c>
      <c r="H34" s="214">
        <f>H32+H33</f>
        <v>216.04000000000002</v>
      </c>
      <c r="J34" s="214">
        <f>J32+J33</f>
        <v>243.34999999999997</v>
      </c>
      <c r="L34" s="214">
        <f>L32+L33</f>
        <v>235.89000000000004</v>
      </c>
      <c r="N34" s="214">
        <f>N32+N33</f>
        <v>148.69</v>
      </c>
      <c r="P34" s="214">
        <f>P32+P33</f>
        <v>319.58999999999997</v>
      </c>
      <c r="R34" s="214">
        <f>R32+R33</f>
        <v>306.14</v>
      </c>
      <c r="S34" s="214"/>
      <c r="T34" s="214">
        <f>T32+T33</f>
        <v>316.49</v>
      </c>
      <c r="V34" s="214">
        <f>V32+V33</f>
        <v>141.71000000000004</v>
      </c>
      <c r="X34" s="214">
        <f>X32+X33</f>
        <v>257.28000000000003</v>
      </c>
      <c r="Z34" s="214">
        <f>Z32+Z33</f>
        <v>259.35000000000002</v>
      </c>
      <c r="AB34" s="242">
        <f>AB32+AB33</f>
        <v>-87.119999999999976</v>
      </c>
      <c r="AD34" s="242">
        <f>AD32+AD33</f>
        <v>50.44</v>
      </c>
      <c r="AF34" s="242">
        <f>AF32+AF33</f>
        <v>53.379999999999995</v>
      </c>
      <c r="AH34" s="243">
        <f>AH32+AH33</f>
        <v>64.970000000000027</v>
      </c>
      <c r="AJ34" s="243">
        <f>AJ32+AJ33</f>
        <v>87.31</v>
      </c>
      <c r="AL34" s="243">
        <f>AL32+AL33</f>
        <v>100.23000000000002</v>
      </c>
      <c r="AN34" s="243">
        <f>AN32+AN33</f>
        <v>121.82999999999998</v>
      </c>
      <c r="AP34" s="214">
        <f>AP32+AP33</f>
        <v>153.52000000000004</v>
      </c>
      <c r="AR34" s="214">
        <f>AR32+AR33</f>
        <v>107.82999999999998</v>
      </c>
      <c r="AT34" s="214">
        <f>AT32+AT33</f>
        <v>81.5</v>
      </c>
      <c r="AV34" s="214">
        <f>AV32+AV33</f>
        <v>70.56</v>
      </c>
      <c r="AX34" s="214">
        <f>AX32+AX33</f>
        <v>80.57000000000005</v>
      </c>
      <c r="BA34" s="214">
        <f>BA32+BA33</f>
        <v>79.240000000000009</v>
      </c>
      <c r="BC34" s="214">
        <f>BC32+BC33</f>
        <v>72.089999999999975</v>
      </c>
      <c r="BE34" s="214">
        <f>BE32+BE33</f>
        <v>74.529999999999973</v>
      </c>
      <c r="BG34" s="214">
        <f>BG32+BG33</f>
        <v>114.35</v>
      </c>
      <c r="BI34" s="214">
        <f>BI32+BI33</f>
        <v>64.189999999999969</v>
      </c>
      <c r="BK34" s="214">
        <f>BK32+BK33</f>
        <v>82.529999999999973</v>
      </c>
      <c r="BM34" s="214">
        <f>BM32+BM33</f>
        <v>112.30000000000001</v>
      </c>
      <c r="BO34" s="214">
        <f>BO32+BO33</f>
        <v>216.39</v>
      </c>
      <c r="BQ34" s="214">
        <f>BQ32+BQ33</f>
        <v>73.020000000000039</v>
      </c>
      <c r="BS34" s="214">
        <f>BS32+BS33</f>
        <v>118.72999999999996</v>
      </c>
      <c r="BU34" s="214">
        <f>BU32+BU33</f>
        <v>97.130000000000052</v>
      </c>
      <c r="BW34" s="214">
        <f>BW32+BW33</f>
        <v>114.57</v>
      </c>
      <c r="BY34" s="214">
        <f>BY32+BY33</f>
        <v>102.61000000000001</v>
      </c>
      <c r="CA34" s="214">
        <f>CA32+CA33</f>
        <v>87.940000000000026</v>
      </c>
      <c r="CC34" s="214">
        <f>CC32+CC33</f>
        <v>140.45999999999998</v>
      </c>
      <c r="CE34" s="214">
        <f>CE32+CE33</f>
        <v>-122.32999999999998</v>
      </c>
      <c r="CG34" s="214">
        <f>CG32+CG33</f>
        <v>41.170000000000016</v>
      </c>
    </row>
    <row r="35" spans="1:87">
      <c r="A35" s="231">
        <v>12</v>
      </c>
      <c r="B35" s="232">
        <v>124072112</v>
      </c>
      <c r="C35" s="250" t="s">
        <v>286</v>
      </c>
      <c r="AP35" s="214"/>
      <c r="AT35" s="214"/>
    </row>
    <row r="36" spans="1:87">
      <c r="C36" s="234" t="s">
        <v>20</v>
      </c>
      <c r="D36" s="235">
        <v>44927</v>
      </c>
      <c r="E36" s="235"/>
      <c r="F36" s="235">
        <v>44958</v>
      </c>
      <c r="G36" s="235"/>
      <c r="H36" s="235">
        <v>44986</v>
      </c>
      <c r="I36" s="235"/>
      <c r="J36" s="235">
        <v>45017</v>
      </c>
      <c r="K36" s="235"/>
      <c r="L36" s="246">
        <v>45047</v>
      </c>
      <c r="M36" s="235"/>
      <c r="N36" s="235">
        <v>45078</v>
      </c>
      <c r="O36" s="235"/>
      <c r="P36" s="235">
        <v>45108</v>
      </c>
      <c r="Q36" s="235"/>
      <c r="R36" s="235">
        <v>45139</v>
      </c>
      <c r="S36" s="235"/>
      <c r="T36" s="235">
        <v>45170</v>
      </c>
      <c r="U36" s="235"/>
      <c r="V36" s="235">
        <v>45200</v>
      </c>
      <c r="W36" s="235"/>
      <c r="X36" s="235">
        <v>45231</v>
      </c>
      <c r="Y36" s="235"/>
      <c r="Z36" s="235">
        <v>45261</v>
      </c>
      <c r="AA36" s="235"/>
      <c r="AB36" s="235">
        <v>45292</v>
      </c>
      <c r="AC36" s="235"/>
      <c r="AD36" s="235">
        <v>45323</v>
      </c>
      <c r="AE36" s="235"/>
      <c r="AF36" s="235">
        <v>45352</v>
      </c>
      <c r="AH36" s="235">
        <v>45383</v>
      </c>
      <c r="AJ36" s="235">
        <v>45413</v>
      </c>
      <c r="AL36" s="235">
        <v>45444</v>
      </c>
      <c r="AN36" s="235">
        <v>45474</v>
      </c>
      <c r="AP36" s="235">
        <v>45505</v>
      </c>
      <c r="AR36" s="236">
        <v>45536</v>
      </c>
      <c r="AT36" s="236">
        <v>45566</v>
      </c>
      <c r="AV36" s="235">
        <v>45597</v>
      </c>
      <c r="AX36" s="235">
        <v>45627</v>
      </c>
      <c r="BA36" s="235">
        <v>45658</v>
      </c>
      <c r="BC36" s="235">
        <v>45689</v>
      </c>
      <c r="BE36" s="235">
        <v>45717</v>
      </c>
      <c r="BG36" s="235">
        <v>45748</v>
      </c>
      <c r="BI36" s="235">
        <v>45778</v>
      </c>
      <c r="BK36" s="235">
        <v>45809</v>
      </c>
      <c r="BM36" s="235">
        <v>45839</v>
      </c>
      <c r="BO36" s="235">
        <v>45870</v>
      </c>
      <c r="BQ36" s="235">
        <v>45901</v>
      </c>
      <c r="BS36" s="235">
        <v>45931</v>
      </c>
      <c r="BU36" s="235">
        <v>45962</v>
      </c>
      <c r="BW36" s="235">
        <v>45992</v>
      </c>
      <c r="BY36" s="235">
        <v>46023</v>
      </c>
      <c r="CA36" s="235">
        <v>46054</v>
      </c>
      <c r="CC36" s="235">
        <v>46082</v>
      </c>
      <c r="CE36" s="235">
        <v>46113</v>
      </c>
      <c r="CG36" s="235">
        <v>46143</v>
      </c>
      <c r="CI36" s="341">
        <v>46174</v>
      </c>
    </row>
    <row r="37" spans="1:87">
      <c r="C37" s="213" t="s">
        <v>7</v>
      </c>
      <c r="D37" s="214">
        <v>-20.440000000000001</v>
      </c>
      <c r="F37" s="214">
        <v>-11.21</v>
      </c>
      <c r="H37" s="237">
        <v>-7.59</v>
      </c>
      <c r="J37" s="237">
        <v>-10.52</v>
      </c>
      <c r="L37" s="237">
        <v>-10.54</v>
      </c>
      <c r="N37" s="237">
        <v>-5.25</v>
      </c>
      <c r="P37" s="237">
        <v>-16.28</v>
      </c>
      <c r="R37" s="237">
        <v>-16.28</v>
      </c>
      <c r="T37" s="214">
        <v>0</v>
      </c>
      <c r="V37" s="237">
        <v>-12.16</v>
      </c>
      <c r="X37" s="237">
        <v>-11.77</v>
      </c>
      <c r="Z37" s="238">
        <v>-17.22</v>
      </c>
      <c r="AB37" s="238">
        <v>-19.420000000000002</v>
      </c>
      <c r="AD37" s="237">
        <v>-10.93</v>
      </c>
      <c r="AF37" s="237">
        <v>-13</v>
      </c>
      <c r="AH37" s="237">
        <f>-3.36-0</f>
        <v>-3.36</v>
      </c>
      <c r="AJ37" s="237">
        <v>-20.65</v>
      </c>
      <c r="AL37" s="237">
        <v>-20.34</v>
      </c>
      <c r="AN37" s="237">
        <v>-19.38</v>
      </c>
      <c r="AP37" s="237">
        <v>-20.77</v>
      </c>
      <c r="AR37" s="237">
        <f>-3.05-20.08</f>
        <v>-23.13</v>
      </c>
      <c r="AT37" s="237">
        <v>-13.46</v>
      </c>
      <c r="AV37" s="237">
        <v>-13.04</v>
      </c>
      <c r="AX37" s="237">
        <v>-14.81</v>
      </c>
      <c r="BA37" s="237">
        <v>-15.46</v>
      </c>
      <c r="BC37" s="237">
        <f>-35.61-12.48</f>
        <v>-48.09</v>
      </c>
      <c r="BE37" s="237">
        <v>-20.76</v>
      </c>
      <c r="BG37" s="237">
        <v>-20.09</v>
      </c>
      <c r="BI37" s="237">
        <v>-20.76</v>
      </c>
      <c r="BK37" s="237">
        <v>-20.09</v>
      </c>
      <c r="BM37" s="237">
        <v>-20.76</v>
      </c>
      <c r="BO37" s="237">
        <v>-20.76</v>
      </c>
      <c r="BQ37" s="237">
        <v>-20.09</v>
      </c>
      <c r="BS37" s="237">
        <v>-21.63</v>
      </c>
      <c r="BU37" s="237">
        <v>-20.93</v>
      </c>
      <c r="BW37" s="237">
        <v>-33.799999999999997</v>
      </c>
      <c r="BY37" s="237">
        <v>-33.57</v>
      </c>
      <c r="CA37" s="237">
        <v>-20.05</v>
      </c>
      <c r="CC37" s="237">
        <v>-19.32</v>
      </c>
      <c r="CE37" s="237">
        <v>-18.7</v>
      </c>
      <c r="CG37" s="237">
        <v>-22.18</v>
      </c>
    </row>
    <row r="38" spans="1:87">
      <c r="C38" s="213" t="s">
        <v>8</v>
      </c>
      <c r="D38" s="214">
        <v>49.9</v>
      </c>
      <c r="E38" s="222">
        <f>ABS(((D37+D38)/D37))</f>
        <v>1.4412915851272012</v>
      </c>
      <c r="F38" s="214">
        <v>32.049999999999997</v>
      </c>
      <c r="G38" s="222">
        <f>ABS(((F37+F38)/F37))</f>
        <v>1.8590544157002671</v>
      </c>
      <c r="H38" s="214">
        <v>38.57</v>
      </c>
      <c r="I38" s="222">
        <f>ABS(((H37+H38)/H37))</f>
        <v>4.0816864295125166</v>
      </c>
      <c r="J38" s="214">
        <v>32.630000000000003</v>
      </c>
      <c r="K38" s="222">
        <f>ABS(((J37+J38)/J37))</f>
        <v>2.1017110266159698</v>
      </c>
      <c r="L38" s="214">
        <v>27.7</v>
      </c>
      <c r="M38" s="222">
        <f>ABS(((L37+L38)/L37))</f>
        <v>1.6280834914611007</v>
      </c>
      <c r="N38" s="214">
        <v>36.630000000000003</v>
      </c>
      <c r="O38" s="222">
        <f>ABS(((N37+N38)/N37))</f>
        <v>5.9771428571428578</v>
      </c>
      <c r="P38" s="214">
        <v>29.99</v>
      </c>
      <c r="Q38" s="222">
        <f>ABS(((P37+P38)/P37))</f>
        <v>0.84213759213759187</v>
      </c>
      <c r="R38" s="214">
        <v>31.51</v>
      </c>
      <c r="T38" s="214">
        <v>30.71</v>
      </c>
      <c r="U38" s="222" t="e">
        <f>ABS(((T37+T38)/T37))</f>
        <v>#DIV/0!</v>
      </c>
      <c r="V38" s="214">
        <v>-85.82</v>
      </c>
      <c r="W38" s="222">
        <f>ABS(((V37+V38)/V37))</f>
        <v>8.0575657894736832</v>
      </c>
      <c r="X38" s="214">
        <v>23.69</v>
      </c>
      <c r="Y38" s="240" t="s">
        <v>21</v>
      </c>
      <c r="Z38" s="213">
        <v>29.45</v>
      </c>
      <c r="AA38" s="240" t="s">
        <v>21</v>
      </c>
      <c r="AB38" s="213">
        <v>40.380000000000003</v>
      </c>
      <c r="AC38" s="222">
        <f>ABS(((AB37+AB38)/AB37))</f>
        <v>1.0792996910401647</v>
      </c>
      <c r="AD38" s="213">
        <v>27.24</v>
      </c>
      <c r="AE38" s="222">
        <f>ABS(((AD37+AD38)/AD37))</f>
        <v>1.4922232387923147</v>
      </c>
      <c r="AF38" s="213">
        <v>26.9</v>
      </c>
      <c r="AG38" s="222">
        <f>ABS(((AF37+AF38)/AF37))</f>
        <v>1.0692307692307692</v>
      </c>
      <c r="AH38" s="214">
        <v>17.64</v>
      </c>
      <c r="AI38" s="222">
        <f>ABS(((AH37+AH38)/AH37))</f>
        <v>4.2500000000000009</v>
      </c>
      <c r="AJ38" s="214">
        <v>12.54</v>
      </c>
      <c r="AK38" s="222">
        <f>ABS(((AJ37+AJ38)/AJ37))</f>
        <v>0.3927360774818402</v>
      </c>
      <c r="AL38" s="214">
        <v>13.7</v>
      </c>
      <c r="AM38" s="222">
        <v>0</v>
      </c>
      <c r="AN38" s="214">
        <v>18.510000000000002</v>
      </c>
      <c r="AO38" s="222">
        <v>0</v>
      </c>
      <c r="AP38" s="214">
        <v>23.42</v>
      </c>
      <c r="AQ38" s="222">
        <f>ABS(((AP37+AP38)/AP37))</f>
        <v>0.12758786711603284</v>
      </c>
      <c r="AR38" s="214">
        <v>20.059999999999999</v>
      </c>
      <c r="AS38" s="222">
        <f>ABS(((AR37+AR38)/AR37))</f>
        <v>0.13272805879809774</v>
      </c>
      <c r="AT38" s="214">
        <v>24.44</v>
      </c>
      <c r="AU38" s="222">
        <f>AT39/AT38</f>
        <v>0.4492635024549918</v>
      </c>
      <c r="AV38" s="214">
        <v>29.77</v>
      </c>
      <c r="AW38" s="222">
        <f>AV39/AV38</f>
        <v>0.561975142761169</v>
      </c>
      <c r="AX38" s="214">
        <v>36.49</v>
      </c>
      <c r="AY38" s="224">
        <f>AX39/AX38</f>
        <v>0.59413537955604268</v>
      </c>
      <c r="AZ38" s="225"/>
      <c r="BA38" s="214">
        <v>49.28</v>
      </c>
      <c r="BB38" s="222">
        <f>BA39/BA38</f>
        <v>0.68628246753246758</v>
      </c>
      <c r="BC38" s="214">
        <v>23.65</v>
      </c>
      <c r="BD38" s="222">
        <f>BC39/BC38</f>
        <v>-1.0334038054968291</v>
      </c>
      <c r="BE38" s="214">
        <v>23.66</v>
      </c>
      <c r="BF38" s="222">
        <f>BE39/BE38</f>
        <v>0.12256973795435328</v>
      </c>
      <c r="BG38" s="214">
        <v>23.66</v>
      </c>
      <c r="BH38" s="222">
        <f>BG39/BG38</f>
        <v>0.15088757396449706</v>
      </c>
      <c r="BI38" s="214">
        <v>23.66</v>
      </c>
      <c r="BJ38" s="222">
        <f>BI39/BI38</f>
        <v>0.12256973795435328</v>
      </c>
      <c r="BK38" s="214">
        <v>30.51</v>
      </c>
      <c r="BL38" s="222">
        <f>BK39/BK38</f>
        <v>0.34152736807604067</v>
      </c>
      <c r="BM38" s="214">
        <v>23.66</v>
      </c>
      <c r="BN38" s="222">
        <f>BM39/BM38</f>
        <v>0.12256973795435328</v>
      </c>
      <c r="BO38" s="214">
        <v>25.4</v>
      </c>
      <c r="BP38" s="222">
        <f>BO39/BO38</f>
        <v>0.1826771653543306</v>
      </c>
      <c r="BQ38" s="214">
        <v>23.67</v>
      </c>
      <c r="BR38" s="222">
        <f>BQ39/BQ38</f>
        <v>0.15124630333755815</v>
      </c>
      <c r="BS38" s="214">
        <v>23.66</v>
      </c>
      <c r="BT38" s="222">
        <f>BS39/BS38</f>
        <v>8.5798816568047387E-2</v>
      </c>
      <c r="BU38" s="214">
        <v>23.66</v>
      </c>
      <c r="BV38" s="222">
        <f>BU39/BU38</f>
        <v>0.1153846153846154</v>
      </c>
      <c r="BW38" s="214">
        <v>47.1</v>
      </c>
      <c r="BX38" s="222">
        <f>BW39/BW38</f>
        <v>0.28237791932059458</v>
      </c>
      <c r="BY38" s="214">
        <v>33.229999999999997</v>
      </c>
      <c r="BZ38" s="222">
        <f>BY39/BY38</f>
        <v>-1.0231718326813225E-2</v>
      </c>
      <c r="CA38" s="214">
        <v>23.65</v>
      </c>
      <c r="CB38" s="222">
        <f>CA39/CA38</f>
        <v>0.15221987315010563</v>
      </c>
      <c r="CC38" s="214">
        <v>23.66</v>
      </c>
      <c r="CD38" s="222">
        <f>CC39/CC38</f>
        <v>0.18343195266272189</v>
      </c>
      <c r="CE38" s="214">
        <v>23.66</v>
      </c>
      <c r="CF38" s="222">
        <f>CE39/CE38</f>
        <v>0.20963651732882504</v>
      </c>
      <c r="CG38" s="214">
        <v>23.66</v>
      </c>
      <c r="CH38" s="222">
        <f>CG39/CG38</f>
        <v>6.2552831783601034E-2</v>
      </c>
    </row>
    <row r="39" spans="1:87">
      <c r="C39" s="241" t="s">
        <v>9</v>
      </c>
      <c r="D39" s="214">
        <f>D37+D38</f>
        <v>29.459999999999997</v>
      </c>
      <c r="F39" s="214">
        <f>F37+F38</f>
        <v>20.839999999999996</v>
      </c>
      <c r="H39" s="214">
        <f>H37+H38</f>
        <v>30.98</v>
      </c>
      <c r="J39" s="214">
        <f>J37+J38</f>
        <v>22.110000000000003</v>
      </c>
      <c r="L39" s="214">
        <f>L37+L38</f>
        <v>17.16</v>
      </c>
      <c r="N39" s="214">
        <f>N37+N38</f>
        <v>31.380000000000003</v>
      </c>
      <c r="P39" s="214">
        <f>P37+P38</f>
        <v>13.709999999999997</v>
      </c>
      <c r="R39" s="214">
        <f>R37+R38</f>
        <v>15.23</v>
      </c>
      <c r="S39" s="214"/>
      <c r="T39" s="214">
        <f>T37+T38</f>
        <v>30.71</v>
      </c>
      <c r="V39" s="214">
        <f>V37+V38</f>
        <v>-97.97999999999999</v>
      </c>
      <c r="X39" s="214">
        <f>X37+X38</f>
        <v>11.920000000000002</v>
      </c>
      <c r="Z39" s="214">
        <f>Z37+Z38</f>
        <v>12.23</v>
      </c>
      <c r="AB39" s="242">
        <f>AB37+AB38</f>
        <v>20.96</v>
      </c>
      <c r="AD39" s="242">
        <f>AD37+AD38</f>
        <v>16.309999999999999</v>
      </c>
      <c r="AF39" s="242">
        <f>AF37+AF38</f>
        <v>13.899999999999999</v>
      </c>
      <c r="AH39" s="243">
        <f>AH37+AH38</f>
        <v>14.280000000000001</v>
      </c>
      <c r="AJ39" s="242">
        <f>AJ37+AJ38</f>
        <v>-8.11</v>
      </c>
      <c r="AL39" s="243">
        <f>AL37+AL38</f>
        <v>-6.6400000000000006</v>
      </c>
      <c r="AN39" s="243">
        <f>AN37+AN38</f>
        <v>-0.86999999999999744</v>
      </c>
      <c r="AP39" s="214">
        <f>AP37+AP38</f>
        <v>2.6500000000000021</v>
      </c>
      <c r="AR39" s="214">
        <f>AR37+AR38</f>
        <v>-3.0700000000000003</v>
      </c>
      <c r="AT39" s="214">
        <f>AT37+AT38</f>
        <v>10.98</v>
      </c>
      <c r="AV39" s="214">
        <f>AV37+AV38</f>
        <v>16.73</v>
      </c>
      <c r="AX39" s="214">
        <f>AX37+AX38</f>
        <v>21.68</v>
      </c>
      <c r="BA39" s="214">
        <f>BA37+BA38</f>
        <v>33.82</v>
      </c>
      <c r="BC39" s="214">
        <f>BC37+BC38</f>
        <v>-24.440000000000005</v>
      </c>
      <c r="BE39" s="214">
        <f>BE37+BE38</f>
        <v>2.8999999999999986</v>
      </c>
      <c r="BG39" s="214">
        <f>BG37+BG38</f>
        <v>3.5700000000000003</v>
      </c>
      <c r="BI39" s="214">
        <f>BI37+BI38</f>
        <v>2.8999999999999986</v>
      </c>
      <c r="BK39" s="214">
        <f>BK37+BK38</f>
        <v>10.420000000000002</v>
      </c>
      <c r="BM39" s="214">
        <f>BM37+BM38</f>
        <v>2.8999999999999986</v>
      </c>
      <c r="BO39" s="214">
        <f>BO37+BO38</f>
        <v>4.639999999999997</v>
      </c>
      <c r="BQ39" s="214">
        <f>BQ37+BQ38</f>
        <v>3.5800000000000018</v>
      </c>
      <c r="BS39" s="214">
        <f>BS37+BS38</f>
        <v>2.0300000000000011</v>
      </c>
      <c r="BU39" s="214">
        <f>BU37+BU38</f>
        <v>2.7300000000000004</v>
      </c>
      <c r="BW39" s="214">
        <f>BW37+BW38</f>
        <v>13.300000000000004</v>
      </c>
      <c r="BY39" s="214">
        <f>BY37+BY38</f>
        <v>-0.34000000000000341</v>
      </c>
      <c r="CA39" s="214">
        <f>CA37+CA38</f>
        <v>3.5999999999999979</v>
      </c>
      <c r="CC39" s="214">
        <f>CC37+CC38</f>
        <v>4.34</v>
      </c>
      <c r="CE39" s="214">
        <f>CE37+CE38</f>
        <v>4.9600000000000009</v>
      </c>
      <c r="CG39" s="214">
        <f>CG37+CG38</f>
        <v>1.4800000000000004</v>
      </c>
    </row>
    <row r="40" spans="1:87">
      <c r="A40" s="231">
        <v>13</v>
      </c>
      <c r="B40" s="232">
        <v>118400666</v>
      </c>
      <c r="C40" s="233" t="s">
        <v>22</v>
      </c>
      <c r="AP40" s="214"/>
      <c r="AT40" s="214"/>
    </row>
    <row r="41" spans="1:87">
      <c r="C41" s="234" t="s">
        <v>23</v>
      </c>
      <c r="D41" s="235">
        <v>44927</v>
      </c>
      <c r="E41" s="235"/>
      <c r="F41" s="235">
        <v>44958</v>
      </c>
      <c r="G41" s="235"/>
      <c r="H41" s="235">
        <v>44986</v>
      </c>
      <c r="I41" s="235"/>
      <c r="J41" s="235">
        <v>45017</v>
      </c>
      <c r="K41" s="235"/>
      <c r="L41" s="246">
        <v>45047</v>
      </c>
      <c r="M41" s="235"/>
      <c r="N41" s="235">
        <v>45078</v>
      </c>
      <c r="O41" s="235"/>
      <c r="P41" s="235">
        <v>45108</v>
      </c>
      <c r="Q41" s="235"/>
      <c r="R41" s="235">
        <v>45139</v>
      </c>
      <c r="S41" s="235"/>
      <c r="T41" s="235">
        <v>45170</v>
      </c>
      <c r="U41" s="235"/>
      <c r="V41" s="235">
        <v>45200</v>
      </c>
      <c r="W41" s="235"/>
      <c r="X41" s="235">
        <v>45231</v>
      </c>
      <c r="Y41" s="235"/>
      <c r="Z41" s="235">
        <v>45261</v>
      </c>
      <c r="AA41" s="235"/>
      <c r="AB41" s="235">
        <v>45292</v>
      </c>
      <c r="AC41" s="235"/>
      <c r="AD41" s="235">
        <v>45323</v>
      </c>
      <c r="AE41" s="235"/>
      <c r="AF41" s="235">
        <v>45352</v>
      </c>
      <c r="AH41" s="235">
        <v>45383</v>
      </c>
      <c r="AJ41" s="235">
        <v>45413</v>
      </c>
      <c r="AL41" s="235">
        <v>45444</v>
      </c>
      <c r="AN41" s="235">
        <v>45474</v>
      </c>
      <c r="AP41" s="235">
        <v>45505</v>
      </c>
      <c r="AR41" s="236">
        <v>45536</v>
      </c>
      <c r="AT41" s="236">
        <v>45566</v>
      </c>
      <c r="AV41" s="235">
        <v>45597</v>
      </c>
      <c r="AX41" s="235">
        <v>45627</v>
      </c>
      <c r="BA41" s="235">
        <v>45658</v>
      </c>
      <c r="BC41" s="235">
        <v>45689</v>
      </c>
      <c r="BE41" s="235">
        <v>45717</v>
      </c>
      <c r="BG41" s="235">
        <v>45748</v>
      </c>
      <c r="BI41" s="235">
        <v>45778</v>
      </c>
      <c r="BK41" s="235">
        <v>45809</v>
      </c>
      <c r="BM41" s="235">
        <v>45839</v>
      </c>
      <c r="BO41" s="235">
        <v>45870</v>
      </c>
      <c r="BQ41" s="235">
        <v>45901</v>
      </c>
      <c r="BS41" s="235">
        <v>45931</v>
      </c>
      <c r="BU41" s="235">
        <v>45962</v>
      </c>
      <c r="BW41" s="235">
        <v>45992</v>
      </c>
      <c r="BY41" s="235">
        <v>46023</v>
      </c>
      <c r="CA41" s="235">
        <v>46054</v>
      </c>
      <c r="CC41" s="235">
        <v>46082</v>
      </c>
      <c r="CE41" s="235">
        <v>46113</v>
      </c>
      <c r="CG41" s="235">
        <v>46143</v>
      </c>
      <c r="CI41" s="341">
        <v>46174</v>
      </c>
    </row>
    <row r="42" spans="1:87">
      <c r="C42" s="213" t="s">
        <v>7</v>
      </c>
      <c r="D42" s="214">
        <v>-70.650000000000006</v>
      </c>
      <c r="F42" s="214">
        <v>-58.09</v>
      </c>
      <c r="H42" s="237">
        <v>-34.19</v>
      </c>
      <c r="J42" s="237">
        <v>-39.409999999999997</v>
      </c>
      <c r="L42" s="237">
        <v>-37.799999999999997</v>
      </c>
      <c r="N42" s="237">
        <f>-9.08-19.09</f>
        <v>-28.17</v>
      </c>
      <c r="P42" s="237">
        <v>-33.15</v>
      </c>
      <c r="R42" s="237">
        <v>-34.049999999999997</v>
      </c>
      <c r="T42" s="237">
        <v>-23.25</v>
      </c>
      <c r="V42" s="238">
        <v>-29.21</v>
      </c>
      <c r="X42" s="237">
        <v>-36.47</v>
      </c>
      <c r="Z42" s="238">
        <v>-50</v>
      </c>
      <c r="AB42" s="238">
        <v>-64.58</v>
      </c>
      <c r="AD42" s="237">
        <v>-53.33</v>
      </c>
      <c r="AF42" s="237">
        <v>-42.59</v>
      </c>
      <c r="AH42" s="237">
        <f>-7.68-25.48</f>
        <v>-33.159999999999997</v>
      </c>
      <c r="AJ42" s="237">
        <v>-33.53</v>
      </c>
      <c r="AL42" s="237">
        <v>-32.369999999999997</v>
      </c>
      <c r="AN42" s="237">
        <v>-30.75</v>
      </c>
      <c r="AP42" s="237">
        <v>-39.75</v>
      </c>
      <c r="AR42" s="237">
        <f>-6.09-10.11</f>
        <v>-16.2</v>
      </c>
      <c r="AT42" s="237">
        <v>-36.39</v>
      </c>
      <c r="AV42" s="237">
        <v>-63.59</v>
      </c>
      <c r="AX42" s="237">
        <v>-77.14</v>
      </c>
      <c r="BA42" s="237">
        <v>-77.099999999999994</v>
      </c>
      <c r="BC42" s="237">
        <v>-60.57</v>
      </c>
      <c r="BE42" s="237">
        <v>-56.91</v>
      </c>
      <c r="BG42" s="237">
        <v>-55.13</v>
      </c>
      <c r="BI42" s="237">
        <v>-30.67</v>
      </c>
      <c r="BK42" s="237">
        <v>-32.43</v>
      </c>
      <c r="BM42" s="237">
        <v>-51.35</v>
      </c>
      <c r="BO42" s="237">
        <v>-53.3</v>
      </c>
      <c r="BQ42" s="237">
        <v>-50.22</v>
      </c>
      <c r="BS42" s="237">
        <v>-65.290000000000006</v>
      </c>
      <c r="BU42" s="237">
        <v>-70.41</v>
      </c>
      <c r="BW42" s="237">
        <v>-60.08</v>
      </c>
      <c r="BY42" s="237">
        <v>-36.69</v>
      </c>
      <c r="CA42" s="237">
        <v>-26.2</v>
      </c>
      <c r="CC42" s="237">
        <v>-25.25</v>
      </c>
      <c r="CE42" s="237">
        <v>-24.43</v>
      </c>
      <c r="CG42" s="237">
        <v>-29</v>
      </c>
    </row>
    <row r="43" spans="1:87">
      <c r="C43" s="213" t="s">
        <v>8</v>
      </c>
      <c r="D43" s="214">
        <v>119.44</v>
      </c>
      <c r="E43" s="222">
        <f>ABS(((D42+D43)/D42))</f>
        <v>0.6905874026893134</v>
      </c>
      <c r="F43" s="214">
        <v>90.79</v>
      </c>
      <c r="G43" s="222">
        <f>ABS(((F42+F43)/F42))</f>
        <v>0.56291960750559478</v>
      </c>
      <c r="H43" s="214">
        <v>75.86</v>
      </c>
      <c r="I43" s="222">
        <f>ABS(((H42+H43)/H42))</f>
        <v>1.218777420298333</v>
      </c>
      <c r="J43" s="214">
        <v>77.64</v>
      </c>
      <c r="K43" s="222">
        <f>ABS(((J42+J43)/J42))</f>
        <v>0.9700583608221266</v>
      </c>
      <c r="L43" s="214">
        <v>76.97</v>
      </c>
      <c r="M43" s="222">
        <f>ABS(((L42+L43)/L42))</f>
        <v>1.0362433862433864</v>
      </c>
      <c r="N43" s="214">
        <v>69.290000000000006</v>
      </c>
      <c r="O43" s="222">
        <f>ABS(((N42+N43)/N42))</f>
        <v>1.4597089101881435</v>
      </c>
      <c r="P43" s="214">
        <v>55.99</v>
      </c>
      <c r="Q43" s="222">
        <f>ABS(((P42+P43)/P42))</f>
        <v>0.68898944193061851</v>
      </c>
      <c r="R43" s="214">
        <v>55.82</v>
      </c>
      <c r="S43" s="222">
        <f>ABS(((R42+R43)/R42))</f>
        <v>0.6393538913362703</v>
      </c>
      <c r="T43" s="214">
        <v>58.41</v>
      </c>
      <c r="U43" s="222">
        <f>ABS(((T42+T43)/T42))</f>
        <v>1.512258064516129</v>
      </c>
      <c r="V43" s="213">
        <v>58.45</v>
      </c>
      <c r="W43" s="222">
        <f>ABS(((V42+V43)/V42))</f>
        <v>1.001027045532352</v>
      </c>
      <c r="X43" s="214">
        <v>65.5</v>
      </c>
      <c r="Y43" s="222">
        <f>ABS(((X42+X43)/X42))</f>
        <v>0.79599670962434887</v>
      </c>
      <c r="Z43" s="213">
        <v>78.09</v>
      </c>
      <c r="AA43" s="222">
        <f>ABS(((Z42+Z43)/Z42))</f>
        <v>0.56180000000000008</v>
      </c>
      <c r="AB43" s="213">
        <v>106.88</v>
      </c>
      <c r="AC43" s="222">
        <f>ABS(((AB42+AB43)/AB42))</f>
        <v>0.65500154846701764</v>
      </c>
      <c r="AD43" s="213">
        <v>96.04</v>
      </c>
      <c r="AE43" s="222">
        <f>ABS(((AD42+AD43)/AD42))</f>
        <v>0.80086255390961958</v>
      </c>
      <c r="AF43" s="213">
        <v>84.77</v>
      </c>
      <c r="AG43" s="222">
        <f>ABS(((AF42+AF43)/AF42))</f>
        <v>0.99037332707208237</v>
      </c>
      <c r="AH43" s="214">
        <v>72.31</v>
      </c>
      <c r="AI43" s="222">
        <f>ABS(((AH42+AH43)/AH42))</f>
        <v>1.1806393244873343</v>
      </c>
      <c r="AJ43" s="214">
        <v>63.75</v>
      </c>
      <c r="AK43" s="222">
        <f>ABS(((AJ42+AJ43)/AJ42))</f>
        <v>0.90128243364151495</v>
      </c>
      <c r="AL43" s="214">
        <v>56.21</v>
      </c>
      <c r="AM43" s="222">
        <f>ABS(((AL42+AL43)/AL42))</f>
        <v>0.73648439913500174</v>
      </c>
      <c r="AN43" s="214">
        <v>56.83</v>
      </c>
      <c r="AO43" s="222">
        <f>ABS(((AN42+AN43)/AN42))</f>
        <v>0.84813008130081291</v>
      </c>
      <c r="AP43" s="214">
        <v>67.569999999999993</v>
      </c>
      <c r="AQ43" s="222">
        <f>ABS(((AP42+AP43)/AP42))</f>
        <v>0.69987421383647785</v>
      </c>
      <c r="AR43" s="214">
        <v>65.61</v>
      </c>
      <c r="AS43" s="222">
        <f>ABS(((AR42+AR43)/AR42))</f>
        <v>3.05</v>
      </c>
      <c r="AT43" s="214">
        <v>70.78</v>
      </c>
      <c r="AU43" s="222">
        <f>AT44/AT43</f>
        <v>0.48587171517377792</v>
      </c>
      <c r="AV43" s="214">
        <v>111.59</v>
      </c>
      <c r="AW43" s="222">
        <f>AV44/AV43</f>
        <v>0.430146070436419</v>
      </c>
      <c r="AX43" s="214">
        <v>132.02000000000001</v>
      </c>
      <c r="AY43" s="224">
        <f>AX44/AX43</f>
        <v>0.41569459172852602</v>
      </c>
      <c r="AZ43" s="225"/>
      <c r="BA43" s="214">
        <v>124.4</v>
      </c>
      <c r="BB43" s="222">
        <f>BA44/BA43</f>
        <v>0.38022508038585218</v>
      </c>
      <c r="BC43" s="214">
        <v>106.45</v>
      </c>
      <c r="BD43" s="222">
        <f>BC44/BC43</f>
        <v>0.43100046970408645</v>
      </c>
      <c r="BE43" s="214">
        <v>99.52</v>
      </c>
      <c r="BF43" s="222">
        <f>BE44/BE43</f>
        <v>0.42815514469453375</v>
      </c>
      <c r="BG43" s="214">
        <v>84.97</v>
      </c>
      <c r="BH43" s="222">
        <f>BG44/BG43</f>
        <v>0.3511827703895492</v>
      </c>
      <c r="BI43" s="214">
        <v>72.23</v>
      </c>
      <c r="BJ43" s="222">
        <f>BI44/BI43</f>
        <v>0.57538418939498825</v>
      </c>
      <c r="BK43" s="214">
        <v>78.680000000000007</v>
      </c>
      <c r="BL43" s="222">
        <f>BK44/BK43</f>
        <v>0.58782409761057453</v>
      </c>
      <c r="BM43" s="214">
        <v>86.3</v>
      </c>
      <c r="BN43" s="222">
        <f>BM44/BM43</f>
        <v>0.40498261877172648</v>
      </c>
      <c r="BO43" s="214">
        <v>96.92</v>
      </c>
      <c r="BP43" s="222">
        <f>BO44/BO43</f>
        <v>0.4500619067271977</v>
      </c>
      <c r="BQ43" s="214">
        <v>90.41</v>
      </c>
      <c r="BR43" s="222">
        <f>BQ44/BQ43</f>
        <v>0.44453047229288795</v>
      </c>
      <c r="BS43" s="214">
        <v>113.13</v>
      </c>
      <c r="BT43" s="222">
        <f>BS44/BS43</f>
        <v>0.42287633695748245</v>
      </c>
      <c r="BU43" s="214">
        <v>120.19</v>
      </c>
      <c r="BV43" s="222">
        <f>BU44/BU43</f>
        <v>0.41417755220900243</v>
      </c>
      <c r="BW43" s="214">
        <v>95.02</v>
      </c>
      <c r="BX43" s="222">
        <f>BW44/BW43</f>
        <v>0.36771206061881706</v>
      </c>
      <c r="BY43" s="214">
        <v>64.89</v>
      </c>
      <c r="BZ43" s="222">
        <f>BY44/BY43</f>
        <v>0.43458159963014337</v>
      </c>
      <c r="CA43" s="214">
        <v>54.18</v>
      </c>
      <c r="CB43" s="222">
        <f>CA44/CA43</f>
        <v>0.51642672572905135</v>
      </c>
      <c r="CC43" s="214">
        <v>53.14</v>
      </c>
      <c r="CD43" s="222">
        <f>CC44/CC43</f>
        <v>0.52484004516371852</v>
      </c>
      <c r="CE43" s="214">
        <v>49.45</v>
      </c>
      <c r="CF43" s="222">
        <f>CE44/CE43</f>
        <v>0.50596562184024274</v>
      </c>
      <c r="CG43" s="214">
        <v>49.45</v>
      </c>
      <c r="CH43" s="222">
        <f>CG44/CG43</f>
        <v>0.41354903943377153</v>
      </c>
    </row>
    <row r="44" spans="1:87">
      <c r="C44" s="241" t="s">
        <v>9</v>
      </c>
      <c r="D44" s="214">
        <f>SUM(D42:D43)</f>
        <v>48.789999999999992</v>
      </c>
      <c r="F44" s="214">
        <f>SUM(F42:F43)</f>
        <v>32.700000000000003</v>
      </c>
      <c r="H44" s="214">
        <f>SUM(H42:H43)</f>
        <v>41.67</v>
      </c>
      <c r="J44" s="214">
        <f>SUM(J42:J43)</f>
        <v>38.230000000000004</v>
      </c>
      <c r="L44" s="214">
        <f>SUM(L42:L43)</f>
        <v>39.17</v>
      </c>
      <c r="N44" s="214">
        <f>SUM(N42:N43)</f>
        <v>41.120000000000005</v>
      </c>
      <c r="P44" s="214">
        <f>SUM(P42:P43)</f>
        <v>22.840000000000003</v>
      </c>
      <c r="R44" s="214">
        <f>R42+R43</f>
        <v>21.770000000000003</v>
      </c>
      <c r="S44" s="214"/>
      <c r="T44" s="214">
        <f>T42+T43</f>
        <v>35.159999999999997</v>
      </c>
      <c r="V44" s="214">
        <f>V42+V43</f>
        <v>29.240000000000002</v>
      </c>
      <c r="X44" s="214">
        <f>X42+X43</f>
        <v>29.03</v>
      </c>
      <c r="Z44" s="214">
        <f>Z42+Z43</f>
        <v>28.090000000000003</v>
      </c>
      <c r="AB44" s="242">
        <f>AB42+AB43</f>
        <v>42.3</v>
      </c>
      <c r="AD44" s="242">
        <f>AD42+AD43</f>
        <v>42.710000000000008</v>
      </c>
      <c r="AF44" s="242">
        <f>AF42+AF43</f>
        <v>42.179999999999993</v>
      </c>
      <c r="AH44" s="243">
        <f>AH42+AH43</f>
        <v>39.150000000000006</v>
      </c>
      <c r="AJ44" s="242">
        <f>AJ42+AJ43</f>
        <v>30.22</v>
      </c>
      <c r="AL44" s="243">
        <f>AL42+AL43</f>
        <v>23.840000000000003</v>
      </c>
      <c r="AN44" s="243">
        <f>AN42+AN43</f>
        <v>26.08</v>
      </c>
      <c r="AP44" s="214">
        <f>AP42+AP43</f>
        <v>27.819999999999993</v>
      </c>
      <c r="AR44" s="214">
        <f>AR42+AR43</f>
        <v>49.41</v>
      </c>
      <c r="AT44" s="214">
        <f>AT42+AT43</f>
        <v>34.39</v>
      </c>
      <c r="AV44" s="214">
        <f>AV42+AV43</f>
        <v>48</v>
      </c>
      <c r="AX44" s="214">
        <f>AX42+AX43</f>
        <v>54.88000000000001</v>
      </c>
      <c r="BA44" s="214">
        <f>BA42+BA43</f>
        <v>47.300000000000011</v>
      </c>
      <c r="BC44" s="214">
        <f>BC42+BC43</f>
        <v>45.88</v>
      </c>
      <c r="BE44" s="214">
        <f>BE42+BE43</f>
        <v>42.61</v>
      </c>
      <c r="BG44" s="214">
        <f>BG42+BG43</f>
        <v>29.839999999999996</v>
      </c>
      <c r="BI44" s="214">
        <f>BI42+BI43</f>
        <v>41.56</v>
      </c>
      <c r="BK44" s="214">
        <f>BK42+BK43</f>
        <v>46.250000000000007</v>
      </c>
      <c r="BM44" s="214">
        <f>BM42+BM43</f>
        <v>34.949999999999996</v>
      </c>
      <c r="BO44" s="214">
        <f>BO42+BO43</f>
        <v>43.620000000000005</v>
      </c>
      <c r="BQ44" s="214">
        <f>BQ42+BQ43</f>
        <v>40.19</v>
      </c>
      <c r="BS44" s="214">
        <f>BS42+BS43</f>
        <v>47.839999999999989</v>
      </c>
      <c r="BU44" s="214">
        <f>BU42+BU43</f>
        <v>49.78</v>
      </c>
      <c r="BW44" s="214">
        <f>BW42+BW43</f>
        <v>34.94</v>
      </c>
      <c r="BY44" s="214">
        <f>BY42+BY43</f>
        <v>28.200000000000003</v>
      </c>
      <c r="CA44" s="214">
        <f>CA42+CA43</f>
        <v>27.98</v>
      </c>
      <c r="CC44" s="214">
        <f>CC42+CC43</f>
        <v>27.89</v>
      </c>
      <c r="CE44" s="214">
        <f>CE42+CE43</f>
        <v>25.020000000000003</v>
      </c>
      <c r="CG44" s="214">
        <f>CG42+CG43</f>
        <v>20.450000000000003</v>
      </c>
    </row>
    <row r="45" spans="1:87">
      <c r="A45" s="231">
        <v>14</v>
      </c>
      <c r="B45" s="232">
        <v>118412139</v>
      </c>
      <c r="C45" s="233" t="s">
        <v>358</v>
      </c>
      <c r="J45" s="214"/>
      <c r="AP45" s="214"/>
      <c r="AT45" s="214"/>
    </row>
    <row r="46" spans="1:87">
      <c r="C46" s="234" t="s">
        <v>24</v>
      </c>
      <c r="D46" s="235">
        <v>44927</v>
      </c>
      <c r="E46" s="235"/>
      <c r="F46" s="235">
        <v>44958</v>
      </c>
      <c r="G46" s="235"/>
      <c r="H46" s="235">
        <v>44986</v>
      </c>
      <c r="I46" s="235"/>
      <c r="J46" s="235">
        <v>45017</v>
      </c>
      <c r="K46" s="235"/>
      <c r="L46" s="246">
        <v>45047</v>
      </c>
      <c r="M46" s="235"/>
      <c r="N46" s="235">
        <v>45078</v>
      </c>
      <c r="O46" s="235"/>
      <c r="P46" s="235">
        <v>45108</v>
      </c>
      <c r="Q46" s="235"/>
      <c r="R46" s="235">
        <v>45139</v>
      </c>
      <c r="S46" s="235"/>
      <c r="T46" s="235">
        <v>45170</v>
      </c>
      <c r="U46" s="235"/>
      <c r="V46" s="235">
        <v>45200</v>
      </c>
      <c r="W46" s="235"/>
      <c r="X46" s="235">
        <v>45231</v>
      </c>
      <c r="Y46" s="235"/>
      <c r="Z46" s="235">
        <v>45261</v>
      </c>
      <c r="AA46" s="235"/>
      <c r="AB46" s="235">
        <v>45292</v>
      </c>
      <c r="AC46" s="235"/>
      <c r="AD46" s="235">
        <v>45323</v>
      </c>
      <c r="AE46" s="235"/>
      <c r="AF46" s="235">
        <v>45352</v>
      </c>
      <c r="AH46" s="235">
        <v>45383</v>
      </c>
      <c r="AJ46" s="235">
        <v>45413</v>
      </c>
      <c r="AL46" s="235">
        <v>45444</v>
      </c>
      <c r="AN46" s="235">
        <v>45474</v>
      </c>
      <c r="AP46" s="235">
        <v>45505</v>
      </c>
      <c r="AR46" s="236">
        <v>45536</v>
      </c>
      <c r="AT46" s="236">
        <v>45566</v>
      </c>
      <c r="AV46" s="235">
        <v>45597</v>
      </c>
      <c r="AX46" s="235">
        <v>45627</v>
      </c>
      <c r="BA46" s="235">
        <v>45658</v>
      </c>
      <c r="BC46" s="235">
        <v>45689</v>
      </c>
      <c r="BE46" s="235">
        <v>45717</v>
      </c>
      <c r="BG46" s="235">
        <v>45748</v>
      </c>
      <c r="BI46" s="235">
        <v>45778</v>
      </c>
      <c r="BK46" s="235">
        <v>45809</v>
      </c>
      <c r="BM46" s="235">
        <v>45839</v>
      </c>
      <c r="BO46" s="235">
        <v>45870</v>
      </c>
      <c r="BQ46" s="235">
        <v>45901</v>
      </c>
      <c r="BS46" s="235">
        <v>45931</v>
      </c>
      <c r="BU46" s="235">
        <v>45962</v>
      </c>
      <c r="BW46" s="235">
        <v>45992</v>
      </c>
      <c r="BY46" s="235">
        <v>46023</v>
      </c>
      <c r="CA46" s="235">
        <v>46054</v>
      </c>
      <c r="CC46" s="235">
        <v>46082</v>
      </c>
      <c r="CE46" s="235">
        <v>46113</v>
      </c>
      <c r="CG46" s="235">
        <v>46143</v>
      </c>
      <c r="CI46" s="341">
        <v>46174</v>
      </c>
    </row>
    <row r="47" spans="1:87">
      <c r="C47" s="213" t="s">
        <v>7</v>
      </c>
      <c r="D47" s="214">
        <v>-29.87</v>
      </c>
      <c r="F47" s="214">
        <v>-28.24</v>
      </c>
      <c r="H47" s="237">
        <v>-11.2</v>
      </c>
      <c r="J47" s="237">
        <v>-11.06</v>
      </c>
      <c r="L47" s="237">
        <v>-11.1</v>
      </c>
      <c r="N47" s="237">
        <v>-10.92</v>
      </c>
      <c r="P47" s="237">
        <v>-39.65</v>
      </c>
      <c r="R47" s="237">
        <v>-33.85</v>
      </c>
      <c r="T47" s="237">
        <v>-56.9</v>
      </c>
      <c r="V47" s="238">
        <v>-129.06</v>
      </c>
      <c r="X47" s="237">
        <v>-23.92</v>
      </c>
      <c r="Z47" s="238">
        <v>-26.38</v>
      </c>
      <c r="AB47" s="238">
        <v>-25.07</v>
      </c>
      <c r="AD47" s="237">
        <v>-23.39</v>
      </c>
      <c r="AF47" s="237">
        <v>-27.81</v>
      </c>
      <c r="AH47" s="237">
        <f>-12.49-0</f>
        <v>-12.49</v>
      </c>
      <c r="AJ47" s="237">
        <v>-38.880000000000003</v>
      </c>
      <c r="AL47" s="237">
        <v>-38.19</v>
      </c>
      <c r="AN47" s="237">
        <v>-36.15</v>
      </c>
      <c r="AP47" s="237">
        <v>-36.69</v>
      </c>
      <c r="AR47" s="237">
        <f>-6.51-28.82</f>
        <v>-35.33</v>
      </c>
      <c r="AT47" s="237">
        <v>-59.65</v>
      </c>
      <c r="AV47" s="237">
        <v>-43.07</v>
      </c>
      <c r="AX47" s="237">
        <v>-31.76</v>
      </c>
      <c r="BA47" s="237">
        <v>-32.880000000000003</v>
      </c>
      <c r="BC47" s="237">
        <v>-29.69</v>
      </c>
      <c r="BE47" s="237">
        <v>-59.48</v>
      </c>
      <c r="BG47" s="237">
        <v>-31.81</v>
      </c>
      <c r="BI47" s="237">
        <v>-44.98</v>
      </c>
      <c r="BK47" s="237">
        <v>-43.91</v>
      </c>
      <c r="BM47" s="237">
        <v>-41.58</v>
      </c>
      <c r="BO47" s="237">
        <v>-71.33</v>
      </c>
      <c r="BQ47" s="237">
        <v>-40.04</v>
      </c>
      <c r="BS47" s="237">
        <v>-47.66</v>
      </c>
      <c r="BU47" s="237">
        <v>-69.989999999999995</v>
      </c>
      <c r="BW47" s="237">
        <v>-154.41999999999999</v>
      </c>
      <c r="BY47" s="237">
        <v>-195.06</v>
      </c>
      <c r="CA47" s="237">
        <v>-100.05</v>
      </c>
      <c r="CC47" s="237">
        <v>-87.78</v>
      </c>
      <c r="CE47" s="237">
        <v>-34.53</v>
      </c>
      <c r="CG47" s="237">
        <v>-35.590000000000003</v>
      </c>
    </row>
    <row r="48" spans="1:87">
      <c r="C48" s="213" t="s">
        <v>8</v>
      </c>
      <c r="D48" s="214">
        <v>67.680000000000007</v>
      </c>
      <c r="E48" s="222">
        <f>ABS(((D47+D48)/D47))</f>
        <v>1.265818547037161</v>
      </c>
      <c r="F48" s="214">
        <v>54.12</v>
      </c>
      <c r="G48" s="222">
        <f>ABS(((F47+F48)/F47))</f>
        <v>0.91643059490084988</v>
      </c>
      <c r="H48" s="214">
        <v>57.28</v>
      </c>
      <c r="I48" s="222">
        <f>ABS(((H47+H48)/H47))</f>
        <v>4.1142857142857148</v>
      </c>
      <c r="J48" s="214">
        <v>26.54</v>
      </c>
      <c r="K48" s="222">
        <f>ABS(((J47+J48)/J47))</f>
        <v>1.3996383363471969</v>
      </c>
      <c r="L48" s="214">
        <v>25.72</v>
      </c>
      <c r="M48" s="222">
        <f>ABS(((L47+L48)/L47))</f>
        <v>1.317117117117117</v>
      </c>
      <c r="N48" s="214">
        <v>54.55</v>
      </c>
      <c r="O48" s="222">
        <f>ABS(((N47+N48)/N47))</f>
        <v>3.995421245421245</v>
      </c>
      <c r="P48" s="214">
        <v>97.65</v>
      </c>
      <c r="Q48" s="222">
        <f>ABS(((P47+P48)/P47))</f>
        <v>1.462799495586381</v>
      </c>
      <c r="R48" s="214">
        <v>70.58</v>
      </c>
      <c r="S48" s="222">
        <f>ABS(((R47+R48)/R47))</f>
        <v>1.0850812407680943</v>
      </c>
      <c r="T48" s="214">
        <v>114.73</v>
      </c>
      <c r="U48" s="222">
        <f>ABS(((T47+T48)/T47))</f>
        <v>1.0163444639718806</v>
      </c>
      <c r="V48" s="213">
        <v>201.65</v>
      </c>
      <c r="W48" s="222">
        <f>ABS(((V47+V48)/V47))</f>
        <v>0.56245157291182402</v>
      </c>
      <c r="X48" s="214">
        <v>44.08</v>
      </c>
      <c r="Y48" s="222">
        <f>ABS(((X47+X48)/X47))</f>
        <v>0.84280936454849475</v>
      </c>
      <c r="Z48" s="213">
        <v>41.61</v>
      </c>
      <c r="AA48" s="222">
        <f>ABS(((Z47+Z48)/Z47))</f>
        <v>0.57733131159969675</v>
      </c>
      <c r="AB48" s="213">
        <v>53.02</v>
      </c>
      <c r="AC48" s="222">
        <f>ABS(((AB47+AB48)/AB47))</f>
        <v>1.1148783406461908</v>
      </c>
      <c r="AD48" s="213">
        <v>45.27</v>
      </c>
      <c r="AE48" s="222">
        <f>ABS(((AD47+AD48)/AD47))</f>
        <v>0.93544249679350155</v>
      </c>
      <c r="AF48" s="213">
        <v>24.43</v>
      </c>
      <c r="AG48" s="222">
        <f>ABS(((AF47+AF48)/AF47))</f>
        <v>0.1215390147428982</v>
      </c>
      <c r="AH48" s="214">
        <v>69.34</v>
      </c>
      <c r="AI48" s="222">
        <f>ABS(((AH47+AH48)/AH47))</f>
        <v>4.5516413130504407</v>
      </c>
      <c r="AJ48" s="214">
        <v>10.41</v>
      </c>
      <c r="AK48" s="222">
        <f>ABS(((AJ47+AJ48)/AJ47))</f>
        <v>0.73225308641975306</v>
      </c>
      <c r="AL48" s="214">
        <v>7.29</v>
      </c>
      <c r="AM48" s="222">
        <f>ABS(((AL47+AL48)/AL47))</f>
        <v>0.80911233307148467</v>
      </c>
      <c r="AN48" s="214">
        <v>61.05</v>
      </c>
      <c r="AO48" s="222">
        <f>ABS(((AN47+AN48)/AN47))</f>
        <v>0.68879668049792531</v>
      </c>
      <c r="AP48" s="214">
        <v>90.87</v>
      </c>
      <c r="AQ48" s="222">
        <f>ABS(((AP47+AP48)/AP47))</f>
        <v>1.4766966475878989</v>
      </c>
      <c r="AR48" s="214">
        <v>27.6</v>
      </c>
      <c r="AS48" s="222">
        <f>ABS(((AR47+AR48)/AR47))</f>
        <v>0.21879422587036504</v>
      </c>
      <c r="AT48" s="214">
        <v>137.30000000000001</v>
      </c>
      <c r="AU48" s="222">
        <f>AT49/AT48</f>
        <v>0.56554989075018203</v>
      </c>
      <c r="AV48" s="214">
        <v>97.33</v>
      </c>
      <c r="AW48" s="222">
        <f>AV49/AV48</f>
        <v>0.55748484537141685</v>
      </c>
      <c r="AX48" s="214">
        <v>69.12</v>
      </c>
      <c r="AY48" s="224">
        <f>AX49/AX48</f>
        <v>0.54050925925925919</v>
      </c>
      <c r="AZ48" s="225"/>
      <c r="BA48" s="214">
        <v>101.3</v>
      </c>
      <c r="BB48" s="222">
        <f>BA49/BA48</f>
        <v>0.67541954590325759</v>
      </c>
      <c r="BC48" s="214">
        <v>53.47</v>
      </c>
      <c r="BD48" s="222">
        <f>BC49/BC48</f>
        <v>0.44473536562558441</v>
      </c>
      <c r="BE48" s="214">
        <v>95.54</v>
      </c>
      <c r="BF48" s="222">
        <f>BE49/BE48</f>
        <v>0.37743353569185689</v>
      </c>
      <c r="BG48" s="214">
        <v>53.49</v>
      </c>
      <c r="BH48" s="222">
        <f>BG49/BG48</f>
        <v>0.4053094036268462</v>
      </c>
      <c r="BI48" s="214">
        <v>53.72</v>
      </c>
      <c r="BJ48" s="222">
        <f>BI49/BI48</f>
        <v>0.16269545793000748</v>
      </c>
      <c r="BK48" s="214">
        <v>60.09</v>
      </c>
      <c r="BL48" s="222">
        <f>BK49/BK48</f>
        <v>0.26926277250790492</v>
      </c>
      <c r="BM48" s="214">
        <v>81.66</v>
      </c>
      <c r="BN48" s="222">
        <f>BM49/BM48</f>
        <v>0.49081557678177812</v>
      </c>
      <c r="BO48" s="214">
        <v>120.76</v>
      </c>
      <c r="BP48" s="222">
        <f>BO49/BO48</f>
        <v>0.40932427956276918</v>
      </c>
      <c r="BQ48" s="214">
        <v>81.96</v>
      </c>
      <c r="BR48" s="222">
        <f>BQ49/BQ48</f>
        <v>0.51146900927281602</v>
      </c>
      <c r="BS48" s="214">
        <v>89.85</v>
      </c>
      <c r="BT48" s="222">
        <f>BS49/BS48</f>
        <v>0.46956037840845855</v>
      </c>
      <c r="BU48" s="214">
        <v>117.87</v>
      </c>
      <c r="BV48" s="222">
        <f>BU49/BU48</f>
        <v>0.40621023161109704</v>
      </c>
      <c r="BW48" s="214">
        <v>223.11</v>
      </c>
      <c r="BX48" s="222">
        <f>BW49/BW48</f>
        <v>0.30787503921832288</v>
      </c>
      <c r="BY48" s="214">
        <v>272.41000000000003</v>
      </c>
      <c r="BZ48" s="222">
        <f>BY49/BY48</f>
        <v>0.28394699166697263</v>
      </c>
      <c r="CA48" s="214">
        <v>156.55000000000001</v>
      </c>
      <c r="CB48" s="222">
        <f>CA49/CA48</f>
        <v>0.36090705844778032</v>
      </c>
      <c r="CC48" s="214">
        <v>155.33000000000001</v>
      </c>
      <c r="CD48" s="222">
        <f>CC49/CC48</f>
        <v>0.43488057683641285</v>
      </c>
      <c r="CE48" s="214">
        <v>82.01</v>
      </c>
      <c r="CF48" s="222">
        <f>CE49/CE48</f>
        <v>0.57895378612364345</v>
      </c>
      <c r="CG48" s="214">
        <v>75.680000000000007</v>
      </c>
      <c r="CH48" s="222">
        <f>CG49/CG48</f>
        <v>0.52973044397462998</v>
      </c>
    </row>
    <row r="49" spans="1:87">
      <c r="C49" s="241" t="s">
        <v>9</v>
      </c>
      <c r="D49" s="214">
        <f>SUM(D47:D48)</f>
        <v>37.81</v>
      </c>
      <c r="F49" s="214">
        <f>SUM(F47:F48)</f>
        <v>25.88</v>
      </c>
      <c r="H49" s="214">
        <f>SUM(H47:H48)</f>
        <v>46.08</v>
      </c>
      <c r="J49" s="214">
        <f>SUM(J47:J48)</f>
        <v>15.479999999999999</v>
      </c>
      <c r="L49" s="214">
        <f>SUM(L47:L48)</f>
        <v>14.62</v>
      </c>
      <c r="N49" s="214">
        <f>SUM(N47:N48)</f>
        <v>43.629999999999995</v>
      </c>
      <c r="P49" s="214">
        <f>SUM(P47:P48)</f>
        <v>58.000000000000007</v>
      </c>
      <c r="R49" s="214">
        <f>R47+R48</f>
        <v>36.729999999999997</v>
      </c>
      <c r="S49" s="214"/>
      <c r="T49" s="214">
        <f>T47+T48</f>
        <v>57.830000000000005</v>
      </c>
      <c r="V49" s="214">
        <f>V47+V48</f>
        <v>72.59</v>
      </c>
      <c r="X49" s="214">
        <f>X47+X48</f>
        <v>20.159999999999997</v>
      </c>
      <c r="Z49" s="214">
        <f>Z47+Z48</f>
        <v>15.23</v>
      </c>
      <c r="AB49" s="242">
        <f>AB47+AB48</f>
        <v>27.950000000000003</v>
      </c>
      <c r="AD49" s="242">
        <f>AD47+AD48</f>
        <v>21.880000000000003</v>
      </c>
      <c r="AF49" s="242">
        <f>AF47+AF48</f>
        <v>-3.379999999999999</v>
      </c>
      <c r="AH49" s="243">
        <f>AH47+AH48</f>
        <v>56.85</v>
      </c>
      <c r="AJ49" s="242">
        <f>AJ47+AJ48</f>
        <v>-28.470000000000002</v>
      </c>
      <c r="AL49" s="243">
        <f>AL47+AL48</f>
        <v>-30.9</v>
      </c>
      <c r="AN49" s="243">
        <f>AN47+AN48</f>
        <v>24.9</v>
      </c>
      <c r="AP49" s="214">
        <f>AP47+AP48</f>
        <v>54.180000000000007</v>
      </c>
      <c r="AR49" s="214">
        <f>AR47+AR48</f>
        <v>-7.7299999999999969</v>
      </c>
      <c r="AT49" s="214">
        <f>AT47+AT48</f>
        <v>77.650000000000006</v>
      </c>
      <c r="AV49" s="214">
        <f>AV47+AV48</f>
        <v>54.26</v>
      </c>
      <c r="AX49" s="214">
        <f>AX47+AX48</f>
        <v>37.36</v>
      </c>
      <c r="BA49" s="214">
        <f>BA47+BA48</f>
        <v>68.419999999999987</v>
      </c>
      <c r="BC49" s="214">
        <f>BC47+BC48</f>
        <v>23.779999999999998</v>
      </c>
      <c r="BE49" s="214">
        <f>BE47+BE48</f>
        <v>36.060000000000009</v>
      </c>
      <c r="BG49" s="214">
        <f>BG47+BG48</f>
        <v>21.680000000000003</v>
      </c>
      <c r="BI49" s="214">
        <f>BI47+BI48</f>
        <v>8.740000000000002</v>
      </c>
      <c r="BK49" s="214">
        <f>BK47+BK48</f>
        <v>16.180000000000007</v>
      </c>
      <c r="BM49" s="214">
        <f>BM47+BM48</f>
        <v>40.08</v>
      </c>
      <c r="BO49" s="214">
        <f>BO47+BO48</f>
        <v>49.430000000000007</v>
      </c>
      <c r="BQ49" s="214">
        <f>BQ47+BQ48</f>
        <v>41.919999999999995</v>
      </c>
      <c r="BS49" s="214">
        <f>BS47+BS48</f>
        <v>42.19</v>
      </c>
      <c r="BU49" s="214">
        <f>BU47+BU48</f>
        <v>47.88000000000001</v>
      </c>
      <c r="BW49" s="214">
        <f>BW47+BW48</f>
        <v>68.690000000000026</v>
      </c>
      <c r="BY49" s="214">
        <f>BY47+BY48</f>
        <v>77.350000000000023</v>
      </c>
      <c r="CA49" s="214">
        <f>CA47+CA48</f>
        <v>56.500000000000014</v>
      </c>
      <c r="CC49" s="214">
        <f>CC47+CC48</f>
        <v>67.550000000000011</v>
      </c>
      <c r="CE49" s="214">
        <f>CE47+CE48</f>
        <v>47.480000000000004</v>
      </c>
      <c r="CG49" s="214">
        <f>CG47+CG48</f>
        <v>40.090000000000003</v>
      </c>
    </row>
    <row r="50" spans="1:87">
      <c r="A50" s="231">
        <v>15</v>
      </c>
      <c r="B50" s="232">
        <v>606735975</v>
      </c>
      <c r="C50" s="233" t="s">
        <v>25</v>
      </c>
      <c r="AP50" s="214"/>
      <c r="AT50" s="214"/>
    </row>
    <row r="51" spans="1:87">
      <c r="C51" s="234" t="s">
        <v>26</v>
      </c>
      <c r="D51" s="235">
        <v>44927</v>
      </c>
      <c r="E51" s="235"/>
      <c r="F51" s="235">
        <v>44958</v>
      </c>
      <c r="G51" s="235"/>
      <c r="H51" s="235">
        <v>44986</v>
      </c>
      <c r="I51" s="235"/>
      <c r="J51" s="235">
        <v>45017</v>
      </c>
      <c r="K51" s="235"/>
      <c r="L51" s="246">
        <v>45047</v>
      </c>
      <c r="M51" s="235"/>
      <c r="N51" s="235">
        <v>45078</v>
      </c>
      <c r="O51" s="235"/>
      <c r="P51" s="235">
        <v>45108</v>
      </c>
      <c r="Q51" s="235"/>
      <c r="R51" s="235">
        <v>45139</v>
      </c>
      <c r="S51" s="235"/>
      <c r="T51" s="235">
        <v>45170</v>
      </c>
      <c r="U51" s="235"/>
      <c r="V51" s="235">
        <v>45200</v>
      </c>
      <c r="W51" s="235"/>
      <c r="X51" s="235">
        <v>45231</v>
      </c>
      <c r="Y51" s="235"/>
      <c r="Z51" s="235">
        <v>45261</v>
      </c>
      <c r="AA51" s="235"/>
      <c r="AB51" s="235">
        <v>45292</v>
      </c>
      <c r="AC51" s="235"/>
      <c r="AD51" s="235">
        <v>45323</v>
      </c>
      <c r="AE51" s="235"/>
      <c r="AF51" s="235">
        <v>45352</v>
      </c>
      <c r="AH51" s="235">
        <v>45383</v>
      </c>
      <c r="AJ51" s="235">
        <v>45413</v>
      </c>
      <c r="AL51" s="235">
        <v>45444</v>
      </c>
      <c r="AN51" s="235">
        <v>45474</v>
      </c>
      <c r="AP51" s="235">
        <v>45505</v>
      </c>
      <c r="AR51" s="236">
        <v>45536</v>
      </c>
      <c r="AT51" s="236">
        <v>45566</v>
      </c>
      <c r="AV51" s="235">
        <v>45597</v>
      </c>
      <c r="AX51" s="235">
        <v>45627</v>
      </c>
      <c r="BA51" s="235">
        <v>45658</v>
      </c>
      <c r="BC51" s="235">
        <v>45689</v>
      </c>
      <c r="BE51" s="235">
        <v>45717</v>
      </c>
      <c r="BG51" s="235">
        <v>45748</v>
      </c>
      <c r="BI51" s="235">
        <v>45778</v>
      </c>
      <c r="BK51" s="235">
        <v>45809</v>
      </c>
      <c r="BM51" s="235">
        <v>45839</v>
      </c>
      <c r="BO51" s="235">
        <v>45870</v>
      </c>
      <c r="BQ51" s="235">
        <v>45901</v>
      </c>
      <c r="BS51" s="235">
        <v>45931</v>
      </c>
      <c r="BU51" s="235">
        <v>45962</v>
      </c>
      <c r="BW51" s="235">
        <v>45992</v>
      </c>
      <c r="BY51" s="235">
        <v>46023</v>
      </c>
      <c r="CA51" s="235">
        <v>46054</v>
      </c>
      <c r="CC51" s="235">
        <v>46082</v>
      </c>
      <c r="CE51" s="235">
        <v>46113</v>
      </c>
      <c r="CG51" s="235">
        <v>46143</v>
      </c>
      <c r="CI51" s="341">
        <v>46174</v>
      </c>
    </row>
    <row r="52" spans="1:87">
      <c r="C52" s="213" t="s">
        <v>7</v>
      </c>
      <c r="D52" s="214">
        <v>-85.52</v>
      </c>
      <c r="F52" s="214">
        <v>-67.62</v>
      </c>
      <c r="H52" s="237">
        <v>-39.159999999999997</v>
      </c>
      <c r="J52" s="238">
        <v>-57.48</v>
      </c>
      <c r="L52" s="237">
        <v>-65.099999999999994</v>
      </c>
      <c r="N52" s="237">
        <f>-59-13.01</f>
        <v>-72.010000000000005</v>
      </c>
      <c r="P52" s="237">
        <v>-90.58</v>
      </c>
      <c r="R52" s="237">
        <v>-69.02</v>
      </c>
      <c r="T52" s="237">
        <v>-53.8</v>
      </c>
      <c r="V52" s="237">
        <v>-62.76</v>
      </c>
      <c r="X52" s="237">
        <v>-75.569999999999993</v>
      </c>
      <c r="Z52" s="238">
        <v>-139</v>
      </c>
      <c r="AB52" s="238">
        <v>-118.99</v>
      </c>
      <c r="AD52" s="237">
        <v>-108.89</v>
      </c>
      <c r="AF52" s="237">
        <v>-86.64</v>
      </c>
      <c r="AH52" s="237">
        <f>-24.5-60.79</f>
        <v>-85.289999999999992</v>
      </c>
      <c r="AJ52" s="237">
        <v>-61.43</v>
      </c>
      <c r="AL52" s="237">
        <v>-81.78</v>
      </c>
      <c r="AN52" s="237">
        <v>-72.88</v>
      </c>
      <c r="AP52" s="237">
        <v>-91.1</v>
      </c>
      <c r="AR52" s="237">
        <f>-27.32-83.42</f>
        <v>-110.74000000000001</v>
      </c>
      <c r="AT52" s="237">
        <v>-91.52</v>
      </c>
      <c r="AV52" s="237">
        <v>-82.84</v>
      </c>
      <c r="AX52" s="237">
        <v>-97.25</v>
      </c>
      <c r="BA52" s="237">
        <v>-93.35</v>
      </c>
      <c r="BC52" s="237">
        <v>-76.5</v>
      </c>
      <c r="BE52" s="237">
        <v>-97.93</v>
      </c>
      <c r="BG52" s="237">
        <v>-90.56</v>
      </c>
      <c r="BI52" s="237">
        <v>-100.33</v>
      </c>
      <c r="BK52" s="237">
        <v>-103.91</v>
      </c>
      <c r="BM52" s="237">
        <v>-147.37</v>
      </c>
      <c r="BO52" s="237">
        <v>-102.9</v>
      </c>
      <c r="BQ52" s="237">
        <v>-103.42</v>
      </c>
      <c r="BS52" s="237">
        <v>-92.61</v>
      </c>
      <c r="BU52" s="237">
        <v>-90.23</v>
      </c>
      <c r="BW52" s="237">
        <v>-114.97</v>
      </c>
      <c r="BY52" s="237">
        <v>-113.92</v>
      </c>
      <c r="CA52" s="237">
        <v>-74.05</v>
      </c>
      <c r="CC52" s="237">
        <v>-78.39</v>
      </c>
      <c r="CE52" s="237">
        <v>-55.59</v>
      </c>
      <c r="CG52" s="237">
        <v>-74.89</v>
      </c>
    </row>
    <row r="53" spans="1:87">
      <c r="C53" s="213" t="s">
        <v>8</v>
      </c>
      <c r="D53" s="214">
        <v>145.66999999999999</v>
      </c>
      <c r="E53" s="222">
        <f>ABS(((D52+D53)/D52))</f>
        <v>0.70334424695977538</v>
      </c>
      <c r="F53" s="214">
        <v>100.13</v>
      </c>
      <c r="G53" s="222">
        <f>ABS(((F52+F53)/F52))</f>
        <v>0.48077491866311728</v>
      </c>
      <c r="H53" s="214">
        <v>83.96</v>
      </c>
      <c r="I53" s="222">
        <f>ABS(((H52+H53)/H52))</f>
        <v>1.1440245148110317</v>
      </c>
      <c r="J53" s="213">
        <v>110.45</v>
      </c>
      <c r="K53" s="222">
        <f>ABS(((J52+J53)/J52))</f>
        <v>0.92153792623521236</v>
      </c>
      <c r="L53" s="214">
        <v>120.04</v>
      </c>
      <c r="M53" s="222">
        <f>ABS(((L52+L53)/L52))</f>
        <v>0.8439324116743474</v>
      </c>
      <c r="N53" s="214">
        <v>149.63</v>
      </c>
      <c r="O53" s="222">
        <f>ABS(((N52+N53)/N52))</f>
        <v>1.0779058464102207</v>
      </c>
      <c r="P53" s="214">
        <v>134.19</v>
      </c>
      <c r="Q53" s="222">
        <f>ABS(((P52+P53)/P52))</f>
        <v>0.48145285935085008</v>
      </c>
      <c r="R53" s="214">
        <v>97.18</v>
      </c>
      <c r="S53" s="222">
        <f>ABS(((R52+R53)/R52))</f>
        <v>0.40799768183135343</v>
      </c>
      <c r="T53" s="214">
        <v>113.48</v>
      </c>
      <c r="U53" s="222">
        <f>ABS(((T52+T53)/T52))</f>
        <v>1.1092936802973981</v>
      </c>
      <c r="V53" s="214">
        <v>114.6</v>
      </c>
      <c r="W53" s="222">
        <f>ABS(((V52+V53)/V52))</f>
        <v>0.82600382409177819</v>
      </c>
      <c r="X53" s="214">
        <v>130.37</v>
      </c>
      <c r="Y53" s="222">
        <f>ABS(((X52+X53)/X52))</f>
        <v>0.72515548498081273</v>
      </c>
      <c r="Z53" s="213">
        <v>210.03</v>
      </c>
      <c r="AA53" s="222">
        <f>ABS(((Z52+Z53)/Z52))</f>
        <v>0.51100719424460428</v>
      </c>
      <c r="AB53" s="213">
        <v>192.45</v>
      </c>
      <c r="AC53" s="222">
        <f>ABS(((AB52+AB53)/AB52))</f>
        <v>0.61736280359694085</v>
      </c>
      <c r="AD53" s="213">
        <v>183.17</v>
      </c>
      <c r="AE53" s="222">
        <f>ABS(((AD52+AD53)/AD52))</f>
        <v>0.68215630452750475</v>
      </c>
      <c r="AF53" s="213">
        <v>154.69999999999999</v>
      </c>
      <c r="AG53" s="222">
        <f>ABS(((AF52+AF53)/AF52))</f>
        <v>0.78554939981532768</v>
      </c>
      <c r="AH53" s="214">
        <v>163.47</v>
      </c>
      <c r="AI53" s="222">
        <f>ABS(((AH52+AH53)/AH52))</f>
        <v>0.91663735490678877</v>
      </c>
      <c r="AJ53" s="214">
        <v>119.96</v>
      </c>
      <c r="AK53" s="222">
        <f>ABS(((AJ52+AJ53)/AJ52))</f>
        <v>0.95279179553963855</v>
      </c>
      <c r="AL53" s="214">
        <v>149.88999999999999</v>
      </c>
      <c r="AM53" s="222">
        <f>ABS(((AL52+AL53)/AL52))</f>
        <v>0.83284421618977722</v>
      </c>
      <c r="AN53" s="214">
        <v>131.82</v>
      </c>
      <c r="AO53" s="222">
        <f>ABS(((AN52+AN53)/AN52))</f>
        <v>0.80872667398463227</v>
      </c>
      <c r="AP53" s="214">
        <v>163.51</v>
      </c>
      <c r="AQ53" s="222">
        <f>ABS(((AP52+AP53)/AP52))</f>
        <v>0.79484083424807905</v>
      </c>
      <c r="AR53" s="214">
        <v>194.86</v>
      </c>
      <c r="AS53" s="222">
        <f>ABS(((AR52+AR53)/AR52))</f>
        <v>0.7596171211847571</v>
      </c>
      <c r="AT53" s="214">
        <v>165.15</v>
      </c>
      <c r="AU53" s="222">
        <f>AT54/AT53</f>
        <v>0.44583711777172275</v>
      </c>
      <c r="AV53" s="214">
        <v>146.04</v>
      </c>
      <c r="AW53" s="222">
        <f>AV54/AV53</f>
        <v>0.43275814845247873</v>
      </c>
      <c r="AX53" s="214">
        <v>168.82</v>
      </c>
      <c r="AY53" s="224">
        <f>AX54/AX53</f>
        <v>0.42394266082217746</v>
      </c>
      <c r="AZ53" s="225"/>
      <c r="BA53" s="214">
        <v>161.33000000000001</v>
      </c>
      <c r="BB53" s="222">
        <f>BA54/BA53</f>
        <v>0.42137234240376875</v>
      </c>
      <c r="BC53" s="214">
        <v>107.73</v>
      </c>
      <c r="BD53" s="222">
        <f>BC54/BC53</f>
        <v>0.28989139515455309</v>
      </c>
      <c r="BE53" s="214">
        <v>131.97999999999999</v>
      </c>
      <c r="BF53" s="222">
        <f>BE54/BE53</f>
        <v>0.25799363539930281</v>
      </c>
      <c r="BG53" s="214">
        <v>124.78</v>
      </c>
      <c r="BH53" s="222">
        <f>BG54/BG53</f>
        <v>0.27424266709408557</v>
      </c>
      <c r="BI53" s="214">
        <v>121.7</v>
      </c>
      <c r="BJ53" s="222">
        <f>BI54/BI53</f>
        <v>0.17559572719802796</v>
      </c>
      <c r="BK53" s="214">
        <v>143.33000000000001</v>
      </c>
      <c r="BL53" s="222">
        <f>BK54/BK53</f>
        <v>0.27502965185236877</v>
      </c>
      <c r="BM53" s="214">
        <v>189.11</v>
      </c>
      <c r="BN53" s="222">
        <f>BM54/BM53</f>
        <v>0.22071810057638414</v>
      </c>
      <c r="BO53" s="214">
        <v>136.31</v>
      </c>
      <c r="BP53" s="222">
        <f>BO54/BO53</f>
        <v>0.24510307387572441</v>
      </c>
      <c r="BQ53" s="214">
        <v>134.05000000000001</v>
      </c>
      <c r="BR53" s="222">
        <f>BQ54/BQ53</f>
        <v>0.22849682954121603</v>
      </c>
      <c r="BS53" s="214">
        <v>128.97999999999999</v>
      </c>
      <c r="BT53" s="222">
        <f>BS54/BS53</f>
        <v>0.28198170258954869</v>
      </c>
      <c r="BU53" s="214">
        <v>125.6</v>
      </c>
      <c r="BV53" s="222">
        <f>BU54/BU53</f>
        <v>0.28160828025477702</v>
      </c>
      <c r="BW53" s="214">
        <v>155.96</v>
      </c>
      <c r="BX53" s="222">
        <f>BW54/BW53</f>
        <v>0.26282380097460895</v>
      </c>
      <c r="BY53" s="214">
        <v>152.5</v>
      </c>
      <c r="BZ53" s="222">
        <f>BY54/BY53</f>
        <v>0.25298360655737706</v>
      </c>
      <c r="CA53" s="214">
        <v>145.66999999999999</v>
      </c>
      <c r="CB53" s="222">
        <f>CA54/CA53</f>
        <v>0.4916592297659092</v>
      </c>
      <c r="CC53" s="214">
        <v>124.31</v>
      </c>
      <c r="CD53" s="222">
        <f>CC54/CC53</f>
        <v>0.36939908293781676</v>
      </c>
      <c r="CE53" s="214">
        <v>93.86</v>
      </c>
      <c r="CF53" s="222">
        <f>CE54/CE53</f>
        <v>0.40773492435542291</v>
      </c>
      <c r="CG53" s="214">
        <v>106.15</v>
      </c>
      <c r="CH53" s="222">
        <f>CG54/CG53</f>
        <v>0.29448893075836086</v>
      </c>
    </row>
    <row r="54" spans="1:87">
      <c r="C54" s="241" t="s">
        <v>9</v>
      </c>
      <c r="D54" s="214">
        <f>D52+D53</f>
        <v>60.149999999999991</v>
      </c>
      <c r="F54" s="214">
        <f>F52+F53</f>
        <v>32.509999999999991</v>
      </c>
      <c r="H54" s="214">
        <f>H52+H53</f>
        <v>44.8</v>
      </c>
      <c r="J54" s="214">
        <f>J52+J53</f>
        <v>52.970000000000006</v>
      </c>
      <c r="L54" s="214">
        <f>L52+L53</f>
        <v>54.940000000000012</v>
      </c>
      <c r="N54" s="214">
        <f>N52+N53</f>
        <v>77.61999999999999</v>
      </c>
      <c r="P54" s="214">
        <f>P52+P53</f>
        <v>43.61</v>
      </c>
      <c r="R54" s="214">
        <f>R52+R53</f>
        <v>28.160000000000011</v>
      </c>
      <c r="S54" s="214"/>
      <c r="T54" s="214">
        <f>T52+T53</f>
        <v>59.680000000000007</v>
      </c>
      <c r="V54" s="214">
        <f>V52+V53</f>
        <v>51.839999999999996</v>
      </c>
      <c r="X54" s="214">
        <f>X52+X53</f>
        <v>54.800000000000011</v>
      </c>
      <c r="Z54" s="214">
        <f>Z52+Z53</f>
        <v>71.03</v>
      </c>
      <c r="AB54" s="242">
        <f>AB52+AB53</f>
        <v>73.459999999999994</v>
      </c>
      <c r="AD54" s="242">
        <f>AD52+AD53</f>
        <v>74.279999999999987</v>
      </c>
      <c r="AF54" s="242">
        <f>AF52+AF53</f>
        <v>68.059999999999988</v>
      </c>
      <c r="AH54" s="243">
        <f>AH52+AH53</f>
        <v>78.180000000000007</v>
      </c>
      <c r="AJ54" s="243">
        <f>AJ52+AJ53</f>
        <v>58.529999999999994</v>
      </c>
      <c r="AL54" s="243">
        <f>AL52+AL53</f>
        <v>68.109999999999985</v>
      </c>
      <c r="AN54" s="243">
        <f>AN52+AN53</f>
        <v>58.94</v>
      </c>
      <c r="AP54" s="214">
        <f>AP52+AP53</f>
        <v>72.41</v>
      </c>
      <c r="AR54" s="214">
        <f>AR52+AR53</f>
        <v>84.12</v>
      </c>
      <c r="AT54" s="214">
        <f>AT52+AT53</f>
        <v>73.63000000000001</v>
      </c>
      <c r="AV54" s="214">
        <f>AV52+AV53</f>
        <v>63.199999999999989</v>
      </c>
      <c r="AX54" s="214">
        <f>AX52+AX53</f>
        <v>71.569999999999993</v>
      </c>
      <c r="BA54" s="214">
        <f>BA52+BA53</f>
        <v>67.980000000000018</v>
      </c>
      <c r="BC54" s="214">
        <f>BC52+BC53</f>
        <v>31.230000000000004</v>
      </c>
      <c r="BE54" s="214">
        <f>BE52+BE53</f>
        <v>34.049999999999983</v>
      </c>
      <c r="BG54" s="214">
        <f>BG52+BG53</f>
        <v>34.22</v>
      </c>
      <c r="BI54" s="214">
        <f>BI52+BI53</f>
        <v>21.370000000000005</v>
      </c>
      <c r="BK54" s="214">
        <f>BK52+BK53</f>
        <v>39.420000000000016</v>
      </c>
      <c r="BM54" s="214">
        <f>BM52+BM53</f>
        <v>41.740000000000009</v>
      </c>
      <c r="BO54" s="214">
        <f>BO52+BO53</f>
        <v>33.409999999999997</v>
      </c>
      <c r="BQ54" s="214">
        <f>BQ52+BQ53</f>
        <v>30.63000000000001</v>
      </c>
      <c r="BS54" s="214">
        <f>BS52+BS53</f>
        <v>36.36999999999999</v>
      </c>
      <c r="BU54" s="214">
        <f>BU52+BU53</f>
        <v>35.36999999999999</v>
      </c>
      <c r="BW54" s="214">
        <f>BW52+BW53</f>
        <v>40.990000000000009</v>
      </c>
      <c r="BY54" s="214">
        <f>BY52+BY53</f>
        <v>38.58</v>
      </c>
      <c r="CA54" s="214">
        <f>CA52+CA53</f>
        <v>71.61999999999999</v>
      </c>
      <c r="CC54" s="214">
        <f>CC52+CC53</f>
        <v>45.92</v>
      </c>
      <c r="CE54" s="214">
        <f>CE52+CE53</f>
        <v>38.269999999999996</v>
      </c>
      <c r="CG54" s="214">
        <f>CG52+CG53</f>
        <v>31.260000000000005</v>
      </c>
    </row>
    <row r="55" spans="1:87">
      <c r="A55" s="231">
        <v>16</v>
      </c>
      <c r="B55" s="232">
        <v>118439546</v>
      </c>
      <c r="C55" s="233" t="s">
        <v>288</v>
      </c>
      <c r="AP55" s="214"/>
      <c r="AT55" s="214"/>
    </row>
    <row r="56" spans="1:87">
      <c r="C56" s="234" t="s">
        <v>27</v>
      </c>
      <c r="D56" s="235">
        <v>44927</v>
      </c>
      <c r="E56" s="235"/>
      <c r="F56" s="235">
        <v>44958</v>
      </c>
      <c r="G56" s="235"/>
      <c r="H56" s="235">
        <v>44986</v>
      </c>
      <c r="I56" s="235"/>
      <c r="J56" s="235">
        <v>45017</v>
      </c>
      <c r="K56" s="235"/>
      <c r="L56" s="246">
        <v>45047</v>
      </c>
      <c r="M56" s="235"/>
      <c r="N56" s="235">
        <v>45078</v>
      </c>
      <c r="O56" s="235"/>
      <c r="P56" s="235">
        <v>45108</v>
      </c>
      <c r="Q56" s="235"/>
      <c r="R56" s="235">
        <v>45139</v>
      </c>
      <c r="S56" s="235"/>
      <c r="T56" s="235">
        <v>45170</v>
      </c>
      <c r="U56" s="235"/>
      <c r="V56" s="235">
        <v>45200</v>
      </c>
      <c r="W56" s="235"/>
      <c r="X56" s="235">
        <v>45231</v>
      </c>
      <c r="Y56" s="235"/>
      <c r="Z56" s="235">
        <v>45261</v>
      </c>
      <c r="AA56" s="235"/>
      <c r="AB56" s="235">
        <v>45292</v>
      </c>
      <c r="AC56" s="235"/>
      <c r="AD56" s="235">
        <v>45323</v>
      </c>
      <c r="AE56" s="235"/>
      <c r="AF56" s="235">
        <v>45352</v>
      </c>
      <c r="AH56" s="235">
        <v>45383</v>
      </c>
      <c r="AJ56" s="235">
        <v>45413</v>
      </c>
      <c r="AL56" s="235">
        <v>45444</v>
      </c>
      <c r="AN56" s="235">
        <v>45474</v>
      </c>
      <c r="AP56" s="235">
        <v>45505</v>
      </c>
      <c r="AR56" s="236">
        <v>45536</v>
      </c>
      <c r="AT56" s="236">
        <v>45566</v>
      </c>
      <c r="AV56" s="235">
        <v>45597</v>
      </c>
      <c r="AX56" s="235">
        <v>45627</v>
      </c>
      <c r="BA56" s="235">
        <v>45658</v>
      </c>
      <c r="BC56" s="235">
        <v>45689</v>
      </c>
      <c r="BE56" s="235">
        <v>45717</v>
      </c>
      <c r="BG56" s="235">
        <v>45748</v>
      </c>
      <c r="BI56" s="235">
        <v>45778</v>
      </c>
      <c r="BK56" s="235">
        <v>45809</v>
      </c>
      <c r="BM56" s="235">
        <v>45839</v>
      </c>
      <c r="BO56" s="235">
        <v>45870</v>
      </c>
      <c r="BQ56" s="235">
        <v>45901</v>
      </c>
      <c r="BS56" s="235">
        <v>45931</v>
      </c>
      <c r="BU56" s="235">
        <v>45962</v>
      </c>
      <c r="BW56" s="235">
        <v>45992</v>
      </c>
      <c r="BY56" s="235">
        <v>46023</v>
      </c>
      <c r="CA56" s="235">
        <v>46054</v>
      </c>
      <c r="CC56" s="235">
        <v>46082</v>
      </c>
      <c r="CE56" s="235">
        <v>46113</v>
      </c>
      <c r="CG56" s="235">
        <v>46143</v>
      </c>
      <c r="CI56" s="341">
        <v>46174</v>
      </c>
    </row>
    <row r="57" spans="1:87">
      <c r="C57" s="213" t="s">
        <v>7</v>
      </c>
      <c r="D57" s="214">
        <v>-42.56</v>
      </c>
      <c r="F57" s="214">
        <v>-39.380000000000003</v>
      </c>
      <c r="H57" s="237">
        <v>-36.97</v>
      </c>
      <c r="J57" s="237">
        <v>-109.3</v>
      </c>
      <c r="L57" s="237">
        <v>-110.99</v>
      </c>
      <c r="N57" s="237">
        <f>-6.39-232.9</f>
        <v>-239.29</v>
      </c>
      <c r="P57" s="237">
        <v>-530.09</v>
      </c>
      <c r="R57" s="237">
        <v>-555.79</v>
      </c>
      <c r="T57" s="237">
        <v>-237.72</v>
      </c>
      <c r="V57" s="214">
        <v>0</v>
      </c>
      <c r="X57" s="237">
        <v>-34.770000000000003</v>
      </c>
      <c r="Z57" s="238">
        <v>-38.36</v>
      </c>
      <c r="AB57" s="238">
        <v>-36.94</v>
      </c>
      <c r="AD57" s="237">
        <v>-34.450000000000003</v>
      </c>
      <c r="AF57" s="237">
        <v>-41.01</v>
      </c>
      <c r="AH57" s="237">
        <f>-22.13-50.25</f>
        <v>-72.38</v>
      </c>
      <c r="AJ57" s="237">
        <v>-110.47</v>
      </c>
      <c r="AL57" s="237">
        <v>-211.88</v>
      </c>
      <c r="AN57" s="237">
        <v>-405.5</v>
      </c>
      <c r="AP57" s="237">
        <v>-470.53</v>
      </c>
      <c r="AR57" s="237">
        <f>-171.57-40.25</f>
        <v>-211.82</v>
      </c>
      <c r="AT57" s="237">
        <v>-67.650000000000006</v>
      </c>
      <c r="AV57" s="237">
        <v>-41.34</v>
      </c>
      <c r="AX57" s="237">
        <v>-46.97</v>
      </c>
      <c r="BA57" s="237">
        <v>-48.51</v>
      </c>
      <c r="BC57" s="237">
        <v>-43.81</v>
      </c>
      <c r="BE57" s="237">
        <v>-42.22</v>
      </c>
      <c r="BG57" s="237">
        <v>-89.18</v>
      </c>
      <c r="BI57" s="237">
        <v>-123.69</v>
      </c>
      <c r="BK57" s="237">
        <v>-420.84</v>
      </c>
      <c r="BM57" s="237">
        <v>-513.42999999999995</v>
      </c>
      <c r="BO57" s="237">
        <v>-48.24</v>
      </c>
      <c r="BQ57" s="237">
        <v>-560.80999999999995</v>
      </c>
      <c r="BS57" s="237">
        <v>-320.05</v>
      </c>
      <c r="BU57" s="237">
        <v>-48.97</v>
      </c>
      <c r="BW57" s="237">
        <v>-62.73</v>
      </c>
      <c r="BY57" s="237">
        <v>-51.58</v>
      </c>
      <c r="CA57" s="237">
        <v>-40.57</v>
      </c>
      <c r="CC57" s="237">
        <v>-44.9</v>
      </c>
      <c r="CE57" s="237">
        <v>-109.46</v>
      </c>
      <c r="CG57" s="214">
        <v>-185.53</v>
      </c>
    </row>
    <row r="58" spans="1:87">
      <c r="C58" s="213" t="s">
        <v>8</v>
      </c>
      <c r="D58" s="214">
        <v>44.29</v>
      </c>
      <c r="E58" s="222">
        <f>ABS(((D57+D58)/D57))</f>
        <v>4.0648496240601427E-2</v>
      </c>
      <c r="F58" s="214">
        <v>38.840000000000003</v>
      </c>
      <c r="G58" s="222">
        <f>-(((F57+F58)/F57))</f>
        <v>-1.37125444388014E-2</v>
      </c>
      <c r="H58" s="214">
        <v>60.55</v>
      </c>
      <c r="I58" s="222">
        <f>-(((H57+H58)/H57))</f>
        <v>0.63781444414390043</v>
      </c>
      <c r="J58" s="214">
        <v>192.35</v>
      </c>
      <c r="K58" s="222">
        <f>-(((J57+J58)/J57))</f>
        <v>0.75983531564501372</v>
      </c>
      <c r="L58" s="214">
        <v>201.38</v>
      </c>
      <c r="M58" s="222">
        <f>-(((L57+L58)/L57))</f>
        <v>0.81439769348589963</v>
      </c>
      <c r="N58" s="214">
        <v>278.45</v>
      </c>
      <c r="O58" s="222">
        <f>-(((N57+N58)/N57))</f>
        <v>0.163650800284174</v>
      </c>
      <c r="P58" s="214">
        <v>629.22</v>
      </c>
      <c r="Q58" s="222">
        <f>-(((P57+P58)/P57))</f>
        <v>0.18700598011658395</v>
      </c>
      <c r="R58" s="214">
        <v>750.72</v>
      </c>
      <c r="S58" s="222">
        <f>-(((R57+R58)/R57))</f>
        <v>0.35072599363068796</v>
      </c>
      <c r="T58" s="214">
        <v>406.16</v>
      </c>
      <c r="U58" s="222">
        <f>ABS(((T57+T58)/T57))</f>
        <v>0.70856469796399135</v>
      </c>
      <c r="V58" s="214">
        <v>165</v>
      </c>
      <c r="W58" s="222" t="e">
        <f>ABS(((V57+V58)/V57))</f>
        <v>#DIV/0!</v>
      </c>
      <c r="X58" s="214">
        <v>32.01</v>
      </c>
      <c r="Y58" s="214">
        <v>39.880000000000003</v>
      </c>
      <c r="Z58" s="213">
        <v>38.130000000000003</v>
      </c>
      <c r="AA58" s="214">
        <v>39.880000000000003</v>
      </c>
      <c r="AB58" s="213">
        <v>29.5</v>
      </c>
      <c r="AC58" s="214">
        <v>39.880000000000003</v>
      </c>
      <c r="AD58" s="213">
        <v>22.26</v>
      </c>
      <c r="AE58" s="222">
        <f>ABS(((AD57+AD58)/AD57))</f>
        <v>0.35384615384615387</v>
      </c>
      <c r="AF58" s="214">
        <v>103</v>
      </c>
      <c r="AG58" s="222">
        <f>ABS(((AF57+AF58)/AF57))</f>
        <v>1.5115825408436967</v>
      </c>
      <c r="AH58" s="214">
        <v>116.7</v>
      </c>
      <c r="AI58" s="222">
        <f>ABS(((AH57+AH58)/AH57))</f>
        <v>0.61232384636639969</v>
      </c>
      <c r="AJ58" s="214">
        <v>174.27</v>
      </c>
      <c r="AK58" s="222">
        <f>ABS(((AJ57+AJ58)/AJ57))</f>
        <v>0.57753236172716582</v>
      </c>
      <c r="AL58" s="214">
        <v>304.75</v>
      </c>
      <c r="AM58" s="222">
        <f>ABS(((AL57+AL58)/AL57))</f>
        <v>0.4383141400792902</v>
      </c>
      <c r="AN58" s="214">
        <v>596.47</v>
      </c>
      <c r="AO58" s="222">
        <f>ABS(((AN57+AN58)/AN57))</f>
        <v>0.47094944512946985</v>
      </c>
      <c r="AP58" s="214">
        <v>652.9</v>
      </c>
      <c r="AQ58" s="222">
        <f>ABS(((AP57+AP58)/AP57))</f>
        <v>0.38758421354642641</v>
      </c>
      <c r="AR58" s="214">
        <v>222.55</v>
      </c>
      <c r="AS58" s="222">
        <f>ABS(((AR57+AR58)/AR57))</f>
        <v>5.0656217543197143E-2</v>
      </c>
      <c r="AT58" s="214">
        <v>174.79</v>
      </c>
      <c r="AU58" s="222">
        <f>AT59/AT58</f>
        <v>0.61296412838263048</v>
      </c>
      <c r="AV58" s="214">
        <v>43.54</v>
      </c>
      <c r="AW58" s="222">
        <f>AV59/AV58</f>
        <v>5.0528249885162975E-2</v>
      </c>
      <c r="AX58" s="214">
        <v>51.14</v>
      </c>
      <c r="AY58" s="224">
        <f>AX59/AX58</f>
        <v>8.1540868204927688E-2</v>
      </c>
      <c r="AZ58" s="225"/>
      <c r="BA58" s="214">
        <v>63.06</v>
      </c>
      <c r="BB58" s="222">
        <f>BA59/BA58</f>
        <v>0.23073263558515705</v>
      </c>
      <c r="BC58" s="214">
        <v>63.05</v>
      </c>
      <c r="BD58" s="222">
        <f>BC59/BC58</f>
        <v>0.30515463917525765</v>
      </c>
      <c r="BE58" s="214">
        <v>63.06</v>
      </c>
      <c r="BF58" s="222">
        <f>BE59/BE58</f>
        <v>0.33047890897557886</v>
      </c>
      <c r="BG58" s="214">
        <v>115.64</v>
      </c>
      <c r="BH58" s="222">
        <f>BG59/BG58</f>
        <v>0.22881355932203384</v>
      </c>
      <c r="BI58" s="214">
        <v>190.14</v>
      </c>
      <c r="BJ58" s="222">
        <f>BI59/BI58</f>
        <v>0.34947933101924894</v>
      </c>
      <c r="BK58" s="214">
        <v>388.53</v>
      </c>
      <c r="BL58" s="222">
        <f>BK59/BK58</f>
        <v>-8.3159601575167955E-2</v>
      </c>
      <c r="BM58" s="214">
        <v>639.16999999999996</v>
      </c>
      <c r="BN58" s="222">
        <f>BM59/BM58</f>
        <v>0.19672387627704682</v>
      </c>
      <c r="BO58" s="214">
        <v>781.17</v>
      </c>
      <c r="BP58" s="222">
        <f>BO59/BO58</f>
        <v>0.93824647643918735</v>
      </c>
      <c r="BQ58" s="214">
        <v>533.48</v>
      </c>
      <c r="BR58" s="222">
        <f>BQ59/BQ58</f>
        <v>-5.1229661842993039E-2</v>
      </c>
      <c r="BS58" s="214">
        <v>143.83000000000001</v>
      </c>
      <c r="BT58" s="222">
        <f>BS59/BS58</f>
        <v>-1.2251964124313424</v>
      </c>
      <c r="BU58" s="214">
        <v>58.32</v>
      </c>
      <c r="BV58" s="222">
        <f>BU59/BU58</f>
        <v>0.16032235939643349</v>
      </c>
      <c r="BW58" s="214">
        <v>58.32</v>
      </c>
      <c r="BX58" s="222">
        <f>BW59/BW58</f>
        <v>-7.5617283950617231E-2</v>
      </c>
      <c r="BY58" s="214">
        <v>58.32</v>
      </c>
      <c r="BZ58" s="222">
        <f>BY59/BY58</f>
        <v>0.11556927297668042</v>
      </c>
      <c r="CA58" s="214">
        <v>58.31</v>
      </c>
      <c r="CB58" s="222">
        <f>CA59/CA58</f>
        <v>0.30423598010632824</v>
      </c>
      <c r="CC58" s="214">
        <v>58.32</v>
      </c>
      <c r="CD58" s="222">
        <f>CC59/CC58</f>
        <v>0.23010973936899864</v>
      </c>
      <c r="CE58" s="214">
        <v>133.53</v>
      </c>
      <c r="CF58" s="222">
        <f>CE59/CE58</f>
        <v>0.18025911780124321</v>
      </c>
      <c r="CG58" s="214">
        <v>134.38</v>
      </c>
      <c r="CH58" s="222">
        <f>CG59/CG58</f>
        <v>-0.38063699955350505</v>
      </c>
    </row>
    <row r="59" spans="1:87">
      <c r="C59" s="241" t="s">
        <v>9</v>
      </c>
      <c r="D59" s="251">
        <f>D57+D58</f>
        <v>1.7299999999999969</v>
      </c>
      <c r="E59" s="251"/>
      <c r="F59" s="251">
        <f>F57+F58</f>
        <v>-0.53999999999999915</v>
      </c>
      <c r="H59" s="251">
        <f>H57+H58</f>
        <v>23.58</v>
      </c>
      <c r="J59" s="252">
        <f>J57+J58</f>
        <v>83.05</v>
      </c>
      <c r="L59" s="252">
        <f>L57+L58</f>
        <v>90.39</v>
      </c>
      <c r="N59" s="252">
        <f>N57+N58</f>
        <v>39.159999999999997</v>
      </c>
      <c r="P59" s="252">
        <f>P57+P58</f>
        <v>99.13</v>
      </c>
      <c r="R59" s="214">
        <f>R57+R58</f>
        <v>194.93000000000006</v>
      </c>
      <c r="S59" s="214"/>
      <c r="T59" s="214">
        <f>T57+T58</f>
        <v>168.44000000000003</v>
      </c>
      <c r="V59" s="214">
        <f>V57+V58</f>
        <v>165</v>
      </c>
      <c r="X59" s="214">
        <f>X57+X58</f>
        <v>-2.7600000000000051</v>
      </c>
      <c r="Z59" s="214">
        <f>Z57+Z58</f>
        <v>-0.22999999999999687</v>
      </c>
      <c r="AB59" s="242">
        <f>AB57+AB58</f>
        <v>-7.4399999999999977</v>
      </c>
      <c r="AD59" s="242">
        <f>AD57+AD58</f>
        <v>-12.190000000000001</v>
      </c>
      <c r="AF59" s="242">
        <f>AF57+AF58</f>
        <v>61.99</v>
      </c>
      <c r="AH59" s="243">
        <f>AH57+AH58</f>
        <v>44.320000000000007</v>
      </c>
      <c r="AJ59" s="243">
        <f>AJ57+AJ58</f>
        <v>63.800000000000011</v>
      </c>
      <c r="AL59" s="243">
        <f>AL57+AL58</f>
        <v>92.87</v>
      </c>
      <c r="AN59" s="243">
        <f>AN57+AN58</f>
        <v>190.97000000000003</v>
      </c>
      <c r="AP59" s="214">
        <f>AP57+AP58</f>
        <v>182.37</v>
      </c>
      <c r="AR59" s="214">
        <f>AR57+AR58</f>
        <v>10.730000000000018</v>
      </c>
      <c r="AT59" s="214">
        <f>AT57+AT58</f>
        <v>107.13999999999999</v>
      </c>
      <c r="AV59" s="214">
        <f>AV57+AV58</f>
        <v>2.1999999999999957</v>
      </c>
      <c r="AX59" s="214">
        <f>AX57+AX58</f>
        <v>4.1700000000000017</v>
      </c>
      <c r="BA59" s="214">
        <f>BA57+BA58</f>
        <v>14.550000000000004</v>
      </c>
      <c r="BC59" s="214">
        <f>BC57+BC58</f>
        <v>19.239999999999995</v>
      </c>
      <c r="BE59" s="214">
        <f>BE57+BE58</f>
        <v>20.840000000000003</v>
      </c>
      <c r="BG59" s="214">
        <f>BG57+BG58</f>
        <v>26.459999999999994</v>
      </c>
      <c r="BI59" s="214">
        <f>BI57+BI58</f>
        <v>66.449999999999989</v>
      </c>
      <c r="BK59" s="214">
        <f>BK57+BK58</f>
        <v>-32.31</v>
      </c>
      <c r="BM59" s="214">
        <f>BM57+BM58</f>
        <v>125.74000000000001</v>
      </c>
      <c r="BO59" s="214">
        <f>BO57+BO58</f>
        <v>732.93</v>
      </c>
      <c r="BQ59" s="214">
        <f>BQ57+BQ58</f>
        <v>-27.329999999999927</v>
      </c>
      <c r="BS59" s="214">
        <f>BS57+BS58</f>
        <v>-176.22</v>
      </c>
      <c r="BU59" s="214">
        <f>BU57+BU58</f>
        <v>9.3500000000000014</v>
      </c>
      <c r="BW59" s="214">
        <f>BW57+BW58</f>
        <v>-4.4099999999999966</v>
      </c>
      <c r="BY59" s="214">
        <f>BY57+BY58</f>
        <v>6.740000000000002</v>
      </c>
      <c r="CA59" s="214">
        <f>CA57+CA58</f>
        <v>17.740000000000002</v>
      </c>
      <c r="CC59" s="214">
        <f>CC57+CC58</f>
        <v>13.420000000000002</v>
      </c>
      <c r="CE59" s="214">
        <f>CE57+CE58</f>
        <v>24.070000000000007</v>
      </c>
      <c r="CG59" s="214">
        <f>CG57+CG58</f>
        <v>-51.150000000000006</v>
      </c>
    </row>
    <row r="60" spans="1:87">
      <c r="A60" s="211">
        <v>17</v>
      </c>
      <c r="B60" s="232">
        <v>140851665</v>
      </c>
      <c r="C60" s="233" t="s">
        <v>28</v>
      </c>
      <c r="AP60" s="214"/>
      <c r="AT60" s="214"/>
    </row>
    <row r="61" spans="1:87">
      <c r="C61" s="234" t="s">
        <v>29</v>
      </c>
      <c r="D61" s="235">
        <v>44927</v>
      </c>
      <c r="E61" s="235"/>
      <c r="F61" s="235">
        <v>44958</v>
      </c>
      <c r="G61" s="235"/>
      <c r="H61" s="235">
        <v>44986</v>
      </c>
      <c r="I61" s="235"/>
      <c r="J61" s="235">
        <v>45017</v>
      </c>
      <c r="K61" s="235"/>
      <c r="L61" s="246">
        <v>45047</v>
      </c>
      <c r="M61" s="235"/>
      <c r="N61" s="235">
        <v>45078</v>
      </c>
      <c r="O61" s="235"/>
      <c r="P61" s="235">
        <v>45108</v>
      </c>
      <c r="Q61" s="235"/>
      <c r="R61" s="235">
        <v>45139</v>
      </c>
      <c r="S61" s="235"/>
      <c r="T61" s="235">
        <v>45170</v>
      </c>
      <c r="U61" s="235"/>
      <c r="V61" s="235">
        <v>45200</v>
      </c>
      <c r="W61" s="235"/>
      <c r="X61" s="235">
        <v>45231</v>
      </c>
      <c r="Y61" s="235"/>
      <c r="Z61" s="235">
        <v>45261</v>
      </c>
      <c r="AA61" s="235"/>
      <c r="AB61" s="235">
        <v>45292</v>
      </c>
      <c r="AC61" s="235"/>
      <c r="AD61" s="235">
        <v>45323</v>
      </c>
      <c r="AE61" s="235"/>
      <c r="AF61" s="235">
        <v>45352</v>
      </c>
      <c r="AH61" s="235">
        <v>45383</v>
      </c>
      <c r="AJ61" s="235">
        <v>45413</v>
      </c>
      <c r="AL61" s="235">
        <v>45444</v>
      </c>
      <c r="AN61" s="235">
        <v>45474</v>
      </c>
      <c r="AP61" s="235">
        <v>45505</v>
      </c>
      <c r="AR61" s="236">
        <v>45536</v>
      </c>
      <c r="AT61" s="236">
        <v>45566</v>
      </c>
      <c r="AV61" s="235">
        <v>45597</v>
      </c>
      <c r="AX61" s="235">
        <v>45627</v>
      </c>
      <c r="BA61" s="235">
        <v>45658</v>
      </c>
      <c r="BC61" s="235">
        <v>45689</v>
      </c>
      <c r="BE61" s="235">
        <v>45717</v>
      </c>
      <c r="BG61" s="235">
        <v>45748</v>
      </c>
      <c r="BI61" s="235">
        <v>45778</v>
      </c>
      <c r="BK61" s="235">
        <v>45809</v>
      </c>
      <c r="BM61" s="235">
        <v>45839</v>
      </c>
      <c r="BO61" s="235">
        <v>45870</v>
      </c>
      <c r="BQ61" s="235">
        <v>45901</v>
      </c>
      <c r="BS61" s="235">
        <v>45931</v>
      </c>
      <c r="BU61" s="235">
        <v>45962</v>
      </c>
      <c r="BW61" s="235">
        <v>45992</v>
      </c>
      <c r="BY61" s="235">
        <v>46023</v>
      </c>
      <c r="CA61" s="235">
        <v>46054</v>
      </c>
      <c r="CC61" s="235">
        <v>46082</v>
      </c>
      <c r="CE61" s="235">
        <v>46113</v>
      </c>
      <c r="CG61" s="235">
        <v>46143</v>
      </c>
      <c r="CI61" s="341">
        <v>46174</v>
      </c>
    </row>
    <row r="62" spans="1:87">
      <c r="C62" s="213" t="s">
        <v>7</v>
      </c>
      <c r="D62" s="214">
        <v>-99.05</v>
      </c>
      <c r="F62" s="214">
        <v>-80.8</v>
      </c>
      <c r="H62" s="237">
        <v>-46.76</v>
      </c>
      <c r="J62" s="237">
        <v>-32.700000000000003</v>
      </c>
      <c r="L62" s="237">
        <v>-45.78</v>
      </c>
      <c r="N62" s="237">
        <f>-39.09-2.71-13.27</f>
        <v>-55.070000000000007</v>
      </c>
      <c r="P62" s="237">
        <v>-90.82</v>
      </c>
      <c r="R62" s="237">
        <v>-92.54</v>
      </c>
      <c r="T62" s="237">
        <v>-52.73</v>
      </c>
      <c r="V62" s="214">
        <v>0</v>
      </c>
      <c r="X62" s="237">
        <v>-40.06</v>
      </c>
      <c r="Z62" s="238">
        <v>-81.459999999999994</v>
      </c>
      <c r="AB62" s="238">
        <v>-95.7</v>
      </c>
      <c r="AD62" s="237">
        <v>-61.37</v>
      </c>
      <c r="AF62" s="237">
        <v>-59.51</v>
      </c>
      <c r="AH62" s="237">
        <f>-17.79-20.5</f>
        <v>-38.29</v>
      </c>
      <c r="AJ62" s="237">
        <v>-38.200000000000003</v>
      </c>
      <c r="AL62" s="237">
        <v>-25.88</v>
      </c>
      <c r="AN62" s="237">
        <v>-35.53</v>
      </c>
      <c r="AP62" s="237">
        <f>-20.86-36.6</f>
        <v>-57.46</v>
      </c>
      <c r="AR62" s="237">
        <v>-58.82</v>
      </c>
      <c r="AT62" s="237">
        <f>-47.42-8.2</f>
        <v>-55.620000000000005</v>
      </c>
      <c r="AV62" s="237">
        <v>-37.299999999999997</v>
      </c>
      <c r="AX62" s="237">
        <v>-58.16</v>
      </c>
      <c r="BA62" s="237">
        <v>-67.36</v>
      </c>
      <c r="BC62" s="237">
        <v>-51.96</v>
      </c>
      <c r="BE62" s="237">
        <v>-80.040000000000006</v>
      </c>
      <c r="BG62" s="237">
        <v>-41.61</v>
      </c>
      <c r="BI62" s="237">
        <v>-45.91</v>
      </c>
      <c r="BK62" s="237">
        <f>-6.97-54</f>
        <v>-60.97</v>
      </c>
      <c r="BM62" s="237">
        <v>-98.41</v>
      </c>
      <c r="BO62" s="237">
        <v>-100.85</v>
      </c>
      <c r="BQ62" s="237">
        <v>-77.819999999999993</v>
      </c>
      <c r="BS62" s="237">
        <v>-75.400000000000006</v>
      </c>
      <c r="BU62" s="237">
        <v>-109.28</v>
      </c>
      <c r="BW62" s="237">
        <v>-189.79</v>
      </c>
      <c r="BY62" s="237">
        <v>-211.74</v>
      </c>
      <c r="CA62" s="237">
        <v>-116.22</v>
      </c>
      <c r="CC62" s="237">
        <v>-138.01</v>
      </c>
      <c r="CE62" s="237">
        <v>-57.95</v>
      </c>
      <c r="CG62" s="237">
        <v>-58.15</v>
      </c>
    </row>
    <row r="63" spans="1:87">
      <c r="C63" s="213" t="s">
        <v>8</v>
      </c>
      <c r="D63" s="214">
        <v>185.82</v>
      </c>
      <c r="E63" s="222">
        <f>ABS(((D62+D63)/D62))</f>
        <v>0.87602221100454314</v>
      </c>
      <c r="F63" s="214">
        <v>130.44999999999999</v>
      </c>
      <c r="G63" s="222">
        <f>ABS(((F62+F63)/F62))</f>
        <v>0.61448019801980192</v>
      </c>
      <c r="H63" s="214">
        <v>115.37</v>
      </c>
      <c r="I63" s="222">
        <f>ABS(((H62+H63)/H62))</f>
        <v>1.4672797262617625</v>
      </c>
      <c r="J63" s="214">
        <v>95.67</v>
      </c>
      <c r="K63" s="222">
        <f>ABS(((J62+J63)/J62))</f>
        <v>1.9256880733944952</v>
      </c>
      <c r="L63" s="214">
        <v>84.71</v>
      </c>
      <c r="M63" s="222">
        <f>ABS(((L62+L63)/L62))</f>
        <v>0.85037134119702906</v>
      </c>
      <c r="N63" s="214">
        <v>92.9</v>
      </c>
      <c r="O63" s="222">
        <f>ABS(((N62+N63)/N62))</f>
        <v>0.6869438895950607</v>
      </c>
      <c r="P63" s="214">
        <v>143.6</v>
      </c>
      <c r="Q63" s="222">
        <f>ABS(((P62+P63)/P62))</f>
        <v>0.58114952653600538</v>
      </c>
      <c r="R63" s="214">
        <v>148.66</v>
      </c>
      <c r="S63" s="222">
        <f>ABS(((R62+R63)/R62))</f>
        <v>0.60644045818024628</v>
      </c>
      <c r="T63" s="214">
        <v>103.52</v>
      </c>
      <c r="U63" s="222">
        <f>ABS(((T62+T63)/T62))</f>
        <v>0.96320879954485117</v>
      </c>
      <c r="V63" s="214">
        <v>88.64</v>
      </c>
      <c r="W63" s="222" t="e">
        <f>ABS(((V62+V63)/V62))</f>
        <v>#DIV/0!</v>
      </c>
      <c r="X63" s="214">
        <v>72.11</v>
      </c>
      <c r="Y63" s="222">
        <f>ABS(((X62+X63)/X62))</f>
        <v>0.80004992511233142</v>
      </c>
      <c r="Z63" s="213">
        <v>106.57</v>
      </c>
      <c r="AA63" s="222">
        <f>ABS(((Z62+Z63)/Z62))</f>
        <v>0.30824944758163519</v>
      </c>
      <c r="AB63" s="213">
        <v>127.78</v>
      </c>
      <c r="AC63" s="222">
        <f>ABS(((AB62+AB63)/AB62))</f>
        <v>0.33521421107628002</v>
      </c>
      <c r="AD63" s="214">
        <v>96.24</v>
      </c>
      <c r="AE63" s="222">
        <f>ABS(((AD62+AD63)/AD62))</f>
        <v>0.56819292814078537</v>
      </c>
      <c r="AF63" s="213">
        <v>99.44</v>
      </c>
      <c r="AG63" s="222">
        <f>ABS(((AF62+AF63)/AF62))</f>
        <v>0.67097966728280967</v>
      </c>
      <c r="AH63" s="214">
        <v>84.87</v>
      </c>
      <c r="AI63" s="222">
        <f>ABS(((AH62+AH63)/AH62))</f>
        <v>1.2165056150430924</v>
      </c>
      <c r="AJ63" s="214">
        <v>46.91</v>
      </c>
      <c r="AK63" s="222">
        <f>ABS(((AJ62+AJ63)/AJ62))</f>
        <v>0.2280104712041883</v>
      </c>
      <c r="AL63" s="214">
        <v>41.08</v>
      </c>
      <c r="AM63" s="222">
        <f>ABS(((AL62+AL63)/AL62))</f>
        <v>0.5873261205564142</v>
      </c>
      <c r="AN63" s="214">
        <v>62.78</v>
      </c>
      <c r="AO63" s="222">
        <f>ABS(((AN62+AN63)/AN62))</f>
        <v>0.76695750070363067</v>
      </c>
      <c r="AP63" s="214">
        <v>87.91</v>
      </c>
      <c r="AQ63" s="222">
        <f>ABS(((AP62+AP63)/AP62))</f>
        <v>0.52993386703793932</v>
      </c>
      <c r="AR63" s="214">
        <v>59.45</v>
      </c>
      <c r="AS63" s="222">
        <f>ABS(((AR62+AR63)/AR62))</f>
        <v>1.0710642638558357E-2</v>
      </c>
      <c r="AT63" s="214">
        <v>67.569999999999993</v>
      </c>
      <c r="AU63" s="222">
        <f>AT64/AT63</f>
        <v>0.17685363326920217</v>
      </c>
      <c r="AV63" s="214">
        <v>70.989999999999995</v>
      </c>
      <c r="AW63" s="222">
        <f>AV64/AV63</f>
        <v>0.47457388364558389</v>
      </c>
      <c r="AX63" s="214">
        <v>97.48</v>
      </c>
      <c r="AY63" s="224">
        <f>AX64/AX63</f>
        <v>0.4033647927780058</v>
      </c>
      <c r="AZ63" s="225"/>
      <c r="BA63" s="214">
        <v>141.43</v>
      </c>
      <c r="BB63" s="222">
        <f>BA64/BA63</f>
        <v>0.52372198260623637</v>
      </c>
      <c r="BC63" s="214">
        <v>55.05</v>
      </c>
      <c r="BD63" s="222">
        <f>BC64/BC63</f>
        <v>5.6130790190735629E-2</v>
      </c>
      <c r="BE63" s="214">
        <v>80.63</v>
      </c>
      <c r="BF63" s="222">
        <f>BE64/BE63</f>
        <v>7.3173756666251918E-3</v>
      </c>
      <c r="BG63" s="214">
        <v>36.86</v>
      </c>
      <c r="BH63" s="222">
        <f>BG64/BG63</f>
        <v>-0.12886597938144331</v>
      </c>
      <c r="BI63" s="214">
        <v>36.86</v>
      </c>
      <c r="BJ63" s="222">
        <f>BI64/BI63</f>
        <v>-0.24552360282148664</v>
      </c>
      <c r="BK63" s="214">
        <v>142.44</v>
      </c>
      <c r="BL63" s="222">
        <f>BK64/BK63</f>
        <v>0.57196012356079751</v>
      </c>
      <c r="BM63" s="214">
        <v>138.15</v>
      </c>
      <c r="BN63" s="222">
        <f>BM64/BM63</f>
        <v>0.28765834238146948</v>
      </c>
      <c r="BO63" s="214">
        <v>142.03</v>
      </c>
      <c r="BP63" s="222">
        <f>BO64/BO63</f>
        <v>0.28993874533549252</v>
      </c>
      <c r="BQ63" s="214">
        <v>112.5</v>
      </c>
      <c r="BR63" s="222">
        <f>BQ64/BQ63</f>
        <v>0.30826666666666674</v>
      </c>
      <c r="BS63" s="214">
        <v>112.76</v>
      </c>
      <c r="BT63" s="222">
        <f>BS64/BS63</f>
        <v>0.33132316424263919</v>
      </c>
      <c r="BU63" s="214">
        <v>152.13</v>
      </c>
      <c r="BV63" s="222">
        <f>BU64/BU63</f>
        <v>0.28166699533293893</v>
      </c>
      <c r="BW63" s="214">
        <v>297.89</v>
      </c>
      <c r="BX63" s="222">
        <f>BW64/BW63</f>
        <v>0.36288562892342813</v>
      </c>
      <c r="BY63" s="214">
        <v>253.08</v>
      </c>
      <c r="BZ63" s="222">
        <f>BY64/BY63</f>
        <v>0.16334755808440019</v>
      </c>
      <c r="CA63" s="214">
        <v>160.4</v>
      </c>
      <c r="CB63" s="222">
        <f>CA64/CA63</f>
        <v>0.27543640897755617</v>
      </c>
      <c r="CC63" s="214">
        <v>203.23</v>
      </c>
      <c r="CD63" s="222">
        <f>CC64/CC63</f>
        <v>0.3209171874231167</v>
      </c>
      <c r="CE63" s="214">
        <v>110.45</v>
      </c>
      <c r="CF63" s="222">
        <f>CE64/CE63</f>
        <v>0.47532820280669985</v>
      </c>
      <c r="CG63" s="214">
        <v>101.83</v>
      </c>
      <c r="CH63" s="222">
        <f>CG64/CG63</f>
        <v>0.4289502111362074</v>
      </c>
    </row>
    <row r="64" spans="1:87">
      <c r="C64" s="241" t="s">
        <v>9</v>
      </c>
      <c r="D64" s="214">
        <f>D62+D63</f>
        <v>86.77</v>
      </c>
      <c r="F64" s="214">
        <f>F62+F63</f>
        <v>49.649999999999991</v>
      </c>
      <c r="H64" s="214">
        <f>H62+H63</f>
        <v>68.610000000000014</v>
      </c>
      <c r="J64" s="214">
        <f>J62+J63</f>
        <v>62.97</v>
      </c>
      <c r="L64" s="214">
        <f>L62+L63</f>
        <v>38.929999999999993</v>
      </c>
      <c r="N64" s="214">
        <f>N62+N63</f>
        <v>37.83</v>
      </c>
      <c r="P64" s="214">
        <f>P62+P63</f>
        <v>52.78</v>
      </c>
      <c r="R64" s="214">
        <f>R62+R63</f>
        <v>56.11999999999999</v>
      </c>
      <c r="S64" s="214"/>
      <c r="T64" s="214">
        <f>T62+T63</f>
        <v>50.79</v>
      </c>
      <c r="V64" s="214">
        <f>V62+V63</f>
        <v>88.64</v>
      </c>
      <c r="X64" s="214">
        <f>X62+X63</f>
        <v>32.049999999999997</v>
      </c>
      <c r="Z64" s="214">
        <f>Z62+Z63</f>
        <v>25.11</v>
      </c>
      <c r="AB64" s="242">
        <f>AB62+AB63</f>
        <v>32.08</v>
      </c>
      <c r="AD64" s="242">
        <f>AD62+AD63</f>
        <v>34.869999999999997</v>
      </c>
      <c r="AF64" s="242">
        <f>AF62+AF63</f>
        <v>39.93</v>
      </c>
      <c r="AH64" s="243">
        <f>AH62+AH63</f>
        <v>46.580000000000005</v>
      </c>
      <c r="AJ64" s="242">
        <f>AJ62+AJ63</f>
        <v>8.7099999999999937</v>
      </c>
      <c r="AL64" s="243">
        <f>AL62+AL63</f>
        <v>15.2</v>
      </c>
      <c r="AN64" s="243">
        <f>AN62+AN63</f>
        <v>27.25</v>
      </c>
      <c r="AP64" s="214">
        <f>AP62+AP63</f>
        <v>30.449999999999996</v>
      </c>
      <c r="AR64" s="214">
        <f>AR62+AR63</f>
        <v>0.63000000000000256</v>
      </c>
      <c r="AT64" s="214">
        <f>AT62+AT63</f>
        <v>11.949999999999989</v>
      </c>
      <c r="AV64" s="214">
        <f>AV62+AV63</f>
        <v>33.69</v>
      </c>
      <c r="AX64" s="214">
        <f>AX62+AX63</f>
        <v>39.320000000000007</v>
      </c>
      <c r="BA64" s="214">
        <f>BA62+BA63</f>
        <v>74.070000000000007</v>
      </c>
      <c r="BC64" s="214">
        <f>BC62+BC63</f>
        <v>3.0899999999999963</v>
      </c>
      <c r="BE64" s="214">
        <f>BE62+BE63</f>
        <v>0.5899999999999892</v>
      </c>
      <c r="BG64" s="214">
        <f>BG62+BG63</f>
        <v>-4.75</v>
      </c>
      <c r="BI64" s="214">
        <f>BI62+BI63</f>
        <v>-9.0499999999999972</v>
      </c>
      <c r="BK64" s="214">
        <f>BK62+BK63</f>
        <v>81.47</v>
      </c>
      <c r="BM64" s="214">
        <f>BM62+BM63</f>
        <v>39.740000000000009</v>
      </c>
      <c r="BO64" s="214">
        <f>BO62+BO63</f>
        <v>41.180000000000007</v>
      </c>
      <c r="BQ64" s="214">
        <f>BQ62+BQ63</f>
        <v>34.680000000000007</v>
      </c>
      <c r="BS64" s="214">
        <f>BS62+BS63</f>
        <v>37.36</v>
      </c>
      <c r="BU64" s="214">
        <f>BU62+BU63</f>
        <v>42.849999999999994</v>
      </c>
      <c r="BW64" s="214">
        <f>BW62+BW63</f>
        <v>108.1</v>
      </c>
      <c r="BY64" s="214">
        <f>BY62+BY63</f>
        <v>41.34</v>
      </c>
      <c r="CA64" s="214">
        <f>CA62+CA63</f>
        <v>44.180000000000007</v>
      </c>
      <c r="CC64" s="214">
        <f>CC62+CC63</f>
        <v>65.22</v>
      </c>
      <c r="CE64" s="214">
        <f>CE62+CE63</f>
        <v>52.5</v>
      </c>
      <c r="CG64" s="214">
        <f>CG62+CG63</f>
        <v>43.68</v>
      </c>
    </row>
    <row r="65" spans="1:87">
      <c r="A65" s="211">
        <v>20</v>
      </c>
      <c r="B65" s="232">
        <v>140902983</v>
      </c>
      <c r="C65" s="233" t="s">
        <v>32</v>
      </c>
      <c r="AP65" s="214"/>
      <c r="AT65" s="214"/>
    </row>
    <row r="66" spans="1:87">
      <c r="C66" s="253" t="s">
        <v>33</v>
      </c>
      <c r="D66" s="235">
        <v>44927</v>
      </c>
      <c r="E66" s="235"/>
      <c r="F66" s="235">
        <v>44958</v>
      </c>
      <c r="G66" s="235"/>
      <c r="H66" s="235">
        <v>44986</v>
      </c>
      <c r="I66" s="235"/>
      <c r="J66" s="235">
        <v>45017</v>
      </c>
      <c r="K66" s="235"/>
      <c r="L66" s="246">
        <v>45047</v>
      </c>
      <c r="M66" s="235"/>
      <c r="N66" s="235">
        <v>45078</v>
      </c>
      <c r="O66" s="235"/>
      <c r="P66" s="235">
        <v>45108</v>
      </c>
      <c r="Q66" s="235"/>
      <c r="R66" s="235">
        <v>45139</v>
      </c>
      <c r="S66" s="235"/>
      <c r="T66" s="235">
        <v>45170</v>
      </c>
      <c r="U66" s="235"/>
      <c r="V66" s="235">
        <v>45200</v>
      </c>
      <c r="W66" s="235"/>
      <c r="X66" s="235">
        <v>45231</v>
      </c>
      <c r="Y66" s="235"/>
      <c r="Z66" s="235">
        <v>45261</v>
      </c>
      <c r="AA66" s="235"/>
      <c r="AB66" s="235">
        <v>45292</v>
      </c>
      <c r="AC66" s="235"/>
      <c r="AD66" s="235">
        <v>45323</v>
      </c>
      <c r="AE66" s="235"/>
      <c r="AF66" s="235"/>
      <c r="AP66" s="236">
        <v>45505</v>
      </c>
      <c r="AR66" s="236">
        <v>45536</v>
      </c>
      <c r="AT66" s="236">
        <v>45566</v>
      </c>
      <c r="AV66" s="235">
        <v>45597</v>
      </c>
      <c r="AX66" s="235">
        <v>45627</v>
      </c>
      <c r="BA66" s="235">
        <v>45658</v>
      </c>
      <c r="BC66" s="235">
        <v>45689</v>
      </c>
      <c r="BE66" s="235">
        <v>45717</v>
      </c>
      <c r="BG66" s="235">
        <v>45748</v>
      </c>
      <c r="BI66" s="235">
        <v>45778</v>
      </c>
      <c r="BK66" s="235">
        <v>45809</v>
      </c>
      <c r="BM66" s="235">
        <v>45839</v>
      </c>
      <c r="BO66" s="235">
        <v>45870</v>
      </c>
      <c r="BQ66" s="235">
        <v>45901</v>
      </c>
      <c r="BS66" s="235">
        <v>45931</v>
      </c>
      <c r="BU66" s="235">
        <v>45962</v>
      </c>
      <c r="BW66" s="235">
        <v>45992</v>
      </c>
      <c r="BY66" s="235">
        <v>46023</v>
      </c>
      <c r="CA66" s="235">
        <v>46054</v>
      </c>
      <c r="CC66" s="235">
        <v>46082</v>
      </c>
      <c r="CE66" s="235">
        <v>46113</v>
      </c>
      <c r="CG66" s="235">
        <v>46143</v>
      </c>
      <c r="CI66" s="341">
        <v>46174</v>
      </c>
    </row>
    <row r="67" spans="1:87">
      <c r="C67" s="213" t="s">
        <v>7</v>
      </c>
      <c r="D67" s="214">
        <v>-37.299999999999997</v>
      </c>
      <c r="F67" s="214">
        <v>-10.45</v>
      </c>
      <c r="H67" s="237">
        <v>-10.53</v>
      </c>
      <c r="J67" s="237">
        <v>-10.48</v>
      </c>
      <c r="L67" s="237">
        <v>-10.57</v>
      </c>
      <c r="N67" s="237">
        <v>-10.52</v>
      </c>
      <c r="P67" s="238">
        <v>-40.54</v>
      </c>
      <c r="R67" s="237">
        <v>-29.48</v>
      </c>
      <c r="T67" s="237">
        <v>-30.92</v>
      </c>
      <c r="V67" s="237">
        <v>-48.28</v>
      </c>
      <c r="X67" s="237">
        <v>-68.069999999999993</v>
      </c>
      <c r="Z67" s="238">
        <v>-131.51</v>
      </c>
      <c r="AB67" s="247"/>
      <c r="AD67" s="247"/>
      <c r="AF67" s="247"/>
      <c r="AP67" s="237">
        <v>-69.34</v>
      </c>
      <c r="AT67" s="237">
        <f>-22.98</f>
        <v>-22.98</v>
      </c>
      <c r="AV67" s="214"/>
      <c r="AX67" s="214">
        <v>-2.04</v>
      </c>
      <c r="BA67" s="213">
        <v>-20.93</v>
      </c>
      <c r="BC67" s="238">
        <v>-18.97</v>
      </c>
      <c r="BE67" s="238">
        <v>-20.99</v>
      </c>
      <c r="BG67" s="238">
        <v>-20.32</v>
      </c>
      <c r="BI67" s="238">
        <v>-20.99</v>
      </c>
      <c r="BK67" s="237">
        <v>-54.27</v>
      </c>
      <c r="BM67" s="237">
        <v>-51.12</v>
      </c>
      <c r="BO67" s="237">
        <v>-85.34</v>
      </c>
      <c r="BQ67" s="237">
        <v>-38.909999999999997</v>
      </c>
      <c r="BS67" s="237">
        <v>-36.229999999999997</v>
      </c>
      <c r="BU67" s="237">
        <v>-23.3</v>
      </c>
      <c r="BW67" s="237">
        <v>-46.67</v>
      </c>
      <c r="BY67" s="237">
        <v>-90.02</v>
      </c>
      <c r="CA67" s="237">
        <v>-67.75</v>
      </c>
      <c r="CC67" s="237">
        <v>-65.86</v>
      </c>
      <c r="CE67" s="237">
        <v>-18.329999999999998</v>
      </c>
      <c r="CG67" s="214">
        <v>0</v>
      </c>
    </row>
    <row r="68" spans="1:87">
      <c r="C68" s="213" t="s">
        <v>8</v>
      </c>
      <c r="D68" s="214">
        <v>102.41</v>
      </c>
      <c r="E68" s="222">
        <f>ABS(((D67+D68)/D67))</f>
        <v>1.7455764075067026</v>
      </c>
      <c r="F68" s="214">
        <v>23.13</v>
      </c>
      <c r="G68" s="222">
        <f>ABS(((F67+F68)/F67))</f>
        <v>1.213397129186603</v>
      </c>
      <c r="H68" s="214">
        <v>32.68</v>
      </c>
      <c r="I68" s="222">
        <f>ABS(((H67+H68)/H67))</f>
        <v>2.1035137701804367</v>
      </c>
      <c r="J68" s="214">
        <v>23.41</v>
      </c>
      <c r="K68" s="222">
        <f>ABS(((J67+J68)/J67))</f>
        <v>1.2337786259541983</v>
      </c>
      <c r="L68" s="214">
        <v>50.13</v>
      </c>
      <c r="M68" s="222">
        <f>ABS(((L67+L68)/L67))</f>
        <v>3.7426679280983919</v>
      </c>
      <c r="N68" s="214">
        <v>40.49</v>
      </c>
      <c r="O68" s="222">
        <f>ABS(((N67+N68)/N67))</f>
        <v>2.8488593155893538</v>
      </c>
      <c r="P68" s="214">
        <v>69.489999999999995</v>
      </c>
      <c r="Q68" s="222">
        <f>ABS(((P67+P68)/P67))</f>
        <v>0.71410952146028606</v>
      </c>
      <c r="R68" s="214">
        <v>88.22</v>
      </c>
      <c r="T68" s="214">
        <v>80.349999999999994</v>
      </c>
      <c r="U68" s="222">
        <f>ABS(((T67+T68)/T67))</f>
        <v>1.5986416558861576</v>
      </c>
      <c r="V68" s="214">
        <v>80.03</v>
      </c>
      <c r="X68" s="214">
        <v>108.86</v>
      </c>
      <c r="Y68" s="222">
        <f>ABS(((X67+X68)/X67))</f>
        <v>0.59923608050536226</v>
      </c>
      <c r="Z68" s="213">
        <v>175.69</v>
      </c>
      <c r="AA68" s="222">
        <f>ABS(((Z67+Z68)/Z67))</f>
        <v>0.33594403467416933</v>
      </c>
      <c r="AB68" s="213">
        <v>205.84</v>
      </c>
      <c r="AP68" s="214"/>
      <c r="AT68" s="214"/>
      <c r="AU68" s="222" t="e">
        <f>AT69/AT68</f>
        <v>#DIV/0!</v>
      </c>
      <c r="AV68" s="214"/>
      <c r="AW68" s="222" t="e">
        <f>AV69/AV68</f>
        <v>#DIV/0!</v>
      </c>
      <c r="AX68" s="214"/>
      <c r="AY68" s="224" t="e">
        <f>AX69/AX68</f>
        <v>#DIV/0!</v>
      </c>
      <c r="AZ68" s="225"/>
      <c r="BA68" s="213">
        <v>30.22</v>
      </c>
      <c r="BB68" s="222">
        <f>BA69/BA68</f>
        <v>0.30741230972865652</v>
      </c>
      <c r="BC68" s="213">
        <v>30.22</v>
      </c>
      <c r="BD68" s="222">
        <f>BC69/BC68</f>
        <v>0.37227001985440106</v>
      </c>
      <c r="BE68" s="213">
        <v>30.22</v>
      </c>
      <c r="BF68" s="222">
        <f>BE69/BE68</f>
        <v>0.30542686962276638</v>
      </c>
      <c r="BG68" s="213">
        <v>30.22</v>
      </c>
      <c r="BH68" s="222">
        <f>BG69/BG68</f>
        <v>0.32759761747187288</v>
      </c>
      <c r="BI68" s="213">
        <v>30.22</v>
      </c>
      <c r="BJ68" s="222">
        <f>BI69/BI68</f>
        <v>0.30542686962276638</v>
      </c>
      <c r="BK68" s="214">
        <v>30.22</v>
      </c>
      <c r="BL68" s="222">
        <f>BK69/BK68</f>
        <v>-0.79583057577763083</v>
      </c>
      <c r="BM68" s="214">
        <v>113.86</v>
      </c>
      <c r="BN68" s="222">
        <f>BM69/BM68</f>
        <v>0.55102757772703326</v>
      </c>
      <c r="BO68" s="214">
        <v>148.57</v>
      </c>
      <c r="BP68" s="222">
        <f>BO69/BO68</f>
        <v>0.4255906306791411</v>
      </c>
      <c r="BQ68" s="214">
        <v>83.76</v>
      </c>
      <c r="BR68" s="222">
        <f>BQ69/BQ68</f>
        <v>0.53545845272206316</v>
      </c>
      <c r="BS68" s="214">
        <v>76.7</v>
      </c>
      <c r="BT68" s="222">
        <f>BS69/BS68</f>
        <v>0.52764015645371587</v>
      </c>
      <c r="BU68" s="214">
        <v>59.15</v>
      </c>
      <c r="BV68" s="222">
        <f>BU69/BU68</f>
        <v>0.60608622147083679</v>
      </c>
      <c r="BW68" s="214">
        <v>50.87</v>
      </c>
      <c r="BX68" s="222">
        <f>BW69/BW68</f>
        <v>8.2563396894043559E-2</v>
      </c>
      <c r="BY68" s="214">
        <v>133.49</v>
      </c>
      <c r="BZ68" s="222">
        <f>BY69/BY68</f>
        <v>0.32564237021499748</v>
      </c>
      <c r="CA68" s="214">
        <v>112.36</v>
      </c>
      <c r="CB68" s="222">
        <f>CA69/CA68</f>
        <v>0.39702741189035246</v>
      </c>
      <c r="CC68" s="214">
        <v>117.49</v>
      </c>
      <c r="CD68" s="222">
        <f>CC69/CC68</f>
        <v>0.43944165460890289</v>
      </c>
      <c r="CE68" s="214">
        <v>50.66</v>
      </c>
      <c r="CF68" s="222">
        <f>CE69/CE68</f>
        <v>0.63817607579944735</v>
      </c>
      <c r="CG68" s="214">
        <v>41.66</v>
      </c>
      <c r="CH68" s="222">
        <f>CG69/CG68</f>
        <v>1</v>
      </c>
    </row>
    <row r="69" spans="1:87">
      <c r="C69" s="241" t="s">
        <v>9</v>
      </c>
      <c r="D69" s="214">
        <f>D67+D68</f>
        <v>65.11</v>
      </c>
      <c r="F69" s="214">
        <f>F67+F68</f>
        <v>12.68</v>
      </c>
      <c r="H69" s="214">
        <f>H67+H68</f>
        <v>22.15</v>
      </c>
      <c r="J69" s="214">
        <f>J67+J68</f>
        <v>12.93</v>
      </c>
      <c r="L69" s="214">
        <f>L67+L68</f>
        <v>39.56</v>
      </c>
      <c r="N69" s="214">
        <f>N67+N68</f>
        <v>29.970000000000002</v>
      </c>
      <c r="P69" s="214">
        <f>P67+P68</f>
        <v>28.949999999999996</v>
      </c>
      <c r="R69" s="214">
        <f>R67+R68</f>
        <v>58.739999999999995</v>
      </c>
      <c r="S69" s="214"/>
      <c r="T69" s="214">
        <f>T67+T68</f>
        <v>49.429999999999993</v>
      </c>
      <c r="V69" s="214">
        <f>V67+V68</f>
        <v>31.75</v>
      </c>
      <c r="X69" s="214">
        <f>X67+X68</f>
        <v>40.790000000000006</v>
      </c>
      <c r="Z69" s="214">
        <f>Z67+Z68</f>
        <v>44.180000000000007</v>
      </c>
      <c r="AB69" s="214">
        <f>AB67+AB68</f>
        <v>205.84</v>
      </c>
      <c r="AD69" s="214"/>
      <c r="AF69" s="214"/>
      <c r="AP69" s="214"/>
      <c r="AT69" s="214"/>
      <c r="AV69" s="214">
        <f>AV67+AV68</f>
        <v>0</v>
      </c>
      <c r="AX69" s="214">
        <f>AX67+AX68</f>
        <v>-2.04</v>
      </c>
      <c r="BA69" s="214">
        <f>BA67+BA68</f>
        <v>9.2899999999999991</v>
      </c>
      <c r="BC69" s="214">
        <f>BC67+BC68</f>
        <v>11.25</v>
      </c>
      <c r="BE69" s="214">
        <f>BE67+BE68</f>
        <v>9.23</v>
      </c>
      <c r="BG69" s="214">
        <f>BG67+BG68</f>
        <v>9.8999999999999986</v>
      </c>
      <c r="BI69" s="214">
        <f>BI67+BI68</f>
        <v>9.23</v>
      </c>
      <c r="BK69" s="214">
        <f>BK67+BK68</f>
        <v>-24.050000000000004</v>
      </c>
      <c r="BM69" s="214">
        <f>BM67+BM68</f>
        <v>62.74</v>
      </c>
      <c r="BO69" s="214">
        <f>BO67+BO68</f>
        <v>63.22999999999999</v>
      </c>
      <c r="BQ69" s="214">
        <f>BQ67+BQ68</f>
        <v>44.850000000000009</v>
      </c>
      <c r="BS69" s="214">
        <f>BS67+BS68</f>
        <v>40.470000000000006</v>
      </c>
      <c r="BU69" s="214">
        <f>BU67+BU68</f>
        <v>35.849999999999994</v>
      </c>
      <c r="BW69" s="214">
        <f>BW67+BW68</f>
        <v>4.1999999999999957</v>
      </c>
      <c r="BY69" s="214">
        <f>BY67+BY68</f>
        <v>43.470000000000013</v>
      </c>
      <c r="CA69" s="214">
        <f>CA67+CA68</f>
        <v>44.61</v>
      </c>
      <c r="CC69" s="214">
        <f>CC67+CC68</f>
        <v>51.629999999999995</v>
      </c>
      <c r="CE69" s="214">
        <f>CE67+CE68</f>
        <v>32.33</v>
      </c>
      <c r="CG69" s="214">
        <f>CG67+CG68</f>
        <v>41.66</v>
      </c>
    </row>
    <row r="70" spans="1:87">
      <c r="A70" s="231">
        <v>21</v>
      </c>
      <c r="B70" s="232">
        <v>130811178</v>
      </c>
      <c r="C70" s="233" t="s">
        <v>34</v>
      </c>
      <c r="AP70" s="214"/>
      <c r="AT70" s="214"/>
    </row>
    <row r="71" spans="1:87">
      <c r="C71" s="253" t="s">
        <v>259</v>
      </c>
      <c r="D71" s="235">
        <v>44927</v>
      </c>
      <c r="E71" s="235"/>
      <c r="F71" s="235">
        <v>44958</v>
      </c>
      <c r="G71" s="235"/>
      <c r="H71" s="235">
        <v>44986</v>
      </c>
      <c r="I71" s="235"/>
      <c r="J71" s="235">
        <v>45017</v>
      </c>
      <c r="K71" s="235"/>
      <c r="L71" s="246">
        <v>45047</v>
      </c>
      <c r="M71" s="235"/>
      <c r="N71" s="235">
        <v>45078</v>
      </c>
      <c r="O71" s="235"/>
      <c r="P71" s="235">
        <v>45108</v>
      </c>
      <c r="Q71" s="235"/>
      <c r="R71" s="235">
        <v>45139</v>
      </c>
      <c r="S71" s="235"/>
      <c r="T71" s="235">
        <v>45170</v>
      </c>
      <c r="U71" s="235"/>
      <c r="V71" s="235">
        <v>45200</v>
      </c>
      <c r="W71" s="235"/>
      <c r="X71" s="235">
        <v>45231</v>
      </c>
      <c r="Y71" s="235"/>
      <c r="Z71" s="235">
        <v>45261</v>
      </c>
      <c r="AA71" s="235"/>
      <c r="AB71" s="235">
        <v>45292</v>
      </c>
      <c r="AC71" s="235"/>
      <c r="AD71" s="235">
        <v>45323</v>
      </c>
      <c r="AE71" s="235"/>
      <c r="AF71" s="235">
        <v>45352</v>
      </c>
      <c r="AH71" s="235">
        <v>45383</v>
      </c>
      <c r="AJ71" s="235">
        <v>45413</v>
      </c>
      <c r="AL71" s="235">
        <v>45444</v>
      </c>
      <c r="AN71" s="235">
        <v>45474</v>
      </c>
      <c r="AP71" s="235">
        <v>45505</v>
      </c>
      <c r="AR71" s="236">
        <v>45536</v>
      </c>
      <c r="AT71" s="236">
        <v>45566</v>
      </c>
      <c r="AV71" s="235">
        <v>45597</v>
      </c>
      <c r="AX71" s="235">
        <v>45627</v>
      </c>
      <c r="BA71" s="235">
        <v>45658</v>
      </c>
      <c r="BC71" s="235">
        <v>45689</v>
      </c>
      <c r="BE71" s="235">
        <v>45717</v>
      </c>
      <c r="BG71" s="235">
        <v>45748</v>
      </c>
      <c r="BI71" s="235">
        <v>45778</v>
      </c>
      <c r="BK71" s="235">
        <v>45809</v>
      </c>
      <c r="BM71" s="235">
        <v>45839</v>
      </c>
      <c r="BO71" s="235">
        <v>45870</v>
      </c>
      <c r="BQ71" s="235">
        <v>45901</v>
      </c>
      <c r="BS71" s="235">
        <v>45931</v>
      </c>
      <c r="BU71" s="235">
        <v>45962</v>
      </c>
      <c r="BW71" s="235">
        <v>45992</v>
      </c>
      <c r="BY71" s="235">
        <v>46023</v>
      </c>
      <c r="CA71" s="235">
        <v>46054</v>
      </c>
      <c r="CC71" s="235">
        <v>46082</v>
      </c>
      <c r="CE71" s="235">
        <v>46113</v>
      </c>
      <c r="CG71" s="235">
        <v>46143</v>
      </c>
      <c r="CI71" s="341">
        <v>46174</v>
      </c>
    </row>
    <row r="72" spans="1:87">
      <c r="C72" s="213" t="s">
        <v>7</v>
      </c>
      <c r="D72" s="214">
        <v>-76.8</v>
      </c>
      <c r="F72" s="214">
        <v>-51.1</v>
      </c>
      <c r="H72" s="237">
        <v>-39.31</v>
      </c>
      <c r="J72" s="237">
        <v>-41.41</v>
      </c>
      <c r="L72" s="237">
        <v>-49.08</v>
      </c>
      <c r="N72" s="237">
        <f>-22.26-2.05-7.28</f>
        <v>-31.590000000000003</v>
      </c>
      <c r="P72" s="237">
        <v>-74.010000000000005</v>
      </c>
      <c r="R72" s="237">
        <v>-90.75</v>
      </c>
      <c r="T72" s="237">
        <v>-36.4</v>
      </c>
      <c r="V72" s="237">
        <v>-39.450000000000003</v>
      </c>
      <c r="X72" s="237">
        <v>-44.12</v>
      </c>
      <c r="Z72" s="238">
        <v>-80.819999999999993</v>
      </c>
      <c r="AB72" s="238">
        <v>-81.81</v>
      </c>
      <c r="AD72" s="237">
        <v>-60.85</v>
      </c>
      <c r="AF72" s="237">
        <v>-77.94</v>
      </c>
      <c r="AH72" s="237">
        <f>-12.69-20.45</f>
        <v>-33.14</v>
      </c>
      <c r="AJ72" s="237">
        <v>-37.119999999999997</v>
      </c>
      <c r="AL72" s="237">
        <v>-36.47</v>
      </c>
      <c r="AN72" s="237">
        <v>-65.19</v>
      </c>
      <c r="AP72" s="237">
        <v>-102.95</v>
      </c>
      <c r="AR72" s="237">
        <f>-39.25-16.4</f>
        <v>-55.65</v>
      </c>
      <c r="AT72" s="237">
        <v>-62.13</v>
      </c>
      <c r="AV72" s="237">
        <v>-67.8</v>
      </c>
      <c r="AX72" s="237">
        <v>-106.93</v>
      </c>
      <c r="BA72" s="237">
        <v>-110</v>
      </c>
      <c r="BC72" s="237">
        <v>-76.790000000000006</v>
      </c>
      <c r="BE72" s="237">
        <v>-78.489999999999995</v>
      </c>
      <c r="BG72" s="237">
        <v>-77.739999999999995</v>
      </c>
      <c r="BI72" s="237">
        <v>-63.25</v>
      </c>
      <c r="BK72" s="237">
        <v>-76.709999999999994</v>
      </c>
      <c r="BM72" s="237">
        <v>-92.75</v>
      </c>
      <c r="BO72" s="237">
        <v>-105.51</v>
      </c>
      <c r="BQ72" s="237">
        <v>-69.45</v>
      </c>
      <c r="BS72" s="237">
        <v>-69.59</v>
      </c>
      <c r="BU72" s="237">
        <v>-91.75</v>
      </c>
      <c r="BW72" s="237">
        <v>-106.65</v>
      </c>
      <c r="BY72" s="237">
        <v>-122.46</v>
      </c>
      <c r="CA72" s="237">
        <v>-74.19</v>
      </c>
      <c r="CC72" s="237">
        <v>-82.65</v>
      </c>
      <c r="CE72" s="237">
        <v>-41.9</v>
      </c>
      <c r="CG72" s="237">
        <v>-60.33</v>
      </c>
    </row>
    <row r="73" spans="1:87">
      <c r="C73" s="213" t="s">
        <v>8</v>
      </c>
      <c r="D73" s="214">
        <v>123.37</v>
      </c>
      <c r="E73" s="222">
        <f>ABS(((D72+D73)/D72))</f>
        <v>0.6063802083333335</v>
      </c>
      <c r="F73" s="214">
        <v>85.38</v>
      </c>
      <c r="G73" s="222">
        <f>ABS(((F72+F73)/F72))</f>
        <v>0.67084148727984327</v>
      </c>
      <c r="H73" s="214">
        <v>84.54</v>
      </c>
      <c r="I73" s="222">
        <f>ABS(((H72+H73)/H72))</f>
        <v>1.150597812261511</v>
      </c>
      <c r="J73" s="214">
        <v>75.040000000000006</v>
      </c>
      <c r="K73" s="222">
        <f>ABS(((J72+J73)/J72))</f>
        <v>0.81212267568220264</v>
      </c>
      <c r="L73" s="214">
        <v>89.67</v>
      </c>
      <c r="M73" s="222">
        <f>ABS(((L72+L73)/L72))</f>
        <v>0.82701711491442553</v>
      </c>
      <c r="N73" s="214">
        <v>47.32</v>
      </c>
      <c r="O73" s="222">
        <f>ABS(((N72+N73)/N72))</f>
        <v>0.49794238683127556</v>
      </c>
      <c r="P73" s="214">
        <v>98.09</v>
      </c>
      <c r="Q73" s="222">
        <f>ABS(((P72+P73)/P72))</f>
        <v>0.32536143764356162</v>
      </c>
      <c r="R73" s="214">
        <v>135.94999999999999</v>
      </c>
      <c r="S73" s="222">
        <f>ABS(((R72+R73)/R72))</f>
        <v>0.49807162534435251</v>
      </c>
      <c r="T73" s="214">
        <v>84.81</v>
      </c>
      <c r="U73" s="222">
        <f>ABS(((T72+T73)/T72))</f>
        <v>1.3299450549450551</v>
      </c>
      <c r="V73" s="214">
        <v>80.75</v>
      </c>
      <c r="W73" s="222">
        <f>ABS(((V72+V73)/V72))</f>
        <v>1.0468948035487957</v>
      </c>
      <c r="X73" s="214">
        <v>82.52</v>
      </c>
      <c r="Y73" s="222">
        <f>ABS(((X72+X73)/X72))</f>
        <v>0.87035358114233907</v>
      </c>
      <c r="Z73" s="213">
        <v>118.74</v>
      </c>
      <c r="AA73" s="222">
        <f>ABS(((Z72+Z73)/Z72))</f>
        <v>0.46919079435783229</v>
      </c>
      <c r="AB73" s="213">
        <v>125.21</v>
      </c>
      <c r="AC73" s="222">
        <f>ABS(((AB72+AB73)/AB72))</f>
        <v>0.53049749419386372</v>
      </c>
      <c r="AD73" s="213">
        <v>85.06</v>
      </c>
      <c r="AE73" s="222">
        <f>ABS(((AD72+AD73)/AD72))</f>
        <v>0.39786359901396878</v>
      </c>
      <c r="AF73" s="213">
        <v>99.75</v>
      </c>
      <c r="AG73" s="222">
        <f>ABS(((AF72+AF73)/AF72))</f>
        <v>0.27983063895304083</v>
      </c>
      <c r="AH73" s="214">
        <v>44.9</v>
      </c>
      <c r="AI73" s="222">
        <f>ABS(((AH72+AH73)/AH72))</f>
        <v>0.35485817742908865</v>
      </c>
      <c r="AJ73" s="214">
        <v>22.1</v>
      </c>
      <c r="AK73" s="222">
        <f>ABS(((AJ72+AJ73)/AJ72))</f>
        <v>0.40463362068965508</v>
      </c>
      <c r="AL73" s="214">
        <v>36.159999999999997</v>
      </c>
      <c r="AM73" s="222">
        <f>ABS(((AL72+AL73)/AL72))</f>
        <v>8.5001370989855295E-3</v>
      </c>
      <c r="AN73" s="214">
        <v>80.52</v>
      </c>
      <c r="AO73" s="222">
        <f>ABS(((AN72+AN73)/AN72))</f>
        <v>0.23515876668200641</v>
      </c>
      <c r="AP73" s="214">
        <v>129.49</v>
      </c>
      <c r="AQ73" s="222">
        <f>ABS(((AP72+AP73)/AP72))</f>
        <v>0.25779504613890242</v>
      </c>
      <c r="AR73" s="214">
        <v>71.23</v>
      </c>
      <c r="AS73" s="222">
        <f>ABS(((AR72+AR73)/AR72))</f>
        <v>0.2799640610961367</v>
      </c>
      <c r="AT73" s="214">
        <v>88.11</v>
      </c>
      <c r="AU73" s="222">
        <f>AT74/AT73</f>
        <v>0.29485869935308134</v>
      </c>
      <c r="AV73" s="214">
        <v>93.77</v>
      </c>
      <c r="AW73" s="222">
        <f>AV74/AV73</f>
        <v>0.27695424976005117</v>
      </c>
      <c r="AX73" s="214">
        <v>139.91999999999999</v>
      </c>
      <c r="AY73" s="224">
        <f>AX74/AX73</f>
        <v>0.23577758719268141</v>
      </c>
      <c r="AZ73" s="225"/>
      <c r="BA73" s="214">
        <v>171.19</v>
      </c>
      <c r="BB73" s="222">
        <f>BA74/BA73</f>
        <v>0.3574391027513289</v>
      </c>
      <c r="BC73" s="214">
        <v>97.16</v>
      </c>
      <c r="BD73" s="222">
        <f>BC74/BC73</f>
        <v>0.20965417867435149</v>
      </c>
      <c r="BE73" s="214">
        <v>84.59</v>
      </c>
      <c r="BF73" s="222">
        <f>BE74/BE73</f>
        <v>7.2112542853765324E-2</v>
      </c>
      <c r="BG73" s="214">
        <v>81.290000000000006</v>
      </c>
      <c r="BH73" s="222">
        <f>BG74/BG73</f>
        <v>4.3670808217493064E-2</v>
      </c>
      <c r="BI73" s="214">
        <v>49.57</v>
      </c>
      <c r="BJ73" s="222">
        <f>BI74/BI73</f>
        <v>-0.27597337099051844</v>
      </c>
      <c r="BK73" s="214">
        <v>107.69</v>
      </c>
      <c r="BL73" s="222">
        <f>BK74/BK73</f>
        <v>0.28767759309128055</v>
      </c>
      <c r="BM73" s="214">
        <v>96.31</v>
      </c>
      <c r="BN73" s="222">
        <f>BM74/BM73</f>
        <v>3.6963970511888718E-2</v>
      </c>
      <c r="BO73" s="214">
        <v>109.78</v>
      </c>
      <c r="BP73" s="222">
        <f>BO74/BO73</f>
        <v>3.8895973765713208E-2</v>
      </c>
      <c r="BQ73" s="214">
        <v>68.98</v>
      </c>
      <c r="BR73" s="222">
        <f>BQ74/BQ73</f>
        <v>-6.8135691504783826E-3</v>
      </c>
      <c r="BS73" s="214">
        <v>75.88</v>
      </c>
      <c r="BT73" s="222">
        <f>BS74/BS73</f>
        <v>8.2894043226146449E-2</v>
      </c>
      <c r="BU73" s="214">
        <v>111.73</v>
      </c>
      <c r="BV73" s="222">
        <f>BU74/BU73</f>
        <v>0.17882395059518486</v>
      </c>
      <c r="BW73" s="214">
        <v>120.62</v>
      </c>
      <c r="BX73" s="222">
        <f>BW74/BW73</f>
        <v>0.11581827225999004</v>
      </c>
      <c r="BY73" s="214">
        <v>135.38999999999999</v>
      </c>
      <c r="BZ73" s="222">
        <f>BY74/BY73</f>
        <v>9.5501883447817376E-2</v>
      </c>
      <c r="CA73" s="214">
        <v>102.57</v>
      </c>
      <c r="CB73" s="222">
        <f>CA74/CA73</f>
        <v>0.27668909037730327</v>
      </c>
      <c r="CC73" s="214">
        <v>98.82</v>
      </c>
      <c r="CD73" s="222">
        <f>CC74/CC73</f>
        <v>0.16363084395871269</v>
      </c>
      <c r="CE73" s="214">
        <v>42.53</v>
      </c>
      <c r="CF73" s="222">
        <f>CE74/CE73</f>
        <v>1.4813073124853105E-2</v>
      </c>
      <c r="CG73" s="214">
        <v>59.14</v>
      </c>
      <c r="CH73" s="222">
        <f>CG74/CG73</f>
        <v>-2.0121745011836282E-2</v>
      </c>
    </row>
    <row r="74" spans="1:87">
      <c r="C74" s="241" t="s">
        <v>9</v>
      </c>
      <c r="D74" s="214">
        <f>D72+D73</f>
        <v>46.570000000000007</v>
      </c>
      <c r="F74" s="214">
        <f>SUM(F72:F73)</f>
        <v>34.279999999999994</v>
      </c>
      <c r="H74" s="214">
        <f>SUM(H72:H73)</f>
        <v>45.230000000000004</v>
      </c>
      <c r="J74" s="214">
        <f>SUM(J72:J73)</f>
        <v>33.63000000000001</v>
      </c>
      <c r="L74" s="214">
        <f>SUM(L72:L73)</f>
        <v>40.590000000000003</v>
      </c>
      <c r="N74" s="214">
        <f>SUM(N72:N73)</f>
        <v>15.729999999999997</v>
      </c>
      <c r="P74" s="214">
        <f>SUM(P72:P73)</f>
        <v>24.08</v>
      </c>
      <c r="R74" s="214">
        <f>R72+R73</f>
        <v>45.199999999999989</v>
      </c>
      <c r="S74" s="214"/>
      <c r="T74" s="214">
        <f>T72+T73</f>
        <v>48.410000000000004</v>
      </c>
      <c r="V74" s="214">
        <f>V72+V73</f>
        <v>41.3</v>
      </c>
      <c r="X74" s="214">
        <f>X72+X73</f>
        <v>38.4</v>
      </c>
      <c r="Z74" s="214">
        <f>Z72+Z73</f>
        <v>37.92</v>
      </c>
      <c r="AB74" s="242">
        <f>AB72+AB73</f>
        <v>43.399999999999991</v>
      </c>
      <c r="AD74" s="242">
        <f>AD72+AD73</f>
        <v>24.21</v>
      </c>
      <c r="AF74" s="242">
        <f>AF72+AF73</f>
        <v>21.810000000000002</v>
      </c>
      <c r="AH74" s="243">
        <f>AH72+AH73</f>
        <v>11.759999999999998</v>
      </c>
      <c r="AJ74" s="243">
        <f>AJ72+AJ73</f>
        <v>-15.019999999999996</v>
      </c>
      <c r="AL74" s="243">
        <f>AL72+AL73</f>
        <v>-0.31000000000000227</v>
      </c>
      <c r="AN74" s="243">
        <f>AN72+AN73</f>
        <v>15.329999999999998</v>
      </c>
      <c r="AP74" s="214">
        <f>AP72+AP73</f>
        <v>26.540000000000006</v>
      </c>
      <c r="AR74" s="214">
        <f>AR72+AR73</f>
        <v>15.580000000000005</v>
      </c>
      <c r="AT74" s="214">
        <f>AT72+AT73</f>
        <v>25.979999999999997</v>
      </c>
      <c r="AV74" s="214">
        <f>AV72+AV73</f>
        <v>25.97</v>
      </c>
      <c r="AX74" s="214">
        <f>AX72+AX73</f>
        <v>32.989999999999981</v>
      </c>
      <c r="BA74" s="214">
        <f>BA72+BA73</f>
        <v>61.19</v>
      </c>
      <c r="BC74" s="214">
        <f>BC72+BC73</f>
        <v>20.36999999999999</v>
      </c>
      <c r="BE74" s="214">
        <f>BE72+BE73</f>
        <v>6.1000000000000085</v>
      </c>
      <c r="BG74" s="214">
        <f>BG72+BG73</f>
        <v>3.5500000000000114</v>
      </c>
      <c r="BI74" s="214">
        <f>BI72+BI73</f>
        <v>-13.68</v>
      </c>
      <c r="BK74" s="214">
        <f>BK72+BK73</f>
        <v>30.980000000000004</v>
      </c>
      <c r="BM74" s="214">
        <f>BM72+BM73</f>
        <v>3.5600000000000023</v>
      </c>
      <c r="BO74" s="214">
        <f>BO72+BO73</f>
        <v>4.269999999999996</v>
      </c>
      <c r="BQ74" s="214">
        <f>BQ72+BQ73</f>
        <v>-0.46999999999999886</v>
      </c>
      <c r="BS74" s="214">
        <f>BS72+BS73</f>
        <v>6.289999999999992</v>
      </c>
      <c r="BU74" s="214">
        <f>BU72+BU73</f>
        <v>19.980000000000004</v>
      </c>
      <c r="BW74" s="214">
        <f>BW72+BW73</f>
        <v>13.969999999999999</v>
      </c>
      <c r="BY74" s="214">
        <f>BY72+BY73</f>
        <v>12.929999999999993</v>
      </c>
      <c r="CA74" s="214">
        <f>CA72+CA73</f>
        <v>28.379999999999995</v>
      </c>
      <c r="CC74" s="214">
        <f>CC72+CC73</f>
        <v>16.169999999999987</v>
      </c>
      <c r="CE74" s="214">
        <f>CE72+CE73</f>
        <v>0.63000000000000256</v>
      </c>
      <c r="CG74" s="214">
        <f>CG72+CG73</f>
        <v>-1.1899999999999977</v>
      </c>
    </row>
    <row r="75" spans="1:87" s="256" customFormat="1" hidden="1">
      <c r="A75" s="254">
        <v>22</v>
      </c>
      <c r="B75" s="255" t="s">
        <v>30</v>
      </c>
      <c r="C75" s="233" t="s">
        <v>36</v>
      </c>
      <c r="D75" s="214"/>
      <c r="E75" s="214"/>
      <c r="F75" s="214"/>
      <c r="H75" s="214"/>
      <c r="I75" s="213"/>
      <c r="AP75" s="257"/>
      <c r="AR75" s="257"/>
      <c r="AT75" s="257"/>
      <c r="AU75" s="213"/>
      <c r="AW75" s="213"/>
      <c r="AY75" s="213"/>
      <c r="AZ75" s="213"/>
      <c r="BB75" s="213"/>
      <c r="BD75" s="213"/>
      <c r="BF75" s="213"/>
      <c r="BH75" s="213"/>
      <c r="BJ75" s="213"/>
      <c r="BL75" s="213"/>
      <c r="BN75" s="213"/>
      <c r="BP75" s="213"/>
      <c r="BR75" s="213"/>
      <c r="BT75" s="213"/>
      <c r="BV75" s="213"/>
      <c r="BX75" s="213"/>
    </row>
    <row r="76" spans="1:87" hidden="1">
      <c r="C76" s="253" t="s">
        <v>260</v>
      </c>
      <c r="D76" s="235">
        <v>44927</v>
      </c>
      <c r="E76" s="235"/>
      <c r="F76" s="235">
        <v>44958</v>
      </c>
      <c r="G76" s="235"/>
      <c r="H76" s="235">
        <v>44986</v>
      </c>
      <c r="I76" s="235"/>
      <c r="J76" s="235">
        <v>45017</v>
      </c>
      <c r="K76" s="235"/>
      <c r="L76" s="246">
        <v>45047</v>
      </c>
      <c r="M76" s="235"/>
      <c r="N76" s="235">
        <v>45078</v>
      </c>
      <c r="O76" s="235"/>
      <c r="P76" s="235">
        <v>45108</v>
      </c>
      <c r="Q76" s="235"/>
      <c r="R76" s="235">
        <v>45139</v>
      </c>
      <c r="S76" s="235"/>
      <c r="T76" s="235">
        <v>45170</v>
      </c>
      <c r="U76" s="235"/>
      <c r="V76" s="235">
        <v>45200</v>
      </c>
      <c r="W76" s="235"/>
      <c r="X76" s="235">
        <v>45231</v>
      </c>
      <c r="Y76" s="235"/>
      <c r="Z76" s="235">
        <v>45261</v>
      </c>
      <c r="AA76" s="235"/>
      <c r="AB76" s="235">
        <v>45292</v>
      </c>
      <c r="AC76" s="235"/>
      <c r="AD76" s="235">
        <v>45323</v>
      </c>
      <c r="AE76" s="235"/>
      <c r="AF76" s="235">
        <v>45352</v>
      </c>
      <c r="AH76" s="235">
        <v>45383</v>
      </c>
      <c r="AJ76" s="235">
        <v>45413</v>
      </c>
      <c r="AL76" s="235">
        <v>45444</v>
      </c>
      <c r="AN76" s="235">
        <v>45474</v>
      </c>
      <c r="AP76" s="235">
        <v>45505</v>
      </c>
      <c r="AR76" s="236">
        <v>45536</v>
      </c>
      <c r="AT76" s="236">
        <v>45566</v>
      </c>
      <c r="AV76" s="235">
        <v>45597</v>
      </c>
      <c r="AX76" s="235">
        <v>45627</v>
      </c>
      <c r="BA76" s="235">
        <v>45658</v>
      </c>
      <c r="BC76" s="235">
        <v>45689</v>
      </c>
      <c r="BE76" s="235">
        <v>45717</v>
      </c>
      <c r="BG76" s="235">
        <v>45748</v>
      </c>
    </row>
    <row r="77" spans="1:87" hidden="1">
      <c r="C77" s="213" t="s">
        <v>7</v>
      </c>
      <c r="D77" s="214">
        <v>-695.77</v>
      </c>
      <c r="F77" s="214">
        <v>-737.1</v>
      </c>
      <c r="H77" s="237">
        <v>-603</v>
      </c>
      <c r="J77" s="237">
        <v>-382.76</v>
      </c>
      <c r="L77" s="237">
        <v>-483.43</v>
      </c>
      <c r="N77" s="237">
        <f>-244.82-270.7</f>
        <v>-515.52</v>
      </c>
      <c r="P77" s="237">
        <v>-1094.8900000000001</v>
      </c>
      <c r="R77" s="237">
        <v>-1146.3499999999999</v>
      </c>
      <c r="T77" s="237">
        <v>-894.58</v>
      </c>
      <c r="V77" s="237">
        <v>-842.14</v>
      </c>
      <c r="X77" s="237">
        <v>-852.06</v>
      </c>
      <c r="Z77" s="238">
        <v>0</v>
      </c>
      <c r="AB77" s="258">
        <v>-353.63</v>
      </c>
      <c r="AD77" s="237">
        <v>-878.67</v>
      </c>
      <c r="AF77" s="259">
        <v>-635.46</v>
      </c>
      <c r="AH77" s="237">
        <v>-397.52</v>
      </c>
      <c r="AJ77" s="237">
        <v>-473.21</v>
      </c>
      <c r="AL77" s="237">
        <v>-638.42999999999995</v>
      </c>
      <c r="AN77" s="237">
        <f>-331.9-545.78</f>
        <v>-877.68</v>
      </c>
      <c r="AP77" s="237">
        <v>-889.11</v>
      </c>
      <c r="AR77" s="237">
        <v>-879.15</v>
      </c>
      <c r="AT77" s="237">
        <v>-799.83</v>
      </c>
      <c r="AV77" s="237">
        <f>-619.82-248.03</f>
        <v>-867.85</v>
      </c>
      <c r="AX77" s="214">
        <v>-812.27</v>
      </c>
      <c r="BA77" s="214">
        <v>-846.12</v>
      </c>
      <c r="BC77" s="214"/>
      <c r="BE77" s="214"/>
    </row>
    <row r="78" spans="1:87" hidden="1">
      <c r="C78" s="213" t="s">
        <v>8</v>
      </c>
      <c r="D78" s="214">
        <v>902.16</v>
      </c>
      <c r="E78" s="222">
        <f>ABS(((D77+D78)/D77))</f>
        <v>0.29663538238210901</v>
      </c>
      <c r="F78" s="214">
        <v>772.87</v>
      </c>
      <c r="G78" s="222">
        <f>ABS(((F77+F78)/F77))</f>
        <v>4.8528015194681834E-2</v>
      </c>
      <c r="H78" s="214">
        <v>693.25</v>
      </c>
      <c r="I78" s="222">
        <f>ABS(((H77+H78)/H77))</f>
        <v>0.14966832504145938</v>
      </c>
      <c r="J78" s="214">
        <v>455.01</v>
      </c>
      <c r="K78" s="222">
        <f>ABS(((J77+J78)/J77))</f>
        <v>0.18876058104295121</v>
      </c>
      <c r="L78" s="214">
        <v>533.39</v>
      </c>
      <c r="M78" s="222">
        <f>ABS(((L77+L78)/L77))</f>
        <v>0.10334484827172492</v>
      </c>
      <c r="N78" s="214">
        <v>628.1</v>
      </c>
      <c r="O78" s="222">
        <f>ABS(((N77+N78)/N77))</f>
        <v>0.21838144009931729</v>
      </c>
      <c r="P78" s="214">
        <v>898.49</v>
      </c>
      <c r="Q78" s="222" t="s">
        <v>37</v>
      </c>
      <c r="R78" s="214">
        <v>1313.14</v>
      </c>
      <c r="S78" s="214"/>
      <c r="T78" s="214">
        <v>1073.4000000000001</v>
      </c>
      <c r="U78" s="222">
        <f>ABS(((T77+T78)/T77))</f>
        <v>0.19989268707102778</v>
      </c>
      <c r="V78" s="214">
        <v>961.86</v>
      </c>
      <c r="W78" s="222">
        <f>ABS(((V77+V78)/V77))</f>
        <v>0.14216163583252195</v>
      </c>
      <c r="X78" s="214">
        <v>1060.94</v>
      </c>
      <c r="Y78" s="222">
        <f>ABS(((X77+X78)/X77))</f>
        <v>0.24514705537168757</v>
      </c>
      <c r="Z78" s="260">
        <v>1216.5899999999999</v>
      </c>
      <c r="AA78" s="222" t="e">
        <f>ABS(((Z77+Z78)/Z77))</f>
        <v>#DIV/0!</v>
      </c>
      <c r="AB78" s="260">
        <v>1609.91</v>
      </c>
      <c r="AC78" s="222">
        <f>ABS(((AB77+AB78)/AB77))</f>
        <v>3.5525266521505534</v>
      </c>
      <c r="AD78" s="260">
        <v>1116.7</v>
      </c>
      <c r="AE78" s="222">
        <f>ABS(((AD77+AD78)/AD77))</f>
        <v>0.2708980618434681</v>
      </c>
      <c r="AF78" s="260">
        <v>745.02</v>
      </c>
      <c r="AG78" s="222">
        <f>ABS(((AF77+AF78)/AF77))</f>
        <v>0.17241053724860722</v>
      </c>
      <c r="AH78" s="214">
        <v>563.13</v>
      </c>
      <c r="AI78" s="222">
        <f>ABS(((AH77+AH78)/AH77))</f>
        <v>0.41660796941034417</v>
      </c>
      <c r="AJ78" s="214">
        <v>591.61</v>
      </c>
      <c r="AK78" s="222">
        <f>ABS(((AJ77+AJ78)/AJ77))</f>
        <v>0.25020603960186816</v>
      </c>
      <c r="AL78" s="214">
        <v>621.55999999999995</v>
      </c>
      <c r="AM78" s="222">
        <f>ABS(((AL77+AL78)/AL77))</f>
        <v>2.6424196857917089E-2</v>
      </c>
      <c r="AN78" s="214">
        <v>696.82</v>
      </c>
      <c r="AO78" s="222">
        <f>ABS(((AN77+AN78)/AN77))</f>
        <v>0.20606599216115204</v>
      </c>
      <c r="AP78" s="214">
        <v>1179.3900000000001</v>
      </c>
      <c r="AQ78" s="222">
        <f>ABS(((AP77+AP78)/AP77))</f>
        <v>0.32648378715794457</v>
      </c>
      <c r="AR78" s="214">
        <v>935.11</v>
      </c>
      <c r="AS78" s="222">
        <f>ABS(((AR77+AR78)/AR77))</f>
        <v>6.3652391514531129E-2</v>
      </c>
      <c r="AT78" s="214">
        <v>795.73</v>
      </c>
      <c r="AU78" s="222">
        <f>(AT79/AT78)</f>
        <v>-5.1525014766315488E-3</v>
      </c>
      <c r="AV78" s="214">
        <v>733.48</v>
      </c>
      <c r="AW78" s="222">
        <f>(AV79/AV78)</f>
        <v>-0.18319517914598898</v>
      </c>
      <c r="AX78" s="214">
        <v>655.44</v>
      </c>
      <c r="AY78" s="224">
        <f>(AX79/AX78)</f>
        <v>-0.23927438056877809</v>
      </c>
      <c r="AZ78" s="225"/>
      <c r="BA78" s="214">
        <v>910.12</v>
      </c>
      <c r="BB78" s="222">
        <f>(BA79/BA78)</f>
        <v>7.0320397310244809E-2</v>
      </c>
      <c r="BC78" s="214"/>
      <c r="BD78" s="222" t="e">
        <f>(BC79/BC78)</f>
        <v>#DIV/0!</v>
      </c>
      <c r="BE78" s="214"/>
      <c r="BF78" s="222" t="e">
        <f>(BE79/BE78)</f>
        <v>#DIV/0!</v>
      </c>
      <c r="BH78" s="222" t="e">
        <f>(BG79/BG78)</f>
        <v>#DIV/0!</v>
      </c>
      <c r="BJ78" s="222" t="e">
        <f>(BI79/BI78)</f>
        <v>#DIV/0!</v>
      </c>
      <c r="BL78" s="222" t="e">
        <f>(BK79/BK78)</f>
        <v>#DIV/0!</v>
      </c>
      <c r="BN78" s="222" t="e">
        <f>(BM79/BM78)</f>
        <v>#DIV/0!</v>
      </c>
      <c r="BP78" s="222" t="e">
        <f>(BO79/BO78)</f>
        <v>#DIV/0!</v>
      </c>
      <c r="BR78" s="222" t="e">
        <f>(BQ79/BQ78)</f>
        <v>#DIV/0!</v>
      </c>
      <c r="BT78" s="222" t="e">
        <f>(BS79/BS78)</f>
        <v>#DIV/0!</v>
      </c>
      <c r="BV78" s="222" t="e">
        <f>(BU79/BU78)</f>
        <v>#DIV/0!</v>
      </c>
      <c r="BX78" s="222" t="e">
        <f>(BW79/BW78)</f>
        <v>#DIV/0!</v>
      </c>
    </row>
    <row r="79" spans="1:87" hidden="1">
      <c r="C79" s="241" t="s">
        <v>9</v>
      </c>
      <c r="D79" s="214">
        <f>D77+D78</f>
        <v>206.39</v>
      </c>
      <c r="F79" s="214">
        <f>F77+F78</f>
        <v>35.769999999999982</v>
      </c>
      <c r="H79" s="214">
        <f>H77+H78</f>
        <v>90.25</v>
      </c>
      <c r="J79" s="214">
        <f>J77+J78</f>
        <v>72.25</v>
      </c>
      <c r="L79" s="214">
        <f>L77+L78</f>
        <v>49.95999999999998</v>
      </c>
      <c r="N79" s="214">
        <f>N77+N78</f>
        <v>112.58000000000004</v>
      </c>
      <c r="P79" s="214">
        <f>P77+P78</f>
        <v>-196.40000000000009</v>
      </c>
      <c r="R79" s="214">
        <f>R77+R78</f>
        <v>166.79000000000019</v>
      </c>
      <c r="S79" s="214"/>
      <c r="T79" s="214">
        <f>T77+T78</f>
        <v>178.82000000000005</v>
      </c>
      <c r="V79" s="214">
        <f>V77+V78</f>
        <v>119.72000000000003</v>
      </c>
      <c r="X79" s="214">
        <f>X77+X78</f>
        <v>208.88000000000011</v>
      </c>
      <c r="Z79" s="214">
        <f>Z77+Z78</f>
        <v>1216.5899999999999</v>
      </c>
      <c r="AB79" s="243">
        <f>AB77+AB78</f>
        <v>1256.2800000000002</v>
      </c>
      <c r="AD79" s="243">
        <f>AD77+AD78</f>
        <v>238.03000000000009</v>
      </c>
      <c r="AF79" s="243">
        <f>AF77+AF78</f>
        <v>109.55999999999995</v>
      </c>
      <c r="AH79" s="243">
        <f>AH77+AH78</f>
        <v>165.61</v>
      </c>
      <c r="AJ79" s="243">
        <f>AJ77+AJ78</f>
        <v>118.40000000000003</v>
      </c>
      <c r="AL79" s="243">
        <f>AL77+AL78</f>
        <v>-16.870000000000005</v>
      </c>
      <c r="AN79" s="243">
        <f>AN77+AN78</f>
        <v>-180.8599999999999</v>
      </c>
      <c r="AP79" s="214">
        <f>AP77+AP78</f>
        <v>290.28000000000009</v>
      </c>
      <c r="AR79" s="214">
        <f>AR77+AR78</f>
        <v>55.960000000000036</v>
      </c>
      <c r="AT79" s="214">
        <f>AT77+AT78</f>
        <v>-4.1000000000000227</v>
      </c>
      <c r="AV79" s="214">
        <f>AV77+AV78</f>
        <v>-134.37</v>
      </c>
      <c r="AX79" s="214">
        <f>AX77+AX78</f>
        <v>-156.82999999999993</v>
      </c>
      <c r="BA79" s="214">
        <f>BA77+BA78</f>
        <v>64</v>
      </c>
      <c r="BC79" s="214">
        <f>BC77+BC78</f>
        <v>0</v>
      </c>
      <c r="BE79" s="214">
        <f>BE77+BE78</f>
        <v>0</v>
      </c>
    </row>
    <row r="80" spans="1:87" s="262" customFormat="1" hidden="1">
      <c r="A80" s="261">
        <v>23</v>
      </c>
      <c r="B80" s="212"/>
      <c r="C80" s="262" t="s">
        <v>38</v>
      </c>
      <c r="D80" s="263"/>
      <c r="E80" s="263"/>
      <c r="F80" s="263"/>
      <c r="H80" s="263"/>
      <c r="I80" s="213"/>
      <c r="T80" s="248"/>
      <c r="AG80" s="248"/>
      <c r="AH80" s="248"/>
      <c r="AI80" s="248"/>
      <c r="AJ80" s="248"/>
      <c r="AK80" s="248"/>
      <c r="AL80" s="248"/>
      <c r="AM80" s="248"/>
      <c r="AN80" s="248"/>
      <c r="AO80" s="248"/>
      <c r="AP80" s="264"/>
      <c r="AQ80" s="248"/>
      <c r="AR80" s="264"/>
      <c r="AS80" s="248"/>
      <c r="AT80" s="264"/>
      <c r="AU80" s="248"/>
      <c r="AV80" s="248"/>
      <c r="AW80" s="248"/>
      <c r="AX80" s="248"/>
      <c r="AY80" s="248"/>
      <c r="AZ80" s="248"/>
      <c r="BA80" s="248"/>
      <c r="BB80" s="248"/>
      <c r="BC80" s="248"/>
      <c r="BD80" s="248"/>
      <c r="BE80" s="248"/>
      <c r="BF80" s="248"/>
      <c r="BG80" s="248"/>
      <c r="BH80" s="248"/>
      <c r="BI80" s="248"/>
      <c r="BJ80" s="248"/>
      <c r="BK80" s="248"/>
      <c r="BL80" s="248"/>
      <c r="BM80" s="248"/>
      <c r="BN80" s="248"/>
      <c r="BO80" s="248"/>
      <c r="BP80" s="248"/>
      <c r="BQ80" s="248"/>
      <c r="BR80" s="248"/>
      <c r="BS80" s="248"/>
      <c r="BT80" s="248"/>
      <c r="BU80" s="248"/>
      <c r="BV80" s="248"/>
      <c r="BX80" s="248"/>
    </row>
    <row r="81" spans="1:87" s="262" customFormat="1" hidden="1">
      <c r="A81" s="261"/>
      <c r="B81" s="212"/>
      <c r="C81" s="265" t="s">
        <v>39</v>
      </c>
      <c r="D81" s="263"/>
      <c r="E81" s="263"/>
      <c r="F81" s="263"/>
      <c r="H81" s="263">
        <v>44986</v>
      </c>
      <c r="I81" s="235"/>
      <c r="T81" s="248"/>
      <c r="AG81" s="248"/>
      <c r="AH81" s="248"/>
      <c r="AI81" s="248"/>
      <c r="AJ81" s="248"/>
      <c r="AK81" s="248"/>
      <c r="AL81" s="248"/>
      <c r="AM81" s="248"/>
      <c r="AN81" s="248"/>
      <c r="AO81" s="248"/>
      <c r="AP81" s="264"/>
      <c r="AQ81" s="248"/>
      <c r="AR81" s="264"/>
      <c r="AS81" s="248"/>
      <c r="AT81" s="264"/>
      <c r="AU81" s="248"/>
      <c r="AV81" s="248"/>
      <c r="AW81" s="248"/>
      <c r="AX81" s="248"/>
      <c r="AY81" s="248"/>
      <c r="AZ81" s="248"/>
      <c r="BA81" s="248"/>
      <c r="BB81" s="248"/>
      <c r="BC81" s="248"/>
      <c r="BD81" s="248"/>
      <c r="BE81" s="248"/>
      <c r="BF81" s="248"/>
      <c r="BG81" s="248"/>
      <c r="BH81" s="248"/>
      <c r="BI81" s="248"/>
      <c r="BJ81" s="248"/>
      <c r="BK81" s="248"/>
      <c r="BL81" s="248"/>
      <c r="BM81" s="248"/>
      <c r="BN81" s="248"/>
      <c r="BO81" s="248"/>
      <c r="BP81" s="248"/>
      <c r="BQ81" s="248"/>
      <c r="BR81" s="248"/>
      <c r="BS81" s="248"/>
      <c r="BT81" s="248"/>
      <c r="BU81" s="248"/>
      <c r="BV81" s="248"/>
      <c r="BX81" s="248"/>
    </row>
    <row r="82" spans="1:87" s="262" customFormat="1" hidden="1">
      <c r="A82" s="261"/>
      <c r="B82" s="212"/>
      <c r="C82" s="262" t="s">
        <v>7</v>
      </c>
      <c r="D82" s="263"/>
      <c r="E82" s="263"/>
      <c r="F82" s="263"/>
      <c r="H82" s="263"/>
      <c r="I82" s="213"/>
      <c r="T82" s="248"/>
      <c r="AG82" s="248"/>
      <c r="AH82" s="248"/>
      <c r="AI82" s="248"/>
      <c r="AJ82" s="248"/>
      <c r="AK82" s="248"/>
      <c r="AL82" s="248"/>
      <c r="AM82" s="248"/>
      <c r="AN82" s="248"/>
      <c r="AO82" s="248"/>
      <c r="AP82" s="264"/>
      <c r="AQ82" s="248"/>
      <c r="AR82" s="264"/>
      <c r="AS82" s="248"/>
      <c r="AT82" s="264"/>
      <c r="AU82" s="248"/>
      <c r="AV82" s="248"/>
      <c r="AW82" s="248"/>
      <c r="AX82" s="248"/>
      <c r="AY82" s="248"/>
      <c r="AZ82" s="248"/>
      <c r="BA82" s="248"/>
      <c r="BB82" s="248"/>
      <c r="BC82" s="248"/>
      <c r="BD82" s="248"/>
      <c r="BE82" s="248"/>
      <c r="BF82" s="248"/>
      <c r="BG82" s="248"/>
      <c r="BH82" s="248"/>
      <c r="BI82" s="248"/>
      <c r="BJ82" s="248"/>
      <c r="BK82" s="248"/>
      <c r="BL82" s="248"/>
      <c r="BM82" s="248"/>
      <c r="BN82" s="248"/>
      <c r="BO82" s="248"/>
      <c r="BP82" s="248"/>
      <c r="BQ82" s="248"/>
      <c r="BR82" s="248"/>
      <c r="BS82" s="248"/>
      <c r="BT82" s="248"/>
      <c r="BU82" s="248"/>
      <c r="BV82" s="248"/>
      <c r="BX82" s="248"/>
    </row>
    <row r="83" spans="1:87" s="262" customFormat="1" hidden="1">
      <c r="A83" s="261"/>
      <c r="B83" s="212"/>
      <c r="C83" s="262" t="s">
        <v>8</v>
      </c>
      <c r="D83" s="263"/>
      <c r="E83" s="263"/>
      <c r="F83" s="263"/>
      <c r="H83" s="263"/>
      <c r="I83" s="266"/>
      <c r="T83" s="248"/>
      <c r="AG83" s="248"/>
      <c r="AH83" s="248"/>
      <c r="AI83" s="248"/>
      <c r="AJ83" s="248"/>
      <c r="AK83" s="248"/>
      <c r="AL83" s="248"/>
      <c r="AM83" s="248"/>
      <c r="AN83" s="248"/>
      <c r="AO83" s="248"/>
      <c r="AP83" s="264"/>
      <c r="AQ83" s="248"/>
      <c r="AR83" s="264"/>
      <c r="AS83" s="248"/>
      <c r="AT83" s="264"/>
      <c r="AU83" s="248"/>
      <c r="AV83" s="248"/>
      <c r="AW83" s="248"/>
      <c r="AX83" s="248"/>
      <c r="AY83" s="248"/>
      <c r="AZ83" s="248"/>
      <c r="BA83" s="248"/>
      <c r="BB83" s="248"/>
      <c r="BC83" s="248"/>
      <c r="BD83" s="248"/>
      <c r="BE83" s="248"/>
      <c r="BF83" s="248"/>
      <c r="BG83" s="248"/>
      <c r="BH83" s="248"/>
      <c r="BI83" s="248"/>
      <c r="BJ83" s="248"/>
      <c r="BK83" s="248"/>
      <c r="BL83" s="248"/>
      <c r="BM83" s="248"/>
      <c r="BN83" s="248"/>
      <c r="BO83" s="248"/>
      <c r="BP83" s="248"/>
      <c r="BQ83" s="248"/>
      <c r="BR83" s="248"/>
      <c r="BS83" s="248"/>
      <c r="BT83" s="248"/>
      <c r="BU83" s="248"/>
      <c r="BV83" s="248"/>
      <c r="BX83" s="248"/>
    </row>
    <row r="84" spans="1:87" s="262" customFormat="1" hidden="1">
      <c r="A84" s="261"/>
      <c r="B84" s="212"/>
      <c r="C84" s="262" t="s">
        <v>9</v>
      </c>
      <c r="D84" s="263"/>
      <c r="E84" s="263"/>
      <c r="F84" s="263"/>
      <c r="H84" s="263"/>
      <c r="I84" s="213"/>
      <c r="T84" s="248"/>
      <c r="AG84" s="248"/>
      <c r="AH84" s="248"/>
      <c r="AI84" s="248"/>
      <c r="AJ84" s="248"/>
      <c r="AK84" s="248"/>
      <c r="AL84" s="248"/>
      <c r="AM84" s="248"/>
      <c r="AN84" s="248"/>
      <c r="AO84" s="248"/>
      <c r="AP84" s="264"/>
      <c r="AQ84" s="248"/>
      <c r="AR84" s="264"/>
      <c r="AS84" s="248"/>
      <c r="AT84" s="264"/>
      <c r="AU84" s="248"/>
      <c r="AV84" s="248"/>
      <c r="AW84" s="248"/>
      <c r="AX84" s="248"/>
      <c r="AY84" s="248"/>
      <c r="AZ84" s="248"/>
      <c r="BA84" s="248"/>
      <c r="BB84" s="248"/>
      <c r="BC84" s="248"/>
      <c r="BD84" s="248"/>
      <c r="BE84" s="248"/>
      <c r="BF84" s="248"/>
      <c r="BG84" s="248"/>
      <c r="BH84" s="248"/>
      <c r="BI84" s="248"/>
      <c r="BJ84" s="248"/>
      <c r="BK84" s="248"/>
      <c r="BL84" s="248"/>
      <c r="BM84" s="248"/>
      <c r="BN84" s="248"/>
      <c r="BO84" s="248"/>
      <c r="BP84" s="248"/>
      <c r="BQ84" s="248"/>
      <c r="BR84" s="248"/>
      <c r="BS84" s="248"/>
      <c r="BT84" s="248"/>
      <c r="BU84" s="248"/>
      <c r="BV84" s="248"/>
      <c r="BX84" s="248"/>
    </row>
    <row r="85" spans="1:87" s="267" customFormat="1" hidden="1">
      <c r="A85" s="231">
        <v>24</v>
      </c>
      <c r="B85" s="255" t="s">
        <v>30</v>
      </c>
      <c r="C85" s="267" t="s">
        <v>41</v>
      </c>
      <c r="D85" s="268"/>
      <c r="E85" s="268"/>
      <c r="F85" s="268"/>
      <c r="H85" s="268"/>
      <c r="T85" s="213"/>
      <c r="AB85" s="213"/>
      <c r="AD85" s="213"/>
      <c r="AF85" s="213"/>
      <c r="AG85" s="213"/>
      <c r="AH85" s="213"/>
      <c r="AI85" s="213"/>
      <c r="AJ85" s="213"/>
      <c r="AK85" s="213"/>
      <c r="AL85" s="213"/>
      <c r="AM85" s="213"/>
      <c r="AN85" s="213"/>
      <c r="AO85" s="213"/>
      <c r="AP85" s="214"/>
      <c r="AQ85" s="213"/>
      <c r="AR85" s="214"/>
      <c r="AS85" s="213"/>
      <c r="AT85" s="214"/>
      <c r="AU85" s="213"/>
      <c r="AV85" s="213"/>
      <c r="AW85" s="213"/>
      <c r="AX85" s="213"/>
      <c r="AY85" s="213"/>
      <c r="AZ85" s="213"/>
      <c r="BA85" s="213"/>
      <c r="BB85" s="213"/>
      <c r="BC85" s="213"/>
      <c r="BD85" s="213"/>
      <c r="BE85" s="213"/>
      <c r="BF85" s="213"/>
      <c r="BG85" s="213"/>
      <c r="BH85" s="213"/>
      <c r="BI85" s="213"/>
      <c r="BJ85" s="213"/>
      <c r="BK85" s="213"/>
      <c r="BL85" s="213"/>
      <c r="BM85" s="213"/>
      <c r="BN85" s="213"/>
      <c r="BO85" s="213"/>
      <c r="BP85" s="213"/>
      <c r="BQ85" s="213"/>
      <c r="BR85" s="213"/>
      <c r="BS85" s="213"/>
      <c r="BT85" s="213"/>
      <c r="BU85" s="213"/>
      <c r="BV85" s="213"/>
      <c r="BX85" s="213"/>
    </row>
    <row r="86" spans="1:87" s="267" customFormat="1" hidden="1">
      <c r="A86" s="269"/>
      <c r="B86" s="212"/>
      <c r="C86" s="270" t="s">
        <v>42</v>
      </c>
      <c r="D86" s="271">
        <v>44927</v>
      </c>
      <c r="E86" s="271"/>
      <c r="F86" s="271">
        <v>44958</v>
      </c>
      <c r="G86" s="271"/>
      <c r="H86" s="271">
        <v>44986</v>
      </c>
      <c r="I86" s="271"/>
      <c r="J86" s="271">
        <v>45017</v>
      </c>
      <c r="K86" s="271"/>
      <c r="L86" s="271">
        <v>45047</v>
      </c>
      <c r="M86" s="271"/>
      <c r="N86" s="271">
        <v>45078</v>
      </c>
      <c r="O86" s="271"/>
      <c r="P86" s="271">
        <v>45108</v>
      </c>
      <c r="Q86" s="271"/>
      <c r="R86" s="271">
        <v>45139</v>
      </c>
      <c r="S86" s="271"/>
      <c r="T86" s="235">
        <v>45170</v>
      </c>
      <c r="U86" s="271"/>
      <c r="V86" s="271">
        <v>45200</v>
      </c>
      <c r="W86" s="271"/>
      <c r="X86" s="271">
        <v>45231</v>
      </c>
      <c r="Y86" s="271"/>
      <c r="Z86" s="271">
        <v>45261</v>
      </c>
      <c r="AA86" s="271"/>
      <c r="AB86" s="235">
        <v>45292</v>
      </c>
      <c r="AC86" s="271"/>
      <c r="AD86" s="235">
        <v>45323</v>
      </c>
      <c r="AE86" s="271"/>
      <c r="AF86" s="235">
        <v>45352</v>
      </c>
      <c r="AG86" s="213"/>
      <c r="AH86" s="235">
        <v>45383</v>
      </c>
      <c r="AI86" s="213"/>
      <c r="AJ86" s="235">
        <v>45413</v>
      </c>
      <c r="AK86" s="213"/>
      <c r="AL86" s="235">
        <v>45444</v>
      </c>
      <c r="AM86" s="213"/>
      <c r="AN86" s="235">
        <v>45474</v>
      </c>
      <c r="AO86" s="213"/>
      <c r="AP86" s="235">
        <v>45505</v>
      </c>
      <c r="AQ86" s="213"/>
      <c r="AR86" s="236">
        <v>45536</v>
      </c>
      <c r="AS86" s="213"/>
      <c r="AT86" s="236">
        <v>45566</v>
      </c>
      <c r="AU86" s="213"/>
      <c r="AV86" s="235">
        <v>45597</v>
      </c>
      <c r="AW86" s="213"/>
      <c r="AX86" s="235">
        <v>45627</v>
      </c>
      <c r="AY86" s="213"/>
      <c r="AZ86" s="213"/>
      <c r="BA86" s="235">
        <v>45658</v>
      </c>
      <c r="BB86" s="213"/>
      <c r="BC86" s="235">
        <v>45689</v>
      </c>
      <c r="BD86" s="213"/>
      <c r="BE86" s="235">
        <v>45717</v>
      </c>
      <c r="BF86" s="213"/>
      <c r="BG86" s="235">
        <v>45748</v>
      </c>
      <c r="BH86" s="213"/>
      <c r="BI86" s="235">
        <v>45778</v>
      </c>
      <c r="BJ86" s="213"/>
      <c r="BK86" s="235">
        <v>45809</v>
      </c>
      <c r="BL86" s="213"/>
      <c r="BM86" s="213"/>
      <c r="BN86" s="213"/>
      <c r="BO86" s="213"/>
      <c r="BP86" s="213"/>
      <c r="BQ86" s="213"/>
      <c r="BR86" s="213"/>
      <c r="BS86" s="213"/>
      <c r="BT86" s="213"/>
      <c r="BU86" s="213"/>
      <c r="BV86" s="213"/>
      <c r="BX86" s="213"/>
    </row>
    <row r="87" spans="1:87" s="267" customFormat="1" hidden="1">
      <c r="A87" s="269"/>
      <c r="B87" s="212"/>
      <c r="C87" s="267" t="s">
        <v>7</v>
      </c>
      <c r="D87" s="272">
        <v>-657.54</v>
      </c>
      <c r="E87" s="272"/>
      <c r="F87" s="272">
        <v>-595.03</v>
      </c>
      <c r="G87" s="270"/>
      <c r="H87" s="273">
        <v>-567.73</v>
      </c>
      <c r="I87" s="270"/>
      <c r="J87" s="273">
        <v>-456.04</v>
      </c>
      <c r="K87" s="270"/>
      <c r="L87" s="273">
        <f>-476.24</f>
        <v>-476.24</v>
      </c>
      <c r="M87" s="270"/>
      <c r="N87" s="273">
        <v>-466.31</v>
      </c>
      <c r="O87" s="270"/>
      <c r="P87" s="273">
        <v>-611.22</v>
      </c>
      <c r="Q87" s="270"/>
      <c r="R87" s="273">
        <v>-582.04999999999995</v>
      </c>
      <c r="S87" s="270"/>
      <c r="T87" s="273">
        <v>-580.65</v>
      </c>
      <c r="U87" s="270"/>
      <c r="V87" s="273">
        <v>-692</v>
      </c>
      <c r="W87" s="270"/>
      <c r="X87" s="273">
        <v>-730.71</v>
      </c>
      <c r="Y87" s="270"/>
      <c r="Z87" s="274">
        <v>-695.52</v>
      </c>
      <c r="AA87" s="270"/>
      <c r="AB87" s="275">
        <v>-811.29</v>
      </c>
      <c r="AC87" s="270"/>
      <c r="AD87" s="237">
        <v>-704.86</v>
      </c>
      <c r="AE87" s="270"/>
      <c r="AF87" s="237">
        <f>-424.32-185.69</f>
        <v>-610.01</v>
      </c>
      <c r="AG87" s="213"/>
      <c r="AH87" s="237">
        <v>-423.85</v>
      </c>
      <c r="AI87" s="213"/>
      <c r="AJ87" s="237">
        <v>-380.45</v>
      </c>
      <c r="AK87" s="213"/>
      <c r="AL87" s="237">
        <v>-358.17</v>
      </c>
      <c r="AM87" s="213"/>
      <c r="AN87" s="237">
        <v>-511.08</v>
      </c>
      <c r="AO87" s="213"/>
      <c r="AP87" s="237">
        <f>-741.84-21.77</f>
        <v>-763.61</v>
      </c>
      <c r="AQ87" s="213"/>
      <c r="AR87" s="237">
        <v>-604.62</v>
      </c>
      <c r="AS87" s="213"/>
      <c r="AT87" s="237">
        <v>-599.89</v>
      </c>
      <c r="AU87" s="213"/>
      <c r="AV87" s="237">
        <v>-703.74</v>
      </c>
      <c r="AW87" s="213"/>
      <c r="AX87" s="237">
        <v>-1000.69</v>
      </c>
      <c r="AY87" s="213"/>
      <c r="AZ87" s="213"/>
      <c r="BA87" s="237">
        <v>-809.9</v>
      </c>
      <c r="BB87" s="213"/>
      <c r="BC87" s="237">
        <v>-706.83</v>
      </c>
      <c r="BD87" s="213"/>
      <c r="BE87" s="237">
        <v>-612.07000000000005</v>
      </c>
      <c r="BF87" s="213"/>
      <c r="BG87" s="237">
        <f>BG339-479.32</f>
        <v>-443.43</v>
      </c>
      <c r="BH87" s="213"/>
      <c r="BI87" s="237">
        <v>-449.91</v>
      </c>
      <c r="BJ87" s="213"/>
      <c r="BK87" s="237">
        <v>-78.09</v>
      </c>
      <c r="BL87" s="213"/>
      <c r="BM87" s="213"/>
      <c r="BN87" s="213"/>
      <c r="BO87" s="213"/>
      <c r="BP87" s="213"/>
      <c r="BQ87" s="213"/>
      <c r="BR87" s="213"/>
      <c r="BS87" s="213"/>
      <c r="BT87" s="213"/>
      <c r="BU87" s="213"/>
      <c r="BV87" s="213"/>
      <c r="BX87" s="213"/>
    </row>
    <row r="88" spans="1:87" s="267" customFormat="1" hidden="1">
      <c r="A88" s="269"/>
      <c r="B88" s="212"/>
      <c r="C88" s="267" t="s">
        <v>8</v>
      </c>
      <c r="D88" s="272">
        <v>1412.58</v>
      </c>
      <c r="E88" s="276">
        <f>ABS(((D87+D88)/D87))</f>
        <v>1.1482799525504153</v>
      </c>
      <c r="F88" s="272">
        <v>1152.29</v>
      </c>
      <c r="G88" s="276">
        <f>ABS(((F87+F88)/F87))</f>
        <v>0.93652420886341869</v>
      </c>
      <c r="H88" s="272">
        <v>1141.27</v>
      </c>
      <c r="I88" s="276">
        <f>ABS(((H87+H88)/H87))</f>
        <v>1.0102337378683528</v>
      </c>
      <c r="J88" s="272">
        <v>865.32</v>
      </c>
      <c r="K88" s="276">
        <f>ABS(((J87+J88)/J87))</f>
        <v>0.89746513463731259</v>
      </c>
      <c r="L88" s="272">
        <v>930.88</v>
      </c>
      <c r="M88" s="276">
        <f>ABS(((L87+L88)/L87))</f>
        <v>0.9546447169494372</v>
      </c>
      <c r="N88" s="272">
        <v>965.51</v>
      </c>
      <c r="O88" s="276">
        <f>ABS(((N87+N88)/N87))</f>
        <v>1.0705324783942012</v>
      </c>
      <c r="P88" s="272">
        <v>1119.3</v>
      </c>
      <c r="Q88" s="276">
        <f>ABS(((P87+P88)/P87))</f>
        <v>0.83125552174339834</v>
      </c>
      <c r="R88" s="272">
        <v>887.59</v>
      </c>
      <c r="S88" s="272"/>
      <c r="T88" s="217">
        <v>881.05</v>
      </c>
      <c r="U88" s="276">
        <f>ABS(((T87+T88)/T87))</f>
        <v>0.51735124429518642</v>
      </c>
      <c r="V88" s="272">
        <v>1263.6400000000001</v>
      </c>
      <c r="W88" s="222">
        <f>ABS(((V87+V88)/V87))</f>
        <v>0.82606936416184984</v>
      </c>
      <c r="X88" s="272">
        <v>1137.6099999999999</v>
      </c>
      <c r="Y88" s="222">
        <f>ABS(((X87+X88)/X87))</f>
        <v>0.55685566093251748</v>
      </c>
      <c r="Z88" s="277">
        <v>1213.08</v>
      </c>
      <c r="AA88" s="222">
        <f>ABS(((Z87+Z88)/Z87))</f>
        <v>0.74413388543823322</v>
      </c>
      <c r="AB88" s="278">
        <v>1247.83</v>
      </c>
      <c r="AC88" s="222">
        <f>ABS(((AB87+AB88)/AB87))</f>
        <v>0.53808132726891733</v>
      </c>
      <c r="AD88" s="278">
        <v>1218.93</v>
      </c>
      <c r="AE88" s="222">
        <f>ABS(((AD87+AD88)/AD87))</f>
        <v>0.72932213489203535</v>
      </c>
      <c r="AF88" s="278">
        <v>1126.7</v>
      </c>
      <c r="AG88" s="222">
        <f>ABS(((AF87+AF88)/AF87))</f>
        <v>0.84701890132948654</v>
      </c>
      <c r="AH88" s="214">
        <v>971.35</v>
      </c>
      <c r="AI88" s="222">
        <f>ABS(((AH87+AH88)/AH87))</f>
        <v>1.2917305650583932</v>
      </c>
      <c r="AJ88" s="214">
        <v>824.61</v>
      </c>
      <c r="AK88" s="222">
        <f>ABS(((AJ87+AJ88)/AJ87))</f>
        <v>1.1674595873307927</v>
      </c>
      <c r="AL88" s="214">
        <v>792.8</v>
      </c>
      <c r="AM88" s="222">
        <f>ABS(((AL87+AL88)/AL87))</f>
        <v>1.2134740486361222</v>
      </c>
      <c r="AN88" s="214">
        <v>994.91</v>
      </c>
      <c r="AO88" s="222">
        <f>ABS(((AN87+AN88)/AN87))</f>
        <v>0.94668153713704317</v>
      </c>
      <c r="AP88" s="214">
        <v>1365.07</v>
      </c>
      <c r="AQ88" s="222">
        <f>ABS(((AP87+AP88)/AP87))</f>
        <v>0.7876533832715652</v>
      </c>
      <c r="AR88" s="214">
        <v>990.81</v>
      </c>
      <c r="AS88" s="222">
        <f>ABS(((AR87+AR88)/AR87))</f>
        <v>0.63873176540637089</v>
      </c>
      <c r="AT88" s="214">
        <v>1149.75</v>
      </c>
      <c r="AU88" s="222">
        <f>ABS(((AT87+AT88)/AT87))</f>
        <v>0.91660137691910193</v>
      </c>
      <c r="AV88" s="214">
        <v>1110.57</v>
      </c>
      <c r="AW88" s="222">
        <f>ABS(((AV87+AV88)/AV87))</f>
        <v>0.57809702446926414</v>
      </c>
      <c r="AX88" s="214">
        <v>1011.65</v>
      </c>
      <c r="AY88" s="224">
        <f>ABS(((AX87+AX88)/AX87))</f>
        <v>1.0952442814457945E-2</v>
      </c>
      <c r="AZ88" s="225"/>
      <c r="BA88" s="214">
        <v>1131.31</v>
      </c>
      <c r="BB88" s="222">
        <f>ABS(((BA87+BA88)/BA87))</f>
        <v>0.39685146314359793</v>
      </c>
      <c r="BC88" s="214">
        <v>933.94</v>
      </c>
      <c r="BD88" s="222">
        <f>ABS(((BC87+BC88)/BC87))</f>
        <v>0.32130781093049249</v>
      </c>
      <c r="BE88" s="214">
        <v>1101.04</v>
      </c>
      <c r="BF88" s="222">
        <f>ABS(((BE87+BE88)/BE87))</f>
        <v>0.79887921316189303</v>
      </c>
      <c r="BG88" s="214">
        <v>1014.7</v>
      </c>
      <c r="BH88" s="222">
        <f>ABS(((BG87+BG88)/BG87))</f>
        <v>1.288298040276932</v>
      </c>
      <c r="BI88" s="214"/>
      <c r="BJ88" s="222">
        <f>ABS(((BI87+BI88)/BI87))</f>
        <v>1</v>
      </c>
      <c r="BK88" s="214"/>
      <c r="BL88" s="222">
        <f>ABS(((BK87+BK88)/BK87))</f>
        <v>1</v>
      </c>
      <c r="BM88" s="213"/>
      <c r="BN88" s="222" t="e">
        <f>ABS(((BM87+BM88)/BM87))</f>
        <v>#DIV/0!</v>
      </c>
      <c r="BO88" s="213"/>
      <c r="BP88" s="222" t="e">
        <f>ABS(((BO87+BO88)/BO87))</f>
        <v>#DIV/0!</v>
      </c>
      <c r="BQ88" s="213"/>
      <c r="BR88" s="222" t="e">
        <f>ABS(((BQ87+BQ88)/BQ87))</f>
        <v>#DIV/0!</v>
      </c>
      <c r="BS88" s="213"/>
      <c r="BT88" s="222" t="e">
        <f>ABS(((BS87+BS88)/BS87))</f>
        <v>#DIV/0!</v>
      </c>
      <c r="BU88" s="213"/>
      <c r="BV88" s="222" t="e">
        <f>ABS(((BU87+BU88)/BU87))</f>
        <v>#DIV/0!</v>
      </c>
      <c r="BX88" s="222" t="e">
        <f>ABS(((BW87+BW88)/BW87))</f>
        <v>#DIV/0!</v>
      </c>
    </row>
    <row r="89" spans="1:87" s="267" customFormat="1" hidden="1">
      <c r="A89" s="269"/>
      <c r="B89" s="212"/>
      <c r="C89" s="267" t="s">
        <v>9</v>
      </c>
      <c r="D89" s="272">
        <f>D87+D88</f>
        <v>755.04</v>
      </c>
      <c r="E89" s="272"/>
      <c r="F89" s="272">
        <f>F87+F88</f>
        <v>557.26</v>
      </c>
      <c r="G89" s="270"/>
      <c r="H89" s="272">
        <f>H87+H88</f>
        <v>573.54</v>
      </c>
      <c r="I89" s="270"/>
      <c r="J89" s="272">
        <f>J87+J88</f>
        <v>409.28000000000003</v>
      </c>
      <c r="K89" s="270"/>
      <c r="L89" s="272">
        <f>L87+L88</f>
        <v>454.64</v>
      </c>
      <c r="M89" s="270"/>
      <c r="N89" s="272">
        <f>N87+N88</f>
        <v>499.2</v>
      </c>
      <c r="O89" s="270"/>
      <c r="P89" s="272">
        <f>P87+P88</f>
        <v>508.07999999999993</v>
      </c>
      <c r="Q89" s="270"/>
      <c r="R89" s="268">
        <f>R87+R88</f>
        <v>305.54000000000008</v>
      </c>
      <c r="S89" s="268"/>
      <c r="T89" s="214">
        <f>T87+T88</f>
        <v>300.39999999999998</v>
      </c>
      <c r="U89" s="270"/>
      <c r="V89" s="214">
        <f>V87+V88</f>
        <v>571.6400000000001</v>
      </c>
      <c r="W89" s="270"/>
      <c r="X89" s="214">
        <f>X87+X88</f>
        <v>406.89999999999986</v>
      </c>
      <c r="Y89" s="270"/>
      <c r="Z89" s="214">
        <f>Z87+Z88</f>
        <v>517.55999999999995</v>
      </c>
      <c r="AA89" s="270"/>
      <c r="AB89" s="243">
        <f>AB87+AB88</f>
        <v>436.53999999999996</v>
      </c>
      <c r="AC89" s="270"/>
      <c r="AD89" s="243">
        <f>AD87+AD88</f>
        <v>514.07000000000005</v>
      </c>
      <c r="AE89" s="270"/>
      <c r="AF89" s="243">
        <f>AF87+AF88</f>
        <v>516.69000000000005</v>
      </c>
      <c r="AG89" s="213"/>
      <c r="AH89" s="243">
        <f>AH87+AH88</f>
        <v>547.5</v>
      </c>
      <c r="AI89" s="213"/>
      <c r="AJ89" s="243">
        <f>AJ87+AJ88</f>
        <v>444.16</v>
      </c>
      <c r="AK89" s="213"/>
      <c r="AL89" s="243">
        <f>AL87+AL88</f>
        <v>434.62999999999994</v>
      </c>
      <c r="AM89" s="213"/>
      <c r="AN89" s="214">
        <f>AN87+AN88</f>
        <v>483.83</v>
      </c>
      <c r="AO89" s="213"/>
      <c r="AP89" s="214">
        <f>AP87+AP88</f>
        <v>601.45999999999992</v>
      </c>
      <c r="AQ89" s="213"/>
      <c r="AR89" s="214">
        <f>AR87+AR88</f>
        <v>386.18999999999994</v>
      </c>
      <c r="AS89" s="213"/>
      <c r="AT89" s="214">
        <f>AT87+AT88</f>
        <v>549.86</v>
      </c>
      <c r="AU89" s="213"/>
      <c r="AV89" s="214">
        <f>AV87+AV88</f>
        <v>406.82999999999993</v>
      </c>
      <c r="AW89" s="213"/>
      <c r="AX89" s="214">
        <f>AX87+AX88</f>
        <v>10.959999999999923</v>
      </c>
      <c r="AY89" s="213"/>
      <c r="AZ89" s="213"/>
      <c r="BA89" s="214">
        <f>BA87+BA88</f>
        <v>321.40999999999997</v>
      </c>
      <c r="BB89" s="213"/>
      <c r="BC89" s="214">
        <f>BC87+BC88</f>
        <v>227.11</v>
      </c>
      <c r="BD89" s="213"/>
      <c r="BE89" s="214">
        <f>BE87+BE88</f>
        <v>488.96999999999991</v>
      </c>
      <c r="BF89" s="213"/>
      <c r="BG89" s="214">
        <f>BG87+BG88</f>
        <v>571.27</v>
      </c>
      <c r="BH89" s="213"/>
      <c r="BI89" s="214">
        <f>BI87+BI88</f>
        <v>-449.91</v>
      </c>
      <c r="BJ89" s="213"/>
      <c r="BK89" s="214">
        <f>BK87+BK88</f>
        <v>-78.09</v>
      </c>
      <c r="BL89" s="213"/>
      <c r="BM89" s="213"/>
      <c r="BN89" s="213"/>
      <c r="BO89" s="213"/>
      <c r="BP89" s="213"/>
      <c r="BQ89" s="213"/>
      <c r="BR89" s="213"/>
      <c r="BS89" s="213"/>
      <c r="BT89" s="213"/>
      <c r="BU89" s="213"/>
      <c r="BV89" s="213"/>
      <c r="BX89" s="213"/>
    </row>
    <row r="90" spans="1:87" hidden="1">
      <c r="A90" s="211">
        <v>25</v>
      </c>
      <c r="B90" s="255" t="s">
        <v>30</v>
      </c>
      <c r="C90" s="213" t="s">
        <v>43</v>
      </c>
      <c r="AP90" s="214"/>
      <c r="AT90" s="214"/>
    </row>
    <row r="91" spans="1:87" hidden="1">
      <c r="A91" s="211" t="s">
        <v>44</v>
      </c>
      <c r="C91" s="253" t="s">
        <v>45</v>
      </c>
      <c r="D91" s="235">
        <v>44927</v>
      </c>
      <c r="E91" s="235"/>
      <c r="F91" s="235">
        <v>44958</v>
      </c>
      <c r="G91" s="235"/>
      <c r="H91" s="235">
        <v>44986</v>
      </c>
      <c r="I91" s="235"/>
      <c r="J91" s="235">
        <v>45017</v>
      </c>
      <c r="K91" s="235"/>
      <c r="L91" s="246">
        <v>45047</v>
      </c>
      <c r="M91" s="235"/>
      <c r="N91" s="235">
        <v>45078</v>
      </c>
      <c r="O91" s="235"/>
      <c r="P91" s="235">
        <v>45108</v>
      </c>
      <c r="Q91" s="235"/>
      <c r="R91" s="235">
        <v>45139</v>
      </c>
      <c r="S91" s="235"/>
      <c r="T91" s="235">
        <v>45170</v>
      </c>
      <c r="U91" s="235"/>
      <c r="V91" s="235">
        <v>45200</v>
      </c>
      <c r="W91" s="235"/>
      <c r="X91" s="235">
        <v>45231</v>
      </c>
      <c r="Y91" s="235"/>
      <c r="Z91" s="235">
        <v>45261</v>
      </c>
      <c r="AA91" s="235"/>
      <c r="AB91" s="235">
        <v>45292</v>
      </c>
      <c r="AC91" s="235"/>
      <c r="AD91" s="235">
        <v>45323</v>
      </c>
      <c r="AE91" s="235"/>
      <c r="AF91" s="235"/>
      <c r="AP91" s="214"/>
      <c r="AT91" s="214"/>
    </row>
    <row r="92" spans="1:87" hidden="1">
      <c r="C92" s="213" t="s">
        <v>7</v>
      </c>
      <c r="D92" s="214">
        <v>-476.55</v>
      </c>
      <c r="F92" s="214">
        <v>-615.85</v>
      </c>
      <c r="H92" s="237">
        <v>-391.18</v>
      </c>
      <c r="J92" s="237">
        <v>-281</v>
      </c>
      <c r="L92" s="237">
        <v>-354.02</v>
      </c>
      <c r="N92" s="237">
        <v>-452</v>
      </c>
      <c r="P92" s="237">
        <f>-219.77-550.53</f>
        <v>-770.3</v>
      </c>
      <c r="R92" s="237">
        <v>-765.08</v>
      </c>
      <c r="T92" s="237">
        <v>-637.26</v>
      </c>
      <c r="V92" s="237">
        <v>-501.47</v>
      </c>
      <c r="X92" s="237">
        <v>-404.3</v>
      </c>
      <c r="Z92" s="238">
        <v>-475.48</v>
      </c>
      <c r="AB92" s="238">
        <v>-639.74</v>
      </c>
      <c r="AD92" s="238">
        <v>-41.16</v>
      </c>
      <c r="AF92" s="238"/>
      <c r="AP92" s="214"/>
      <c r="AT92" s="214"/>
    </row>
    <row r="93" spans="1:87" hidden="1">
      <c r="C93" s="213" t="s">
        <v>8</v>
      </c>
      <c r="D93" s="214">
        <v>536.77</v>
      </c>
      <c r="E93" s="222">
        <f>ABS(((D92+D93)/D92))</f>
        <v>0.12636659322211724</v>
      </c>
      <c r="F93" s="214">
        <v>639.63</v>
      </c>
      <c r="G93" s="222">
        <f>ABS(((F92+F93)/F92))</f>
        <v>3.8613298692863479E-2</v>
      </c>
      <c r="H93" s="214">
        <v>444.79</v>
      </c>
      <c r="I93" s="222">
        <f>ABS(((H92+H93)/H92))</f>
        <v>0.13704688378751473</v>
      </c>
      <c r="J93" s="214">
        <v>316.93</v>
      </c>
      <c r="K93" s="222">
        <f>ABS(((J92+J93)/J92))</f>
        <v>0.12786476868327404</v>
      </c>
      <c r="L93" s="214">
        <v>402.17</v>
      </c>
      <c r="M93" s="222">
        <f>ABS(((L92+L93)/L92))</f>
        <v>0.13600926501327618</v>
      </c>
      <c r="N93" s="214">
        <v>514.95000000000005</v>
      </c>
      <c r="O93" s="222">
        <f>ABS(((N92+N93)/N92))</f>
        <v>0.13926991150442489</v>
      </c>
      <c r="P93" s="214">
        <v>732.14</v>
      </c>
      <c r="Q93" s="222">
        <f>ABS(((P92+P93)/P92))</f>
        <v>4.9539140594573504E-2</v>
      </c>
      <c r="R93" s="214">
        <v>865.88</v>
      </c>
      <c r="S93" s="222">
        <f>ABS(((R92+R93)/R92))</f>
        <v>0.13175092800752855</v>
      </c>
      <c r="T93" s="214">
        <v>671.93</v>
      </c>
      <c r="U93" s="222">
        <f>ABS(((T92+T93)/T92))</f>
        <v>5.4404795530866461E-2</v>
      </c>
      <c r="V93" s="214">
        <v>458.21</v>
      </c>
      <c r="W93" s="222">
        <f>ABS(((V92+V93)/V92))</f>
        <v>8.6266376852055043E-2</v>
      </c>
      <c r="X93" s="214">
        <v>452.85</v>
      </c>
      <c r="Y93" s="222">
        <f>ABS(((X92+X93)/X92))</f>
        <v>0.12008409596834037</v>
      </c>
      <c r="Z93" s="213">
        <v>511.84</v>
      </c>
      <c r="AA93" s="222">
        <f>ABS(((Z92+Z93)/Z92))</f>
        <v>7.6470093379321855E-2</v>
      </c>
      <c r="AB93" s="213">
        <v>694.38</v>
      </c>
      <c r="AC93" s="222">
        <f>ABS(((AB92+AB93)/AB92))</f>
        <v>8.5409697689686412E-2</v>
      </c>
      <c r="AE93" s="222"/>
      <c r="AP93" s="214"/>
      <c r="AT93" s="214"/>
    </row>
    <row r="94" spans="1:87" hidden="1">
      <c r="C94" s="241" t="s">
        <v>9</v>
      </c>
      <c r="D94" s="214">
        <f>D92+D93</f>
        <v>60.21999999999997</v>
      </c>
      <c r="F94" s="214">
        <f>F92+F93</f>
        <v>23.779999999999973</v>
      </c>
      <c r="H94" s="214">
        <f>H92+H93</f>
        <v>53.610000000000014</v>
      </c>
      <c r="J94" s="214">
        <f>J92+J93</f>
        <v>35.930000000000007</v>
      </c>
      <c r="L94" s="214">
        <f>L92+L93</f>
        <v>48.150000000000034</v>
      </c>
      <c r="N94" s="214">
        <f>N92+N93</f>
        <v>62.950000000000045</v>
      </c>
      <c r="P94" s="214">
        <f>P92+P93</f>
        <v>-38.159999999999968</v>
      </c>
      <c r="R94" s="214">
        <f>R92+R93</f>
        <v>100.79999999999995</v>
      </c>
      <c r="S94" s="214"/>
      <c r="T94" s="214">
        <f>T92+T93</f>
        <v>34.669999999999959</v>
      </c>
      <c r="V94" s="214">
        <f>V92+V93</f>
        <v>-43.260000000000048</v>
      </c>
      <c r="X94" s="214">
        <f>X92+X93</f>
        <v>48.550000000000011</v>
      </c>
      <c r="Z94" s="214">
        <f>Z92+Z93</f>
        <v>36.359999999999957</v>
      </c>
      <c r="AB94" s="214">
        <f>AB92+AB93</f>
        <v>54.639999999999986</v>
      </c>
      <c r="AD94" s="214"/>
      <c r="AF94" s="214"/>
      <c r="AP94" s="214"/>
      <c r="AT94" s="214"/>
    </row>
    <row r="95" spans="1:87">
      <c r="A95" s="231">
        <v>26</v>
      </c>
      <c r="B95" s="279">
        <v>241767106</v>
      </c>
      <c r="C95" s="211" t="s">
        <v>46</v>
      </c>
      <c r="AP95" s="214"/>
      <c r="AR95" s="214">
        <f>AR93+AR94</f>
        <v>0</v>
      </c>
      <c r="AT95" s="214"/>
    </row>
    <row r="96" spans="1:87">
      <c r="C96" s="253" t="s">
        <v>243</v>
      </c>
      <c r="D96" s="235">
        <v>44927</v>
      </c>
      <c r="E96" s="235"/>
      <c r="F96" s="235">
        <v>44958</v>
      </c>
      <c r="G96" s="235"/>
      <c r="H96" s="235">
        <v>44986</v>
      </c>
      <c r="I96" s="235"/>
      <c r="J96" s="235">
        <v>45017</v>
      </c>
      <c r="K96" s="235"/>
      <c r="L96" s="246">
        <v>45047</v>
      </c>
      <c r="M96" s="235"/>
      <c r="N96" s="235">
        <v>45078</v>
      </c>
      <c r="O96" s="235"/>
      <c r="P96" s="235">
        <v>45108</v>
      </c>
      <c r="Q96" s="235"/>
      <c r="R96" s="235">
        <v>45139</v>
      </c>
      <c r="S96" s="235"/>
      <c r="T96" s="235">
        <v>45170</v>
      </c>
      <c r="U96" s="235"/>
      <c r="V96" s="235">
        <v>45200</v>
      </c>
      <c r="W96" s="235"/>
      <c r="X96" s="235">
        <v>45231</v>
      </c>
      <c r="Y96" s="235"/>
      <c r="Z96" s="235">
        <v>45261</v>
      </c>
      <c r="AA96" s="235"/>
      <c r="AB96" s="235">
        <v>45292</v>
      </c>
      <c r="AC96" s="235"/>
      <c r="AD96" s="235">
        <v>45323</v>
      </c>
      <c r="AE96" s="235"/>
      <c r="AF96" s="235">
        <v>45352</v>
      </c>
      <c r="AH96" s="235">
        <v>45383</v>
      </c>
      <c r="AJ96" s="235">
        <v>45413</v>
      </c>
      <c r="AL96" s="235">
        <v>45444</v>
      </c>
      <c r="AN96" s="235">
        <v>45474</v>
      </c>
      <c r="AP96" s="235">
        <v>45505</v>
      </c>
      <c r="AR96" s="236">
        <v>45536</v>
      </c>
      <c r="AT96" s="236">
        <v>45566</v>
      </c>
      <c r="AV96" s="235">
        <v>45597</v>
      </c>
      <c r="AX96" s="235">
        <v>45627</v>
      </c>
      <c r="BA96" s="235">
        <v>45658</v>
      </c>
      <c r="BC96" s="235">
        <v>45689</v>
      </c>
      <c r="BE96" s="235">
        <v>45717</v>
      </c>
      <c r="BG96" s="235">
        <v>45748</v>
      </c>
      <c r="BI96" s="235">
        <v>45778</v>
      </c>
      <c r="BK96" s="235">
        <v>45809</v>
      </c>
      <c r="BM96" s="235">
        <v>45839</v>
      </c>
      <c r="BO96" s="235">
        <v>45870</v>
      </c>
      <c r="BQ96" s="235">
        <v>45901</v>
      </c>
      <c r="BS96" s="235">
        <v>45931</v>
      </c>
      <c r="BU96" s="235">
        <v>45962</v>
      </c>
      <c r="BW96" s="235">
        <v>45992</v>
      </c>
      <c r="BY96" s="235">
        <v>46023</v>
      </c>
      <c r="CA96" s="235">
        <v>46054</v>
      </c>
      <c r="CC96" s="235">
        <v>46082</v>
      </c>
      <c r="CE96" s="235">
        <v>46113</v>
      </c>
      <c r="CG96" s="235">
        <v>46143</v>
      </c>
      <c r="CI96" s="341">
        <v>46174</v>
      </c>
    </row>
    <row r="97" spans="1:87">
      <c r="C97" s="213" t="s">
        <v>7</v>
      </c>
      <c r="D97" s="214">
        <v>-32.11</v>
      </c>
      <c r="F97" s="214">
        <v>-33.409999999999997</v>
      </c>
      <c r="H97" s="237">
        <v>-35.17</v>
      </c>
      <c r="J97" s="238">
        <v>-29.34</v>
      </c>
      <c r="L97" s="237">
        <v>-37.42</v>
      </c>
      <c r="N97" s="237">
        <v>-30.99</v>
      </c>
      <c r="P97" s="237">
        <v>-42.7</v>
      </c>
      <c r="R97" s="237">
        <v>-35.97</v>
      </c>
      <c r="T97" s="237">
        <f>-11.25-9.25</f>
        <v>-20.5</v>
      </c>
      <c r="V97" s="237">
        <v>-17.690000000000001</v>
      </c>
      <c r="X97" s="237">
        <v>-23.46</v>
      </c>
      <c r="Z97" s="238">
        <v>-23.4</v>
      </c>
      <c r="AB97" s="238">
        <v>-17.690000000000001</v>
      </c>
      <c r="AD97" s="237">
        <v>-14.7</v>
      </c>
      <c r="AF97" s="237">
        <v>-17.48</v>
      </c>
      <c r="AH97" s="237">
        <f>-10.15-10.21</f>
        <v>-20.36</v>
      </c>
      <c r="AJ97" s="237">
        <v>-26.21</v>
      </c>
      <c r="AL97" s="237">
        <v>-10.039999999999999</v>
      </c>
      <c r="AN97" s="237">
        <v>-24.49</v>
      </c>
      <c r="AP97" s="237">
        <f>-16.7-9.27</f>
        <v>-25.97</v>
      </c>
      <c r="AR97" s="237">
        <v>-33.4</v>
      </c>
      <c r="AT97" s="237">
        <f>-28.51-9.27</f>
        <v>-37.78</v>
      </c>
      <c r="AV97" s="237">
        <v>-30.83</v>
      </c>
      <c r="AX97" s="237">
        <v>-26.81</v>
      </c>
      <c r="BA97" s="237">
        <v>-23.93</v>
      </c>
      <c r="BC97" s="237">
        <v>-21.6</v>
      </c>
      <c r="BE97" s="237">
        <v>-29.45</v>
      </c>
      <c r="BG97" s="237">
        <v>-23.14</v>
      </c>
      <c r="BI97" s="237">
        <v>-23.93</v>
      </c>
      <c r="BK97" s="237">
        <v>-23.14</v>
      </c>
      <c r="BM97" s="237">
        <v>-27.44</v>
      </c>
      <c r="BO97" s="237">
        <v>-28.51</v>
      </c>
      <c r="BQ97" s="237">
        <v>-24.68</v>
      </c>
      <c r="BS97" s="237">
        <v>-33.020000000000003</v>
      </c>
      <c r="BU97" s="237">
        <v>-29.52</v>
      </c>
      <c r="BW97" s="237">
        <v>-35.840000000000003</v>
      </c>
      <c r="BY97" s="237">
        <v>-40.47</v>
      </c>
      <c r="CA97" s="237">
        <v>-22.11</v>
      </c>
      <c r="CC97" s="237">
        <v>-23.53</v>
      </c>
      <c r="CE97" s="237">
        <v>-20.61</v>
      </c>
      <c r="CG97" s="237">
        <v>-24.45</v>
      </c>
    </row>
    <row r="98" spans="1:87">
      <c r="C98" s="213" t="s">
        <v>8</v>
      </c>
      <c r="D98" s="214">
        <v>39.4</v>
      </c>
      <c r="E98" s="222">
        <f>ABS(((D97+D98)/D97))</f>
        <v>0.22703207723450636</v>
      </c>
      <c r="F98" s="214">
        <v>37.909999999999997</v>
      </c>
      <c r="G98" s="222">
        <f>ABS(((F97+F98)/F97))</f>
        <v>0.13469021251122421</v>
      </c>
      <c r="H98" s="214">
        <v>44.82</v>
      </c>
      <c r="I98" s="222">
        <f>ABS(((H97+H98)/H97))</f>
        <v>0.27438157520614154</v>
      </c>
      <c r="J98" s="213">
        <v>44.15</v>
      </c>
      <c r="K98" s="222">
        <f>ABS(((J97+J98)/J97))</f>
        <v>0.50477164280845255</v>
      </c>
      <c r="L98" s="214">
        <v>43.59</v>
      </c>
      <c r="M98" s="222">
        <f>ABS(((L97+L98)/L97))</f>
        <v>0.16488508818813472</v>
      </c>
      <c r="N98" s="214">
        <v>34.020000000000003</v>
      </c>
      <c r="O98" s="222">
        <f>ABS(((N97+N98)/N97))</f>
        <v>9.7773475314617775E-2</v>
      </c>
      <c r="P98" s="214">
        <v>41.02</v>
      </c>
      <c r="Q98" s="222">
        <f>ABS(((P97+P98)/P97))</f>
        <v>3.9344262295081957E-2</v>
      </c>
      <c r="R98" s="214">
        <v>42.65</v>
      </c>
      <c r="S98" s="222">
        <f>ABS(((R97+R98)/R97))</f>
        <v>0.18571031415068112</v>
      </c>
      <c r="T98" s="214">
        <v>42.05</v>
      </c>
      <c r="U98" s="222">
        <f>ABS(((T97+T98)/T97))</f>
        <v>1.0512195121951218</v>
      </c>
      <c r="V98" s="214">
        <v>41.4</v>
      </c>
      <c r="W98" s="222">
        <f>ABS(((V97+V98)/V97))</f>
        <v>1.3403052572074616</v>
      </c>
      <c r="X98" s="214">
        <v>47.46</v>
      </c>
      <c r="Y98" s="222">
        <f>ABS(((X97+X98)/X97))</f>
        <v>1.0230179028132993</v>
      </c>
      <c r="Z98" s="213">
        <v>46.01</v>
      </c>
      <c r="AA98" s="222">
        <f>ABS(((Z97+Z98)/Z97))</f>
        <v>0.96623931623931625</v>
      </c>
      <c r="AB98" s="213">
        <v>40.880000000000003</v>
      </c>
      <c r="AC98" s="222">
        <f>ABS(((AB97+AB98)/AB97))</f>
        <v>1.3109101187111363</v>
      </c>
      <c r="AD98" s="213">
        <v>37.549999999999997</v>
      </c>
      <c r="AE98" s="222">
        <f>ABS(((AD97+AD98)/AD97))</f>
        <v>1.5544217687074828</v>
      </c>
      <c r="AF98" s="213">
        <v>42.79</v>
      </c>
      <c r="AG98" s="222">
        <f>ABS(((AF97+AF98)/AF97))</f>
        <v>1.4479405034324941</v>
      </c>
      <c r="AH98" s="214">
        <v>47.59</v>
      </c>
      <c r="AI98" s="222">
        <f>ABS(((AH97+AH98)/AH97))</f>
        <v>1.3374263261296662</v>
      </c>
      <c r="AJ98" s="214">
        <v>25.08</v>
      </c>
      <c r="AK98" s="222">
        <f>ABS(((AJ97+AJ98)/AJ97))</f>
        <v>4.3113315528424359E-2</v>
      </c>
      <c r="AL98" s="214">
        <v>31.04</v>
      </c>
      <c r="AM98" s="222">
        <f>ABS(((AL97+AL98)/AL97))</f>
        <v>2.0916334661354585</v>
      </c>
      <c r="AN98" s="214">
        <v>29.35</v>
      </c>
      <c r="AO98" s="222">
        <f>ABS(((AN97+AN98)/AN97))</f>
        <v>0.19844834626378127</v>
      </c>
      <c r="AP98" s="214">
        <v>30.17</v>
      </c>
      <c r="AQ98" s="222">
        <f>ABS(((AP97+AP98)/AP97))</f>
        <v>0.16172506738544487</v>
      </c>
      <c r="AR98" s="214">
        <v>31.79</v>
      </c>
      <c r="AS98" s="222">
        <f>ABS(((AR97+AR98)/AR97))</f>
        <v>4.8203592814371241E-2</v>
      </c>
      <c r="AT98" s="214"/>
      <c r="AU98" s="222" t="e">
        <f>AT99/AT98</f>
        <v>#DIV/0!</v>
      </c>
      <c r="AV98" s="214">
        <v>41.92</v>
      </c>
      <c r="AW98" s="222">
        <f>AV99/AV98</f>
        <v>0.26455152671755733</v>
      </c>
      <c r="AX98" s="214">
        <v>41.96</v>
      </c>
      <c r="AY98" s="224">
        <f>AX99/AX98</f>
        <v>0.36105815061963781</v>
      </c>
      <c r="AZ98" s="225"/>
      <c r="BA98" s="214">
        <v>48.79</v>
      </c>
      <c r="BB98" s="222">
        <f>BA99/BA98</f>
        <v>0.50953064152490268</v>
      </c>
      <c r="BC98" s="214">
        <v>34.17</v>
      </c>
      <c r="BD98" s="222">
        <f>BC99/BC98</f>
        <v>0.3678665496049166</v>
      </c>
      <c r="BE98" s="214">
        <v>39.21</v>
      </c>
      <c r="BF98" s="222">
        <f>BE99/BE98</f>
        <v>0.24891609283346089</v>
      </c>
      <c r="BG98" s="214">
        <v>34.01</v>
      </c>
      <c r="BH98" s="222">
        <f>BG99/BG98</f>
        <v>0.31961187885915904</v>
      </c>
      <c r="BI98" s="214">
        <v>29.42</v>
      </c>
      <c r="BJ98" s="222">
        <f>BI99/BI98</f>
        <v>0.18660774983004763</v>
      </c>
      <c r="BK98" s="214">
        <v>46.59</v>
      </c>
      <c r="BL98" s="222">
        <f>BK99/BK98</f>
        <v>0.50332689418330112</v>
      </c>
      <c r="BM98" s="239">
        <v>42.86</v>
      </c>
      <c r="BN98" s="222">
        <f>BM99/BM98</f>
        <v>0.3597760149323378</v>
      </c>
      <c r="BO98" s="214">
        <v>44.21</v>
      </c>
      <c r="BP98" s="222">
        <f>BO99/BO98</f>
        <v>0.35512327527708659</v>
      </c>
      <c r="BQ98" s="214">
        <v>39.1</v>
      </c>
      <c r="BR98" s="222">
        <f>BQ99/BQ98</f>
        <v>0.3687979539641944</v>
      </c>
      <c r="BS98" s="214">
        <v>48.02</v>
      </c>
      <c r="BT98" s="222">
        <f>BS99/BS98</f>
        <v>0.31236984589754269</v>
      </c>
      <c r="BU98" s="214">
        <v>43.83</v>
      </c>
      <c r="BV98" s="222">
        <f>BU99/BU98</f>
        <v>0.32648870636550309</v>
      </c>
      <c r="BW98" s="214">
        <v>49.52</v>
      </c>
      <c r="BX98" s="222">
        <f>BW99/BW98</f>
        <v>0.27625201938610661</v>
      </c>
      <c r="BY98" s="214">
        <v>54.89</v>
      </c>
      <c r="BZ98" s="222">
        <f>BY99/BY98</f>
        <v>0.26270723264711243</v>
      </c>
      <c r="CA98" s="214">
        <v>34.92</v>
      </c>
      <c r="CB98" s="222">
        <f>CA99/CA98</f>
        <v>0.36683848797250862</v>
      </c>
      <c r="CC98" s="214">
        <v>39.33</v>
      </c>
      <c r="CD98" s="222">
        <f>CC99/CC98</f>
        <v>0.40172896008136277</v>
      </c>
      <c r="CE98" s="214">
        <v>34.450000000000003</v>
      </c>
      <c r="CF98" s="222">
        <f>CE99/CE98</f>
        <v>0.4017416545718433</v>
      </c>
      <c r="CG98" s="214">
        <v>34.51</v>
      </c>
      <c r="CH98" s="222">
        <f>CG99/CG98</f>
        <v>0.29150970733120835</v>
      </c>
    </row>
    <row r="99" spans="1:87">
      <c r="C99" s="241" t="s">
        <v>9</v>
      </c>
      <c r="D99" s="214">
        <f>D97+D98</f>
        <v>7.2899999999999991</v>
      </c>
      <c r="F99" s="214">
        <f>F97+F98</f>
        <v>4.5</v>
      </c>
      <c r="H99" s="214">
        <f>H97+H98</f>
        <v>9.6499999999999986</v>
      </c>
      <c r="J99" s="214">
        <f>J97+J98</f>
        <v>14.809999999999999</v>
      </c>
      <c r="L99" s="214">
        <f>L97+L98</f>
        <v>6.1700000000000017</v>
      </c>
      <c r="N99" s="214">
        <f>N97+N98</f>
        <v>3.0300000000000047</v>
      </c>
      <c r="P99" s="214">
        <f>P97+P98</f>
        <v>-1.6799999999999997</v>
      </c>
      <c r="R99" s="214">
        <f>R97+R98</f>
        <v>6.68</v>
      </c>
      <c r="S99" s="214"/>
      <c r="T99" s="214">
        <f>T97+T98</f>
        <v>21.549999999999997</v>
      </c>
      <c r="V99" s="214">
        <f>V97+V98</f>
        <v>23.709999999999997</v>
      </c>
      <c r="X99" s="214">
        <f>X97+X98</f>
        <v>24</v>
      </c>
      <c r="Z99" s="214">
        <f>Z97+Z98</f>
        <v>22.61</v>
      </c>
      <c r="AB99" s="242">
        <f>AB97+AB98</f>
        <v>23.19</v>
      </c>
      <c r="AD99" s="242">
        <f>AD97+AD98</f>
        <v>22.849999999999998</v>
      </c>
      <c r="AF99" s="242">
        <f>AF97+AF98</f>
        <v>25.31</v>
      </c>
      <c r="AH99" s="243">
        <f>AH97+AH98</f>
        <v>27.230000000000004</v>
      </c>
      <c r="AJ99" s="242">
        <f>AJ97+AJ98</f>
        <v>-1.1300000000000026</v>
      </c>
      <c r="AL99" s="243">
        <f>AL97+AL98</f>
        <v>21</v>
      </c>
      <c r="AN99" s="243">
        <f>AN97+AN98</f>
        <v>4.860000000000003</v>
      </c>
      <c r="AP99" s="214">
        <f>AP97+AP98</f>
        <v>4.2000000000000028</v>
      </c>
      <c r="AR99" s="214">
        <f>AR97+AR98</f>
        <v>-1.6099999999999994</v>
      </c>
      <c r="AT99" s="214">
        <f>AT97+AT98</f>
        <v>-37.78</v>
      </c>
      <c r="AV99" s="214">
        <f>AV97+AV98</f>
        <v>11.090000000000003</v>
      </c>
      <c r="AX99" s="214">
        <f>AX97+AX98</f>
        <v>15.150000000000002</v>
      </c>
      <c r="BA99" s="214">
        <f>BA97+BA98</f>
        <v>24.86</v>
      </c>
      <c r="BC99" s="214">
        <f>BC97+BC98</f>
        <v>12.57</v>
      </c>
      <c r="BE99" s="214">
        <f>BE97+BE98</f>
        <v>9.7600000000000016</v>
      </c>
      <c r="BG99" s="214">
        <f>BG97+BG98</f>
        <v>10.869999999999997</v>
      </c>
      <c r="BI99" s="214">
        <f>BI97+BI98</f>
        <v>5.490000000000002</v>
      </c>
      <c r="BK99" s="214">
        <f>BK97+BK98</f>
        <v>23.450000000000003</v>
      </c>
      <c r="BM99" s="214">
        <f>BM97+BM98</f>
        <v>15.419999999999998</v>
      </c>
      <c r="BO99" s="214">
        <f>BO97+BO98</f>
        <v>15.7</v>
      </c>
      <c r="BQ99" s="214">
        <f>BQ97+BQ98</f>
        <v>14.420000000000002</v>
      </c>
      <c r="BS99" s="214">
        <f>BS97+BS98</f>
        <v>15</v>
      </c>
      <c r="BU99" s="214">
        <f>BU97+BU98</f>
        <v>14.309999999999999</v>
      </c>
      <c r="BW99" s="214">
        <f>BW97+BW98</f>
        <v>13.68</v>
      </c>
      <c r="BY99" s="214">
        <f>BY97+BY98</f>
        <v>14.420000000000002</v>
      </c>
      <c r="CA99" s="214">
        <f>CA97+CA98</f>
        <v>12.810000000000002</v>
      </c>
      <c r="CC99" s="214">
        <f>CC97+CC98</f>
        <v>15.799999999999997</v>
      </c>
      <c r="CE99" s="214">
        <f>CE97+CE98</f>
        <v>13.840000000000003</v>
      </c>
      <c r="CG99" s="214">
        <f>CG97+CG98</f>
        <v>10.059999999999999</v>
      </c>
    </row>
    <row r="100" spans="1:87">
      <c r="A100" s="231">
        <f>A95+1</f>
        <v>27</v>
      </c>
      <c r="B100" s="232" t="s">
        <v>47</v>
      </c>
      <c r="C100" s="233" t="s">
        <v>48</v>
      </c>
      <c r="AP100" s="214"/>
      <c r="AT100" s="214"/>
    </row>
    <row r="101" spans="1:87">
      <c r="C101" s="253" t="s">
        <v>49</v>
      </c>
      <c r="D101" s="235">
        <v>44927</v>
      </c>
      <c r="E101" s="235"/>
      <c r="F101" s="235">
        <v>44958</v>
      </c>
      <c r="G101" s="235"/>
      <c r="H101" s="235">
        <v>44986</v>
      </c>
      <c r="I101" s="235"/>
      <c r="J101" s="235">
        <v>45017</v>
      </c>
      <c r="K101" s="235"/>
      <c r="L101" s="246">
        <v>45047</v>
      </c>
      <c r="M101" s="235"/>
      <c r="N101" s="235">
        <v>45078</v>
      </c>
      <c r="O101" s="235"/>
      <c r="P101" s="235">
        <v>45108</v>
      </c>
      <c r="Q101" s="235"/>
      <c r="R101" s="235">
        <v>45139</v>
      </c>
      <c r="S101" s="235"/>
      <c r="T101" s="235">
        <v>45170</v>
      </c>
      <c r="U101" s="235"/>
      <c r="V101" s="235">
        <v>45200</v>
      </c>
      <c r="W101" s="235"/>
      <c r="X101" s="235">
        <v>45231</v>
      </c>
      <c r="Y101" s="235"/>
      <c r="Z101" s="235">
        <v>45261</v>
      </c>
      <c r="AA101" s="235"/>
      <c r="AB101" s="235">
        <v>45292</v>
      </c>
      <c r="AC101" s="235"/>
      <c r="AD101" s="235">
        <v>45323</v>
      </c>
      <c r="AE101" s="235"/>
      <c r="AF101" s="235">
        <v>45352</v>
      </c>
      <c r="AH101" s="235">
        <v>45383</v>
      </c>
      <c r="AJ101" s="235">
        <v>45413</v>
      </c>
      <c r="AL101" s="235">
        <v>45444</v>
      </c>
      <c r="AN101" s="235">
        <v>45474</v>
      </c>
      <c r="AP101" s="235">
        <v>45505</v>
      </c>
      <c r="AR101" s="236">
        <v>45536</v>
      </c>
      <c r="AT101" s="236">
        <v>45566</v>
      </c>
      <c r="AV101" s="235">
        <v>45597</v>
      </c>
      <c r="AX101" s="235">
        <v>45627</v>
      </c>
      <c r="BA101" s="235">
        <v>45658</v>
      </c>
      <c r="BC101" s="235">
        <v>45689</v>
      </c>
      <c r="BE101" s="235">
        <v>45717</v>
      </c>
      <c r="BG101" s="235">
        <v>45748</v>
      </c>
      <c r="BI101" s="235">
        <v>45778</v>
      </c>
      <c r="BK101" s="235">
        <v>45809</v>
      </c>
      <c r="BM101" s="235">
        <v>45839</v>
      </c>
      <c r="BO101" s="235">
        <v>45870</v>
      </c>
      <c r="BQ101" s="235">
        <v>45901</v>
      </c>
      <c r="BS101" s="235">
        <v>45931</v>
      </c>
      <c r="BU101" s="235">
        <v>45962</v>
      </c>
      <c r="BW101" s="235">
        <v>45992</v>
      </c>
      <c r="BY101" s="235">
        <v>46023</v>
      </c>
      <c r="CA101" s="235">
        <v>46054</v>
      </c>
      <c r="CC101" s="235">
        <v>46082</v>
      </c>
      <c r="CE101" s="235">
        <v>46113</v>
      </c>
      <c r="CG101" s="235">
        <v>46143</v>
      </c>
      <c r="CI101" s="341">
        <v>46174</v>
      </c>
    </row>
    <row r="102" spans="1:87">
      <c r="C102" s="213" t="s">
        <v>7</v>
      </c>
      <c r="D102" s="214">
        <v>-54.29</v>
      </c>
      <c r="F102" s="214">
        <f>-58.67-10.12</f>
        <v>-68.790000000000006</v>
      </c>
      <c r="H102" s="237">
        <v>-363.68</v>
      </c>
      <c r="J102" s="237">
        <v>-56.23</v>
      </c>
      <c r="L102" s="237">
        <v>-80</v>
      </c>
      <c r="N102" s="237">
        <v>-72.58</v>
      </c>
      <c r="P102" s="237">
        <v>-122.75</v>
      </c>
      <c r="R102" s="237">
        <v>-190.08</v>
      </c>
      <c r="S102" s="214"/>
      <c r="T102" s="237">
        <v>-111.07</v>
      </c>
      <c r="V102" s="237">
        <v>-81.12</v>
      </c>
      <c r="X102" s="237">
        <v>-95.94</v>
      </c>
      <c r="Z102" s="238">
        <v>-152.56</v>
      </c>
      <c r="AB102" s="238">
        <v>-198.31</v>
      </c>
      <c r="AD102" s="237">
        <v>-104.89</v>
      </c>
      <c r="AF102" s="237">
        <v>-77.83</v>
      </c>
      <c r="AH102" s="237">
        <f>-24.24-0</f>
        <v>-24.24</v>
      </c>
      <c r="AJ102" s="237">
        <v>-76.88</v>
      </c>
      <c r="AL102" s="237">
        <v>-75.430000000000007</v>
      </c>
      <c r="AN102" s="237">
        <v>-106.56</v>
      </c>
      <c r="AP102" s="214">
        <v>-141.58000000000001</v>
      </c>
      <c r="AR102" s="237">
        <f>-88.21-12.98</f>
        <v>-101.19</v>
      </c>
      <c r="AT102" s="237">
        <v>-94.05</v>
      </c>
      <c r="AV102" s="237">
        <v>-138.66999999999999</v>
      </c>
      <c r="AX102" s="237">
        <v>-194.75</v>
      </c>
      <c r="BA102" s="237">
        <v>-200.71</v>
      </c>
      <c r="BC102" s="237">
        <v>-164.28</v>
      </c>
      <c r="BE102" s="237">
        <v>-170.33</v>
      </c>
      <c r="BG102" s="237">
        <f>-88.9-2.23</f>
        <v>-91.13000000000001</v>
      </c>
      <c r="BI102" s="237">
        <v>-88.8</v>
      </c>
      <c r="BK102" s="237">
        <v>-95.64</v>
      </c>
      <c r="BM102" s="237">
        <v>-90.15</v>
      </c>
      <c r="BO102" s="237">
        <v>-127.59</v>
      </c>
      <c r="BQ102" s="237">
        <v>-79.03</v>
      </c>
      <c r="BS102" s="237">
        <v>-72.22</v>
      </c>
      <c r="BU102" s="237">
        <v>-147.24</v>
      </c>
      <c r="BW102" s="237">
        <v>-195.98</v>
      </c>
      <c r="BY102" s="237">
        <v>-275.31</v>
      </c>
      <c r="CA102" s="237">
        <v>-249.76</v>
      </c>
      <c r="CC102" s="237">
        <v>-279.17</v>
      </c>
      <c r="CE102" s="237">
        <v>-84.71</v>
      </c>
      <c r="CG102" s="237">
        <v>-73.510000000000005</v>
      </c>
    </row>
    <row r="103" spans="1:87">
      <c r="C103" s="213" t="s">
        <v>8</v>
      </c>
      <c r="D103" s="214">
        <v>68.22</v>
      </c>
      <c r="E103" s="222">
        <f>ABS(((D102+D103)/D102))</f>
        <v>0.25658500644685944</v>
      </c>
      <c r="F103" s="214">
        <v>92.62</v>
      </c>
      <c r="G103" s="222">
        <f>ABS(((F102+F103)/F102))</f>
        <v>0.34641663032417497</v>
      </c>
      <c r="H103" s="214">
        <f>291.01+489.3</f>
        <v>780.31</v>
      </c>
      <c r="I103" s="222">
        <f>ABS(((H102+H103)/H102))</f>
        <v>1.1455950285965681</v>
      </c>
      <c r="J103" s="214">
        <v>82.22</v>
      </c>
      <c r="K103" s="222">
        <f>ABS(((J102+J103)/J102))</f>
        <v>0.46220878534590082</v>
      </c>
      <c r="L103" s="214">
        <v>141.16</v>
      </c>
      <c r="M103" s="222">
        <f>ABS(((L102+L103)/L102))</f>
        <v>0.76449999999999996</v>
      </c>
      <c r="N103" s="214">
        <v>124.62</v>
      </c>
      <c r="O103" s="222">
        <f>ABS(((N102+N103)/N102))</f>
        <v>0.71700192890603487</v>
      </c>
      <c r="P103" s="214">
        <v>169.59</v>
      </c>
      <c r="Q103" s="222">
        <f>ABS(((P102+P103)/P102))</f>
        <v>0.38158859470468437</v>
      </c>
      <c r="R103" s="214">
        <v>286.89999999999998</v>
      </c>
      <c r="S103" s="222">
        <f>ABS(((R102+R103)/R102))</f>
        <v>0.50936447811447794</v>
      </c>
      <c r="T103" s="214">
        <v>203.3</v>
      </c>
      <c r="U103" s="222">
        <f>ABS(((T102+T103)/T102))</f>
        <v>0.83037723957864429</v>
      </c>
      <c r="V103" s="214">
        <v>157.9</v>
      </c>
      <c r="W103" s="222">
        <f>ABS(((V102+V103)/V102))</f>
        <v>0.94649901380670609</v>
      </c>
      <c r="X103" s="214">
        <v>150.63</v>
      </c>
      <c r="Y103" s="222">
        <f>ABS(((X102+X103)/X102))</f>
        <v>0.57004377736085055</v>
      </c>
      <c r="Z103" s="213">
        <v>197.84</v>
      </c>
      <c r="AA103" s="222">
        <f>ABS(((Z102+Z103)/Z102))</f>
        <v>0.29680125852123757</v>
      </c>
      <c r="AB103" s="213">
        <v>245.09</v>
      </c>
      <c r="AC103" s="222">
        <f>ABS(((AB102+AB103)/AB102))</f>
        <v>0.23589329837123696</v>
      </c>
      <c r="AD103" s="213">
        <v>129.03</v>
      </c>
      <c r="AE103" s="222">
        <f>ABS(((AD102+AD103)/AD102))</f>
        <v>0.23014586709886548</v>
      </c>
      <c r="AF103" s="213">
        <v>135.77000000000001</v>
      </c>
      <c r="AG103" s="222">
        <f>ABS(((AF102+AF103)/AF102))</f>
        <v>0.74444301683155611</v>
      </c>
      <c r="AH103" s="214">
        <v>122.84</v>
      </c>
      <c r="AI103" s="222">
        <f>ABS(((AH102+AH103)/AH102))</f>
        <v>4.0676567656765679</v>
      </c>
      <c r="AJ103" s="214">
        <v>101.61</v>
      </c>
      <c r="AK103" s="222">
        <f>ABS(((AJ102+AJ103)/AJ102))</f>
        <v>0.3216701352757545</v>
      </c>
      <c r="AL103" s="214">
        <v>93.31</v>
      </c>
      <c r="AM103" s="222">
        <f>ABS(((AL102+AL103)/AL102))</f>
        <v>0.23704096513323603</v>
      </c>
      <c r="AN103" s="214">
        <v>143.1</v>
      </c>
      <c r="AO103" s="222">
        <f>ABS(((AN102+AN103)/AN102))</f>
        <v>0.34290540540540532</v>
      </c>
      <c r="AP103" s="214">
        <v>247.31</v>
      </c>
      <c r="AQ103" s="222">
        <f>ABS(((AP102+AP103)/AP102))</f>
        <v>0.7467862692470687</v>
      </c>
      <c r="AR103" s="214">
        <v>166.61</v>
      </c>
      <c r="AS103" s="222">
        <f>ABS(((AR102+AR103)/AR102))</f>
        <v>0.6465065717956322</v>
      </c>
      <c r="AT103" s="214">
        <v>147.25</v>
      </c>
      <c r="AU103" s="222">
        <f>AT104/AT103</f>
        <v>0.3612903225806452</v>
      </c>
      <c r="AV103" s="214">
        <v>189.59</v>
      </c>
      <c r="AW103" s="222">
        <f>AV104/AV103</f>
        <v>0.26857956643282882</v>
      </c>
      <c r="AX103" s="214">
        <v>250.8</v>
      </c>
      <c r="AY103" s="224">
        <f>AX104/AX103</f>
        <v>0.22348484848484851</v>
      </c>
      <c r="AZ103" s="225"/>
      <c r="BA103" s="214">
        <v>297.14</v>
      </c>
      <c r="BB103" s="222">
        <f>BA104/BA103</f>
        <v>0.32452715891498951</v>
      </c>
      <c r="BC103" s="214">
        <v>208.88</v>
      </c>
      <c r="BD103" s="222">
        <f>BC104/BC103</f>
        <v>0.21351972424358481</v>
      </c>
      <c r="BE103" s="214">
        <v>210.67</v>
      </c>
      <c r="BF103" s="222">
        <f>BE104/BE103</f>
        <v>0.19148431195708918</v>
      </c>
      <c r="BG103" s="214">
        <v>82.26</v>
      </c>
      <c r="BH103" s="222">
        <f>BG104/BG103</f>
        <v>-0.10782883539995142</v>
      </c>
      <c r="BI103" s="214">
        <v>131.26</v>
      </c>
      <c r="BJ103" s="222">
        <f>BI104/BI103</f>
        <v>0.32348011580070085</v>
      </c>
      <c r="BK103" s="214">
        <v>159.1</v>
      </c>
      <c r="BL103" s="222">
        <f>BK104/BK103</f>
        <v>0.39886863607793838</v>
      </c>
      <c r="BM103" s="239">
        <v>95.86</v>
      </c>
      <c r="BN103" s="222">
        <f>BM104/BM103</f>
        <v>5.9566033799290569E-2</v>
      </c>
      <c r="BO103" s="214">
        <v>128.44999999999999</v>
      </c>
      <c r="BP103" s="222">
        <f>BO104/BO103</f>
        <v>6.6952121448033107E-3</v>
      </c>
      <c r="BQ103" s="214">
        <v>159.44999999999999</v>
      </c>
      <c r="BR103" s="222">
        <f>BQ104/BQ103</f>
        <v>0.50435873314518653</v>
      </c>
      <c r="BS103" s="214">
        <v>89.98</v>
      </c>
      <c r="BT103" s="222">
        <f>BS104/BS103</f>
        <v>0.19737719493220721</v>
      </c>
      <c r="BU103" s="214">
        <v>240.66</v>
      </c>
      <c r="BV103" s="222">
        <f>BU104/BU103</f>
        <v>0.38818249813014205</v>
      </c>
      <c r="BW103" s="214">
        <v>238.73</v>
      </c>
      <c r="BX103" s="222">
        <f>BW104/BW103</f>
        <v>0.17907259246847904</v>
      </c>
      <c r="BY103" s="214">
        <v>329.53</v>
      </c>
      <c r="BZ103" s="222">
        <f>BY104/BY103</f>
        <v>0.16453737140776251</v>
      </c>
      <c r="CA103" s="214">
        <v>312.32</v>
      </c>
      <c r="CB103" s="222">
        <f>CA104/CA103</f>
        <v>0.20030737704918034</v>
      </c>
      <c r="CC103" s="214">
        <v>372.52</v>
      </c>
      <c r="CD103" s="222">
        <f>CC104/CC103</f>
        <v>0.2505905723182647</v>
      </c>
      <c r="CE103" s="214">
        <v>199.11</v>
      </c>
      <c r="CF103" s="222">
        <f>CE104/CE103</f>
        <v>0.57455677766058966</v>
      </c>
      <c r="CG103" s="214">
        <v>162.31</v>
      </c>
      <c r="CH103" s="222">
        <f>CG104/CG103</f>
        <v>0.54710122604891875</v>
      </c>
    </row>
    <row r="104" spans="1:87">
      <c r="C104" s="241" t="s">
        <v>9</v>
      </c>
      <c r="D104" s="214">
        <f>D102+D103</f>
        <v>13.93</v>
      </c>
      <c r="F104" s="214">
        <f>F102+F103</f>
        <v>23.83</v>
      </c>
      <c r="H104" s="214">
        <f>H102+H103</f>
        <v>416.62999999999994</v>
      </c>
      <c r="J104" s="214">
        <f>J102+J103</f>
        <v>25.990000000000002</v>
      </c>
      <c r="L104" s="214">
        <f>L102+L103</f>
        <v>61.16</v>
      </c>
      <c r="N104" s="214">
        <f>N102+N103</f>
        <v>52.040000000000006</v>
      </c>
      <c r="P104" s="214">
        <f>P102+P103</f>
        <v>46.84</v>
      </c>
      <c r="R104" s="214">
        <f>R102+R103</f>
        <v>96.819999999999965</v>
      </c>
      <c r="S104" s="214"/>
      <c r="T104" s="214">
        <f>T102+T103</f>
        <v>92.230000000000018</v>
      </c>
      <c r="V104" s="214">
        <f>V102+V103</f>
        <v>76.78</v>
      </c>
      <c r="X104" s="214">
        <f>X102+X103</f>
        <v>54.69</v>
      </c>
      <c r="Z104" s="214">
        <f>Z102+Z103</f>
        <v>45.28</v>
      </c>
      <c r="AB104" s="242">
        <f>AB102+AB103</f>
        <v>46.78</v>
      </c>
      <c r="AD104" s="242">
        <f>AD102+AD103</f>
        <v>24.14</v>
      </c>
      <c r="AF104" s="242">
        <f>AF102+AF103</f>
        <v>57.940000000000012</v>
      </c>
      <c r="AH104" s="243">
        <f>AH102+AH103</f>
        <v>98.600000000000009</v>
      </c>
      <c r="AJ104" s="243">
        <f>AJ102+AJ103</f>
        <v>24.730000000000004</v>
      </c>
      <c r="AL104" s="243">
        <f>AL102+AL103</f>
        <v>17.879999999999995</v>
      </c>
      <c r="AN104" s="243">
        <f>AN102+AN103</f>
        <v>36.539999999999992</v>
      </c>
      <c r="AP104" s="214">
        <f>AP102+AP103</f>
        <v>105.72999999999999</v>
      </c>
      <c r="AR104" s="214">
        <f>AR102+AR103</f>
        <v>65.420000000000016</v>
      </c>
      <c r="AT104" s="214">
        <f>AT102+AT103</f>
        <v>53.2</v>
      </c>
      <c r="AV104" s="214">
        <f>AV102+AV103</f>
        <v>50.920000000000016</v>
      </c>
      <c r="AX104" s="214">
        <f>AX102+AX103</f>
        <v>56.050000000000011</v>
      </c>
      <c r="BA104" s="214">
        <f>BA102+BA103</f>
        <v>96.429999999999978</v>
      </c>
      <c r="BC104" s="214">
        <f>BC102+BC103</f>
        <v>44.599999999999994</v>
      </c>
      <c r="BE104" s="214">
        <f>BE102+BE103</f>
        <v>40.339999999999975</v>
      </c>
      <c r="BG104" s="214">
        <f>BG102+BG103</f>
        <v>-8.8700000000000045</v>
      </c>
      <c r="BI104" s="214">
        <f>BI102+BI103</f>
        <v>42.459999999999994</v>
      </c>
      <c r="BK104" s="214">
        <f>BK102+BK103</f>
        <v>63.459999999999994</v>
      </c>
      <c r="BM104" s="214">
        <f>BM102+BM103</f>
        <v>5.7099999999999937</v>
      </c>
      <c r="BO104" s="214">
        <f>BO102+BO103</f>
        <v>0.85999999999998522</v>
      </c>
      <c r="BQ104" s="214">
        <f>BQ102+BQ103</f>
        <v>80.419999999999987</v>
      </c>
      <c r="BS104" s="214">
        <f>BS102+BS103</f>
        <v>17.760000000000005</v>
      </c>
      <c r="BU104" s="214">
        <f>BU102+BU103</f>
        <v>93.419999999999987</v>
      </c>
      <c r="BW104" s="214">
        <f>BW102+BW103</f>
        <v>42.75</v>
      </c>
      <c r="BY104" s="214">
        <f>BY102+BY103</f>
        <v>54.21999999999997</v>
      </c>
      <c r="CA104" s="214">
        <f>CA102+CA103</f>
        <v>62.56</v>
      </c>
      <c r="CC104" s="214">
        <f>CC102+CC103</f>
        <v>93.349999999999966</v>
      </c>
      <c r="CE104" s="214">
        <f>CE102+CE103</f>
        <v>114.40000000000002</v>
      </c>
      <c r="CG104" s="214">
        <f>CG102+CG103</f>
        <v>88.8</v>
      </c>
    </row>
    <row r="105" spans="1:87">
      <c r="A105" s="231">
        <f>A100+1</f>
        <v>28</v>
      </c>
      <c r="B105" s="232">
        <v>149924896</v>
      </c>
      <c r="C105" s="233" t="s">
        <v>50</v>
      </c>
      <c r="AP105" s="214"/>
      <c r="AT105" s="214"/>
    </row>
    <row r="106" spans="1:87">
      <c r="C106" s="253" t="s">
        <v>51</v>
      </c>
      <c r="D106" s="235">
        <v>44927</v>
      </c>
      <c r="E106" s="235"/>
      <c r="F106" s="235">
        <v>44958</v>
      </c>
      <c r="G106" s="235"/>
      <c r="H106" s="235">
        <v>44986</v>
      </c>
      <c r="I106" s="235"/>
      <c r="J106" s="235">
        <v>45017</v>
      </c>
      <c r="K106" s="235"/>
      <c r="L106" s="246">
        <v>45047</v>
      </c>
      <c r="M106" s="235"/>
      <c r="N106" s="235">
        <v>45078</v>
      </c>
      <c r="O106" s="235"/>
      <c r="P106" s="235">
        <v>45108</v>
      </c>
      <c r="Q106" s="235"/>
      <c r="R106" s="235">
        <v>45139</v>
      </c>
      <c r="S106" s="235"/>
      <c r="T106" s="235">
        <v>45170</v>
      </c>
      <c r="U106" s="235"/>
      <c r="V106" s="235">
        <v>45200</v>
      </c>
      <c r="W106" s="235"/>
      <c r="X106" s="235">
        <v>45231</v>
      </c>
      <c r="Y106" s="235"/>
      <c r="Z106" s="235">
        <v>45261</v>
      </c>
      <c r="AA106" s="235"/>
      <c r="AB106" s="235">
        <v>45292</v>
      </c>
      <c r="AC106" s="235"/>
      <c r="AD106" s="235">
        <v>45323</v>
      </c>
      <c r="AE106" s="235"/>
      <c r="AF106" s="235">
        <v>45352</v>
      </c>
      <c r="AH106" s="235">
        <v>45383</v>
      </c>
      <c r="AJ106" s="235">
        <v>45413</v>
      </c>
      <c r="AL106" s="235">
        <v>45444</v>
      </c>
      <c r="AN106" s="235">
        <v>45474</v>
      </c>
      <c r="AP106" s="235">
        <v>45505</v>
      </c>
      <c r="AR106" s="236">
        <v>45536</v>
      </c>
      <c r="AT106" s="236">
        <v>45566</v>
      </c>
      <c r="AV106" s="235">
        <v>45597</v>
      </c>
      <c r="AX106" s="235">
        <v>45627</v>
      </c>
      <c r="BA106" s="235">
        <v>45658</v>
      </c>
      <c r="BC106" s="235">
        <v>45689</v>
      </c>
      <c r="BE106" s="235">
        <v>45717</v>
      </c>
      <c r="BG106" s="235">
        <v>45748</v>
      </c>
      <c r="BI106" s="235">
        <v>45778</v>
      </c>
      <c r="BK106" s="235">
        <v>45809</v>
      </c>
      <c r="BM106" s="235">
        <v>45839</v>
      </c>
      <c r="BO106" s="235">
        <v>45870</v>
      </c>
      <c r="BQ106" s="235">
        <v>45901</v>
      </c>
      <c r="BS106" s="235">
        <v>45931</v>
      </c>
      <c r="BU106" s="235">
        <v>45962</v>
      </c>
      <c r="BW106" s="235">
        <v>45992</v>
      </c>
      <c r="BY106" s="235">
        <v>46023</v>
      </c>
      <c r="CA106" s="235">
        <v>46054</v>
      </c>
      <c r="CC106" s="235">
        <v>46082</v>
      </c>
      <c r="CE106" s="235">
        <v>46113</v>
      </c>
      <c r="CG106" s="235">
        <v>46143</v>
      </c>
      <c r="CI106" s="341">
        <v>46174</v>
      </c>
    </row>
    <row r="107" spans="1:87">
      <c r="C107" s="213" t="s">
        <v>7</v>
      </c>
      <c r="D107" s="214">
        <v>-142.16999999999999</v>
      </c>
      <c r="F107" s="214">
        <v>-112.57</v>
      </c>
      <c r="H107" s="214">
        <v>-57.27</v>
      </c>
      <c r="J107" s="237">
        <v>-63.69</v>
      </c>
      <c r="L107" s="237">
        <v>-73.11</v>
      </c>
      <c r="N107" s="237">
        <f>-3.17-55.4-21.8</f>
        <v>-80.37</v>
      </c>
      <c r="P107" s="237">
        <v>-88.06</v>
      </c>
      <c r="R107" s="237">
        <v>-69.7</v>
      </c>
      <c r="S107" s="214"/>
      <c r="T107" s="237">
        <v>-49.4</v>
      </c>
      <c r="V107" s="237">
        <v>-51.87</v>
      </c>
      <c r="X107" s="237">
        <v>-50.13</v>
      </c>
      <c r="Z107" s="238">
        <v>-83.25</v>
      </c>
      <c r="AB107" s="238">
        <v>-107.09</v>
      </c>
      <c r="AD107" s="237">
        <v>-55.55</v>
      </c>
      <c r="AF107" s="237">
        <v>-52.7</v>
      </c>
      <c r="AH107" s="237">
        <f>-12.54-37.58</f>
        <v>-50.12</v>
      </c>
      <c r="AJ107" s="237">
        <v>-64.599999999999994</v>
      </c>
      <c r="AL107" s="237">
        <v>-83.76</v>
      </c>
      <c r="AN107" s="237">
        <v>-104</v>
      </c>
      <c r="AP107" s="237">
        <v>-101.59</v>
      </c>
      <c r="AR107" s="237">
        <f>-15.28-16.49</f>
        <v>-31.769999999999996</v>
      </c>
      <c r="AT107" s="237">
        <v>-84.46</v>
      </c>
      <c r="AV107" s="237">
        <v>-125.91</v>
      </c>
      <c r="AX107" s="237">
        <v>-151.66</v>
      </c>
      <c r="BA107" s="237">
        <v>-192.54</v>
      </c>
      <c r="BC107" s="237">
        <v>-158.91</v>
      </c>
      <c r="BE107" s="237">
        <v>-183.84</v>
      </c>
      <c r="BG107" s="237">
        <v>-108.34</v>
      </c>
      <c r="BI107" s="237">
        <v>-91.09</v>
      </c>
      <c r="BK107" s="237">
        <v>-98.81</v>
      </c>
      <c r="BM107" s="237">
        <v>-158.86000000000001</v>
      </c>
      <c r="BO107" s="237">
        <v>-157.22</v>
      </c>
      <c r="BQ107" s="237">
        <v>-117.44</v>
      </c>
      <c r="BS107" s="237">
        <v>-138.66999999999999</v>
      </c>
      <c r="BU107" s="237">
        <v>-168.07</v>
      </c>
      <c r="BW107" s="237">
        <v>-175.91</v>
      </c>
      <c r="BY107" s="237">
        <v>-274.85000000000002</v>
      </c>
      <c r="CA107" s="237">
        <v>-144.38999999999999</v>
      </c>
      <c r="CC107" s="237">
        <v>-143.12</v>
      </c>
      <c r="CE107" s="237">
        <v>-93.21</v>
      </c>
      <c r="CG107" s="237">
        <v>-81.06</v>
      </c>
    </row>
    <row r="108" spans="1:87">
      <c r="C108" s="213" t="s">
        <v>8</v>
      </c>
      <c r="D108" s="214">
        <v>246.46</v>
      </c>
      <c r="E108" s="222">
        <f>ABS(((D107+D108)/D107))</f>
        <v>0.73355841598086813</v>
      </c>
      <c r="F108" s="214">
        <v>190.58</v>
      </c>
      <c r="G108" s="222">
        <f>ABS(((F107+F108)/F107))</f>
        <v>0.69299102780492161</v>
      </c>
      <c r="H108" s="214">
        <v>120.95</v>
      </c>
      <c r="I108" s="222">
        <v>1.2095</v>
      </c>
      <c r="J108" s="214">
        <v>111.78</v>
      </c>
      <c r="K108" s="222">
        <f>ABS(((J107+J108)/J107))</f>
        <v>0.75506358926048056</v>
      </c>
      <c r="L108" s="214">
        <v>113.52</v>
      </c>
      <c r="M108" s="222">
        <f>ABS(((L107+L108)/L107))</f>
        <v>0.55272876487484612</v>
      </c>
      <c r="N108" s="214">
        <v>94.51</v>
      </c>
      <c r="O108" s="222">
        <f>ABS(((N107+N108)/N107))</f>
        <v>0.17593629463730248</v>
      </c>
      <c r="P108" s="214">
        <v>123.48</v>
      </c>
      <c r="Q108" s="222">
        <f>ABS(((P107+P108)/P107))</f>
        <v>0.40222575516693165</v>
      </c>
      <c r="R108" s="214">
        <v>121.09</v>
      </c>
      <c r="S108" s="222">
        <f>ABS(((R107+R108)/R107))</f>
        <v>0.73730272596843616</v>
      </c>
      <c r="T108" s="214">
        <v>101.51</v>
      </c>
      <c r="U108" s="222">
        <f>ABS(((T107+T108)/T107))</f>
        <v>1.0548582995951419</v>
      </c>
      <c r="V108" s="214">
        <v>100.32</v>
      </c>
      <c r="W108" s="222">
        <f>ABS(((V107+V108)/V107))</f>
        <v>0.93406593406593408</v>
      </c>
      <c r="X108" s="214">
        <v>95.61</v>
      </c>
      <c r="Y108" s="222">
        <f>ABS(((X107+X108)/X107))</f>
        <v>0.90724117295032902</v>
      </c>
      <c r="Z108" s="213">
        <v>127.41</v>
      </c>
      <c r="AA108" s="222">
        <f>ABS(((Z107+Z108)/Z107))</f>
        <v>0.53045045045045036</v>
      </c>
      <c r="AB108" s="213">
        <v>152.86000000000001</v>
      </c>
      <c r="AC108" s="222">
        <f>ABS(((AB107+AB108)/AB107))</f>
        <v>0.42739751610794668</v>
      </c>
      <c r="AD108" s="213">
        <v>102.14</v>
      </c>
      <c r="AE108" s="222">
        <f>ABS(((AD107+AD108)/AD107))</f>
        <v>0.83870387038703886</v>
      </c>
      <c r="AF108" s="213">
        <v>106.39</v>
      </c>
      <c r="AG108" s="222">
        <f>ABS(((AF107+AF108)/AF107))</f>
        <v>1.0187855787476281</v>
      </c>
      <c r="AH108" s="214">
        <v>87.57</v>
      </c>
      <c r="AI108" s="222">
        <f>ABS(((AH107+AH108)/AH107))</f>
        <v>0.7472067039106145</v>
      </c>
      <c r="AJ108" s="214">
        <v>73.650000000000006</v>
      </c>
      <c r="AK108" s="222">
        <f>ABS(((AJ107+AJ108)/AJ107))</f>
        <v>0.14009287925696615</v>
      </c>
      <c r="AL108" s="214">
        <v>124.54</v>
      </c>
      <c r="AM108" s="222">
        <f>ABS(((AL107+AL108)/AL107))</f>
        <v>0.48686723973256923</v>
      </c>
      <c r="AN108" s="214">
        <v>155.75</v>
      </c>
      <c r="AO108" s="222">
        <f>ABS(((AN107+AN108)/AN107))</f>
        <v>0.49759615384615385</v>
      </c>
      <c r="AP108" s="214">
        <v>149.65</v>
      </c>
      <c r="AQ108" s="222">
        <f>ABS(((AP107+AP108)/AP107))</f>
        <v>0.47307805886406146</v>
      </c>
      <c r="AR108" s="214">
        <v>130.72</v>
      </c>
      <c r="AS108" s="222">
        <f>ABS(((AR107+AR108)/AR107))</f>
        <v>3.1145734970097583</v>
      </c>
      <c r="AT108" s="214">
        <v>134.03</v>
      </c>
      <c r="AU108" s="222">
        <f>AT109/AT108</f>
        <v>0.36984257255838249</v>
      </c>
      <c r="AV108" s="214">
        <v>185</v>
      </c>
      <c r="AW108" s="222">
        <f>AV109/AV108</f>
        <v>0.31940540540540541</v>
      </c>
      <c r="AX108" s="214">
        <v>220.81</v>
      </c>
      <c r="AY108" s="224">
        <f>AX109/AX108</f>
        <v>0.31316516462116756</v>
      </c>
      <c r="AZ108" s="225"/>
      <c r="BA108" s="214">
        <v>250.35</v>
      </c>
      <c r="BB108" s="222">
        <f>BA109/BA108</f>
        <v>0.23091671659676455</v>
      </c>
      <c r="BC108" s="214">
        <v>197.94</v>
      </c>
      <c r="BD108" s="222">
        <f>BC109/BC108</f>
        <v>0.19718096392846318</v>
      </c>
      <c r="BE108" s="214">
        <v>221.51</v>
      </c>
      <c r="BF108" s="222">
        <f>BE109/BE108</f>
        <v>0.17006004243600736</v>
      </c>
      <c r="BG108" s="214">
        <v>126.58</v>
      </c>
      <c r="BH108" s="222">
        <f>BG109/BG108</f>
        <v>0.14409859377468789</v>
      </c>
      <c r="BI108" s="214">
        <v>119.38</v>
      </c>
      <c r="BJ108" s="222">
        <f>BI109/BI108</f>
        <v>0.23697436756575635</v>
      </c>
      <c r="BK108" s="214">
        <v>150.01</v>
      </c>
      <c r="BL108" s="222">
        <f>BK109/BK108</f>
        <v>0.34131057929471365</v>
      </c>
      <c r="BM108" s="239">
        <v>192.13</v>
      </c>
      <c r="BN108" s="222">
        <f>BM109/BM108</f>
        <v>0.17316400353927019</v>
      </c>
      <c r="BO108" s="214">
        <v>190.34</v>
      </c>
      <c r="BP108" s="222">
        <f>BO109/BO108</f>
        <v>0.17400441315540613</v>
      </c>
      <c r="BQ108" s="214">
        <v>145.22999999999999</v>
      </c>
      <c r="BR108" s="222">
        <f>BQ109/BQ108</f>
        <v>0.1913516491083109</v>
      </c>
      <c r="BS108" s="214">
        <v>173.4</v>
      </c>
      <c r="BT108" s="222">
        <f>BS109/BS108</f>
        <v>0.2002883506343715</v>
      </c>
      <c r="BU108" s="214">
        <v>206.2</v>
      </c>
      <c r="BV108" s="222">
        <f>BU109/BU108</f>
        <v>0.184917555771096</v>
      </c>
      <c r="BW108" s="214">
        <v>216.76</v>
      </c>
      <c r="BX108" s="222">
        <f>BW109/BW108</f>
        <v>0.18845727994094849</v>
      </c>
      <c r="BY108" s="214">
        <v>335.8</v>
      </c>
      <c r="BZ108" s="222">
        <f>BY109/BY108</f>
        <v>0.18150684931506844</v>
      </c>
      <c r="CA108" s="214">
        <v>185.98</v>
      </c>
      <c r="CB108" s="222">
        <f>CA109/CA108</f>
        <v>0.22362619636520059</v>
      </c>
      <c r="CC108" s="214">
        <v>194.66</v>
      </c>
      <c r="CD108" s="222">
        <f>CC109/CC108</f>
        <v>0.26476934141580188</v>
      </c>
      <c r="CE108" s="214">
        <v>139.36000000000001</v>
      </c>
      <c r="CF108" s="222">
        <f>CE109/CE108</f>
        <v>0.33115671641791056</v>
      </c>
      <c r="CG108" s="214">
        <v>104.87</v>
      </c>
      <c r="CH108" s="222">
        <f>CG109/CG108</f>
        <v>0.22704300562601318</v>
      </c>
    </row>
    <row r="109" spans="1:87">
      <c r="C109" s="241" t="s">
        <v>9</v>
      </c>
      <c r="D109" s="214">
        <f>D107+D108</f>
        <v>104.29000000000002</v>
      </c>
      <c r="F109" s="214">
        <f>F107+F108</f>
        <v>78.010000000000019</v>
      </c>
      <c r="H109" s="214">
        <f>H107+H108</f>
        <v>63.68</v>
      </c>
      <c r="J109" s="214">
        <f>J107+J108</f>
        <v>48.09</v>
      </c>
      <c r="K109" s="213" t="s">
        <v>2</v>
      </c>
      <c r="L109" s="214">
        <f>L107+L108</f>
        <v>40.409999999999997</v>
      </c>
      <c r="N109" s="214">
        <f>N107+N108</f>
        <v>14.14</v>
      </c>
      <c r="P109" s="214">
        <f>P107+P108</f>
        <v>35.42</v>
      </c>
      <c r="R109" s="214">
        <f>R107+R108</f>
        <v>51.39</v>
      </c>
      <c r="S109" s="214"/>
      <c r="T109" s="214">
        <f>T107+T108</f>
        <v>52.110000000000007</v>
      </c>
      <c r="V109" s="214">
        <f>V107+V108</f>
        <v>48.449999999999996</v>
      </c>
      <c r="X109" s="214">
        <f>X107+X108</f>
        <v>45.48</v>
      </c>
      <c r="Z109" s="214">
        <f>Z107+Z108</f>
        <v>44.16</v>
      </c>
      <c r="AB109" s="242">
        <f>AB107+AB108</f>
        <v>45.77000000000001</v>
      </c>
      <c r="AD109" s="242">
        <f>AD107+AD108</f>
        <v>46.59</v>
      </c>
      <c r="AF109" s="242">
        <f>AF107+AF108</f>
        <v>53.69</v>
      </c>
      <c r="AH109" s="243">
        <f>AH107+AH108</f>
        <v>37.449999999999996</v>
      </c>
      <c r="AJ109" s="243">
        <f>AJ107+AJ108</f>
        <v>9.0500000000000114</v>
      </c>
      <c r="AL109" s="243">
        <f>AL107+AL108</f>
        <v>40.78</v>
      </c>
      <c r="AN109" s="243">
        <f>AN107+AN108</f>
        <v>51.75</v>
      </c>
      <c r="AP109" s="239">
        <f>AP107+AP108</f>
        <v>48.06</v>
      </c>
      <c r="AR109" s="239">
        <f>AR107+AR108</f>
        <v>98.95</v>
      </c>
      <c r="AT109" s="214">
        <f>AT107+AT108</f>
        <v>49.570000000000007</v>
      </c>
      <c r="AV109" s="214">
        <f>AV107+AV108</f>
        <v>59.09</v>
      </c>
      <c r="AX109" s="214">
        <f>AX107+AX108</f>
        <v>69.150000000000006</v>
      </c>
      <c r="BA109" s="214">
        <f>BA107+BA108</f>
        <v>57.81</v>
      </c>
      <c r="BC109" s="214">
        <f>BC107+BC108</f>
        <v>39.03</v>
      </c>
      <c r="BE109" s="214">
        <f>BE107+BE108</f>
        <v>37.669999999999987</v>
      </c>
      <c r="BG109" s="214">
        <f>BG107+BG108</f>
        <v>18.239999999999995</v>
      </c>
      <c r="BI109" s="214">
        <f>BI107+BI108</f>
        <v>28.289999999999992</v>
      </c>
      <c r="BK109" s="214">
        <f>BK107+BK108</f>
        <v>51.199999999999989</v>
      </c>
      <c r="BM109" s="214">
        <f>BM107+BM108</f>
        <v>33.269999999999982</v>
      </c>
      <c r="BO109" s="214">
        <f>BO107+BO108</f>
        <v>33.120000000000005</v>
      </c>
      <c r="BQ109" s="214">
        <f>BQ107+BQ108</f>
        <v>27.789999999999992</v>
      </c>
      <c r="BS109" s="214">
        <f>BS107+BS108</f>
        <v>34.730000000000018</v>
      </c>
      <c r="BU109" s="214">
        <f>BU107+BU108</f>
        <v>38.129999999999995</v>
      </c>
      <c r="BW109" s="214">
        <f>BW107+BW108</f>
        <v>40.849999999999994</v>
      </c>
      <c r="BY109" s="214">
        <f>BY107+BY108</f>
        <v>60.949999999999989</v>
      </c>
      <c r="CA109" s="214">
        <f>CA107+CA108</f>
        <v>41.59</v>
      </c>
      <c r="CC109" s="214">
        <f>CC107+CC108</f>
        <v>51.539999999999992</v>
      </c>
      <c r="CE109" s="214">
        <f>CE107+CE108</f>
        <v>46.15000000000002</v>
      </c>
      <c r="CG109" s="214">
        <f>CG107+CG108</f>
        <v>23.810000000000002</v>
      </c>
    </row>
    <row r="110" spans="1:87" hidden="1">
      <c r="A110" s="211">
        <f>A105+1</f>
        <v>29</v>
      </c>
      <c r="B110" s="255" t="s">
        <v>30</v>
      </c>
      <c r="C110" s="233" t="s">
        <v>52</v>
      </c>
      <c r="AP110" s="214"/>
      <c r="AT110" s="214"/>
    </row>
    <row r="111" spans="1:87" hidden="1">
      <c r="C111" s="253" t="s">
        <v>53</v>
      </c>
      <c r="D111" s="235">
        <v>44927</v>
      </c>
      <c r="E111" s="235"/>
      <c r="F111" s="235">
        <v>44958</v>
      </c>
      <c r="G111" s="235"/>
      <c r="H111" s="235">
        <v>44986</v>
      </c>
      <c r="I111" s="235"/>
      <c r="J111" s="235">
        <v>45017</v>
      </c>
      <c r="K111" s="235"/>
      <c r="L111" s="246">
        <v>45047</v>
      </c>
      <c r="M111" s="235"/>
      <c r="N111" s="235">
        <v>45078</v>
      </c>
      <c r="O111" s="235"/>
      <c r="P111" s="235">
        <v>45108</v>
      </c>
      <c r="Q111" s="235"/>
      <c r="R111" s="235">
        <v>45139</v>
      </c>
      <c r="S111" s="235"/>
      <c r="T111" s="235">
        <v>45170</v>
      </c>
      <c r="U111" s="235"/>
      <c r="V111" s="235">
        <v>45200</v>
      </c>
      <c r="W111" s="235"/>
      <c r="X111" s="235">
        <v>45231</v>
      </c>
      <c r="Y111" s="235"/>
      <c r="Z111" s="235">
        <v>45261</v>
      </c>
      <c r="AA111" s="235"/>
      <c r="AB111" s="235"/>
      <c r="AC111" s="235"/>
      <c r="AD111" s="235"/>
      <c r="AE111" s="235"/>
      <c r="AF111" s="235"/>
      <c r="AP111" s="214"/>
      <c r="AT111" s="214"/>
    </row>
    <row r="112" spans="1:87" hidden="1">
      <c r="C112" s="213" t="s">
        <v>7</v>
      </c>
      <c r="D112" s="214">
        <v>-260.70999999999998</v>
      </c>
      <c r="F112" s="214">
        <v>-234.62</v>
      </c>
      <c r="H112" s="237">
        <v>-242.05</v>
      </c>
      <c r="J112" s="237">
        <v>-241.92</v>
      </c>
      <c r="L112" s="237">
        <v>-269.61</v>
      </c>
      <c r="N112" s="238">
        <f>-84.15-103.62-61.04</f>
        <v>-248.81</v>
      </c>
      <c r="AP112" s="214"/>
      <c r="AT112" s="214"/>
    </row>
    <row r="113" spans="1:87" hidden="1">
      <c r="C113" s="213" t="s">
        <v>8</v>
      </c>
      <c r="D113" s="214">
        <v>456.46</v>
      </c>
      <c r="E113" s="222">
        <f>ABS(((D112+D113)/D112))</f>
        <v>0.7508342602892103</v>
      </c>
      <c r="F113" s="214">
        <v>360.41</v>
      </c>
      <c r="G113" s="222">
        <f>ABS(((F112+F113)/F112))</f>
        <v>0.53614355127440128</v>
      </c>
      <c r="H113" s="214">
        <v>402.21</v>
      </c>
      <c r="I113" s="222">
        <f>ABS(((H112+H113)/H112))</f>
        <v>0.66168147077050177</v>
      </c>
      <c r="J113" s="214">
        <v>400.92</v>
      </c>
      <c r="K113" s="222">
        <f>ABS(((J112+J113)/J112))</f>
        <v>0.6572420634920636</v>
      </c>
      <c r="L113" s="214">
        <v>222.99</v>
      </c>
      <c r="M113" s="222">
        <v>0</v>
      </c>
      <c r="N113" s="213">
        <v>256.75</v>
      </c>
      <c r="O113" s="222">
        <f>ABS(((N112+N113)/N112))</f>
        <v>3.1911900647080091E-2</v>
      </c>
      <c r="Q113" s="222" t="e">
        <f>ABS(((P112+P113)/P112))</f>
        <v>#DIV/0!</v>
      </c>
      <c r="AP113" s="214"/>
      <c r="AT113" s="214"/>
      <c r="AU113" s="222" t="e">
        <f>(AT114/AT113)</f>
        <v>#DIV/0!</v>
      </c>
      <c r="AW113" s="222" t="e">
        <f>(AV114/AV113)</f>
        <v>#DIV/0!</v>
      </c>
      <c r="AY113" s="224" t="e">
        <f>(AX114/AX113)</f>
        <v>#DIV/0!</v>
      </c>
      <c r="AZ113" s="225"/>
      <c r="BB113" s="222" t="e">
        <f>(BA114/BA113)</f>
        <v>#DIV/0!</v>
      </c>
      <c r="BD113" s="222" t="e">
        <f>(BC114/BC113)</f>
        <v>#DIV/0!</v>
      </c>
      <c r="BF113" s="222" t="e">
        <f>(BE114/BE113)</f>
        <v>#DIV/0!</v>
      </c>
      <c r="BH113" s="222" t="e">
        <f>(BG114/BG113)</f>
        <v>#DIV/0!</v>
      </c>
      <c r="BJ113" s="222" t="e">
        <f>(BI114/BI113)</f>
        <v>#DIV/0!</v>
      </c>
      <c r="BL113" s="222" t="e">
        <f>(BK114/BK113)</f>
        <v>#DIV/0!</v>
      </c>
      <c r="BN113" s="222" t="e">
        <f>(BM114/BM113)</f>
        <v>#DIV/0!</v>
      </c>
      <c r="BP113" s="222" t="e">
        <f>(BO114/BO113)</f>
        <v>#DIV/0!</v>
      </c>
      <c r="BR113" s="222" t="e">
        <f>(BQ114/BQ113)</f>
        <v>#DIV/0!</v>
      </c>
      <c r="BT113" s="222" t="e">
        <f>(BS114/BS113)</f>
        <v>#DIV/0!</v>
      </c>
      <c r="BV113" s="222" t="e">
        <f>(BU114/BU113)</f>
        <v>#DIV/0!</v>
      </c>
      <c r="BX113" s="222" t="e">
        <f>(BW114/BW113)</f>
        <v>#DIV/0!</v>
      </c>
    </row>
    <row r="114" spans="1:87" hidden="1">
      <c r="C114" s="241" t="s">
        <v>9</v>
      </c>
      <c r="D114" s="214">
        <f>D112+D113</f>
        <v>195.75</v>
      </c>
      <c r="F114" s="214">
        <f>F112+F113</f>
        <v>125.79000000000002</v>
      </c>
      <c r="H114" s="214">
        <f>H112+H113</f>
        <v>160.15999999999997</v>
      </c>
      <c r="J114" s="214">
        <f>J112+J113</f>
        <v>159.00000000000003</v>
      </c>
      <c r="L114" s="214">
        <f>L112+L113</f>
        <v>-46.620000000000005</v>
      </c>
      <c r="N114" s="214">
        <f>N112+N113</f>
        <v>7.9399999999999977</v>
      </c>
      <c r="AP114" s="214"/>
      <c r="AT114" s="214"/>
    </row>
    <row r="115" spans="1:87" s="267" customFormat="1" hidden="1">
      <c r="A115" s="269">
        <f>A110+1</f>
        <v>30</v>
      </c>
      <c r="B115" s="255" t="s">
        <v>30</v>
      </c>
      <c r="C115" s="267" t="s">
        <v>54</v>
      </c>
      <c r="D115" s="268"/>
      <c r="E115" s="268"/>
      <c r="F115" s="268"/>
      <c r="H115" s="268"/>
      <c r="T115" s="213"/>
      <c r="AG115" s="213"/>
      <c r="AH115" s="213"/>
      <c r="AI115" s="213"/>
      <c r="AJ115" s="213"/>
      <c r="AK115" s="213"/>
      <c r="AL115" s="213"/>
      <c r="AM115" s="213"/>
      <c r="AN115" s="213"/>
      <c r="AO115" s="213"/>
      <c r="AP115" s="214"/>
      <c r="AQ115" s="213"/>
      <c r="AR115" s="214"/>
      <c r="AS115" s="213"/>
      <c r="AT115" s="214"/>
      <c r="AU115" s="213"/>
      <c r="AV115" s="213"/>
      <c r="AW115" s="213"/>
      <c r="AX115" s="213"/>
      <c r="AY115" s="213"/>
      <c r="AZ115" s="213"/>
      <c r="BA115" s="213"/>
      <c r="BB115" s="213"/>
      <c r="BC115" s="213"/>
      <c r="BD115" s="213"/>
      <c r="BE115" s="213"/>
      <c r="BF115" s="213"/>
      <c r="BG115" s="213"/>
      <c r="BH115" s="213"/>
      <c r="BI115" s="213"/>
      <c r="BJ115" s="213"/>
      <c r="BK115" s="213"/>
      <c r="BL115" s="213"/>
      <c r="BM115" s="213"/>
      <c r="BN115" s="213"/>
      <c r="BO115" s="213"/>
      <c r="BP115" s="213"/>
      <c r="BQ115" s="213"/>
      <c r="BR115" s="213"/>
      <c r="BS115" s="213"/>
      <c r="BT115" s="213"/>
      <c r="BU115" s="213"/>
      <c r="BV115" s="213"/>
      <c r="BX115" s="213"/>
    </row>
    <row r="116" spans="1:87" s="267" customFormat="1" hidden="1">
      <c r="A116" s="269"/>
      <c r="B116" s="212"/>
      <c r="C116" s="270" t="s">
        <v>55</v>
      </c>
      <c r="D116" s="280">
        <v>44927</v>
      </c>
      <c r="E116" s="280"/>
      <c r="F116" s="280">
        <v>44958</v>
      </c>
      <c r="G116" s="280"/>
      <c r="H116" s="280">
        <v>44986</v>
      </c>
      <c r="I116" s="280"/>
      <c r="J116" s="280">
        <v>45017</v>
      </c>
      <c r="K116" s="280"/>
      <c r="L116" s="280">
        <v>45047</v>
      </c>
      <c r="M116" s="280"/>
      <c r="N116" s="280">
        <v>45078</v>
      </c>
      <c r="O116" s="280"/>
      <c r="P116" s="280">
        <v>45108</v>
      </c>
      <c r="Q116" s="280"/>
      <c r="R116" s="280">
        <v>45139</v>
      </c>
      <c r="S116" s="280"/>
      <c r="T116" s="281">
        <v>45170</v>
      </c>
      <c r="U116" s="280"/>
      <c r="V116" s="280">
        <v>45200</v>
      </c>
      <c r="W116" s="280"/>
      <c r="X116" s="280">
        <v>45231</v>
      </c>
      <c r="Y116" s="280"/>
      <c r="Z116" s="280">
        <v>45261</v>
      </c>
      <c r="AA116" s="280"/>
      <c r="AB116" s="282"/>
      <c r="AC116" s="280"/>
      <c r="AD116" s="282"/>
      <c r="AE116" s="280"/>
      <c r="AF116" s="282"/>
      <c r="AG116" s="213"/>
      <c r="AH116" s="213"/>
      <c r="AI116" s="213"/>
      <c r="AJ116" s="213"/>
      <c r="AK116" s="213"/>
      <c r="AL116" s="213"/>
      <c r="AM116" s="213"/>
      <c r="AN116" s="213"/>
      <c r="AO116" s="213"/>
      <c r="AP116" s="214"/>
      <c r="AQ116" s="213"/>
      <c r="AR116" s="214"/>
      <c r="AS116" s="213"/>
      <c r="AT116" s="214"/>
      <c r="AU116" s="213"/>
      <c r="AV116" s="213"/>
      <c r="AW116" s="213"/>
      <c r="AX116" s="213"/>
      <c r="AY116" s="213"/>
      <c r="AZ116" s="213"/>
      <c r="BA116" s="213"/>
      <c r="BB116" s="213"/>
      <c r="BC116" s="213"/>
      <c r="BD116" s="213"/>
      <c r="BE116" s="213"/>
      <c r="BF116" s="213"/>
      <c r="BG116" s="213"/>
      <c r="BH116" s="213"/>
      <c r="BI116" s="213"/>
      <c r="BJ116" s="213"/>
      <c r="BK116" s="213"/>
      <c r="BL116" s="213"/>
      <c r="BM116" s="213"/>
      <c r="BN116" s="213"/>
      <c r="BO116" s="213"/>
      <c r="BP116" s="213"/>
      <c r="BQ116" s="213"/>
      <c r="BR116" s="213"/>
      <c r="BS116" s="213"/>
      <c r="BT116" s="213"/>
      <c r="BU116" s="213"/>
      <c r="BV116" s="213"/>
      <c r="BX116" s="213"/>
    </row>
    <row r="117" spans="1:87" s="267" customFormat="1" hidden="1">
      <c r="A117" s="269"/>
      <c r="B117" s="212"/>
      <c r="C117" s="267" t="s">
        <v>7</v>
      </c>
      <c r="D117" s="272">
        <f>-10.04-457.84</f>
        <v>-467.88</v>
      </c>
      <c r="E117" s="272"/>
      <c r="F117" s="272">
        <v>-857.03</v>
      </c>
      <c r="G117" s="270"/>
      <c r="H117" s="273">
        <v>-421.48</v>
      </c>
      <c r="I117" s="272"/>
      <c r="J117" s="273">
        <v>-145.27000000000001</v>
      </c>
      <c r="K117" s="272"/>
      <c r="L117" s="273">
        <f>-91.15-6.28</f>
        <v>-97.43</v>
      </c>
      <c r="M117" s="272"/>
      <c r="N117" s="273">
        <f>-5.99-65.12-18.88</f>
        <v>-89.99</v>
      </c>
      <c r="O117" s="272"/>
      <c r="P117" s="273">
        <v>-72.959999999999994</v>
      </c>
      <c r="Q117" s="272"/>
      <c r="R117" s="273">
        <v>-72.959999999999994</v>
      </c>
      <c r="S117" s="272"/>
      <c r="T117" s="273">
        <v>-68.23</v>
      </c>
      <c r="U117" s="272"/>
      <c r="V117" s="272"/>
      <c r="W117" s="272"/>
      <c r="X117" s="272"/>
      <c r="Y117" s="272"/>
      <c r="Z117" s="272"/>
      <c r="AA117" s="272"/>
      <c r="AB117" s="283"/>
      <c r="AC117" s="272"/>
      <c r="AD117" s="283"/>
      <c r="AE117" s="272"/>
      <c r="AF117" s="283"/>
      <c r="AG117" s="213"/>
      <c r="AH117" s="213"/>
      <c r="AI117" s="213"/>
      <c r="AJ117" s="213"/>
      <c r="AK117" s="213"/>
      <c r="AL117" s="213"/>
      <c r="AM117" s="213"/>
      <c r="AN117" s="213"/>
      <c r="AO117" s="213"/>
      <c r="AP117" s="214"/>
      <c r="AQ117" s="213"/>
      <c r="AR117" s="214"/>
      <c r="AS117" s="213"/>
      <c r="AT117" s="214"/>
      <c r="AU117" s="213"/>
      <c r="AV117" s="213"/>
      <c r="AW117" s="213"/>
      <c r="AX117" s="213"/>
      <c r="AY117" s="213"/>
      <c r="AZ117" s="213"/>
      <c r="BA117" s="213"/>
      <c r="BB117" s="213"/>
      <c r="BC117" s="213"/>
      <c r="BD117" s="213"/>
      <c r="BE117" s="213"/>
      <c r="BF117" s="213"/>
      <c r="BG117" s="213"/>
      <c r="BH117" s="213"/>
      <c r="BI117" s="213"/>
      <c r="BJ117" s="213"/>
      <c r="BK117" s="213"/>
      <c r="BL117" s="213"/>
      <c r="BM117" s="213"/>
      <c r="BN117" s="213"/>
      <c r="BO117" s="213"/>
      <c r="BP117" s="213"/>
      <c r="BQ117" s="213"/>
      <c r="BR117" s="213"/>
      <c r="BS117" s="213"/>
      <c r="BT117" s="213"/>
      <c r="BU117" s="213"/>
      <c r="BV117" s="213"/>
      <c r="BX117" s="213"/>
    </row>
    <row r="118" spans="1:87" s="267" customFormat="1" hidden="1">
      <c r="A118" s="269"/>
      <c r="B118" s="212"/>
      <c r="C118" s="267" t="s">
        <v>8</v>
      </c>
      <c r="D118" s="272">
        <v>1221.31</v>
      </c>
      <c r="E118" s="276">
        <f>ABS(((D117+D118)/D117))</f>
        <v>1.6103060613832605</v>
      </c>
      <c r="F118" s="272">
        <v>1316.71</v>
      </c>
      <c r="G118" s="276">
        <f>ABS(((F117+F118)/F117))</f>
        <v>0.53636395458735409</v>
      </c>
      <c r="H118" s="272">
        <v>719.88</v>
      </c>
      <c r="I118" s="276">
        <f>ABS(((H117+H118)/H117))</f>
        <v>0.70798139888013656</v>
      </c>
      <c r="J118" s="272">
        <v>234.11</v>
      </c>
      <c r="K118" s="276">
        <f>ABS(((J117+J118)/J117))</f>
        <v>0.61155090521098643</v>
      </c>
      <c r="L118" s="272">
        <v>151.86000000000001</v>
      </c>
      <c r="M118" s="276">
        <f>ABS(((L117+L118)/L117))</f>
        <v>0.55865749769064976</v>
      </c>
      <c r="N118" s="272">
        <v>142.05000000000001</v>
      </c>
      <c r="O118" s="276">
        <f>ABS(((N117+N118)/N117))</f>
        <v>0.57850872319146596</v>
      </c>
      <c r="P118" s="272">
        <v>98.78</v>
      </c>
      <c r="Q118" s="276">
        <f>ABS(((P117+P118)/P117))</f>
        <v>0.35389254385964924</v>
      </c>
      <c r="R118" s="272">
        <v>130.13</v>
      </c>
      <c r="S118" s="276">
        <f>ABS(((R117+R118)/R117))</f>
        <v>0.78358004385964919</v>
      </c>
      <c r="T118" s="217">
        <v>139.49</v>
      </c>
      <c r="U118" s="276">
        <f>ABS(((T117+T118)/T117))</f>
        <v>1.0444086179100103</v>
      </c>
      <c r="V118" s="272"/>
      <c r="W118" s="272"/>
      <c r="X118" s="272"/>
      <c r="Y118" s="272"/>
      <c r="Z118" s="272"/>
      <c r="AA118" s="272"/>
      <c r="AB118" s="283"/>
      <c r="AC118" s="272"/>
      <c r="AD118" s="283"/>
      <c r="AE118" s="272"/>
      <c r="AF118" s="283"/>
      <c r="AG118" s="213"/>
      <c r="AH118" s="213"/>
      <c r="AI118" s="213"/>
      <c r="AJ118" s="213"/>
      <c r="AK118" s="213"/>
      <c r="AL118" s="213"/>
      <c r="AM118" s="213"/>
      <c r="AN118" s="213"/>
      <c r="AO118" s="213"/>
      <c r="AP118" s="214"/>
      <c r="AQ118" s="213"/>
      <c r="AR118" s="214"/>
      <c r="AS118" s="213"/>
      <c r="AT118" s="214"/>
      <c r="AU118" s="213"/>
      <c r="AV118" s="213"/>
      <c r="AW118" s="213"/>
      <c r="AX118" s="213"/>
      <c r="AY118" s="213"/>
      <c r="AZ118" s="213"/>
      <c r="BA118" s="213"/>
      <c r="BB118" s="213"/>
      <c r="BC118" s="213"/>
      <c r="BD118" s="213"/>
      <c r="BE118" s="213"/>
      <c r="BF118" s="213"/>
      <c r="BG118" s="213"/>
      <c r="BH118" s="213"/>
      <c r="BI118" s="213"/>
      <c r="BJ118" s="213"/>
      <c r="BK118" s="213"/>
      <c r="BL118" s="213"/>
      <c r="BM118" s="213"/>
      <c r="BN118" s="213"/>
      <c r="BO118" s="213"/>
      <c r="BP118" s="213"/>
      <c r="BQ118" s="213"/>
      <c r="BR118" s="213"/>
      <c r="BS118" s="213"/>
      <c r="BT118" s="213"/>
      <c r="BU118" s="213"/>
      <c r="BV118" s="213"/>
      <c r="BX118" s="213"/>
    </row>
    <row r="119" spans="1:87" s="267" customFormat="1" hidden="1">
      <c r="A119" s="269"/>
      <c r="B119" s="212"/>
      <c r="C119" s="267" t="s">
        <v>9</v>
      </c>
      <c r="D119" s="272">
        <f>D117+D118</f>
        <v>753.43</v>
      </c>
      <c r="E119" s="272"/>
      <c r="F119" s="272">
        <f>F117+F118</f>
        <v>459.68000000000006</v>
      </c>
      <c r="G119" s="270"/>
      <c r="H119" s="272">
        <f>H117+H118</f>
        <v>298.39999999999998</v>
      </c>
      <c r="I119" s="272"/>
      <c r="J119" s="272">
        <f>J117+J118</f>
        <v>88.84</v>
      </c>
      <c r="K119" s="272"/>
      <c r="L119" s="272">
        <f>L117+L118</f>
        <v>54.430000000000007</v>
      </c>
      <c r="M119" s="272"/>
      <c r="N119" s="272">
        <f>N117+N118</f>
        <v>52.060000000000016</v>
      </c>
      <c r="O119" s="272"/>
      <c r="P119" s="272">
        <f>P117+P118</f>
        <v>25.820000000000007</v>
      </c>
      <c r="Q119" s="272"/>
      <c r="R119" s="272">
        <f>R117+R118</f>
        <v>57.17</v>
      </c>
      <c r="S119" s="272"/>
      <c r="T119" s="217">
        <f>T117+T118</f>
        <v>71.260000000000005</v>
      </c>
      <c r="U119" s="272"/>
      <c r="V119" s="272"/>
      <c r="W119" s="272"/>
      <c r="X119" s="272"/>
      <c r="Y119" s="272"/>
      <c r="Z119" s="272"/>
      <c r="AA119" s="272"/>
      <c r="AB119" s="283"/>
      <c r="AC119" s="272"/>
      <c r="AD119" s="283"/>
      <c r="AE119" s="272"/>
      <c r="AF119" s="283"/>
      <c r="AG119" s="213"/>
      <c r="AH119" s="213"/>
      <c r="AI119" s="213"/>
      <c r="AJ119" s="213"/>
      <c r="AK119" s="213"/>
      <c r="AL119" s="213"/>
      <c r="AM119" s="213"/>
      <c r="AN119" s="213"/>
      <c r="AO119" s="213"/>
      <c r="AP119" s="214"/>
      <c r="AQ119" s="213"/>
      <c r="AR119" s="214"/>
      <c r="AS119" s="213"/>
      <c r="AT119" s="214"/>
      <c r="AU119" s="213"/>
      <c r="AV119" s="213"/>
      <c r="AW119" s="213"/>
      <c r="AX119" s="213"/>
      <c r="AY119" s="213"/>
      <c r="AZ119" s="213"/>
      <c r="BA119" s="213"/>
      <c r="BB119" s="213"/>
      <c r="BC119" s="213"/>
      <c r="BD119" s="213"/>
      <c r="BE119" s="213"/>
      <c r="BF119" s="213"/>
      <c r="BG119" s="213"/>
      <c r="BH119" s="213"/>
      <c r="BI119" s="213"/>
      <c r="BJ119" s="213"/>
      <c r="BK119" s="213"/>
      <c r="BL119" s="213"/>
      <c r="BM119" s="213"/>
      <c r="BN119" s="213"/>
      <c r="BO119" s="213"/>
      <c r="BP119" s="213"/>
      <c r="BQ119" s="213"/>
      <c r="BR119" s="213"/>
      <c r="BS119" s="213"/>
      <c r="BT119" s="213"/>
      <c r="BU119" s="213"/>
      <c r="BV119" s="213"/>
      <c r="BX119" s="213"/>
    </row>
    <row r="120" spans="1:87" hidden="1">
      <c r="A120" s="231">
        <v>31</v>
      </c>
      <c r="B120" s="284" t="s">
        <v>30</v>
      </c>
      <c r="C120" s="285" t="s">
        <v>56</v>
      </c>
      <c r="D120" s="268"/>
      <c r="E120" s="268"/>
      <c r="F120" s="268"/>
      <c r="G120" s="267"/>
      <c r="H120" s="268"/>
      <c r="I120" s="267"/>
      <c r="J120" s="267"/>
      <c r="K120" s="267"/>
      <c r="L120" s="267"/>
      <c r="M120" s="267"/>
      <c r="N120" s="267"/>
      <c r="O120" s="267"/>
      <c r="P120" s="267"/>
      <c r="Q120" s="267"/>
      <c r="R120" s="267"/>
      <c r="S120" s="267"/>
      <c r="U120" s="267"/>
      <c r="V120" s="267"/>
      <c r="W120" s="267"/>
      <c r="X120" s="267"/>
      <c r="Y120" s="267"/>
      <c r="Z120" s="267"/>
      <c r="AA120" s="267"/>
      <c r="AC120" s="267"/>
      <c r="AE120" s="267"/>
      <c r="AP120" s="214"/>
      <c r="AT120" s="214"/>
    </row>
    <row r="121" spans="1:87" hidden="1">
      <c r="A121" s="269"/>
      <c r="C121" s="270" t="s">
        <v>258</v>
      </c>
      <c r="D121" s="280">
        <v>44927</v>
      </c>
      <c r="E121" s="280"/>
      <c r="F121" s="280">
        <v>44958</v>
      </c>
      <c r="G121" s="280"/>
      <c r="H121" s="280">
        <v>44986</v>
      </c>
      <c r="I121" s="280"/>
      <c r="J121" s="280">
        <v>45017</v>
      </c>
      <c r="K121" s="280"/>
      <c r="L121" s="280">
        <v>45047</v>
      </c>
      <c r="M121" s="280"/>
      <c r="N121" s="280">
        <v>45078</v>
      </c>
      <c r="O121" s="280"/>
      <c r="P121" s="280">
        <v>45108</v>
      </c>
      <c r="Q121" s="280"/>
      <c r="R121" s="280">
        <v>45139</v>
      </c>
      <c r="S121" s="280"/>
      <c r="T121" s="281">
        <v>45170</v>
      </c>
      <c r="U121" s="280"/>
      <c r="V121" s="280">
        <v>45200</v>
      </c>
      <c r="W121" s="280"/>
      <c r="X121" s="280">
        <v>45231</v>
      </c>
      <c r="Y121" s="280"/>
      <c r="Z121" s="280">
        <v>45261</v>
      </c>
      <c r="AA121" s="280"/>
      <c r="AB121" s="235">
        <v>45292</v>
      </c>
      <c r="AC121" s="280"/>
      <c r="AD121" s="235">
        <v>45323</v>
      </c>
      <c r="AE121" s="280"/>
      <c r="AF121" s="235">
        <v>45352</v>
      </c>
      <c r="AH121" s="235">
        <v>45383</v>
      </c>
      <c r="AJ121" s="235">
        <v>45413</v>
      </c>
      <c r="AL121" s="235">
        <v>45444</v>
      </c>
      <c r="AN121" s="235">
        <v>45474</v>
      </c>
      <c r="AP121" s="235">
        <v>45505</v>
      </c>
      <c r="AR121" s="236">
        <v>45536</v>
      </c>
      <c r="AT121" s="236">
        <v>45566</v>
      </c>
      <c r="AV121" s="235">
        <v>45597</v>
      </c>
      <c r="AX121" s="235">
        <v>45627</v>
      </c>
      <c r="BA121" s="235">
        <v>45658</v>
      </c>
      <c r="BC121" s="235">
        <v>45689</v>
      </c>
      <c r="BE121" s="235">
        <v>45717</v>
      </c>
      <c r="BG121" s="235">
        <v>45748</v>
      </c>
    </row>
    <row r="122" spans="1:87" hidden="1">
      <c r="A122" s="269"/>
      <c r="C122" s="267" t="s">
        <v>7</v>
      </c>
      <c r="D122" s="272">
        <v>-719.56</v>
      </c>
      <c r="E122" s="272"/>
      <c r="F122" s="272">
        <v>-860.18</v>
      </c>
      <c r="G122" s="270"/>
      <c r="H122" s="273">
        <v>-788.99</v>
      </c>
      <c r="I122" s="272"/>
      <c r="J122" s="273">
        <v>-561.38</v>
      </c>
      <c r="K122" s="272"/>
      <c r="L122" s="273">
        <v>-646.09</v>
      </c>
      <c r="M122" s="272"/>
      <c r="N122" s="273">
        <v>-492.12</v>
      </c>
      <c r="O122" s="272"/>
      <c r="P122" s="273">
        <v>-506.28</v>
      </c>
      <c r="Q122" s="272"/>
      <c r="R122" s="273">
        <v>-375.81</v>
      </c>
      <c r="S122" s="272"/>
      <c r="T122" s="273">
        <v>-651.73</v>
      </c>
      <c r="U122" s="272"/>
      <c r="V122" s="273">
        <v>-702.45</v>
      </c>
      <c r="W122" s="272"/>
      <c r="X122" s="273">
        <v>-916.95</v>
      </c>
      <c r="Y122" s="272"/>
      <c r="Z122" s="273">
        <f>-467.97-63.68</f>
        <v>-531.65</v>
      </c>
      <c r="AA122" s="272"/>
      <c r="AB122" s="286">
        <v>-1116.6500000000001</v>
      </c>
      <c r="AC122" s="272"/>
      <c r="AD122" s="286">
        <v>-975.65</v>
      </c>
      <c r="AE122" s="272"/>
      <c r="AF122" s="286">
        <v>-750.95</v>
      </c>
      <c r="AH122" s="237">
        <v>-561.07000000000005</v>
      </c>
      <c r="AJ122" s="237">
        <v>-666.03</v>
      </c>
      <c r="AL122" s="237">
        <v>-533.54</v>
      </c>
      <c r="AN122" s="237">
        <v>-690.85</v>
      </c>
      <c r="AP122" s="237">
        <v>-455.81</v>
      </c>
      <c r="AR122" s="237">
        <v>-632.84</v>
      </c>
      <c r="AT122" s="214">
        <v>-841.3</v>
      </c>
      <c r="AV122" s="237">
        <f>-428.05-321.79</f>
        <v>-749.84</v>
      </c>
      <c r="AX122" s="214">
        <v>-990.26</v>
      </c>
      <c r="BA122" s="214">
        <v>-939.63</v>
      </c>
      <c r="BC122" s="214">
        <v>-952.56</v>
      </c>
      <c r="BE122" s="214">
        <v>-136.22999999999999</v>
      </c>
      <c r="BG122" s="214"/>
    </row>
    <row r="123" spans="1:87" hidden="1">
      <c r="A123" s="269"/>
      <c r="C123" s="267" t="s">
        <v>8</v>
      </c>
      <c r="D123" s="272">
        <v>1316.31</v>
      </c>
      <c r="E123" s="276">
        <f>ABS(((D122+D123)/D122))</f>
        <v>0.82932625493357059</v>
      </c>
      <c r="F123" s="272">
        <v>1390.14</v>
      </c>
      <c r="G123" s="276">
        <f>ABS(((F122+F123)/F122))</f>
        <v>0.6161036062219537</v>
      </c>
      <c r="H123" s="272">
        <v>1375.06</v>
      </c>
      <c r="I123" s="276">
        <f>ABS(((H122+H123)/H122))</f>
        <v>0.74281042852254142</v>
      </c>
      <c r="J123" s="272">
        <v>969.54</v>
      </c>
      <c r="K123" s="276">
        <f>ABS(((J122+J123)/J122))</f>
        <v>0.72706544586554556</v>
      </c>
      <c r="L123" s="272">
        <v>1141.82</v>
      </c>
      <c r="M123" s="276">
        <f>ABS(((L122+L123)/L122))</f>
        <v>0.76727700475165983</v>
      </c>
      <c r="N123" s="272">
        <v>806.27</v>
      </c>
      <c r="O123" s="276">
        <f>ABS(((N122+N123)/N122))</f>
        <v>0.63836056246443951</v>
      </c>
      <c r="P123" s="272">
        <v>745.59</v>
      </c>
      <c r="Q123" s="276">
        <f>ABS(((P122+P123)/P122))</f>
        <v>0.47268310026072541</v>
      </c>
      <c r="R123" s="272">
        <v>622.48</v>
      </c>
      <c r="S123" s="276">
        <f>ABS(((R122+R123)/R122))</f>
        <v>0.65636890982145235</v>
      </c>
      <c r="T123" s="217">
        <v>805.95</v>
      </c>
      <c r="U123" s="276">
        <f>ABS(((T122+T123)/T122))</f>
        <v>0.23663173400027623</v>
      </c>
      <c r="V123" s="272">
        <v>830.09</v>
      </c>
      <c r="W123" s="222">
        <f>ABS(((V122+V123)/V122))</f>
        <v>0.1817068830521745</v>
      </c>
      <c r="X123" s="272">
        <v>1153.48</v>
      </c>
      <c r="Y123" s="222">
        <f>ABS(((X122+X123)/X122))</f>
        <v>0.25795299634658375</v>
      </c>
      <c r="Z123" s="272">
        <v>705.81</v>
      </c>
      <c r="AA123" s="222">
        <f>ABS(((Z122+Z123)/Z122))</f>
        <v>0.32758393680052661</v>
      </c>
      <c r="AB123" s="287">
        <v>1213.1099999999999</v>
      </c>
      <c r="AC123" s="222">
        <f>ABS(((AB122+AB123)/AB122))</f>
        <v>8.6383378856400669E-2</v>
      </c>
      <c r="AD123" s="287">
        <v>1196.21</v>
      </c>
      <c r="AE123" s="222">
        <f>ABS(((AD122+AD123)/AD122))</f>
        <v>0.22606467483216325</v>
      </c>
      <c r="AF123" s="287">
        <v>983.69</v>
      </c>
      <c r="AG123" s="222">
        <f>ABS(((AF122+AF123)/AF122))</f>
        <v>0.30992742526133565</v>
      </c>
      <c r="AH123" s="214">
        <v>1032.6300000000001</v>
      </c>
      <c r="AI123" s="222">
        <f>ABS(((AH122+AH123)/AH122))</f>
        <v>0.84046553905929744</v>
      </c>
      <c r="AJ123" s="214">
        <v>1004.11</v>
      </c>
      <c r="AK123" s="222">
        <f>ABS(((AJ122+AJ123)/AJ122))</f>
        <v>0.50760476254823361</v>
      </c>
      <c r="AL123" s="214">
        <v>938.02</v>
      </c>
      <c r="AM123" s="222">
        <f>ABS(((AL122+AL123)/AL122))</f>
        <v>0.75810623383438924</v>
      </c>
      <c r="AN123" s="214">
        <v>1023.44</v>
      </c>
      <c r="AO123" s="222">
        <f>ABS(((AN122+AN123)/AN122))</f>
        <v>0.48142143735977422</v>
      </c>
      <c r="AP123" s="214">
        <v>740.8</v>
      </c>
      <c r="AQ123" s="222">
        <f>ABS(((AP122+AP123)/AP122))</f>
        <v>0.62523858625304396</v>
      </c>
      <c r="AR123" s="214">
        <v>874.13</v>
      </c>
      <c r="AS123" s="222">
        <f>ABS(((AR122+AR123)/AR122))</f>
        <v>0.38128120852032099</v>
      </c>
      <c r="AT123" s="214">
        <v>1467.76</v>
      </c>
      <c r="AU123" s="222">
        <f>ABS(((AT122+AT123)/AT122))</f>
        <v>0.74463330559847862</v>
      </c>
      <c r="AV123" s="214">
        <v>1559.53</v>
      </c>
      <c r="AW123" s="222">
        <f>ABS(((AV122+AV123)/AV122))</f>
        <v>1.0798170276325616</v>
      </c>
      <c r="AX123" s="214">
        <v>1332.73</v>
      </c>
      <c r="AY123" s="224">
        <f>ABS(((AX122+AX123)/AX122))</f>
        <v>0.34583846666532025</v>
      </c>
      <c r="AZ123" s="225"/>
      <c r="BA123" s="214">
        <v>878.68</v>
      </c>
      <c r="BB123" s="222">
        <f>ABS(((BA122+BA123)/BA122))</f>
        <v>6.4865957877036751E-2</v>
      </c>
      <c r="BC123" s="214"/>
      <c r="BD123" s="222">
        <f>ABS(((BC122+BC123)/BC122))</f>
        <v>1</v>
      </c>
      <c r="BE123" s="214">
        <v>1431.24</v>
      </c>
      <c r="BF123" s="222">
        <f>ABS(((BE122+BE123)/BE122))</f>
        <v>9.5060559348161213</v>
      </c>
      <c r="BG123" s="214"/>
      <c r="BH123" s="222" t="e">
        <f>ABS(((BG122+BG123)/BG122))</f>
        <v>#DIV/0!</v>
      </c>
      <c r="BJ123" s="222" t="e">
        <f>ABS(((BI122+BI123)/BI122))</f>
        <v>#DIV/0!</v>
      </c>
      <c r="BL123" s="222" t="e">
        <f>ABS(((BK122+BK123)/BK122))</f>
        <v>#DIV/0!</v>
      </c>
      <c r="BN123" s="222" t="e">
        <f>ABS(((BM122+BM123)/BM122))</f>
        <v>#DIV/0!</v>
      </c>
      <c r="BP123" s="222" t="e">
        <f>ABS(((BO122+BO123)/BO122))</f>
        <v>#DIV/0!</v>
      </c>
      <c r="BR123" s="222" t="e">
        <f>ABS(((BQ122+BQ123)/BQ122))</f>
        <v>#DIV/0!</v>
      </c>
      <c r="BT123" s="222" t="e">
        <f>ABS(((BS122+BS123)/BS122))</f>
        <v>#DIV/0!</v>
      </c>
      <c r="BV123" s="222" t="e">
        <f>ABS(((BU122+BU123)/BU122))</f>
        <v>#DIV/0!</v>
      </c>
      <c r="BX123" s="222" t="e">
        <f>ABS(((BW122+BW123)/BW122))</f>
        <v>#DIV/0!</v>
      </c>
    </row>
    <row r="124" spans="1:87" hidden="1">
      <c r="A124" s="269"/>
      <c r="C124" s="241" t="s">
        <v>9</v>
      </c>
      <c r="D124" s="272">
        <f>D122+D123</f>
        <v>596.75</v>
      </c>
      <c r="E124" s="272"/>
      <c r="F124" s="272">
        <f>F122+F123</f>
        <v>529.96000000000015</v>
      </c>
      <c r="G124" s="270"/>
      <c r="H124" s="272">
        <f>H122+H123</f>
        <v>586.06999999999994</v>
      </c>
      <c r="I124" s="272"/>
      <c r="J124" s="272">
        <f>J122+J123</f>
        <v>408.15999999999997</v>
      </c>
      <c r="K124" s="272"/>
      <c r="L124" s="272">
        <f>L122+L123</f>
        <v>495.7299999999999</v>
      </c>
      <c r="M124" s="272"/>
      <c r="N124" s="272">
        <f>N122+N123</f>
        <v>314.14999999999998</v>
      </c>
      <c r="O124" s="272"/>
      <c r="P124" s="272">
        <f>P122+P123</f>
        <v>239.31000000000006</v>
      </c>
      <c r="Q124" s="272"/>
      <c r="R124" s="272">
        <f>R122+R123</f>
        <v>246.67000000000002</v>
      </c>
      <c r="S124" s="272"/>
      <c r="T124" s="217">
        <f>T122+T123</f>
        <v>154.22000000000003</v>
      </c>
      <c r="U124" s="272"/>
      <c r="V124" s="214">
        <f>V122+V123</f>
        <v>127.63999999999999</v>
      </c>
      <c r="W124" s="272"/>
      <c r="X124" s="214">
        <f>X122+X123</f>
        <v>236.52999999999997</v>
      </c>
      <c r="Y124" s="272"/>
      <c r="Z124" s="214">
        <f>Z122+Z123</f>
        <v>174.15999999999997</v>
      </c>
      <c r="AA124" s="272"/>
      <c r="AB124" s="242">
        <f>AB122+AB123</f>
        <v>96.459999999999809</v>
      </c>
      <c r="AC124" s="272"/>
      <c r="AD124" s="242">
        <f>AD122+AD123</f>
        <v>220.56000000000006</v>
      </c>
      <c r="AE124" s="272"/>
      <c r="AF124" s="242">
        <f>AF122+AF123</f>
        <v>232.74</v>
      </c>
      <c r="AH124" s="242">
        <f>AH122+AH123</f>
        <v>471.56000000000006</v>
      </c>
      <c r="AJ124" s="242">
        <f>AJ122+AJ123</f>
        <v>338.08000000000004</v>
      </c>
      <c r="AL124" s="242">
        <f>AL122+AL123</f>
        <v>404.48</v>
      </c>
      <c r="AN124" s="242">
        <f>AN122+AN123</f>
        <v>332.59000000000003</v>
      </c>
      <c r="AP124" s="214">
        <f>AP122+AP123</f>
        <v>284.98999999999995</v>
      </c>
      <c r="AR124" s="214">
        <f>AR122+AR123</f>
        <v>241.28999999999996</v>
      </c>
      <c r="AT124" s="214">
        <f>AT122+AT123</f>
        <v>626.46</v>
      </c>
      <c r="AV124" s="214">
        <f>AV122+AV123</f>
        <v>809.68999999999994</v>
      </c>
      <c r="AX124" s="214">
        <f>AX122+AX123</f>
        <v>342.47</v>
      </c>
      <c r="BA124" s="214">
        <f>BA122+BA123</f>
        <v>-60.950000000000045</v>
      </c>
      <c r="BC124" s="214">
        <f>BC122+BC123</f>
        <v>-952.56</v>
      </c>
      <c r="BE124" s="214">
        <f>BE122+BE123</f>
        <v>1295.01</v>
      </c>
      <c r="BG124" s="214">
        <f>BG122+BG123</f>
        <v>0</v>
      </c>
    </row>
    <row r="125" spans="1:87">
      <c r="A125" s="231">
        <v>32</v>
      </c>
      <c r="B125" s="288">
        <v>155092182</v>
      </c>
      <c r="C125" s="233" t="s">
        <v>264</v>
      </c>
      <c r="AP125" s="214"/>
      <c r="AT125" s="214"/>
    </row>
    <row r="126" spans="1:87">
      <c r="C126" s="253" t="s">
        <v>57</v>
      </c>
      <c r="D126" s="235">
        <v>44927</v>
      </c>
      <c r="E126" s="235"/>
      <c r="F126" s="235">
        <v>44958</v>
      </c>
      <c r="G126" s="235"/>
      <c r="H126" s="235">
        <v>44986</v>
      </c>
      <c r="I126" s="235"/>
      <c r="J126" s="235">
        <v>45017</v>
      </c>
      <c r="K126" s="235"/>
      <c r="L126" s="246">
        <v>45047</v>
      </c>
      <c r="M126" s="235"/>
      <c r="N126" s="235">
        <v>45078</v>
      </c>
      <c r="O126" s="235"/>
      <c r="P126" s="235">
        <v>45108</v>
      </c>
      <c r="Q126" s="235"/>
      <c r="R126" s="235">
        <v>45139</v>
      </c>
      <c r="S126" s="235"/>
      <c r="T126" s="235">
        <v>45170</v>
      </c>
      <c r="U126" s="235"/>
      <c r="V126" s="235">
        <v>45200</v>
      </c>
      <c r="W126" s="235"/>
      <c r="X126" s="235">
        <v>45231</v>
      </c>
      <c r="Y126" s="235"/>
      <c r="Z126" s="235">
        <v>45261</v>
      </c>
      <c r="AA126" s="235"/>
      <c r="AB126" s="235">
        <v>45292</v>
      </c>
      <c r="AC126" s="235"/>
      <c r="AD126" s="235">
        <v>45323</v>
      </c>
      <c r="AE126" s="235"/>
      <c r="AF126" s="235">
        <v>45352</v>
      </c>
      <c r="AH126" s="235">
        <v>45383</v>
      </c>
      <c r="AJ126" s="235">
        <v>45413</v>
      </c>
      <c r="AL126" s="235">
        <v>45444</v>
      </c>
      <c r="AN126" s="235">
        <v>45474</v>
      </c>
      <c r="AP126" s="235">
        <v>45505</v>
      </c>
      <c r="AR126" s="236">
        <v>45536</v>
      </c>
      <c r="AT126" s="236">
        <v>45566</v>
      </c>
      <c r="AV126" s="235">
        <v>45597</v>
      </c>
      <c r="AX126" s="235">
        <v>45627</v>
      </c>
      <c r="BA126" s="235">
        <v>45658</v>
      </c>
      <c r="BC126" s="235">
        <v>45689</v>
      </c>
      <c r="BE126" s="235">
        <v>45717</v>
      </c>
      <c r="BG126" s="235">
        <v>45748</v>
      </c>
      <c r="BI126" s="235">
        <v>45778</v>
      </c>
      <c r="BK126" s="235">
        <v>45809</v>
      </c>
      <c r="BM126" s="235">
        <v>45839</v>
      </c>
      <c r="BO126" s="235">
        <v>45870</v>
      </c>
      <c r="BQ126" s="235">
        <v>45901</v>
      </c>
      <c r="BS126" s="235">
        <v>45931</v>
      </c>
      <c r="BU126" s="235">
        <v>45962</v>
      </c>
      <c r="BW126" s="235">
        <v>45992</v>
      </c>
      <c r="BY126" s="235">
        <v>46023</v>
      </c>
      <c r="CA126" s="235">
        <v>46054</v>
      </c>
      <c r="CC126" s="235">
        <v>46082</v>
      </c>
      <c r="CE126" s="235">
        <v>46113</v>
      </c>
      <c r="CG126" s="235">
        <v>46143</v>
      </c>
      <c r="CI126" s="341">
        <v>46174</v>
      </c>
    </row>
    <row r="127" spans="1:87">
      <c r="C127" s="213" t="s">
        <v>7</v>
      </c>
      <c r="D127" s="214">
        <v>-386.37</v>
      </c>
      <c r="F127" s="214">
        <v>-332.7</v>
      </c>
      <c r="H127" s="237">
        <v>-326.66000000000003</v>
      </c>
      <c r="J127" s="237">
        <v>-295.36</v>
      </c>
      <c r="L127" s="237">
        <v>-331.03</v>
      </c>
      <c r="N127" s="237">
        <f>-220.99-116.96-32.04</f>
        <v>-369.99</v>
      </c>
      <c r="P127" s="237">
        <v>-488.78</v>
      </c>
      <c r="R127" s="237">
        <v>-527.12</v>
      </c>
      <c r="T127" s="237">
        <v>-349.51</v>
      </c>
      <c r="V127" s="237">
        <v>-381.44</v>
      </c>
      <c r="X127" s="237">
        <v>-335.16</v>
      </c>
      <c r="Z127" s="238">
        <v>-358.63</v>
      </c>
      <c r="AB127" s="238">
        <v>-295.22000000000003</v>
      </c>
      <c r="AD127" s="237">
        <v>-143.94</v>
      </c>
      <c r="AF127" s="237">
        <v>-290.79000000000002</v>
      </c>
      <c r="AH127" s="237">
        <f>-135.45-98.11</f>
        <v>-233.56</v>
      </c>
      <c r="AJ127" s="237">
        <v>-267.16000000000003</v>
      </c>
      <c r="AL127" s="237">
        <f>-297.27</f>
        <v>-297.27</v>
      </c>
      <c r="AN127" s="237">
        <v>-407.26</v>
      </c>
      <c r="AP127" s="237">
        <f>-299.68-135.01</f>
        <v>-434.69</v>
      </c>
      <c r="AR127" s="237">
        <v>-327.64</v>
      </c>
      <c r="AT127" s="237">
        <f>-23.87-457.09</f>
        <v>-480.96</v>
      </c>
      <c r="AV127" s="237">
        <f>-500.55-34.62</f>
        <v>-535.16999999999996</v>
      </c>
      <c r="AX127" s="214">
        <v>-357.67</v>
      </c>
      <c r="BA127" s="237">
        <v>-341.95</v>
      </c>
      <c r="BC127" s="237">
        <v>-277.94</v>
      </c>
      <c r="BE127" s="237">
        <v>-281.33999999999997</v>
      </c>
      <c r="BG127" s="237">
        <v>-263.02</v>
      </c>
      <c r="BI127" s="237">
        <v>-243.26</v>
      </c>
      <c r="BK127" s="237">
        <v>-324.32</v>
      </c>
      <c r="BM127" s="237">
        <v>-428.24</v>
      </c>
      <c r="BO127" s="237">
        <v>-450.24</v>
      </c>
      <c r="BQ127" s="237">
        <v>-346.93</v>
      </c>
      <c r="BS127" s="237">
        <v>-358.4</v>
      </c>
      <c r="BU127" s="237">
        <v>-318.5</v>
      </c>
      <c r="BW127" s="237">
        <v>-335.35</v>
      </c>
      <c r="BY127" s="237">
        <v>-263.74</v>
      </c>
      <c r="CA127" s="237">
        <v>-301.29000000000002</v>
      </c>
      <c r="CC127" s="237">
        <v>-279.73</v>
      </c>
      <c r="CE127" s="237">
        <v>-209.39</v>
      </c>
      <c r="CG127" s="237">
        <v>-254.03</v>
      </c>
    </row>
    <row r="128" spans="1:87">
      <c r="C128" s="213" t="s">
        <v>8</v>
      </c>
      <c r="D128" s="214">
        <v>610.41</v>
      </c>
      <c r="E128" s="222">
        <f>ABS(((D127+D128)/D127))</f>
        <v>0.57985868468048751</v>
      </c>
      <c r="F128" s="214">
        <v>503.78</v>
      </c>
      <c r="G128" s="222">
        <f>ABS(((F127+F128)/F127))</f>
        <v>0.51421701232341444</v>
      </c>
      <c r="H128" s="214">
        <v>340.28</v>
      </c>
      <c r="I128" s="222">
        <f>ABS(((H127+H128)/H127))</f>
        <v>4.1694728463846038E-2</v>
      </c>
      <c r="J128" s="214">
        <v>372.57</v>
      </c>
      <c r="K128" s="222">
        <f>ABS(((J127+J128)/J127))</f>
        <v>0.26140980498374855</v>
      </c>
      <c r="L128" s="214">
        <v>273.24</v>
      </c>
      <c r="M128" s="222">
        <f>ABS(((L127+L128)/L127))</f>
        <v>0.17457632238769891</v>
      </c>
      <c r="N128" s="214">
        <v>417.6</v>
      </c>
      <c r="O128" s="222">
        <f>ABS(((N127+N128)/N127))</f>
        <v>0.12867915349063491</v>
      </c>
      <c r="P128" s="214">
        <v>616.39</v>
      </c>
      <c r="Q128" s="222">
        <f>ABS(((P127+P128)/P127))</f>
        <v>0.26107860387086218</v>
      </c>
      <c r="R128" s="214">
        <v>651.71</v>
      </c>
      <c r="T128" s="214">
        <v>570.84</v>
      </c>
      <c r="U128" s="222">
        <f>ABS(((T127+T128)/T127))</f>
        <v>0.63325798975708858</v>
      </c>
      <c r="V128" s="214">
        <v>506.33</v>
      </c>
      <c r="W128" s="222">
        <f>ABS(((V127+V128)/V127))</f>
        <v>0.32741715604026844</v>
      </c>
      <c r="X128" s="214">
        <v>368.23</v>
      </c>
      <c r="Y128" s="222">
        <f>ABS(((X127+X128)/X127))</f>
        <v>9.8669292278314807E-2</v>
      </c>
      <c r="Z128" s="213">
        <v>377.46</v>
      </c>
      <c r="AA128" s="222">
        <f>ABS(((Z127+Z128)/Z127))</f>
        <v>5.2505367649109069E-2</v>
      </c>
      <c r="AB128" s="213">
        <v>418.53</v>
      </c>
      <c r="AC128" s="222">
        <f>ABS(((AB127+AB128)/AB127))</f>
        <v>0.41768850348892328</v>
      </c>
      <c r="AD128" s="214">
        <v>366.5</v>
      </c>
      <c r="AE128" s="222">
        <f>ABS(((AD127+AD128)/AD127))</f>
        <v>1.5461998054745032</v>
      </c>
      <c r="AF128" s="214">
        <v>353.1</v>
      </c>
      <c r="AG128" s="222">
        <f>ABS(((AF127+AF128)/AF127))</f>
        <v>0.21427834519756525</v>
      </c>
      <c r="AH128" s="214">
        <v>373.56</v>
      </c>
      <c r="AI128" s="222">
        <f>ABS(((AH127+AH128)/AH127))</f>
        <v>0.59941770851173148</v>
      </c>
      <c r="AJ128" s="214">
        <v>310.13</v>
      </c>
      <c r="AK128" s="222">
        <f>ABS(((AJ127+AJ128)/AJ127))</f>
        <v>0.16083994609971541</v>
      </c>
      <c r="AL128" s="214">
        <v>298.14</v>
      </c>
      <c r="AM128" s="222">
        <v>0</v>
      </c>
      <c r="AN128" s="214">
        <v>379.28</v>
      </c>
      <c r="AO128" s="222">
        <v>0</v>
      </c>
      <c r="AP128" s="214">
        <v>529.16</v>
      </c>
      <c r="AQ128" s="222">
        <f>ABS(((AP127+AP128)/AP127))</f>
        <v>0.21732729071292178</v>
      </c>
      <c r="AR128" s="214">
        <v>320.83999999999997</v>
      </c>
      <c r="AS128" s="222">
        <v>0</v>
      </c>
      <c r="AT128" s="214">
        <v>421.92</v>
      </c>
      <c r="AU128" s="222">
        <f>AT129/AT128</f>
        <v>-0.13993174061433439</v>
      </c>
      <c r="AV128" s="214">
        <v>95.64</v>
      </c>
      <c r="AW128" s="222">
        <f>AV129/AV128</f>
        <v>-4.5956712672521958</v>
      </c>
      <c r="AX128" s="214">
        <v>906.07</v>
      </c>
      <c r="AY128" s="224">
        <f>AX129/AX128</f>
        <v>0.60525124990342916</v>
      </c>
      <c r="AZ128" s="225"/>
      <c r="BA128" s="214">
        <v>404.58</v>
      </c>
      <c r="BB128" s="222">
        <f>BA129/BA128</f>
        <v>0.15480251124623065</v>
      </c>
      <c r="BC128" s="214">
        <v>452.63</v>
      </c>
      <c r="BD128" s="222">
        <f>BC129/BC128</f>
        <v>0.38594436957338224</v>
      </c>
      <c r="BE128" s="214">
        <v>413.06</v>
      </c>
      <c r="BF128" s="222">
        <f>BE129/BE128</f>
        <v>0.31888829709969502</v>
      </c>
      <c r="BG128" s="214">
        <v>407.19</v>
      </c>
      <c r="BH128" s="222">
        <f>BG129/BG128</f>
        <v>0.35406075787715813</v>
      </c>
      <c r="BI128" s="214">
        <v>362.27</v>
      </c>
      <c r="BJ128" s="222">
        <f>BI129/BI128</f>
        <v>0.32851188340188259</v>
      </c>
      <c r="BK128" s="214">
        <v>428.69</v>
      </c>
      <c r="BL128" s="222">
        <f>BK129/BK128</f>
        <v>0.24346264200237935</v>
      </c>
      <c r="BM128" s="239">
        <v>514.67999999999995</v>
      </c>
      <c r="BN128" s="222">
        <f>BM129/BM128</f>
        <v>0.16794901686484795</v>
      </c>
      <c r="BO128" s="214">
        <v>568.24</v>
      </c>
      <c r="BP128" s="222">
        <f>BO129/BO128</f>
        <v>0.20765873574545965</v>
      </c>
      <c r="BQ128" s="214">
        <v>499.64</v>
      </c>
      <c r="BR128" s="222">
        <f>BQ129/BQ128</f>
        <v>0.30564006084380752</v>
      </c>
      <c r="BS128" s="214">
        <v>491.26</v>
      </c>
      <c r="BT128" s="222">
        <f>BS129/BS128</f>
        <v>0.2704474209176404</v>
      </c>
      <c r="BU128" s="214">
        <v>396.24</v>
      </c>
      <c r="BV128" s="222">
        <f>BU129/BU128</f>
        <v>0.1961942257217848</v>
      </c>
      <c r="BW128" s="214">
        <v>433.49</v>
      </c>
      <c r="BX128" s="222">
        <f>BW129/BW128</f>
        <v>0.22639507255069319</v>
      </c>
      <c r="BY128" s="214">
        <v>474.01</v>
      </c>
      <c r="BZ128" s="222">
        <f>BY129/BY128</f>
        <v>0.44359823632412815</v>
      </c>
      <c r="CA128" s="214">
        <v>418.05</v>
      </c>
      <c r="CB128" s="222">
        <f>CA129/CA128</f>
        <v>0.27929673484033007</v>
      </c>
      <c r="CC128" s="214">
        <v>428.65</v>
      </c>
      <c r="CD128" s="222">
        <f>CC129/CC128</f>
        <v>0.34741630701038134</v>
      </c>
      <c r="CE128" s="214">
        <v>379.37</v>
      </c>
      <c r="CF128" s="222">
        <f>CE129/CE128</f>
        <v>0.44805862350739389</v>
      </c>
      <c r="CG128" s="214">
        <v>406.22</v>
      </c>
      <c r="CH128" s="222">
        <f>CG129/CG128</f>
        <v>0.37464920486435926</v>
      </c>
    </row>
    <row r="129" spans="1:87">
      <c r="C129" s="241" t="s">
        <v>9</v>
      </c>
      <c r="D129" s="214">
        <f>D127+D128</f>
        <v>224.03999999999996</v>
      </c>
      <c r="F129" s="214">
        <f>F127+F128</f>
        <v>171.07999999999998</v>
      </c>
      <c r="H129" s="214">
        <f>H127+H128</f>
        <v>13.619999999999948</v>
      </c>
      <c r="J129" s="214">
        <f>J127+J128</f>
        <v>77.20999999999998</v>
      </c>
      <c r="L129" s="214">
        <f>L127+L128</f>
        <v>-57.789999999999964</v>
      </c>
      <c r="N129" s="214">
        <f>N127+N128</f>
        <v>47.610000000000014</v>
      </c>
      <c r="P129" s="214">
        <f>P127+P128</f>
        <v>127.61000000000001</v>
      </c>
      <c r="R129" s="214">
        <f>R127+R128</f>
        <v>124.59000000000003</v>
      </c>
      <c r="S129" s="214"/>
      <c r="T129" s="214">
        <f>T127+T128</f>
        <v>221.33000000000004</v>
      </c>
      <c r="V129" s="214">
        <f>V127+V128</f>
        <v>124.88999999999999</v>
      </c>
      <c r="X129" s="214">
        <f>X127+X128</f>
        <v>33.069999999999993</v>
      </c>
      <c r="Z129" s="214">
        <f>Z127+Z128</f>
        <v>18.829999999999984</v>
      </c>
      <c r="AB129" s="242">
        <f>AB127+AB128</f>
        <v>123.30999999999995</v>
      </c>
      <c r="AD129" s="242">
        <f>AD127+AD128</f>
        <v>222.56</v>
      </c>
      <c r="AF129" s="242">
        <f>AF127+AF128</f>
        <v>62.31</v>
      </c>
      <c r="AH129" s="243">
        <f>AH127+AH128</f>
        <v>140</v>
      </c>
      <c r="AJ129" s="243">
        <f>AJ127+AJ128</f>
        <v>42.96999999999997</v>
      </c>
      <c r="AL129" s="243">
        <f>AL127+AL128</f>
        <v>0.87000000000000455</v>
      </c>
      <c r="AN129" s="243">
        <f>AN127+AN128</f>
        <v>-27.980000000000018</v>
      </c>
      <c r="AP129" s="214">
        <f>AP127+AP128</f>
        <v>94.46999999999997</v>
      </c>
      <c r="AR129" s="214">
        <f>AR127+AR128</f>
        <v>-6.8000000000000114</v>
      </c>
      <c r="AT129" s="214">
        <f>AT127+AT128</f>
        <v>-59.039999999999964</v>
      </c>
      <c r="AV129" s="214">
        <f>AV127+AV128</f>
        <v>-439.53</v>
      </c>
      <c r="AX129" s="214">
        <f>AX127+AX128</f>
        <v>548.40000000000009</v>
      </c>
      <c r="BA129" s="214">
        <f>BA127+BA128</f>
        <v>62.629999999999995</v>
      </c>
      <c r="BC129" s="214">
        <f>BC127+BC128</f>
        <v>174.69</v>
      </c>
      <c r="BE129" s="214">
        <f>BE127+BE128</f>
        <v>131.72000000000003</v>
      </c>
      <c r="BG129" s="214">
        <f>BG127+BG128</f>
        <v>144.17000000000002</v>
      </c>
      <c r="BI129" s="214">
        <f>BI127+BI128</f>
        <v>119.00999999999999</v>
      </c>
      <c r="BK129" s="214">
        <f>BK127+BK128</f>
        <v>104.37</v>
      </c>
      <c r="BM129" s="214">
        <f>BM127+BM128</f>
        <v>86.439999999999941</v>
      </c>
      <c r="BO129" s="214">
        <f>BO127+BO128</f>
        <v>118</v>
      </c>
      <c r="BQ129" s="214">
        <f>BQ127+BQ128</f>
        <v>152.70999999999998</v>
      </c>
      <c r="BS129" s="214">
        <f>BS127+BS128</f>
        <v>132.86000000000001</v>
      </c>
      <c r="BU129" s="214">
        <f>BU127+BU128</f>
        <v>77.740000000000009</v>
      </c>
      <c r="BW129" s="214">
        <f>BW127+BW128</f>
        <v>98.139999999999986</v>
      </c>
      <c r="BY129" s="214">
        <f>BY127+BY128</f>
        <v>210.26999999999998</v>
      </c>
      <c r="CA129" s="214">
        <f>CA127+CA128</f>
        <v>116.75999999999999</v>
      </c>
      <c r="CC129" s="214">
        <f>CC127+CC128</f>
        <v>148.91999999999996</v>
      </c>
      <c r="CE129" s="214">
        <f>CE127+CE128</f>
        <v>169.98000000000002</v>
      </c>
      <c r="CG129" s="214">
        <f>CG127+CG128</f>
        <v>152.19000000000003</v>
      </c>
    </row>
    <row r="130" spans="1:87">
      <c r="A130" s="231">
        <f>A125+1</f>
        <v>33</v>
      </c>
      <c r="B130" s="232">
        <v>426074257</v>
      </c>
      <c r="C130" s="233" t="s">
        <v>58</v>
      </c>
      <c r="AP130" s="214"/>
      <c r="AT130" s="214"/>
    </row>
    <row r="131" spans="1:87">
      <c r="C131" s="253" t="s">
        <v>59</v>
      </c>
      <c r="D131" s="235">
        <v>44927</v>
      </c>
      <c r="E131" s="235"/>
      <c r="F131" s="235">
        <v>44958</v>
      </c>
      <c r="G131" s="235"/>
      <c r="H131" s="235">
        <v>44986</v>
      </c>
      <c r="I131" s="235"/>
      <c r="J131" s="235">
        <v>45017</v>
      </c>
      <c r="K131" s="235"/>
      <c r="L131" s="246">
        <v>45047</v>
      </c>
      <c r="M131" s="235"/>
      <c r="N131" s="235">
        <v>45078</v>
      </c>
      <c r="O131" s="235"/>
      <c r="P131" s="235">
        <v>45108</v>
      </c>
      <c r="Q131" s="235"/>
      <c r="R131" s="235">
        <v>45139</v>
      </c>
      <c r="S131" s="235"/>
      <c r="T131" s="235">
        <v>45170</v>
      </c>
      <c r="U131" s="235"/>
      <c r="V131" s="235">
        <v>45200</v>
      </c>
      <c r="W131" s="235"/>
      <c r="X131" s="235">
        <v>45231</v>
      </c>
      <c r="Y131" s="235"/>
      <c r="Z131" s="289">
        <v>45261</v>
      </c>
      <c r="AA131" s="235"/>
      <c r="AB131" s="235">
        <v>45292</v>
      </c>
      <c r="AC131" s="235"/>
      <c r="AD131" s="235">
        <v>45323</v>
      </c>
      <c r="AE131" s="235"/>
      <c r="AF131" s="235">
        <v>45352</v>
      </c>
      <c r="AH131" s="235">
        <v>45383</v>
      </c>
      <c r="AJ131" s="235">
        <v>45413</v>
      </c>
      <c r="AL131" s="235">
        <v>45444</v>
      </c>
      <c r="AN131" s="235">
        <v>45474</v>
      </c>
      <c r="AP131" s="235">
        <v>45505</v>
      </c>
      <c r="AR131" s="236">
        <v>45536</v>
      </c>
      <c r="AT131" s="236">
        <v>45566</v>
      </c>
      <c r="AV131" s="235">
        <v>45597</v>
      </c>
      <c r="AX131" s="235">
        <v>45627</v>
      </c>
      <c r="BA131" s="235">
        <v>45658</v>
      </c>
      <c r="BC131" s="235">
        <v>45689</v>
      </c>
      <c r="BE131" s="235">
        <v>45717</v>
      </c>
      <c r="BG131" s="235">
        <v>45748</v>
      </c>
      <c r="BI131" s="235">
        <v>45778</v>
      </c>
      <c r="BK131" s="235">
        <v>45809</v>
      </c>
      <c r="BM131" s="235">
        <v>45839</v>
      </c>
      <c r="BO131" s="235">
        <v>45870</v>
      </c>
      <c r="BQ131" s="235">
        <v>45901</v>
      </c>
      <c r="BS131" s="235">
        <v>45931</v>
      </c>
      <c r="BU131" s="235">
        <v>45962</v>
      </c>
      <c r="BW131" s="235">
        <v>45992</v>
      </c>
      <c r="BY131" s="235">
        <v>46023</v>
      </c>
      <c r="CA131" s="235">
        <v>46054</v>
      </c>
      <c r="CC131" s="235">
        <v>46082</v>
      </c>
      <c r="CE131" s="235">
        <v>46113</v>
      </c>
      <c r="CG131" s="235">
        <v>46143</v>
      </c>
      <c r="CI131" s="341">
        <v>46174</v>
      </c>
    </row>
    <row r="132" spans="1:87">
      <c r="C132" s="213" t="s">
        <v>7</v>
      </c>
      <c r="D132" s="214">
        <v>-158.76</v>
      </c>
      <c r="F132" s="214">
        <v>-161.86000000000001</v>
      </c>
      <c r="H132" s="237">
        <v>-80.260000000000005</v>
      </c>
      <c r="J132" s="237">
        <v>-44.98</v>
      </c>
      <c r="L132" s="237">
        <v>-54.55</v>
      </c>
      <c r="N132" s="237">
        <f>-2.93-14.19-23.99-4.11</f>
        <v>-45.22</v>
      </c>
      <c r="P132" s="237">
        <v>-43.89</v>
      </c>
      <c r="R132" s="237">
        <f>-12.74-19.12</f>
        <v>-31.86</v>
      </c>
      <c r="S132" s="214"/>
      <c r="T132" s="237">
        <v>-21.86</v>
      </c>
      <c r="V132" s="237">
        <v>-22.56</v>
      </c>
      <c r="X132" s="237">
        <v>-37.74</v>
      </c>
      <c r="Z132" s="238">
        <v>-105.95</v>
      </c>
      <c r="AB132" s="238">
        <v>-111.3</v>
      </c>
      <c r="AD132" s="237">
        <v>-80.47</v>
      </c>
      <c r="AF132" s="237">
        <v>-62.11</v>
      </c>
      <c r="AH132" s="237">
        <f>-14.68-13.95</f>
        <v>-28.63</v>
      </c>
      <c r="AJ132" s="237">
        <v>-11.92</v>
      </c>
      <c r="AL132" s="237">
        <v>-35.24</v>
      </c>
      <c r="AN132" s="237">
        <v>-33.369999999999997</v>
      </c>
      <c r="AP132" s="237">
        <f>-17.63-32.9</f>
        <v>-50.53</v>
      </c>
      <c r="AR132" s="237">
        <v>-51.44</v>
      </c>
      <c r="AT132" s="237">
        <f>-36.95-31.41-23.31</f>
        <v>-91.67</v>
      </c>
      <c r="AV132" s="237">
        <v>-77.63</v>
      </c>
      <c r="AX132" s="237">
        <v>-186.99</v>
      </c>
      <c r="BA132" s="237">
        <v>-142.24</v>
      </c>
      <c r="BC132" s="237">
        <v>-96.2</v>
      </c>
      <c r="BE132" s="237">
        <v>-113.41</v>
      </c>
      <c r="BG132" s="237">
        <v>-38.01</v>
      </c>
      <c r="BI132" s="237">
        <v>-34.64</v>
      </c>
      <c r="BK132" s="237">
        <v>-33.520000000000003</v>
      </c>
      <c r="BM132" s="237">
        <v>-50.26</v>
      </c>
      <c r="BO132" s="237">
        <v>-40.24</v>
      </c>
      <c r="BQ132" s="237">
        <v>-33.520000000000003</v>
      </c>
      <c r="BS132" s="237">
        <v>-41.3</v>
      </c>
      <c r="BU132" s="237">
        <v>-83.6</v>
      </c>
      <c r="BW132" s="237">
        <v>-88.15</v>
      </c>
      <c r="BY132" s="237">
        <v>-199.47</v>
      </c>
      <c r="CA132" s="237">
        <v>-138.01</v>
      </c>
      <c r="CC132" s="237">
        <v>-120.89</v>
      </c>
      <c r="CE132" s="237">
        <v>-35.26</v>
      </c>
      <c r="CG132" s="237">
        <v>-35.32</v>
      </c>
    </row>
    <row r="133" spans="1:87">
      <c r="C133" s="213" t="s">
        <v>8</v>
      </c>
      <c r="D133" s="214">
        <v>218.25</v>
      </c>
      <c r="E133" s="222">
        <f>ABS(((D132+D133)/D132))</f>
        <v>0.37471655328798192</v>
      </c>
      <c r="F133" s="214">
        <v>213.04</v>
      </c>
      <c r="G133" s="222">
        <f>ABS(((F132+F133)/F132))</f>
        <v>0.31619918448041501</v>
      </c>
      <c r="H133" s="214">
        <v>119.04</v>
      </c>
      <c r="I133" s="222">
        <f>ABS(((H132+H133)/H132))</f>
        <v>0.483179666085223</v>
      </c>
      <c r="J133" s="214">
        <v>65.790000000000006</v>
      </c>
      <c r="K133" s="222">
        <f>ABS(((J132+J133)/J132))</f>
        <v>0.4626500666963097</v>
      </c>
      <c r="L133" s="214">
        <v>81.75</v>
      </c>
      <c r="M133" s="222">
        <f>ABS(((L132+L133)/L132))</f>
        <v>0.49862511457378561</v>
      </c>
      <c r="N133" s="214">
        <v>66.95</v>
      </c>
      <c r="O133" s="222">
        <f>ABS(((N132+N133)/N132))</f>
        <v>0.48053958425475463</v>
      </c>
      <c r="P133" s="214">
        <v>82.84</v>
      </c>
      <c r="Q133" s="222">
        <f>ABS(((P132+P133)/P132))</f>
        <v>0.88744588744588748</v>
      </c>
      <c r="R133" s="214">
        <v>53.2</v>
      </c>
      <c r="S133" s="222">
        <f>ABS(((R132+R133)/R132))</f>
        <v>0.66980539861895805</v>
      </c>
      <c r="T133" s="214">
        <v>57.14</v>
      </c>
      <c r="U133" s="222">
        <f>ABS(((T132+T133)/T132))</f>
        <v>1.6139066788655079</v>
      </c>
      <c r="V133" s="214">
        <v>52.68</v>
      </c>
      <c r="W133" s="222">
        <f>ABS(((V132+V133)/V132))</f>
        <v>1.3351063829787235</v>
      </c>
      <c r="X133" s="214">
        <v>72.17</v>
      </c>
      <c r="Y133" s="222">
        <f>ABS(((X132+X133)/X132))</f>
        <v>0.91229464758876522</v>
      </c>
      <c r="Z133" s="213">
        <v>150.19999999999999</v>
      </c>
      <c r="AA133" s="222">
        <f>ABS(((Z132+Z133)/Z132))</f>
        <v>0.41764983482774881</v>
      </c>
      <c r="AB133" s="213">
        <v>165.27</v>
      </c>
      <c r="AC133" s="222">
        <f>ABS(((AB132+AB133)/AB132))</f>
        <v>0.4849056603773586</v>
      </c>
      <c r="AD133" s="213">
        <v>131.88</v>
      </c>
      <c r="AE133" s="222">
        <f>ABS(((AD132+AD133)/AD132))</f>
        <v>0.63887162917857587</v>
      </c>
      <c r="AF133" s="213">
        <v>117.28</v>
      </c>
      <c r="AG133" s="222">
        <f>ABS(((AF132+AF133)/AF132))</f>
        <v>0.88826275962002899</v>
      </c>
      <c r="AH133" s="214">
        <v>68.52</v>
      </c>
      <c r="AI133" s="222">
        <f>ABS(((AH132+AH133)/AH132))</f>
        <v>1.3932937478169753</v>
      </c>
      <c r="AJ133" s="214">
        <v>19.95</v>
      </c>
      <c r="AK133" s="222">
        <f>ABS(((AJ132+AJ133)/AJ132))</f>
        <v>0.67365771812080533</v>
      </c>
      <c r="AL133" s="214">
        <v>40.020000000000003</v>
      </c>
      <c r="AM133" s="222">
        <f>ABS(((AL132+AL133)/AL132))</f>
        <v>0.1356413166855846</v>
      </c>
      <c r="AN133" s="214">
        <v>54.84</v>
      </c>
      <c r="AO133" s="222">
        <f>ABS(((AN132+AN133)/AN132))</f>
        <v>0.64339226850464515</v>
      </c>
      <c r="AP133" s="214">
        <v>74.53</v>
      </c>
      <c r="AQ133" s="222">
        <f>ABS(((AP132+AP133)/AP132))</f>
        <v>0.47496536710864834</v>
      </c>
      <c r="AR133" s="214">
        <v>61.06</v>
      </c>
      <c r="AS133" s="222">
        <f>ABS(((AR132+AR133)/AR132))</f>
        <v>0.1870139968895802</v>
      </c>
      <c r="AT133" s="214">
        <v>72.569999999999993</v>
      </c>
      <c r="AU133" s="222">
        <f>AT134/AT133</f>
        <v>-0.26319415736530261</v>
      </c>
      <c r="AV133" s="214">
        <v>133.74</v>
      </c>
      <c r="AW133" s="222">
        <f>AV134/AV133</f>
        <v>0.41954538657095863</v>
      </c>
      <c r="AX133" s="214">
        <v>201.37</v>
      </c>
      <c r="AY133" s="224">
        <f>AX134/AX133</f>
        <v>7.1410835774941631E-2</v>
      </c>
      <c r="AZ133" s="225"/>
      <c r="BA133" s="214">
        <v>167.02</v>
      </c>
      <c r="BB133" s="222">
        <f>BA134/BA133</f>
        <v>0.14836546521374686</v>
      </c>
      <c r="BC133" s="214">
        <v>106.05</v>
      </c>
      <c r="BD133" s="222">
        <f>BC134/BC133</f>
        <v>9.2880716643092831E-2</v>
      </c>
      <c r="BE133" s="214">
        <v>123.36</v>
      </c>
      <c r="BF133" s="222">
        <f>BE134/BE133</f>
        <v>8.0658236057068761E-2</v>
      </c>
      <c r="BG133" s="214">
        <v>36.71</v>
      </c>
      <c r="BH133" s="222">
        <f>BG134/BG133</f>
        <v>-3.5412694088804063E-2</v>
      </c>
      <c r="BI133" s="214">
        <v>36.71</v>
      </c>
      <c r="BJ133" s="222">
        <f>BI134/BI133</f>
        <v>5.6387905202941985E-2</v>
      </c>
      <c r="BK133" s="214">
        <v>59.54</v>
      </c>
      <c r="BL133" s="222">
        <f>BK134/BK133</f>
        <v>0.43701713134027537</v>
      </c>
      <c r="BM133" s="239">
        <v>50.76</v>
      </c>
      <c r="BN133" s="222">
        <f>BM134/BM133</f>
        <v>9.8502758077226166E-3</v>
      </c>
      <c r="BO133" s="214">
        <v>38.75</v>
      </c>
      <c r="BP133" s="222">
        <f>BO134/BO133</f>
        <v>-3.8451612903225858E-2</v>
      </c>
      <c r="BQ133" s="214">
        <v>36.71</v>
      </c>
      <c r="BR133" s="222">
        <f>BQ134/BQ133</f>
        <v>8.6897303187142408E-2</v>
      </c>
      <c r="BS133" s="214">
        <v>40.880000000000003</v>
      </c>
      <c r="BT133" s="222">
        <f>BS134/BS133</f>
        <v>-1.0273972602739594E-2</v>
      </c>
      <c r="BU133" s="214">
        <v>108.18</v>
      </c>
      <c r="BV133" s="222">
        <f>BU134/BU133</f>
        <v>0.22721390275466824</v>
      </c>
      <c r="BW133" s="214">
        <v>95.81</v>
      </c>
      <c r="BX133" s="222">
        <f>BW134/BW133</f>
        <v>7.9949900845423194E-2</v>
      </c>
      <c r="BY133" s="214">
        <v>219.94</v>
      </c>
      <c r="BZ133" s="222">
        <f>BY134/BY133</f>
        <v>9.3070837501136663E-2</v>
      </c>
      <c r="CA133" s="214">
        <v>154.58000000000001</v>
      </c>
      <c r="CB133" s="222">
        <f>CA134/CA133</f>
        <v>0.10719368611722099</v>
      </c>
      <c r="CC133" s="214">
        <v>151.09</v>
      </c>
      <c r="CD133" s="222">
        <f>CC134/CC133</f>
        <v>0.19988086570917998</v>
      </c>
      <c r="CE133" s="214">
        <v>36.71</v>
      </c>
      <c r="CF133" s="222">
        <f>CE134/CE133</f>
        <v>3.9498774175973923E-2</v>
      </c>
      <c r="CG133" s="214">
        <v>36.71</v>
      </c>
      <c r="CH133" s="222">
        <f>CG134/CG133</f>
        <v>3.7864342141105983E-2</v>
      </c>
    </row>
    <row r="134" spans="1:87">
      <c r="C134" s="241" t="s">
        <v>9</v>
      </c>
      <c r="D134" s="214">
        <f>D132+D133</f>
        <v>59.490000000000009</v>
      </c>
      <c r="F134" s="214">
        <f>F132+F133</f>
        <v>51.179999999999978</v>
      </c>
      <c r="H134" s="214">
        <f>H132+H133</f>
        <v>38.78</v>
      </c>
      <c r="J134" s="214">
        <f>J132+J133</f>
        <v>20.810000000000009</v>
      </c>
      <c r="L134" s="214">
        <f>L132+L133</f>
        <v>27.200000000000003</v>
      </c>
      <c r="N134" s="214">
        <f>N132+N133</f>
        <v>21.730000000000004</v>
      </c>
      <c r="P134" s="214">
        <f>P132+P133</f>
        <v>38.950000000000003</v>
      </c>
      <c r="R134" s="214">
        <f>R132+R133</f>
        <v>21.340000000000003</v>
      </c>
      <c r="S134" s="214"/>
      <c r="T134" s="214">
        <f>T132+T133</f>
        <v>35.28</v>
      </c>
      <c r="V134" s="214">
        <f>V132+V133</f>
        <v>30.12</v>
      </c>
      <c r="X134" s="214">
        <f>X132+X133</f>
        <v>34.43</v>
      </c>
      <c r="Z134" s="214">
        <f>Z132+Z133</f>
        <v>44.249999999999986</v>
      </c>
      <c r="AB134" s="242">
        <f>AB132+AB133</f>
        <v>53.970000000000013</v>
      </c>
      <c r="AD134" s="242">
        <f>AD132+AD133</f>
        <v>51.41</v>
      </c>
      <c r="AF134" s="242">
        <f>AF132+AF133</f>
        <v>55.17</v>
      </c>
      <c r="AH134" s="243">
        <f>AH132+AH133</f>
        <v>39.89</v>
      </c>
      <c r="AJ134" s="243">
        <f>AJ132+AJ133</f>
        <v>8.0299999999999994</v>
      </c>
      <c r="AL134" s="243">
        <f>AL132+AL133</f>
        <v>4.7800000000000011</v>
      </c>
      <c r="AN134" s="243">
        <f>AN132+AN133</f>
        <v>21.470000000000006</v>
      </c>
      <c r="AP134" s="214">
        <f>AP132+AP133</f>
        <v>24</v>
      </c>
      <c r="AR134" s="214">
        <f>AR132+AR133</f>
        <v>9.6200000000000045</v>
      </c>
      <c r="AT134" s="214">
        <f>AT132+AT133</f>
        <v>-19.100000000000009</v>
      </c>
      <c r="AV134" s="214">
        <f>AV132+AV133</f>
        <v>56.110000000000014</v>
      </c>
      <c r="AX134" s="214">
        <f>AX132+AX133</f>
        <v>14.379999999999995</v>
      </c>
      <c r="BA134" s="214">
        <f>BA132+BA133</f>
        <v>24.78</v>
      </c>
      <c r="BC134" s="214">
        <f>BC132+BC133</f>
        <v>9.8499999999999943</v>
      </c>
      <c r="BE134" s="214">
        <f>BE132+BE133</f>
        <v>9.9500000000000028</v>
      </c>
      <c r="BG134" s="214">
        <f>BG132+BG133</f>
        <v>-1.2999999999999972</v>
      </c>
      <c r="BI134" s="214">
        <f>BI132+BI133</f>
        <v>2.0700000000000003</v>
      </c>
      <c r="BK134" s="214">
        <f>BK132+BK133</f>
        <v>26.019999999999996</v>
      </c>
      <c r="BM134" s="214">
        <f>BM132+BM133</f>
        <v>0.5</v>
      </c>
      <c r="BO134" s="214">
        <f>BO132+BO133</f>
        <v>-1.490000000000002</v>
      </c>
      <c r="BQ134" s="214">
        <f>BQ132+BQ133</f>
        <v>3.1899999999999977</v>
      </c>
      <c r="BS134" s="214">
        <f>BS132+BS133</f>
        <v>-0.4199999999999946</v>
      </c>
      <c r="BU134" s="214">
        <f>BU132+BU133</f>
        <v>24.580000000000013</v>
      </c>
      <c r="BW134" s="214">
        <f>BW132+BW133</f>
        <v>7.6599999999999966</v>
      </c>
      <c r="BY134" s="214">
        <f>BY132+BY133</f>
        <v>20.47</v>
      </c>
      <c r="CA134" s="214">
        <f>CA132+CA133</f>
        <v>16.570000000000022</v>
      </c>
      <c r="CC134" s="214">
        <f>CC132+CC133</f>
        <v>30.200000000000003</v>
      </c>
      <c r="CE134" s="214">
        <f>CE132+CE133</f>
        <v>1.4500000000000028</v>
      </c>
      <c r="CG134" s="214">
        <f>CG132+CG133</f>
        <v>1.3900000000000006</v>
      </c>
    </row>
    <row r="135" spans="1:87" hidden="1">
      <c r="A135" s="211">
        <f>A130+1</f>
        <v>34</v>
      </c>
      <c r="B135" s="255" t="s">
        <v>30</v>
      </c>
      <c r="C135" s="233" t="s">
        <v>60</v>
      </c>
      <c r="AP135" s="214"/>
      <c r="AT135" s="214"/>
    </row>
    <row r="136" spans="1:87" hidden="1">
      <c r="C136" s="253" t="s">
        <v>61</v>
      </c>
      <c r="D136" s="235">
        <v>44927</v>
      </c>
      <c r="E136" s="235"/>
      <c r="F136" s="235">
        <v>44958</v>
      </c>
      <c r="G136" s="235">
        <v>44986</v>
      </c>
      <c r="H136" s="235">
        <v>44986</v>
      </c>
      <c r="I136" s="235"/>
      <c r="J136" s="235">
        <v>45017</v>
      </c>
      <c r="K136" s="235">
        <v>45047</v>
      </c>
      <c r="L136" s="235"/>
      <c r="M136" s="235"/>
      <c r="N136" s="235">
        <v>45078</v>
      </c>
      <c r="O136" s="235"/>
      <c r="P136" s="235">
        <v>45108</v>
      </c>
      <c r="Q136" s="235"/>
      <c r="R136" s="235">
        <v>45139</v>
      </c>
      <c r="S136" s="235"/>
      <c r="T136" s="235">
        <v>45170</v>
      </c>
      <c r="U136" s="235"/>
      <c r="V136" s="235">
        <v>45200</v>
      </c>
      <c r="W136" s="235"/>
      <c r="X136" s="235">
        <v>45231</v>
      </c>
      <c r="Y136" s="235"/>
      <c r="Z136" s="235">
        <v>45261</v>
      </c>
      <c r="AA136" s="235"/>
      <c r="AB136" s="235"/>
      <c r="AC136" s="235"/>
      <c r="AD136" s="235"/>
      <c r="AE136" s="235"/>
      <c r="AF136" s="235"/>
      <c r="AP136" s="214"/>
      <c r="AT136" s="214"/>
    </row>
    <row r="137" spans="1:87" hidden="1">
      <c r="C137" s="213" t="s">
        <v>7</v>
      </c>
      <c r="D137" s="214">
        <v>-271.02</v>
      </c>
      <c r="AP137" s="214"/>
      <c r="AT137" s="214"/>
    </row>
    <row r="138" spans="1:87" hidden="1">
      <c r="C138" s="213" t="s">
        <v>8</v>
      </c>
      <c r="D138" s="214">
        <v>0</v>
      </c>
      <c r="I138" s="266"/>
      <c r="AP138" s="214"/>
      <c r="AT138" s="214"/>
    </row>
    <row r="139" spans="1:87" hidden="1">
      <c r="C139" s="241" t="s">
        <v>9</v>
      </c>
      <c r="D139" s="214">
        <f>D137+D138</f>
        <v>-271.02</v>
      </c>
      <c r="F139" s="214">
        <f>F137+F138</f>
        <v>0</v>
      </c>
      <c r="AP139" s="214"/>
      <c r="AT139" s="214"/>
    </row>
    <row r="140" spans="1:87" hidden="1">
      <c r="A140" s="211">
        <f>A135+1</f>
        <v>35</v>
      </c>
      <c r="B140" s="255" t="s">
        <v>30</v>
      </c>
      <c r="C140" s="213" t="s">
        <v>62</v>
      </c>
      <c r="AP140" s="214"/>
      <c r="AT140" s="214"/>
    </row>
    <row r="141" spans="1:87" hidden="1">
      <c r="C141" s="253" t="s">
        <v>63</v>
      </c>
      <c r="D141" s="235">
        <v>44927</v>
      </c>
      <c r="E141" s="235"/>
      <c r="F141" s="235">
        <v>44958</v>
      </c>
      <c r="G141" s="235"/>
      <c r="H141" s="235">
        <v>44986</v>
      </c>
      <c r="I141" s="235"/>
      <c r="J141" s="235">
        <v>45017</v>
      </c>
      <c r="K141" s="235"/>
      <c r="L141" s="246">
        <v>45047</v>
      </c>
      <c r="M141" s="235"/>
      <c r="N141" s="235">
        <v>45078</v>
      </c>
      <c r="O141" s="235"/>
      <c r="P141" s="235">
        <v>45108</v>
      </c>
      <c r="Q141" s="235"/>
      <c r="R141" s="235">
        <v>45139</v>
      </c>
      <c r="S141" s="235"/>
      <c r="T141" s="235">
        <v>45170</v>
      </c>
      <c r="U141" s="235"/>
      <c r="V141" s="235">
        <v>45200</v>
      </c>
      <c r="W141" s="235"/>
      <c r="X141" s="235">
        <v>45231</v>
      </c>
      <c r="Y141" s="235"/>
      <c r="Z141" s="235">
        <v>45261</v>
      </c>
      <c r="AA141" s="235"/>
      <c r="AB141" s="235"/>
      <c r="AC141" s="235"/>
      <c r="AD141" s="235"/>
      <c r="AE141" s="235"/>
      <c r="AF141" s="235"/>
      <c r="AP141" s="214"/>
      <c r="AT141" s="214"/>
    </row>
    <row r="142" spans="1:87" hidden="1">
      <c r="C142" s="213" t="s">
        <v>7</v>
      </c>
      <c r="D142" s="214">
        <v>-193.18</v>
      </c>
      <c r="F142" s="214">
        <f>-174.66-28.18</f>
        <v>-202.84</v>
      </c>
      <c r="H142" s="237">
        <v>-94.14</v>
      </c>
      <c r="J142" s="213">
        <v>-165.28</v>
      </c>
      <c r="AP142" s="214"/>
      <c r="AT142" s="214"/>
    </row>
    <row r="143" spans="1:87" hidden="1">
      <c r="C143" s="213" t="s">
        <v>8</v>
      </c>
      <c r="D143" s="214">
        <v>363.06</v>
      </c>
      <c r="E143" s="222">
        <f>ABS(((D142+D143)/D142))</f>
        <v>0.87938710011388332</v>
      </c>
      <c r="F143" s="214">
        <v>290.33</v>
      </c>
      <c r="G143" s="222">
        <f>ABS(((F142+F143)/F142))</f>
        <v>0.43132518240978102</v>
      </c>
      <c r="H143" s="214">
        <v>229.04</v>
      </c>
      <c r="I143" s="222">
        <f>ABS(((H142+H143)/H142))</f>
        <v>1.4329721691098363</v>
      </c>
      <c r="J143" s="213">
        <v>64.849999999999994</v>
      </c>
      <c r="K143" s="222">
        <f>ABS(((J142+J143)/J142))</f>
        <v>0.60763552758954509</v>
      </c>
      <c r="L143" s="266"/>
      <c r="M143" s="266"/>
      <c r="O143" s="266"/>
      <c r="Q143" s="266"/>
      <c r="AP143" s="214"/>
      <c r="AT143" s="214"/>
    </row>
    <row r="144" spans="1:87" hidden="1">
      <c r="C144" s="241" t="s">
        <v>9</v>
      </c>
      <c r="D144" s="214">
        <f>D142+D143</f>
        <v>169.88</v>
      </c>
      <c r="F144" s="214">
        <f>F142+F143</f>
        <v>87.489999999999981</v>
      </c>
      <c r="H144" s="214">
        <f>H142+H143</f>
        <v>134.89999999999998</v>
      </c>
      <c r="J144" s="214">
        <f>J142+J143</f>
        <v>-100.43</v>
      </c>
      <c r="AP144" s="214"/>
      <c r="AT144" s="214"/>
    </row>
    <row r="145" spans="1:76" hidden="1">
      <c r="A145" s="211">
        <f>A140+1</f>
        <v>36</v>
      </c>
      <c r="B145" s="255" t="s">
        <v>30</v>
      </c>
      <c r="C145" s="213" t="s">
        <v>64</v>
      </c>
      <c r="AP145" s="214"/>
      <c r="AT145" s="214"/>
    </row>
    <row r="146" spans="1:76" hidden="1">
      <c r="C146" s="253" t="s">
        <v>65</v>
      </c>
      <c r="D146" s="235">
        <v>44927</v>
      </c>
      <c r="E146" s="235"/>
      <c r="F146" s="235">
        <v>44958</v>
      </c>
      <c r="G146" s="235"/>
      <c r="H146" s="235">
        <v>44986</v>
      </c>
      <c r="I146" s="235"/>
      <c r="J146" s="235">
        <v>45017</v>
      </c>
      <c r="K146" s="235">
        <v>45047</v>
      </c>
      <c r="L146" s="235"/>
      <c r="M146" s="235"/>
      <c r="N146" s="235">
        <v>45078</v>
      </c>
      <c r="O146" s="235"/>
      <c r="P146" s="235">
        <v>45108</v>
      </c>
      <c r="Q146" s="235"/>
      <c r="R146" s="235">
        <v>45139</v>
      </c>
      <c r="S146" s="235"/>
      <c r="T146" s="235">
        <v>45170</v>
      </c>
      <c r="U146" s="235"/>
      <c r="V146" s="235">
        <v>45200</v>
      </c>
      <c r="W146" s="235"/>
      <c r="X146" s="235">
        <v>45231</v>
      </c>
      <c r="Y146" s="235"/>
      <c r="Z146" s="235">
        <v>45261</v>
      </c>
      <c r="AA146" s="235"/>
      <c r="AB146" s="235"/>
      <c r="AC146" s="235"/>
      <c r="AD146" s="235"/>
      <c r="AE146" s="235"/>
      <c r="AF146" s="235"/>
      <c r="AP146" s="214"/>
      <c r="AT146" s="214"/>
    </row>
    <row r="147" spans="1:76" hidden="1">
      <c r="C147" s="213" t="s">
        <v>7</v>
      </c>
      <c r="D147" s="214">
        <f>-101.05-115.8</f>
        <v>-216.85</v>
      </c>
      <c r="F147" s="214">
        <v>-107.53</v>
      </c>
      <c r="H147" s="214">
        <v>-186.53</v>
      </c>
      <c r="AP147" s="214"/>
      <c r="AT147" s="214"/>
    </row>
    <row r="148" spans="1:76" hidden="1">
      <c r="C148" s="213" t="s">
        <v>8</v>
      </c>
      <c r="D148" s="214">
        <v>387.46</v>
      </c>
      <c r="E148" s="222">
        <f>ABS(((D147+D148)/D147))</f>
        <v>0.78676504496195521</v>
      </c>
      <c r="F148" s="214">
        <v>217.86</v>
      </c>
      <c r="G148" s="222">
        <f>ABS(((F147+F148)/F147))</f>
        <v>1.0260392448618991</v>
      </c>
      <c r="I148" s="266"/>
      <c r="AP148" s="214"/>
      <c r="AT148" s="214"/>
    </row>
    <row r="149" spans="1:76" hidden="1">
      <c r="C149" s="241" t="s">
        <v>9</v>
      </c>
      <c r="D149" s="214">
        <f>D147+D148</f>
        <v>170.60999999999999</v>
      </c>
      <c r="F149" s="214">
        <f>F147+F148</f>
        <v>110.33000000000001</v>
      </c>
      <c r="AP149" s="214"/>
      <c r="AT149" s="214"/>
    </row>
    <row r="150" spans="1:76" s="262" customFormat="1" hidden="1">
      <c r="A150" s="261">
        <f>A145+1</f>
        <v>37</v>
      </c>
      <c r="B150" s="255" t="s">
        <v>30</v>
      </c>
      <c r="C150" s="262" t="s">
        <v>66</v>
      </c>
      <c r="D150" s="263"/>
      <c r="E150" s="263"/>
      <c r="F150" s="263"/>
      <c r="H150" s="263"/>
      <c r="I150" s="213"/>
      <c r="T150" s="248"/>
      <c r="AG150" s="248"/>
      <c r="AH150" s="248"/>
      <c r="AI150" s="248"/>
      <c r="AJ150" s="248"/>
      <c r="AK150" s="248"/>
      <c r="AL150" s="248"/>
      <c r="AM150" s="248"/>
      <c r="AN150" s="248"/>
      <c r="AO150" s="248"/>
      <c r="AP150" s="264"/>
      <c r="AQ150" s="248"/>
      <c r="AR150" s="264"/>
      <c r="AS150" s="248"/>
      <c r="AT150" s="264"/>
      <c r="AU150" s="248"/>
      <c r="AV150" s="248"/>
      <c r="AW150" s="248"/>
      <c r="AX150" s="248"/>
      <c r="AY150" s="248"/>
      <c r="AZ150" s="248"/>
      <c r="BA150" s="248"/>
      <c r="BB150" s="248"/>
      <c r="BC150" s="248"/>
      <c r="BD150" s="248"/>
      <c r="BE150" s="248"/>
      <c r="BF150" s="248"/>
      <c r="BG150" s="248"/>
      <c r="BH150" s="248"/>
      <c r="BI150" s="248"/>
      <c r="BJ150" s="248"/>
      <c r="BK150" s="248"/>
      <c r="BL150" s="248"/>
      <c r="BM150" s="248"/>
      <c r="BN150" s="248"/>
      <c r="BO150" s="248"/>
      <c r="BP150" s="248"/>
      <c r="BQ150" s="248"/>
      <c r="BR150" s="248"/>
      <c r="BS150" s="248"/>
      <c r="BT150" s="248"/>
      <c r="BU150" s="248"/>
      <c r="BV150" s="248"/>
      <c r="BX150" s="248"/>
    </row>
    <row r="151" spans="1:76" s="262" customFormat="1" hidden="1">
      <c r="A151" s="261"/>
      <c r="B151" s="212"/>
      <c r="C151" s="265" t="s">
        <v>67</v>
      </c>
      <c r="D151" s="263"/>
      <c r="E151" s="263"/>
      <c r="F151" s="263"/>
      <c r="H151" s="263">
        <v>44986</v>
      </c>
      <c r="I151" s="235"/>
      <c r="T151" s="248"/>
      <c r="AG151" s="248"/>
      <c r="AH151" s="248"/>
      <c r="AI151" s="248"/>
      <c r="AJ151" s="248"/>
      <c r="AK151" s="248"/>
      <c r="AL151" s="248"/>
      <c r="AM151" s="248"/>
      <c r="AN151" s="248"/>
      <c r="AO151" s="248"/>
      <c r="AP151" s="264"/>
      <c r="AQ151" s="248"/>
      <c r="AR151" s="264"/>
      <c r="AS151" s="248"/>
      <c r="AT151" s="264"/>
      <c r="AU151" s="248"/>
      <c r="AV151" s="248"/>
      <c r="AW151" s="248"/>
      <c r="AX151" s="248"/>
      <c r="AY151" s="248"/>
      <c r="AZ151" s="248"/>
      <c r="BA151" s="248"/>
      <c r="BB151" s="248"/>
      <c r="BC151" s="248"/>
      <c r="BD151" s="248"/>
      <c r="BE151" s="248"/>
      <c r="BF151" s="248"/>
      <c r="BG151" s="248"/>
      <c r="BH151" s="248"/>
      <c r="BI151" s="248"/>
      <c r="BJ151" s="248"/>
      <c r="BK151" s="248"/>
      <c r="BL151" s="248"/>
      <c r="BM151" s="248"/>
      <c r="BN151" s="248"/>
      <c r="BO151" s="248"/>
      <c r="BP151" s="248"/>
      <c r="BQ151" s="248"/>
      <c r="BR151" s="248"/>
      <c r="BS151" s="248"/>
      <c r="BT151" s="248"/>
      <c r="BU151" s="248"/>
      <c r="BV151" s="248"/>
      <c r="BX151" s="248"/>
    </row>
    <row r="152" spans="1:76" s="262" customFormat="1" hidden="1">
      <c r="A152" s="261"/>
      <c r="B152" s="212"/>
      <c r="C152" s="262" t="s">
        <v>7</v>
      </c>
      <c r="D152" s="263"/>
      <c r="E152" s="263"/>
      <c r="F152" s="263"/>
      <c r="H152" s="263"/>
      <c r="I152" s="213"/>
      <c r="T152" s="248"/>
      <c r="AG152" s="248"/>
      <c r="AH152" s="248"/>
      <c r="AI152" s="248"/>
      <c r="AJ152" s="248"/>
      <c r="AK152" s="248"/>
      <c r="AL152" s="248"/>
      <c r="AM152" s="248"/>
      <c r="AN152" s="248"/>
      <c r="AO152" s="248"/>
      <c r="AP152" s="264"/>
      <c r="AQ152" s="248"/>
      <c r="AR152" s="264"/>
      <c r="AS152" s="248"/>
      <c r="AT152" s="264"/>
      <c r="AU152" s="248"/>
      <c r="AV152" s="248"/>
      <c r="AW152" s="248"/>
      <c r="AX152" s="248"/>
      <c r="AY152" s="248"/>
      <c r="AZ152" s="248"/>
      <c r="BA152" s="248"/>
      <c r="BB152" s="248"/>
      <c r="BC152" s="248"/>
      <c r="BD152" s="248"/>
      <c r="BE152" s="248"/>
      <c r="BF152" s="248"/>
      <c r="BG152" s="248"/>
      <c r="BH152" s="248"/>
      <c r="BI152" s="248"/>
      <c r="BJ152" s="248"/>
      <c r="BK152" s="248"/>
      <c r="BL152" s="248"/>
      <c r="BM152" s="248"/>
      <c r="BN152" s="248"/>
      <c r="BO152" s="248"/>
      <c r="BP152" s="248"/>
      <c r="BQ152" s="248"/>
      <c r="BR152" s="248"/>
      <c r="BS152" s="248"/>
      <c r="BT152" s="248"/>
      <c r="BU152" s="248"/>
      <c r="BV152" s="248"/>
      <c r="BX152" s="248"/>
    </row>
    <row r="153" spans="1:76" s="262" customFormat="1" hidden="1">
      <c r="A153" s="261"/>
      <c r="B153" s="212"/>
      <c r="C153" s="262" t="s">
        <v>8</v>
      </c>
      <c r="D153" s="263"/>
      <c r="E153" s="263"/>
      <c r="F153" s="263"/>
      <c r="H153" s="263"/>
      <c r="I153" s="266"/>
      <c r="T153" s="248"/>
      <c r="AG153" s="248"/>
      <c r="AH153" s="248"/>
      <c r="AI153" s="248"/>
      <c r="AJ153" s="248"/>
      <c r="AK153" s="248"/>
      <c r="AL153" s="248"/>
      <c r="AM153" s="248"/>
      <c r="AN153" s="248"/>
      <c r="AO153" s="248"/>
      <c r="AP153" s="264"/>
      <c r="AQ153" s="248"/>
      <c r="AR153" s="264"/>
      <c r="AS153" s="248"/>
      <c r="AT153" s="264"/>
      <c r="AU153" s="248"/>
      <c r="AV153" s="248"/>
      <c r="AW153" s="248"/>
      <c r="AX153" s="248"/>
      <c r="AY153" s="248"/>
      <c r="AZ153" s="248"/>
      <c r="BA153" s="248"/>
      <c r="BB153" s="248"/>
      <c r="BC153" s="248"/>
      <c r="BD153" s="248"/>
      <c r="BE153" s="248"/>
      <c r="BF153" s="248"/>
      <c r="BG153" s="248"/>
      <c r="BH153" s="248"/>
      <c r="BI153" s="248"/>
      <c r="BJ153" s="248"/>
      <c r="BK153" s="248"/>
      <c r="BL153" s="248"/>
      <c r="BM153" s="248"/>
      <c r="BN153" s="248"/>
      <c r="BO153" s="248"/>
      <c r="BP153" s="248"/>
      <c r="BQ153" s="248"/>
      <c r="BR153" s="248"/>
      <c r="BS153" s="248"/>
      <c r="BT153" s="248"/>
      <c r="BU153" s="248"/>
      <c r="BV153" s="248"/>
      <c r="BX153" s="248"/>
    </row>
    <row r="154" spans="1:76" s="262" customFormat="1" hidden="1">
      <c r="A154" s="261"/>
      <c r="B154" s="212"/>
      <c r="C154" s="262" t="s">
        <v>9</v>
      </c>
      <c r="D154" s="263"/>
      <c r="E154" s="263"/>
      <c r="F154" s="263"/>
      <c r="H154" s="263"/>
      <c r="I154" s="213"/>
      <c r="T154" s="248"/>
      <c r="AG154" s="248"/>
      <c r="AH154" s="248"/>
      <c r="AI154" s="248"/>
      <c r="AJ154" s="248"/>
      <c r="AK154" s="248"/>
      <c r="AL154" s="248"/>
      <c r="AM154" s="248"/>
      <c r="AN154" s="248"/>
      <c r="AO154" s="248"/>
      <c r="AP154" s="264"/>
      <c r="AQ154" s="248"/>
      <c r="AR154" s="264"/>
      <c r="AS154" s="248"/>
      <c r="AT154" s="264"/>
      <c r="AU154" s="248"/>
      <c r="AV154" s="248"/>
      <c r="AW154" s="248"/>
      <c r="AX154" s="248"/>
      <c r="AY154" s="248"/>
      <c r="AZ154" s="248"/>
      <c r="BA154" s="248"/>
      <c r="BB154" s="248"/>
      <c r="BC154" s="248"/>
      <c r="BD154" s="248"/>
      <c r="BE154" s="248"/>
      <c r="BF154" s="248"/>
      <c r="BG154" s="248"/>
      <c r="BH154" s="248"/>
      <c r="BI154" s="248"/>
      <c r="BJ154" s="248"/>
      <c r="BK154" s="248"/>
      <c r="BL154" s="248"/>
      <c r="BM154" s="248"/>
      <c r="BN154" s="248"/>
      <c r="BO154" s="248"/>
      <c r="BP154" s="248"/>
      <c r="BQ154" s="248"/>
      <c r="BR154" s="248"/>
      <c r="BS154" s="248"/>
      <c r="BT154" s="248"/>
      <c r="BU154" s="248"/>
      <c r="BV154" s="248"/>
      <c r="BX154" s="248"/>
    </row>
    <row r="155" spans="1:76" hidden="1">
      <c r="A155" s="290">
        <f>A150+1</f>
        <v>38</v>
      </c>
      <c r="B155" s="255" t="s">
        <v>30</v>
      </c>
      <c r="C155" s="213" t="s">
        <v>68</v>
      </c>
      <c r="AP155" s="214"/>
      <c r="AT155" s="214"/>
    </row>
    <row r="156" spans="1:76" hidden="1">
      <c r="C156" s="253" t="s">
        <v>69</v>
      </c>
      <c r="D156" s="235">
        <v>44927</v>
      </c>
      <c r="E156" s="235"/>
      <c r="F156" s="235">
        <v>44958</v>
      </c>
      <c r="G156" s="235"/>
      <c r="H156" s="235">
        <v>44986</v>
      </c>
      <c r="I156" s="235"/>
      <c r="J156" s="235">
        <v>45017</v>
      </c>
      <c r="K156" s="235"/>
      <c r="L156" s="246">
        <v>45047</v>
      </c>
      <c r="M156" s="235"/>
      <c r="N156" s="235">
        <v>45078</v>
      </c>
      <c r="O156" s="235"/>
      <c r="P156" s="235">
        <v>45108</v>
      </c>
      <c r="Q156" s="235"/>
      <c r="R156" s="235">
        <v>45139</v>
      </c>
      <c r="S156" s="235"/>
      <c r="T156" s="235">
        <v>45170</v>
      </c>
      <c r="U156" s="235"/>
      <c r="V156" s="235">
        <v>45200</v>
      </c>
      <c r="W156" s="235"/>
      <c r="X156" s="235">
        <v>45231</v>
      </c>
      <c r="Y156" s="235"/>
      <c r="Z156" s="235">
        <v>45261</v>
      </c>
      <c r="AA156" s="235"/>
      <c r="AB156" s="235">
        <v>45292</v>
      </c>
      <c r="AC156" s="235"/>
      <c r="AD156" s="235">
        <v>45323</v>
      </c>
      <c r="AE156" s="235"/>
      <c r="AF156" s="235">
        <v>45352</v>
      </c>
      <c r="AH156" s="235">
        <v>45383</v>
      </c>
      <c r="AJ156" s="235">
        <v>45413</v>
      </c>
      <c r="AL156" s="235">
        <v>45444</v>
      </c>
      <c r="AN156" s="235">
        <v>45474</v>
      </c>
      <c r="AP156" s="235">
        <v>45505</v>
      </c>
      <c r="AR156" s="236">
        <v>45536</v>
      </c>
      <c r="AT156" s="236">
        <v>45566</v>
      </c>
      <c r="AV156" s="235">
        <v>45597</v>
      </c>
      <c r="AX156" s="235">
        <v>45627</v>
      </c>
    </row>
    <row r="157" spans="1:76" hidden="1">
      <c r="C157" s="213" t="s">
        <v>7</v>
      </c>
      <c r="D157" s="214">
        <v>-49.8</v>
      </c>
      <c r="F157" s="214">
        <v>-26.14</v>
      </c>
      <c r="H157" s="237">
        <v>-39.36</v>
      </c>
      <c r="J157" s="237">
        <v>-51.79</v>
      </c>
      <c r="L157" s="237">
        <v>-108.95</v>
      </c>
      <c r="N157" s="237">
        <f>-3.88-62.54-26.77</f>
        <v>-93.19</v>
      </c>
      <c r="P157" s="237">
        <v>-158.78</v>
      </c>
      <c r="R157" s="237">
        <v>-156.56</v>
      </c>
      <c r="S157" s="214"/>
      <c r="T157" s="237">
        <v>-118.8</v>
      </c>
      <c r="V157" s="237">
        <v>-106.26</v>
      </c>
      <c r="X157" s="237">
        <v>-67.02</v>
      </c>
      <c r="Z157" s="238">
        <v>-74.790000000000006</v>
      </c>
      <c r="AB157" s="237">
        <v>-74.69</v>
      </c>
      <c r="AD157" s="237">
        <v>-64.209999999999994</v>
      </c>
      <c r="AF157" s="237">
        <v>-69.48</v>
      </c>
      <c r="AH157" s="237">
        <f>-63.39-0</f>
        <v>-63.39</v>
      </c>
      <c r="AJ157" s="237">
        <v>-167.05</v>
      </c>
      <c r="AL157" s="237">
        <v>-89.06</v>
      </c>
      <c r="AN157" s="237">
        <v>-210.08</v>
      </c>
      <c r="AP157" s="237">
        <v>-104.02</v>
      </c>
      <c r="AR157" s="237">
        <f>-41.13-120.26</f>
        <v>-161.39000000000001</v>
      </c>
      <c r="AT157" s="237">
        <v>-221.05</v>
      </c>
      <c r="AV157" s="214"/>
      <c r="AX157" s="214"/>
    </row>
    <row r="158" spans="1:76" hidden="1">
      <c r="C158" s="213" t="s">
        <v>8</v>
      </c>
      <c r="D158" s="214">
        <v>242.98</v>
      </c>
      <c r="E158" s="222">
        <f>ABS(((D157+D158)/D157))</f>
        <v>3.8791164658634543</v>
      </c>
      <c r="F158" s="214">
        <v>367.59</v>
      </c>
      <c r="G158" s="222">
        <f>ABS(((F157+F158)/F157))</f>
        <v>13.062356541698545</v>
      </c>
      <c r="H158" s="214">
        <v>121.24</v>
      </c>
      <c r="I158" s="222">
        <f>ABS(((H157+H158)/H157))</f>
        <v>2.0802845528455283</v>
      </c>
      <c r="J158" s="214">
        <v>157.18</v>
      </c>
      <c r="K158" s="222">
        <f>ABS(((J157+J158)/J157))</f>
        <v>2.0349488318208153</v>
      </c>
      <c r="L158" s="214">
        <v>242.64</v>
      </c>
      <c r="M158" s="222">
        <f>ABS(((L157+L158)/L157))</f>
        <v>1.2270766406608535</v>
      </c>
      <c r="N158" s="214">
        <v>136.54</v>
      </c>
      <c r="O158" s="222">
        <f>ABS(((N157+N158)/N157))</f>
        <v>0.46517866723897411</v>
      </c>
      <c r="P158" s="214">
        <v>283.5</v>
      </c>
      <c r="Q158" s="222">
        <f>ABS(((P157+P158)/P157))</f>
        <v>0.78548935634210859</v>
      </c>
      <c r="R158" s="214">
        <v>252.12</v>
      </c>
      <c r="S158" s="222">
        <f>ABS(((R157+R158)/R157))</f>
        <v>0.61037301992846194</v>
      </c>
      <c r="T158" s="214">
        <v>230.23</v>
      </c>
      <c r="U158" s="222">
        <f>ABS(((T157+T158)/T157))</f>
        <v>0.93796296296296289</v>
      </c>
      <c r="V158" s="214">
        <v>179.77</v>
      </c>
      <c r="W158" s="222">
        <f>ABS(((V157+V158)/V157))</f>
        <v>0.69179371353284402</v>
      </c>
      <c r="X158" s="214">
        <v>130.35</v>
      </c>
      <c r="Y158" s="222">
        <f>ABS(((X157+X158)/X157))</f>
        <v>0.94494180841539843</v>
      </c>
      <c r="Z158" s="213">
        <v>134.29</v>
      </c>
      <c r="AA158" s="222">
        <f>ABS(((Z157+Z158)/Z157))</f>
        <v>0.79556090386415268</v>
      </c>
      <c r="AB158" s="214">
        <v>134.56</v>
      </c>
      <c r="AC158" s="222">
        <f>ABS(((AB157+AB158)/AB157))</f>
        <v>0.80157986343553367</v>
      </c>
      <c r="AD158" s="214">
        <v>119.26</v>
      </c>
      <c r="AE158" s="222">
        <f>ABS(((AD157+AD158)/AD157))</f>
        <v>0.85734309297617217</v>
      </c>
      <c r="AF158" s="214">
        <v>145.35</v>
      </c>
      <c r="AG158" s="222">
        <f>ABS(((AF157+AF158)/AF157))</f>
        <v>1.0919689119170983</v>
      </c>
      <c r="AH158" s="214">
        <v>295.41000000000003</v>
      </c>
      <c r="AI158" s="222">
        <f>ABS(((AH157+AH158)/AH157))</f>
        <v>3.6601987695220073</v>
      </c>
      <c r="AJ158" s="214">
        <v>289.57</v>
      </c>
      <c r="AK158" s="222">
        <f>ABS(((AJ157+AJ158)/AJ157))</f>
        <v>0.73343310386111926</v>
      </c>
      <c r="AL158" s="214">
        <v>167.6</v>
      </c>
      <c r="AM158" s="222">
        <f>ABS(((AL157+AL158)/AL157))</f>
        <v>0.88187738603188848</v>
      </c>
      <c r="AN158" s="214">
        <v>361.21</v>
      </c>
      <c r="AO158" s="222">
        <f>ABS(((AN157+AN158)/AN157))</f>
        <v>0.71939261233815666</v>
      </c>
      <c r="AP158" s="214">
        <v>175.84</v>
      </c>
      <c r="AQ158" s="222">
        <f>ABS(((AP157+AP158)/AP157))</f>
        <v>0.69044414535666232</v>
      </c>
      <c r="AR158" s="214">
        <v>269.23</v>
      </c>
      <c r="AS158" s="222">
        <f>ABS(((AR157+AR158)/AR157))</f>
        <v>0.66819505545572833</v>
      </c>
      <c r="AT158" s="214"/>
      <c r="AU158" s="222">
        <f>ABS(((AT157+AT158)/AT157))</f>
        <v>1</v>
      </c>
      <c r="AV158" s="214"/>
      <c r="AW158" s="222" t="e">
        <f>ABS(((AV157+AV158)/AV157))</f>
        <v>#DIV/0!</v>
      </c>
      <c r="AX158" s="214"/>
      <c r="AY158" s="224" t="e">
        <f>ABS(((AX157+AX158)/AX157))</f>
        <v>#DIV/0!</v>
      </c>
      <c r="AZ158" s="225"/>
      <c r="BB158" s="222" t="e">
        <f>ABS(((BA157+BA158)/BA157))</f>
        <v>#DIV/0!</v>
      </c>
      <c r="BD158" s="222" t="e">
        <f>ABS(((BC157+BC158)/BC157))</f>
        <v>#DIV/0!</v>
      </c>
      <c r="BF158" s="222" t="e">
        <f>ABS(((BE157+BE158)/BE157))</f>
        <v>#DIV/0!</v>
      </c>
      <c r="BH158" s="222" t="e">
        <f>ABS(((BG157+BG158)/BG157))</f>
        <v>#DIV/0!</v>
      </c>
      <c r="BJ158" s="222" t="e">
        <f>ABS(((BI157+BI158)/BI157))</f>
        <v>#DIV/0!</v>
      </c>
      <c r="BL158" s="222" t="e">
        <f>ABS(((BK157+BK158)/BK157))</f>
        <v>#DIV/0!</v>
      </c>
      <c r="BN158" s="222" t="e">
        <f>ABS(((BM157+BM158)/BM157))</f>
        <v>#DIV/0!</v>
      </c>
      <c r="BP158" s="222" t="e">
        <f>ABS(((BO157+BO158)/BO157))</f>
        <v>#DIV/0!</v>
      </c>
      <c r="BR158" s="222" t="e">
        <f>ABS(((BQ157+BQ158)/BQ157))</f>
        <v>#DIV/0!</v>
      </c>
      <c r="BT158" s="222" t="e">
        <f>ABS(((BS157+BS158)/BS157))</f>
        <v>#DIV/0!</v>
      </c>
      <c r="BV158" s="222" t="e">
        <f>ABS(((BU157+BU158)/BU157))</f>
        <v>#DIV/0!</v>
      </c>
      <c r="BX158" s="222" t="e">
        <f>ABS(((BW157+BW158)/BW157))</f>
        <v>#DIV/0!</v>
      </c>
    </row>
    <row r="159" spans="1:76" hidden="1">
      <c r="C159" s="241" t="s">
        <v>9</v>
      </c>
      <c r="D159" s="214">
        <f>D157+D158</f>
        <v>193.18</v>
      </c>
      <c r="F159" s="214">
        <f>SUM(F157:F158)</f>
        <v>341.45</v>
      </c>
      <c r="H159" s="214">
        <f>SUM(H157:H158)</f>
        <v>81.88</v>
      </c>
      <c r="J159" s="214">
        <f>SUM(J157:J158)</f>
        <v>105.39000000000001</v>
      </c>
      <c r="L159" s="214">
        <f>SUM(L157:L158)</f>
        <v>133.69</v>
      </c>
      <c r="N159" s="214">
        <f>SUM(N157:N158)</f>
        <v>43.349999999999994</v>
      </c>
      <c r="P159" s="214">
        <f>SUM(P157:P158)</f>
        <v>124.72</v>
      </c>
      <c r="R159" s="214">
        <f>R157+R158</f>
        <v>95.56</v>
      </c>
      <c r="S159" s="214"/>
      <c r="T159" s="214">
        <f>T157+T158</f>
        <v>111.42999999999999</v>
      </c>
      <c r="V159" s="214">
        <f>V157+V158</f>
        <v>73.510000000000005</v>
      </c>
      <c r="X159" s="214">
        <f>X157+X158</f>
        <v>63.33</v>
      </c>
      <c r="Z159" s="214">
        <f>Z157+Z158</f>
        <v>59.499999999999986</v>
      </c>
      <c r="AB159" s="242">
        <f>AB157+AB158</f>
        <v>59.870000000000005</v>
      </c>
      <c r="AD159" s="242">
        <f>AD157+AD158</f>
        <v>55.050000000000011</v>
      </c>
      <c r="AF159" s="242">
        <f>AF157+AF158</f>
        <v>75.86999999999999</v>
      </c>
      <c r="AH159" s="243">
        <f>AH157+AH158</f>
        <v>232.02000000000004</v>
      </c>
      <c r="AJ159" s="243">
        <f>AJ157+AJ158</f>
        <v>122.51999999999998</v>
      </c>
      <c r="AL159" s="243">
        <f>AL157+AL158</f>
        <v>78.539999999999992</v>
      </c>
      <c r="AN159" s="243">
        <f>AN157+AN158</f>
        <v>151.12999999999997</v>
      </c>
      <c r="AP159" s="214">
        <f>AP157+AP158</f>
        <v>71.820000000000007</v>
      </c>
      <c r="AR159" s="214">
        <f>AR157+AR158</f>
        <v>107.84</v>
      </c>
      <c r="AT159" s="214">
        <f>AT157+AT158</f>
        <v>-221.05</v>
      </c>
      <c r="AV159" s="214">
        <f>AV157+AV158</f>
        <v>0</v>
      </c>
      <c r="AX159" s="214">
        <f>AX157+AX158</f>
        <v>0</v>
      </c>
    </row>
    <row r="160" spans="1:76" s="262" customFormat="1" hidden="1">
      <c r="A160" s="261">
        <f>A155+1</f>
        <v>39</v>
      </c>
      <c r="B160" s="212"/>
      <c r="C160" s="233" t="s">
        <v>70</v>
      </c>
      <c r="D160" s="263"/>
      <c r="E160" s="263"/>
      <c r="F160" s="263"/>
      <c r="H160" s="263"/>
      <c r="I160" s="213"/>
      <c r="T160" s="248"/>
      <c r="AG160" s="248"/>
      <c r="AH160" s="248"/>
      <c r="AI160" s="248"/>
      <c r="AJ160" s="248"/>
      <c r="AK160" s="248"/>
      <c r="AL160" s="248"/>
      <c r="AM160" s="248"/>
      <c r="AN160" s="248"/>
      <c r="AO160" s="248"/>
      <c r="AP160" s="264"/>
      <c r="AQ160" s="248"/>
      <c r="AR160" s="264"/>
      <c r="AS160" s="248"/>
      <c r="AT160" s="264"/>
      <c r="AU160" s="248"/>
      <c r="AV160" s="248"/>
      <c r="AW160" s="248"/>
      <c r="AX160" s="248"/>
      <c r="AY160" s="248"/>
      <c r="AZ160" s="248"/>
      <c r="BA160" s="248"/>
      <c r="BB160" s="248"/>
      <c r="BC160" s="248"/>
      <c r="BD160" s="248"/>
      <c r="BE160" s="248"/>
      <c r="BF160" s="248"/>
      <c r="BG160" s="248"/>
      <c r="BH160" s="248"/>
      <c r="BI160" s="248"/>
      <c r="BJ160" s="248"/>
      <c r="BK160" s="248"/>
      <c r="BL160" s="248"/>
      <c r="BM160" s="248"/>
      <c r="BN160" s="248"/>
      <c r="BO160" s="248"/>
      <c r="BP160" s="248"/>
      <c r="BQ160" s="248"/>
      <c r="BR160" s="248"/>
      <c r="BS160" s="248"/>
      <c r="BT160" s="248"/>
      <c r="BU160" s="248"/>
      <c r="BV160" s="248"/>
      <c r="BX160" s="248"/>
    </row>
    <row r="161" spans="1:87" s="262" customFormat="1" hidden="1">
      <c r="A161" s="261"/>
      <c r="B161" s="212"/>
      <c r="C161" s="265" t="s">
        <v>71</v>
      </c>
      <c r="D161" s="263"/>
      <c r="E161" s="263"/>
      <c r="F161" s="263"/>
      <c r="H161" s="263">
        <v>44986</v>
      </c>
      <c r="I161" s="235"/>
      <c r="T161" s="248"/>
      <c r="AG161" s="248"/>
      <c r="AH161" s="248"/>
      <c r="AI161" s="248"/>
      <c r="AJ161" s="248"/>
      <c r="AK161" s="248"/>
      <c r="AL161" s="248"/>
      <c r="AM161" s="248"/>
      <c r="AN161" s="248"/>
      <c r="AO161" s="248"/>
      <c r="AP161" s="264"/>
      <c r="AQ161" s="248"/>
      <c r="AR161" s="264"/>
      <c r="AS161" s="248"/>
      <c r="AT161" s="264"/>
      <c r="AU161" s="248"/>
      <c r="AV161" s="248"/>
      <c r="AW161" s="248"/>
      <c r="AX161" s="248"/>
      <c r="AY161" s="248"/>
      <c r="AZ161" s="248"/>
      <c r="BA161" s="248"/>
      <c r="BB161" s="248"/>
      <c r="BC161" s="248"/>
      <c r="BD161" s="248"/>
      <c r="BE161" s="248"/>
      <c r="BF161" s="248"/>
      <c r="BG161" s="248"/>
      <c r="BH161" s="248"/>
      <c r="BI161" s="248"/>
      <c r="BJ161" s="248"/>
      <c r="BK161" s="248"/>
      <c r="BL161" s="248"/>
      <c r="BM161" s="248"/>
      <c r="BN161" s="248"/>
      <c r="BO161" s="248"/>
      <c r="BP161" s="248"/>
      <c r="BQ161" s="248"/>
      <c r="BR161" s="248"/>
      <c r="BS161" s="248"/>
      <c r="BT161" s="248"/>
      <c r="BU161" s="248"/>
      <c r="BV161" s="248"/>
      <c r="BX161" s="248"/>
    </row>
    <row r="162" spans="1:87" s="262" customFormat="1" hidden="1">
      <c r="A162" s="261"/>
      <c r="B162" s="212"/>
      <c r="C162" s="262" t="s">
        <v>7</v>
      </c>
      <c r="D162" s="263"/>
      <c r="E162" s="263"/>
      <c r="F162" s="263"/>
      <c r="H162" s="263"/>
      <c r="T162" s="248"/>
      <c r="AG162" s="248"/>
      <c r="AH162" s="248"/>
      <c r="AI162" s="248"/>
      <c r="AJ162" s="248"/>
      <c r="AK162" s="248"/>
      <c r="AL162" s="248"/>
      <c r="AM162" s="248"/>
      <c r="AN162" s="248"/>
      <c r="AO162" s="248"/>
      <c r="AP162" s="264"/>
      <c r="AQ162" s="248"/>
      <c r="AR162" s="264"/>
      <c r="AS162" s="248"/>
      <c r="AT162" s="264"/>
      <c r="AU162" s="248"/>
      <c r="AV162" s="248"/>
      <c r="AW162" s="248"/>
      <c r="AX162" s="248"/>
      <c r="AY162" s="248"/>
      <c r="AZ162" s="248"/>
      <c r="BA162" s="248"/>
      <c r="BB162" s="248"/>
      <c r="BC162" s="248"/>
      <c r="BD162" s="248"/>
      <c r="BE162" s="248"/>
      <c r="BF162" s="248"/>
      <c r="BG162" s="248"/>
      <c r="BH162" s="248"/>
      <c r="BI162" s="248"/>
      <c r="BJ162" s="248"/>
      <c r="BK162" s="248"/>
      <c r="BL162" s="248"/>
      <c r="BM162" s="248"/>
      <c r="BN162" s="248"/>
      <c r="BO162" s="248"/>
      <c r="BP162" s="248"/>
      <c r="BQ162" s="248"/>
      <c r="BR162" s="248"/>
      <c r="BS162" s="248"/>
      <c r="BT162" s="248"/>
      <c r="BU162" s="248"/>
      <c r="BV162" s="248"/>
      <c r="BX162" s="248"/>
    </row>
    <row r="163" spans="1:87" s="262" customFormat="1" hidden="1">
      <c r="A163" s="261"/>
      <c r="B163" s="212"/>
      <c r="C163" s="262" t="s">
        <v>8</v>
      </c>
      <c r="D163" s="263"/>
      <c r="E163" s="263"/>
      <c r="F163" s="263"/>
      <c r="H163" s="263"/>
      <c r="T163" s="248"/>
      <c r="AG163" s="248"/>
      <c r="AH163" s="248"/>
      <c r="AI163" s="248"/>
      <c r="AJ163" s="248"/>
      <c r="AK163" s="248"/>
      <c r="AL163" s="248"/>
      <c r="AM163" s="248"/>
      <c r="AN163" s="248"/>
      <c r="AO163" s="248"/>
      <c r="AP163" s="264"/>
      <c r="AQ163" s="248"/>
      <c r="AR163" s="264"/>
      <c r="AS163" s="248"/>
      <c r="AT163" s="264"/>
      <c r="AU163" s="248"/>
      <c r="AV163" s="248"/>
      <c r="AW163" s="248"/>
      <c r="AX163" s="248"/>
      <c r="AY163" s="248"/>
      <c r="AZ163" s="248"/>
      <c r="BA163" s="248"/>
      <c r="BB163" s="248"/>
      <c r="BC163" s="248"/>
      <c r="BD163" s="248"/>
      <c r="BE163" s="248"/>
      <c r="BF163" s="248"/>
      <c r="BG163" s="248"/>
      <c r="BH163" s="248"/>
      <c r="BI163" s="248"/>
      <c r="BJ163" s="248"/>
      <c r="BK163" s="248"/>
      <c r="BL163" s="248"/>
      <c r="BM163" s="248"/>
      <c r="BN163" s="248"/>
      <c r="BO163" s="248"/>
      <c r="BP163" s="248"/>
      <c r="BQ163" s="248"/>
      <c r="BR163" s="248"/>
      <c r="BS163" s="248"/>
      <c r="BT163" s="248"/>
      <c r="BU163" s="248"/>
      <c r="BV163" s="248"/>
      <c r="BX163" s="248"/>
    </row>
    <row r="164" spans="1:87" s="262" customFormat="1" hidden="1">
      <c r="A164" s="261"/>
      <c r="B164" s="212"/>
      <c r="C164" s="262" t="s">
        <v>9</v>
      </c>
      <c r="D164" s="263"/>
      <c r="E164" s="263"/>
      <c r="F164" s="263"/>
      <c r="H164" s="263"/>
      <c r="T164" s="248"/>
      <c r="AG164" s="248"/>
      <c r="AH164" s="248"/>
      <c r="AI164" s="248"/>
      <c r="AJ164" s="248"/>
      <c r="AK164" s="248"/>
      <c r="AL164" s="248"/>
      <c r="AM164" s="248"/>
      <c r="AN164" s="248"/>
      <c r="AO164" s="248"/>
      <c r="AP164" s="264"/>
      <c r="AQ164" s="248"/>
      <c r="AR164" s="264"/>
      <c r="AS164" s="248"/>
      <c r="AT164" s="264"/>
      <c r="AU164" s="248"/>
      <c r="AV164" s="248"/>
      <c r="AW164" s="248"/>
      <c r="AX164" s="248"/>
      <c r="AY164" s="248"/>
      <c r="AZ164" s="248"/>
      <c r="BA164" s="248"/>
      <c r="BB164" s="248"/>
      <c r="BC164" s="248"/>
      <c r="BD164" s="248"/>
      <c r="BE164" s="248"/>
      <c r="BF164" s="248"/>
      <c r="BG164" s="248"/>
      <c r="BH164" s="248"/>
      <c r="BI164" s="248"/>
      <c r="BJ164" s="248"/>
      <c r="BK164" s="248"/>
      <c r="BL164" s="248"/>
      <c r="BM164" s="248"/>
      <c r="BN164" s="248"/>
      <c r="BO164" s="248"/>
      <c r="BP164" s="248"/>
      <c r="BQ164" s="248"/>
      <c r="BR164" s="248"/>
      <c r="BS164" s="248"/>
      <c r="BT164" s="248"/>
      <c r="BU164" s="248"/>
      <c r="BV164" s="248"/>
      <c r="BX164" s="248"/>
    </row>
    <row r="165" spans="1:87" hidden="1">
      <c r="A165" s="211">
        <f>A160+1</f>
        <v>40</v>
      </c>
      <c r="B165" s="255" t="s">
        <v>30</v>
      </c>
      <c r="C165" s="213" t="s">
        <v>72</v>
      </c>
      <c r="AP165" s="214"/>
      <c r="AT165" s="214"/>
    </row>
    <row r="166" spans="1:87" hidden="1">
      <c r="A166" s="211">
        <f>A165+1</f>
        <v>41</v>
      </c>
      <c r="B166" s="255" t="s">
        <v>30</v>
      </c>
      <c r="C166" s="233" t="s">
        <v>73</v>
      </c>
      <c r="AP166" s="214"/>
      <c r="AT166" s="214"/>
    </row>
    <row r="167" spans="1:87" hidden="1">
      <c r="C167" s="253" t="s">
        <v>74</v>
      </c>
      <c r="D167" s="235">
        <v>44927</v>
      </c>
      <c r="E167" s="235"/>
      <c r="F167" s="235">
        <v>44958</v>
      </c>
      <c r="G167" s="235"/>
      <c r="H167" s="235">
        <v>44986</v>
      </c>
      <c r="I167" s="235"/>
      <c r="J167" s="235">
        <v>45017</v>
      </c>
      <c r="K167" s="235"/>
      <c r="L167" s="246">
        <v>45047</v>
      </c>
      <c r="M167" s="235"/>
      <c r="N167" s="235">
        <v>45078</v>
      </c>
      <c r="O167" s="235"/>
      <c r="P167" s="235">
        <v>45108</v>
      </c>
      <c r="Q167" s="235"/>
      <c r="R167" s="235">
        <v>45139</v>
      </c>
      <c r="S167" s="235"/>
      <c r="T167" s="235">
        <v>45170</v>
      </c>
      <c r="U167" s="235"/>
      <c r="V167" s="235">
        <v>45200</v>
      </c>
      <c r="W167" s="235"/>
      <c r="X167" s="235">
        <v>45231</v>
      </c>
      <c r="Y167" s="235"/>
      <c r="Z167" s="235">
        <v>45261</v>
      </c>
      <c r="AA167" s="235"/>
      <c r="AB167" s="235"/>
      <c r="AC167" s="235"/>
      <c r="AD167" s="235"/>
      <c r="AE167" s="235"/>
      <c r="AF167" s="235"/>
      <c r="AP167" s="214"/>
      <c r="AT167" s="214"/>
    </row>
    <row r="168" spans="1:87" hidden="1">
      <c r="C168" s="213" t="s">
        <v>7</v>
      </c>
      <c r="D168" s="214">
        <v>-204.33</v>
      </c>
      <c r="F168" s="214">
        <v>-185.99</v>
      </c>
      <c r="H168" s="237">
        <v>-116.88</v>
      </c>
      <c r="J168" s="237">
        <v>-84.58</v>
      </c>
      <c r="L168" s="237">
        <f>-86.48</f>
        <v>-86.48</v>
      </c>
      <c r="N168" s="237">
        <f>-25.85-5.92</f>
        <v>-31.770000000000003</v>
      </c>
      <c r="AP168" s="214"/>
      <c r="AT168" s="214"/>
    </row>
    <row r="169" spans="1:87" hidden="1">
      <c r="C169" s="213" t="s">
        <v>8</v>
      </c>
      <c r="D169" s="214">
        <v>332.74</v>
      </c>
      <c r="E169" s="222">
        <f>ABS(((D168+D169)/D168))</f>
        <v>0.62844418342876718</v>
      </c>
      <c r="F169" s="214">
        <v>258.31</v>
      </c>
      <c r="G169" s="222">
        <f>ABS(((F168+F169)/F168))</f>
        <v>0.38883810957578357</v>
      </c>
      <c r="H169" s="214">
        <v>171.9</v>
      </c>
      <c r="I169" s="222">
        <f>ABS(((H168+H169)/H168))</f>
        <v>0.47073921971252575</v>
      </c>
      <c r="J169" s="214">
        <v>122.34</v>
      </c>
      <c r="K169" s="222">
        <f>ABS(((J168+J169)/J168))</f>
        <v>0.4464412390636085</v>
      </c>
      <c r="L169" s="214">
        <v>122.73</v>
      </c>
      <c r="M169" s="222">
        <f>ABS(((L168+L169)/L168))</f>
        <v>0.41917206290471781</v>
      </c>
      <c r="N169" s="214">
        <v>31.56</v>
      </c>
      <c r="O169" s="222">
        <f>ABS(((N168+N169)/N168))</f>
        <v>6.6100094428707705E-3</v>
      </c>
      <c r="Q169" s="222" t="e">
        <f>ABS(((P168+P169)/P168))</f>
        <v>#DIV/0!</v>
      </c>
      <c r="AP169" s="214"/>
      <c r="AT169" s="214"/>
    </row>
    <row r="170" spans="1:87" hidden="1">
      <c r="C170" s="241" t="s">
        <v>9</v>
      </c>
      <c r="D170" s="214">
        <f>D168+D169</f>
        <v>128.41</v>
      </c>
      <c r="F170" s="214">
        <f>F168+F169</f>
        <v>72.319999999999993</v>
      </c>
      <c r="H170" s="214">
        <f>H168+H169</f>
        <v>55.02000000000001</v>
      </c>
      <c r="J170" s="214">
        <f>J168+J169</f>
        <v>37.760000000000005</v>
      </c>
      <c r="L170" s="214">
        <f>L168+L169</f>
        <v>36.25</v>
      </c>
      <c r="N170" s="214">
        <f>N168+N169</f>
        <v>-0.21000000000000441</v>
      </c>
      <c r="AP170" s="214"/>
      <c r="AT170" s="214"/>
    </row>
    <row r="171" spans="1:87">
      <c r="A171" s="231">
        <f>A166+1</f>
        <v>42</v>
      </c>
      <c r="B171" s="232">
        <v>140841477</v>
      </c>
      <c r="C171" s="213" t="s">
        <v>75</v>
      </c>
      <c r="AP171" s="214"/>
      <c r="AT171" s="214"/>
    </row>
    <row r="172" spans="1:87">
      <c r="C172" s="253" t="s">
        <v>76</v>
      </c>
      <c r="D172" s="235">
        <v>44927</v>
      </c>
      <c r="E172" s="235"/>
      <c r="F172" s="235">
        <v>44958</v>
      </c>
      <c r="G172" s="235"/>
      <c r="H172" s="235">
        <v>44986</v>
      </c>
      <c r="I172" s="235"/>
      <c r="J172" s="235">
        <v>45017</v>
      </c>
      <c r="K172" s="235"/>
      <c r="L172" s="246">
        <v>45047</v>
      </c>
      <c r="M172" s="235"/>
      <c r="N172" s="235">
        <v>45078</v>
      </c>
      <c r="O172" s="235"/>
      <c r="P172" s="235">
        <v>45108</v>
      </c>
      <c r="Q172" s="235"/>
      <c r="R172" s="235">
        <v>45139</v>
      </c>
      <c r="S172" s="235"/>
      <c r="T172" s="235">
        <v>45170</v>
      </c>
      <c r="U172" s="235"/>
      <c r="V172" s="235">
        <v>45200</v>
      </c>
      <c r="W172" s="235"/>
      <c r="X172" s="235">
        <v>45231</v>
      </c>
      <c r="Y172" s="235"/>
      <c r="Z172" s="235">
        <v>45261</v>
      </c>
      <c r="AA172" s="235"/>
      <c r="AB172" s="235">
        <v>45292</v>
      </c>
      <c r="AC172" s="235"/>
      <c r="AD172" s="235">
        <v>45323</v>
      </c>
      <c r="AE172" s="235"/>
      <c r="AF172" s="235">
        <v>45352</v>
      </c>
      <c r="AH172" s="235">
        <v>45383</v>
      </c>
      <c r="AJ172" s="235">
        <v>45413</v>
      </c>
      <c r="AL172" s="235">
        <v>45444</v>
      </c>
      <c r="AN172" s="235">
        <v>45474</v>
      </c>
      <c r="AP172" s="235">
        <v>45505</v>
      </c>
      <c r="AR172" s="236">
        <v>45536</v>
      </c>
      <c r="AT172" s="236">
        <v>45566</v>
      </c>
      <c r="AV172" s="235">
        <v>45597</v>
      </c>
      <c r="AX172" s="235">
        <v>45627</v>
      </c>
      <c r="BA172" s="235">
        <v>45658</v>
      </c>
      <c r="BC172" s="235">
        <v>45689</v>
      </c>
      <c r="BE172" s="235">
        <v>45717</v>
      </c>
      <c r="BG172" s="235">
        <v>45748</v>
      </c>
      <c r="BI172" s="235">
        <v>45778</v>
      </c>
      <c r="BK172" s="235">
        <v>45809</v>
      </c>
      <c r="BM172" s="235">
        <v>45839</v>
      </c>
      <c r="BO172" s="235">
        <v>45870</v>
      </c>
      <c r="BQ172" s="235">
        <v>45901</v>
      </c>
      <c r="BS172" s="235">
        <v>45931</v>
      </c>
      <c r="BU172" s="235">
        <v>45962</v>
      </c>
      <c r="BW172" s="235">
        <v>45992</v>
      </c>
      <c r="BY172" s="235">
        <v>46023</v>
      </c>
      <c r="CA172" s="235">
        <v>46054</v>
      </c>
      <c r="CC172" s="235">
        <v>46082</v>
      </c>
      <c r="CE172" s="235">
        <v>46113</v>
      </c>
      <c r="CG172" s="235">
        <v>46143</v>
      </c>
      <c r="CI172" s="341">
        <v>46174</v>
      </c>
    </row>
    <row r="173" spans="1:87">
      <c r="C173" s="213" t="s">
        <v>7</v>
      </c>
      <c r="D173" s="214">
        <v>-446.85</v>
      </c>
      <c r="F173" s="214">
        <v>-401.7</v>
      </c>
      <c r="H173" s="237">
        <v>-547.99</v>
      </c>
      <c r="J173" s="237">
        <v>-530.42999999999995</v>
      </c>
      <c r="L173" s="237">
        <f>-525.94-132.26</f>
        <v>-658.2</v>
      </c>
      <c r="N173" s="237">
        <v>-474.49</v>
      </c>
      <c r="P173" s="237">
        <v>-616.27</v>
      </c>
      <c r="R173" s="237">
        <f>-712.86-144.74</f>
        <v>-857.6</v>
      </c>
      <c r="S173" s="214"/>
      <c r="T173" s="237">
        <v>-349.97</v>
      </c>
      <c r="V173" s="237">
        <v>-523.89</v>
      </c>
      <c r="X173" s="237">
        <v>-335.23</v>
      </c>
      <c r="Z173" s="238">
        <v>-257.08</v>
      </c>
      <c r="AB173" s="238">
        <f>-352.1-225.44</f>
        <v>-577.54</v>
      </c>
      <c r="AD173" s="237">
        <f>-591.65-151.44</f>
        <v>-743.08999999999992</v>
      </c>
      <c r="AF173" s="237">
        <f>-397.54-212.7</f>
        <v>-610.24</v>
      </c>
      <c r="AH173" s="237">
        <f>-468.06-138.04-43</f>
        <v>-649.1</v>
      </c>
      <c r="AJ173" s="237">
        <f>-433.95-190.89</f>
        <v>-624.83999999999992</v>
      </c>
      <c r="AL173" s="237">
        <f>-466.73-185.92</f>
        <v>-652.65</v>
      </c>
      <c r="AN173" s="237">
        <f>-534.47-203.04</f>
        <v>-737.51</v>
      </c>
      <c r="AP173" s="237">
        <f>-558.27-189.6</f>
        <v>-747.87</v>
      </c>
      <c r="AR173" s="237">
        <f>-497.66-13.72-118.5</f>
        <v>-629.88000000000011</v>
      </c>
      <c r="AT173" s="237">
        <f>-103.5-493.88</f>
        <v>-597.38</v>
      </c>
      <c r="AV173" s="237">
        <f>-431.1-13.95</f>
        <v>-445.05</v>
      </c>
      <c r="AX173" s="237">
        <f>-55.7-297.44</f>
        <v>-353.14</v>
      </c>
      <c r="BA173" s="237">
        <f>-703.18-15.7</f>
        <v>-718.88</v>
      </c>
      <c r="BC173" s="237">
        <v>-79</v>
      </c>
      <c r="BE173" s="237">
        <v>-944.94</v>
      </c>
      <c r="BG173" s="237">
        <f>-85.81-14.3</f>
        <v>-100.11</v>
      </c>
      <c r="BI173" s="237">
        <f>-77.2-14.8</f>
        <v>-92</v>
      </c>
      <c r="BK173" s="237">
        <v>-381.01</v>
      </c>
      <c r="BM173" s="237">
        <f>-1587.54-17.16-183</f>
        <v>-1787.7</v>
      </c>
      <c r="BO173" s="237">
        <f>-74.38-144.7-793.01</f>
        <v>-1012.0899999999999</v>
      </c>
      <c r="BQ173" s="237">
        <f>-665.75-162.4</f>
        <v>-828.15</v>
      </c>
      <c r="BS173" s="237">
        <f>-507.56-56.2</f>
        <v>-563.76</v>
      </c>
      <c r="BU173" s="237">
        <f>-258.47-92.89</f>
        <v>-351.36</v>
      </c>
      <c r="BW173" s="237">
        <f>-278.64-174.4</f>
        <v>-453.03999999999996</v>
      </c>
      <c r="BY173" s="237">
        <f>-436.07-103.74</f>
        <v>-539.80999999999995</v>
      </c>
      <c r="CA173" s="237">
        <f>-380.43-102.12</f>
        <v>-482.55</v>
      </c>
      <c r="CC173" s="237">
        <f>-391.35-143.44</f>
        <v>-534.79</v>
      </c>
      <c r="CE173" s="237">
        <f>-412.31-141.4</f>
        <v>-553.71</v>
      </c>
      <c r="CG173" s="237">
        <v>-484.9</v>
      </c>
    </row>
    <row r="174" spans="1:87">
      <c r="C174" s="213" t="s">
        <v>8</v>
      </c>
      <c r="D174" s="214">
        <v>752.22</v>
      </c>
      <c r="E174" s="222">
        <f>ABS(((D173+D174)/D173))</f>
        <v>0.68338368580060416</v>
      </c>
      <c r="F174" s="214">
        <v>591.16999999999996</v>
      </c>
      <c r="G174" s="222">
        <f>ABS(((F173+F174)/F173))</f>
        <v>0.47167040079661432</v>
      </c>
      <c r="H174" s="214">
        <v>840.93</v>
      </c>
      <c r="I174" s="222">
        <f>ABS(((H173+H174)/H173))</f>
        <v>0.53457179875545158</v>
      </c>
      <c r="J174" s="214">
        <v>875.14</v>
      </c>
      <c r="K174" s="222">
        <f>ABS(((J173+J174)/J173))</f>
        <v>0.64986897422845624</v>
      </c>
      <c r="L174" s="214">
        <v>753.04</v>
      </c>
      <c r="M174" s="222">
        <f>ABS(((L173+L174)/L173))</f>
        <v>0.14408994226678806</v>
      </c>
      <c r="N174" s="214">
        <v>788.31</v>
      </c>
      <c r="O174" s="222">
        <f>ABS(((N173+N174)/N173))</f>
        <v>0.66138380155535403</v>
      </c>
      <c r="P174" s="214">
        <v>783.32</v>
      </c>
      <c r="Q174" s="222">
        <f>ABS(((P173+P174)/P173))</f>
        <v>0.27106625342788077</v>
      </c>
      <c r="R174" s="214">
        <v>1022.76</v>
      </c>
      <c r="S174" s="222">
        <f>ABS(((R173+R174)/R173))</f>
        <v>0.19258395522388055</v>
      </c>
      <c r="T174" s="214">
        <v>628.64</v>
      </c>
      <c r="U174" s="222">
        <f>ABS(((T173+T174)/T173))</f>
        <v>0.7962682515644196</v>
      </c>
      <c r="V174" s="214">
        <v>587.61</v>
      </c>
      <c r="W174" s="222">
        <f>ABS(((V173+V174)/V173))</f>
        <v>0.12162858615358191</v>
      </c>
      <c r="X174" s="214">
        <v>257.98</v>
      </c>
      <c r="Y174" s="222">
        <f>ABS(((X173+X174)/X173))</f>
        <v>0.23043880320973659</v>
      </c>
      <c r="Z174" s="213">
        <v>460.53</v>
      </c>
      <c r="AA174" s="222">
        <f>ABS(((Z173+Z174)/Z173))</f>
        <v>0.79138789481873351</v>
      </c>
      <c r="AB174" s="213">
        <v>546.41</v>
      </c>
      <c r="AC174" s="222">
        <f>ABS(((AB173+AB174)/AB173))</f>
        <v>5.3901028500190455E-2</v>
      </c>
      <c r="AD174" s="213">
        <v>580.03</v>
      </c>
      <c r="AE174" s="222">
        <v>0</v>
      </c>
      <c r="AF174" s="213">
        <v>723.3</v>
      </c>
      <c r="AG174" s="222">
        <f>ABS(((AF173+AF174)/AF173))</f>
        <v>0.18527136864184574</v>
      </c>
      <c r="AH174" s="214">
        <v>740.05</v>
      </c>
      <c r="AI174" s="222">
        <f>ABS(((AH173+AH174)/AH173))</f>
        <v>0.14011708519488511</v>
      </c>
      <c r="AJ174" s="214">
        <v>838.55</v>
      </c>
      <c r="AK174" s="222">
        <f>ABS(((AJ173+AJ174)/AJ173))</f>
        <v>0.34202355803085599</v>
      </c>
      <c r="AL174" s="214">
        <v>836.16</v>
      </c>
      <c r="AM174" s="222">
        <f>ABS(((AL173+AL174)/AL173))</f>
        <v>0.28117674097908524</v>
      </c>
      <c r="AN174" s="214">
        <v>993.45</v>
      </c>
      <c r="AO174" s="222">
        <f>ABS(((AN173+AN174)/AN173))</f>
        <v>0.34703258260904946</v>
      </c>
      <c r="AP174" s="214">
        <v>1008.65</v>
      </c>
      <c r="AQ174" s="222">
        <f>ABS(((AP173+AP174)/AP173))</f>
        <v>0.34869696605024936</v>
      </c>
      <c r="AR174" s="214">
        <v>939.65</v>
      </c>
      <c r="AS174" s="222">
        <f>ABS(((AR173+AR174)/AR173))</f>
        <v>0.4917920873817232</v>
      </c>
      <c r="AT174" s="214">
        <v>436.12</v>
      </c>
      <c r="AU174" s="222">
        <f>AT175/AT174</f>
        <v>-0.36976061634412544</v>
      </c>
      <c r="AV174" s="214">
        <v>580.96</v>
      </c>
      <c r="AW174" s="222">
        <f>AV175/AV174</f>
        <v>0.23394037455246491</v>
      </c>
      <c r="AX174" s="214">
        <v>1051.07</v>
      </c>
      <c r="AY174" s="224">
        <f>AX175/AX174</f>
        <v>0.66401857155089572</v>
      </c>
      <c r="AZ174" s="225"/>
      <c r="BA174" s="214">
        <v>585.66</v>
      </c>
      <c r="BB174" s="222">
        <f>BA175/BA174</f>
        <v>-0.22746986306047884</v>
      </c>
      <c r="BC174" s="214">
        <v>604.14</v>
      </c>
      <c r="BD174" s="222">
        <f>BC175/BC174</f>
        <v>0.86923560764061314</v>
      </c>
      <c r="BE174" s="214">
        <v>963.35</v>
      </c>
      <c r="BF174" s="222">
        <f>BE175/BE174</f>
        <v>1.911039601390976E-2</v>
      </c>
      <c r="BG174" s="214">
        <v>1326.09</v>
      </c>
      <c r="BH174" s="222">
        <f>BG175/BG174</f>
        <v>0.92450738637649033</v>
      </c>
      <c r="BI174" s="214">
        <v>1196.57</v>
      </c>
      <c r="BJ174" s="222">
        <f>BI175/BI174</f>
        <v>0.92311356627694163</v>
      </c>
      <c r="BK174" s="214">
        <v>454.63</v>
      </c>
      <c r="BL174" s="222">
        <f>BK175/BK174</f>
        <v>0.16193388029826453</v>
      </c>
      <c r="BM174" s="239">
        <v>2348.9699999999998</v>
      </c>
      <c r="BN174" s="222">
        <f>BM175/BM174</f>
        <v>0.23894302609228718</v>
      </c>
      <c r="BO174" s="214">
        <v>2433.58</v>
      </c>
      <c r="BP174" s="222">
        <f>BO175/BO174</f>
        <v>0.58411476096943604</v>
      </c>
      <c r="BQ174" s="214">
        <v>1233.04</v>
      </c>
      <c r="BR174" s="222">
        <f>BQ175/BQ174</f>
        <v>0.32836728735483034</v>
      </c>
      <c r="BS174" s="214">
        <v>838.83</v>
      </c>
      <c r="BT174" s="222">
        <f>BS175/BS174</f>
        <v>0.32792103286720792</v>
      </c>
      <c r="BU174" s="214">
        <v>280.75</v>
      </c>
      <c r="BV174" s="222">
        <f>BU175/BU174</f>
        <v>-0.25150489759572581</v>
      </c>
      <c r="BW174" s="214">
        <v>963.86</v>
      </c>
      <c r="BX174" s="222">
        <f>BW175/BW174</f>
        <v>0.52997323262714502</v>
      </c>
      <c r="BY174" s="214">
        <v>859.65</v>
      </c>
      <c r="BZ174" s="222">
        <f>BY175/BY174</f>
        <v>0.37205839585877976</v>
      </c>
      <c r="CA174" s="214">
        <v>854.14</v>
      </c>
      <c r="CB174" s="222">
        <f>CA175/CA174</f>
        <v>0.43504577703889291</v>
      </c>
      <c r="CC174" s="214">
        <v>648.79999999999995</v>
      </c>
      <c r="CD174" s="222">
        <f>CC175/CC174</f>
        <v>0.17572441430332922</v>
      </c>
      <c r="CE174" s="214">
        <v>749.25</v>
      </c>
      <c r="CF174" s="222">
        <f>CE175/CE174</f>
        <v>0.26098098098098094</v>
      </c>
      <c r="CG174" s="214">
        <v>928.75</v>
      </c>
      <c r="CH174" s="222">
        <f>CG175/CG174</f>
        <v>0.47790040376850607</v>
      </c>
    </row>
    <row r="175" spans="1:87">
      <c r="C175" s="241" t="s">
        <v>9</v>
      </c>
      <c r="D175" s="214">
        <f>D173+D174</f>
        <v>305.37</v>
      </c>
      <c r="F175" s="214">
        <f>F173+F174</f>
        <v>189.46999999999997</v>
      </c>
      <c r="H175" s="214">
        <f>H173+H174</f>
        <v>292.93999999999994</v>
      </c>
      <c r="J175" s="214">
        <f>J173+J174</f>
        <v>344.71000000000004</v>
      </c>
      <c r="L175" s="214">
        <f>L173+L174</f>
        <v>94.839999999999918</v>
      </c>
      <c r="N175" s="214">
        <f>N173+N174</f>
        <v>313.81999999999994</v>
      </c>
      <c r="P175" s="214">
        <f>P173+P174</f>
        <v>167.05000000000007</v>
      </c>
      <c r="R175" s="214">
        <f>R173+R174</f>
        <v>165.15999999999997</v>
      </c>
      <c r="S175" s="214"/>
      <c r="T175" s="214">
        <f>T173+T174</f>
        <v>278.66999999999996</v>
      </c>
      <c r="V175" s="214">
        <f>V173+V174</f>
        <v>63.720000000000027</v>
      </c>
      <c r="X175" s="214">
        <f>X173+X174</f>
        <v>-77.25</v>
      </c>
      <c r="Z175" s="214">
        <f>Z173+Z174</f>
        <v>203.45</v>
      </c>
      <c r="AB175" s="243">
        <f>AB173+AB174</f>
        <v>-31.129999999999995</v>
      </c>
      <c r="AD175" s="243">
        <f>AD173+AD174</f>
        <v>-163.05999999999995</v>
      </c>
      <c r="AF175" s="243">
        <f>AF173+AF174</f>
        <v>113.05999999999995</v>
      </c>
      <c r="AH175" s="243">
        <f>AH173+AH174</f>
        <v>90.949999999999932</v>
      </c>
      <c r="AJ175" s="242">
        <f>AJ173+AJ174</f>
        <v>213.71000000000004</v>
      </c>
      <c r="AL175" s="243">
        <f>AL173+AL174</f>
        <v>183.51</v>
      </c>
      <c r="AN175" s="243">
        <f>AN173+AN174</f>
        <v>255.94000000000005</v>
      </c>
      <c r="AP175" s="214">
        <f>AP173+AP174</f>
        <v>260.77999999999997</v>
      </c>
      <c r="AR175" s="214">
        <f>AR173+AR174</f>
        <v>309.76999999999987</v>
      </c>
      <c r="AT175" s="214">
        <f>AT173+AT174</f>
        <v>-161.26</v>
      </c>
      <c r="AV175" s="214">
        <f>AV173+AV174</f>
        <v>135.91000000000003</v>
      </c>
      <c r="AX175" s="214">
        <f>AX173+AX174</f>
        <v>697.93</v>
      </c>
      <c r="BA175" s="214">
        <f>BA173+BA174</f>
        <v>-133.22000000000003</v>
      </c>
      <c r="BC175" s="214">
        <f>BC173+BC174</f>
        <v>525.14</v>
      </c>
      <c r="BE175" s="214">
        <f>BE173+BE174</f>
        <v>18.409999999999968</v>
      </c>
      <c r="BG175" s="214">
        <f>BG173+BG174</f>
        <v>1225.98</v>
      </c>
      <c r="BI175" s="214">
        <f>BI173+BI174</f>
        <v>1104.57</v>
      </c>
      <c r="BK175" s="214">
        <f>BK173+BK174</f>
        <v>73.62</v>
      </c>
      <c r="BM175" s="214">
        <f>BM173+BM174</f>
        <v>561.26999999999975</v>
      </c>
      <c r="BO175" s="214">
        <f>BO173+BO174</f>
        <v>1421.49</v>
      </c>
      <c r="BQ175" s="214">
        <f>BQ173+BQ174</f>
        <v>404.89</v>
      </c>
      <c r="BS175" s="214">
        <f>BS173+BS174</f>
        <v>275.07000000000005</v>
      </c>
      <c r="BU175" s="214">
        <f>BU173+BU174</f>
        <v>-70.610000000000014</v>
      </c>
      <c r="BW175" s="214">
        <f>BW173+BW174</f>
        <v>510.82000000000005</v>
      </c>
      <c r="BY175" s="214">
        <f>BY173+BY174</f>
        <v>319.84000000000003</v>
      </c>
      <c r="CA175" s="214">
        <f>CA173+CA174</f>
        <v>371.59</v>
      </c>
      <c r="CC175" s="214">
        <f>CC173+CC174</f>
        <v>114.00999999999999</v>
      </c>
      <c r="CE175" s="214">
        <f>CE173+CE174</f>
        <v>195.53999999999996</v>
      </c>
      <c r="CG175" s="214">
        <f>CG173+CG174</f>
        <v>443.85</v>
      </c>
    </row>
    <row r="176" spans="1:87">
      <c r="A176" s="231">
        <f>A171+1</f>
        <v>43</v>
      </c>
      <c r="B176" s="232">
        <v>679717171</v>
      </c>
      <c r="C176" s="233" t="s">
        <v>77</v>
      </c>
      <c r="AP176" s="214"/>
      <c r="AT176" s="214"/>
    </row>
    <row r="177" spans="1:87">
      <c r="C177" s="253" t="s">
        <v>78</v>
      </c>
      <c r="D177" s="235">
        <v>44927</v>
      </c>
      <c r="E177" s="235"/>
      <c r="F177" s="235">
        <v>44958</v>
      </c>
      <c r="G177" s="235"/>
      <c r="H177" s="235">
        <v>44986</v>
      </c>
      <c r="I177" s="235"/>
      <c r="J177" s="235">
        <v>45017</v>
      </c>
      <c r="K177" s="235"/>
      <c r="L177" s="246">
        <v>45047</v>
      </c>
      <c r="M177" s="235"/>
      <c r="N177" s="235">
        <v>45078</v>
      </c>
      <c r="O177" s="235"/>
      <c r="P177" s="235">
        <v>45108</v>
      </c>
      <c r="Q177" s="235"/>
      <c r="R177" s="235">
        <v>45139</v>
      </c>
      <c r="S177" s="235"/>
      <c r="T177" s="235">
        <v>45170</v>
      </c>
      <c r="U177" s="235"/>
      <c r="V177" s="235">
        <v>45200</v>
      </c>
      <c r="W177" s="235"/>
      <c r="X177" s="235">
        <v>45231</v>
      </c>
      <c r="Y177" s="235"/>
      <c r="Z177" s="235">
        <v>45261</v>
      </c>
      <c r="AA177" s="235"/>
      <c r="AB177" s="235">
        <v>45292</v>
      </c>
      <c r="AC177" s="235"/>
      <c r="AD177" s="235">
        <v>45323</v>
      </c>
      <c r="AE177" s="235"/>
      <c r="AF177" s="235">
        <v>45352</v>
      </c>
      <c r="AH177" s="235">
        <v>45383</v>
      </c>
      <c r="AJ177" s="235">
        <v>45413</v>
      </c>
      <c r="AL177" s="235">
        <v>45444</v>
      </c>
      <c r="AN177" s="235">
        <v>45474</v>
      </c>
      <c r="AP177" s="235">
        <v>45505</v>
      </c>
      <c r="AR177" s="236">
        <v>45536</v>
      </c>
      <c r="AT177" s="236">
        <v>45566</v>
      </c>
      <c r="AV177" s="235">
        <v>45597</v>
      </c>
      <c r="AX177" s="235">
        <v>45627</v>
      </c>
      <c r="BA177" s="235">
        <v>45658</v>
      </c>
      <c r="BC177" s="235">
        <v>45689</v>
      </c>
      <c r="BE177" s="235">
        <v>45717</v>
      </c>
      <c r="BG177" s="235">
        <v>45748</v>
      </c>
      <c r="BI177" s="235">
        <v>45778</v>
      </c>
      <c r="BK177" s="235">
        <v>45809</v>
      </c>
      <c r="BM177" s="235">
        <v>45839</v>
      </c>
      <c r="BO177" s="235">
        <v>45870</v>
      </c>
      <c r="BQ177" s="235">
        <v>45901</v>
      </c>
      <c r="BS177" s="235">
        <v>45931</v>
      </c>
      <c r="BU177" s="235">
        <v>45962</v>
      </c>
      <c r="BW177" s="235">
        <v>45992</v>
      </c>
      <c r="BY177" s="235">
        <v>46023</v>
      </c>
      <c r="CA177" s="235">
        <v>46054</v>
      </c>
      <c r="CC177" s="235">
        <v>46082</v>
      </c>
      <c r="CE177" s="235">
        <v>46113</v>
      </c>
      <c r="CG177" s="235">
        <v>46143</v>
      </c>
      <c r="CI177" s="341">
        <v>46174</v>
      </c>
    </row>
    <row r="178" spans="1:87">
      <c r="C178" s="213" t="s">
        <v>7</v>
      </c>
      <c r="D178" s="214">
        <v>-132.56</v>
      </c>
      <c r="F178" s="214">
        <v>-122.89</v>
      </c>
      <c r="H178" s="237">
        <v>-158.69999999999999</v>
      </c>
      <c r="J178" s="237">
        <v>-147.93</v>
      </c>
      <c r="L178" s="237">
        <f>-154.4-36.14</f>
        <v>-190.54000000000002</v>
      </c>
      <c r="N178" s="237">
        <v>-127.85</v>
      </c>
      <c r="P178" s="238">
        <v>-4.84</v>
      </c>
      <c r="R178" s="237">
        <f>-4.68-1.19</f>
        <v>-5.8699999999999992</v>
      </c>
      <c r="T178" s="237">
        <v>-88.81</v>
      </c>
      <c r="V178" s="237">
        <v>-136.75</v>
      </c>
      <c r="X178" s="237">
        <v>-118.78</v>
      </c>
      <c r="Z178" s="238">
        <v>-110.44</v>
      </c>
      <c r="AB178" s="238">
        <f>-94.2-28.91</f>
        <v>-123.11</v>
      </c>
      <c r="AD178" s="237">
        <f>-86.73-31.92</f>
        <v>-118.65</v>
      </c>
      <c r="AF178" s="237">
        <f>-95.7-48.3</f>
        <v>-144</v>
      </c>
      <c r="AH178" s="237">
        <f>-111.11-27.3</f>
        <v>-138.41</v>
      </c>
      <c r="AJ178" s="237">
        <f>-113.76-29.96</f>
        <v>-143.72</v>
      </c>
      <c r="AL178" s="237">
        <f>-98.43-28.66</f>
        <v>-127.09</v>
      </c>
      <c r="AN178" s="237">
        <f>-98.28-30.31</f>
        <v>-128.59</v>
      </c>
      <c r="AP178" s="237">
        <f>-95.32-35.36</f>
        <v>-130.68</v>
      </c>
      <c r="AR178" s="237">
        <f>-92.71-45.3</f>
        <v>-138.01</v>
      </c>
      <c r="AT178" s="237">
        <f>-13.63-37.08-14.18</f>
        <v>-64.89</v>
      </c>
      <c r="AV178" s="237">
        <f>-142.03-4.44</f>
        <v>-146.47</v>
      </c>
      <c r="AX178" s="237">
        <f>-14.86-75.25</f>
        <v>-90.11</v>
      </c>
      <c r="BA178" s="237">
        <f>-178.34-4.15</f>
        <v>-182.49</v>
      </c>
      <c r="BC178" s="237">
        <f>-20.75-23.22</f>
        <v>-43.97</v>
      </c>
      <c r="BE178" s="237">
        <f>-193.37-4.62</f>
        <v>-197.99</v>
      </c>
      <c r="BG178" s="237">
        <f>-19.17-3.85</f>
        <v>-23.020000000000003</v>
      </c>
      <c r="BI178" s="237">
        <v>-20.71</v>
      </c>
      <c r="BK178" s="237">
        <v>-87.83</v>
      </c>
      <c r="BM178" s="237">
        <f>-365.95-4.62-43.44</f>
        <v>-414.01</v>
      </c>
      <c r="BO178" s="237">
        <f>-19.94-41.88-188.29</f>
        <v>-250.11</v>
      </c>
      <c r="BQ178" s="237">
        <f>-153.61-38.99</f>
        <v>-192.60000000000002</v>
      </c>
      <c r="BS178" s="237">
        <f>-144.88-27.6</f>
        <v>-172.48</v>
      </c>
      <c r="BU178" s="237">
        <f>-132.52-31.8</f>
        <v>-164.32000000000002</v>
      </c>
      <c r="BW178" s="237">
        <f>-116.59-42.84</f>
        <v>-159.43</v>
      </c>
      <c r="BY178" s="237">
        <f>-123.7-25.55</f>
        <v>-149.25</v>
      </c>
      <c r="CA178" s="237">
        <f>-117.65-25.2</f>
        <v>-142.85</v>
      </c>
      <c r="CC178" s="237">
        <f>-115.93-41.84</f>
        <v>-157.77000000000001</v>
      </c>
      <c r="CE178" s="237">
        <f>-120.43-37.03</f>
        <v>-157.46</v>
      </c>
      <c r="CG178" s="237">
        <v>-126.97</v>
      </c>
    </row>
    <row r="179" spans="1:87">
      <c r="C179" s="213" t="s">
        <v>8</v>
      </c>
      <c r="D179" s="214">
        <v>223.34</v>
      </c>
      <c r="E179" s="222">
        <f>ABS(((D178+D179)/D178))</f>
        <v>0.68482196741098367</v>
      </c>
      <c r="F179" s="214">
        <v>185.4</v>
      </c>
      <c r="G179" s="222">
        <f>ABS(((F178+F179)/F178))</f>
        <v>0.50866628692326477</v>
      </c>
      <c r="H179" s="214">
        <v>242.51</v>
      </c>
      <c r="I179" s="222">
        <f>ABS(((H178+H179)/H178))</f>
        <v>0.5281033396345306</v>
      </c>
      <c r="J179" s="214">
        <v>250.87</v>
      </c>
      <c r="K179" s="222">
        <f>ABS(((J178+J179)/J178))</f>
        <v>0.69586966808625694</v>
      </c>
      <c r="L179" s="214">
        <v>222.78</v>
      </c>
      <c r="M179" s="222">
        <f>ABS(((L178+L179)/L178))</f>
        <v>0.16920331688884213</v>
      </c>
      <c r="N179" s="214">
        <v>236.94</v>
      </c>
      <c r="O179" s="222">
        <f>ABS(((N178+N179)/N178))</f>
        <v>0.8532655455612046</v>
      </c>
      <c r="P179" s="213">
        <v>263.32</v>
      </c>
      <c r="Q179" s="222">
        <f>ABS(((P178+P179)/P178))</f>
        <v>53.404958677685954</v>
      </c>
      <c r="R179" s="214">
        <v>240.09</v>
      </c>
      <c r="S179" s="222">
        <f>ABS(((R178+R179)/R178))</f>
        <v>39.901192504258951</v>
      </c>
      <c r="T179" s="214">
        <v>203</v>
      </c>
      <c r="U179" s="222">
        <f>ABS(((T178+T179)/T178))</f>
        <v>1.2857786285328228</v>
      </c>
      <c r="V179" s="214">
        <v>183.27</v>
      </c>
      <c r="W179" s="222">
        <f>ABS(((V178+V179)/V178))</f>
        <v>0.34018281535649003</v>
      </c>
      <c r="X179" s="214">
        <v>157.41999999999999</v>
      </c>
      <c r="Y179" s="222">
        <f>ABS(((X178+X179)/X178))</f>
        <v>0.32530729078969511</v>
      </c>
      <c r="Z179" s="213">
        <v>166.06</v>
      </c>
      <c r="AA179" s="222">
        <f>ABS(((Z178+Z179)/Z178))</f>
        <v>0.50362187613183629</v>
      </c>
      <c r="AB179" s="213">
        <v>166.5</v>
      </c>
      <c r="AC179" s="222">
        <f>ABS(((AB178+AB179)/AB178))</f>
        <v>0.35244902932336936</v>
      </c>
      <c r="AD179" s="213">
        <v>165.08</v>
      </c>
      <c r="AE179" s="222">
        <f>ABS(((AD178+AD179)/AD178))</f>
        <v>0.39131900547829757</v>
      </c>
      <c r="AF179" s="213">
        <v>197.04</v>
      </c>
      <c r="AG179" s="222">
        <f>ABS(((AF178+AF179)/AF178))</f>
        <v>0.36833333333333329</v>
      </c>
      <c r="AH179" s="214">
        <v>203.88</v>
      </c>
      <c r="AI179" s="222">
        <f>ABS(((AH178+AH179)/AH178))</f>
        <v>0.47301495556679429</v>
      </c>
      <c r="AJ179" s="214">
        <v>224.06</v>
      </c>
      <c r="AK179" s="222">
        <f>ABS(((AJ178+AJ179)/AJ178))</f>
        <v>0.55900361814639576</v>
      </c>
      <c r="AL179" s="214">
        <v>203.75</v>
      </c>
      <c r="AM179" s="222">
        <f>ABS(((AL178+AL179)/AL178))</f>
        <v>0.60319458651349434</v>
      </c>
      <c r="AN179" s="214">
        <v>200.11</v>
      </c>
      <c r="AO179" s="222">
        <f>ABS(((AN178+AN179)/AN178))</f>
        <v>0.55618632864141848</v>
      </c>
      <c r="AP179" s="214">
        <v>185.5</v>
      </c>
      <c r="AQ179" s="222">
        <f>ABS(((AP178+AP179)/AP178))</f>
        <v>0.41949801040710122</v>
      </c>
      <c r="AR179" s="214">
        <v>163.95</v>
      </c>
      <c r="AS179" s="222">
        <f>ABS(((AR178+AR179)/AR178))</f>
        <v>0.18795739439171075</v>
      </c>
      <c r="AT179" s="214">
        <v>227.43</v>
      </c>
      <c r="AU179" s="222">
        <f>AT180/AT179</f>
        <v>0.71468144044321336</v>
      </c>
      <c r="AV179" s="214">
        <v>245.49</v>
      </c>
      <c r="AW179" s="222">
        <f>AV180/AV179</f>
        <v>0.40335655220171907</v>
      </c>
      <c r="AX179" s="214">
        <v>262.70999999999998</v>
      </c>
      <c r="AY179" s="224">
        <f>AX180/AX179</f>
        <v>0.6569982109550454</v>
      </c>
      <c r="AZ179" s="225"/>
      <c r="BA179" s="214">
        <v>145.21</v>
      </c>
      <c r="BB179" s="222">
        <f>BA180/BA179</f>
        <v>-0.25673163005302663</v>
      </c>
      <c r="BC179" s="214">
        <v>258</v>
      </c>
      <c r="BD179" s="222">
        <f>BC180/BC179</f>
        <v>0.82957364341085271</v>
      </c>
      <c r="BE179" s="214">
        <v>231.18</v>
      </c>
      <c r="BF179" s="222">
        <f>BE180/BE179</f>
        <v>0.14356778268016263</v>
      </c>
      <c r="BG179" s="214">
        <v>225.78</v>
      </c>
      <c r="BH179" s="222">
        <f>BG180/BG179</f>
        <v>0.89804234210293199</v>
      </c>
      <c r="BI179" s="214">
        <v>307.88</v>
      </c>
      <c r="BJ179" s="222">
        <f>BI180/BI179</f>
        <v>0.93273353254514757</v>
      </c>
      <c r="BK179" s="214">
        <v>119.25</v>
      </c>
      <c r="BL179" s="222">
        <f>BK180/BK179</f>
        <v>0.26348008385744237</v>
      </c>
      <c r="BM179" s="239">
        <v>616.13</v>
      </c>
      <c r="BN179" s="222">
        <f>BM180/BM179</f>
        <v>0.32804765228117444</v>
      </c>
      <c r="BO179" s="214">
        <v>524.70000000000005</v>
      </c>
      <c r="BP179" s="222">
        <f>BO180/BO179</f>
        <v>0.52332761578044595</v>
      </c>
      <c r="BQ179" s="214">
        <v>455.24</v>
      </c>
      <c r="BR179" s="222">
        <f>BQ180/BQ179</f>
        <v>0.57692645637465945</v>
      </c>
      <c r="BS179" s="214">
        <v>373.49</v>
      </c>
      <c r="BT179" s="222">
        <f>BS180/BS179</f>
        <v>0.53819379367586817</v>
      </c>
      <c r="BU179" s="214">
        <v>204.88</v>
      </c>
      <c r="BV179" s="222">
        <f>BU180/BU179</f>
        <v>0.19796954314720799</v>
      </c>
      <c r="BW179" s="214">
        <v>197.93</v>
      </c>
      <c r="BX179" s="222">
        <f>BW180/BW179</f>
        <v>0.19451321174152478</v>
      </c>
      <c r="BY179" s="214">
        <v>192.62</v>
      </c>
      <c r="BZ179" s="222">
        <f>BY180/BY179</f>
        <v>0.22515834285120964</v>
      </c>
      <c r="CA179" s="214">
        <v>253.59</v>
      </c>
      <c r="CB179" s="222">
        <f>CA180/CA179</f>
        <v>0.43668914389368668</v>
      </c>
      <c r="CC179" s="214">
        <v>232.91</v>
      </c>
      <c r="CD179" s="222">
        <f>CC180/CC179</f>
        <v>0.32261388519170492</v>
      </c>
      <c r="CE179" s="214">
        <v>245.1</v>
      </c>
      <c r="CF179" s="222">
        <f>CE180/CE179</f>
        <v>0.35756833945328431</v>
      </c>
      <c r="CG179" s="214">
        <v>232.89</v>
      </c>
      <c r="CH179" s="222">
        <f>CG180/CG179</f>
        <v>0.45480699042466399</v>
      </c>
    </row>
    <row r="180" spans="1:87">
      <c r="C180" s="241" t="s">
        <v>9</v>
      </c>
      <c r="D180" s="251">
        <f>SUM(D178:D179)</f>
        <v>90.78</v>
      </c>
      <c r="E180" s="251"/>
      <c r="F180" s="251" t="e">
        <f>#REF!+F178+F179</f>
        <v>#REF!</v>
      </c>
      <c r="H180" s="251">
        <f>E180+H178+H179</f>
        <v>83.81</v>
      </c>
      <c r="J180" s="252">
        <f>G180+J178+J179</f>
        <v>102.94</v>
      </c>
      <c r="L180" s="252">
        <f>I180+L178+L179</f>
        <v>32.239999999999981</v>
      </c>
      <c r="N180" s="252">
        <f>K180+N178+N179</f>
        <v>109.09</v>
      </c>
      <c r="P180" s="252">
        <f>M180+P178+P179</f>
        <v>258.48</v>
      </c>
      <c r="R180" s="214">
        <f>R178+R179</f>
        <v>234.22</v>
      </c>
      <c r="S180" s="214"/>
      <c r="T180" s="214">
        <f>T178+T179</f>
        <v>114.19</v>
      </c>
      <c r="V180" s="214">
        <f>V178+V179</f>
        <v>46.52000000000001</v>
      </c>
      <c r="X180" s="214">
        <f>X178+X179</f>
        <v>38.639999999999986</v>
      </c>
      <c r="Z180" s="214">
        <f>Z178+Z179</f>
        <v>55.620000000000005</v>
      </c>
      <c r="AB180" s="243">
        <f>AB178+AB179</f>
        <v>43.39</v>
      </c>
      <c r="AD180" s="243">
        <f>AD178+AD179</f>
        <v>46.430000000000007</v>
      </c>
      <c r="AF180" s="243">
        <f>AF178+AF179</f>
        <v>53.039999999999992</v>
      </c>
      <c r="AH180" s="243">
        <f>AH178+AH179</f>
        <v>65.47</v>
      </c>
      <c r="AJ180" s="243">
        <f>AJ178+AJ179</f>
        <v>80.34</v>
      </c>
      <c r="AL180" s="242">
        <f>AL178+AL179</f>
        <v>76.66</v>
      </c>
      <c r="AN180" s="243">
        <f>AN178+AN179</f>
        <v>71.52000000000001</v>
      </c>
      <c r="AP180" s="214">
        <f>AP178+AP179</f>
        <v>54.819999999999993</v>
      </c>
      <c r="AR180" s="214">
        <f>AR178+AR179</f>
        <v>25.939999999999998</v>
      </c>
      <c r="AT180" s="214">
        <f>AT178+AT179</f>
        <v>162.54000000000002</v>
      </c>
      <c r="AV180" s="214">
        <f>AV178+AV179</f>
        <v>99.02000000000001</v>
      </c>
      <c r="AX180" s="214">
        <f>AX178+AX179</f>
        <v>172.59999999999997</v>
      </c>
      <c r="BA180" s="214">
        <f>BA178+BA179</f>
        <v>-37.28</v>
      </c>
      <c r="BC180" s="214">
        <f>BC178+BC179</f>
        <v>214.03</v>
      </c>
      <c r="BE180" s="214">
        <f>BE178+BE179</f>
        <v>33.19</v>
      </c>
      <c r="BG180" s="214">
        <f>BG178+BG179</f>
        <v>202.76</v>
      </c>
      <c r="BI180" s="214">
        <f>BI178+BI179</f>
        <v>287.17</v>
      </c>
      <c r="BK180" s="214">
        <f>BK178+BK179</f>
        <v>31.42</v>
      </c>
      <c r="BM180" s="214">
        <f>BM178+BM179</f>
        <v>202.12</v>
      </c>
      <c r="BO180" s="214">
        <f>BO178+BO179</f>
        <v>274.59000000000003</v>
      </c>
      <c r="BQ180" s="214">
        <f>BQ178+BQ179</f>
        <v>262.64</v>
      </c>
      <c r="BS180" s="214">
        <f>BS178+BS179</f>
        <v>201.01000000000002</v>
      </c>
      <c r="BU180" s="214">
        <f>BU178+BU179</f>
        <v>40.559999999999974</v>
      </c>
      <c r="BW180" s="214">
        <f>BW178+BW179</f>
        <v>38.5</v>
      </c>
      <c r="BY180" s="214">
        <f>BY178+BY179</f>
        <v>43.370000000000005</v>
      </c>
      <c r="CA180" s="214">
        <f>CA178+CA179</f>
        <v>110.74000000000001</v>
      </c>
      <c r="CC180" s="214">
        <f>CC178+CC179</f>
        <v>75.139999999999986</v>
      </c>
      <c r="CE180" s="214">
        <f>CE178+CE179</f>
        <v>87.639999999999986</v>
      </c>
      <c r="CG180" s="214">
        <f>CG178+CG179</f>
        <v>105.91999999999999</v>
      </c>
    </row>
    <row r="181" spans="1:87" hidden="1">
      <c r="A181" s="269">
        <v>44</v>
      </c>
      <c r="B181" s="255" t="s">
        <v>30</v>
      </c>
      <c r="C181" s="233" t="s">
        <v>79</v>
      </c>
      <c r="D181" s="268"/>
      <c r="E181" s="268"/>
      <c r="F181" s="268"/>
      <c r="G181" s="267"/>
      <c r="H181" s="268"/>
      <c r="I181" s="267"/>
      <c r="J181" s="267"/>
      <c r="K181" s="267"/>
      <c r="L181" s="267"/>
      <c r="M181" s="267"/>
      <c r="N181" s="267"/>
      <c r="O181" s="267"/>
      <c r="P181" s="267"/>
      <c r="Q181" s="267"/>
      <c r="R181" s="267"/>
      <c r="S181" s="267"/>
      <c r="T181" s="267"/>
      <c r="U181" s="267"/>
      <c r="V181" s="267"/>
      <c r="W181" s="267"/>
      <c r="X181" s="267"/>
      <c r="Y181" s="267"/>
      <c r="Z181" s="267"/>
      <c r="AA181" s="267"/>
      <c r="AC181" s="267"/>
      <c r="AE181" s="267"/>
      <c r="AP181" s="214"/>
      <c r="AT181" s="214"/>
    </row>
    <row r="182" spans="1:87" hidden="1">
      <c r="A182" s="269"/>
      <c r="C182" s="270" t="s">
        <v>80</v>
      </c>
      <c r="D182" s="280">
        <v>44927</v>
      </c>
      <c r="E182" s="280"/>
      <c r="F182" s="280">
        <v>44958</v>
      </c>
      <c r="G182" s="280"/>
      <c r="H182" s="280">
        <v>44986</v>
      </c>
      <c r="I182" s="280"/>
      <c r="J182" s="280">
        <v>45017</v>
      </c>
      <c r="K182" s="280"/>
      <c r="L182" s="280">
        <v>45047</v>
      </c>
      <c r="M182" s="280"/>
      <c r="N182" s="280">
        <v>45078</v>
      </c>
      <c r="O182" s="280"/>
      <c r="P182" s="280">
        <v>45108</v>
      </c>
      <c r="Q182" s="282"/>
      <c r="R182" s="280">
        <v>45139</v>
      </c>
      <c r="S182" s="280"/>
      <c r="T182" s="280">
        <v>45170</v>
      </c>
      <c r="U182" s="291"/>
      <c r="V182" s="280">
        <v>45200</v>
      </c>
      <c r="W182" s="280"/>
      <c r="X182" s="280">
        <v>45231</v>
      </c>
      <c r="Y182" s="280"/>
      <c r="Z182" s="280">
        <v>45261</v>
      </c>
      <c r="AA182" s="280"/>
      <c r="AB182" s="235">
        <v>45292</v>
      </c>
      <c r="AC182" s="280"/>
      <c r="AD182" s="235">
        <v>45323</v>
      </c>
      <c r="AE182" s="280"/>
      <c r="AF182" s="235">
        <v>45352</v>
      </c>
      <c r="AH182" s="235">
        <v>45383</v>
      </c>
      <c r="AJ182" s="235">
        <v>45413</v>
      </c>
      <c r="AL182" s="235">
        <v>45444</v>
      </c>
      <c r="AN182" s="235">
        <v>45474</v>
      </c>
      <c r="AP182" s="235">
        <v>45505</v>
      </c>
      <c r="AR182" s="236">
        <v>45536</v>
      </c>
      <c r="AT182" s="236">
        <v>45566</v>
      </c>
      <c r="AV182" s="235">
        <v>45597</v>
      </c>
      <c r="AX182" s="235">
        <v>45627</v>
      </c>
      <c r="BA182" s="235">
        <v>45658</v>
      </c>
      <c r="BC182" s="235">
        <v>45689</v>
      </c>
      <c r="BE182" s="235">
        <v>45717</v>
      </c>
      <c r="BG182" s="235">
        <v>45748</v>
      </c>
    </row>
    <row r="183" spans="1:87" hidden="1">
      <c r="A183" s="269"/>
      <c r="C183" s="267" t="s">
        <v>7</v>
      </c>
      <c r="D183" s="272">
        <v>-790.9</v>
      </c>
      <c r="E183" s="272"/>
      <c r="F183" s="272">
        <v>-723.04</v>
      </c>
      <c r="G183" s="270"/>
      <c r="H183" s="273">
        <v>8.58</v>
      </c>
      <c r="I183" s="270"/>
      <c r="J183" s="273">
        <v>-761.74</v>
      </c>
      <c r="K183" s="270"/>
      <c r="L183" s="274">
        <v>-763.81</v>
      </c>
      <c r="M183" s="270"/>
      <c r="N183" s="273">
        <v>-666.54</v>
      </c>
      <c r="O183" s="270"/>
      <c r="P183" s="273">
        <v>-1088.72</v>
      </c>
      <c r="Q183" s="292"/>
      <c r="R183" s="273">
        <v>-1420.01</v>
      </c>
      <c r="S183" s="270"/>
      <c r="T183" s="273">
        <v>-1035.76</v>
      </c>
      <c r="U183" s="293"/>
      <c r="V183" s="274">
        <v>-944.19</v>
      </c>
      <c r="W183" s="270"/>
      <c r="X183" s="273">
        <v>-1035.83</v>
      </c>
      <c r="Y183" s="270"/>
      <c r="Z183" s="273">
        <f>-522.99-716.01</f>
        <v>-1239</v>
      </c>
      <c r="AA183" s="270"/>
      <c r="AB183" s="286">
        <v>-1186.05</v>
      </c>
      <c r="AC183" s="270"/>
      <c r="AD183" s="237">
        <v>-1042.1500000000001</v>
      </c>
      <c r="AE183" s="270"/>
      <c r="AF183" s="237">
        <v>-844.43</v>
      </c>
      <c r="AH183" s="237">
        <f>-78.76-615.72</f>
        <v>-694.48</v>
      </c>
      <c r="AJ183" s="237">
        <v>-500.25</v>
      </c>
      <c r="AL183" s="237">
        <v>-1052.1300000000001</v>
      </c>
      <c r="AN183" s="237">
        <v>-1413.57</v>
      </c>
      <c r="AP183" s="237">
        <f>-43.97-1645.89</f>
        <v>-1689.8600000000001</v>
      </c>
      <c r="AR183" s="237">
        <v>-872.81</v>
      </c>
      <c r="AT183" s="237">
        <v>-858.03</v>
      </c>
      <c r="AV183" s="237">
        <f>-739.77-354.83</f>
        <v>-1094.5999999999999</v>
      </c>
      <c r="AX183" s="214">
        <v>-1542.59</v>
      </c>
      <c r="BA183" s="214">
        <v>-974.68</v>
      </c>
      <c r="BC183" s="214"/>
      <c r="BE183" s="214"/>
    </row>
    <row r="184" spans="1:87" hidden="1">
      <c r="A184" s="269"/>
      <c r="C184" s="267" t="s">
        <v>8</v>
      </c>
      <c r="D184" s="272">
        <v>1266.79</v>
      </c>
      <c r="E184" s="276">
        <f>ABS(((D183+D184)/D183))</f>
        <v>0.60170691617145022</v>
      </c>
      <c r="F184" s="272">
        <v>988.31</v>
      </c>
      <c r="G184" s="276">
        <f>ABS(((F183+F184)/F183))</f>
        <v>0.36688150033193184</v>
      </c>
      <c r="H184" s="272">
        <v>1161.04</v>
      </c>
      <c r="I184" s="276">
        <f>ABS(((H183+H184)/H183))</f>
        <v>136.31934731934732</v>
      </c>
      <c r="J184" s="272">
        <v>1152.0999999999999</v>
      </c>
      <c r="K184" s="276">
        <f>ABS(((J183+J184)/J183))</f>
        <v>0.51245831911150774</v>
      </c>
      <c r="L184" s="272">
        <v>1156.53</v>
      </c>
      <c r="M184" s="276">
        <f>ABS(((L183+L184)/L183))</f>
        <v>0.51415928044932646</v>
      </c>
      <c r="N184" s="272">
        <v>957.95</v>
      </c>
      <c r="O184" s="276">
        <f>ABS(((N183+N184)/N183))</f>
        <v>0.43719806763285041</v>
      </c>
      <c r="P184" s="272">
        <v>1431.35</v>
      </c>
      <c r="Q184" s="294">
        <f>ABS(((P183+P184)/P183))</f>
        <v>0.31470901609229174</v>
      </c>
      <c r="R184" s="272">
        <v>1815.13</v>
      </c>
      <c r="S184" s="276">
        <f>ABS(((R183+R184)/R183))</f>
        <v>0.27825156160872117</v>
      </c>
      <c r="T184" s="272">
        <v>1488.82</v>
      </c>
      <c r="U184" s="276">
        <f>ABS(((T183+T184)/T183))</f>
        <v>0.43741793465667717</v>
      </c>
      <c r="V184" s="277">
        <v>1036.28</v>
      </c>
      <c r="W184" s="222">
        <f>ABS(((V183+V184)/V183))</f>
        <v>9.7533335451550976E-2</v>
      </c>
      <c r="X184" s="272">
        <v>1166.51</v>
      </c>
      <c r="Y184" s="222">
        <f>ABS(((X183+X184)/X183))</f>
        <v>0.12615969801994542</v>
      </c>
      <c r="Z184" s="277">
        <v>1709.55</v>
      </c>
      <c r="AA184" s="222">
        <f>ABS(((Z183+Z184)/Z183))</f>
        <v>0.37978208232445515</v>
      </c>
      <c r="AB184" s="278">
        <v>1395.84</v>
      </c>
      <c r="AC184" s="222">
        <f>ABS(((AB183+AB184)/AB183))</f>
        <v>0.17688124446692802</v>
      </c>
      <c r="AD184" s="295">
        <v>1464.33</v>
      </c>
      <c r="AE184" s="222">
        <f>ABS(((AD183+AD184)/AD183))</f>
        <v>0.4051048313582496</v>
      </c>
      <c r="AF184" s="295">
        <v>701.63</v>
      </c>
      <c r="AG184" s="222">
        <f>ABS(((AF183+AF184)/AF183))</f>
        <v>0.16910815579740177</v>
      </c>
      <c r="AH184" s="214">
        <v>1163.48</v>
      </c>
      <c r="AI184" s="222">
        <f>ABS(((AH183+AH184)/AH183))</f>
        <v>0.67532542333832501</v>
      </c>
      <c r="AJ184" s="214">
        <v>912.71</v>
      </c>
      <c r="AK184" s="222">
        <f>ABS(((AJ183+AJ184)/AJ183))</f>
        <v>0.82450774612693656</v>
      </c>
      <c r="AL184" s="214">
        <v>1321.39</v>
      </c>
      <c r="AM184" s="222">
        <f>ABS(((AL183+AL184)/AL183))</f>
        <v>0.25591894537747234</v>
      </c>
      <c r="AN184" s="214">
        <v>1575.24</v>
      </c>
      <c r="AO184" s="222">
        <f>ABS(((AN183+AN184)/AN183))</f>
        <v>0.11436999936331421</v>
      </c>
      <c r="AP184" s="214">
        <v>1558.15</v>
      </c>
      <c r="AQ184" s="222">
        <f>ABS(((AP183+AP184)/AP183))</f>
        <v>7.7941367923970051E-2</v>
      </c>
      <c r="AR184" s="214">
        <v>1320.15</v>
      </c>
      <c r="AS184" s="222">
        <f>ABS(((AR183+AR184)/AR183))</f>
        <v>0.51252849990261362</v>
      </c>
      <c r="AT184" s="214">
        <v>1017.28</v>
      </c>
      <c r="AU184" s="222">
        <f>ABS(((AT183+AT184)/AT183))</f>
        <v>0.18559957111056724</v>
      </c>
      <c r="AV184" s="214">
        <v>1026.28</v>
      </c>
      <c r="AW184" s="222">
        <f>ABS(((AV183+AV184)/AV183))</f>
        <v>6.2415494244472812E-2</v>
      </c>
      <c r="AX184" s="214">
        <v>1567.65</v>
      </c>
      <c r="AY184" s="224">
        <f>ABS(((AX183+AX184)/AX183))</f>
        <v>1.6245405454463062E-2</v>
      </c>
      <c r="AZ184" s="225"/>
      <c r="BA184" s="214"/>
      <c r="BB184" s="222">
        <f>ABS(((BA183+BA184)/BA183))</f>
        <v>1</v>
      </c>
      <c r="BC184" s="214"/>
      <c r="BD184" s="222" t="e">
        <f>ABS(((BC183+BC184)/BC183))</f>
        <v>#DIV/0!</v>
      </c>
      <c r="BE184" s="214"/>
      <c r="BF184" s="222" t="e">
        <f>ABS(((BE183+BE184)/BE183))</f>
        <v>#DIV/0!</v>
      </c>
      <c r="BH184" s="222" t="e">
        <f>ABS(((BG183+BG184)/BG183))</f>
        <v>#DIV/0!</v>
      </c>
      <c r="BJ184" s="222" t="e">
        <f>ABS(((BI183+BI184)/BI183))</f>
        <v>#DIV/0!</v>
      </c>
      <c r="BL184" s="222" t="e">
        <f>ABS(((BK183+BK184)/BK183))</f>
        <v>#DIV/0!</v>
      </c>
      <c r="BN184" s="222" t="e">
        <f>ABS(((BM183+BM184)/BM183))</f>
        <v>#DIV/0!</v>
      </c>
      <c r="BP184" s="222" t="e">
        <f>ABS(((BO183+BO184)/BO183))</f>
        <v>#DIV/0!</v>
      </c>
      <c r="BR184" s="222" t="e">
        <f>ABS(((BQ183+BQ184)/BQ183))</f>
        <v>#DIV/0!</v>
      </c>
      <c r="BT184" s="222" t="e">
        <f>ABS(((BS183+BS184)/BS183))</f>
        <v>#DIV/0!</v>
      </c>
      <c r="BV184" s="222" t="e">
        <f>ABS(((BU183+BU184)/BU183))</f>
        <v>#DIV/0!</v>
      </c>
      <c r="BX184" s="222" t="e">
        <f>ABS(((BW183+BW184)/BW183))</f>
        <v>#DIV/0!</v>
      </c>
    </row>
    <row r="185" spans="1:87" hidden="1">
      <c r="A185" s="269"/>
      <c r="C185" s="241" t="s">
        <v>9</v>
      </c>
      <c r="D185" s="272">
        <f>D183+D184</f>
        <v>475.89</v>
      </c>
      <c r="E185" s="272"/>
      <c r="F185" s="272">
        <f>F183+F184</f>
        <v>265.27</v>
      </c>
      <c r="G185" s="270"/>
      <c r="H185" s="272">
        <f>H183+H184</f>
        <v>1169.6199999999999</v>
      </c>
      <c r="I185" s="270"/>
      <c r="J185" s="272">
        <f>J183+J184</f>
        <v>390.3599999999999</v>
      </c>
      <c r="K185" s="270"/>
      <c r="L185" s="272">
        <f>L183+L184</f>
        <v>392.72</v>
      </c>
      <c r="M185" s="270"/>
      <c r="N185" s="272">
        <f>N183+N184</f>
        <v>291.41000000000008</v>
      </c>
      <c r="O185" s="270"/>
      <c r="P185" s="272">
        <f>P183+P184</f>
        <v>342.62999999999988</v>
      </c>
      <c r="Q185" s="292"/>
      <c r="R185" s="272">
        <f>R183+R184</f>
        <v>395.12000000000012</v>
      </c>
      <c r="S185" s="272"/>
      <c r="T185" s="272">
        <f>T183+T184</f>
        <v>453.05999999999995</v>
      </c>
      <c r="U185" s="293"/>
      <c r="V185" s="268">
        <f>V183+V184</f>
        <v>92.089999999999918</v>
      </c>
      <c r="W185" s="270"/>
      <c r="X185" s="214">
        <f>X183+X184</f>
        <v>130.68000000000006</v>
      </c>
      <c r="Y185" s="270"/>
      <c r="Z185" s="214">
        <f>Z183+Z184</f>
        <v>470.54999999999995</v>
      </c>
      <c r="AA185" s="270"/>
      <c r="AB185" s="243">
        <f>AB183+AB184</f>
        <v>209.78999999999996</v>
      </c>
      <c r="AC185" s="270"/>
      <c r="AD185" s="296">
        <f>SUM(AD183:AD184)</f>
        <v>422.17999999999984</v>
      </c>
      <c r="AE185" s="270"/>
      <c r="AF185" s="243">
        <f>AF183+AF184</f>
        <v>-142.79999999999995</v>
      </c>
      <c r="AH185" s="243">
        <f>AH183+AH184</f>
        <v>469</v>
      </c>
      <c r="AJ185" s="243">
        <f>AJ183+AJ184</f>
        <v>412.46000000000004</v>
      </c>
      <c r="AL185" s="242">
        <f>AL183+AL184</f>
        <v>269.26</v>
      </c>
      <c r="AN185" s="242">
        <f>AN183+AN184</f>
        <v>161.67000000000007</v>
      </c>
      <c r="AP185" s="214">
        <f>AP183+AP184</f>
        <v>-131.71000000000004</v>
      </c>
      <c r="AR185" s="214">
        <f>AR183+AR184</f>
        <v>447.34000000000015</v>
      </c>
      <c r="AT185" s="214">
        <f>AT183+AT184</f>
        <v>159.25</v>
      </c>
      <c r="AV185" s="214">
        <f>AV183+AV184</f>
        <v>-68.319999999999936</v>
      </c>
      <c r="AX185" s="214">
        <f>AX183+AX184</f>
        <v>25.060000000000173</v>
      </c>
      <c r="BA185" s="214">
        <f>BA183+BA184</f>
        <v>-974.68</v>
      </c>
      <c r="BC185" s="214">
        <f>BC183+BC184</f>
        <v>0</v>
      </c>
      <c r="BE185" s="214">
        <f>BE183+BE184</f>
        <v>0</v>
      </c>
    </row>
    <row r="186" spans="1:87">
      <c r="A186" s="269">
        <f>A181+1</f>
        <v>45</v>
      </c>
      <c r="B186" s="232">
        <v>229888665</v>
      </c>
      <c r="C186" s="285" t="s">
        <v>698</v>
      </c>
      <c r="D186" s="268"/>
      <c r="E186" s="268"/>
      <c r="F186" s="268"/>
      <c r="G186" s="267"/>
      <c r="H186" s="268"/>
      <c r="I186" s="267"/>
      <c r="J186" s="267"/>
      <c r="K186" s="267"/>
      <c r="L186" s="267"/>
      <c r="M186" s="267"/>
      <c r="N186" s="267"/>
      <c r="O186" s="267"/>
      <c r="P186" s="267"/>
      <c r="Q186" s="267"/>
      <c r="R186" s="270"/>
      <c r="S186" s="270"/>
      <c r="T186" s="270"/>
      <c r="U186" s="267"/>
      <c r="V186" s="267"/>
      <c r="W186" s="267"/>
      <c r="X186" s="267"/>
      <c r="Y186" s="267"/>
      <c r="Z186" s="267"/>
      <c r="AA186" s="267"/>
      <c r="AC186" s="267"/>
      <c r="AD186" s="214"/>
      <c r="AE186" s="267"/>
      <c r="AF186" s="214"/>
      <c r="AP186" s="214"/>
      <c r="AT186" s="214"/>
    </row>
    <row r="187" spans="1:87">
      <c r="A187" s="269"/>
      <c r="C187" s="270" t="s">
        <v>81</v>
      </c>
      <c r="D187" s="280">
        <v>44927</v>
      </c>
      <c r="E187" s="280"/>
      <c r="F187" s="280">
        <v>44958</v>
      </c>
      <c r="G187" s="280"/>
      <c r="H187" s="280">
        <v>44986</v>
      </c>
      <c r="I187" s="280"/>
      <c r="J187" s="280">
        <v>45017</v>
      </c>
      <c r="K187" s="280"/>
      <c r="L187" s="280">
        <v>45047</v>
      </c>
      <c r="M187" s="280"/>
      <c r="N187" s="280">
        <v>45078</v>
      </c>
      <c r="O187" s="280"/>
      <c r="P187" s="280">
        <v>45108</v>
      </c>
      <c r="Q187" s="280"/>
      <c r="R187" s="280">
        <v>45139</v>
      </c>
      <c r="S187" s="280"/>
      <c r="T187" s="280">
        <v>45170</v>
      </c>
      <c r="U187" s="280"/>
      <c r="V187" s="280">
        <v>45200</v>
      </c>
      <c r="W187" s="280"/>
      <c r="X187" s="280">
        <v>45231</v>
      </c>
      <c r="Y187" s="280"/>
      <c r="Z187" s="280">
        <v>45261</v>
      </c>
      <c r="AA187" s="280"/>
      <c r="AB187" s="235">
        <v>45292</v>
      </c>
      <c r="AC187" s="280"/>
      <c r="AD187" s="235">
        <v>45323</v>
      </c>
      <c r="AE187" s="280"/>
      <c r="AF187" s="235">
        <v>45352</v>
      </c>
      <c r="AH187" s="235">
        <v>45383</v>
      </c>
      <c r="AJ187" s="235">
        <v>45413</v>
      </c>
      <c r="AL187" s="235">
        <v>45444</v>
      </c>
      <c r="AN187" s="235">
        <v>45474</v>
      </c>
      <c r="AP187" s="235">
        <v>45505</v>
      </c>
      <c r="AR187" s="236">
        <v>45536</v>
      </c>
      <c r="AT187" s="236">
        <v>45566</v>
      </c>
      <c r="AV187" s="235">
        <v>45597</v>
      </c>
      <c r="AX187" s="235">
        <v>45627</v>
      </c>
      <c r="BA187" s="235">
        <v>45658</v>
      </c>
      <c r="BC187" s="235">
        <v>45689</v>
      </c>
      <c r="BE187" s="235">
        <v>45717</v>
      </c>
      <c r="BG187" s="235">
        <v>45748</v>
      </c>
      <c r="BI187" s="235">
        <v>45778</v>
      </c>
      <c r="BK187" s="235">
        <v>45809</v>
      </c>
      <c r="BM187" s="235">
        <v>45839</v>
      </c>
      <c r="BO187" s="235">
        <v>45870</v>
      </c>
      <c r="BQ187" s="235">
        <v>45901</v>
      </c>
      <c r="BS187" s="235">
        <v>45931</v>
      </c>
      <c r="BU187" s="235">
        <v>45962</v>
      </c>
      <c r="BW187" s="235">
        <v>45992</v>
      </c>
      <c r="BY187" s="235">
        <v>46023</v>
      </c>
      <c r="CA187" s="235">
        <v>46054</v>
      </c>
      <c r="CC187" s="235">
        <v>46082</v>
      </c>
      <c r="CE187" s="235">
        <v>46113</v>
      </c>
      <c r="CG187" s="235">
        <v>46143</v>
      </c>
      <c r="CI187" s="341">
        <v>46174</v>
      </c>
    </row>
    <row r="188" spans="1:87">
      <c r="A188" s="269"/>
      <c r="C188" s="267" t="s">
        <v>7</v>
      </c>
      <c r="D188" s="272">
        <v>-2821.96</v>
      </c>
      <c r="E188" s="272"/>
      <c r="F188" s="272">
        <v>-2267.02</v>
      </c>
      <c r="G188" s="270"/>
      <c r="H188" s="273">
        <v>-2187.52</v>
      </c>
      <c r="I188" s="272"/>
      <c r="J188" s="273">
        <v>-1909.77</v>
      </c>
      <c r="K188" s="272"/>
      <c r="L188" s="273">
        <v>-1836.7</v>
      </c>
      <c r="M188" s="272"/>
      <c r="N188" s="273">
        <v>-2232.79</v>
      </c>
      <c r="O188" s="272"/>
      <c r="P188" s="273">
        <v>-3477.01</v>
      </c>
      <c r="Q188" s="272"/>
      <c r="R188" s="273">
        <v>-3994.44</v>
      </c>
      <c r="S188" s="276"/>
      <c r="T188" s="273">
        <v>-3126.45</v>
      </c>
      <c r="U188" s="270"/>
      <c r="V188" s="273">
        <v>-2648.63</v>
      </c>
      <c r="W188" s="270"/>
      <c r="X188" s="273">
        <f>-731.57-1270.37</f>
        <v>-2001.94</v>
      </c>
      <c r="Y188" s="270"/>
      <c r="Z188" s="297">
        <v>-2678.78</v>
      </c>
      <c r="AA188" s="270"/>
      <c r="AB188" s="298">
        <v>-2799.19</v>
      </c>
      <c r="AC188" s="270"/>
      <c r="AD188" s="286">
        <f>-1038.1-617.95-889.8-59.44</f>
        <v>-2605.29</v>
      </c>
      <c r="AE188" s="270"/>
      <c r="AF188" s="286">
        <v>-1829.44</v>
      </c>
      <c r="AH188" s="237">
        <v>-1662.47</v>
      </c>
      <c r="AJ188" s="237">
        <v>-1679.14</v>
      </c>
      <c r="AL188" s="237">
        <v>-2007.77</v>
      </c>
      <c r="AN188" s="237">
        <f>-2042.12-1323.91</f>
        <v>-3366.0299999999997</v>
      </c>
      <c r="AP188" s="237">
        <v>-3358.81</v>
      </c>
      <c r="AR188" s="237">
        <v>-2017.51</v>
      </c>
      <c r="AT188" s="237">
        <v>-1824.19</v>
      </c>
      <c r="AV188" s="237">
        <f>-1468.2-571.51</f>
        <v>-2039.71</v>
      </c>
      <c r="AX188" s="237">
        <v>-2514.4499999999998</v>
      </c>
      <c r="BA188" s="237">
        <v>-2271.19</v>
      </c>
      <c r="BC188" s="237">
        <v>-1835.99</v>
      </c>
      <c r="BE188" s="237">
        <v>-1637.02</v>
      </c>
      <c r="BG188" s="237">
        <v>-1359.41</v>
      </c>
      <c r="BI188" s="237">
        <v>-1394.48</v>
      </c>
      <c r="BK188" s="237">
        <v>-2017.18</v>
      </c>
      <c r="BM188" s="237">
        <v>-3029.46</v>
      </c>
      <c r="BO188" s="237">
        <v>-2595.58</v>
      </c>
      <c r="BQ188" s="237">
        <v>-2005.08</v>
      </c>
      <c r="BS188" s="237">
        <v>-1640.49</v>
      </c>
      <c r="BU188" s="237">
        <v>-1670.38</v>
      </c>
      <c r="BW188" s="237">
        <v>-2133.12</v>
      </c>
      <c r="BY188" s="237">
        <v>-2016.24</v>
      </c>
      <c r="CA188" s="237">
        <v>-1576.34</v>
      </c>
      <c r="CC188" s="237">
        <v>-1498.05</v>
      </c>
      <c r="CE188" s="214">
        <v>-1278.68</v>
      </c>
      <c r="CG188" s="214">
        <v>-1518.45</v>
      </c>
    </row>
    <row r="189" spans="1:87">
      <c r="A189" s="269"/>
      <c r="C189" s="267" t="s">
        <v>8</v>
      </c>
      <c r="D189" s="272">
        <v>4623.95</v>
      </c>
      <c r="E189" s="276">
        <f>ABS(((D188+D189)/D188))</f>
        <v>0.63855972444683828</v>
      </c>
      <c r="F189" s="272">
        <v>2930.11</v>
      </c>
      <c r="G189" s="276">
        <f>ABS(((F188+F189)/F188))</f>
        <v>0.29249411121207586</v>
      </c>
      <c r="H189" s="272">
        <v>2989.17</v>
      </c>
      <c r="I189" s="276">
        <f>ABS(((H188+H189)/H188))</f>
        <v>0.36646522088940908</v>
      </c>
      <c r="J189" s="272">
        <v>3848.14</v>
      </c>
      <c r="K189" s="276">
        <f>ABS(((J188+J189)/J188))</f>
        <v>1.0149756253370825</v>
      </c>
      <c r="L189" s="272">
        <v>3628.05</v>
      </c>
      <c r="M189" s="276">
        <f>ABS(((L188+L189)/L188))</f>
        <v>0.9753089780584745</v>
      </c>
      <c r="N189" s="272">
        <v>5345.37</v>
      </c>
      <c r="O189" s="276">
        <f>ABS(((N188+N189)/N188))</f>
        <v>1.3940316823346575</v>
      </c>
      <c r="P189" s="272">
        <v>4123.45</v>
      </c>
      <c r="Q189" s="276">
        <f>ABS(((P188+P189)/P188))</f>
        <v>0.18591836089053512</v>
      </c>
      <c r="R189" s="272">
        <v>4662.2299999999996</v>
      </c>
      <c r="S189" s="276">
        <f>ABS(((R188+R189)/R188))</f>
        <v>0.16717988003324608</v>
      </c>
      <c r="T189" s="272">
        <v>5187.74</v>
      </c>
      <c r="U189" s="276">
        <f>ABS(((T188+T189)/T188))</f>
        <v>0.6593068816069344</v>
      </c>
      <c r="V189" s="272">
        <v>3908.62</v>
      </c>
      <c r="W189" s="276">
        <f>ABS(((V188+V189)/V188))</f>
        <v>0.47571385961799106</v>
      </c>
      <c r="X189" s="272">
        <v>3362</v>
      </c>
      <c r="Y189" s="276">
        <f>ABS(((X188+X189)/X188))</f>
        <v>0.67937101012018342</v>
      </c>
      <c r="Z189" s="268">
        <v>3403.94</v>
      </c>
      <c r="AA189" s="276">
        <f>ABS(((Z188+Z189)/Z188))</f>
        <v>0.27070532107899858</v>
      </c>
      <c r="AB189" s="299">
        <v>3403.94</v>
      </c>
      <c r="AC189" s="276">
        <f>ABS(((AB188+AB189)/AB188))</f>
        <v>0.21604464148557262</v>
      </c>
      <c r="AD189" s="299">
        <v>3323.03</v>
      </c>
      <c r="AE189" s="222">
        <f>ABS(((AD188+AD189)/AD188))</f>
        <v>0.2754933232001045</v>
      </c>
      <c r="AF189" s="299">
        <v>3558.09</v>
      </c>
      <c r="AG189" s="222">
        <f>ABS(((AF188+AF189)/AF188))</f>
        <v>0.94490663809690401</v>
      </c>
      <c r="AH189" s="214">
        <v>4024.85</v>
      </c>
      <c r="AI189" s="222">
        <f>ABS(((AH188+AH189)/AH188))</f>
        <v>1.4210060933430377</v>
      </c>
      <c r="AJ189" s="214">
        <v>3656.57</v>
      </c>
      <c r="AK189" s="222">
        <f>ABS(((AJ188+AJ189)/AJ188))</f>
        <v>1.177644508498398</v>
      </c>
      <c r="AL189" s="214">
        <v>4831.84</v>
      </c>
      <c r="AM189" s="222">
        <f>ABS(((AL188+AL189)/AL188))</f>
        <v>1.4065704737096381</v>
      </c>
      <c r="AN189" s="214">
        <v>4475.16</v>
      </c>
      <c r="AO189" s="222">
        <f>ABS(((AN188+AN189)/AN188))</f>
        <v>0.32950686714022165</v>
      </c>
      <c r="AP189" s="214">
        <v>4612.54</v>
      </c>
      <c r="AQ189" s="222">
        <f>ABS(((AP188+AP189)/AP188))</f>
        <v>0.37326612699140471</v>
      </c>
      <c r="AR189" s="214">
        <v>3701.38</v>
      </c>
      <c r="AS189" s="222">
        <f>ABS(((AR188+AR189)/AR188))</f>
        <v>0.83462783331928969</v>
      </c>
      <c r="AT189" s="214">
        <v>4561.47</v>
      </c>
      <c r="AU189" s="222">
        <f>AT190/AT189</f>
        <v>0.60008725257427975</v>
      </c>
      <c r="AV189" s="214">
        <v>3334.09</v>
      </c>
      <c r="AW189" s="222">
        <f>AV190/AV189</f>
        <v>0.38822587272689102</v>
      </c>
      <c r="AX189" s="214">
        <v>3216.6</v>
      </c>
      <c r="AY189" s="224">
        <f>AX190/AX189</f>
        <v>0.21828949822794258</v>
      </c>
      <c r="AZ189" s="225"/>
      <c r="BA189" s="214">
        <v>2924.41</v>
      </c>
      <c r="BB189" s="222">
        <f>BA190/BA189</f>
        <v>0.22336813237541925</v>
      </c>
      <c r="BC189" s="214">
        <v>2743.54</v>
      </c>
      <c r="BD189" s="222">
        <f>BC190/BC189</f>
        <v>0.33079524993256887</v>
      </c>
      <c r="BE189" s="214">
        <v>3702.5</v>
      </c>
      <c r="BF189" s="222">
        <f>BE190/BE189</f>
        <v>0.55786090479405803</v>
      </c>
      <c r="BG189" s="214">
        <v>3817.43</v>
      </c>
      <c r="BH189" s="222">
        <f>BG190/BG189</f>
        <v>0.64389392863785311</v>
      </c>
      <c r="BI189" s="214">
        <v>3300.04</v>
      </c>
      <c r="BJ189" s="222">
        <f>BI190/BI189</f>
        <v>0.57743542502515122</v>
      </c>
      <c r="BK189" s="214">
        <v>2798.1</v>
      </c>
      <c r="BL189" s="222">
        <f>BK190/BK189</f>
        <v>0.27908938208069756</v>
      </c>
      <c r="BM189" s="239">
        <v>3784.48</v>
      </c>
      <c r="BN189" s="222">
        <f>BM190/BM189</f>
        <v>0.19950429121041727</v>
      </c>
      <c r="BO189" s="214">
        <v>3716.14</v>
      </c>
      <c r="BP189" s="222">
        <f>BO190/BO189</f>
        <v>0.30153869337538414</v>
      </c>
      <c r="BQ189" s="214">
        <v>3334.45</v>
      </c>
      <c r="BR189" s="222">
        <f>BQ190/BQ189</f>
        <v>0.39867744305657604</v>
      </c>
      <c r="BS189" s="214">
        <v>3275.16</v>
      </c>
      <c r="BT189" s="222">
        <f>BS190/BS189</f>
        <v>0.49911149378961633</v>
      </c>
      <c r="BU189" s="214">
        <v>3190.07</v>
      </c>
      <c r="BV189" s="222">
        <f>BU190/BU189</f>
        <v>0.47638139601952306</v>
      </c>
      <c r="BW189" s="214">
        <v>2956.24</v>
      </c>
      <c r="BX189" s="222">
        <f>BW190/BW189</f>
        <v>0.27843476848970311</v>
      </c>
      <c r="BY189" s="214">
        <v>2736.06</v>
      </c>
      <c r="BZ189" s="222">
        <f>BY190/BY189</f>
        <v>0.26308633582596869</v>
      </c>
      <c r="CA189" s="214">
        <v>2890.35</v>
      </c>
      <c r="CB189" s="222">
        <f>CA190/CA189</f>
        <v>0.45461968273738473</v>
      </c>
      <c r="CC189" s="214">
        <v>3365.79</v>
      </c>
      <c r="CD189" s="222">
        <f>CC190/CC189</f>
        <v>0.55491875607212571</v>
      </c>
      <c r="CE189" s="214">
        <v>2721.04</v>
      </c>
      <c r="CF189" s="222">
        <f>CE190/CE189</f>
        <v>0.53007673536588951</v>
      </c>
      <c r="CG189" s="214">
        <v>2640.22</v>
      </c>
      <c r="CH189" s="222">
        <f>CG190/CG189</f>
        <v>0.42487747233185108</v>
      </c>
      <c r="CI189" s="214">
        <v>3260.09</v>
      </c>
    </row>
    <row r="190" spans="1:87">
      <c r="A190" s="269"/>
      <c r="C190" s="241" t="s">
        <v>9</v>
      </c>
      <c r="D190" s="272">
        <f>SUM(D188:D189)</f>
        <v>1801.9899999999998</v>
      </c>
      <c r="E190" s="272"/>
      <c r="F190" s="272">
        <f>SUM(F188:F189)</f>
        <v>663.09000000000015</v>
      </c>
      <c r="G190" s="270"/>
      <c r="H190" s="272">
        <f>SUM(H188:H189)</f>
        <v>801.65000000000009</v>
      </c>
      <c r="I190" s="272"/>
      <c r="J190" s="272">
        <f>SUM(J188:J189)</f>
        <v>1938.37</v>
      </c>
      <c r="K190" s="272"/>
      <c r="L190" s="272">
        <f>SUM(L188:L189)</f>
        <v>1791.3500000000001</v>
      </c>
      <c r="M190" s="272"/>
      <c r="N190" s="272">
        <f>SUM(N188:N189)</f>
        <v>3112.58</v>
      </c>
      <c r="O190" s="272"/>
      <c r="P190" s="272">
        <f>SUM(P188:P189)</f>
        <v>646.4399999999996</v>
      </c>
      <c r="Q190" s="272"/>
      <c r="R190" s="268">
        <f>R188+R189</f>
        <v>667.78999999999951</v>
      </c>
      <c r="S190" s="268"/>
      <c r="T190" s="268">
        <f>T188+T189</f>
        <v>2061.29</v>
      </c>
      <c r="U190" s="272"/>
      <c r="V190" s="268">
        <f>V188+V189</f>
        <v>1259.9899999999998</v>
      </c>
      <c r="W190" s="272"/>
      <c r="X190" s="214">
        <f>X188+X189</f>
        <v>1360.06</v>
      </c>
      <c r="Y190" s="272"/>
      <c r="Z190" s="214">
        <f>Z188+Z189</f>
        <v>725.15999999999985</v>
      </c>
      <c r="AA190" s="272"/>
      <c r="AB190" s="242">
        <f>AB188+AB189</f>
        <v>604.75</v>
      </c>
      <c r="AC190" s="272"/>
      <c r="AD190" s="243">
        <f>AD188+AD189</f>
        <v>717.74000000000024</v>
      </c>
      <c r="AE190" s="272"/>
      <c r="AF190" s="243">
        <f>AF188+AF189</f>
        <v>1728.65</v>
      </c>
      <c r="AH190" s="243">
        <f>AH188+AH189</f>
        <v>2362.38</v>
      </c>
      <c r="AJ190" s="243">
        <f>AJ188+AJ189</f>
        <v>1977.43</v>
      </c>
      <c r="AL190" s="243">
        <f>AL188+AL189</f>
        <v>2824.07</v>
      </c>
      <c r="AN190" s="243">
        <f>AN188+AN189</f>
        <v>1109.1300000000001</v>
      </c>
      <c r="AP190" s="214">
        <f>AP188+AP189</f>
        <v>1253.73</v>
      </c>
      <c r="AR190" s="214">
        <f>AR188+AR189</f>
        <v>1683.8700000000001</v>
      </c>
      <c r="AT190" s="214">
        <f>AT188+AT189</f>
        <v>2737.28</v>
      </c>
      <c r="AV190" s="214">
        <f>AV188+AV189</f>
        <v>1294.3800000000001</v>
      </c>
      <c r="AX190" s="214">
        <f>AX188+AX189</f>
        <v>702.15000000000009</v>
      </c>
      <c r="BA190" s="214">
        <f>BA188+BA189</f>
        <v>653.2199999999998</v>
      </c>
      <c r="BC190" s="214">
        <f>BC188+BC189</f>
        <v>907.55</v>
      </c>
      <c r="BE190" s="214">
        <f>BE188+BE189</f>
        <v>2065.48</v>
      </c>
      <c r="BG190" s="214">
        <f>BG188+BG189</f>
        <v>2458.0199999999995</v>
      </c>
      <c r="BI190" s="214">
        <f>BI188+BI189</f>
        <v>1905.56</v>
      </c>
      <c r="BK190" s="214">
        <f>BK188+BK189</f>
        <v>780.91999999999985</v>
      </c>
      <c r="BM190" s="214">
        <f>BM188+BM189</f>
        <v>755.02</v>
      </c>
      <c r="BO190" s="214">
        <f>BO188+BO189</f>
        <v>1120.56</v>
      </c>
      <c r="BQ190" s="214">
        <f>BQ188+BQ189</f>
        <v>1329.37</v>
      </c>
      <c r="BS190" s="214">
        <f>BS188+BS189</f>
        <v>1634.6699999999998</v>
      </c>
      <c r="BU190" s="214">
        <f>BU188+BU189</f>
        <v>1519.69</v>
      </c>
      <c r="BW190" s="214">
        <f>BW188+BW189</f>
        <v>823.11999999999989</v>
      </c>
      <c r="BY190" s="214">
        <f>BY188+BY189</f>
        <v>719.81999999999994</v>
      </c>
      <c r="CA190" s="214">
        <f>CA188+CA189</f>
        <v>1314.01</v>
      </c>
      <c r="CC190" s="214">
        <f>CC188+CC189</f>
        <v>1867.74</v>
      </c>
      <c r="CE190" s="214">
        <f>CE188+CE189</f>
        <v>1442.36</v>
      </c>
      <c r="CG190" s="214">
        <f>CG188+CG189</f>
        <v>1121.7699999999998</v>
      </c>
    </row>
    <row r="191" spans="1:87">
      <c r="A191" s="231">
        <f>A186+1</f>
        <v>46</v>
      </c>
      <c r="B191" s="232">
        <v>2206209</v>
      </c>
      <c r="C191" s="233" t="s">
        <v>82</v>
      </c>
      <c r="AD191" s="214"/>
      <c r="AF191" s="214"/>
      <c r="AP191" s="214"/>
      <c r="AT191" s="214"/>
    </row>
    <row r="192" spans="1:87">
      <c r="C192" s="253" t="s">
        <v>241</v>
      </c>
      <c r="D192" s="235">
        <v>44927</v>
      </c>
      <c r="E192" s="235"/>
      <c r="F192" s="235">
        <v>44958</v>
      </c>
      <c r="G192" s="235" t="s">
        <v>83</v>
      </c>
      <c r="H192" s="235">
        <v>44986</v>
      </c>
      <c r="I192" s="235"/>
      <c r="J192" s="235">
        <v>45017</v>
      </c>
      <c r="K192" s="235"/>
      <c r="L192" s="246">
        <v>45047</v>
      </c>
      <c r="M192" s="235"/>
      <c r="N192" s="235">
        <v>45078</v>
      </c>
      <c r="O192" s="235"/>
      <c r="P192" s="235">
        <v>45108</v>
      </c>
      <c r="Q192" s="235"/>
      <c r="R192" s="235">
        <v>45139</v>
      </c>
      <c r="S192" s="235"/>
      <c r="T192" s="235">
        <v>45170</v>
      </c>
      <c r="U192" s="235"/>
      <c r="V192" s="235">
        <v>45200</v>
      </c>
      <c r="W192" s="235"/>
      <c r="X192" s="235">
        <v>45231</v>
      </c>
      <c r="Y192" s="235"/>
      <c r="Z192" s="235">
        <v>45261</v>
      </c>
      <c r="AA192" s="235"/>
      <c r="AB192" s="235">
        <v>45292</v>
      </c>
      <c r="AC192" s="235"/>
      <c r="AD192" s="235">
        <v>45323</v>
      </c>
      <c r="AE192" s="235"/>
      <c r="AF192" s="235">
        <v>45352</v>
      </c>
      <c r="AH192" s="235">
        <v>45383</v>
      </c>
      <c r="AJ192" s="235">
        <v>45413</v>
      </c>
      <c r="AL192" s="235">
        <v>45444</v>
      </c>
      <c r="AN192" s="235">
        <v>45474</v>
      </c>
      <c r="AP192" s="235">
        <v>45505</v>
      </c>
      <c r="AR192" s="236">
        <v>45536</v>
      </c>
      <c r="AT192" s="236">
        <v>45566</v>
      </c>
      <c r="AV192" s="235">
        <v>45597</v>
      </c>
      <c r="AX192" s="235">
        <v>45627</v>
      </c>
      <c r="BA192" s="235">
        <v>45658</v>
      </c>
      <c r="BC192" s="235">
        <v>45689</v>
      </c>
      <c r="BE192" s="235">
        <v>45717</v>
      </c>
      <c r="BG192" s="235">
        <v>45748</v>
      </c>
      <c r="BI192" s="235">
        <v>45778</v>
      </c>
      <c r="BK192" s="235">
        <v>45809</v>
      </c>
      <c r="BM192" s="235">
        <v>45839</v>
      </c>
      <c r="BO192" s="235">
        <v>45870</v>
      </c>
      <c r="BQ192" s="235">
        <v>45901</v>
      </c>
      <c r="BS192" s="235">
        <v>45931</v>
      </c>
      <c r="BU192" s="235">
        <v>45962</v>
      </c>
      <c r="BW192" s="235">
        <v>45992</v>
      </c>
      <c r="BY192" s="235">
        <v>46023</v>
      </c>
      <c r="CA192" s="235">
        <v>46054</v>
      </c>
      <c r="CC192" s="235">
        <v>46082</v>
      </c>
      <c r="CE192" s="235">
        <v>46113</v>
      </c>
      <c r="CG192" s="235">
        <v>46143</v>
      </c>
      <c r="CI192" s="341">
        <v>46174</v>
      </c>
    </row>
    <row r="193" spans="1:87">
      <c r="C193" s="213" t="s">
        <v>7</v>
      </c>
      <c r="D193" s="214">
        <v>-262.3</v>
      </c>
      <c r="F193" s="214">
        <v>-190.96</v>
      </c>
      <c r="H193" s="214">
        <v>-97.36</v>
      </c>
      <c r="J193" s="214">
        <f>-68.37-37.39</f>
        <v>-105.76</v>
      </c>
      <c r="L193" s="214">
        <v>-24.99</v>
      </c>
      <c r="N193" s="238">
        <v>-112.67</v>
      </c>
      <c r="P193" s="237">
        <v>-238.09</v>
      </c>
      <c r="R193" s="237">
        <v>-48.64</v>
      </c>
      <c r="T193" s="237">
        <f>-26.36-3.84</f>
        <v>-30.2</v>
      </c>
      <c r="V193" s="237">
        <v>-30.4</v>
      </c>
      <c r="X193" s="238">
        <v>-29.27</v>
      </c>
      <c r="Z193" s="238">
        <v>-31.69</v>
      </c>
      <c r="AB193" s="238">
        <v>-22.2</v>
      </c>
      <c r="AD193" s="238">
        <f>-130.49+59.7</f>
        <v>-70.790000000000006</v>
      </c>
      <c r="AF193" s="247">
        <v>0</v>
      </c>
      <c r="AH193" s="237">
        <v>-32.1</v>
      </c>
      <c r="AJ193" s="237">
        <f>-33.45</f>
        <v>-33.450000000000003</v>
      </c>
      <c r="AL193" s="237">
        <f>-33.8</f>
        <v>-33.799999999999997</v>
      </c>
      <c r="AN193" s="237">
        <v>-31.75</v>
      </c>
      <c r="AP193" s="237">
        <v>-68.2</v>
      </c>
      <c r="AR193" s="237">
        <v>-142.97999999999999</v>
      </c>
      <c r="AT193" s="237">
        <v>-34.22</v>
      </c>
      <c r="AV193" s="237">
        <v>-34.75</v>
      </c>
      <c r="AX193" s="237">
        <v>-39.479999999999997</v>
      </c>
      <c r="BA193" s="237">
        <v>-40.799999999999997</v>
      </c>
      <c r="BC193" s="237">
        <v>-56.93</v>
      </c>
      <c r="BE193" s="237">
        <v>-55.21</v>
      </c>
      <c r="BG193" s="237">
        <v>-49.73</v>
      </c>
      <c r="BI193" s="237">
        <v>-38.9</v>
      </c>
      <c r="BK193" s="237">
        <v>-39.47</v>
      </c>
      <c r="BM193" s="237">
        <v>-40.799999999999997</v>
      </c>
      <c r="BO193" s="237">
        <v>-40.799999999999997</v>
      </c>
      <c r="BQ193" s="237">
        <v>-39.47</v>
      </c>
      <c r="BS193" s="237">
        <v>-38.9</v>
      </c>
      <c r="BU193" s="237">
        <v>-130.97</v>
      </c>
      <c r="BW193" s="237">
        <v>-62.91</v>
      </c>
      <c r="BY193" s="237">
        <v>-147.4</v>
      </c>
      <c r="CA193" s="237">
        <v>-136.83000000000001</v>
      </c>
      <c r="CC193" s="237">
        <v>-118.04</v>
      </c>
      <c r="CE193" s="237">
        <v>-110.19</v>
      </c>
      <c r="CG193" s="237">
        <v>-169.44</v>
      </c>
    </row>
    <row r="194" spans="1:87">
      <c r="C194" s="213" t="s">
        <v>8</v>
      </c>
      <c r="D194" s="214">
        <v>348.23</v>
      </c>
      <c r="E194" s="222">
        <f>ABS(((D193+D194)/D193))</f>
        <v>0.32760198246282884</v>
      </c>
      <c r="F194" s="214">
        <v>262.56</v>
      </c>
      <c r="G194" s="222">
        <f>ABS(((F193+F194)/F193))</f>
        <v>0.37494763301214912</v>
      </c>
      <c r="H194" s="214">
        <v>128.6</v>
      </c>
      <c r="I194" s="222">
        <f>ABS(((H193+H194)/H193))</f>
        <v>0.32087099424815113</v>
      </c>
      <c r="J194" s="214">
        <f>88.68+47.39</f>
        <v>136.07</v>
      </c>
      <c r="K194" s="222">
        <f>ABS(((J193+J194)/J193))</f>
        <v>0.28659228441754903</v>
      </c>
      <c r="L194" s="214">
        <v>102.37</v>
      </c>
      <c r="M194" s="222">
        <f>ABS(((L193+L194)/L193))</f>
        <v>3.0964385754301729</v>
      </c>
      <c r="N194" s="213">
        <v>150.22999999999999</v>
      </c>
      <c r="O194" s="222">
        <f>ABS(((N193+N194)/N193))</f>
        <v>0.33336291825685621</v>
      </c>
      <c r="P194" s="214">
        <v>321.68</v>
      </c>
      <c r="Q194" s="222">
        <f>ABS(((P193+P194)/P193))</f>
        <v>0.35108572388592552</v>
      </c>
      <c r="R194" s="214">
        <v>139.74</v>
      </c>
      <c r="S194" s="222">
        <f>ABS(((R193+R194)/R193))</f>
        <v>1.8729440789473686</v>
      </c>
      <c r="T194" s="214"/>
      <c r="U194" s="222"/>
      <c r="V194" s="214"/>
      <c r="Z194" s="213">
        <v>113.93</v>
      </c>
      <c r="AA194" s="276">
        <f>ABS(((Z193+Z194)/Z193))</f>
        <v>2.595140422846324</v>
      </c>
      <c r="AB194" s="213">
        <v>81.290000000000006</v>
      </c>
      <c r="AC194" s="222">
        <v>0</v>
      </c>
      <c r="AD194" s="213">
        <v>81.290000000000006</v>
      </c>
      <c r="AE194" s="222">
        <v>0</v>
      </c>
      <c r="AF194" s="213">
        <v>81.290000000000006</v>
      </c>
      <c r="AG194" s="222" t="e">
        <f>ABS(((AF193+AF194)/AF193))</f>
        <v>#DIV/0!</v>
      </c>
      <c r="AH194" s="214">
        <v>81.290000000000006</v>
      </c>
      <c r="AI194" s="222">
        <f>ABS(((AH193+AH194)/AH193))</f>
        <v>1.5323987538940811</v>
      </c>
      <c r="AJ194" s="214">
        <v>102.03</v>
      </c>
      <c r="AK194" s="222">
        <f>ABS(((AJ193+AJ194)/AJ193))</f>
        <v>2.0502242152466366</v>
      </c>
      <c r="AL194" s="214">
        <v>102.03</v>
      </c>
      <c r="AM194" s="222">
        <f>ABS(((AL193+AL194)/AL193))</f>
        <v>2.018639053254438</v>
      </c>
      <c r="AN194" s="214">
        <v>102.03</v>
      </c>
      <c r="AO194" s="222">
        <f>ABS(((AN193+AN194)/AN193))</f>
        <v>2.2135433070866144</v>
      </c>
      <c r="AP194" s="214">
        <v>102.03</v>
      </c>
      <c r="AQ194" s="222">
        <f>ABS(((AP193+AP194)/AP193))</f>
        <v>0.49604105571847501</v>
      </c>
      <c r="AR194" s="214">
        <v>102.03</v>
      </c>
      <c r="AS194" s="222">
        <f>ABS(((AR193+AR194)/AR193))</f>
        <v>0.28640369282417116</v>
      </c>
      <c r="AT194" s="214">
        <v>143.04</v>
      </c>
      <c r="AU194" s="222">
        <f>AT195/AT194</f>
        <v>0.7607662192393736</v>
      </c>
      <c r="AV194" s="214">
        <v>91.5</v>
      </c>
      <c r="AW194" s="222">
        <f>AV195/AV194</f>
        <v>0.6202185792349727</v>
      </c>
      <c r="AX194" s="214">
        <v>94.55</v>
      </c>
      <c r="AY194" s="224">
        <f>AX195/AX194</f>
        <v>0.58244315177154948</v>
      </c>
      <c r="AZ194" s="225"/>
      <c r="BA194" s="214">
        <v>94.97</v>
      </c>
      <c r="BB194" s="222">
        <f>BA195/BA194</f>
        <v>0.57039064967884601</v>
      </c>
      <c r="BC194" s="214">
        <v>94.61</v>
      </c>
      <c r="BD194" s="222">
        <f>BC195/BC194</f>
        <v>0.39826656801606597</v>
      </c>
      <c r="BE194" s="214">
        <v>94.61</v>
      </c>
      <c r="BF194" s="222">
        <f>BE195/BE194</f>
        <v>0.4164464644329352</v>
      </c>
      <c r="BG194" s="214">
        <v>94.61</v>
      </c>
      <c r="BH194" s="222">
        <f>BG195/BG194</f>
        <v>0.47436845999365823</v>
      </c>
      <c r="BI194" s="214">
        <v>122.91</v>
      </c>
      <c r="BJ194" s="222">
        <f>BI195/BI194</f>
        <v>0.68350825807501414</v>
      </c>
      <c r="BK194" s="214">
        <v>122.91</v>
      </c>
      <c r="BL194" s="222">
        <f>BK195/BK194</f>
        <v>0.6788707184118461</v>
      </c>
      <c r="BM194" s="239">
        <v>122.91</v>
      </c>
      <c r="BN194" s="222">
        <f>BM195/BM194</f>
        <v>0.6680497925311204</v>
      </c>
      <c r="BO194" s="214">
        <v>122.91</v>
      </c>
      <c r="BP194" s="222">
        <f>BO195/BO194</f>
        <v>0.6680497925311204</v>
      </c>
      <c r="BQ194" s="214">
        <v>103.54</v>
      </c>
      <c r="BR194" s="222">
        <f>BQ195/BQ194</f>
        <v>0.61879466872706201</v>
      </c>
      <c r="BS194" s="214"/>
      <c r="BT194" s="222" t="e">
        <f>BS195/BS194</f>
        <v>#DIV/0!</v>
      </c>
      <c r="BU194" s="214">
        <v>109.28</v>
      </c>
      <c r="BV194" s="222">
        <f>BU195/BU194</f>
        <v>-0.19848096632503659</v>
      </c>
      <c r="BW194" s="214">
        <v>110.65</v>
      </c>
      <c r="BX194" s="222">
        <f>BW195/BW194</f>
        <v>0.43145051965657483</v>
      </c>
      <c r="BY194" s="214">
        <v>81.22</v>
      </c>
      <c r="BZ194" s="222">
        <f>BY195/BY194</f>
        <v>-0.8148239349913815</v>
      </c>
      <c r="CA194" s="214">
        <v>73.489999999999995</v>
      </c>
      <c r="CB194" s="222">
        <f>CA195/CA194</f>
        <v>-0.8618859708803922</v>
      </c>
      <c r="CC194" s="214">
        <v>203.12</v>
      </c>
      <c r="CD194" s="222">
        <f>CC195/CC194</f>
        <v>0.41886569515557304</v>
      </c>
      <c r="CE194" s="214">
        <v>146.55000000000001</v>
      </c>
      <c r="CF194" s="222">
        <f>CE195/CE194</f>
        <v>0.24810644831115666</v>
      </c>
      <c r="CG194" s="214">
        <v>205.07</v>
      </c>
      <c r="CH194" s="222">
        <f>CG195/CG194</f>
        <v>0.17374555029989758</v>
      </c>
    </row>
    <row r="195" spans="1:87">
      <c r="C195" s="241" t="s">
        <v>9</v>
      </c>
      <c r="D195" s="251">
        <f>D193+D194</f>
        <v>85.93</v>
      </c>
      <c r="E195" s="251"/>
      <c r="F195" s="214">
        <f>SUM(F193:F194)</f>
        <v>71.599999999999994</v>
      </c>
      <c r="H195" s="214">
        <f>SUM(H193:H194)</f>
        <v>31.239999999999995</v>
      </c>
      <c r="J195" s="214">
        <f>SUM(J193:J194)</f>
        <v>30.309999999999988</v>
      </c>
      <c r="L195" s="214">
        <f>SUM(L193:L194)</f>
        <v>77.38000000000001</v>
      </c>
      <c r="N195" s="214">
        <f>SUM(N193:N194)</f>
        <v>37.559999999999988</v>
      </c>
      <c r="P195" s="214">
        <f>SUM(P193:P194)</f>
        <v>83.59</v>
      </c>
      <c r="R195" s="214">
        <f>R193+R194</f>
        <v>91.100000000000009</v>
      </c>
      <c r="S195" s="214"/>
      <c r="T195" s="214">
        <f>T193+T194</f>
        <v>-30.2</v>
      </c>
      <c r="V195" s="214">
        <f>V193+V194</f>
        <v>-30.4</v>
      </c>
      <c r="X195" s="214">
        <f>X193+X194</f>
        <v>-29.27</v>
      </c>
      <c r="Z195" s="214">
        <f>Z193+Z194</f>
        <v>82.240000000000009</v>
      </c>
      <c r="AB195" s="300">
        <f>AB193+AB194</f>
        <v>59.09</v>
      </c>
      <c r="AD195" s="243">
        <f>AD193+AD194</f>
        <v>10.5</v>
      </c>
      <c r="AF195" s="243">
        <f>AF193+AF194</f>
        <v>81.290000000000006</v>
      </c>
      <c r="AH195" s="214">
        <f>AH193+AH194</f>
        <v>49.190000000000005</v>
      </c>
      <c r="AJ195" s="214">
        <f>AJ193+AJ194</f>
        <v>68.58</v>
      </c>
      <c r="AL195" s="214">
        <f>AL193+AL194</f>
        <v>68.23</v>
      </c>
      <c r="AN195" s="214">
        <f>AN193+AN194</f>
        <v>70.28</v>
      </c>
      <c r="AP195" s="214">
        <f>AP193+AP194</f>
        <v>33.83</v>
      </c>
      <c r="AR195" s="214">
        <f>AR193+AR194</f>
        <v>-40.949999999999989</v>
      </c>
      <c r="AT195" s="214">
        <f>AT193+AT194</f>
        <v>108.82</v>
      </c>
      <c r="AV195" s="214">
        <f>AV193+AV194</f>
        <v>56.75</v>
      </c>
      <c r="AX195" s="214">
        <f>AX193+AX194</f>
        <v>55.07</v>
      </c>
      <c r="BA195" s="214">
        <f>BA193+BA194</f>
        <v>54.17</v>
      </c>
      <c r="BC195" s="214">
        <f>BC193+BC194</f>
        <v>37.68</v>
      </c>
      <c r="BE195" s="214">
        <f>BE193+BE194</f>
        <v>39.4</v>
      </c>
      <c r="BG195" s="214">
        <f>BG193+BG194</f>
        <v>44.88</v>
      </c>
      <c r="BI195" s="214">
        <f>BI193+BI194</f>
        <v>84.009999999999991</v>
      </c>
      <c r="BK195" s="214">
        <f>BK193+BK194</f>
        <v>83.44</v>
      </c>
      <c r="BM195" s="214">
        <f>BM193+BM194</f>
        <v>82.11</v>
      </c>
      <c r="BO195" s="214">
        <f>BO193+BO194</f>
        <v>82.11</v>
      </c>
      <c r="BQ195" s="214">
        <f>BQ193+BQ194</f>
        <v>64.070000000000007</v>
      </c>
      <c r="BS195" s="214">
        <f>BS193+BS194</f>
        <v>-38.9</v>
      </c>
      <c r="BU195" s="214">
        <f>BU193+BU194</f>
        <v>-21.689999999999998</v>
      </c>
      <c r="BW195" s="214">
        <f>BW193+BW194</f>
        <v>47.740000000000009</v>
      </c>
      <c r="BY195" s="214">
        <f>BY193+BY194</f>
        <v>-66.180000000000007</v>
      </c>
      <c r="CA195" s="214">
        <f>CA193+CA194</f>
        <v>-63.340000000000018</v>
      </c>
      <c r="CC195" s="214">
        <f>CC193+CC194</f>
        <v>85.08</v>
      </c>
      <c r="CE195" s="214">
        <f>CE193+CE194</f>
        <v>36.360000000000014</v>
      </c>
      <c r="CG195" s="214">
        <f>CG193+CG194</f>
        <v>35.629999999999995</v>
      </c>
    </row>
    <row r="196" spans="1:87">
      <c r="A196" s="231">
        <f>A191+1</f>
        <v>47</v>
      </c>
      <c r="B196" s="232">
        <v>108120715</v>
      </c>
      <c r="C196" s="233" t="s">
        <v>431</v>
      </c>
      <c r="AP196" s="214"/>
      <c r="AT196" s="214"/>
    </row>
    <row r="197" spans="1:87">
      <c r="C197" s="253" t="s">
        <v>84</v>
      </c>
      <c r="D197" s="235">
        <v>44927</v>
      </c>
      <c r="E197" s="235"/>
      <c r="F197" s="235">
        <v>44958</v>
      </c>
      <c r="G197" s="235"/>
      <c r="H197" s="235">
        <v>44986</v>
      </c>
      <c r="I197" s="235"/>
      <c r="J197" s="235">
        <v>45017</v>
      </c>
      <c r="K197" s="235"/>
      <c r="L197" s="246">
        <v>45047</v>
      </c>
      <c r="M197" s="235"/>
      <c r="N197" s="235">
        <v>45078</v>
      </c>
      <c r="O197" s="235"/>
      <c r="P197" s="235">
        <v>45108</v>
      </c>
      <c r="Q197" s="235"/>
      <c r="R197" s="235">
        <v>45139</v>
      </c>
      <c r="S197" s="235"/>
      <c r="T197" s="235">
        <v>45170</v>
      </c>
      <c r="U197" s="235"/>
      <c r="V197" s="235">
        <v>45200</v>
      </c>
      <c r="W197" s="235"/>
      <c r="X197" s="235">
        <v>45231</v>
      </c>
      <c r="Y197" s="235"/>
      <c r="Z197" s="235">
        <v>45261</v>
      </c>
      <c r="AA197" s="235"/>
      <c r="AB197" s="235">
        <v>45292</v>
      </c>
      <c r="AC197" s="235"/>
      <c r="AD197" s="235">
        <v>45323</v>
      </c>
      <c r="AE197" s="235"/>
      <c r="AF197" s="235">
        <v>45352</v>
      </c>
      <c r="AH197" s="235">
        <v>45383</v>
      </c>
      <c r="AJ197" s="235">
        <v>45413</v>
      </c>
      <c r="AL197" s="235">
        <v>45444</v>
      </c>
      <c r="AN197" s="235">
        <v>45474</v>
      </c>
      <c r="AP197" s="235">
        <v>45505</v>
      </c>
      <c r="AR197" s="236">
        <v>45536</v>
      </c>
      <c r="AT197" s="236">
        <v>45566</v>
      </c>
      <c r="AV197" s="235">
        <v>45597</v>
      </c>
      <c r="AX197" s="235">
        <v>45627</v>
      </c>
      <c r="BA197" s="235">
        <v>45658</v>
      </c>
      <c r="BC197" s="235">
        <v>45689</v>
      </c>
      <c r="BE197" s="235">
        <v>45717</v>
      </c>
      <c r="BG197" s="235">
        <v>45748</v>
      </c>
      <c r="BI197" s="235">
        <v>45778</v>
      </c>
      <c r="BK197" s="235">
        <v>45809</v>
      </c>
      <c r="BM197" s="235">
        <v>45839</v>
      </c>
      <c r="BO197" s="235">
        <v>45870</v>
      </c>
      <c r="BQ197" s="235">
        <v>45901</v>
      </c>
      <c r="BS197" s="235">
        <v>45931</v>
      </c>
      <c r="BU197" s="235">
        <v>45962</v>
      </c>
      <c r="BW197" s="235">
        <v>45992</v>
      </c>
      <c r="BY197" s="235">
        <v>46023</v>
      </c>
      <c r="CA197" s="235">
        <v>46054</v>
      </c>
      <c r="CC197" s="235">
        <v>46082</v>
      </c>
      <c r="CE197" s="235">
        <v>46113</v>
      </c>
      <c r="CG197" s="235">
        <v>46143</v>
      </c>
      <c r="CI197" s="341">
        <v>46174</v>
      </c>
    </row>
    <row r="198" spans="1:87">
      <c r="C198" s="213" t="s">
        <v>7</v>
      </c>
      <c r="D198" s="214">
        <v>-87.88</v>
      </c>
      <c r="F198" s="214">
        <v>-70.459999999999994</v>
      </c>
      <c r="H198" s="237">
        <v>-54.7</v>
      </c>
      <c r="J198" s="238">
        <v>-43.68</v>
      </c>
      <c r="L198" s="238">
        <v>-60.84</v>
      </c>
      <c r="N198" s="237">
        <f>-2.79-52.45</f>
        <v>-55.24</v>
      </c>
      <c r="P198" s="237">
        <v>-85.35</v>
      </c>
      <c r="R198" s="237">
        <v>-89.89</v>
      </c>
      <c r="T198" s="237">
        <v>-52.52</v>
      </c>
      <c r="V198" s="214">
        <v>0</v>
      </c>
      <c r="X198" s="237">
        <v>-35.92</v>
      </c>
      <c r="Z198" s="238">
        <v>-57.9</v>
      </c>
      <c r="AB198" s="238">
        <v>-62.34</v>
      </c>
      <c r="AD198" s="237">
        <v>-49.37</v>
      </c>
      <c r="AF198" s="237">
        <v>-38.119999999999997</v>
      </c>
      <c r="AH198" s="237">
        <f>-10.82-21.93</f>
        <v>-32.75</v>
      </c>
      <c r="AJ198" s="237">
        <v>-39.659999999999997</v>
      </c>
      <c r="AL198" s="237">
        <v>-39.549999999999997</v>
      </c>
      <c r="AN198" s="237">
        <v>-36.89</v>
      </c>
      <c r="AP198" s="237">
        <v>-83.78</v>
      </c>
      <c r="AR198" s="237">
        <f>-32.38-74.19</f>
        <v>-106.57</v>
      </c>
      <c r="AT198" s="237">
        <v>-49.32</v>
      </c>
      <c r="AV198" s="237">
        <v>-51.07</v>
      </c>
      <c r="AX198" s="237">
        <v>-57.2</v>
      </c>
      <c r="BA198" s="237">
        <v>-58.04</v>
      </c>
      <c r="BC198" s="237">
        <v>-32.450000000000003</v>
      </c>
      <c r="BE198" s="237">
        <v>-47.35</v>
      </c>
      <c r="BG198" s="237">
        <v>-38.51</v>
      </c>
      <c r="BI198" s="237">
        <v>-54.7</v>
      </c>
      <c r="BK198" s="237">
        <v>-55.54</v>
      </c>
      <c r="BM198" s="237">
        <v>-61.54</v>
      </c>
      <c r="BO198" s="237">
        <v>-70.69</v>
      </c>
      <c r="BQ198" s="237">
        <v>-74.92</v>
      </c>
      <c r="BS198" s="237">
        <v>-73.05</v>
      </c>
      <c r="BU198" s="237">
        <v>-51.96</v>
      </c>
      <c r="BW198" s="237">
        <v>-64.58</v>
      </c>
      <c r="BY198" s="237">
        <v>-72.44</v>
      </c>
      <c r="CA198" s="237">
        <v>-58.33</v>
      </c>
      <c r="CC198" s="237">
        <v>-49.05</v>
      </c>
      <c r="CE198" s="237">
        <v>-54.29</v>
      </c>
      <c r="CG198" s="237">
        <v>-73.849999999999994</v>
      </c>
    </row>
    <row r="199" spans="1:87">
      <c r="C199" s="213" t="s">
        <v>8</v>
      </c>
      <c r="D199" s="214">
        <v>124.09</v>
      </c>
      <c r="E199" s="222">
        <f>ABS(((D198+D199)/D198))</f>
        <v>0.41203914428766508</v>
      </c>
      <c r="F199" s="214">
        <v>86.63</v>
      </c>
      <c r="G199" s="222">
        <f>ABS(((F198+F199)/F198))</f>
        <v>0.22949191030371846</v>
      </c>
      <c r="H199" s="214">
        <v>65.33</v>
      </c>
      <c r="I199" s="222">
        <f>ABS(((H198+H199)/H198))</f>
        <v>0.1943327239488116</v>
      </c>
      <c r="J199" s="213">
        <v>49.96</v>
      </c>
      <c r="K199" s="222">
        <f>ABS(((J198+J199)/J198))</f>
        <v>0.14377289377289379</v>
      </c>
      <c r="L199" s="213">
        <v>74.73</v>
      </c>
      <c r="M199" s="222">
        <f>ABS(((L198+L199)/L198))</f>
        <v>0.22830374753451677</v>
      </c>
      <c r="N199" s="214">
        <v>68.62</v>
      </c>
      <c r="O199" s="222">
        <f>ABS(((N198+N199)/N198))</f>
        <v>0.24221578566256341</v>
      </c>
      <c r="P199" s="214">
        <v>92.98</v>
      </c>
      <c r="Q199" s="222">
        <f>ABS(((P198+P199)/P198))</f>
        <v>8.939660222612783E-2</v>
      </c>
      <c r="R199" s="214">
        <v>112.93</v>
      </c>
      <c r="S199" s="222">
        <f>ABS(((R198+R199)/R198))</f>
        <v>0.25631327177661595</v>
      </c>
      <c r="T199" s="214">
        <v>94.3</v>
      </c>
      <c r="U199" s="222">
        <f>ABS(((T198+T199)/T198))</f>
        <v>0.79550647372429539</v>
      </c>
      <c r="V199" s="214">
        <v>87.55</v>
      </c>
      <c r="W199" s="222" t="e">
        <f>ABS(((V198+V199)/V198))</f>
        <v>#DIV/0!</v>
      </c>
      <c r="X199" s="214">
        <v>69.010000000000005</v>
      </c>
      <c r="Y199" s="222">
        <f>ABS(((X198+X199)/X198))</f>
        <v>0.92121380846325174</v>
      </c>
      <c r="Z199" s="213">
        <v>87.85</v>
      </c>
      <c r="AA199" s="222">
        <f>ABS(((Z198+Z199)/Z198))</f>
        <v>0.51727115716753014</v>
      </c>
      <c r="AB199" s="213">
        <v>90.44</v>
      </c>
      <c r="AC199" s="222">
        <f>ABS(((AB198+AB199)/AB198))</f>
        <v>0.45075393006095593</v>
      </c>
      <c r="AD199" s="213">
        <v>88.19</v>
      </c>
      <c r="AE199" s="301">
        <v>0.40500000000000003</v>
      </c>
      <c r="AF199" s="213">
        <v>42.52</v>
      </c>
      <c r="AG199" s="222">
        <f>ABS(((AF198+AF199)/AF198))</f>
        <v>0.11542497376705158</v>
      </c>
      <c r="AH199" s="214">
        <v>47.56</v>
      </c>
      <c r="AI199" s="222">
        <f>ABS(((AH198+AH199)/AH198))</f>
        <v>0.45221374045801532</v>
      </c>
      <c r="AJ199" s="214">
        <v>25.47</v>
      </c>
      <c r="AK199" s="222">
        <f>ABS(((AJ198+AJ199)/AJ198))</f>
        <v>0.35779122541603631</v>
      </c>
      <c r="AL199" s="214">
        <v>37.19</v>
      </c>
      <c r="AM199" s="222"/>
      <c r="AN199" s="214">
        <v>26.95</v>
      </c>
      <c r="AO199" s="222"/>
      <c r="AP199" s="214">
        <v>37.35</v>
      </c>
      <c r="AQ199" s="222">
        <f>ABS(((AP198+AP199)/AP198))</f>
        <v>0.55418954404392451</v>
      </c>
      <c r="AR199" s="214">
        <v>102.59</v>
      </c>
      <c r="AS199" s="222">
        <f>ABS(((AR198+AR199)/AR198))</f>
        <v>3.734634512526968E-2</v>
      </c>
      <c r="AT199" s="214">
        <v>46.39</v>
      </c>
      <c r="AU199" s="222">
        <f>AT200/AT199</f>
        <v>-6.3160163828411289E-2</v>
      </c>
      <c r="AV199" s="214">
        <v>53.56</v>
      </c>
      <c r="AW199" s="222">
        <f>AV200/AV199</f>
        <v>4.6489917849141187E-2</v>
      </c>
      <c r="AX199" s="214">
        <v>58.53</v>
      </c>
      <c r="AY199" s="224">
        <f>AX200/AX199</f>
        <v>2.2723389714676204E-2</v>
      </c>
      <c r="AZ199" s="225"/>
      <c r="BA199" s="214">
        <v>105.58</v>
      </c>
      <c r="BB199" s="222">
        <f>BA200/BA199</f>
        <v>0.45027467323356696</v>
      </c>
      <c r="BC199" s="214">
        <v>57.21</v>
      </c>
      <c r="BD199" s="222">
        <f>BC200/BC199</f>
        <v>0.43279147002272328</v>
      </c>
      <c r="BE199" s="214">
        <v>68.290000000000006</v>
      </c>
      <c r="BF199" s="222">
        <f>BE200/BE199</f>
        <v>0.30663347488651344</v>
      </c>
      <c r="BG199" s="214">
        <v>64.91</v>
      </c>
      <c r="BH199" s="222">
        <f>BG200/BG199</f>
        <v>0.40671699275920503</v>
      </c>
      <c r="BI199" s="214">
        <v>64.73</v>
      </c>
      <c r="BJ199" s="222">
        <f>BI200/BI199</f>
        <v>0.15495133632009889</v>
      </c>
      <c r="BK199" s="214">
        <v>91.87</v>
      </c>
      <c r="BL199" s="222">
        <f>BK200/BK199</f>
        <v>0.39545009252204205</v>
      </c>
      <c r="BM199" s="239">
        <v>50.54</v>
      </c>
      <c r="BN199" s="222">
        <f>BM200/BM199</f>
        <v>-0.21764938662445588</v>
      </c>
      <c r="BO199" s="214">
        <v>47.29</v>
      </c>
      <c r="BP199" s="222">
        <f>BO200/BO199</f>
        <v>-0.49481920067667579</v>
      </c>
      <c r="BQ199" s="214">
        <v>88.89</v>
      </c>
      <c r="BR199" s="222">
        <f>BQ200/BQ199</f>
        <v>0.15716053549330633</v>
      </c>
      <c r="BS199" s="214">
        <v>98.61</v>
      </c>
      <c r="BT199" s="222">
        <f>BS200/BS199</f>
        <v>0.25920292059628841</v>
      </c>
      <c r="BU199" s="214">
        <v>60.94</v>
      </c>
      <c r="BV199" s="222">
        <f>BU200/BU199</f>
        <v>0.14735805710534947</v>
      </c>
      <c r="BW199" s="214">
        <v>82.01</v>
      </c>
      <c r="BX199" s="222">
        <f>BW200/BW199</f>
        <v>0.21253505670040246</v>
      </c>
      <c r="BY199" s="214">
        <v>89.96</v>
      </c>
      <c r="BZ199" s="222">
        <f>BY200/BY199</f>
        <v>0.19475322365495773</v>
      </c>
      <c r="CA199" s="214">
        <v>89.16</v>
      </c>
      <c r="CB199" s="222">
        <f>CA200/CA199</f>
        <v>0.34578286227007626</v>
      </c>
      <c r="CC199" s="214">
        <v>81.17</v>
      </c>
      <c r="CD199" s="222">
        <f>CC200/CC199</f>
        <v>0.39571270173709505</v>
      </c>
      <c r="CE199" s="214">
        <v>82.3</v>
      </c>
      <c r="CF199" s="222">
        <f>CE200/CE199</f>
        <v>0.34034021871202913</v>
      </c>
      <c r="CG199" s="214">
        <v>99.28</v>
      </c>
      <c r="CH199" s="222">
        <f>CG200/CG199</f>
        <v>0.25614423851732482</v>
      </c>
    </row>
    <row r="200" spans="1:87">
      <c r="C200" s="241" t="s">
        <v>9</v>
      </c>
      <c r="D200" s="214">
        <f>D198+D199</f>
        <v>36.210000000000008</v>
      </c>
      <c r="F200" s="214">
        <f>F198+F199</f>
        <v>16.170000000000002</v>
      </c>
      <c r="G200" s="214"/>
      <c r="H200" s="214">
        <f>H198+H199</f>
        <v>10.629999999999995</v>
      </c>
      <c r="J200" s="214">
        <f>J198+J199</f>
        <v>6.2800000000000011</v>
      </c>
      <c r="L200" s="214">
        <f>L198+L199</f>
        <v>13.89</v>
      </c>
      <c r="N200" s="214">
        <f>N198+N199</f>
        <v>13.380000000000003</v>
      </c>
      <c r="P200" s="214">
        <f>P198+P199</f>
        <v>7.6300000000000097</v>
      </c>
      <c r="R200" s="214">
        <f>R198+R199</f>
        <v>23.040000000000006</v>
      </c>
      <c r="S200" s="214"/>
      <c r="T200" s="214">
        <f>T198+T199</f>
        <v>41.779999999999994</v>
      </c>
      <c r="V200" s="214">
        <f>V198+V199</f>
        <v>87.55</v>
      </c>
      <c r="X200" s="214">
        <f>X198+X199</f>
        <v>33.090000000000003</v>
      </c>
      <c r="Z200" s="214">
        <f>Z198+Z199</f>
        <v>29.949999999999996</v>
      </c>
      <c r="AB200" s="302">
        <f>AB198+AB199</f>
        <v>28.099999999999994</v>
      </c>
      <c r="AD200" s="242">
        <f>AD198+AD199</f>
        <v>38.82</v>
      </c>
      <c r="AF200" s="242">
        <f>AF198+AF199</f>
        <v>4.4000000000000057</v>
      </c>
      <c r="AH200" s="243">
        <f>AH198+AH199</f>
        <v>14.810000000000002</v>
      </c>
      <c r="AJ200" s="243">
        <f>AJ198+AJ199</f>
        <v>-14.189999999999998</v>
      </c>
      <c r="AL200" s="243">
        <f>AL198+AL199</f>
        <v>-2.3599999999999994</v>
      </c>
      <c r="AN200" s="243">
        <f>AN198+AN199</f>
        <v>-9.9400000000000013</v>
      </c>
      <c r="AP200" s="214">
        <f>AP198+AP199</f>
        <v>-46.43</v>
      </c>
      <c r="AR200" s="214">
        <f>AR198+AR199</f>
        <v>-3.9799999999999898</v>
      </c>
      <c r="AT200" s="214">
        <f>AT198+AT199</f>
        <v>-2.9299999999999997</v>
      </c>
      <c r="AV200" s="214">
        <f>AV198+AV199</f>
        <v>2.490000000000002</v>
      </c>
      <c r="AX200" s="214">
        <f>AX198+AX199</f>
        <v>1.3299999999999983</v>
      </c>
      <c r="BA200" s="214">
        <f>BA198+BA199</f>
        <v>47.54</v>
      </c>
      <c r="BC200" s="214">
        <f>BC198+BC199</f>
        <v>24.759999999999998</v>
      </c>
      <c r="BE200" s="214">
        <f>BE198+BE199</f>
        <v>20.940000000000005</v>
      </c>
      <c r="BG200" s="214">
        <f>BG198+BG199</f>
        <v>26.4</v>
      </c>
      <c r="BI200" s="214">
        <f>BI198+BI199</f>
        <v>10.030000000000001</v>
      </c>
      <c r="BK200" s="214">
        <f>BK198+BK199</f>
        <v>36.330000000000005</v>
      </c>
      <c r="BM200" s="214">
        <f>BM198+BM199</f>
        <v>-11</v>
      </c>
      <c r="BO200" s="214">
        <f>BO198+BO199</f>
        <v>-23.4</v>
      </c>
      <c r="BQ200" s="214">
        <f>BQ198+BQ199</f>
        <v>13.969999999999999</v>
      </c>
      <c r="BS200" s="214">
        <f>BS198+BS199</f>
        <v>25.560000000000002</v>
      </c>
      <c r="BU200" s="214">
        <f>BU198+BU199</f>
        <v>8.9799999999999969</v>
      </c>
      <c r="BW200" s="214">
        <f>BW198+BW199</f>
        <v>17.430000000000007</v>
      </c>
      <c r="BY200" s="214">
        <f>BY198+BY199</f>
        <v>17.519999999999996</v>
      </c>
      <c r="CA200" s="214">
        <f>CA198+CA199</f>
        <v>30.83</v>
      </c>
      <c r="CC200" s="214">
        <f>CC198+CC199</f>
        <v>32.120000000000005</v>
      </c>
      <c r="CE200" s="214">
        <f>CE198+CE199</f>
        <v>28.009999999999998</v>
      </c>
      <c r="CG200" s="214">
        <f>CG198+CG199</f>
        <v>25.430000000000007</v>
      </c>
    </row>
    <row r="201" spans="1:87">
      <c r="A201" s="231">
        <v>50</v>
      </c>
      <c r="B201" s="232">
        <v>240460650</v>
      </c>
      <c r="C201" s="213" t="s">
        <v>699</v>
      </c>
      <c r="AP201" s="214"/>
      <c r="AT201" s="214"/>
    </row>
    <row r="202" spans="1:87">
      <c r="C202" s="253" t="s">
        <v>85</v>
      </c>
      <c r="D202" s="235">
        <v>44927</v>
      </c>
      <c r="E202" s="235"/>
      <c r="F202" s="235">
        <v>44958</v>
      </c>
      <c r="G202" s="235"/>
      <c r="H202" s="235">
        <v>44986</v>
      </c>
      <c r="I202" s="235"/>
      <c r="J202" s="235">
        <v>45017</v>
      </c>
      <c r="K202" s="235"/>
      <c r="L202" s="246">
        <v>45047</v>
      </c>
      <c r="M202" s="235"/>
      <c r="N202" s="235">
        <v>45078</v>
      </c>
      <c r="O202" s="235"/>
      <c r="P202" s="235">
        <v>45108</v>
      </c>
      <c r="Q202" s="235"/>
      <c r="R202" s="235">
        <v>45139</v>
      </c>
      <c r="S202" s="235"/>
      <c r="T202" s="235">
        <v>45170</v>
      </c>
      <c r="U202" s="235"/>
      <c r="V202" s="235">
        <v>45200</v>
      </c>
      <c r="W202" s="235"/>
      <c r="X202" s="235">
        <v>45231</v>
      </c>
      <c r="Y202" s="235"/>
      <c r="Z202" s="235">
        <v>45261</v>
      </c>
      <c r="AA202" s="235"/>
      <c r="AB202" s="235">
        <v>45292</v>
      </c>
      <c r="AC202" s="235"/>
      <c r="AD202" s="235">
        <v>45323</v>
      </c>
      <c r="AE202" s="235"/>
      <c r="AF202" s="235">
        <v>45352</v>
      </c>
      <c r="AH202" s="235">
        <v>45383</v>
      </c>
      <c r="AJ202" s="235">
        <v>45413</v>
      </c>
      <c r="AL202" s="235">
        <v>45444</v>
      </c>
      <c r="AN202" s="235">
        <v>45474</v>
      </c>
      <c r="AP202" s="235">
        <v>45505</v>
      </c>
      <c r="AR202" s="236">
        <v>45536</v>
      </c>
      <c r="AT202" s="236">
        <v>45566</v>
      </c>
      <c r="AV202" s="235">
        <v>45597</v>
      </c>
      <c r="AX202" s="235">
        <v>45627</v>
      </c>
      <c r="BA202" s="235">
        <v>45658</v>
      </c>
      <c r="BC202" s="235">
        <v>45689</v>
      </c>
      <c r="BE202" s="235">
        <v>45717</v>
      </c>
      <c r="BG202" s="235">
        <v>45748</v>
      </c>
      <c r="BI202" s="235">
        <v>45778</v>
      </c>
      <c r="BK202" s="235">
        <v>45809</v>
      </c>
      <c r="BM202" s="235">
        <v>45839</v>
      </c>
      <c r="BO202" s="235">
        <v>45870</v>
      </c>
      <c r="BQ202" s="235">
        <v>45901</v>
      </c>
      <c r="BS202" s="235">
        <v>45931</v>
      </c>
      <c r="BU202" s="235">
        <v>45962</v>
      </c>
      <c r="BW202" s="235">
        <v>45992</v>
      </c>
      <c r="BY202" s="235">
        <v>46023</v>
      </c>
      <c r="CA202" s="235">
        <v>46054</v>
      </c>
      <c r="CC202" s="235">
        <v>46082</v>
      </c>
      <c r="CE202" s="235">
        <v>46113</v>
      </c>
      <c r="CG202" s="235">
        <v>46143</v>
      </c>
      <c r="CI202" s="341">
        <v>46174</v>
      </c>
    </row>
    <row r="203" spans="1:87">
      <c r="C203" s="213" t="s">
        <v>7</v>
      </c>
      <c r="D203" s="214">
        <v>-49.04</v>
      </c>
      <c r="F203" s="214">
        <v>-37.36</v>
      </c>
      <c r="H203" s="237">
        <v>-31.04</v>
      </c>
      <c r="J203" s="237">
        <v>-31.04</v>
      </c>
      <c r="L203" s="237">
        <v>-34.96</v>
      </c>
      <c r="N203" s="237">
        <v>-15.62</v>
      </c>
      <c r="P203" s="237">
        <v>-79.849999999999994</v>
      </c>
      <c r="R203" s="237">
        <v>-145.22999999999999</v>
      </c>
      <c r="T203" s="237">
        <f>-37.09-23.48</f>
        <v>-60.570000000000007</v>
      </c>
      <c r="V203" s="237">
        <v>-28.54</v>
      </c>
      <c r="X203" s="237">
        <v>-37.07</v>
      </c>
      <c r="Z203" s="238">
        <v>-31.12</v>
      </c>
      <c r="AB203" s="238">
        <f>-25.36-9</f>
        <v>-34.36</v>
      </c>
      <c r="AD203" s="237">
        <v>-21.09</v>
      </c>
      <c r="AF203" s="237">
        <f>-9.5-0</f>
        <v>-9.5</v>
      </c>
      <c r="AH203" s="237">
        <f>-22.88-9.24</f>
        <v>-32.119999999999997</v>
      </c>
      <c r="AJ203" s="237">
        <f>-19.88-19.19</f>
        <v>-39.07</v>
      </c>
      <c r="AL203" s="237">
        <v>-38.950000000000003</v>
      </c>
      <c r="AN203" s="237">
        <v>-36.89</v>
      </c>
      <c r="AP203" s="237">
        <v>-38.53</v>
      </c>
      <c r="AR203" s="237">
        <f>-6.67-33.05</f>
        <v>-39.72</v>
      </c>
      <c r="AT203" s="237">
        <v>-29.5</v>
      </c>
      <c r="AV203" s="237">
        <v>-42.59</v>
      </c>
      <c r="AX203" s="237">
        <v>-58.72</v>
      </c>
      <c r="BA203" s="237">
        <v>-61.07</v>
      </c>
      <c r="BC203" s="237">
        <v>-68.37</v>
      </c>
      <c r="BE203" s="237">
        <v>-73.12</v>
      </c>
      <c r="BG203" s="237">
        <v>-32.51</v>
      </c>
      <c r="BI203" s="237">
        <v>-45.7</v>
      </c>
      <c r="BK203" s="237">
        <v>-32.51</v>
      </c>
      <c r="BM203" s="237">
        <v>-38.1</v>
      </c>
      <c r="BO203" s="237">
        <v>-96.92</v>
      </c>
      <c r="BQ203" s="237">
        <f>-38.31-131.94</f>
        <v>-170.25</v>
      </c>
      <c r="BS203" s="237">
        <v>-83.13</v>
      </c>
      <c r="BU203" s="237">
        <v>-77.34</v>
      </c>
      <c r="BW203" s="237">
        <v>-91.44</v>
      </c>
      <c r="BY203" s="237">
        <v>-91.27</v>
      </c>
      <c r="CA203" s="237">
        <v>-83.03</v>
      </c>
      <c r="CC203" s="237">
        <v>-121.52</v>
      </c>
      <c r="CE203" s="237">
        <v>-69.08</v>
      </c>
      <c r="CG203" s="237">
        <v>-71.290000000000006</v>
      </c>
    </row>
    <row r="204" spans="1:87">
      <c r="C204" s="213" t="s">
        <v>8</v>
      </c>
      <c r="D204" s="214">
        <v>49.62</v>
      </c>
      <c r="E204" s="222">
        <f>ABS(((D203+D204)/D203))</f>
        <v>1.182707993474711E-2</v>
      </c>
      <c r="F204" s="214">
        <v>50.53</v>
      </c>
      <c r="G204" s="222">
        <f>ABS(((F203+F204)/F203))</f>
        <v>0.3525160599571735</v>
      </c>
      <c r="H204" s="214">
        <v>30.5</v>
      </c>
      <c r="I204" s="222">
        <f>-(((H203+H204)/H203))</f>
        <v>-1.7396907216494818E-2</v>
      </c>
      <c r="J204" s="214">
        <v>31.16</v>
      </c>
      <c r="K204" s="222">
        <f>-(((J203+J204)/J203))</f>
        <v>3.8659793814433312E-3</v>
      </c>
      <c r="L204" s="214">
        <v>31.74</v>
      </c>
      <c r="M204" s="266" t="s">
        <v>37</v>
      </c>
      <c r="N204" s="214">
        <v>24.78</v>
      </c>
      <c r="O204" s="222">
        <f>ABS(((N203+N204)/N203))</f>
        <v>0.58642765685019216</v>
      </c>
      <c r="P204" s="214">
        <v>119.16</v>
      </c>
      <c r="Q204" s="222">
        <f>ABS(((P203+P204)/P203))</f>
        <v>0.49229805886036326</v>
      </c>
      <c r="R204" s="214">
        <v>148.56</v>
      </c>
      <c r="S204" s="222">
        <f>ABS(((R203+R204)/R203))</f>
        <v>2.2929146870481393E-2</v>
      </c>
      <c r="T204" s="214">
        <v>32.74</v>
      </c>
      <c r="U204" s="222">
        <f>ABS(((T203+T204)/T203))</f>
        <v>0.45946838368829457</v>
      </c>
      <c r="V204" s="214">
        <v>30.86</v>
      </c>
      <c r="W204" s="222">
        <f>ABS(((V203+V204)/V203))</f>
        <v>8.1289418360196222E-2</v>
      </c>
      <c r="X204" s="214">
        <v>42.13</v>
      </c>
      <c r="Y204" s="222">
        <f>ABS(((X203+X204)/X203))</f>
        <v>0.13649851632047483</v>
      </c>
      <c r="Z204" s="213">
        <v>33.56</v>
      </c>
      <c r="AA204" s="222">
        <f>ABS(((Z203+Z204)/Z203))</f>
        <v>7.8406169665809808E-2</v>
      </c>
      <c r="AB204" s="213">
        <v>39.340000000000003</v>
      </c>
      <c r="AC204" s="222">
        <f>ABS(((AB203+AB204)/AB203))</f>
        <v>0.14493597206053563</v>
      </c>
      <c r="AD204" s="213">
        <v>31.29</v>
      </c>
      <c r="AE204" s="301">
        <v>0.40500000000000003</v>
      </c>
      <c r="AF204" s="213">
        <v>32.08</v>
      </c>
      <c r="AG204" s="213">
        <v>-28.63</v>
      </c>
      <c r="AH204" s="214">
        <v>30.7</v>
      </c>
      <c r="AI204" s="222">
        <f>ABS(((AH203+AH204)/AH203))</f>
        <v>4.4209215442092102E-2</v>
      </c>
      <c r="AJ204" s="214">
        <v>0</v>
      </c>
      <c r="AK204" s="222">
        <f>ABS(((AJ203+AJ204)/AJ203))</f>
        <v>1</v>
      </c>
      <c r="AL204" s="214">
        <v>0</v>
      </c>
      <c r="AM204" s="222"/>
      <c r="AN204" s="214">
        <v>1.89</v>
      </c>
      <c r="AO204" s="222"/>
      <c r="AP204" s="214">
        <v>1.23</v>
      </c>
      <c r="AQ204" s="222">
        <f>ABS(((AP203+AP204)/AP203))</f>
        <v>0.96807682325460687</v>
      </c>
      <c r="AR204" s="214">
        <v>53.64</v>
      </c>
      <c r="AS204" s="222">
        <f>ABS(((AR203+AR204)/AR203))</f>
        <v>0.35045317220543815</v>
      </c>
      <c r="AT204" s="214">
        <v>70.84</v>
      </c>
      <c r="AU204" s="222">
        <f>AT205/AT204</f>
        <v>0.5835686053077358</v>
      </c>
      <c r="AV204" s="214">
        <v>95.07</v>
      </c>
      <c r="AW204" s="222">
        <f>AV205/AV204</f>
        <v>0.55201430524876405</v>
      </c>
      <c r="AX204" s="214">
        <v>121.33</v>
      </c>
      <c r="AY204" s="224">
        <f>AX205/AX204</f>
        <v>0.51603066018297206</v>
      </c>
      <c r="AZ204" s="225"/>
      <c r="BA204" s="214">
        <v>120.5</v>
      </c>
      <c r="BB204" s="222">
        <f>BA205/BA204</f>
        <v>0.49319502074688798</v>
      </c>
      <c r="BC204" s="214">
        <v>81.31</v>
      </c>
      <c r="BD204" s="222">
        <f>BC205/BC204</f>
        <v>0.15914401672610992</v>
      </c>
      <c r="BE204" s="214">
        <v>85.07</v>
      </c>
      <c r="BF204" s="222">
        <f>BE205/BE204</f>
        <v>0.14047255201598671</v>
      </c>
      <c r="BG204" s="214">
        <v>39.869999999999997</v>
      </c>
      <c r="BH204" s="222">
        <f>BG205/BG204</f>
        <v>0.18459994983697015</v>
      </c>
      <c r="BI204" s="214">
        <v>55.38</v>
      </c>
      <c r="BJ204" s="222">
        <f>BI205/BI204</f>
        <v>0.1747923438064283</v>
      </c>
      <c r="BK204" s="214">
        <v>75.88</v>
      </c>
      <c r="BL204" s="222">
        <f>BK205/BK204</f>
        <v>0.5715603584607275</v>
      </c>
      <c r="BM204" s="239">
        <v>52.27</v>
      </c>
      <c r="BN204" s="222">
        <f>BM205/BM204</f>
        <v>0.27109240482112112</v>
      </c>
      <c r="BO204" s="214">
        <v>116.44</v>
      </c>
      <c r="BP204" s="222">
        <f>BO205/BO204</f>
        <v>0.16763998625901749</v>
      </c>
      <c r="BQ204" s="214">
        <v>64.78</v>
      </c>
      <c r="BR204" s="222">
        <f>BQ205/BQ204</f>
        <v>-1.6281259648039519</v>
      </c>
      <c r="BS204" s="214">
        <v>84.04</v>
      </c>
      <c r="BT204" s="222">
        <f>BS205/BS204</f>
        <v>1.0828177058543678E-2</v>
      </c>
      <c r="BU204" s="214">
        <v>78.25</v>
      </c>
      <c r="BV204" s="222">
        <f>BU205/BU204</f>
        <v>1.1629392971245963E-2</v>
      </c>
      <c r="BW204" s="214">
        <v>91.2</v>
      </c>
      <c r="BX204" s="222">
        <f>BW205/BW204</f>
        <v>-2.631578947368365E-3</v>
      </c>
      <c r="BY204" s="214">
        <v>89.93</v>
      </c>
      <c r="BZ204" s="222">
        <f>BY205/BY204</f>
        <v>-1.4900478149671846E-2</v>
      </c>
      <c r="CA204" s="214">
        <v>88.55</v>
      </c>
      <c r="CB204" s="222">
        <f>CA205/CA204</f>
        <v>6.2337662337662296E-2</v>
      </c>
      <c r="CC204" s="214">
        <v>184.65</v>
      </c>
      <c r="CD204" s="222">
        <f>CC205/CC204</f>
        <v>0.34189006227998919</v>
      </c>
      <c r="CE204" s="214">
        <v>80.09</v>
      </c>
      <c r="CF204" s="222">
        <f>CE205/CE204</f>
        <v>0.13747034586090653</v>
      </c>
      <c r="CG204" s="214">
        <v>69.84</v>
      </c>
      <c r="CH204" s="222">
        <f>CG205/CG204</f>
        <v>-2.0761741122565906E-2</v>
      </c>
    </row>
    <row r="205" spans="1:87">
      <c r="C205" s="241" t="s">
        <v>9</v>
      </c>
      <c r="D205" s="214">
        <f>SUM(D203:D204)</f>
        <v>0.57999999999999829</v>
      </c>
      <c r="F205" s="214">
        <f>SUM(F203:F204)</f>
        <v>13.170000000000002</v>
      </c>
      <c r="H205" s="214">
        <f>SUM(H203:H204)</f>
        <v>-0.53999999999999915</v>
      </c>
      <c r="J205" s="214">
        <f>SUM(J203:J204)</f>
        <v>0.12000000000000099</v>
      </c>
      <c r="L205" s="214">
        <f>SUM(L203:L204)</f>
        <v>-3.2200000000000024</v>
      </c>
      <c r="N205" s="214">
        <f>SUM(N203:N204)</f>
        <v>9.1600000000000019</v>
      </c>
      <c r="P205" s="214">
        <f>SUM(P203:P204)</f>
        <v>39.31</v>
      </c>
      <c r="R205" s="214">
        <f>R203+R204</f>
        <v>3.3300000000000125</v>
      </c>
      <c r="S205" s="214"/>
      <c r="T205" s="214">
        <f>T203+T204</f>
        <v>-27.830000000000005</v>
      </c>
      <c r="V205" s="214">
        <f>V203+V204</f>
        <v>2.3200000000000003</v>
      </c>
      <c r="X205" s="214">
        <f>X203+X204</f>
        <v>5.0600000000000023</v>
      </c>
      <c r="Z205" s="214">
        <f>Z203+Z204</f>
        <v>2.4400000000000013</v>
      </c>
      <c r="AB205" s="243">
        <f>AB203+AB204</f>
        <v>4.980000000000004</v>
      </c>
      <c r="AD205" s="243">
        <f>AD203+AD204</f>
        <v>10.199999999999999</v>
      </c>
      <c r="AF205" s="243">
        <f>AF203+AF204</f>
        <v>22.58</v>
      </c>
      <c r="AH205" s="243">
        <f>AH203+AH204</f>
        <v>-1.4199999999999982</v>
      </c>
      <c r="AJ205" s="243">
        <f>AJ203+AJ204</f>
        <v>-39.07</v>
      </c>
      <c r="AL205" s="243">
        <f>AL203+AL204</f>
        <v>-38.950000000000003</v>
      </c>
      <c r="AN205" s="243">
        <f>AN203+AN204</f>
        <v>-35</v>
      </c>
      <c r="AP205" s="214">
        <f>AP203+AP204</f>
        <v>-37.300000000000004</v>
      </c>
      <c r="AR205" s="214">
        <f>AR203+AR204</f>
        <v>13.920000000000002</v>
      </c>
      <c r="AT205" s="214">
        <f>AT203+AT204</f>
        <v>41.34</v>
      </c>
      <c r="AV205" s="214">
        <f>AV203+AV204</f>
        <v>52.47999999999999</v>
      </c>
      <c r="AX205" s="214">
        <f>AX203+AX204</f>
        <v>62.61</v>
      </c>
      <c r="BA205" s="214">
        <f>BA203+BA204</f>
        <v>59.43</v>
      </c>
      <c r="BC205" s="214">
        <f>BC203+BC204</f>
        <v>12.939999999999998</v>
      </c>
      <c r="BE205" s="214">
        <f>BE203+BE204</f>
        <v>11.949999999999989</v>
      </c>
      <c r="BG205" s="214">
        <f>BG203+BG204</f>
        <v>7.3599999999999994</v>
      </c>
      <c r="BI205" s="214">
        <f>BI203+BI204</f>
        <v>9.68</v>
      </c>
      <c r="BK205" s="214">
        <f>BK203+BK204</f>
        <v>43.37</v>
      </c>
      <c r="BM205" s="214">
        <f>BM203+BM204</f>
        <v>14.170000000000002</v>
      </c>
      <c r="BO205" s="214">
        <f>BO203+BO204</f>
        <v>19.519999999999996</v>
      </c>
      <c r="BQ205" s="214">
        <f>BQ203+BQ204</f>
        <v>-105.47</v>
      </c>
      <c r="BS205" s="214">
        <f>BS203+BS204</f>
        <v>0.9100000000000108</v>
      </c>
      <c r="BU205" s="214">
        <f>BU203+BU204</f>
        <v>0.90999999999999659</v>
      </c>
      <c r="BW205" s="214">
        <f>BW203+BW204</f>
        <v>-0.23999999999999488</v>
      </c>
      <c r="BY205" s="214">
        <f>BY203+BY204</f>
        <v>-1.3399999999999892</v>
      </c>
      <c r="CA205" s="214">
        <f>CA203+CA204</f>
        <v>5.519999999999996</v>
      </c>
      <c r="CC205" s="214">
        <f>CC203+CC204</f>
        <v>63.13000000000001</v>
      </c>
      <c r="CE205" s="214">
        <f>CE203+CE204</f>
        <v>11.010000000000005</v>
      </c>
      <c r="CG205" s="214">
        <f>CG203+CG204</f>
        <v>-1.4500000000000028</v>
      </c>
    </row>
    <row r="206" spans="1:87">
      <c r="A206" s="231">
        <v>52</v>
      </c>
      <c r="B206" s="232">
        <v>549791334</v>
      </c>
      <c r="C206" s="213" t="s">
        <v>428</v>
      </c>
      <c r="AP206" s="214"/>
      <c r="AT206" s="214"/>
    </row>
    <row r="207" spans="1:87">
      <c r="C207" s="253" t="s">
        <v>86</v>
      </c>
      <c r="D207" s="235">
        <v>44927</v>
      </c>
      <c r="E207" s="235"/>
      <c r="F207" s="235">
        <v>44958</v>
      </c>
      <c r="G207" s="235"/>
      <c r="H207" s="235">
        <v>44986</v>
      </c>
      <c r="I207" s="235"/>
      <c r="J207" s="235">
        <v>45017</v>
      </c>
      <c r="K207" s="235"/>
      <c r="L207" s="246">
        <v>45047</v>
      </c>
      <c r="M207" s="235"/>
      <c r="N207" s="235">
        <v>45078</v>
      </c>
      <c r="O207" s="235"/>
      <c r="P207" s="235">
        <v>45108</v>
      </c>
      <c r="Q207" s="235"/>
      <c r="R207" s="235">
        <v>45139</v>
      </c>
      <c r="S207" s="235"/>
      <c r="T207" s="235">
        <v>45170</v>
      </c>
      <c r="U207" s="235"/>
      <c r="V207" s="235">
        <v>45200</v>
      </c>
      <c r="W207" s="235"/>
      <c r="X207" s="235">
        <v>45231</v>
      </c>
      <c r="Y207" s="235"/>
      <c r="Z207" s="235">
        <v>45261</v>
      </c>
      <c r="AA207" s="235"/>
      <c r="AB207" s="235">
        <v>45292</v>
      </c>
      <c r="AC207" s="235"/>
      <c r="AD207" s="235">
        <v>45323</v>
      </c>
      <c r="AE207" s="235"/>
      <c r="AF207" s="235">
        <v>45352</v>
      </c>
      <c r="AH207" s="235">
        <v>45383</v>
      </c>
      <c r="AJ207" s="235">
        <v>45413</v>
      </c>
      <c r="AL207" s="235">
        <v>45444</v>
      </c>
      <c r="AN207" s="235">
        <v>45474</v>
      </c>
      <c r="AP207" s="235">
        <v>45505</v>
      </c>
      <c r="AR207" s="236">
        <v>45536</v>
      </c>
      <c r="AT207" s="236">
        <v>45566</v>
      </c>
      <c r="AV207" s="235">
        <v>45597</v>
      </c>
      <c r="AX207" s="235">
        <v>45627</v>
      </c>
      <c r="BA207" s="235">
        <v>45658</v>
      </c>
      <c r="BC207" s="235">
        <v>45689</v>
      </c>
      <c r="BE207" s="235">
        <v>45717</v>
      </c>
      <c r="BG207" s="235">
        <v>45748</v>
      </c>
      <c r="BI207" s="235">
        <v>45778</v>
      </c>
      <c r="BK207" s="235">
        <v>45809</v>
      </c>
      <c r="BM207" s="235">
        <v>45839</v>
      </c>
      <c r="BO207" s="235">
        <v>45870</v>
      </c>
      <c r="BQ207" s="235">
        <v>45901</v>
      </c>
      <c r="BS207" s="235">
        <v>45931</v>
      </c>
      <c r="BU207" s="235">
        <v>45962</v>
      </c>
      <c r="BW207" s="235">
        <v>45992</v>
      </c>
      <c r="BY207" s="235">
        <v>46023</v>
      </c>
      <c r="CA207" s="235">
        <v>46054</v>
      </c>
      <c r="CC207" s="235">
        <v>46082</v>
      </c>
      <c r="CE207" s="235">
        <v>46113</v>
      </c>
      <c r="CG207" s="235">
        <v>46143</v>
      </c>
      <c r="CI207" s="341">
        <v>46174</v>
      </c>
    </row>
    <row r="208" spans="1:87">
      <c r="C208" s="213" t="s">
        <v>7</v>
      </c>
      <c r="D208" s="214">
        <v>-293.76</v>
      </c>
      <c r="F208" s="214">
        <v>-285.64999999999998</v>
      </c>
      <c r="H208" s="237">
        <v>-160.74</v>
      </c>
      <c r="J208" s="238">
        <v>-28.99</v>
      </c>
      <c r="L208" s="238">
        <v>-94.08</v>
      </c>
      <c r="N208" s="237">
        <f>-7.44-48.72</f>
        <v>-56.16</v>
      </c>
      <c r="P208" s="237">
        <v>-250.19</v>
      </c>
      <c r="R208" s="237">
        <v>-320.54000000000002</v>
      </c>
      <c r="T208" s="237">
        <v>-150.63</v>
      </c>
      <c r="V208" s="237">
        <v>-133.08000000000001</v>
      </c>
      <c r="X208" s="214">
        <v>0</v>
      </c>
      <c r="Z208" s="238">
        <v>-193.8</v>
      </c>
      <c r="AB208" s="237">
        <v>-271.05</v>
      </c>
      <c r="AD208" s="237">
        <v>-186.3</v>
      </c>
      <c r="AF208" s="237">
        <v>-135.19</v>
      </c>
      <c r="AH208" s="237">
        <f>-21.6-80.56</f>
        <v>-102.16</v>
      </c>
      <c r="AJ208" s="237">
        <v>-84.49</v>
      </c>
      <c r="AL208" s="214">
        <v>0</v>
      </c>
      <c r="AN208" s="237">
        <v>-155.9</v>
      </c>
      <c r="AP208" s="237">
        <v>-276.02999999999997</v>
      </c>
      <c r="AR208" s="237">
        <f>-62.98-12.46</f>
        <v>-75.44</v>
      </c>
      <c r="AT208" s="237">
        <v>-227.17</v>
      </c>
      <c r="AV208" s="237">
        <v>-164.15</v>
      </c>
      <c r="AX208" s="237">
        <v>-256.97000000000003</v>
      </c>
      <c r="BA208" s="237">
        <v>-233.8</v>
      </c>
      <c r="BC208" s="237">
        <v>-225.52</v>
      </c>
      <c r="BE208" s="237">
        <v>-274.14</v>
      </c>
      <c r="BG208" s="237">
        <v>-161.11000000000001</v>
      </c>
      <c r="BI208" s="237">
        <v>-150.83000000000001</v>
      </c>
      <c r="BK208" s="237">
        <v>-132.69</v>
      </c>
      <c r="BM208" s="237">
        <v>-183.9</v>
      </c>
      <c r="BO208" s="237">
        <v>-289.25</v>
      </c>
      <c r="BQ208" s="237">
        <v>-142.94</v>
      </c>
      <c r="BS208" s="237">
        <v>-191.74</v>
      </c>
      <c r="BU208" s="237">
        <v>-162.26</v>
      </c>
      <c r="BW208" s="237">
        <v>-190.24</v>
      </c>
      <c r="BY208" s="237">
        <v>-197.74</v>
      </c>
      <c r="CA208" s="237">
        <v>-186.42</v>
      </c>
      <c r="CC208" s="237">
        <v>-210.54</v>
      </c>
      <c r="CE208" s="237">
        <v>-104.92</v>
      </c>
      <c r="CG208" s="237">
        <v>-151.29</v>
      </c>
    </row>
    <row r="209" spans="1:87">
      <c r="C209" s="213" t="s">
        <v>8</v>
      </c>
      <c r="D209" s="214">
        <v>440.34</v>
      </c>
      <c r="E209" s="222">
        <f>ABS(((D208+D209)/D208))</f>
        <v>0.49897875816993459</v>
      </c>
      <c r="F209" s="214">
        <v>364.31</v>
      </c>
      <c r="G209" s="222">
        <f>ABS(((F208+F209)/F208))</f>
        <v>0.27537195869070552</v>
      </c>
      <c r="H209" s="214">
        <v>260.33</v>
      </c>
      <c r="I209" s="222">
        <f>ABS(((H208+H209)/H208))</f>
        <v>0.61957197959437582</v>
      </c>
      <c r="J209" s="213">
        <v>125.31</v>
      </c>
      <c r="K209" s="222">
        <f>ABS(((J208+J209)/J208))</f>
        <v>3.3225250086236637</v>
      </c>
      <c r="L209" s="213">
        <v>188.79</v>
      </c>
      <c r="M209" s="222">
        <f>ABS(((L208+L209)/L208))</f>
        <v>1.0066964285714286</v>
      </c>
      <c r="N209" s="214">
        <v>227.47</v>
      </c>
      <c r="O209" s="222">
        <f>ABS(((N208+N209)/N208))</f>
        <v>3.0503917378917382</v>
      </c>
      <c r="P209" s="214">
        <v>350.2</v>
      </c>
      <c r="Q209" s="222">
        <f>ABS(((P208+P209)/P208))</f>
        <v>0.39973620048762937</v>
      </c>
      <c r="R209" s="214">
        <v>491.67</v>
      </c>
      <c r="S209" s="222">
        <f>ABS(((R208+R209)/R208))</f>
        <v>0.5338803269482747</v>
      </c>
      <c r="T209" s="214">
        <v>282.42</v>
      </c>
      <c r="U209" s="222">
        <f>ABS(((T208+T209)/T208))</f>
        <v>0.87492531368253357</v>
      </c>
      <c r="V209" s="214">
        <v>242.51</v>
      </c>
      <c r="W209" s="222">
        <f>ABS(((V208+V209)/V208))</f>
        <v>0.82228734595731867</v>
      </c>
      <c r="X209" s="214">
        <v>266.58999999999997</v>
      </c>
      <c r="Y209" s="301">
        <v>0.40500000000000003</v>
      </c>
      <c r="Z209" s="213">
        <v>300.48</v>
      </c>
      <c r="AA209" s="301">
        <v>0.40500000000000003</v>
      </c>
      <c r="AB209" s="214">
        <v>437.06</v>
      </c>
      <c r="AC209" s="301">
        <v>0.40500000000000003</v>
      </c>
      <c r="AD209" s="214">
        <v>320.18</v>
      </c>
      <c r="AE209" s="301">
        <v>0.40500000000000003</v>
      </c>
      <c r="AF209" s="214">
        <v>262.06</v>
      </c>
      <c r="AG209" s="222">
        <f>ABS(((AF208+AF209)/AF208))</f>
        <v>0.93845698646349585</v>
      </c>
      <c r="AH209" s="214">
        <v>232.81</v>
      </c>
      <c r="AI209" s="222">
        <f>ABS(((AH208+AH209)/AH208))</f>
        <v>1.2788762725137042</v>
      </c>
      <c r="AJ209" s="214">
        <v>202.18</v>
      </c>
      <c r="AK209" s="222">
        <f>ABS(((AJ208+AJ209)/AJ208))</f>
        <v>1.3929459107586699</v>
      </c>
      <c r="AL209" s="214">
        <v>61.68</v>
      </c>
      <c r="AM209" s="222" t="e">
        <f>ABS(((AL208+AL209)/AL208))</f>
        <v>#DIV/0!</v>
      </c>
      <c r="AN209" s="214">
        <v>171.17</v>
      </c>
      <c r="AO209" s="222">
        <f>ABS(((AN208+AN209)/AN208))</f>
        <v>9.794740218088506E-2</v>
      </c>
      <c r="AP209" s="214">
        <v>293.44</v>
      </c>
      <c r="AQ209" s="222">
        <f>ABS(((AP208+AP209)/AP208))</f>
        <v>6.3072854399884165E-2</v>
      </c>
      <c r="AR209" s="214">
        <v>22.52</v>
      </c>
      <c r="AS209" s="222">
        <f>ABS(((AR208+AR209)/AR208))</f>
        <v>0.70148462354188768</v>
      </c>
      <c r="AT209" s="214">
        <v>229.15</v>
      </c>
      <c r="AU209" s="222">
        <f>AT210/AT209</f>
        <v>8.6406284093389404E-3</v>
      </c>
      <c r="AV209" s="214">
        <v>115.13</v>
      </c>
      <c r="AW209" s="222">
        <f>AV210/AV209</f>
        <v>-0.42577955354816305</v>
      </c>
      <c r="AX209" s="214">
        <v>196.64</v>
      </c>
      <c r="AY209" s="224">
        <f>AX210/AX209</f>
        <v>-0.30680431244914586</v>
      </c>
      <c r="AZ209" s="225"/>
      <c r="BA209" s="214">
        <v>317.91000000000003</v>
      </c>
      <c r="BB209" s="222">
        <f>BA210/BA209</f>
        <v>0.2645717341385927</v>
      </c>
      <c r="BC209" s="214">
        <v>210.14</v>
      </c>
      <c r="BD209" s="222">
        <f>BC210/BC209</f>
        <v>-7.3189302369848788E-2</v>
      </c>
      <c r="BE209" s="214">
        <v>286.14</v>
      </c>
      <c r="BF209" s="222">
        <f>BE210/BE209</f>
        <v>4.1937513105472848E-2</v>
      </c>
      <c r="BG209" s="214">
        <v>205.4</v>
      </c>
      <c r="BH209" s="222">
        <f>BG210/BG209</f>
        <v>0.21562804284323267</v>
      </c>
      <c r="BI209" s="214">
        <v>131.47999999999999</v>
      </c>
      <c r="BJ209" s="222">
        <f>BI210/BI209</f>
        <v>-0.14717067234560408</v>
      </c>
      <c r="BK209" s="214">
        <v>159.15</v>
      </c>
      <c r="BL209" s="222">
        <f>BK210/BK209</f>
        <v>0.16625824693685207</v>
      </c>
      <c r="BM209" s="239">
        <v>179.87</v>
      </c>
      <c r="BN209" s="222">
        <f>BM210/BM209</f>
        <v>-2.2405070328570639E-2</v>
      </c>
      <c r="BO209" s="214">
        <v>311.64999999999998</v>
      </c>
      <c r="BP209" s="222">
        <f>BO210/BO209</f>
        <v>7.1875501363709224E-2</v>
      </c>
      <c r="BQ209" s="214">
        <v>161.01</v>
      </c>
      <c r="BR209" s="222">
        <f>BQ210/BQ209</f>
        <v>0.11222905409601884</v>
      </c>
      <c r="BS209" s="214">
        <v>264.18</v>
      </c>
      <c r="BT209" s="222">
        <f>BS210/BS209</f>
        <v>0.27420698008933303</v>
      </c>
      <c r="BU209" s="214">
        <v>177.46</v>
      </c>
      <c r="BV209" s="222">
        <f>BU210/BU209</f>
        <v>8.5653104925053625E-2</v>
      </c>
      <c r="BW209" s="214">
        <v>252.87</v>
      </c>
      <c r="BX209" s="222">
        <f>BW210/BW209</f>
        <v>0.24767667180764819</v>
      </c>
      <c r="BY209" s="214">
        <v>211.64</v>
      </c>
      <c r="BZ209" s="222">
        <f>BY210/BY209</f>
        <v>6.567756567756558E-2</v>
      </c>
      <c r="CA209" s="214">
        <v>261.73</v>
      </c>
      <c r="CB209" s="222">
        <f>CA210/CA209</f>
        <v>0.28773927329690913</v>
      </c>
      <c r="CC209" s="214">
        <v>295.27999999999997</v>
      </c>
      <c r="CD209" s="222">
        <f>CC210/CC209</f>
        <v>0.28698184773774044</v>
      </c>
      <c r="CE209" s="214">
        <v>113.76</v>
      </c>
      <c r="CF209" s="222">
        <f>CE210/CE209</f>
        <v>7.7707454289732802E-2</v>
      </c>
      <c r="CG209" s="214">
        <v>135.04</v>
      </c>
      <c r="CH209" s="222">
        <f>CG210/CG209</f>
        <v>-0.12033471563981044</v>
      </c>
    </row>
    <row r="210" spans="1:87">
      <c r="C210" s="241" t="s">
        <v>9</v>
      </c>
      <c r="D210" s="252" t="e">
        <f>#REF!+D208+D209</f>
        <v>#REF!</v>
      </c>
      <c r="E210" s="252"/>
      <c r="F210" s="252">
        <f>SUM(F208:F209)</f>
        <v>78.660000000000025</v>
      </c>
      <c r="H210" s="252">
        <f>SUM(H208:H209)</f>
        <v>99.589999999999975</v>
      </c>
      <c r="J210" s="252">
        <f>SUM(J208:J209)</f>
        <v>96.320000000000007</v>
      </c>
      <c r="L210" s="252">
        <f>SUM(L208:L209)</f>
        <v>94.71</v>
      </c>
      <c r="N210" s="252">
        <f>SUM(N208:N209)</f>
        <v>171.31</v>
      </c>
      <c r="P210" s="252">
        <f>SUM(P208:P209)</f>
        <v>100.00999999999999</v>
      </c>
      <c r="R210" s="214">
        <f>R208+R209</f>
        <v>171.13</v>
      </c>
      <c r="S210" s="214"/>
      <c r="T210" s="214">
        <f>T208+T209</f>
        <v>131.79000000000002</v>
      </c>
      <c r="V210" s="214">
        <f>V208+V209</f>
        <v>109.42999999999998</v>
      </c>
      <c r="X210" s="214">
        <f>X208+X209</f>
        <v>266.58999999999997</v>
      </c>
      <c r="Z210" s="214">
        <f>Z208+Z209</f>
        <v>106.68</v>
      </c>
      <c r="AB210" s="242">
        <f>AB208+AB209</f>
        <v>166.01</v>
      </c>
      <c r="AD210" s="242">
        <f>AD208+AD209</f>
        <v>133.88</v>
      </c>
      <c r="AF210" s="242">
        <f>AF208+AF209</f>
        <v>126.87</v>
      </c>
      <c r="AH210" s="243">
        <f>AH208+AH209</f>
        <v>130.65</v>
      </c>
      <c r="AJ210" s="243">
        <f>AJ208+AJ209</f>
        <v>117.69000000000001</v>
      </c>
      <c r="AL210" s="242">
        <f>AL208+AL209</f>
        <v>61.68</v>
      </c>
      <c r="AN210" s="242">
        <f>AN208+AN209</f>
        <v>15.269999999999982</v>
      </c>
      <c r="AP210" s="214">
        <f>AP208+AP209</f>
        <v>17.410000000000025</v>
      </c>
      <c r="AR210" s="214">
        <f>AR208+AR209</f>
        <v>-52.92</v>
      </c>
      <c r="AT210" s="214">
        <f>AT208+AT209</f>
        <v>1.9800000000000182</v>
      </c>
      <c r="AV210" s="214">
        <f>AV208+AV209</f>
        <v>-49.02000000000001</v>
      </c>
      <c r="AX210" s="214">
        <f>AX208+AX209</f>
        <v>-60.330000000000041</v>
      </c>
      <c r="BA210" s="214">
        <f>BA208+BA209</f>
        <v>84.110000000000014</v>
      </c>
      <c r="BC210" s="214">
        <f>BC208+BC209</f>
        <v>-15.380000000000024</v>
      </c>
      <c r="BE210" s="214">
        <f>BE208+BE209</f>
        <v>12</v>
      </c>
      <c r="BG210" s="214">
        <f>BG208+BG209</f>
        <v>44.289999999999992</v>
      </c>
      <c r="BI210" s="214">
        <f>BI208+BI209</f>
        <v>-19.350000000000023</v>
      </c>
      <c r="BK210" s="214">
        <f>BK208+BK209</f>
        <v>26.460000000000008</v>
      </c>
      <c r="BM210" s="214">
        <f>BM208+BM209</f>
        <v>-4.0300000000000011</v>
      </c>
      <c r="BO210" s="214">
        <f>BO208+BO209</f>
        <v>22.399999999999977</v>
      </c>
      <c r="BQ210" s="214">
        <f>BQ208+BQ209</f>
        <v>18.069999999999993</v>
      </c>
      <c r="BS210" s="214">
        <f>BS208+BS209</f>
        <v>72.44</v>
      </c>
      <c r="BU210" s="214">
        <f>BU208+BU209</f>
        <v>15.200000000000017</v>
      </c>
      <c r="BW210" s="214">
        <f>BW208+BW209</f>
        <v>62.629999999999995</v>
      </c>
      <c r="BY210" s="214">
        <f>BY208+BY209</f>
        <v>13.899999999999977</v>
      </c>
      <c r="CA210" s="214">
        <f>CA208+CA209</f>
        <v>75.310000000000031</v>
      </c>
      <c r="CC210" s="214">
        <f>CC208+CC209</f>
        <v>84.739999999999981</v>
      </c>
      <c r="CE210" s="214">
        <f>CE208+CE209</f>
        <v>8.8400000000000034</v>
      </c>
      <c r="CG210" s="214">
        <f>CG208+CG209</f>
        <v>-16.25</v>
      </c>
    </row>
    <row r="211" spans="1:87">
      <c r="A211" s="231">
        <v>53</v>
      </c>
      <c r="B211" s="232">
        <v>557771110</v>
      </c>
      <c r="C211" s="267" t="s">
        <v>353</v>
      </c>
      <c r="D211" s="268"/>
      <c r="E211" s="268"/>
      <c r="F211" s="268"/>
      <c r="G211" s="267"/>
      <c r="H211" s="268"/>
      <c r="I211" s="267"/>
      <c r="J211" s="267"/>
      <c r="K211" s="267"/>
      <c r="L211" s="267"/>
      <c r="M211" s="267"/>
      <c r="N211" s="267"/>
      <c r="O211" s="267"/>
      <c r="P211" s="267"/>
      <c r="Q211" s="267"/>
      <c r="R211" s="267"/>
      <c r="S211" s="267"/>
      <c r="U211" s="267"/>
      <c r="V211" s="267"/>
      <c r="W211" s="267"/>
      <c r="X211" s="267"/>
      <c r="Y211" s="267"/>
      <c r="Z211" s="267"/>
      <c r="AA211" s="267"/>
      <c r="AC211" s="267"/>
      <c r="AE211" s="267"/>
      <c r="AP211" s="214"/>
      <c r="AT211" s="214"/>
    </row>
    <row r="212" spans="1:87">
      <c r="A212" s="269"/>
      <c r="B212" s="303"/>
      <c r="C212" s="270" t="s">
        <v>87</v>
      </c>
      <c r="D212" s="271">
        <v>44927</v>
      </c>
      <c r="E212" s="271"/>
      <c r="F212" s="271">
        <v>44958</v>
      </c>
      <c r="G212" s="271"/>
      <c r="H212" s="271">
        <v>44986</v>
      </c>
      <c r="I212" s="280"/>
      <c r="J212" s="280">
        <v>45017</v>
      </c>
      <c r="K212" s="280"/>
      <c r="L212" s="304">
        <v>45047</v>
      </c>
      <c r="M212" s="280"/>
      <c r="N212" s="280">
        <v>45078</v>
      </c>
      <c r="O212" s="280"/>
      <c r="P212" s="280">
        <v>45108</v>
      </c>
      <c r="Q212" s="280"/>
      <c r="R212" s="280">
        <v>45139</v>
      </c>
      <c r="S212" s="280"/>
      <c r="T212" s="281">
        <v>45170</v>
      </c>
      <c r="U212" s="280"/>
      <c r="V212" s="280">
        <v>45200</v>
      </c>
      <c r="W212" s="280"/>
      <c r="X212" s="280">
        <v>45231</v>
      </c>
      <c r="Y212" s="280"/>
      <c r="Z212" s="280">
        <v>45261</v>
      </c>
      <c r="AA212" s="280"/>
      <c r="AB212" s="235">
        <v>45292</v>
      </c>
      <c r="AC212" s="280"/>
      <c r="AD212" s="235">
        <v>45323</v>
      </c>
      <c r="AE212" s="280"/>
      <c r="AF212" s="235">
        <v>45352</v>
      </c>
      <c r="AH212" s="235">
        <v>45383</v>
      </c>
      <c r="AJ212" s="235">
        <v>45413</v>
      </c>
      <c r="AL212" s="235">
        <v>45444</v>
      </c>
      <c r="AN212" s="235">
        <v>45474</v>
      </c>
      <c r="AP212" s="235">
        <v>45505</v>
      </c>
      <c r="AR212" s="236">
        <v>45536</v>
      </c>
      <c r="AT212" s="236">
        <v>45566</v>
      </c>
      <c r="AV212" s="235">
        <v>45597</v>
      </c>
      <c r="AX212" s="235">
        <v>45627</v>
      </c>
      <c r="BA212" s="235">
        <v>45658</v>
      </c>
      <c r="BC212" s="235">
        <v>45689</v>
      </c>
      <c r="BE212" s="235">
        <v>45717</v>
      </c>
      <c r="BG212" s="235">
        <v>45748</v>
      </c>
      <c r="BI212" s="235">
        <v>45778</v>
      </c>
      <c r="BK212" s="235">
        <v>45809</v>
      </c>
      <c r="BM212" s="235">
        <v>45839</v>
      </c>
      <c r="BO212" s="235">
        <v>45870</v>
      </c>
      <c r="BQ212" s="235">
        <v>45901</v>
      </c>
      <c r="BS212" s="235">
        <v>45931</v>
      </c>
      <c r="BU212" s="235">
        <v>45962</v>
      </c>
      <c r="BW212" s="235">
        <v>45992</v>
      </c>
      <c r="BY212" s="235">
        <v>46023</v>
      </c>
      <c r="CA212" s="235">
        <v>46054</v>
      </c>
      <c r="CC212" s="235">
        <v>46082</v>
      </c>
      <c r="CE212" s="235">
        <v>46113</v>
      </c>
      <c r="CG212" s="235">
        <v>46143</v>
      </c>
      <c r="CI212" s="341">
        <v>46174</v>
      </c>
    </row>
    <row r="213" spans="1:87">
      <c r="A213" s="269"/>
      <c r="B213" s="305"/>
      <c r="C213" s="267" t="s">
        <v>7</v>
      </c>
      <c r="D213" s="268">
        <v>-1375.01</v>
      </c>
      <c r="E213" s="268"/>
      <c r="F213" s="268">
        <v>-1516.01</v>
      </c>
      <c r="G213" s="267"/>
      <c r="H213" s="237">
        <v>-1186.73</v>
      </c>
      <c r="I213" s="270"/>
      <c r="J213" s="273">
        <v>-1199.0999999999999</v>
      </c>
      <c r="K213" s="270"/>
      <c r="L213" s="273">
        <v>-1221.42</v>
      </c>
      <c r="M213" s="270"/>
      <c r="N213" s="273">
        <v>-1383.2</v>
      </c>
      <c r="O213" s="270"/>
      <c r="P213" s="273">
        <v>-2518.88</v>
      </c>
      <c r="Q213" s="270"/>
      <c r="R213" s="273">
        <v>-3032.9</v>
      </c>
      <c r="S213" s="270"/>
      <c r="T213" s="273">
        <v>-1912.55</v>
      </c>
      <c r="U213" s="270"/>
      <c r="V213" s="273">
        <v>-1766.18</v>
      </c>
      <c r="W213" s="270"/>
      <c r="X213" s="273">
        <f>-491.24-1035.43</f>
        <v>-1526.67</v>
      </c>
      <c r="Y213" s="270"/>
      <c r="Z213" s="274">
        <f>-659.99-415.78</f>
        <v>-1075.77</v>
      </c>
      <c r="AA213" s="270"/>
      <c r="AB213" s="298">
        <v>-1539.89</v>
      </c>
      <c r="AC213" s="270"/>
      <c r="AD213" s="298">
        <v>-1425.17</v>
      </c>
      <c r="AE213" s="270"/>
      <c r="AF213" s="298">
        <v>-1445.36</v>
      </c>
      <c r="AH213" s="237">
        <v>-1222.98</v>
      </c>
      <c r="AJ213" s="237">
        <v>-1046.8900000000001</v>
      </c>
      <c r="AL213" s="237">
        <v>-898.7</v>
      </c>
      <c r="AN213" s="237">
        <v>-1740.59</v>
      </c>
      <c r="AP213" s="237">
        <v>-2360.0100000000002</v>
      </c>
      <c r="AR213" s="237">
        <v>-1602.38</v>
      </c>
      <c r="AT213" s="237">
        <v>-1358.9</v>
      </c>
      <c r="AV213" s="237">
        <v>-1504.7</v>
      </c>
      <c r="AX213" s="237">
        <v>-1100.5899999999999</v>
      </c>
      <c r="BA213" s="258">
        <v>-1344.99</v>
      </c>
      <c r="BC213" s="237">
        <v>-1126.72</v>
      </c>
      <c r="BE213" s="237">
        <v>-1375.75</v>
      </c>
      <c r="BG213" s="237">
        <v>-876.26</v>
      </c>
      <c r="BI213" s="237">
        <v>-962.02</v>
      </c>
      <c r="BK213" s="237">
        <v>-1035.83</v>
      </c>
      <c r="BM213" s="237">
        <v>-1900.78</v>
      </c>
      <c r="BO213" s="237">
        <v>-1686.41</v>
      </c>
      <c r="BQ213" s="237">
        <v>-1279.79</v>
      </c>
      <c r="BS213" s="237">
        <f>-1229.02-109.05</f>
        <v>-1338.07</v>
      </c>
      <c r="BU213" s="237">
        <v>-1176.82</v>
      </c>
      <c r="BW213" s="237">
        <v>-839.41</v>
      </c>
      <c r="BY213" s="237">
        <v>-1468.31</v>
      </c>
      <c r="CA213" s="237">
        <v>-784.48</v>
      </c>
      <c r="CC213" s="237">
        <v>-898.3</v>
      </c>
      <c r="CE213" s="214">
        <v>-703.14</v>
      </c>
      <c r="CG213" s="214">
        <v>-801.73</v>
      </c>
    </row>
    <row r="214" spans="1:87">
      <c r="A214" s="269"/>
      <c r="B214" s="305"/>
      <c r="C214" s="267" t="s">
        <v>8</v>
      </c>
      <c r="D214" s="268">
        <v>1789.63</v>
      </c>
      <c r="E214" s="276">
        <f>ABS(((D213+D214)/D213))</f>
        <v>0.30153962516636251</v>
      </c>
      <c r="F214" s="268">
        <v>1588.72</v>
      </c>
      <c r="G214" s="276">
        <f>ABS(((F213+F214)/F213))</f>
        <v>4.7961425056562978E-2</v>
      </c>
      <c r="H214" s="268">
        <v>1473.96</v>
      </c>
      <c r="I214" s="276">
        <f>ABS(((H213+H214)/H213))</f>
        <v>0.24203483521946864</v>
      </c>
      <c r="J214" s="272">
        <v>1600.71</v>
      </c>
      <c r="K214" s="276">
        <f>ABS(((J213+J214)/J213))</f>
        <v>0.33492619464598461</v>
      </c>
      <c r="L214" s="272">
        <v>1656.5</v>
      </c>
      <c r="M214" s="276">
        <f>ABS(((L213+L214)/L213))</f>
        <v>0.35620834766091919</v>
      </c>
      <c r="N214" s="272">
        <v>2664.32</v>
      </c>
      <c r="O214" s="276">
        <f>ABS(((N213+N214)/N213))</f>
        <v>0.9262001156737999</v>
      </c>
      <c r="P214" s="272">
        <v>2967</v>
      </c>
      <c r="Q214" s="276">
        <f>ABS(((P213+P214)/P213))</f>
        <v>0.17790446547671976</v>
      </c>
      <c r="R214" s="272">
        <f>3395.61+846.87</f>
        <v>4242.4800000000005</v>
      </c>
      <c r="S214" s="272"/>
      <c r="T214" s="217">
        <v>2626.78</v>
      </c>
      <c r="U214" s="276">
        <f>ABS(((T213+T214)/T213))</f>
        <v>0.37344383153381627</v>
      </c>
      <c r="V214" s="272">
        <v>2289.2600000000002</v>
      </c>
      <c r="W214" s="276">
        <f>ABS(((V213+V214)/V213))</f>
        <v>0.29616460383426385</v>
      </c>
      <c r="X214" s="272">
        <f>637.24+1822.07</f>
        <v>2459.31</v>
      </c>
      <c r="Y214" s="222">
        <f>ABS(((X213+X214)/X213))</f>
        <v>0.61089822947984818</v>
      </c>
      <c r="Z214" s="277">
        <v>1360.99</v>
      </c>
      <c r="AA214" s="222">
        <f>ABS(((Z213+Z214)/Z213))</f>
        <v>0.26513102243044517</v>
      </c>
      <c r="AB214" s="278">
        <v>1911.63</v>
      </c>
      <c r="AC214" s="222">
        <f>ABS(((AB213+AB214)/AB213))</f>
        <v>0.24140685373630583</v>
      </c>
      <c r="AD214" s="278">
        <v>1815.05</v>
      </c>
      <c r="AE214" s="301">
        <v>0.40500000000000003</v>
      </c>
      <c r="AF214" s="278">
        <v>1838.04</v>
      </c>
      <c r="AG214" s="222">
        <f>ABS(((AF213+AF214)/AF213))</f>
        <v>0.27168317927713515</v>
      </c>
      <c r="AH214" s="214">
        <v>1622.99</v>
      </c>
      <c r="AI214" s="222">
        <f>ABS(((AH213+AH214)/AH213))</f>
        <v>0.32707812065610231</v>
      </c>
      <c r="AJ214" s="214">
        <v>1526.28</v>
      </c>
      <c r="AK214" s="222">
        <f>ABS(((AJ213+AJ214)/AJ213))</f>
        <v>0.45791821490318929</v>
      </c>
      <c r="AL214" s="214">
        <v>1740.63</v>
      </c>
      <c r="AM214" s="222">
        <f>ABS(((AL213+AL214)/AL213))</f>
        <v>0.93683097807944815</v>
      </c>
      <c r="AN214" s="214">
        <v>1935</v>
      </c>
      <c r="AO214" s="222">
        <f>ABS(((AN213+AN214)/AN213))</f>
        <v>0.11169201247852745</v>
      </c>
      <c r="AP214" s="214">
        <v>3017.05</v>
      </c>
      <c r="AQ214" s="222">
        <f>ABS(((AP213+AP214)/AP213))</f>
        <v>0.27840559997627123</v>
      </c>
      <c r="AR214" s="214">
        <v>1800.37</v>
      </c>
      <c r="AS214" s="222">
        <f>ABS(((AR213+AR214)/AR213))</f>
        <v>0.12355995456758058</v>
      </c>
      <c r="AT214" s="214">
        <v>1926.12</v>
      </c>
      <c r="AU214" s="222">
        <f>AT215/AT214</f>
        <v>0.29448840155338185</v>
      </c>
      <c r="AV214" s="214">
        <v>2041.87</v>
      </c>
      <c r="AW214" s="222">
        <f>AV215/AV214</f>
        <v>0.26307747310063806</v>
      </c>
      <c r="AX214" s="214">
        <v>1259.3</v>
      </c>
      <c r="AY214" s="224">
        <f>AX215/AX214</f>
        <v>0.12603033431271343</v>
      </c>
      <c r="AZ214" s="225"/>
      <c r="BA214" s="260">
        <v>2058.91</v>
      </c>
      <c r="BB214" s="222">
        <f>BA215/BA214</f>
        <v>0.34674657950080379</v>
      </c>
      <c r="BC214" s="214">
        <v>1147.24</v>
      </c>
      <c r="BD214" s="222">
        <f>BC215/BC214</f>
        <v>1.7886405634392092E-2</v>
      </c>
      <c r="BE214" s="214">
        <v>2067.9</v>
      </c>
      <c r="BF214" s="222">
        <f>BE215/BE214</f>
        <v>0.33471154311136903</v>
      </c>
      <c r="BG214" s="214">
        <v>1486.46</v>
      </c>
      <c r="BH214" s="222">
        <f>BG215/BG214</f>
        <v>0.41050549627975191</v>
      </c>
      <c r="BI214" s="214">
        <v>1642.22</v>
      </c>
      <c r="BJ214" s="222">
        <f>BI215/BI214</f>
        <v>0.41419541839704793</v>
      </c>
      <c r="BK214" s="214">
        <v>2912.65</v>
      </c>
      <c r="BL214" s="222">
        <f>BK215/BK214</f>
        <v>0.64436853037611797</v>
      </c>
      <c r="BM214" s="239">
        <v>2992.54</v>
      </c>
      <c r="BN214" s="222">
        <f>BM215/BM214</f>
        <v>0.3648272036464007</v>
      </c>
      <c r="BO214" s="214">
        <v>3368.21</v>
      </c>
      <c r="BP214" s="222">
        <f>BO215/BO214</f>
        <v>0.49931566024683732</v>
      </c>
      <c r="BQ214" s="214">
        <v>2212.5</v>
      </c>
      <c r="BR214" s="222">
        <f>BQ215/BQ214</f>
        <v>0.42156384180790962</v>
      </c>
      <c r="BS214" s="214">
        <v>1960.19</v>
      </c>
      <c r="BT214" s="222">
        <f>BS215/BS214</f>
        <v>0.31737739708905777</v>
      </c>
      <c r="BU214" s="214">
        <v>1921.61</v>
      </c>
      <c r="BV214" s="222">
        <f>BU215/BU214</f>
        <v>0.38758645094478067</v>
      </c>
      <c r="BW214" s="214">
        <v>1263.1300000000001</v>
      </c>
      <c r="BX214" s="222">
        <f>BW215/BW214</f>
        <v>0.33545240790734138</v>
      </c>
      <c r="BY214" s="214">
        <v>1600.1</v>
      </c>
      <c r="BZ214" s="222">
        <f>BY215/BY214</f>
        <v>8.2363602274857797E-2</v>
      </c>
      <c r="CA214" s="214">
        <v>1414.77</v>
      </c>
      <c r="CB214" s="222">
        <f>CA215/CA214</f>
        <v>0.44550704354771448</v>
      </c>
      <c r="CC214" s="214">
        <v>1990.19</v>
      </c>
      <c r="CD214" s="222">
        <f>CC215/CC214</f>
        <v>0.54863605987368047</v>
      </c>
      <c r="CE214" s="214">
        <v>1763.94</v>
      </c>
      <c r="CF214" s="222">
        <f>CE215/CE214</f>
        <v>0.60138099935371958</v>
      </c>
      <c r="CG214" s="214">
        <v>1455.49</v>
      </c>
      <c r="CH214" s="222">
        <f>CG215/CG214</f>
        <v>0.44916832132134193</v>
      </c>
    </row>
    <row r="215" spans="1:87">
      <c r="A215" s="269"/>
      <c r="B215" s="305"/>
      <c r="C215" s="267" t="s">
        <v>9</v>
      </c>
      <c r="D215" s="306">
        <f>D213+D214</f>
        <v>414.62000000000012</v>
      </c>
      <c r="E215" s="306"/>
      <c r="F215" s="306">
        <f>F213+F214</f>
        <v>72.710000000000036</v>
      </c>
      <c r="G215" s="267"/>
      <c r="H215" s="306">
        <f>H213+H214</f>
        <v>287.23</v>
      </c>
      <c r="I215" s="270"/>
      <c r="J215" s="307">
        <f>J213+J214</f>
        <v>401.61000000000013</v>
      </c>
      <c r="K215" s="270"/>
      <c r="L215" s="307">
        <f>L213+L214</f>
        <v>435.07999999999993</v>
      </c>
      <c r="M215" s="270"/>
      <c r="N215" s="307">
        <f>N213+N214</f>
        <v>1281.1200000000001</v>
      </c>
      <c r="O215" s="270"/>
      <c r="P215" s="307">
        <f>P213+P214</f>
        <v>448.11999999999989</v>
      </c>
      <c r="Q215" s="270"/>
      <c r="R215" s="272">
        <f>R213+R214</f>
        <v>1209.5800000000004</v>
      </c>
      <c r="S215" s="272"/>
      <c r="T215" s="217">
        <f>T213+T214</f>
        <v>714.23000000000025</v>
      </c>
      <c r="U215" s="270"/>
      <c r="V215" s="268">
        <f>V213+V214</f>
        <v>523.08000000000015</v>
      </c>
      <c r="W215" s="270"/>
      <c r="X215" s="268">
        <f>X213+X214</f>
        <v>932.63999999999987</v>
      </c>
      <c r="Y215" s="270"/>
      <c r="Z215" s="214">
        <f>Z213+Z214</f>
        <v>285.22000000000003</v>
      </c>
      <c r="AA215" s="270"/>
      <c r="AB215" s="242">
        <f>AB213+AB214</f>
        <v>371.74</v>
      </c>
      <c r="AC215" s="270"/>
      <c r="AD215" s="242">
        <f>AD213+AD214</f>
        <v>389.87999999999988</v>
      </c>
      <c r="AE215" s="270"/>
      <c r="AF215" s="242">
        <f>AF213+AF214</f>
        <v>392.68000000000006</v>
      </c>
      <c r="AH215" s="242">
        <f>AH213+AH214</f>
        <v>400.01</v>
      </c>
      <c r="AJ215" s="242">
        <f>AJ213+AJ214</f>
        <v>479.38999999999987</v>
      </c>
      <c r="AL215" s="242">
        <f>AL213+AL214</f>
        <v>841.93000000000006</v>
      </c>
      <c r="AN215" s="214">
        <f>AN213+AN214</f>
        <v>194.41000000000008</v>
      </c>
      <c r="AP215" s="214">
        <f>AP213+AP214</f>
        <v>657.04</v>
      </c>
      <c r="AR215" s="214">
        <f>AR213+AR214</f>
        <v>197.98999999999978</v>
      </c>
      <c r="AT215" s="214">
        <f>AT213+AT214</f>
        <v>567.2199999999998</v>
      </c>
      <c r="AV215" s="214">
        <f>AV213+AV214</f>
        <v>537.16999999999985</v>
      </c>
      <c r="AX215" s="214">
        <f>AX213+AX214</f>
        <v>158.71000000000004</v>
      </c>
      <c r="BA215" s="214">
        <f>BA213+BA214</f>
        <v>713.91999999999985</v>
      </c>
      <c r="BC215" s="214">
        <f>BC213+BC214</f>
        <v>20.519999999999982</v>
      </c>
      <c r="BE215" s="214">
        <f>BE213+BE214</f>
        <v>692.15000000000009</v>
      </c>
      <c r="BG215" s="214">
        <f>BG213+BG214</f>
        <v>610.20000000000005</v>
      </c>
      <c r="BI215" s="214">
        <f>BI213+BI214</f>
        <v>680.2</v>
      </c>
      <c r="BK215" s="214">
        <f>BK213+BK214</f>
        <v>1876.8200000000002</v>
      </c>
      <c r="BM215" s="214">
        <f>BM213+BM214</f>
        <v>1091.76</v>
      </c>
      <c r="BO215" s="214">
        <f>BO213+BO214</f>
        <v>1681.8</v>
      </c>
      <c r="BQ215" s="214">
        <f>BQ213+BQ214</f>
        <v>932.71</v>
      </c>
      <c r="BS215" s="214">
        <f>BS213+BS214</f>
        <v>622.12000000000012</v>
      </c>
      <c r="BU215" s="214">
        <f>BU213+BU214</f>
        <v>744.79</v>
      </c>
      <c r="BW215" s="214">
        <f>BW213+BW214</f>
        <v>423.72000000000014</v>
      </c>
      <c r="BY215" s="214">
        <f>BY213+BY214</f>
        <v>131.78999999999996</v>
      </c>
      <c r="CA215" s="214">
        <f>CA213+CA214</f>
        <v>630.29</v>
      </c>
      <c r="CC215" s="214">
        <f>CC213+CC214</f>
        <v>1091.8900000000001</v>
      </c>
      <c r="CE215" s="214">
        <f>CE213+CE214</f>
        <v>1060.8000000000002</v>
      </c>
      <c r="CG215" s="214">
        <f>CG213+CG214</f>
        <v>653.76</v>
      </c>
    </row>
    <row r="216" spans="1:87">
      <c r="A216" s="231">
        <v>56</v>
      </c>
      <c r="B216" s="232">
        <v>124035619</v>
      </c>
      <c r="C216" s="267" t="s">
        <v>88</v>
      </c>
      <c r="D216" s="268"/>
      <c r="E216" s="268"/>
      <c r="F216" s="268"/>
      <c r="G216" s="267"/>
      <c r="H216" s="268"/>
      <c r="I216" s="267"/>
      <c r="J216" s="267"/>
      <c r="K216" s="267"/>
      <c r="L216" s="267"/>
      <c r="M216" s="267"/>
      <c r="N216" s="267"/>
      <c r="O216" s="267"/>
      <c r="P216" s="267"/>
      <c r="Q216" s="267"/>
      <c r="R216" s="267"/>
      <c r="S216" s="267"/>
      <c r="U216" s="267"/>
      <c r="V216" s="267"/>
      <c r="W216" s="267"/>
      <c r="X216" s="214"/>
      <c r="Y216" s="267"/>
      <c r="Z216" s="267"/>
      <c r="AA216" s="267"/>
      <c r="AB216" s="308"/>
      <c r="AC216" s="267"/>
      <c r="AD216" s="308"/>
      <c r="AE216" s="267"/>
      <c r="AF216" s="308"/>
      <c r="AP216" s="214"/>
      <c r="AT216" s="214"/>
    </row>
    <row r="217" spans="1:87">
      <c r="A217" s="269"/>
      <c r="C217" s="270" t="s">
        <v>89</v>
      </c>
      <c r="D217" s="280">
        <v>44927</v>
      </c>
      <c r="E217" s="280"/>
      <c r="F217" s="280">
        <v>44958</v>
      </c>
      <c r="G217" s="280"/>
      <c r="H217" s="280">
        <v>44986</v>
      </c>
      <c r="I217" s="280"/>
      <c r="J217" s="280">
        <v>45017</v>
      </c>
      <c r="K217" s="280"/>
      <c r="L217" s="280">
        <v>45047</v>
      </c>
      <c r="M217" s="280"/>
      <c r="N217" s="280">
        <v>45078</v>
      </c>
      <c r="O217" s="280"/>
      <c r="P217" s="280">
        <v>45108</v>
      </c>
      <c r="Q217" s="280"/>
      <c r="R217" s="280">
        <v>45139</v>
      </c>
      <c r="S217" s="271"/>
      <c r="T217" s="281">
        <v>45170</v>
      </c>
      <c r="U217" s="235"/>
      <c r="V217" s="235">
        <v>45200</v>
      </c>
      <c r="W217" s="235"/>
      <c r="X217" s="235">
        <v>45231</v>
      </c>
      <c r="Y217" s="235"/>
      <c r="Z217" s="235">
        <v>45261</v>
      </c>
      <c r="AA217" s="235"/>
      <c r="AB217" s="235">
        <v>45292</v>
      </c>
      <c r="AC217" s="235"/>
      <c r="AD217" s="235">
        <v>45323</v>
      </c>
      <c r="AE217" s="235"/>
      <c r="AF217" s="235">
        <v>45352</v>
      </c>
      <c r="AH217" s="235">
        <v>45383</v>
      </c>
      <c r="AJ217" s="235">
        <v>45413</v>
      </c>
      <c r="AL217" s="235">
        <v>45444</v>
      </c>
      <c r="AN217" s="235">
        <v>45474</v>
      </c>
      <c r="AP217" s="235">
        <v>45505</v>
      </c>
      <c r="AR217" s="236">
        <v>45536</v>
      </c>
      <c r="AT217" s="236">
        <v>45566</v>
      </c>
      <c r="AV217" s="235">
        <v>45597</v>
      </c>
      <c r="AX217" s="235">
        <v>45627</v>
      </c>
      <c r="BA217" s="235">
        <v>45658</v>
      </c>
      <c r="BC217" s="235">
        <v>45689</v>
      </c>
      <c r="BE217" s="235">
        <v>45717</v>
      </c>
      <c r="BG217" s="235">
        <v>45748</v>
      </c>
      <c r="BI217" s="235">
        <v>45778</v>
      </c>
      <c r="BK217" s="235">
        <v>45809</v>
      </c>
      <c r="BM217" s="235">
        <v>45839</v>
      </c>
      <c r="BO217" s="235">
        <v>45870</v>
      </c>
      <c r="BQ217" s="235">
        <v>45901</v>
      </c>
      <c r="BS217" s="235">
        <v>45931</v>
      </c>
      <c r="BU217" s="235">
        <v>45962</v>
      </c>
      <c r="BW217" s="235">
        <v>45992</v>
      </c>
      <c r="BY217" s="235">
        <v>46023</v>
      </c>
      <c r="CA217" s="235">
        <v>46054</v>
      </c>
      <c r="CC217" s="235">
        <v>46082</v>
      </c>
      <c r="CE217" s="235">
        <v>46113</v>
      </c>
      <c r="CG217" s="235">
        <v>46143</v>
      </c>
      <c r="CI217" s="341">
        <v>46174</v>
      </c>
    </row>
    <row r="218" spans="1:87">
      <c r="A218" s="269"/>
      <c r="C218" s="267" t="s">
        <v>7</v>
      </c>
      <c r="D218" s="272">
        <v>-333.6</v>
      </c>
      <c r="E218" s="272"/>
      <c r="F218" s="272">
        <v>-419.23</v>
      </c>
      <c r="G218" s="270"/>
      <c r="H218" s="273">
        <v>-840.15</v>
      </c>
      <c r="I218" s="272"/>
      <c r="J218" s="273">
        <v>-1044.48</v>
      </c>
      <c r="K218" s="272"/>
      <c r="L218" s="273">
        <v>-1002.15</v>
      </c>
      <c r="M218" s="272"/>
      <c r="N218" s="273">
        <v>-1253.32</v>
      </c>
      <c r="O218" s="272"/>
      <c r="P218" s="273">
        <v>-1681.38</v>
      </c>
      <c r="Q218" s="272"/>
      <c r="R218" s="273">
        <v>-1862.65</v>
      </c>
      <c r="S218" s="268"/>
      <c r="T218" s="273">
        <v>-1326.67</v>
      </c>
      <c r="V218" s="237">
        <v>-1246.43</v>
      </c>
      <c r="X218" s="237">
        <f>-300.49-510.84</f>
        <v>-811.32999999999993</v>
      </c>
      <c r="Z218" s="238">
        <v>-840.54</v>
      </c>
      <c r="AB218" s="238">
        <v>-403.03</v>
      </c>
      <c r="AD218" s="238">
        <v>-578.95000000000005</v>
      </c>
      <c r="AF218" s="237">
        <v>-1007.05</v>
      </c>
      <c r="AH218" s="237">
        <v>-974.44</v>
      </c>
      <c r="AJ218" s="237">
        <v>-1098.6600000000001</v>
      </c>
      <c r="AL218" s="237">
        <v>-1337.64</v>
      </c>
      <c r="AN218" s="214">
        <v>-1728.28</v>
      </c>
      <c r="AP218" s="237">
        <v>-2003.08</v>
      </c>
      <c r="AR218" s="214">
        <v>-1243.58</v>
      </c>
      <c r="AT218" s="237">
        <v>-1019.03</v>
      </c>
      <c r="AV218" s="237">
        <f>-2.69</f>
        <v>-2.69</v>
      </c>
      <c r="AX218" s="237">
        <f>-450.61-698.82</f>
        <v>-1149.43</v>
      </c>
      <c r="BA218" s="238">
        <v>-363.45</v>
      </c>
      <c r="BC218" s="237">
        <v>-626.55999999999995</v>
      </c>
      <c r="BE218" s="237">
        <v>-819.46</v>
      </c>
      <c r="BG218" s="237">
        <v>-980.92</v>
      </c>
      <c r="BI218" s="237">
        <v>-1021.07</v>
      </c>
      <c r="BK218" s="237">
        <v>-1243.07</v>
      </c>
      <c r="BM218" s="237">
        <f>-1490.87-56.23</f>
        <v>-1547.1</v>
      </c>
      <c r="BO218" s="237">
        <f>-1686.75-38.2</f>
        <v>-1724.95</v>
      </c>
      <c r="BQ218" s="237">
        <f>-1107.3-32.22</f>
        <v>-1139.52</v>
      </c>
      <c r="BS218" s="237">
        <f>-644.44-246.65</f>
        <v>-891.09</v>
      </c>
      <c r="BU218" s="237">
        <v>-700.21</v>
      </c>
      <c r="BW218" s="237">
        <v>-734.74</v>
      </c>
      <c r="BY218" s="237">
        <v>-473.63</v>
      </c>
      <c r="CA218" s="237">
        <v>-455.44</v>
      </c>
      <c r="CC218" s="237">
        <v>-739.66</v>
      </c>
      <c r="CE218" s="214">
        <v>-732.73</v>
      </c>
      <c r="CG218" s="214">
        <v>-769.34</v>
      </c>
      <c r="CI218" s="238">
        <v>-442.52</v>
      </c>
    </row>
    <row r="219" spans="1:87">
      <c r="A219" s="269" t="s">
        <v>2</v>
      </c>
      <c r="C219" s="267" t="s">
        <v>8</v>
      </c>
      <c r="D219" s="272">
        <v>445.55</v>
      </c>
      <c r="E219" s="276">
        <f>ABS(((D218+D219)/D218))</f>
        <v>0.33558153477218222</v>
      </c>
      <c r="F219" s="272">
        <v>494.99</v>
      </c>
      <c r="G219" s="276">
        <f>ABS(((F218+F219)/F218))</f>
        <v>0.18071225818762968</v>
      </c>
      <c r="H219" s="272">
        <v>1017.94</v>
      </c>
      <c r="I219" s="276">
        <f>ABS(((H218+H219)/H218))</f>
        <v>0.21161697315955494</v>
      </c>
      <c r="J219" s="272">
        <v>1267.29</v>
      </c>
      <c r="K219" s="276">
        <f>ABS(((J218+J219)/J218))</f>
        <v>0.21332146139705876</v>
      </c>
      <c r="L219" s="272">
        <v>1191.52</v>
      </c>
      <c r="M219" s="276">
        <f>ABS(((L218+L219)/L218))</f>
        <v>0.18896372798483263</v>
      </c>
      <c r="N219" s="272">
        <v>1434.12</v>
      </c>
      <c r="O219" s="276">
        <f>ABS(((N218+N219)/N218))</f>
        <v>0.14425685379631695</v>
      </c>
      <c r="P219" s="272">
        <v>1898.49</v>
      </c>
      <c r="Q219" s="276">
        <f>ABS(((P218+P219)/P218))</f>
        <v>0.1291260750098133</v>
      </c>
      <c r="R219" s="272">
        <v>2077.6799999999998</v>
      </c>
      <c r="S219" s="276">
        <f>ABS(((R218+R219)/R218))</f>
        <v>0.11544305156631667</v>
      </c>
      <c r="T219" s="217">
        <v>1486.63</v>
      </c>
      <c r="U219" s="276">
        <f>ABS(((T218+T219)/T218))</f>
        <v>0.12057256137547395</v>
      </c>
      <c r="V219" s="214">
        <v>1357.96</v>
      </c>
      <c r="W219" s="276">
        <f>ABS(((V218+V219)/V218))</f>
        <v>8.9479553605096129E-2</v>
      </c>
      <c r="X219" s="214">
        <f>447.19+825.3</f>
        <v>1272.49</v>
      </c>
      <c r="Y219" s="222">
        <f>ABS(((X218+X219)/X218))</f>
        <v>0.56840003451123478</v>
      </c>
      <c r="Z219" s="260">
        <v>1220.43</v>
      </c>
      <c r="AA219" s="222">
        <f>ABS(((Z218+Z219)/Z218))</f>
        <v>0.45195945463630538</v>
      </c>
      <c r="AB219" s="260">
        <v>535.66</v>
      </c>
      <c r="AC219" s="222">
        <f>ABS(((AB218+AB219)/AB218))</f>
        <v>0.32908220231744534</v>
      </c>
      <c r="AD219" s="260">
        <v>869.92</v>
      </c>
      <c r="AE219" s="222">
        <f>ABS(((AD218+AD219)/AD218))</f>
        <v>0.50258226098972258</v>
      </c>
      <c r="AF219" s="214">
        <v>1474.74</v>
      </c>
      <c r="AG219" s="222">
        <f>ABS(((AF218+AF219)/AF218))</f>
        <v>0.46441586812968577</v>
      </c>
      <c r="AH219" s="214">
        <v>1564.53</v>
      </c>
      <c r="AI219" s="222">
        <f>ABS(((AH218+AH219)/AH218))</f>
        <v>0.60556832642338154</v>
      </c>
      <c r="AJ219" s="214">
        <v>1492.69</v>
      </c>
      <c r="AK219" s="222">
        <f>ABS(((AJ218+AJ219)/AJ218))</f>
        <v>0.35864598692953231</v>
      </c>
      <c r="AL219" s="214">
        <v>1804.2</v>
      </c>
      <c r="AM219" s="222">
        <f>ABS(((AL218+AL219)/AL218))</f>
        <v>0.34879339732663489</v>
      </c>
      <c r="AN219" s="214">
        <v>2278.23</v>
      </c>
      <c r="AO219" s="222">
        <f>ABS(((AN218+AN219)/AN218))</f>
        <v>0.31820654060684617</v>
      </c>
      <c r="AP219" s="214">
        <v>2606.4899999999998</v>
      </c>
      <c r="AQ219" s="222">
        <f>ABS(((AP218+AP219)/AP218))</f>
        <v>0.30124108872336597</v>
      </c>
      <c r="AR219" s="214">
        <v>1372.78</v>
      </c>
      <c r="AS219" s="222">
        <f>ABS(((AR218+AR219)/AR218))</f>
        <v>0.10389359751684657</v>
      </c>
      <c r="AT219" s="214">
        <v>1218.04</v>
      </c>
      <c r="AU219" s="222">
        <f>AT220/AT219</f>
        <v>0.16338543890184229</v>
      </c>
      <c r="AV219" s="214">
        <v>852.42</v>
      </c>
      <c r="AW219" s="222">
        <f>AV220/AV219</f>
        <v>0.99684427864198388</v>
      </c>
      <c r="AX219" s="214">
        <v>892.96</v>
      </c>
      <c r="AY219" s="224">
        <f>AX220/AX219</f>
        <v>-0.2872133130263394</v>
      </c>
      <c r="AZ219" s="225"/>
      <c r="BA219" s="213">
        <v>526.46</v>
      </c>
      <c r="BB219" s="222">
        <f>BA220/BA219</f>
        <v>0.30963416024009427</v>
      </c>
      <c r="BC219" s="214">
        <v>703.02</v>
      </c>
      <c r="BD219" s="222">
        <f>BC220/BC219</f>
        <v>0.10875935250775233</v>
      </c>
      <c r="BE219" s="214">
        <v>973.88</v>
      </c>
      <c r="BF219" s="222">
        <f>BE220/BE219</f>
        <v>0.15856162976958144</v>
      </c>
      <c r="BG219" s="214">
        <v>1071.5</v>
      </c>
      <c r="BH219" s="222">
        <f>BG220/BG219</f>
        <v>8.4535697620158695E-2</v>
      </c>
      <c r="BI219" s="214">
        <v>1198.45</v>
      </c>
      <c r="BJ219" s="222">
        <f>BI220/BI219</f>
        <v>0.14800784346447493</v>
      </c>
      <c r="BK219" s="214">
        <v>1352.91</v>
      </c>
      <c r="BL219" s="222">
        <f>BK220/BK219</f>
        <v>8.1187957809462669E-2</v>
      </c>
      <c r="BM219" s="239">
        <v>2137.7800000000002</v>
      </c>
      <c r="BN219" s="222">
        <f>BM220/BM219</f>
        <v>0.27630532608593972</v>
      </c>
      <c r="BO219" s="214">
        <v>2576.37</v>
      </c>
      <c r="BP219" s="222">
        <f>BO220/BO219</f>
        <v>0.33047271936872419</v>
      </c>
      <c r="BQ219" s="214">
        <v>1966.13</v>
      </c>
      <c r="BR219" s="222">
        <f>BQ220/BQ219</f>
        <v>0.42042489560710639</v>
      </c>
      <c r="BS219" s="214">
        <v>1508.21</v>
      </c>
      <c r="BT219" s="222">
        <f>BS220/BS219</f>
        <v>0.40917378879598992</v>
      </c>
      <c r="BU219" s="214">
        <v>982.22</v>
      </c>
      <c r="BV219" s="222">
        <f>BU220/BU219</f>
        <v>0.28711490297489362</v>
      </c>
      <c r="BW219" s="214">
        <v>980.76</v>
      </c>
      <c r="BX219" s="222">
        <f>BW220/BW219</f>
        <v>0.25084628247481544</v>
      </c>
      <c r="BY219" s="214">
        <v>639.12</v>
      </c>
      <c r="BZ219" s="222">
        <f>BY220/BY219</f>
        <v>0.25893415946927029</v>
      </c>
      <c r="CA219" s="214">
        <v>1081.3900000000001</v>
      </c>
      <c r="CB219" s="222">
        <f>CA220/CA219</f>
        <v>0.57883834694236125</v>
      </c>
      <c r="CC219" s="214">
        <v>1166.31</v>
      </c>
      <c r="CD219" s="222">
        <f>CC220/CC219</f>
        <v>0.36581183390350763</v>
      </c>
      <c r="CE219" s="214">
        <v>1408.31</v>
      </c>
      <c r="CF219" s="222">
        <f>CE220/CE219</f>
        <v>0.4797097230013278</v>
      </c>
      <c r="CG219" s="214">
        <v>1317.52</v>
      </c>
      <c r="CH219" s="222">
        <f>CG220/CG219</f>
        <v>0.41606958528143784</v>
      </c>
    </row>
    <row r="220" spans="1:87">
      <c r="A220" s="269"/>
      <c r="C220" s="267" t="s">
        <v>9</v>
      </c>
      <c r="D220" s="272">
        <f>D218+D219</f>
        <v>111.94999999999999</v>
      </c>
      <c r="E220" s="272"/>
      <c r="F220" s="272">
        <f>F218+F219</f>
        <v>75.759999999999991</v>
      </c>
      <c r="G220" s="270"/>
      <c r="H220" s="272">
        <f>H218+H219</f>
        <v>177.79000000000008</v>
      </c>
      <c r="I220" s="272"/>
      <c r="J220" s="272">
        <f>J218+J219</f>
        <v>222.80999999999995</v>
      </c>
      <c r="K220" s="272"/>
      <c r="L220" s="272">
        <f>L218+L219</f>
        <v>189.37</v>
      </c>
      <c r="M220" s="272"/>
      <c r="N220" s="272">
        <f>N218+N219</f>
        <v>180.79999999999995</v>
      </c>
      <c r="O220" s="272"/>
      <c r="P220" s="272">
        <f>P218+P219</f>
        <v>217.1099999999999</v>
      </c>
      <c r="Q220" s="272"/>
      <c r="R220" s="272">
        <f>R218+R219</f>
        <v>215.02999999999975</v>
      </c>
      <c r="S220" s="268"/>
      <c r="T220" s="217">
        <f>T218+T219</f>
        <v>159.96000000000004</v>
      </c>
      <c r="V220" s="214">
        <f>V218+V219</f>
        <v>111.52999999999997</v>
      </c>
      <c r="X220" s="214">
        <f>X218+X219</f>
        <v>461.16000000000008</v>
      </c>
      <c r="Z220" s="214">
        <f>Z218+Z219</f>
        <v>379.8900000000001</v>
      </c>
      <c r="AB220" s="242">
        <f>AB218+AB219</f>
        <v>132.63</v>
      </c>
      <c r="AD220" s="242">
        <f>AD218+AD219</f>
        <v>290.96999999999991</v>
      </c>
      <c r="AF220" s="309">
        <f>AF218+AF219</f>
        <v>467.69000000000005</v>
      </c>
      <c r="AH220" s="309">
        <f>AH218+AH219</f>
        <v>590.08999999999992</v>
      </c>
      <c r="AJ220" s="309">
        <f>AJ218+AJ219</f>
        <v>394.03</v>
      </c>
      <c r="AL220" s="309">
        <f>AL218+AL219</f>
        <v>466.55999999999995</v>
      </c>
      <c r="AN220" s="309">
        <f>AN218+AN219</f>
        <v>549.95000000000005</v>
      </c>
      <c r="AP220" s="214">
        <f>AP218+AP219</f>
        <v>603.40999999999985</v>
      </c>
      <c r="AR220" s="214">
        <f>AR218+AR219</f>
        <v>129.20000000000005</v>
      </c>
      <c r="AT220" s="214">
        <f>AT218+AT219</f>
        <v>199.01</v>
      </c>
      <c r="AV220" s="214">
        <f>AV218+AV219</f>
        <v>849.7299999999999</v>
      </c>
      <c r="AX220" s="214">
        <f>AX218+AX219</f>
        <v>-256.47000000000003</v>
      </c>
      <c r="BA220" s="214">
        <f>BA218+BA219</f>
        <v>163.01000000000005</v>
      </c>
      <c r="BC220" s="214">
        <f>BC218+BC219</f>
        <v>76.460000000000036</v>
      </c>
      <c r="BE220" s="214">
        <f>BE218+BE219</f>
        <v>154.41999999999996</v>
      </c>
      <c r="BG220" s="214">
        <f>BG218+BG219</f>
        <v>90.580000000000041</v>
      </c>
      <c r="BI220" s="214">
        <f>BI218+BI219</f>
        <v>177.38</v>
      </c>
      <c r="BK220" s="214">
        <f>BK218+BK219</f>
        <v>109.84000000000015</v>
      </c>
      <c r="BM220" s="214">
        <f>BM218+BM219</f>
        <v>590.68000000000029</v>
      </c>
      <c r="BO220" s="214">
        <f>BO218+BO219</f>
        <v>851.41999999999985</v>
      </c>
      <c r="BQ220" s="214">
        <f>BQ218+BQ219</f>
        <v>826.61000000000013</v>
      </c>
      <c r="BS220" s="214">
        <f>BS218+BS219</f>
        <v>617.12</v>
      </c>
      <c r="BU220" s="214">
        <f>BU218+BU219</f>
        <v>282.01</v>
      </c>
      <c r="BW220" s="214">
        <f>BW218+BW219</f>
        <v>246.01999999999998</v>
      </c>
      <c r="BY220" s="214">
        <f>BY218+BY219</f>
        <v>165.49</v>
      </c>
      <c r="CA220" s="214">
        <f>CA218+CA219</f>
        <v>625.95000000000005</v>
      </c>
      <c r="CC220" s="214">
        <f>CC218+CC219</f>
        <v>426.65</v>
      </c>
      <c r="CE220" s="214">
        <f>CE218+CE219</f>
        <v>675.57999999999993</v>
      </c>
      <c r="CG220" s="214">
        <f>CG218+CG219</f>
        <v>548.17999999999995</v>
      </c>
    </row>
    <row r="221" spans="1:87">
      <c r="A221" s="231">
        <v>57</v>
      </c>
      <c r="B221" s="232" t="s">
        <v>30</v>
      </c>
      <c r="C221" s="267" t="s">
        <v>90</v>
      </c>
      <c r="D221" s="268"/>
      <c r="E221" s="268"/>
      <c r="F221" s="268"/>
      <c r="G221" s="267"/>
      <c r="H221" s="268"/>
      <c r="I221" s="267"/>
      <c r="J221" s="267"/>
      <c r="K221" s="267"/>
      <c r="L221" s="267"/>
      <c r="M221" s="267"/>
      <c r="N221" s="267"/>
      <c r="O221" s="267"/>
      <c r="P221" s="267"/>
      <c r="Q221" s="267"/>
      <c r="R221" s="267"/>
      <c r="S221" s="267"/>
      <c r="U221" s="267"/>
      <c r="V221" s="267"/>
      <c r="W221" s="267"/>
      <c r="X221" s="267"/>
      <c r="Y221" s="267"/>
      <c r="Z221" s="267"/>
      <c r="AA221" s="267"/>
      <c r="AC221" s="267"/>
      <c r="AE221" s="267"/>
      <c r="AP221" s="214"/>
      <c r="AT221" s="214"/>
      <c r="BU221" s="214"/>
    </row>
    <row r="222" spans="1:87">
      <c r="A222" s="269"/>
      <c r="C222" s="270" t="s">
        <v>91</v>
      </c>
      <c r="D222" s="280">
        <v>44927</v>
      </c>
      <c r="E222" s="280"/>
      <c r="F222" s="280">
        <v>44958</v>
      </c>
      <c r="G222" s="280"/>
      <c r="H222" s="280">
        <v>44986</v>
      </c>
      <c r="I222" s="280"/>
      <c r="J222" s="280">
        <v>45017</v>
      </c>
      <c r="K222" s="280"/>
      <c r="L222" s="280">
        <v>45047</v>
      </c>
      <c r="M222" s="280"/>
      <c r="N222" s="280">
        <v>45078</v>
      </c>
      <c r="O222" s="280"/>
      <c r="P222" s="280">
        <v>45108</v>
      </c>
      <c r="Q222" s="280"/>
      <c r="R222" s="280">
        <v>45139</v>
      </c>
      <c r="S222" s="280"/>
      <c r="T222" s="281">
        <v>45170</v>
      </c>
      <c r="U222" s="280"/>
      <c r="V222" s="280">
        <v>45200</v>
      </c>
      <c r="W222" s="280"/>
      <c r="X222" s="280">
        <v>45231</v>
      </c>
      <c r="Y222" s="280"/>
      <c r="Z222" s="280">
        <v>45261</v>
      </c>
      <c r="AA222" s="280"/>
      <c r="AB222" s="235">
        <v>45292</v>
      </c>
      <c r="AC222" s="280"/>
      <c r="AD222" s="235">
        <v>45323</v>
      </c>
      <c r="AE222" s="280"/>
      <c r="AF222" s="235">
        <v>45352</v>
      </c>
      <c r="AH222" s="235">
        <v>45383</v>
      </c>
      <c r="AJ222" s="235">
        <v>45413</v>
      </c>
      <c r="AL222" s="235">
        <v>45444</v>
      </c>
      <c r="AN222" s="235">
        <v>45474</v>
      </c>
      <c r="AP222" s="235">
        <v>45505</v>
      </c>
      <c r="AR222" s="236">
        <v>45536</v>
      </c>
      <c r="AT222" s="236">
        <v>45566</v>
      </c>
      <c r="AV222" s="235">
        <v>45597</v>
      </c>
      <c r="AX222" s="235">
        <v>45627</v>
      </c>
      <c r="BA222" s="235">
        <v>45658</v>
      </c>
      <c r="BC222" s="235">
        <v>45689</v>
      </c>
      <c r="BE222" s="235">
        <v>45717</v>
      </c>
      <c r="BG222" s="235">
        <v>45748</v>
      </c>
      <c r="BI222" s="235">
        <v>45778</v>
      </c>
      <c r="BK222" s="235">
        <v>45809</v>
      </c>
      <c r="BM222" s="235">
        <v>45839</v>
      </c>
      <c r="BO222" s="235">
        <v>45870</v>
      </c>
      <c r="BQ222" s="235">
        <v>45901</v>
      </c>
      <c r="BS222" s="235">
        <v>45931</v>
      </c>
      <c r="BU222" s="235">
        <v>45962</v>
      </c>
      <c r="BW222" s="235">
        <v>45992</v>
      </c>
      <c r="BY222" s="235">
        <v>46023</v>
      </c>
      <c r="CA222" s="235">
        <v>46054</v>
      </c>
      <c r="CC222" s="235">
        <v>46082</v>
      </c>
      <c r="CE222" s="235">
        <v>46113</v>
      </c>
      <c r="CG222" s="235">
        <v>46143</v>
      </c>
      <c r="CI222" s="341">
        <v>46174</v>
      </c>
    </row>
    <row r="223" spans="1:87">
      <c r="A223" s="269"/>
      <c r="C223" s="267" t="s">
        <v>7</v>
      </c>
      <c r="D223" s="272">
        <v>-1042.3800000000001</v>
      </c>
      <c r="E223" s="272"/>
      <c r="F223" s="272">
        <v>-989.63</v>
      </c>
      <c r="G223" s="270"/>
      <c r="H223" s="273">
        <v>-1088.8699999999999</v>
      </c>
      <c r="I223" s="272"/>
      <c r="J223" s="273">
        <v>-1243.2</v>
      </c>
      <c r="K223" s="272"/>
      <c r="L223" s="273">
        <v>-1163.4000000000001</v>
      </c>
      <c r="M223" s="272"/>
      <c r="N223" s="273">
        <v>-1341.04</v>
      </c>
      <c r="O223" s="272"/>
      <c r="P223" s="273">
        <v>-1694.52</v>
      </c>
      <c r="Q223" s="272"/>
      <c r="R223" s="273">
        <v>-1876.55</v>
      </c>
      <c r="S223" s="272"/>
      <c r="T223" s="273">
        <v>-1241.79</v>
      </c>
      <c r="U223" s="272"/>
      <c r="V223" s="273">
        <v>-1277.3800000000001</v>
      </c>
      <c r="W223" s="272"/>
      <c r="X223" s="273">
        <f>-380.67-609.24</f>
        <v>-989.91000000000008</v>
      </c>
      <c r="Y223" s="272"/>
      <c r="Z223" s="273">
        <v>-1161.9000000000001</v>
      </c>
      <c r="AA223" s="272"/>
      <c r="AB223" s="286">
        <v>-541.26</v>
      </c>
      <c r="AC223" s="272"/>
      <c r="AD223" s="286">
        <f>-687.88-767.12</f>
        <v>-1455</v>
      </c>
      <c r="AE223" s="272"/>
      <c r="AF223" s="286">
        <v>-1149.48</v>
      </c>
      <c r="AH223" s="237">
        <v>-1021.89</v>
      </c>
      <c r="AJ223" s="237">
        <v>-1171.2</v>
      </c>
      <c r="AL223" s="237">
        <v>-1352.99</v>
      </c>
      <c r="AN223" s="237">
        <v>-1744.8</v>
      </c>
      <c r="AP223" s="237">
        <f>-57.04-1746.82</f>
        <v>-1803.86</v>
      </c>
      <c r="AR223" s="237">
        <v>-1299.67</v>
      </c>
      <c r="AT223" s="237">
        <v>-957.53</v>
      </c>
      <c r="AV223" s="237">
        <v>-918.44</v>
      </c>
      <c r="AX223" s="237">
        <v>-1443.4</v>
      </c>
      <c r="BA223" s="258">
        <v>-1045.25</v>
      </c>
      <c r="BC223" s="237">
        <v>-848.8</v>
      </c>
      <c r="BE223" s="237">
        <v>-878.94</v>
      </c>
      <c r="BG223" s="237">
        <v>-869.45</v>
      </c>
      <c r="BI223" s="237">
        <v>-925.23</v>
      </c>
      <c r="BK223" s="237">
        <v>-1188.2</v>
      </c>
      <c r="BM223" s="237">
        <v>-1911.32</v>
      </c>
      <c r="BO223" s="237">
        <v>-1925.11</v>
      </c>
      <c r="BQ223" s="237">
        <v>-1255.67</v>
      </c>
      <c r="BS223" s="237">
        <v>-987.84</v>
      </c>
      <c r="BU223" s="237">
        <v>-724.44</v>
      </c>
      <c r="BW223" s="237">
        <v>-1228.8399999999999</v>
      </c>
      <c r="BY223" s="237">
        <v>-1178.3800000000001</v>
      </c>
      <c r="CA223" s="237">
        <v>-1003.15</v>
      </c>
      <c r="CC223" s="237">
        <v>-1032.19</v>
      </c>
      <c r="CE223" s="214">
        <v>-597.16</v>
      </c>
      <c r="CG223" s="237">
        <v>-532.07000000000005</v>
      </c>
    </row>
    <row r="224" spans="1:87">
      <c r="A224" s="269"/>
      <c r="C224" s="267" t="s">
        <v>8</v>
      </c>
      <c r="D224" s="272">
        <v>1495.79</v>
      </c>
      <c r="E224" s="276">
        <f>ABS(((D223+D224)/D223))</f>
        <v>0.43497572862104011</v>
      </c>
      <c r="F224" s="272">
        <v>1151.42</v>
      </c>
      <c r="G224" s="276">
        <f>ABS(((F223+F224)/F223))</f>
        <v>0.16348534300698248</v>
      </c>
      <c r="H224" s="272">
        <v>1406.99</v>
      </c>
      <c r="I224" s="276">
        <f>ABS(((H223+H224)/H223))</f>
        <v>0.29215608842194213</v>
      </c>
      <c r="J224" s="272">
        <v>1603.5</v>
      </c>
      <c r="K224" s="276">
        <f>ABS(((J223+J224)/J223))</f>
        <v>0.28981660231660228</v>
      </c>
      <c r="L224" s="272">
        <v>1498.95</v>
      </c>
      <c r="M224" s="276">
        <f>ABS(((L223+L224)/L223))</f>
        <v>0.28842186694172245</v>
      </c>
      <c r="N224" s="272">
        <v>1732.77</v>
      </c>
      <c r="O224" s="276">
        <f>ABS(((N223+N224)/N223))</f>
        <v>0.29210910934796874</v>
      </c>
      <c r="P224" s="272">
        <v>2177.1799999999998</v>
      </c>
      <c r="Q224" s="276">
        <f>ABS(((P223+P224)/P223))</f>
        <v>0.28483582371409005</v>
      </c>
      <c r="R224" s="272">
        <v>2409.1999999999998</v>
      </c>
      <c r="S224" s="276">
        <f>ABS(((R223+R224)/R223))</f>
        <v>0.28384535450694087</v>
      </c>
      <c r="T224" s="217">
        <v>1461.38</v>
      </c>
      <c r="U224" s="276">
        <f>ABS(((T223+T224)/T223))</f>
        <v>0.17683344204736723</v>
      </c>
      <c r="V224" s="272">
        <v>1372.83</v>
      </c>
      <c r="W224" s="276">
        <f>ABS(((V223+V224)/V223))</f>
        <v>7.4723261676243408E-2</v>
      </c>
      <c r="X224" s="272">
        <f>513.12+1088.94</f>
        <v>1602.06</v>
      </c>
      <c r="Y224" s="276">
        <f>ABS(((X223+X224)/X223))</f>
        <v>0.61838955056520273</v>
      </c>
      <c r="Z224" s="272">
        <v>1514.24</v>
      </c>
      <c r="AA224" s="276">
        <f>ABS(((Z223+Z224)/Z223))</f>
        <v>0.30324468542903854</v>
      </c>
      <c r="AB224" s="287">
        <v>745.52</v>
      </c>
      <c r="AC224" s="276">
        <f>ABS(((AB223+AB224)/AB223))</f>
        <v>0.37737870893840297</v>
      </c>
      <c r="AD224" s="287">
        <v>1150.8499999999999</v>
      </c>
      <c r="AE224" s="276">
        <v>0</v>
      </c>
      <c r="AF224" s="287">
        <v>1397.79</v>
      </c>
      <c r="AG224" s="222">
        <f>ABS(((AF223+AF224)/AF223))</f>
        <v>0.21601941747572811</v>
      </c>
      <c r="AH224" s="214">
        <v>1267.9100000000001</v>
      </c>
      <c r="AI224" s="222">
        <f>ABS(((AH223+AH224)/AH223))</f>
        <v>0.24074998287486921</v>
      </c>
      <c r="AJ224" s="214">
        <v>1418.58</v>
      </c>
      <c r="AK224" s="222">
        <f>ABS(((AJ223+AJ224)/AJ223))</f>
        <v>0.21121926229508187</v>
      </c>
      <c r="AL224" s="214">
        <v>1593.34</v>
      </c>
      <c r="AM224" s="222">
        <f>ABS(((AL223+AL224)/AL223))</f>
        <v>0.17764358938351349</v>
      </c>
      <c r="AN224" s="214">
        <v>2081.4499999999998</v>
      </c>
      <c r="AO224" s="222">
        <f>ABS(((AN223+AN224)/AN223))</f>
        <v>0.19294475011462625</v>
      </c>
      <c r="AP224" s="214">
        <v>2450.17</v>
      </c>
      <c r="AQ224" s="222">
        <f>ABS(((AP223+AP224)/AP223))</f>
        <v>0.35829277216635447</v>
      </c>
      <c r="AR224" s="214">
        <v>1555.68</v>
      </c>
      <c r="AS224" s="222">
        <f>ABS(((AR223+AR224)/AR223))</f>
        <v>0.19698077204213377</v>
      </c>
      <c r="AT224" s="214">
        <v>1349.02</v>
      </c>
      <c r="AU224" s="222">
        <f>AT225/AT224</f>
        <v>0.29020325866184343</v>
      </c>
      <c r="AV224" s="214">
        <v>1226.79</v>
      </c>
      <c r="AW224" s="222">
        <f>AV225/AV224</f>
        <v>0.2513470113059284</v>
      </c>
      <c r="AX224" s="214">
        <v>1426.88</v>
      </c>
      <c r="AY224" s="224">
        <f>AX225/AX224</f>
        <v>-1.157770800627942E-2</v>
      </c>
      <c r="AZ224" s="225"/>
      <c r="BA224" s="260">
        <v>1535.46</v>
      </c>
      <c r="BB224" s="222">
        <f>BA225/BA224</f>
        <v>0.31925937504070445</v>
      </c>
      <c r="BC224" s="214">
        <v>1139.9100000000001</v>
      </c>
      <c r="BD224" s="222">
        <f>BC225/BC224</f>
        <v>0.25537981068680871</v>
      </c>
      <c r="BE224" s="214">
        <v>1109.17</v>
      </c>
      <c r="BF224" s="222">
        <f>BE225/BE224</f>
        <v>0.207569624133361</v>
      </c>
      <c r="BG224" s="214">
        <v>1370.85</v>
      </c>
      <c r="BH224" s="222">
        <f>BG225/BG224</f>
        <v>0.36575847102162884</v>
      </c>
      <c r="BI224" s="214">
        <v>1506.83</v>
      </c>
      <c r="BJ224" s="222">
        <f>BI225/BI224</f>
        <v>0.38597585659961636</v>
      </c>
      <c r="BK224" s="214">
        <v>1516.03</v>
      </c>
      <c r="BL224" s="222">
        <f>BK225/BK224</f>
        <v>0.21624242264335133</v>
      </c>
      <c r="BM224" s="239">
        <v>2145.87</v>
      </c>
      <c r="BN224" s="222">
        <f>BM225/BM224</f>
        <v>0.10930298666741227</v>
      </c>
      <c r="BO224" s="214">
        <v>2729.92</v>
      </c>
      <c r="BP224" s="222">
        <f>BO225/BO224</f>
        <v>0.29481083694760291</v>
      </c>
      <c r="BQ224" s="214">
        <v>2324.7800000000002</v>
      </c>
      <c r="BR224" s="222">
        <f>BQ225/BQ224</f>
        <v>0.45987577319144179</v>
      </c>
      <c r="BS224" s="214">
        <v>1575.59</v>
      </c>
      <c r="BT224" s="222">
        <f>BS225/BS224</f>
        <v>0.37303486313063672</v>
      </c>
      <c r="BU224" s="214">
        <v>1324.42</v>
      </c>
      <c r="BV224" s="222">
        <f>BU225/BU224</f>
        <v>0.45301339454251671</v>
      </c>
      <c r="BW224" s="214">
        <v>1564.02</v>
      </c>
      <c r="BX224" s="222">
        <f>BW225/BW224</f>
        <v>0.21430672242042945</v>
      </c>
      <c r="BY224" s="214">
        <v>1376.33</v>
      </c>
      <c r="BZ224" s="222">
        <f>BY225/BY224</f>
        <v>0.14382451882905978</v>
      </c>
      <c r="CA224" s="214">
        <v>1295.1099999999999</v>
      </c>
      <c r="CB224" s="222">
        <f>CA225/CA224</f>
        <v>0.22543258873763614</v>
      </c>
      <c r="CC224" s="214">
        <v>1349.46</v>
      </c>
      <c r="CD224" s="222">
        <f>CC225/CC224</f>
        <v>0.23510885835815806</v>
      </c>
      <c r="CE224" s="214">
        <v>1437.54</v>
      </c>
      <c r="CF224" s="222">
        <f>CE225/CE224</f>
        <v>0.58459590689650376</v>
      </c>
      <c r="CG224" s="214">
        <v>772.18</v>
      </c>
      <c r="CH224" s="222">
        <f>CG225/CG224</f>
        <v>0.31095081457691198</v>
      </c>
    </row>
    <row r="225" spans="1:87">
      <c r="A225" s="269"/>
      <c r="C225" s="267" t="s">
        <v>9</v>
      </c>
      <c r="D225" s="272">
        <f>D223+D224</f>
        <v>453.40999999999985</v>
      </c>
      <c r="E225" s="272"/>
      <c r="F225" s="272">
        <f>F223+F224</f>
        <v>161.79000000000008</v>
      </c>
      <c r="G225" s="270"/>
      <c r="H225" s="272">
        <f>H223+H224</f>
        <v>318.12000000000012</v>
      </c>
      <c r="I225" s="272"/>
      <c r="J225" s="272">
        <f>J223+J224</f>
        <v>360.29999999999995</v>
      </c>
      <c r="K225" s="272"/>
      <c r="L225" s="272">
        <f>L223+L224</f>
        <v>335.54999999999995</v>
      </c>
      <c r="M225" s="272"/>
      <c r="N225" s="272">
        <f>N223+N224</f>
        <v>391.73</v>
      </c>
      <c r="O225" s="272"/>
      <c r="P225" s="272">
        <f>P223+P224</f>
        <v>482.65999999999985</v>
      </c>
      <c r="Q225" s="272"/>
      <c r="R225" s="268">
        <f>R223+R224</f>
        <v>532.64999999999986</v>
      </c>
      <c r="S225" s="268"/>
      <c r="T225" s="214">
        <f>T223+T224</f>
        <v>219.59000000000015</v>
      </c>
      <c r="U225" s="272"/>
      <c r="V225" s="268">
        <f>V223+V224</f>
        <v>95.449999999999818</v>
      </c>
      <c r="W225" s="272"/>
      <c r="X225" s="268">
        <f>X223+X224</f>
        <v>612.14999999999986</v>
      </c>
      <c r="Y225" s="272"/>
      <c r="Z225" s="214">
        <f>Z223+Z224</f>
        <v>352.33999999999992</v>
      </c>
      <c r="AA225" s="272"/>
      <c r="AB225" s="242">
        <f>AB223+AB224</f>
        <v>204.26</v>
      </c>
      <c r="AC225" s="272"/>
      <c r="AD225" s="243">
        <f>AD223+AD224</f>
        <v>-304.15000000000009</v>
      </c>
      <c r="AE225" s="272"/>
      <c r="AF225" s="243">
        <f>AF223+AF224</f>
        <v>248.30999999999995</v>
      </c>
      <c r="AH225" s="243">
        <f>AH223+AH224</f>
        <v>246.0200000000001</v>
      </c>
      <c r="AJ225" s="243">
        <f>AJ223+AJ224</f>
        <v>247.37999999999988</v>
      </c>
      <c r="AL225" s="243">
        <f>AL223+AL224</f>
        <v>240.34999999999991</v>
      </c>
      <c r="AN225" s="243">
        <f>AN223+AN224</f>
        <v>336.64999999999986</v>
      </c>
      <c r="AP225" s="214">
        <f>AP223+AP224</f>
        <v>646.31000000000017</v>
      </c>
      <c r="AR225" s="214">
        <f>AR223+AR224</f>
        <v>256.01</v>
      </c>
      <c r="AT225" s="214">
        <f>AT223+AT224</f>
        <v>391.49</v>
      </c>
      <c r="AV225" s="214">
        <f>AV223+AV224</f>
        <v>308.34999999999991</v>
      </c>
      <c r="AX225" s="214">
        <f>AX223+AX224</f>
        <v>-16.519999999999982</v>
      </c>
      <c r="BA225" s="214">
        <f>BA223+BA224</f>
        <v>490.21000000000004</v>
      </c>
      <c r="BC225" s="214">
        <f>BC223+BC224</f>
        <v>291.11000000000013</v>
      </c>
      <c r="BE225" s="214">
        <f>BE223+BE224</f>
        <v>230.23000000000002</v>
      </c>
      <c r="BG225" s="214">
        <f>BG223+BG224</f>
        <v>501.39999999999986</v>
      </c>
      <c r="BI225" s="214">
        <f>BI223+BI224</f>
        <v>581.59999999999991</v>
      </c>
      <c r="BK225" s="214">
        <f>BK223+BK224</f>
        <v>327.82999999999993</v>
      </c>
      <c r="BM225" s="214">
        <f>BM223+BM224</f>
        <v>234.54999999999995</v>
      </c>
      <c r="BO225" s="214">
        <f>BO223+BO224</f>
        <v>804.81000000000017</v>
      </c>
      <c r="BQ225" s="214">
        <f>BQ223+BQ224</f>
        <v>1069.1100000000001</v>
      </c>
      <c r="BS225" s="214">
        <f>BS223+BS224</f>
        <v>587.74999999999989</v>
      </c>
      <c r="BU225" s="214">
        <f>BU223+BU224</f>
        <v>599.98</v>
      </c>
      <c r="BW225" s="214">
        <f>BW223+BW224</f>
        <v>335.18000000000006</v>
      </c>
      <c r="BY225" s="214">
        <f>BY223+BY224</f>
        <v>197.94999999999982</v>
      </c>
      <c r="CA225" s="214">
        <f>CA223+CA224</f>
        <v>291.95999999999992</v>
      </c>
      <c r="CC225" s="214">
        <f>CC223+CC224</f>
        <v>317.27</v>
      </c>
      <c r="CE225" s="214">
        <f>CE223+CE224</f>
        <v>840.38</v>
      </c>
      <c r="CG225" s="214">
        <f>CG223+CG224</f>
        <v>240.1099999999999</v>
      </c>
    </row>
    <row r="226" spans="1:87">
      <c r="A226" s="231">
        <v>61</v>
      </c>
      <c r="B226" s="232">
        <v>497879256</v>
      </c>
      <c r="C226" s="213" t="s">
        <v>92</v>
      </c>
      <c r="AD226" s="214"/>
      <c r="AF226" s="214"/>
      <c r="AP226" s="214"/>
      <c r="AT226" s="214"/>
    </row>
    <row r="227" spans="1:87">
      <c r="C227" s="253" t="s">
        <v>242</v>
      </c>
      <c r="D227" s="235">
        <v>44927</v>
      </c>
      <c r="E227" s="235"/>
      <c r="F227" s="235">
        <v>44958</v>
      </c>
      <c r="G227" s="235"/>
      <c r="H227" s="235">
        <v>44986</v>
      </c>
      <c r="I227" s="235"/>
      <c r="J227" s="235">
        <v>45017</v>
      </c>
      <c r="K227" s="235"/>
      <c r="L227" s="246">
        <v>45047</v>
      </c>
      <c r="M227" s="235"/>
      <c r="N227" s="235">
        <v>45078</v>
      </c>
      <c r="O227" s="235"/>
      <c r="P227" s="235">
        <v>45108</v>
      </c>
      <c r="Q227" s="235"/>
      <c r="R227" s="235">
        <v>45139</v>
      </c>
      <c r="S227" s="235"/>
      <c r="T227" s="235">
        <v>45170</v>
      </c>
      <c r="U227" s="235"/>
      <c r="V227" s="235">
        <v>45200</v>
      </c>
      <c r="W227" s="235"/>
      <c r="X227" s="235">
        <v>45231</v>
      </c>
      <c r="Y227" s="235"/>
      <c r="Z227" s="235">
        <v>45261</v>
      </c>
      <c r="AA227" s="235"/>
      <c r="AB227" s="235">
        <v>45292</v>
      </c>
      <c r="AC227" s="235"/>
      <c r="AD227" s="235">
        <v>45323</v>
      </c>
      <c r="AE227" s="235"/>
      <c r="AF227" s="235">
        <v>45352</v>
      </c>
      <c r="AH227" s="235">
        <v>45383</v>
      </c>
      <c r="AJ227" s="235">
        <v>45413</v>
      </c>
      <c r="AL227" s="235">
        <v>45444</v>
      </c>
      <c r="AN227" s="235">
        <v>45474</v>
      </c>
      <c r="AP227" s="235">
        <v>45505</v>
      </c>
      <c r="AR227" s="236">
        <v>45536</v>
      </c>
      <c r="AT227" s="236">
        <v>45566</v>
      </c>
      <c r="AV227" s="235">
        <v>45597</v>
      </c>
      <c r="AX227" s="235">
        <v>45627</v>
      </c>
      <c r="BA227" s="235">
        <v>45658</v>
      </c>
      <c r="BC227" s="235">
        <v>45689</v>
      </c>
      <c r="BE227" s="235">
        <v>45717</v>
      </c>
      <c r="BG227" s="235">
        <v>45748</v>
      </c>
      <c r="BI227" s="235">
        <v>45778</v>
      </c>
      <c r="BK227" s="235">
        <v>45809</v>
      </c>
      <c r="BM227" s="235">
        <v>45839</v>
      </c>
      <c r="BO227" s="235">
        <v>45870</v>
      </c>
      <c r="BQ227" s="235">
        <v>45901</v>
      </c>
      <c r="BS227" s="235">
        <v>45931</v>
      </c>
      <c r="BU227" s="235">
        <v>45962</v>
      </c>
      <c r="BW227" s="235">
        <v>45992</v>
      </c>
      <c r="BY227" s="235">
        <v>46023</v>
      </c>
      <c r="CA227" s="235">
        <v>46054</v>
      </c>
      <c r="CC227" s="235">
        <v>46082</v>
      </c>
      <c r="CE227" s="235">
        <v>46113</v>
      </c>
      <c r="CG227" s="235">
        <v>46143</v>
      </c>
      <c r="CI227" s="341">
        <v>46174</v>
      </c>
    </row>
    <row r="228" spans="1:87">
      <c r="C228" s="213" t="s">
        <v>7</v>
      </c>
      <c r="J228" s="237">
        <v>-5.79</v>
      </c>
      <c r="L228" s="238">
        <v>-72.42</v>
      </c>
      <c r="N228" s="237">
        <f>-2.33-65.82</f>
        <v>-68.149999999999991</v>
      </c>
      <c r="P228" s="238">
        <v>-82.08</v>
      </c>
      <c r="R228" s="237">
        <v>-84.65</v>
      </c>
      <c r="T228" s="237">
        <v>-50.13</v>
      </c>
      <c r="V228" s="237">
        <v>-52.01</v>
      </c>
      <c r="X228" s="237">
        <v>-55.44</v>
      </c>
      <c r="Z228" s="238">
        <v>-70.52</v>
      </c>
      <c r="AB228" s="238">
        <v>-67.959999999999994</v>
      </c>
      <c r="AD228" s="237">
        <v>-47.17</v>
      </c>
      <c r="AF228" s="237">
        <v>-44.29</v>
      </c>
      <c r="AH228" s="237">
        <f>-9.03-0</f>
        <v>-9.0299999999999994</v>
      </c>
      <c r="AJ228" s="237">
        <v>-53.48</v>
      </c>
      <c r="AL228" s="237">
        <v>-52.51</v>
      </c>
      <c r="AN228" s="237">
        <v>-66.319999999999993</v>
      </c>
      <c r="AP228" s="237">
        <v>-67.38</v>
      </c>
      <c r="AR228" s="237">
        <f>-8.37-52.23</f>
        <v>-60.599999999999994</v>
      </c>
      <c r="AT228" s="237">
        <v>-55.26</v>
      </c>
      <c r="AV228" s="237">
        <v>-54.8</v>
      </c>
      <c r="AX228" s="237">
        <v>-80.599999999999994</v>
      </c>
      <c r="BA228" s="238">
        <v>-72.290000000000006</v>
      </c>
      <c r="BC228" s="237">
        <v>-65.099999999999994</v>
      </c>
      <c r="BE228" s="237">
        <v>-72.790000000000006</v>
      </c>
      <c r="BG228" s="237">
        <v>-63.91</v>
      </c>
      <c r="BI228" s="237">
        <v>-53.64</v>
      </c>
      <c r="BK228" s="237">
        <v>-72.2</v>
      </c>
      <c r="BM228" s="237">
        <v>-74.98</v>
      </c>
      <c r="BO228" s="237">
        <v>-82.52</v>
      </c>
      <c r="BQ228" s="237">
        <v>-68.58</v>
      </c>
      <c r="BS228" s="237">
        <v>-67.47</v>
      </c>
      <c r="BU228" s="237">
        <v>-70.25</v>
      </c>
      <c r="BW228" s="237">
        <v>-89.49</v>
      </c>
      <c r="BY228" s="237">
        <v>-88.58</v>
      </c>
      <c r="CA228" s="237">
        <v>-58.01</v>
      </c>
      <c r="CC228" s="237">
        <v>-62.4</v>
      </c>
      <c r="CE228" s="237">
        <v>-44.1</v>
      </c>
      <c r="CG228" s="237">
        <v>-52.78</v>
      </c>
    </row>
    <row r="229" spans="1:87">
      <c r="C229" s="213" t="s">
        <v>8</v>
      </c>
      <c r="I229" s="266"/>
      <c r="J229" s="214">
        <v>27.45</v>
      </c>
      <c r="K229" s="222">
        <f>ABS(((J228+J229)/J228))</f>
        <v>3.7409326424870466</v>
      </c>
      <c r="L229" s="214">
        <v>108.62</v>
      </c>
      <c r="M229" s="222">
        <f>ABS(((L228+L229)/L228))</f>
        <v>0.49986191659762497</v>
      </c>
      <c r="N229" s="214">
        <v>97.6</v>
      </c>
      <c r="O229" s="222">
        <f>ABS(((N228+N229)/N228))</f>
        <v>0.4321349963316215</v>
      </c>
      <c r="P229" s="213">
        <v>87.84</v>
      </c>
      <c r="Q229" s="222">
        <f>ABS(((P228+P229)/P228))</f>
        <v>7.0175438596491294E-2</v>
      </c>
      <c r="R229" s="214">
        <v>113.21</v>
      </c>
      <c r="S229" s="222">
        <f>-(((R228+R229)/R228))</f>
        <v>0.33738924985233298</v>
      </c>
      <c r="T229" s="214">
        <v>103</v>
      </c>
      <c r="U229" s="222">
        <f>ABS(((T228+T229)/T228))</f>
        <v>1.0546578894873329</v>
      </c>
      <c r="V229" s="214">
        <v>90.83</v>
      </c>
      <c r="W229" s="222">
        <f>ABS(((V228+V229)/V228))</f>
        <v>0.74639492405306673</v>
      </c>
      <c r="X229" s="214">
        <v>92.37</v>
      </c>
      <c r="Y229" s="222">
        <f>ABS(((X228+X229)/X228))</f>
        <v>0.66612554112554123</v>
      </c>
      <c r="Z229" s="213">
        <v>102.47</v>
      </c>
      <c r="AA229" s="222">
        <f>ABS(((Z228+Z229)/Z228))</f>
        <v>0.45306296086216685</v>
      </c>
      <c r="AB229" s="213">
        <v>105.05</v>
      </c>
      <c r="AC229" s="222">
        <f>ABS(((AB228+AB229)/AB228))</f>
        <v>0.54576221306650985</v>
      </c>
      <c r="AD229" s="213">
        <v>87.68</v>
      </c>
      <c r="AE229" s="222">
        <f>ABS(((AD228+AD229)/AD228))</f>
        <v>0.85880856476574097</v>
      </c>
      <c r="AF229" s="213">
        <v>90.37</v>
      </c>
      <c r="AG229" s="222">
        <f>ABS(((AF228+AF229)/AF228))</f>
        <v>1.0404154436667421</v>
      </c>
      <c r="AH229" s="214">
        <v>71.680000000000007</v>
      </c>
      <c r="AI229" s="222">
        <f>ABS(((AH228+AH229)/AH228))</f>
        <v>6.9379844961240318</v>
      </c>
      <c r="AJ229" s="214">
        <v>60.39</v>
      </c>
      <c r="AK229" s="222">
        <f>ABS(((AJ228+AJ229)/AJ228))</f>
        <v>0.12920718025430075</v>
      </c>
      <c r="AL229" s="214">
        <v>82.4</v>
      </c>
      <c r="AM229" s="222">
        <f>ABS(((AL228+AL229)/AL228))</f>
        <v>0.56922490954103999</v>
      </c>
      <c r="AN229" s="214">
        <v>105.83</v>
      </c>
      <c r="AO229" s="222">
        <f>ABS(((AN228+AN229)/AN228))</f>
        <v>0.59574788902291931</v>
      </c>
      <c r="AP229" s="214">
        <v>106.39</v>
      </c>
      <c r="AQ229" s="222">
        <f>ABS(((AP228+AP229)/AP228))</f>
        <v>0.57895517957851006</v>
      </c>
      <c r="AR229" s="214">
        <v>94.46</v>
      </c>
      <c r="AS229" s="222">
        <f>ABS(((AR228+AR229)/AR228))</f>
        <v>0.55874587458745884</v>
      </c>
      <c r="AT229" s="214">
        <v>82.68</v>
      </c>
      <c r="AU229" s="222">
        <f>AT230/AT229</f>
        <v>0.33164005805515245</v>
      </c>
      <c r="AV229" s="214">
        <v>81.709999999999994</v>
      </c>
      <c r="AW229" s="222">
        <f>AV230/AV229</f>
        <v>0.32933545465671277</v>
      </c>
      <c r="AX229" s="214">
        <v>107.75</v>
      </c>
      <c r="AY229" s="224">
        <f>AX230/AX229</f>
        <v>0.25197215777262189</v>
      </c>
      <c r="AZ229" s="225"/>
      <c r="BA229" s="213">
        <v>130.99</v>
      </c>
      <c r="BB229" s="222">
        <f>BA230/BA229</f>
        <v>0.44812581113062067</v>
      </c>
      <c r="BC229" s="214">
        <v>88.32</v>
      </c>
      <c r="BD229" s="222">
        <f>BC230/BC229</f>
        <v>0.26290760869565216</v>
      </c>
      <c r="BE229" s="214">
        <v>93.37</v>
      </c>
      <c r="BF229" s="222">
        <f>BE230/BE229</f>
        <v>0.22041340901788581</v>
      </c>
      <c r="BG229" s="214">
        <v>73.5</v>
      </c>
      <c r="BH229" s="222">
        <f>BG230/BG229</f>
        <v>0.13047619047619052</v>
      </c>
      <c r="BI229" s="214">
        <v>76.23</v>
      </c>
      <c r="BJ229" s="222">
        <f>BI230/BI229</f>
        <v>0.29634002361275091</v>
      </c>
      <c r="BK229" s="214">
        <v>116.38</v>
      </c>
      <c r="BL229" s="222">
        <f>BK230/BK229</f>
        <v>0.37961849114968205</v>
      </c>
      <c r="BM229" s="239">
        <v>98.16</v>
      </c>
      <c r="BN229" s="222">
        <f>BM230/BM229</f>
        <v>0.23614506927465356</v>
      </c>
      <c r="BO229" s="214">
        <v>106.53</v>
      </c>
      <c r="BP229" s="222">
        <f>BO230/BO229</f>
        <v>0.22538252135548675</v>
      </c>
      <c r="BQ229" s="214">
        <v>89.94</v>
      </c>
      <c r="BR229" s="222">
        <f>BQ230/BQ229</f>
        <v>0.23749166110740494</v>
      </c>
      <c r="BS229" s="214">
        <v>87.68</v>
      </c>
      <c r="BT229" s="222">
        <f>BS230/BS229</f>
        <v>0.23049726277372271</v>
      </c>
      <c r="BU229" s="214">
        <v>93.08</v>
      </c>
      <c r="BV229" s="222">
        <f>BU230/BU229</f>
        <v>0.24527288354103996</v>
      </c>
      <c r="BW229" s="214">
        <v>111.8</v>
      </c>
      <c r="BX229" s="222">
        <f>BW230/BW229</f>
        <v>0.1995527728085868</v>
      </c>
      <c r="BY229" s="214">
        <v>109.42</v>
      </c>
      <c r="BZ229" s="222">
        <f>BY230/BY229</f>
        <v>0.19045878267227201</v>
      </c>
      <c r="CA229" s="214">
        <v>81.36</v>
      </c>
      <c r="CB229" s="222">
        <f>CA230/CA229</f>
        <v>0.28699606686332352</v>
      </c>
      <c r="CC229" s="214">
        <v>90.8</v>
      </c>
      <c r="CD229" s="222">
        <f>CC230/CC229</f>
        <v>0.31277533039647576</v>
      </c>
      <c r="CE229" s="214">
        <v>69.099999999999994</v>
      </c>
      <c r="CF229" s="222">
        <f>CE230/CE229</f>
        <v>0.36179450072358893</v>
      </c>
      <c r="CG229" s="214">
        <v>70.680000000000007</v>
      </c>
      <c r="CH229" s="222">
        <f>CG230/CG229</f>
        <v>0.25325410299943413</v>
      </c>
    </row>
    <row r="230" spans="1:87">
      <c r="C230" s="241" t="s">
        <v>9</v>
      </c>
      <c r="J230" s="214">
        <f>SUM(J228:J229)</f>
        <v>21.66</v>
      </c>
      <c r="L230" s="214">
        <f>SUM(L228:L229)</f>
        <v>36.200000000000003</v>
      </c>
      <c r="N230" s="214">
        <f>SUM(N228:N229)</f>
        <v>29.450000000000003</v>
      </c>
      <c r="P230" s="214">
        <f>SUM(P228:P229)</f>
        <v>5.7600000000000051</v>
      </c>
      <c r="R230" s="214">
        <f>R228+R229</f>
        <v>28.559999999999988</v>
      </c>
      <c r="S230" s="214"/>
      <c r="T230" s="214">
        <f>T228+T229</f>
        <v>52.87</v>
      </c>
      <c r="V230" s="214">
        <f>V228+V229</f>
        <v>38.82</v>
      </c>
      <c r="X230" s="214">
        <f>X228+X229</f>
        <v>36.930000000000007</v>
      </c>
      <c r="Z230" s="214">
        <f>Z228+Z229</f>
        <v>31.950000000000003</v>
      </c>
      <c r="AB230" s="242">
        <f>AB228+AB229</f>
        <v>37.090000000000003</v>
      </c>
      <c r="AD230" s="242">
        <f>AD228+AD229</f>
        <v>40.510000000000005</v>
      </c>
      <c r="AF230" s="242">
        <f>AF228+AF229</f>
        <v>46.080000000000005</v>
      </c>
      <c r="AH230" s="243">
        <f>AH228+AH229</f>
        <v>62.650000000000006</v>
      </c>
      <c r="AJ230" s="243">
        <f>AJ228+AJ229</f>
        <v>6.9100000000000037</v>
      </c>
      <c r="AL230" s="243">
        <f>AL228+AL229</f>
        <v>29.890000000000008</v>
      </c>
      <c r="AN230" s="243">
        <f>AN228+AN229</f>
        <v>39.510000000000005</v>
      </c>
      <c r="AP230" s="214">
        <f>AP228+AP229</f>
        <v>39.010000000000005</v>
      </c>
      <c r="AR230" s="214">
        <f>AR228+AR229</f>
        <v>33.86</v>
      </c>
      <c r="AT230" s="214">
        <f>AT228+AT229</f>
        <v>27.420000000000009</v>
      </c>
      <c r="AV230" s="214">
        <f>AV228+AV229</f>
        <v>26.909999999999997</v>
      </c>
      <c r="AX230" s="214">
        <f>AX228+AX229</f>
        <v>27.150000000000006</v>
      </c>
      <c r="BA230" s="214">
        <f>BA228+BA229</f>
        <v>58.7</v>
      </c>
      <c r="BC230" s="214">
        <f>BC228+BC229</f>
        <v>23.22</v>
      </c>
      <c r="BE230" s="214">
        <f>BE228+BE229</f>
        <v>20.58</v>
      </c>
      <c r="BG230" s="214">
        <f>BG228+BG229</f>
        <v>9.5900000000000034</v>
      </c>
      <c r="BI230" s="214">
        <f>BI228+BI229</f>
        <v>22.590000000000003</v>
      </c>
      <c r="BK230" s="214">
        <f>BK228+BK229</f>
        <v>44.179999999999993</v>
      </c>
      <c r="BM230" s="214">
        <f>BM228+BM229</f>
        <v>23.179999999999993</v>
      </c>
      <c r="BO230" s="214">
        <f>BO228+BO229</f>
        <v>24.010000000000005</v>
      </c>
      <c r="BQ230" s="214">
        <f>BQ228+BQ229</f>
        <v>21.36</v>
      </c>
      <c r="BS230" s="214">
        <f>BS228+BS229</f>
        <v>20.210000000000008</v>
      </c>
      <c r="BU230" s="214">
        <f>BU228+BU229</f>
        <v>22.83</v>
      </c>
      <c r="BW230" s="214">
        <f>BW228+BW229</f>
        <v>22.310000000000002</v>
      </c>
      <c r="BY230" s="214">
        <f>BY228+BY229</f>
        <v>20.840000000000003</v>
      </c>
      <c r="CA230" s="214">
        <f>CA228+CA229</f>
        <v>23.35</v>
      </c>
      <c r="CC230" s="214">
        <f>CC228+CC229</f>
        <v>28.4</v>
      </c>
      <c r="CE230" s="214">
        <f>CE228+CE229</f>
        <v>24.999999999999993</v>
      </c>
      <c r="CG230" s="214">
        <f>CG228+CG229</f>
        <v>17.900000000000006</v>
      </c>
    </row>
    <row r="231" spans="1:87">
      <c r="A231" s="231">
        <v>62</v>
      </c>
      <c r="B231" s="232">
        <v>149373855</v>
      </c>
      <c r="C231" s="310" t="s">
        <v>615</v>
      </c>
      <c r="X231" s="214"/>
      <c r="AP231" s="214"/>
      <c r="AT231" s="214"/>
    </row>
    <row r="232" spans="1:87">
      <c r="C232" s="253" t="s">
        <v>93</v>
      </c>
      <c r="D232" s="235">
        <v>44927</v>
      </c>
      <c r="E232" s="235"/>
      <c r="F232" s="235">
        <v>44958</v>
      </c>
      <c r="G232" s="235"/>
      <c r="H232" s="235">
        <v>44986</v>
      </c>
      <c r="I232" s="235"/>
      <c r="J232" s="235">
        <v>45017</v>
      </c>
      <c r="K232" s="235"/>
      <c r="L232" s="246">
        <v>45047</v>
      </c>
      <c r="M232" s="235"/>
      <c r="N232" s="235">
        <v>45078</v>
      </c>
      <c r="O232" s="235"/>
      <c r="P232" s="235">
        <v>45108</v>
      </c>
      <c r="Q232" s="235"/>
      <c r="R232" s="235">
        <v>45139</v>
      </c>
      <c r="S232" s="235"/>
      <c r="T232" s="235">
        <v>45170</v>
      </c>
      <c r="U232" s="235"/>
      <c r="V232" s="235">
        <v>45200</v>
      </c>
      <c r="W232" s="235"/>
      <c r="X232" s="235">
        <v>45231</v>
      </c>
      <c r="Y232" s="235"/>
      <c r="Z232" s="235">
        <v>45261</v>
      </c>
      <c r="AA232" s="235"/>
      <c r="AB232" s="235">
        <v>45292</v>
      </c>
      <c r="AC232" s="235"/>
      <c r="AD232" s="235">
        <v>45323</v>
      </c>
      <c r="AE232" s="235"/>
      <c r="AF232" s="235">
        <v>45352</v>
      </c>
      <c r="AH232" s="235">
        <v>45383</v>
      </c>
      <c r="AJ232" s="235">
        <v>45413</v>
      </c>
      <c r="AL232" s="235">
        <v>45444</v>
      </c>
      <c r="AN232" s="235">
        <v>45474</v>
      </c>
      <c r="AP232" s="235">
        <v>45505</v>
      </c>
      <c r="AR232" s="236">
        <v>45536</v>
      </c>
      <c r="AT232" s="236">
        <v>45566</v>
      </c>
      <c r="AV232" s="235">
        <v>45597</v>
      </c>
      <c r="AX232" s="235">
        <v>45627</v>
      </c>
      <c r="BA232" s="235">
        <v>45658</v>
      </c>
      <c r="BC232" s="235">
        <v>45689</v>
      </c>
      <c r="BE232" s="235">
        <v>45717</v>
      </c>
      <c r="BG232" s="235">
        <v>45748</v>
      </c>
      <c r="BI232" s="235">
        <v>45778</v>
      </c>
      <c r="BK232" s="235">
        <v>45809</v>
      </c>
      <c r="BM232" s="235">
        <v>45839</v>
      </c>
      <c r="BO232" s="235">
        <v>45870</v>
      </c>
      <c r="BQ232" s="235">
        <v>45901</v>
      </c>
      <c r="BS232" s="235">
        <v>45931</v>
      </c>
      <c r="BU232" s="235">
        <v>45962</v>
      </c>
      <c r="BW232" s="235">
        <v>45992</v>
      </c>
      <c r="BY232" s="235">
        <v>46023</v>
      </c>
      <c r="CA232" s="235">
        <v>46054</v>
      </c>
      <c r="CC232" s="235">
        <v>46082</v>
      </c>
      <c r="CE232" s="235">
        <v>46113</v>
      </c>
      <c r="CG232" s="235">
        <v>46143</v>
      </c>
      <c r="CI232" s="341">
        <v>46174</v>
      </c>
    </row>
    <row r="233" spans="1:87">
      <c r="C233" s="213" t="s">
        <v>7</v>
      </c>
      <c r="J233" s="238">
        <f>-8.52</f>
        <v>-8.52</v>
      </c>
      <c r="L233" s="238">
        <f>-106.29</f>
        <v>-106.29</v>
      </c>
      <c r="N233" s="237">
        <v>-112.82</v>
      </c>
      <c r="P233" s="238">
        <v>-116.76</v>
      </c>
      <c r="R233" s="237">
        <f>-157.85-52.12</f>
        <v>-209.97</v>
      </c>
      <c r="T233" s="237">
        <v>-63.92</v>
      </c>
      <c r="V233" s="237">
        <v>-99.97</v>
      </c>
      <c r="X233" s="237">
        <v>-106</v>
      </c>
      <c r="Z233" s="238">
        <v>-108.36</v>
      </c>
      <c r="AB233" s="238">
        <f>-70.21-48.72</f>
        <v>-118.92999999999999</v>
      </c>
      <c r="AD233" s="237">
        <f>-77.13-42.3</f>
        <v>-119.42999999999999</v>
      </c>
      <c r="AF233" s="237">
        <f>-84.79-54.21</f>
        <v>-139</v>
      </c>
      <c r="AH233" s="237">
        <f>-91.67-26.32-8.02</f>
        <v>-126.01</v>
      </c>
      <c r="AJ233" s="237">
        <f>-75.39-40.8</f>
        <v>-116.19</v>
      </c>
      <c r="AL233" s="237">
        <f>-73.51-50.88</f>
        <v>-124.39000000000001</v>
      </c>
      <c r="AN233" s="237">
        <f>-88.94-50.6</f>
        <v>-139.54</v>
      </c>
      <c r="AP233" s="237">
        <f>-96.28-51.37</f>
        <v>-147.65</v>
      </c>
      <c r="AR233" s="237">
        <f>-84.17-25.33-25.14</f>
        <v>-134.63999999999999</v>
      </c>
      <c r="AT233" s="237">
        <f>-38-88.12</f>
        <v>-126.12</v>
      </c>
      <c r="AV233" s="237">
        <f>-72.09-45.65</f>
        <v>-117.74000000000001</v>
      </c>
      <c r="AX233" s="237">
        <f>-70.59-78.26</f>
        <v>-148.85000000000002</v>
      </c>
      <c r="BA233" s="238">
        <f>-122.96-47.43</f>
        <v>-170.39</v>
      </c>
      <c r="BC233" s="237">
        <f>-105.33-35.28</f>
        <v>-140.61000000000001</v>
      </c>
      <c r="BE233" s="237">
        <f>-88.32-49.2</f>
        <v>-137.51999999999998</v>
      </c>
      <c r="BG233" s="237">
        <f>-108.37-33.52</f>
        <v>-141.89000000000001</v>
      </c>
      <c r="BI233" s="237">
        <f>-92.16-38.34</f>
        <v>-130.5</v>
      </c>
      <c r="BK233" s="237">
        <f>-93.79-41.04</f>
        <v>-134.83000000000001</v>
      </c>
      <c r="BM233" s="237">
        <f>-107.64-47.9</f>
        <v>-155.54</v>
      </c>
      <c r="BO233" s="237">
        <f>-100.58-44.5</f>
        <v>-145.07999999999998</v>
      </c>
      <c r="BQ233" s="237">
        <f>-80.07-50.16</f>
        <v>-130.22999999999999</v>
      </c>
      <c r="BS233" s="237">
        <f>-87.89-42.9</f>
        <v>-130.79</v>
      </c>
      <c r="BU233" s="237">
        <f>-77.19-65.88</f>
        <v>-143.07</v>
      </c>
      <c r="BW233" s="237">
        <f>-93.28-89.04</f>
        <v>-182.32</v>
      </c>
      <c r="BY233" s="237">
        <f>-127.22-60.83</f>
        <v>-188.05</v>
      </c>
      <c r="CA233" s="237">
        <f>-93.92-45.98</f>
        <v>-139.9</v>
      </c>
      <c r="CC233" s="237">
        <f>-79.3-43.2</f>
        <v>-122.5</v>
      </c>
      <c r="CE233" s="237">
        <f>-71.99-39</f>
        <v>-110.99</v>
      </c>
      <c r="CG233" s="237">
        <f>-73.98-59.52</f>
        <v>-133.5</v>
      </c>
      <c r="CI233" s="213">
        <v>-84.43</v>
      </c>
    </row>
    <row r="234" spans="1:87">
      <c r="C234" s="213" t="s">
        <v>8</v>
      </c>
      <c r="I234" s="266"/>
      <c r="J234" s="213">
        <v>13.35</v>
      </c>
      <c r="K234" s="222">
        <f>ABS(((J233+J234)/J233))</f>
        <v>0.56690140845070425</v>
      </c>
      <c r="L234" s="213">
        <v>150.26</v>
      </c>
      <c r="M234" s="222">
        <f>ABS(((L233+L234)/L233))</f>
        <v>0.41367955593188432</v>
      </c>
      <c r="N234" s="214">
        <v>128.37</v>
      </c>
      <c r="O234" s="222">
        <f>ABS(((N233+N234)/N233))</f>
        <v>0.13783017195532718</v>
      </c>
      <c r="P234" s="213">
        <f>135.02+99.67</f>
        <v>234.69</v>
      </c>
      <c r="Q234" s="222">
        <f>ABS(((P233+P234)/P233))</f>
        <v>1.0100205549845838</v>
      </c>
      <c r="R234" s="214">
        <v>159.82</v>
      </c>
      <c r="S234" s="222">
        <f>-(((R233+R234)/R233))</f>
        <v>-0.23884364433014244</v>
      </c>
      <c r="T234" s="214">
        <v>168.33</v>
      </c>
      <c r="U234" s="222">
        <f>ABS(((T233+T234)/T233))</f>
        <v>1.633448060075094</v>
      </c>
      <c r="V234" s="214">
        <v>129.63999999999999</v>
      </c>
      <c r="W234" s="222">
        <f>ABS(((V233+V234)/V233))</f>
        <v>0.2967890367110132</v>
      </c>
      <c r="X234" s="214">
        <v>128.6</v>
      </c>
      <c r="Y234" s="222">
        <f>ABS(((X233+X234)/X233))</f>
        <v>0.21320754716981127</v>
      </c>
      <c r="Z234" s="213">
        <v>137.21</v>
      </c>
      <c r="AA234" s="222">
        <f>ABS(((Z233+Z234)/Z233))</f>
        <v>0.26624215577703958</v>
      </c>
      <c r="AB234" s="213">
        <v>141.56</v>
      </c>
      <c r="AC234" s="222">
        <f>ABS(((AB233+AB234)/AB233))</f>
        <v>0.19027999663667713</v>
      </c>
      <c r="AD234" s="213">
        <v>149.68</v>
      </c>
      <c r="AE234" s="222">
        <f>ABS(((AD233+AD234)/AD233))</f>
        <v>0.25328644394205824</v>
      </c>
      <c r="AF234" s="213">
        <v>170.35</v>
      </c>
      <c r="AG234" s="222">
        <f>ABS(((AF233+AF234)/AF233))</f>
        <v>0.22553956834532371</v>
      </c>
      <c r="AH234" s="214">
        <v>149.84</v>
      </c>
      <c r="AI234" s="222">
        <f>ABS(((AH233+AH234)/AH233))</f>
        <v>0.18911197524006029</v>
      </c>
      <c r="AJ234" s="214">
        <v>156.63</v>
      </c>
      <c r="AK234" s="222">
        <f>ABS(((AJ233+AJ234)/AJ233))</f>
        <v>0.34805060676478183</v>
      </c>
      <c r="AL234" s="214">
        <v>161.97999999999999</v>
      </c>
      <c r="AM234" s="222">
        <f>ABS(((AL233+AL234)/AL233))</f>
        <v>0.30219471018570598</v>
      </c>
      <c r="AN234" s="214">
        <v>189.64</v>
      </c>
      <c r="AO234" s="222">
        <f>ABS(((AN233+AN234)/AN233))</f>
        <v>0.35903683531603842</v>
      </c>
      <c r="AP234" s="214">
        <v>207.5</v>
      </c>
      <c r="AQ234" s="222">
        <f>ABS(((AP233+AP234)/AP233))</f>
        <v>0.40535049102607512</v>
      </c>
      <c r="AR234" s="214">
        <v>174.6</v>
      </c>
      <c r="AS234" s="222">
        <f>ABS(((AR233+AR234)/AR233))</f>
        <v>0.29679144385026746</v>
      </c>
      <c r="AT234" s="214">
        <v>150.47</v>
      </c>
      <c r="AU234" s="222">
        <f>AT235/AT234</f>
        <v>0.16182627766332155</v>
      </c>
      <c r="AV234" s="214">
        <v>143.58000000000001</v>
      </c>
      <c r="AW234" s="222">
        <f>AV235/AV234</f>
        <v>0.1799693550633793</v>
      </c>
      <c r="AX234" s="214">
        <v>182.78</v>
      </c>
      <c r="AY234" s="224">
        <f>AX235/AX234</f>
        <v>0.18563300142247499</v>
      </c>
      <c r="AZ234" s="225"/>
      <c r="BA234" s="213">
        <v>186.88</v>
      </c>
      <c r="BB234" s="222">
        <f>BA235/BA234</f>
        <v>8.8238441780821963E-2</v>
      </c>
      <c r="BC234" s="214">
        <v>162.63</v>
      </c>
      <c r="BD234" s="222">
        <f>BC235/BC234</f>
        <v>0.13539937280944464</v>
      </c>
      <c r="BE234" s="214">
        <v>181.73</v>
      </c>
      <c r="BF234" s="222">
        <f>BE235/BE234</f>
        <v>0.24327298739888853</v>
      </c>
      <c r="BG234" s="214">
        <v>145.32</v>
      </c>
      <c r="BH234" s="222">
        <f>BG235/BG234</f>
        <v>2.3603082851637619E-2</v>
      </c>
      <c r="BI234" s="214">
        <v>140.66999999999999</v>
      </c>
      <c r="BJ234" s="222">
        <f>BI235/BI234</f>
        <v>7.2296865003198887E-2</v>
      </c>
      <c r="BK234" s="214">
        <v>162.47999999999999</v>
      </c>
      <c r="BL234" s="222">
        <f>BK235/BK234</f>
        <v>0.170174790743476</v>
      </c>
      <c r="BM234" s="239">
        <v>188.53</v>
      </c>
      <c r="BN234" s="222">
        <f>BM235/BM234</f>
        <v>0.17498541346204852</v>
      </c>
      <c r="BO234" s="214">
        <v>174.72</v>
      </c>
      <c r="BP234" s="222">
        <f>BO235/BO234</f>
        <v>0.16964285714285723</v>
      </c>
      <c r="BQ234" s="214">
        <v>160.31</v>
      </c>
      <c r="BR234" s="222">
        <f>BQ235/BQ234</f>
        <v>0.18763645436965887</v>
      </c>
      <c r="BS234" s="214">
        <v>148.94999999999999</v>
      </c>
      <c r="BT234" s="222">
        <f>BS235/BS234</f>
        <v>0.12192010741859684</v>
      </c>
      <c r="BU234" s="214">
        <v>170.06</v>
      </c>
      <c r="BV234" s="222">
        <f>BU235/BU234</f>
        <v>0.15870869105021762</v>
      </c>
      <c r="BW234" s="214">
        <v>217.87</v>
      </c>
      <c r="BX234" s="222">
        <f>BW235/BW234</f>
        <v>0.1631706981227338</v>
      </c>
      <c r="BY234" s="214">
        <v>229.01</v>
      </c>
      <c r="BZ234" s="222">
        <f>BY235/BY234</f>
        <v>0.1788568184795423</v>
      </c>
      <c r="CA234" s="214">
        <v>173.65</v>
      </c>
      <c r="CB234" s="222">
        <f>CA235/CA234</f>
        <v>0.19435646415202995</v>
      </c>
      <c r="CC234" s="214">
        <v>169.05</v>
      </c>
      <c r="CD234" s="222">
        <f>CC235/CC234</f>
        <v>0.27536231884057977</v>
      </c>
      <c r="CE234" s="214">
        <v>145.55000000000001</v>
      </c>
      <c r="CF234" s="222">
        <f>CE235/CE234</f>
        <v>0.23744417725867409</v>
      </c>
      <c r="CG234" s="214">
        <v>165.93</v>
      </c>
      <c r="CH234" s="222">
        <f>CG235/CG234</f>
        <v>0.19544386186946305</v>
      </c>
    </row>
    <row r="235" spans="1:87">
      <c r="C235" s="241" t="s">
        <v>9</v>
      </c>
      <c r="J235" s="214">
        <f>SUM(J233:J234)</f>
        <v>4.83</v>
      </c>
      <c r="L235" s="214">
        <f>SUM(L233:L234)</f>
        <v>43.969999999999985</v>
      </c>
      <c r="N235" s="214">
        <f>SUM(N233:N234)</f>
        <v>15.550000000000011</v>
      </c>
      <c r="P235" s="214">
        <f>SUM(P233:P234)</f>
        <v>117.92999999999999</v>
      </c>
      <c r="R235" s="214">
        <f>SUM(R233:R234)</f>
        <v>-50.150000000000006</v>
      </c>
      <c r="S235" s="214"/>
      <c r="T235" s="214">
        <f>T233+T234</f>
        <v>104.41000000000001</v>
      </c>
      <c r="V235" s="214">
        <f>V233+V234</f>
        <v>29.669999999999987</v>
      </c>
      <c r="X235" s="214">
        <f>X233+X234</f>
        <v>22.599999999999994</v>
      </c>
      <c r="Z235" s="214">
        <f>Z233+Z234</f>
        <v>28.850000000000009</v>
      </c>
      <c r="AB235" s="243">
        <f>AB233+AB234</f>
        <v>22.63000000000001</v>
      </c>
      <c r="AD235" s="243">
        <f>AD233+AD234</f>
        <v>30.250000000000014</v>
      </c>
      <c r="AF235" s="243">
        <f>AF233+AF234</f>
        <v>31.349999999999994</v>
      </c>
      <c r="AH235" s="243">
        <f>AH233+AH234</f>
        <v>23.83</v>
      </c>
      <c r="AJ235" s="243">
        <f>AJ233+AJ234</f>
        <v>40.44</v>
      </c>
      <c r="AL235" s="243">
        <f>AL233+AL234</f>
        <v>37.589999999999975</v>
      </c>
      <c r="AN235" s="243">
        <f>AN233+AN234</f>
        <v>50.099999999999994</v>
      </c>
      <c r="AP235" s="214">
        <f>AP233+AP234</f>
        <v>59.849999999999994</v>
      </c>
      <c r="AR235" s="214">
        <f>AR233+AR234</f>
        <v>39.960000000000008</v>
      </c>
      <c r="AT235" s="214">
        <f>AT233+AT234</f>
        <v>24.349999999999994</v>
      </c>
      <c r="AV235" s="214">
        <f>AV233+AV234</f>
        <v>25.840000000000003</v>
      </c>
      <c r="AX235" s="214">
        <f>AX233+AX234</f>
        <v>33.929999999999978</v>
      </c>
      <c r="BA235" s="214">
        <f>BA233+BA234</f>
        <v>16.490000000000009</v>
      </c>
      <c r="BC235" s="214">
        <f>BC233+BC234</f>
        <v>22.019999999999982</v>
      </c>
      <c r="BE235" s="214">
        <f>BE233+BE234</f>
        <v>44.210000000000008</v>
      </c>
      <c r="BG235" s="214">
        <f>BG233+BG234</f>
        <v>3.4299999999999784</v>
      </c>
      <c r="BI235" s="214">
        <f>BI233+BI234</f>
        <v>10.169999999999987</v>
      </c>
      <c r="BK235" s="214">
        <f>BK233+BK234</f>
        <v>27.649999999999977</v>
      </c>
      <c r="BM235" s="214">
        <f>BM233+BM234</f>
        <v>32.990000000000009</v>
      </c>
      <c r="BO235" s="214">
        <f>BO233+BO234</f>
        <v>29.640000000000015</v>
      </c>
      <c r="BQ235" s="214">
        <f>BQ233+BQ234</f>
        <v>30.080000000000013</v>
      </c>
      <c r="BS235" s="214">
        <f>BS233+BS234</f>
        <v>18.159999999999997</v>
      </c>
      <c r="BU235" s="214">
        <f>BU233+BU234</f>
        <v>26.990000000000009</v>
      </c>
      <c r="BW235" s="214">
        <f>BW233+BW234</f>
        <v>35.550000000000011</v>
      </c>
      <c r="BY235" s="214">
        <f>BY233+BY234</f>
        <v>40.95999999999998</v>
      </c>
      <c r="CA235" s="214">
        <f>CA233+CA234</f>
        <v>33.75</v>
      </c>
      <c r="CC235" s="214">
        <f>CC233+CC234</f>
        <v>46.550000000000011</v>
      </c>
      <c r="CE235" s="214">
        <f>CE233+CE234</f>
        <v>34.560000000000016</v>
      </c>
      <c r="CG235" s="214">
        <f>CG233+CG234</f>
        <v>32.430000000000007</v>
      </c>
    </row>
    <row r="236" spans="1:87">
      <c r="A236" s="231">
        <v>63</v>
      </c>
      <c r="B236" s="232">
        <v>116854832</v>
      </c>
      <c r="C236" s="213" t="s">
        <v>94</v>
      </c>
      <c r="AP236" s="214"/>
      <c r="AT236" s="214"/>
    </row>
    <row r="237" spans="1:87">
      <c r="C237" s="253" t="s">
        <v>250</v>
      </c>
      <c r="D237" s="235">
        <v>44927</v>
      </c>
      <c r="E237" s="235"/>
      <c r="F237" s="235">
        <v>44958</v>
      </c>
      <c r="G237" s="235"/>
      <c r="H237" s="235">
        <v>44986</v>
      </c>
      <c r="I237" s="235"/>
      <c r="J237" s="235">
        <v>45017</v>
      </c>
      <c r="K237" s="235"/>
      <c r="L237" s="246">
        <v>45047</v>
      </c>
      <c r="M237" s="235"/>
      <c r="N237" s="235">
        <v>45078</v>
      </c>
      <c r="O237" s="235"/>
      <c r="P237" s="235">
        <v>45108</v>
      </c>
      <c r="Q237" s="235"/>
      <c r="R237" s="235">
        <v>45139</v>
      </c>
      <c r="S237" s="235"/>
      <c r="T237" s="235">
        <v>45170</v>
      </c>
      <c r="U237" s="235"/>
      <c r="V237" s="235">
        <v>45200</v>
      </c>
      <c r="W237" s="235"/>
      <c r="X237" s="235">
        <v>45231</v>
      </c>
      <c r="Y237" s="235"/>
      <c r="Z237" s="235">
        <v>45261</v>
      </c>
      <c r="AA237" s="235"/>
      <c r="AB237" s="235">
        <v>45292</v>
      </c>
      <c r="AC237" s="235"/>
      <c r="AD237" s="235">
        <v>45323</v>
      </c>
      <c r="AE237" s="235"/>
      <c r="AF237" s="235">
        <v>45352</v>
      </c>
      <c r="AH237" s="235">
        <v>45383</v>
      </c>
      <c r="AJ237" s="235">
        <v>45413</v>
      </c>
      <c r="AL237" s="235">
        <v>45444</v>
      </c>
      <c r="AN237" s="235">
        <v>45474</v>
      </c>
      <c r="AP237" s="235">
        <v>45505</v>
      </c>
      <c r="AR237" s="236">
        <v>45536</v>
      </c>
      <c r="AT237" s="236">
        <v>45566</v>
      </c>
      <c r="AV237" s="235">
        <v>45597</v>
      </c>
      <c r="AX237" s="235">
        <v>45627</v>
      </c>
      <c r="BA237" s="235">
        <v>45658</v>
      </c>
      <c r="BC237" s="235">
        <v>45689</v>
      </c>
      <c r="BE237" s="235">
        <v>45717</v>
      </c>
      <c r="BG237" s="235">
        <v>45748</v>
      </c>
      <c r="BI237" s="235">
        <v>45778</v>
      </c>
      <c r="BK237" s="235">
        <v>45809</v>
      </c>
      <c r="BM237" s="235">
        <v>45839</v>
      </c>
      <c r="BO237" s="235">
        <v>45870</v>
      </c>
      <c r="BQ237" s="235">
        <v>45901</v>
      </c>
      <c r="BS237" s="235">
        <v>45931</v>
      </c>
      <c r="BU237" s="235">
        <v>45962</v>
      </c>
      <c r="BW237" s="235">
        <v>45992</v>
      </c>
      <c r="BY237" s="235">
        <v>46023</v>
      </c>
      <c r="CA237" s="235">
        <v>46054</v>
      </c>
      <c r="CC237" s="235">
        <v>46082</v>
      </c>
      <c r="CE237" s="235">
        <v>46113</v>
      </c>
      <c r="CG237" s="235">
        <v>46143</v>
      </c>
      <c r="CI237" s="341">
        <v>46174</v>
      </c>
    </row>
    <row r="238" spans="1:87">
      <c r="C238" s="213" t="s">
        <v>7</v>
      </c>
      <c r="F238" s="214">
        <f>-34.52-8.95</f>
        <v>-43.47</v>
      </c>
      <c r="H238" s="237">
        <v>-24.39</v>
      </c>
      <c r="J238" s="238">
        <v>-23.75</v>
      </c>
      <c r="L238" s="238">
        <v>-24.33</v>
      </c>
      <c r="N238" s="237">
        <v>-26.91</v>
      </c>
      <c r="P238" s="238">
        <v>-50.62</v>
      </c>
      <c r="R238" s="237">
        <v>-85.26</v>
      </c>
      <c r="T238" s="214">
        <v>0</v>
      </c>
      <c r="V238" s="237">
        <v>-24.14</v>
      </c>
      <c r="X238" s="214">
        <v>0</v>
      </c>
      <c r="Z238" s="238">
        <v>-25.76</v>
      </c>
      <c r="AB238" s="238">
        <v>-28.22</v>
      </c>
      <c r="AD238" s="237">
        <v>-29.58</v>
      </c>
      <c r="AF238" s="239">
        <v>0</v>
      </c>
      <c r="AH238" s="237">
        <f>-7.43-21.02</f>
        <v>-28.45</v>
      </c>
      <c r="AJ238" s="237">
        <v>-38.200000000000003</v>
      </c>
      <c r="AL238" s="237">
        <v>-37.53</v>
      </c>
      <c r="AN238" s="237">
        <v>-58.7</v>
      </c>
      <c r="AP238" s="237">
        <v>-44.73</v>
      </c>
      <c r="AR238" s="237">
        <f>-5.47-31.5</f>
        <v>-36.97</v>
      </c>
      <c r="AT238" s="237">
        <v>-36.880000000000003</v>
      </c>
      <c r="AV238" s="237">
        <v>-56.07</v>
      </c>
      <c r="AX238" s="237">
        <v>-60.37</v>
      </c>
      <c r="BA238" s="238">
        <v>-60.92</v>
      </c>
      <c r="BC238" s="237">
        <v>-53.92</v>
      </c>
      <c r="BE238" s="237">
        <v>-48.06</v>
      </c>
      <c r="BG238" s="237">
        <v>-43.26</v>
      </c>
      <c r="BI238" s="237">
        <v>-44.3</v>
      </c>
      <c r="BK238" s="237">
        <v>-43.18</v>
      </c>
      <c r="BM238" s="237">
        <v>-69.95</v>
      </c>
      <c r="BO238" s="237">
        <v>-99.4</v>
      </c>
      <c r="BQ238" s="237">
        <v>-61.32</v>
      </c>
      <c r="BS238" s="237">
        <v>-55.97</v>
      </c>
      <c r="BU238" s="237">
        <v>-59.98</v>
      </c>
      <c r="BW238" s="237">
        <v>-51.59</v>
      </c>
      <c r="BY238" s="237">
        <v>-48.12</v>
      </c>
      <c r="CA238" s="237">
        <v>-47.24</v>
      </c>
      <c r="CC238" s="237">
        <v>-42.99</v>
      </c>
      <c r="CE238" s="237">
        <v>-28.94</v>
      </c>
      <c r="CG238" s="237">
        <v>-34.33</v>
      </c>
    </row>
    <row r="239" spans="1:87">
      <c r="C239" s="213" t="s">
        <v>8</v>
      </c>
      <c r="F239" s="214">
        <v>75.739999999999995</v>
      </c>
      <c r="G239" s="222">
        <f>ABS(((F238+F239)/F238))</f>
        <v>0.74235104669887275</v>
      </c>
      <c r="H239" s="214">
        <v>73.22</v>
      </c>
      <c r="I239" s="222">
        <f>ABS(((H238+H239)/H238))</f>
        <v>2.0020500205002048</v>
      </c>
      <c r="J239" s="213">
        <v>35.21</v>
      </c>
      <c r="K239" s="222">
        <f>ABS(((J238+J239)/J238))</f>
        <v>0.48252631578947375</v>
      </c>
      <c r="L239" s="213">
        <v>34.68</v>
      </c>
      <c r="M239" s="222">
        <f>ABS(((L238+L239)/L238))</f>
        <v>0.4254007398273737</v>
      </c>
      <c r="N239" s="214">
        <v>43.64</v>
      </c>
      <c r="O239" s="222">
        <f>ABS(((N238+N239)/N238))</f>
        <v>0.62170196952805645</v>
      </c>
      <c r="P239" s="213">
        <v>81.709999999999994</v>
      </c>
      <c r="Q239" s="222">
        <f>ABS(((P238+P239)/P238))</f>
        <v>0.61418411694982211</v>
      </c>
      <c r="R239" s="214">
        <v>128.29</v>
      </c>
      <c r="S239" s="222">
        <f>ABS(((R238+R239)/R238))</f>
        <v>0.50469153178512771</v>
      </c>
      <c r="T239" s="214">
        <v>75.02</v>
      </c>
      <c r="U239" s="222" t="e">
        <f>ABS(((T238+T239)/T238))</f>
        <v>#DIV/0!</v>
      </c>
      <c r="V239" s="214">
        <v>42.43</v>
      </c>
      <c r="W239" s="222">
        <f>ABS(((V238+V239)/V238))</f>
        <v>0.75766362883181437</v>
      </c>
      <c r="X239" s="214">
        <v>64.290000000000006</v>
      </c>
      <c r="Y239" s="222" t="e">
        <f>ABS(((X238+X239)/X238))</f>
        <v>#DIV/0!</v>
      </c>
      <c r="Z239" s="213">
        <v>51.31</v>
      </c>
      <c r="AA239" s="222">
        <f>ABS(((Z238+Z239)/Z238))</f>
        <v>0.99184782608695654</v>
      </c>
      <c r="AB239" s="213">
        <v>58.35</v>
      </c>
      <c r="AC239" s="222">
        <f>ABS(((AB238+AB239)/AB238))</f>
        <v>1.0676824946846211</v>
      </c>
      <c r="AD239" s="213">
        <v>76.28</v>
      </c>
      <c r="AE239" s="222">
        <f>ABS(((AD238+AD239)/AD238))</f>
        <v>1.5787694388100069</v>
      </c>
      <c r="AF239" s="213">
        <v>59.29</v>
      </c>
      <c r="AG239" s="213">
        <v>-27.13</v>
      </c>
      <c r="AH239" s="214">
        <v>15.55</v>
      </c>
      <c r="AI239" s="222">
        <f>ABS(((AH238+AH239)/AH238))</f>
        <v>0.45342706502636199</v>
      </c>
      <c r="AJ239" s="214">
        <v>7.17</v>
      </c>
      <c r="AK239" s="222">
        <f>ABS(((AJ238+AJ239)/AJ238))</f>
        <v>0.81230366492146588</v>
      </c>
      <c r="AL239" s="214">
        <v>38.5</v>
      </c>
      <c r="AM239" s="222">
        <f>ABS(((AL238+AL239)/AL238))</f>
        <v>2.5845989874766821E-2</v>
      </c>
      <c r="AN239" s="214">
        <v>100.15</v>
      </c>
      <c r="AO239" s="222">
        <f>ABS(((AN238+AN239)/AN238))</f>
        <v>0.70613287904599664</v>
      </c>
      <c r="AP239" s="214">
        <v>77</v>
      </c>
      <c r="AQ239" s="222">
        <f>ABS(((AP238+AP239)/AP238))</f>
        <v>0.72143974960876378</v>
      </c>
      <c r="AR239" s="214">
        <v>56.56</v>
      </c>
      <c r="AS239" s="222">
        <f>ABS(((AR238+AR239)/AR238))</f>
        <v>0.5298890992696782</v>
      </c>
      <c r="AT239" s="214">
        <v>68.62</v>
      </c>
      <c r="AU239" s="222">
        <f>AT240/AT239</f>
        <v>0.46254736228504811</v>
      </c>
      <c r="AV239" s="214">
        <v>90.86</v>
      </c>
      <c r="AW239" s="222">
        <f>AV240/AV239</f>
        <v>0.38289676425269648</v>
      </c>
      <c r="AX239" s="214">
        <v>108.06</v>
      </c>
      <c r="AY239" s="224">
        <f>AX240/AX239</f>
        <v>0.44132889135665376</v>
      </c>
      <c r="AZ239" s="225"/>
      <c r="BA239" s="213">
        <v>160.35</v>
      </c>
      <c r="BB239" s="222">
        <f>BA240/BA239</f>
        <v>0.62008107265357026</v>
      </c>
      <c r="BC239" s="214">
        <v>104.54</v>
      </c>
      <c r="BD239" s="222">
        <f>BC240/BC239</f>
        <v>0.48421656782092981</v>
      </c>
      <c r="BE239" s="214">
        <v>96.34</v>
      </c>
      <c r="BF239" s="222">
        <f>BE240/BE239</f>
        <v>0.50114178949553667</v>
      </c>
      <c r="BG239" s="214">
        <v>63.94</v>
      </c>
      <c r="BH239" s="222">
        <f>BG240/BG239</f>
        <v>0.32342821395057869</v>
      </c>
      <c r="BI239" s="214">
        <v>57.62</v>
      </c>
      <c r="BJ239" s="222">
        <f>BI240/BI239</f>
        <v>0.23116973273169039</v>
      </c>
      <c r="BK239" s="214">
        <v>61.7</v>
      </c>
      <c r="BL239" s="222">
        <f>BK240/BK239</f>
        <v>0.300162074554295</v>
      </c>
      <c r="BM239" s="239">
        <v>89.9</v>
      </c>
      <c r="BN239" s="222">
        <f>BM240/BM239</f>
        <v>0.22191323692992215</v>
      </c>
      <c r="BO239" s="214">
        <v>126.47</v>
      </c>
      <c r="BP239" s="222">
        <f>BO240/BO239</f>
        <v>0.21404285601328374</v>
      </c>
      <c r="BQ239" s="214">
        <v>80.510000000000005</v>
      </c>
      <c r="BR239" s="222">
        <f>BQ240/BQ239</f>
        <v>0.23835548379083349</v>
      </c>
      <c r="BS239" s="214">
        <v>78.36</v>
      </c>
      <c r="BT239" s="222">
        <f>BS240/BS239</f>
        <v>0.28573251659009702</v>
      </c>
      <c r="BU239" s="214">
        <v>85</v>
      </c>
      <c r="BV239" s="222">
        <f>BU240/BU239</f>
        <v>0.29435294117647065</v>
      </c>
      <c r="BW239" s="214">
        <v>73.55</v>
      </c>
      <c r="BX239" s="222">
        <f>BW240/BW239</f>
        <v>0.29857239972807609</v>
      </c>
      <c r="BY239" s="214">
        <v>66.900000000000006</v>
      </c>
      <c r="BZ239" s="222">
        <f>BY240/BY239</f>
        <v>0.28071748878923775</v>
      </c>
      <c r="CA239" s="214">
        <v>70.489999999999995</v>
      </c>
      <c r="CB239" s="222">
        <f>CA240/CA239</f>
        <v>0.32983401900978854</v>
      </c>
      <c r="CC239" s="214">
        <v>71.45</v>
      </c>
      <c r="CD239" s="222">
        <f>CC240/CC239</f>
        <v>0.39832050384884532</v>
      </c>
      <c r="CE239" s="214">
        <v>38.08</v>
      </c>
      <c r="CF239" s="222">
        <f>CE240/CE239</f>
        <v>0.24002100840336127</v>
      </c>
      <c r="CG239" s="214">
        <v>20.65</v>
      </c>
      <c r="CH239" s="222">
        <f>CG240/CG239</f>
        <v>-0.66246973365617434</v>
      </c>
    </row>
    <row r="240" spans="1:87">
      <c r="C240" s="241" t="s">
        <v>9</v>
      </c>
      <c r="F240" s="214">
        <f>SUM(F238:F239)</f>
        <v>32.269999999999996</v>
      </c>
      <c r="H240" s="214">
        <f>SUM(H238:H239)</f>
        <v>48.83</v>
      </c>
      <c r="J240" s="214">
        <f>SUM(J238:J239)</f>
        <v>11.46</v>
      </c>
      <c r="L240" s="214">
        <f>SUM(L238:L239)</f>
        <v>10.350000000000001</v>
      </c>
      <c r="N240" s="214">
        <f>SUM(N238:N239)</f>
        <v>16.73</v>
      </c>
      <c r="P240" s="214">
        <f>SUM(P238:P239)</f>
        <v>31.089999999999996</v>
      </c>
      <c r="R240" s="214">
        <f>R238+R239</f>
        <v>43.029999999999987</v>
      </c>
      <c r="S240" s="214"/>
      <c r="T240" s="214">
        <f>T238+T239</f>
        <v>75.02</v>
      </c>
      <c r="V240" s="214">
        <f>V238+V239</f>
        <v>18.29</v>
      </c>
      <c r="X240" s="214">
        <f>X238+X239</f>
        <v>64.290000000000006</v>
      </c>
      <c r="Z240" s="214">
        <f>Z238+Z239</f>
        <v>25.55</v>
      </c>
      <c r="AB240" s="242">
        <f>AB238+AB239</f>
        <v>30.130000000000003</v>
      </c>
      <c r="AD240" s="242">
        <f>AD238+AD239</f>
        <v>46.7</v>
      </c>
      <c r="AF240" s="243">
        <f>AF238+AF239</f>
        <v>59.29</v>
      </c>
      <c r="AH240" s="243">
        <f>AH238+AH239</f>
        <v>-12.899999999999999</v>
      </c>
      <c r="AJ240" s="243">
        <f>AJ238+AJ239</f>
        <v>-31.03</v>
      </c>
      <c r="AL240" s="243">
        <f>AL238+AL239</f>
        <v>0.96999999999999886</v>
      </c>
      <c r="AN240" s="243">
        <f>AN238+AN239</f>
        <v>41.45</v>
      </c>
      <c r="AP240" s="214">
        <f>AP238+AP239</f>
        <v>32.270000000000003</v>
      </c>
      <c r="AR240" s="214">
        <f>AR238+AR239</f>
        <v>19.590000000000003</v>
      </c>
      <c r="AT240" s="214">
        <f>AT238+AT239</f>
        <v>31.740000000000002</v>
      </c>
      <c r="AV240" s="214">
        <f>AV238+AV239</f>
        <v>34.79</v>
      </c>
      <c r="AX240" s="214">
        <f>AX238+AX239</f>
        <v>47.690000000000005</v>
      </c>
      <c r="BA240" s="214">
        <f>BA238+BA239</f>
        <v>99.429999999999993</v>
      </c>
      <c r="BC240" s="214">
        <f>BC238+BC239</f>
        <v>50.620000000000005</v>
      </c>
      <c r="BE240" s="214">
        <f>BE238+BE239</f>
        <v>48.28</v>
      </c>
      <c r="BG240" s="214">
        <f>BG238+BG239</f>
        <v>20.68</v>
      </c>
      <c r="BI240" s="214">
        <f>BI238+BI239</f>
        <v>13.32</v>
      </c>
      <c r="BK240" s="214">
        <f>BK238+BK239</f>
        <v>18.520000000000003</v>
      </c>
      <c r="BM240" s="214">
        <f>BM238+BM239</f>
        <v>19.950000000000003</v>
      </c>
      <c r="BO240" s="214">
        <f>BO238+BO239</f>
        <v>27.069999999999993</v>
      </c>
      <c r="BQ240" s="214">
        <f>BQ238+BQ239</f>
        <v>19.190000000000005</v>
      </c>
      <c r="BS240" s="214">
        <f>BS238+BS239</f>
        <v>22.39</v>
      </c>
      <c r="BU240" s="214">
        <f>BU238+BU239</f>
        <v>25.020000000000003</v>
      </c>
      <c r="BW240" s="214">
        <f>BW238+BW239</f>
        <v>21.959999999999994</v>
      </c>
      <c r="BY240" s="214">
        <f>BY238+BY239</f>
        <v>18.780000000000008</v>
      </c>
      <c r="CA240" s="214">
        <f>CA238+CA239</f>
        <v>23.249999999999993</v>
      </c>
      <c r="CC240" s="214">
        <f>CC238+CC239</f>
        <v>28.46</v>
      </c>
      <c r="CE240" s="214">
        <f>CE238+CE239</f>
        <v>9.139999999999997</v>
      </c>
      <c r="CG240" s="214">
        <f>CG238+CG239</f>
        <v>-13.68</v>
      </c>
    </row>
    <row r="241" spans="1:87">
      <c r="A241" s="231">
        <v>64</v>
      </c>
      <c r="B241" s="232">
        <v>155108177</v>
      </c>
      <c r="C241" s="213" t="s">
        <v>96</v>
      </c>
      <c r="AH241" s="214"/>
      <c r="AP241" s="214"/>
      <c r="AT241" s="214"/>
    </row>
    <row r="242" spans="1:87">
      <c r="C242" s="253" t="s">
        <v>97</v>
      </c>
      <c r="D242" s="235">
        <v>44927</v>
      </c>
      <c r="E242" s="235"/>
      <c r="F242" s="235">
        <v>44958</v>
      </c>
      <c r="G242" s="235"/>
      <c r="H242" s="235">
        <v>44986</v>
      </c>
      <c r="I242" s="235"/>
      <c r="J242" s="235">
        <v>45017</v>
      </c>
      <c r="K242" s="235"/>
      <c r="L242" s="246">
        <v>45047</v>
      </c>
      <c r="M242" s="235"/>
      <c r="N242" s="235">
        <v>45078</v>
      </c>
      <c r="O242" s="235"/>
      <c r="P242" s="235">
        <v>45108</v>
      </c>
      <c r="Q242" s="235"/>
      <c r="R242" s="235">
        <v>45139</v>
      </c>
      <c r="S242" s="235"/>
      <c r="T242" s="235">
        <v>45170</v>
      </c>
      <c r="U242" s="235"/>
      <c r="V242" s="235">
        <v>45200</v>
      </c>
      <c r="W242" s="235"/>
      <c r="X242" s="235">
        <v>45231</v>
      </c>
      <c r="Y242" s="235"/>
      <c r="Z242" s="235">
        <v>45261</v>
      </c>
      <c r="AA242" s="235"/>
      <c r="AB242" s="235">
        <v>45292</v>
      </c>
      <c r="AC242" s="235"/>
      <c r="AD242" s="235">
        <v>45323</v>
      </c>
      <c r="AE242" s="235"/>
      <c r="AF242" s="235">
        <v>45352</v>
      </c>
      <c r="AH242" s="235">
        <v>45383</v>
      </c>
      <c r="AJ242" s="235">
        <v>45413</v>
      </c>
      <c r="AL242" s="235">
        <v>45444</v>
      </c>
      <c r="AN242" s="235">
        <v>45474</v>
      </c>
      <c r="AP242" s="235">
        <v>45505</v>
      </c>
      <c r="AR242" s="236">
        <v>45536</v>
      </c>
      <c r="AT242" s="236">
        <v>45566</v>
      </c>
      <c r="AV242" s="235">
        <v>45597</v>
      </c>
      <c r="AX242" s="235">
        <v>45627</v>
      </c>
      <c r="BA242" s="235">
        <v>45658</v>
      </c>
      <c r="BC242" s="235">
        <v>45689</v>
      </c>
      <c r="BE242" s="235">
        <v>45717</v>
      </c>
      <c r="BG242" s="235">
        <v>45748</v>
      </c>
      <c r="BI242" s="235">
        <v>45778</v>
      </c>
      <c r="BK242" s="235">
        <v>45809</v>
      </c>
      <c r="BM242" s="235">
        <v>45839</v>
      </c>
      <c r="BO242" s="235">
        <v>45870</v>
      </c>
      <c r="BQ242" s="235">
        <v>45901</v>
      </c>
      <c r="BS242" s="235">
        <v>45931</v>
      </c>
      <c r="BU242" s="235">
        <v>45962</v>
      </c>
      <c r="BW242" s="235">
        <v>45992</v>
      </c>
      <c r="BY242" s="235">
        <v>46023</v>
      </c>
      <c r="CA242" s="235">
        <v>46054</v>
      </c>
      <c r="CC242" s="235">
        <v>46082</v>
      </c>
      <c r="CE242" s="235">
        <v>46113</v>
      </c>
      <c r="CG242" s="235">
        <v>46143</v>
      </c>
      <c r="CI242" s="341">
        <v>46174</v>
      </c>
    </row>
    <row r="243" spans="1:87">
      <c r="C243" s="213" t="s">
        <v>7</v>
      </c>
      <c r="J243" s="214">
        <f>-7.05-14.76</f>
        <v>-21.81</v>
      </c>
      <c r="L243" s="238">
        <v>-37.97</v>
      </c>
      <c r="N243" s="237">
        <f>-2.47-46.9</f>
        <v>-49.37</v>
      </c>
      <c r="P243" s="238">
        <v>-51.92</v>
      </c>
      <c r="R243" s="237">
        <v>-56.74</v>
      </c>
      <c r="T243" s="237">
        <v>-36.25</v>
      </c>
      <c r="V243" s="237">
        <v>-37.49</v>
      </c>
      <c r="X243" s="214">
        <v>0</v>
      </c>
      <c r="Z243" s="238">
        <v>-67.08</v>
      </c>
      <c r="AB243" s="238">
        <v>-146.54</v>
      </c>
      <c r="AD243" s="237">
        <v>-87.84</v>
      </c>
      <c r="AF243" s="237">
        <v>-36.83</v>
      </c>
      <c r="AH243" s="237">
        <f>-27.47-33.06</f>
        <v>-60.53</v>
      </c>
      <c r="AJ243" s="237">
        <v>-57.49</v>
      </c>
      <c r="AL243" s="237">
        <v>-56.45</v>
      </c>
      <c r="AN243" s="237">
        <v>-53.29</v>
      </c>
      <c r="AP243" s="237">
        <v>-53.85</v>
      </c>
      <c r="AR243" s="237">
        <f>-36.13-14.38</f>
        <v>-50.510000000000005</v>
      </c>
      <c r="AT243" s="237">
        <v>-44.56</v>
      </c>
      <c r="AV243" s="237">
        <v>-46.32</v>
      </c>
      <c r="AX243" s="237">
        <v>-121.21</v>
      </c>
      <c r="BA243" s="238">
        <v>-132.80000000000001</v>
      </c>
      <c r="BC243" s="237">
        <v>-119.83</v>
      </c>
      <c r="BE243" s="237">
        <v>-79.88</v>
      </c>
      <c r="BG243" s="237">
        <v>-61.08</v>
      </c>
      <c r="BI243" s="237">
        <v>-50.63</v>
      </c>
      <c r="BK243" s="237">
        <v>-48.98</v>
      </c>
      <c r="BM243" s="237">
        <v>-50.63</v>
      </c>
      <c r="BO243" s="237">
        <v>-50.63</v>
      </c>
      <c r="BQ243" s="237">
        <v>-48.99</v>
      </c>
      <c r="BS243" s="237">
        <v>-52.86</v>
      </c>
      <c r="BU243" s="237">
        <v>-88.79</v>
      </c>
      <c r="BW243" s="237">
        <v>-120.55</v>
      </c>
      <c r="BY243" s="237">
        <v>-163.69</v>
      </c>
      <c r="CA243" s="237">
        <v>-114.28</v>
      </c>
      <c r="CC243" s="237">
        <v>-130.65</v>
      </c>
      <c r="CE243" s="237">
        <v>-51.41</v>
      </c>
      <c r="CG243" s="237">
        <v>-53.88</v>
      </c>
    </row>
    <row r="244" spans="1:87">
      <c r="C244" s="213" t="s">
        <v>8</v>
      </c>
      <c r="I244" s="266"/>
      <c r="J244" s="213">
        <v>59.15</v>
      </c>
      <c r="K244" s="222">
        <f>ABS(((J243+J244)/J243))</f>
        <v>1.7120586886749201</v>
      </c>
      <c r="L244" s="213">
        <v>36.9</v>
      </c>
      <c r="M244" s="222">
        <f>ABS(((L243+L244)/L243))</f>
        <v>2.8180142217540172E-2</v>
      </c>
      <c r="N244" s="214">
        <v>52.02</v>
      </c>
      <c r="O244" s="222">
        <f>ABS(((N243+N244)/N243))</f>
        <v>5.3676321652825723E-2</v>
      </c>
      <c r="P244" s="213">
        <v>53.94</v>
      </c>
      <c r="Q244" s="222">
        <f>ABS(((P243+P244)/P243))</f>
        <v>3.8906009244992219E-2</v>
      </c>
      <c r="R244" s="214">
        <v>93.26</v>
      </c>
      <c r="S244" s="222">
        <f>-(((R243+R244)/R243))</f>
        <v>0.64363764540007051</v>
      </c>
      <c r="T244" s="214">
        <v>86.69</v>
      </c>
      <c r="U244" s="222">
        <f>ABS(((T243+T244)/T243))</f>
        <v>1.391448275862069</v>
      </c>
      <c r="V244" s="214">
        <v>70.3</v>
      </c>
      <c r="W244" s="311">
        <v>30.79</v>
      </c>
      <c r="X244" s="214">
        <v>64.239999999999995</v>
      </c>
      <c r="Y244" s="222" t="e">
        <f>ABS(((X243+X244)/X243))</f>
        <v>#DIV/0!</v>
      </c>
      <c r="Z244" s="213">
        <v>141.37</v>
      </c>
      <c r="AA244" s="222">
        <f>ABS(((Z243+Z244)/Z243))</f>
        <v>1.1074836016696483</v>
      </c>
      <c r="AB244" s="213">
        <v>267.51</v>
      </c>
      <c r="AC244" s="222">
        <f>ABS(((AB243+AB244)/AB243))</f>
        <v>0.82550839361266548</v>
      </c>
      <c r="AD244" s="213">
        <v>199.92</v>
      </c>
      <c r="AE244" s="222">
        <f>ABS(((AD243+AD244)/AD243))</f>
        <v>1.2759562841530052</v>
      </c>
      <c r="AF244" s="213">
        <v>143.79</v>
      </c>
      <c r="AG244" s="222">
        <f>ABS(((AF243+AF244)/AF243))</f>
        <v>2.9041542221015475</v>
      </c>
      <c r="AH244" s="214">
        <v>130.30000000000001</v>
      </c>
      <c r="AI244" s="222">
        <f>ABS(((AH243+AH244)/AH243))</f>
        <v>1.1526515777300514</v>
      </c>
      <c r="AJ244" s="214">
        <v>90.26</v>
      </c>
      <c r="AK244" s="222">
        <f>ABS(((AJ243+AJ244)/AJ243))</f>
        <v>0.57001217603061405</v>
      </c>
      <c r="AL244" s="214">
        <v>59.23</v>
      </c>
      <c r="AM244" s="222">
        <f>ABS(((AL243+AL244)/AL243))</f>
        <v>4.9247121346324071E-2</v>
      </c>
      <c r="AN244" s="214">
        <v>73.8</v>
      </c>
      <c r="AO244" s="222">
        <f>ABS(((AN243+AN244)/AN243))</f>
        <v>0.38487521110902606</v>
      </c>
      <c r="AP244" s="214">
        <v>129.49</v>
      </c>
      <c r="AQ244" s="222">
        <f>ABS(((AP243+AP244)/AP243))</f>
        <v>1.4046425255338906</v>
      </c>
      <c r="AR244" s="214">
        <v>106.73</v>
      </c>
      <c r="AS244" s="222">
        <f>ABS(((AR243+AR244)/AR243))</f>
        <v>1.1130469214017025</v>
      </c>
      <c r="AT244" s="214">
        <v>85.31</v>
      </c>
      <c r="AU244" s="222">
        <f>AT245/AT244</f>
        <v>0.47766967530184035</v>
      </c>
      <c r="AV244" s="214">
        <v>120.23</v>
      </c>
      <c r="AW244" s="222">
        <f>AV245/AV244</f>
        <v>0.61473841803210505</v>
      </c>
      <c r="AX244" s="214">
        <v>247.67</v>
      </c>
      <c r="AY244" s="224">
        <f>AX245/AX244</f>
        <v>0.51059878063552311</v>
      </c>
      <c r="AZ244" s="225"/>
      <c r="BA244" s="213">
        <v>235.35</v>
      </c>
      <c r="BB244" s="222">
        <f>BA245/BA244</f>
        <v>0.4357340131718716</v>
      </c>
      <c r="BC244" s="214">
        <v>171.75</v>
      </c>
      <c r="BD244" s="222">
        <f>BC245/BC244</f>
        <v>0.30229985443959245</v>
      </c>
      <c r="BE244" s="214">
        <v>126.61</v>
      </c>
      <c r="BF244" s="222">
        <f>BE245/BE244</f>
        <v>0.36908617012874184</v>
      </c>
      <c r="BG244" s="214">
        <v>73.38</v>
      </c>
      <c r="BH244" s="222">
        <f>BG245/BG244</f>
        <v>0.16762060506950119</v>
      </c>
      <c r="BI244" s="214">
        <v>66.790000000000006</v>
      </c>
      <c r="BJ244" s="222">
        <f>BI245/BI244</f>
        <v>0.24195238808204825</v>
      </c>
      <c r="BK244" s="214">
        <v>116.28</v>
      </c>
      <c r="BL244" s="222">
        <f>BK245/BK244</f>
        <v>0.57877536979704169</v>
      </c>
      <c r="BM244" s="214">
        <v>82.02</v>
      </c>
      <c r="BN244" s="222">
        <f>BM245/BM244</f>
        <v>0.38271153377225059</v>
      </c>
      <c r="BO244" s="214">
        <v>88.39</v>
      </c>
      <c r="BP244" s="222">
        <f>BO245/BO244</f>
        <v>0.42719764679262356</v>
      </c>
      <c r="BQ244" s="214">
        <v>80.760000000000005</v>
      </c>
      <c r="BR244" s="222">
        <f>BQ245/BQ244</f>
        <v>0.39338781575037146</v>
      </c>
      <c r="BS244" s="214">
        <v>85.49</v>
      </c>
      <c r="BT244" s="222">
        <f>BS245/BS244</f>
        <v>0.38168206807813776</v>
      </c>
      <c r="BU244" s="214">
        <v>139.18</v>
      </c>
      <c r="BV244" s="222">
        <f>BU245/BU244</f>
        <v>0.36204914499209656</v>
      </c>
      <c r="BW244" s="214">
        <v>170.18</v>
      </c>
      <c r="BX244" s="222">
        <f>BW245/BW244</f>
        <v>0.29163238923492779</v>
      </c>
      <c r="BY244" s="214">
        <v>227.15</v>
      </c>
      <c r="BZ244" s="222">
        <f>BY245/BY244</f>
        <v>0.27937486242570991</v>
      </c>
      <c r="CA244" s="214">
        <v>177.58</v>
      </c>
      <c r="CB244" s="222">
        <f>CA245/CA244</f>
        <v>0.35645906070503441</v>
      </c>
      <c r="CC244" s="214">
        <v>213.41</v>
      </c>
      <c r="CD244" s="222">
        <f>CC245/CC244</f>
        <v>0.3877981350452181</v>
      </c>
      <c r="CE244" s="214">
        <v>128.72999999999999</v>
      </c>
      <c r="CF244" s="222">
        <f>CE245/CE244</f>
        <v>0.60063699215412103</v>
      </c>
      <c r="CG244" s="214">
        <v>66.790000000000006</v>
      </c>
      <c r="CH244" s="222">
        <f>CG245/CG244</f>
        <v>0.19329240904327</v>
      </c>
    </row>
    <row r="245" spans="1:87">
      <c r="C245" s="241" t="s">
        <v>9</v>
      </c>
      <c r="J245" s="252">
        <f>SUM(J243:J244)</f>
        <v>37.340000000000003</v>
      </c>
      <c r="L245" s="252">
        <f>SUM(L243:L244)</f>
        <v>-1.0700000000000003</v>
      </c>
      <c r="N245" s="252">
        <f>SUM(N243:N244)</f>
        <v>2.6500000000000057</v>
      </c>
      <c r="P245" s="252">
        <f>SUM(P243:P244)</f>
        <v>2.019999999999996</v>
      </c>
      <c r="R245" s="214">
        <f>R243+R244</f>
        <v>36.520000000000003</v>
      </c>
      <c r="S245" s="214"/>
      <c r="T245" s="214">
        <f>T243+T244</f>
        <v>50.44</v>
      </c>
      <c r="V245" s="214">
        <f>V243+V244</f>
        <v>32.809999999999995</v>
      </c>
      <c r="X245" s="214">
        <f>X243+X244</f>
        <v>64.239999999999995</v>
      </c>
      <c r="Z245" s="214">
        <f>Z243+Z244</f>
        <v>74.290000000000006</v>
      </c>
      <c r="AB245" s="242">
        <f>AB243+AB244</f>
        <v>120.97</v>
      </c>
      <c r="AD245" s="242">
        <f>AD243+AD244</f>
        <v>112.07999999999998</v>
      </c>
      <c r="AF245" s="242">
        <f>AF243+AF244</f>
        <v>106.96</v>
      </c>
      <c r="AH245" s="243">
        <f>AH243+AH244</f>
        <v>69.77000000000001</v>
      </c>
      <c r="AJ245" s="243">
        <f>AJ243+AJ244</f>
        <v>32.770000000000003</v>
      </c>
      <c r="AL245" s="243">
        <f>AL243+AL244</f>
        <v>2.779999999999994</v>
      </c>
      <c r="AN245" s="243">
        <f>AN243+AN244</f>
        <v>20.509999999999998</v>
      </c>
      <c r="AP245" s="214">
        <f>AP243+AP244</f>
        <v>75.640000000000015</v>
      </c>
      <c r="AR245" s="214">
        <f>AR243+AR244</f>
        <v>56.22</v>
      </c>
      <c r="AT245" s="214">
        <f>AT243+AT244</f>
        <v>40.75</v>
      </c>
      <c r="AV245" s="214">
        <f>AV243+AV244</f>
        <v>73.91</v>
      </c>
      <c r="AX245" s="214">
        <f>AX243+AX244</f>
        <v>126.46</v>
      </c>
      <c r="BA245" s="214">
        <f>BA243+BA244</f>
        <v>102.54999999999998</v>
      </c>
      <c r="BC245" s="214">
        <f>BC243+BC244</f>
        <v>51.92</v>
      </c>
      <c r="BE245" s="214">
        <f>BE243+BE244</f>
        <v>46.730000000000004</v>
      </c>
      <c r="BG245" s="214">
        <f>BG243+BG244</f>
        <v>12.299999999999997</v>
      </c>
      <c r="BI245" s="214">
        <f>BI243+BI244</f>
        <v>16.160000000000004</v>
      </c>
      <c r="BK245" s="214">
        <f>BK243+BK244</f>
        <v>67.300000000000011</v>
      </c>
      <c r="BM245" s="214">
        <f>BM243+BM244</f>
        <v>31.389999999999993</v>
      </c>
      <c r="BO245" s="214">
        <f>BO243+BO244</f>
        <v>37.76</v>
      </c>
      <c r="BQ245" s="214">
        <f>BQ243+BQ244</f>
        <v>31.770000000000003</v>
      </c>
      <c r="BS245" s="214">
        <f>BS243+BS244</f>
        <v>32.629999999999995</v>
      </c>
      <c r="BU245" s="214">
        <f>BU243+BU244</f>
        <v>50.39</v>
      </c>
      <c r="BW245" s="214">
        <f>BW243+BW244</f>
        <v>49.63000000000001</v>
      </c>
      <c r="BY245" s="214">
        <f>BY243+BY244</f>
        <v>63.460000000000008</v>
      </c>
      <c r="CA245" s="214">
        <f>CA243+CA244</f>
        <v>63.300000000000011</v>
      </c>
      <c r="CC245" s="214">
        <f>CC243+CC244</f>
        <v>82.759999999999991</v>
      </c>
      <c r="CE245" s="214">
        <f>CE243+CE244</f>
        <v>77.319999999999993</v>
      </c>
      <c r="CG245" s="214">
        <f>CG243+CG244</f>
        <v>12.910000000000004</v>
      </c>
    </row>
    <row r="246" spans="1:87">
      <c r="A246" s="231">
        <v>66</v>
      </c>
      <c r="B246" s="232" t="s">
        <v>98</v>
      </c>
      <c r="C246" s="213" t="s">
        <v>99</v>
      </c>
      <c r="AH246" s="214"/>
      <c r="AP246" s="214"/>
      <c r="AT246" s="214"/>
    </row>
    <row r="247" spans="1:87">
      <c r="C247" s="253" t="s">
        <v>100</v>
      </c>
      <c r="D247" s="235">
        <v>44927</v>
      </c>
      <c r="F247" s="235">
        <v>44958</v>
      </c>
      <c r="G247" s="235"/>
      <c r="H247" s="235">
        <v>44986</v>
      </c>
      <c r="I247" s="235"/>
      <c r="J247" s="235">
        <v>45017</v>
      </c>
      <c r="K247" s="235"/>
      <c r="L247" s="246">
        <v>45047</v>
      </c>
      <c r="M247" s="235"/>
      <c r="N247" s="235">
        <v>45078</v>
      </c>
      <c r="O247" s="235"/>
      <c r="P247" s="235">
        <v>45108</v>
      </c>
      <c r="Q247" s="235"/>
      <c r="R247" s="235">
        <v>45139</v>
      </c>
      <c r="S247" s="235"/>
      <c r="T247" s="235">
        <v>45170</v>
      </c>
      <c r="U247" s="235"/>
      <c r="V247" s="235">
        <v>45200</v>
      </c>
      <c r="W247" s="235"/>
      <c r="X247" s="235">
        <v>45231</v>
      </c>
      <c r="Y247" s="235"/>
      <c r="Z247" s="235">
        <v>45261</v>
      </c>
      <c r="AA247" s="235"/>
      <c r="AB247" s="235">
        <v>45292</v>
      </c>
      <c r="AC247" s="235"/>
      <c r="AD247" s="235">
        <v>45323</v>
      </c>
      <c r="AE247" s="235"/>
      <c r="AF247" s="235">
        <v>45352</v>
      </c>
      <c r="AH247" s="235">
        <v>45383</v>
      </c>
      <c r="AJ247" s="235">
        <v>45413</v>
      </c>
      <c r="AL247" s="235">
        <v>45444</v>
      </c>
      <c r="AN247" s="235">
        <v>45474</v>
      </c>
      <c r="AP247" s="235">
        <v>45505</v>
      </c>
      <c r="AR247" s="236">
        <v>45536</v>
      </c>
      <c r="AT247" s="236">
        <v>45566</v>
      </c>
      <c r="AV247" s="235">
        <v>45597</v>
      </c>
      <c r="AX247" s="235">
        <v>45627</v>
      </c>
      <c r="BA247" s="235">
        <v>45658</v>
      </c>
      <c r="BC247" s="235">
        <v>45689</v>
      </c>
      <c r="BE247" s="235">
        <v>45717</v>
      </c>
      <c r="BG247" s="235">
        <v>45748</v>
      </c>
      <c r="BI247" s="235">
        <v>45778</v>
      </c>
      <c r="BK247" s="235">
        <v>45809</v>
      </c>
      <c r="BM247" s="235">
        <v>45839</v>
      </c>
      <c r="BO247" s="235">
        <v>45870</v>
      </c>
      <c r="BQ247" s="235">
        <v>45901</v>
      </c>
      <c r="BS247" s="235">
        <v>45931</v>
      </c>
      <c r="BU247" s="235">
        <v>45962</v>
      </c>
      <c r="BW247" s="235">
        <v>45992</v>
      </c>
      <c r="BY247" s="235">
        <v>46023</v>
      </c>
      <c r="CA247" s="235">
        <v>46054</v>
      </c>
      <c r="CC247" s="235">
        <v>46082</v>
      </c>
      <c r="CE247" s="235">
        <v>46113</v>
      </c>
      <c r="CG247" s="235">
        <v>46143</v>
      </c>
      <c r="CI247" s="341">
        <v>46174</v>
      </c>
    </row>
    <row r="248" spans="1:87">
      <c r="C248" s="213" t="s">
        <v>7</v>
      </c>
      <c r="E248" s="235"/>
      <c r="F248" s="214">
        <v>-40.54</v>
      </c>
      <c r="H248" s="237">
        <v>-9.15</v>
      </c>
      <c r="J248" s="237">
        <v>-110.44</v>
      </c>
      <c r="L248" s="237">
        <v>-52.38</v>
      </c>
      <c r="N248" s="237">
        <f>-0.73-13.58</f>
        <v>-14.31</v>
      </c>
      <c r="P248" s="237">
        <v>-52.17</v>
      </c>
      <c r="R248" s="237">
        <v>-44.57</v>
      </c>
      <c r="T248" s="237">
        <v>-69.150000000000006</v>
      </c>
      <c r="V248" s="214">
        <v>0</v>
      </c>
      <c r="X248" s="237">
        <v>-24.54</v>
      </c>
      <c r="Z248" s="238">
        <v>-51.07</v>
      </c>
      <c r="AB248" s="238">
        <v>-55.41</v>
      </c>
      <c r="AD248" s="237">
        <v>-31.82</v>
      </c>
      <c r="AF248" s="237">
        <v>-28.31</v>
      </c>
      <c r="AH248" s="237">
        <f>-9.35-21.93</f>
        <v>-31.28</v>
      </c>
      <c r="AJ248" s="237">
        <v>-62.85</v>
      </c>
      <c r="AL248" s="237">
        <v>-38.950000000000003</v>
      </c>
      <c r="AN248" s="237">
        <v>-46.11</v>
      </c>
      <c r="AP248" s="237">
        <v>-40.47</v>
      </c>
      <c r="AR248" s="237">
        <f>-73.55-28.95</f>
        <v>-102.5</v>
      </c>
      <c r="AT248" s="237">
        <v>-101.52</v>
      </c>
      <c r="AV248" s="237">
        <v>-44.22</v>
      </c>
      <c r="AX248" s="237">
        <v>-72.13</v>
      </c>
      <c r="BA248" s="238">
        <v>-66.73</v>
      </c>
      <c r="BC248" s="237">
        <v>-52.72</v>
      </c>
      <c r="BE248" s="237">
        <v>-56.92</v>
      </c>
      <c r="BG248" s="237">
        <v>-76.569999999999993</v>
      </c>
      <c r="BI248" s="237">
        <v>-139.02000000000001</v>
      </c>
      <c r="BK248" s="237">
        <v>-62.81</v>
      </c>
      <c r="BM248" s="237">
        <v>-61.88</v>
      </c>
      <c r="BO248" s="237">
        <v>-52.57</v>
      </c>
      <c r="BQ248" s="237">
        <v>-116.95</v>
      </c>
      <c r="BS248" s="237">
        <v>-74.150000000000006</v>
      </c>
      <c r="BU248" s="237">
        <v>-55.9</v>
      </c>
      <c r="BW248" s="237">
        <v>-77.69</v>
      </c>
      <c r="BY248" s="237">
        <v>-75.59</v>
      </c>
      <c r="CA248" s="237">
        <v>-51.34</v>
      </c>
      <c r="CC248" s="237">
        <v>-55.09</v>
      </c>
      <c r="CE248" s="237">
        <v>-32.56</v>
      </c>
      <c r="CG248" s="237">
        <v>-57.21</v>
      </c>
    </row>
    <row r="249" spans="1:87">
      <c r="C249" s="213" t="s">
        <v>8</v>
      </c>
      <c r="D249" s="214">
        <v>99.4</v>
      </c>
      <c r="F249" s="214">
        <v>67.88</v>
      </c>
      <c r="G249" s="222">
        <f>ABS(((F248+F249)/F248))</f>
        <v>0.67439565860878137</v>
      </c>
      <c r="H249" s="214">
        <v>59.46</v>
      </c>
      <c r="I249" s="222">
        <f>ABS(((H248+H249)/H248))</f>
        <v>5.4983606557377049</v>
      </c>
      <c r="J249" s="214">
        <v>168.01</v>
      </c>
      <c r="K249" s="222">
        <f>ABS(((J248+J249)/J248))</f>
        <v>0.52127852227453819</v>
      </c>
      <c r="L249" s="214">
        <v>95.57</v>
      </c>
      <c r="M249" s="222">
        <f>ABS(((L248+L249)/L248))</f>
        <v>0.82455135547919034</v>
      </c>
      <c r="N249" s="214">
        <v>85.17</v>
      </c>
      <c r="O249" s="222">
        <f>ABS(((N248+N249)/N248))</f>
        <v>4.9517819706498951</v>
      </c>
      <c r="P249" s="214">
        <v>83.35</v>
      </c>
      <c r="Q249" s="222">
        <f>ABS(((P248+P249)/P248))</f>
        <v>0.59766149127851242</v>
      </c>
      <c r="R249" s="214">
        <v>81.95</v>
      </c>
      <c r="S249" s="222">
        <f>ABS(((R248+R249)/R248))</f>
        <v>0.83868072694637652</v>
      </c>
      <c r="T249" s="214">
        <v>117.63</v>
      </c>
      <c r="U249" s="222">
        <f>ABS(((T248+T249)/T248))</f>
        <v>0.70108459869848139</v>
      </c>
      <c r="V249" s="214">
        <v>105.63</v>
      </c>
      <c r="W249" s="222" t="e">
        <f>ABS(((V248+V249)/V248))</f>
        <v>#DIV/0!</v>
      </c>
      <c r="X249" s="214">
        <v>52.45</v>
      </c>
      <c r="Y249" s="222">
        <f>ABS(((X248+X249)/X248))</f>
        <v>1.1373268133659333</v>
      </c>
      <c r="Z249" s="213">
        <v>77.91</v>
      </c>
      <c r="AA249" s="222">
        <f>ABS(((Z248+Z249)/Z248))</f>
        <v>0.52555316232621885</v>
      </c>
      <c r="AB249" s="213">
        <v>88.85</v>
      </c>
      <c r="AC249" s="222">
        <f>ABS(((AB248+AB249)/AB248))</f>
        <v>0.60350117307345241</v>
      </c>
      <c r="AD249" s="213">
        <v>67.33</v>
      </c>
      <c r="AE249" s="222">
        <f>ABS(((AD248+AD249)/AD248))</f>
        <v>1.1159648020113135</v>
      </c>
      <c r="AF249" s="213">
        <v>61.41</v>
      </c>
      <c r="AG249" s="222">
        <f>ABS(((AF248+AF249)/AF248))</f>
        <v>1.1691981631932178</v>
      </c>
      <c r="AH249" s="214">
        <v>57.46</v>
      </c>
      <c r="AI249" s="222">
        <f>ABS(((AH248+AH249)/AH248))</f>
        <v>0.83695652173913038</v>
      </c>
      <c r="AJ249" s="214">
        <v>117.59</v>
      </c>
      <c r="AK249" s="222">
        <f>ABS(((AJ248+AJ249)/AJ248))</f>
        <v>0.87096260938743042</v>
      </c>
      <c r="AL249" s="214">
        <v>54.98</v>
      </c>
      <c r="AM249" s="222">
        <f>ABS(((AL248+AL249)/AL248))</f>
        <v>0.41155327342747094</v>
      </c>
      <c r="AN249" s="214">
        <v>78.64</v>
      </c>
      <c r="AO249" s="222">
        <f>ABS(((AN248+AN249)/AN248))</f>
        <v>0.70548687920190856</v>
      </c>
      <c r="AP249" s="214">
        <v>77.06</v>
      </c>
      <c r="AQ249" s="222">
        <f>ABS(((AP248+AP249)/AP248))</f>
        <v>0.90412651346676565</v>
      </c>
      <c r="AR249" s="214">
        <v>120</v>
      </c>
      <c r="AS249" s="222">
        <f>ABS(((AR248+AR249)/AR248))</f>
        <v>0.17073170731707318</v>
      </c>
      <c r="AT249" s="214">
        <v>123.53</v>
      </c>
      <c r="AU249" s="222">
        <f>AT250/AT249</f>
        <v>0.17817534202218088</v>
      </c>
      <c r="AV249" s="214">
        <v>64.78</v>
      </c>
      <c r="AW249" s="222">
        <f>AV250/AV249</f>
        <v>0.31738190799629518</v>
      </c>
      <c r="AX249" s="214">
        <v>92.86</v>
      </c>
      <c r="AY249" s="224">
        <f>AX250/AX249</f>
        <v>0.22323928494507866</v>
      </c>
      <c r="AZ249" s="225"/>
      <c r="BA249" s="213">
        <v>99.94</v>
      </c>
      <c r="BB249" s="222">
        <f>BA250/BA249</f>
        <v>0.33229937962777661</v>
      </c>
      <c r="BC249" s="214">
        <v>68.760000000000005</v>
      </c>
      <c r="BD249" s="222">
        <f>BC250/BC249</f>
        <v>0.23327515997673073</v>
      </c>
      <c r="BE249" s="214">
        <v>70.5</v>
      </c>
      <c r="BF249" s="222">
        <f>BE250/BE249</f>
        <v>0.19262411347517727</v>
      </c>
      <c r="BG249" s="214">
        <v>92.45</v>
      </c>
      <c r="BH249" s="222">
        <f>BG250/BG249</f>
        <v>0.17176852352623048</v>
      </c>
      <c r="BI249" s="214">
        <v>141.04</v>
      </c>
      <c r="BJ249" s="222">
        <f>BI250/BI249</f>
        <v>1.4322178105501857E-2</v>
      </c>
      <c r="BK249" s="214">
        <v>86.72</v>
      </c>
      <c r="BL249" s="222">
        <f>BK250/BK249</f>
        <v>0.27571494464944646</v>
      </c>
      <c r="BM249" s="214">
        <v>75.19</v>
      </c>
      <c r="BN249" s="222">
        <f>BM250/BM249</f>
        <v>0.17701822050804622</v>
      </c>
      <c r="BO249" s="214">
        <v>53.91</v>
      </c>
      <c r="BP249" s="222">
        <f>BO250/BO249</f>
        <v>2.4856241884622453E-2</v>
      </c>
      <c r="BQ249" s="214">
        <v>122.66</v>
      </c>
      <c r="BR249" s="222">
        <f>BQ250/BQ249</f>
        <v>4.655144301320719E-2</v>
      </c>
      <c r="BS249" s="214">
        <v>76.03</v>
      </c>
      <c r="BT249" s="222">
        <f>BS250/BS249</f>
        <v>2.4727081415230771E-2</v>
      </c>
      <c r="BU249" s="214">
        <v>69.81</v>
      </c>
      <c r="BV249" s="222">
        <f>BU250/BU249</f>
        <v>0.19925512104283058</v>
      </c>
      <c r="BW249" s="214">
        <v>91.96</v>
      </c>
      <c r="BX249" s="222">
        <f>BW250/BW249</f>
        <v>0.15517616354936925</v>
      </c>
      <c r="BY249" s="214">
        <v>88.46</v>
      </c>
      <c r="BZ249" s="222">
        <f>BY250/BY249</f>
        <v>0.14548948677368292</v>
      </c>
      <c r="CA249" s="214">
        <v>67.099999999999994</v>
      </c>
      <c r="CB249" s="222">
        <f>CA250/CA249</f>
        <v>0.23487332339791345</v>
      </c>
      <c r="CC249" s="214">
        <v>75.06</v>
      </c>
      <c r="CD249" s="222">
        <f>CC250/CC249</f>
        <v>0.2660538236077804</v>
      </c>
      <c r="CE249" s="214">
        <v>59.64</v>
      </c>
      <c r="CF249" s="222">
        <f>CE250/CE249</f>
        <v>0.45405767940979203</v>
      </c>
      <c r="CG249" s="214">
        <v>68.48</v>
      </c>
      <c r="CH249" s="222">
        <f>CG250/CG249</f>
        <v>0.16457359813084116</v>
      </c>
    </row>
    <row r="250" spans="1:87">
      <c r="C250" s="241" t="s">
        <v>9</v>
      </c>
      <c r="F250" s="251">
        <f>SUM(F248:F249)</f>
        <v>27.339999999999996</v>
      </c>
      <c r="H250" s="251">
        <f>SUM(H248:H249)</f>
        <v>50.31</v>
      </c>
      <c r="J250" s="251">
        <f>SUM(J248:J249)</f>
        <v>57.569999999999993</v>
      </c>
      <c r="L250" s="252">
        <f>SUM(L248:L249)</f>
        <v>43.189999999999991</v>
      </c>
      <c r="N250" s="252">
        <f>SUM(N248:N249)</f>
        <v>70.86</v>
      </c>
      <c r="P250" s="252">
        <f>SUM(P248:P249)</f>
        <v>31.179999999999993</v>
      </c>
      <c r="R250" s="214">
        <f>R248+R249</f>
        <v>37.380000000000003</v>
      </c>
      <c r="S250" s="214"/>
      <c r="T250" s="214">
        <f>T248+T249</f>
        <v>48.47999999999999</v>
      </c>
      <c r="V250" s="214">
        <f>V248+V249</f>
        <v>105.63</v>
      </c>
      <c r="X250" s="214">
        <f>X248+X249</f>
        <v>27.910000000000004</v>
      </c>
      <c r="Z250" s="214">
        <f>Z248+Z249</f>
        <v>26.839999999999996</v>
      </c>
      <c r="AB250" s="242">
        <f>AB248+AB249</f>
        <v>33.44</v>
      </c>
      <c r="AD250" s="242">
        <f>AD248+AD249</f>
        <v>35.51</v>
      </c>
      <c r="AF250" s="242">
        <f>AF248+AF249</f>
        <v>33.099999999999994</v>
      </c>
      <c r="AH250" s="243">
        <f>AH248+AH249</f>
        <v>26.18</v>
      </c>
      <c r="AJ250" s="243">
        <f>AJ248+AJ249</f>
        <v>54.74</v>
      </c>
      <c r="AL250" s="243">
        <f>AL248+AL249</f>
        <v>16.029999999999994</v>
      </c>
      <c r="AN250" s="243">
        <f>AN248+AN249</f>
        <v>32.53</v>
      </c>
      <c r="AP250" s="214">
        <f>AP248+AP249</f>
        <v>36.590000000000003</v>
      </c>
      <c r="AR250" s="214">
        <f>AR248+AR249</f>
        <v>17.5</v>
      </c>
      <c r="AT250" s="214">
        <f>AT248+AT249</f>
        <v>22.010000000000005</v>
      </c>
      <c r="AV250" s="214">
        <f>AV248+AV249</f>
        <v>20.560000000000002</v>
      </c>
      <c r="AX250" s="214">
        <f>AX248+AX249</f>
        <v>20.730000000000004</v>
      </c>
      <c r="BA250" s="214">
        <f>BA248+BA249</f>
        <v>33.209999999999994</v>
      </c>
      <c r="BC250" s="214">
        <f>BC248+BC249</f>
        <v>16.040000000000006</v>
      </c>
      <c r="BE250" s="214">
        <f>BE248+BE249</f>
        <v>13.579999999999998</v>
      </c>
      <c r="BG250" s="214">
        <f>BG248+BG249</f>
        <v>15.88000000000001</v>
      </c>
      <c r="BI250" s="214">
        <f>BI248+BI249</f>
        <v>2.0199999999999818</v>
      </c>
      <c r="BK250" s="214">
        <f>BK248+BK249</f>
        <v>23.909999999999997</v>
      </c>
      <c r="BM250" s="214">
        <f>BM248+BM249</f>
        <v>13.309999999999995</v>
      </c>
      <c r="BO250" s="214">
        <f>BO248+BO249</f>
        <v>1.3399999999999963</v>
      </c>
      <c r="BQ250" s="214">
        <f>BQ248+BQ249</f>
        <v>5.7099999999999937</v>
      </c>
      <c r="BS250" s="214">
        <f>BS248+BS249</f>
        <v>1.8799999999999955</v>
      </c>
      <c r="BU250" s="214">
        <f>BU248+BU249</f>
        <v>13.910000000000004</v>
      </c>
      <c r="BW250" s="214">
        <f>BW248+BW249</f>
        <v>14.269999999999996</v>
      </c>
      <c r="BY250" s="214">
        <f>BY248+BY249</f>
        <v>12.86999999999999</v>
      </c>
      <c r="CA250" s="214">
        <f>CA248+CA249</f>
        <v>15.759999999999991</v>
      </c>
      <c r="CC250" s="214">
        <f>CC248+CC249</f>
        <v>19.97</v>
      </c>
      <c r="CE250" s="214">
        <f>CE248+CE249</f>
        <v>27.08</v>
      </c>
      <c r="CG250" s="214">
        <f>CG248+CG249</f>
        <v>11.270000000000003</v>
      </c>
    </row>
    <row r="251" spans="1:87">
      <c r="A251" s="231">
        <v>67</v>
      </c>
      <c r="B251" s="279">
        <v>108106019</v>
      </c>
      <c r="C251" s="213" t="s">
        <v>101</v>
      </c>
      <c r="X251" s="214"/>
      <c r="AP251" s="214"/>
      <c r="AT251" s="214"/>
    </row>
    <row r="252" spans="1:87">
      <c r="C252" s="253" t="s">
        <v>102</v>
      </c>
      <c r="D252" s="235">
        <v>44927</v>
      </c>
      <c r="F252" s="235">
        <v>44958</v>
      </c>
      <c r="G252" s="235"/>
      <c r="H252" s="235">
        <v>44986</v>
      </c>
      <c r="I252" s="235"/>
      <c r="J252" s="235">
        <v>45017</v>
      </c>
      <c r="K252" s="235"/>
      <c r="L252" s="246">
        <v>45047</v>
      </c>
      <c r="M252" s="235"/>
      <c r="N252" s="235">
        <v>45078</v>
      </c>
      <c r="O252" s="235"/>
      <c r="P252" s="235">
        <v>45108</v>
      </c>
      <c r="Q252" s="235"/>
      <c r="R252" s="235">
        <v>45139</v>
      </c>
      <c r="S252" s="235"/>
      <c r="T252" s="235">
        <v>45170</v>
      </c>
      <c r="U252" s="235"/>
      <c r="V252" s="235">
        <v>45200</v>
      </c>
      <c r="W252" s="235"/>
      <c r="X252" s="235">
        <v>45231</v>
      </c>
      <c r="Y252" s="235"/>
      <c r="Z252" s="235">
        <v>45261</v>
      </c>
      <c r="AA252" s="235"/>
      <c r="AB252" s="235">
        <v>45292</v>
      </c>
      <c r="AC252" s="235"/>
      <c r="AD252" s="235">
        <v>45323</v>
      </c>
      <c r="AE252" s="235"/>
      <c r="AF252" s="235">
        <v>45352</v>
      </c>
      <c r="AH252" s="235">
        <v>45383</v>
      </c>
      <c r="AJ252" s="235">
        <v>45413</v>
      </c>
      <c r="AL252" s="235">
        <v>45444</v>
      </c>
      <c r="AN252" s="235">
        <v>45474</v>
      </c>
      <c r="AP252" s="235">
        <v>45505</v>
      </c>
      <c r="AR252" s="236">
        <v>45536</v>
      </c>
      <c r="AT252" s="236">
        <v>45566</v>
      </c>
      <c r="AV252" s="235">
        <v>45597</v>
      </c>
      <c r="AX252" s="235">
        <v>45627</v>
      </c>
      <c r="BA252" s="235">
        <v>45658</v>
      </c>
      <c r="BC252" s="235">
        <v>45689</v>
      </c>
      <c r="BE252" s="235">
        <v>45717</v>
      </c>
      <c r="BG252" s="235">
        <v>45748</v>
      </c>
      <c r="BI252" s="235">
        <v>45778</v>
      </c>
      <c r="BK252" s="235">
        <v>45809</v>
      </c>
      <c r="BM252" s="235">
        <v>45839</v>
      </c>
      <c r="BO252" s="235">
        <v>45870</v>
      </c>
      <c r="BQ252" s="235">
        <v>45901</v>
      </c>
      <c r="BS252" s="235">
        <v>45931</v>
      </c>
      <c r="BU252" s="235">
        <v>45962</v>
      </c>
      <c r="BW252" s="235">
        <v>45992</v>
      </c>
      <c r="BY252" s="235">
        <v>46023</v>
      </c>
      <c r="CA252" s="235">
        <v>46054</v>
      </c>
      <c r="CC252" s="235">
        <v>46082</v>
      </c>
      <c r="CE252" s="235">
        <v>46113</v>
      </c>
      <c r="CG252" s="235">
        <v>46143</v>
      </c>
      <c r="CI252" s="341">
        <v>46174</v>
      </c>
    </row>
    <row r="253" spans="1:87">
      <c r="C253" s="213" t="s">
        <v>7</v>
      </c>
      <c r="D253" s="214">
        <v>-54.93</v>
      </c>
      <c r="E253" s="235"/>
      <c r="F253" s="214">
        <v>-37.35</v>
      </c>
      <c r="H253" s="237">
        <v>-34.42</v>
      </c>
      <c r="J253" s="237">
        <v>-38.409999999999997</v>
      </c>
      <c r="L253" s="237">
        <f>-28.26-6.44-1.35</f>
        <v>-36.050000000000004</v>
      </c>
      <c r="N253" s="237">
        <v>-9.26</v>
      </c>
      <c r="P253" s="238">
        <v>-71.11</v>
      </c>
      <c r="R253" s="237">
        <v>-28.75</v>
      </c>
      <c r="T253" s="237">
        <v>-23.35</v>
      </c>
      <c r="V253" s="237">
        <v>-24.15</v>
      </c>
      <c r="X253" s="237">
        <v>-23.35</v>
      </c>
      <c r="Z253" s="238">
        <v>-25.76</v>
      </c>
      <c r="AB253" s="238">
        <v>-26.66</v>
      </c>
      <c r="AD253" s="237">
        <v>-24.89</v>
      </c>
      <c r="AF253" s="237">
        <v>-29.34</v>
      </c>
      <c r="AH253" s="237">
        <f>-21.02-7.43</f>
        <v>-28.45</v>
      </c>
      <c r="AJ253" s="237">
        <v>-38.200000000000003</v>
      </c>
      <c r="AL253" s="237">
        <v>-37.53</v>
      </c>
      <c r="AN253" s="237">
        <v>-64.67</v>
      </c>
      <c r="AP253" s="237">
        <v>-48.5</v>
      </c>
      <c r="AR253" s="237">
        <f>-24.66-9.12</f>
        <v>-33.78</v>
      </c>
      <c r="AT253" s="237">
        <v>-28.26</v>
      </c>
      <c r="AV253" s="237">
        <v>-27.37</v>
      </c>
      <c r="AX253" s="237">
        <v>-31.08</v>
      </c>
      <c r="BA253" s="238">
        <v>-37.81</v>
      </c>
      <c r="BC253" s="237">
        <v>-29.09</v>
      </c>
      <c r="BE253" s="237">
        <v>-32.200000000000003</v>
      </c>
      <c r="BG253" s="237">
        <v>-31.16</v>
      </c>
      <c r="BI253" s="237">
        <v>-44.3</v>
      </c>
      <c r="BK253" s="237">
        <v>-31.16</v>
      </c>
      <c r="BM253" s="237">
        <v>-74.09</v>
      </c>
      <c r="BO253" s="237">
        <v>-32.200000000000003</v>
      </c>
      <c r="BQ253" s="237">
        <v>-31.16</v>
      </c>
      <c r="BS253" s="237">
        <v>-33.6</v>
      </c>
      <c r="BU253" s="237">
        <v>-32.51</v>
      </c>
      <c r="BW253" s="237">
        <v>-46.27</v>
      </c>
      <c r="BY253" s="237">
        <v>-79.17</v>
      </c>
      <c r="CA253" s="237">
        <v>-34.76</v>
      </c>
      <c r="CC253" s="237">
        <v>-35.200000000000003</v>
      </c>
      <c r="CE253" s="237">
        <v>-28.94</v>
      </c>
      <c r="CG253" s="237">
        <v>-34.33</v>
      </c>
    </row>
    <row r="254" spans="1:87">
      <c r="C254" s="213" t="s">
        <v>8</v>
      </c>
      <c r="D254" s="214">
        <v>41.47</v>
      </c>
      <c r="F254" s="214">
        <v>25.24</v>
      </c>
      <c r="G254" s="222">
        <f>-(((F253+F254)/F253))</f>
        <v>-0.32423025435073632</v>
      </c>
      <c r="H254" s="214">
        <v>59.73</v>
      </c>
      <c r="I254" s="222">
        <f>-(((H253+H254)/H253))</f>
        <v>0.73532829750145245</v>
      </c>
      <c r="J254" s="214">
        <v>62.17</v>
      </c>
      <c r="K254" s="222">
        <f>-(((J253+J254)/J253))</f>
        <v>0.61858890913824549</v>
      </c>
      <c r="L254" s="214">
        <v>44.05</v>
      </c>
      <c r="M254" s="222">
        <f>-(((L253+L254)/L253))</f>
        <v>0.2219140083217751</v>
      </c>
      <c r="N254" s="214">
        <v>24.77</v>
      </c>
      <c r="O254" s="222">
        <f>-(((N253+N254)/N253))</f>
        <v>1.6749460043196545</v>
      </c>
      <c r="P254" s="213">
        <v>100.45</v>
      </c>
      <c r="Q254" s="222">
        <f>-(((P253+P254)/P253))</f>
        <v>0.41260019687807625</v>
      </c>
      <c r="R254" s="214">
        <v>62.99</v>
      </c>
      <c r="S254" s="222">
        <f>-(((R253+R254)/R253))</f>
        <v>1.1909565217391305</v>
      </c>
      <c r="T254" s="214">
        <v>28.01</v>
      </c>
      <c r="U254" s="222">
        <f>ABS(((T253+T254)/T253))</f>
        <v>0.19957173447537471</v>
      </c>
      <c r="V254" s="214">
        <v>22.86</v>
      </c>
      <c r="W254" s="213">
        <v>0</v>
      </c>
      <c r="X254" s="214">
        <v>30.61</v>
      </c>
      <c r="Y254" s="222">
        <f>ABS(((X253+X254)/X253))</f>
        <v>0.31092077087794423</v>
      </c>
      <c r="Z254" s="213">
        <v>38.96</v>
      </c>
      <c r="AA254" s="222">
        <f>ABS(((Z253+Z254)/Z253))</f>
        <v>0.51242236024844712</v>
      </c>
      <c r="AB254" s="213">
        <v>34.4</v>
      </c>
      <c r="AC254" s="222">
        <f>ABS(((AB253+AB254)/AB253))</f>
        <v>0.29032258064516125</v>
      </c>
      <c r="AD254" s="213">
        <v>6.67</v>
      </c>
      <c r="AE254" s="301">
        <v>0</v>
      </c>
      <c r="AF254" s="214">
        <v>0.28999999999999998</v>
      </c>
      <c r="AG254" s="222">
        <f>ABS(((AF253+AF254)/AF253))</f>
        <v>0.9901158827539196</v>
      </c>
      <c r="AH254" s="214">
        <v>1.6</v>
      </c>
      <c r="AI254" s="222">
        <f>ABS(((AH253+AH254)/AH253))</f>
        <v>0.94376098418277676</v>
      </c>
      <c r="AJ254" s="214">
        <v>0</v>
      </c>
      <c r="AK254" s="222">
        <f>ABS(((AJ253+AJ254)/AJ253))</f>
        <v>1</v>
      </c>
      <c r="AL254" s="214">
        <v>0</v>
      </c>
      <c r="AM254" s="222">
        <f>ABS(((AL253+AL254)/AL253))</f>
        <v>1</v>
      </c>
      <c r="AN254" s="214">
        <v>69.709999999999994</v>
      </c>
      <c r="AO254" s="222">
        <f>ABS(((AN253+AN254)/AN253))</f>
        <v>7.7934127106850035E-2</v>
      </c>
      <c r="AP254" s="214">
        <v>48.86</v>
      </c>
      <c r="AQ254" s="222">
        <f>ABS(((AP253+AP254)/AP253))</f>
        <v>7.4226804123711226E-3</v>
      </c>
      <c r="AR254" s="214">
        <v>2.11</v>
      </c>
      <c r="AS254" s="222">
        <f>ABS(((AR253+AR254)/AR253))</f>
        <v>0.93753700414446417</v>
      </c>
      <c r="AT254" s="214">
        <v>12.68</v>
      </c>
      <c r="AU254" s="222">
        <f>AT255/AT254</f>
        <v>-1.2287066246056784</v>
      </c>
      <c r="AV254" s="214">
        <v>18.55</v>
      </c>
      <c r="AW254" s="222">
        <f>AV255/AV254</f>
        <v>-0.47547169811320755</v>
      </c>
      <c r="AX254" s="214">
        <v>20.2</v>
      </c>
      <c r="AY254" s="224">
        <f>AX255/AX254</f>
        <v>-0.53861386138613854</v>
      </c>
      <c r="AZ254" s="225"/>
      <c r="BA254" s="213">
        <v>72.599999999999994</v>
      </c>
      <c r="BB254" s="222">
        <f>BA255/BA254</f>
        <v>0.47920110192837456</v>
      </c>
      <c r="BC254" s="214">
        <v>39.799999999999997</v>
      </c>
      <c r="BD254" s="222">
        <f>BC255/BC254</f>
        <v>0.26909547738693462</v>
      </c>
      <c r="BE254" s="214">
        <v>39.81</v>
      </c>
      <c r="BF254" s="222">
        <f>BE255/BE254</f>
        <v>0.19115800050238632</v>
      </c>
      <c r="BG254" s="214">
        <v>39.75</v>
      </c>
      <c r="BH254" s="222">
        <f>BG255/BG254</f>
        <v>0.21610062893081761</v>
      </c>
      <c r="BI254" s="214">
        <v>39.75</v>
      </c>
      <c r="BJ254" s="222">
        <f>BI255/BI254</f>
        <v>-0.11446540880503138</v>
      </c>
      <c r="BK254" s="214">
        <v>68.59</v>
      </c>
      <c r="BL254" s="222">
        <f>BK255/BK254</f>
        <v>0.54570637119113585</v>
      </c>
      <c r="BM254" s="214">
        <v>41.37</v>
      </c>
      <c r="BN254" s="222">
        <f>BM255/BM254</f>
        <v>-0.79091128837321745</v>
      </c>
      <c r="BO254" s="214">
        <v>39.979999999999997</v>
      </c>
      <c r="BP254" s="222">
        <f>BO255/BO254</f>
        <v>0.19459729864932454</v>
      </c>
      <c r="BQ254" s="214">
        <v>39.75</v>
      </c>
      <c r="BR254" s="222">
        <f>BQ255/BQ254</f>
        <v>0.21610062893081761</v>
      </c>
      <c r="BS254" s="214">
        <v>39.75</v>
      </c>
      <c r="BT254" s="222">
        <f>BS255/BS254</f>
        <v>0.15471698113207544</v>
      </c>
      <c r="BU254" s="214">
        <v>39.75</v>
      </c>
      <c r="BV254" s="222">
        <f>BU255/BU254</f>
        <v>0.18213836477987427</v>
      </c>
      <c r="BW254" s="214">
        <v>53.72</v>
      </c>
      <c r="BX254" s="222">
        <f>BW255/BW254</f>
        <v>0.13868205510052115</v>
      </c>
      <c r="BY254" s="214">
        <v>5.59</v>
      </c>
      <c r="BZ254" s="222">
        <f>BY255/BY254</f>
        <v>-13.162790697674419</v>
      </c>
      <c r="CA254" s="214">
        <v>40.1</v>
      </c>
      <c r="CB254" s="222">
        <f>CA255/CA254</f>
        <v>0.13316708229426441</v>
      </c>
      <c r="CC254" s="214">
        <v>39.75</v>
      </c>
      <c r="CD254" s="222">
        <f>CC255/CC254</f>
        <v>0.11446540880503138</v>
      </c>
      <c r="CE254" s="214">
        <v>39.75</v>
      </c>
      <c r="CF254" s="222">
        <f>CE255/CE254</f>
        <v>0.27194968553459115</v>
      </c>
      <c r="CG254" s="214">
        <v>39.75</v>
      </c>
      <c r="CH254" s="222">
        <f>CG255/CG254</f>
        <v>0.13635220125786168</v>
      </c>
    </row>
    <row r="255" spans="1:87">
      <c r="C255" s="241" t="s">
        <v>9</v>
      </c>
      <c r="D255" s="251">
        <f>SUM(D253:D254)</f>
        <v>-13.46</v>
      </c>
      <c r="E255" s="222">
        <f>ABS(((D253+D254)/D253))</f>
        <v>0.24503914072455854</v>
      </c>
      <c r="F255" s="214">
        <f>SUM(F253:F254)</f>
        <v>-12.110000000000003</v>
      </c>
      <c r="H255" s="214">
        <f>SUM(H253:H254)</f>
        <v>25.309999999999995</v>
      </c>
      <c r="J255" s="214">
        <f>SUM(J253:J254)</f>
        <v>23.760000000000005</v>
      </c>
      <c r="L255" s="214">
        <f>SUM(L253:L254)</f>
        <v>7.9999999999999929</v>
      </c>
      <c r="N255" s="214">
        <f>SUM(N253:N254)</f>
        <v>15.51</v>
      </c>
      <c r="P255" s="214">
        <f>SUM(P253:P254)</f>
        <v>29.340000000000003</v>
      </c>
      <c r="R255" s="214">
        <f>R253+R254</f>
        <v>34.24</v>
      </c>
      <c r="S255" s="214"/>
      <c r="T255" s="214">
        <f>T253+T254</f>
        <v>4.66</v>
      </c>
      <c r="V255" s="214">
        <f>V253+V254</f>
        <v>-1.2899999999999991</v>
      </c>
      <c r="X255" s="214">
        <f>X253+X254</f>
        <v>7.259999999999998</v>
      </c>
      <c r="Z255" s="214">
        <f>Z253+Z254</f>
        <v>13.2</v>
      </c>
      <c r="AB255" s="242">
        <f>AB253+AB254</f>
        <v>7.7399999999999984</v>
      </c>
      <c r="AD255" s="242">
        <f>AD253+AD254</f>
        <v>-18.22</v>
      </c>
      <c r="AF255" s="242">
        <f>AF253+AF254</f>
        <v>-29.05</v>
      </c>
      <c r="AH255" s="243">
        <f>AH253+AH254</f>
        <v>-26.849999999999998</v>
      </c>
      <c r="AJ255" s="242">
        <f>AJ253+AJ254</f>
        <v>-38.200000000000003</v>
      </c>
      <c r="AL255" s="243">
        <f>AL253+AL254</f>
        <v>-37.53</v>
      </c>
      <c r="AN255" s="243">
        <f>AN253+AN254</f>
        <v>5.039999999999992</v>
      </c>
      <c r="AP255" s="214">
        <f>AP253+AP254</f>
        <v>0.35999999999999943</v>
      </c>
      <c r="AR255" s="214">
        <f>AR253+AR254</f>
        <v>-31.67</v>
      </c>
      <c r="AT255" s="214">
        <f>AT253+AT254</f>
        <v>-15.580000000000002</v>
      </c>
      <c r="AV255" s="214">
        <f>AV253+AV254</f>
        <v>-8.82</v>
      </c>
      <c r="AX255" s="214">
        <f>AX253+AX254</f>
        <v>-10.879999999999999</v>
      </c>
      <c r="BA255" s="214">
        <f>BA253+BA254</f>
        <v>34.789999999999992</v>
      </c>
      <c r="BC255" s="214">
        <f>BC253+BC254</f>
        <v>10.709999999999997</v>
      </c>
      <c r="BE255" s="214">
        <f>BE253+BE254</f>
        <v>7.6099999999999994</v>
      </c>
      <c r="BG255" s="214">
        <f>BG253+BG254</f>
        <v>8.59</v>
      </c>
      <c r="BI255" s="214">
        <f>BI253+BI254</f>
        <v>-4.5499999999999972</v>
      </c>
      <c r="BK255" s="214">
        <f>BK253+BK254</f>
        <v>37.430000000000007</v>
      </c>
      <c r="BM255" s="214">
        <f>BM253+BM254</f>
        <v>-32.720000000000006</v>
      </c>
      <c r="BO255" s="214">
        <f>BO253+BO254</f>
        <v>7.779999999999994</v>
      </c>
      <c r="BQ255" s="214">
        <f>BQ253+BQ254</f>
        <v>8.59</v>
      </c>
      <c r="BS255" s="214">
        <f>BS253+BS254</f>
        <v>6.1499999999999986</v>
      </c>
      <c r="BU255" s="214">
        <f>BU253+BU254</f>
        <v>7.240000000000002</v>
      </c>
      <c r="BW255" s="214">
        <f>BW253+BW254</f>
        <v>7.4499999999999957</v>
      </c>
      <c r="BY255" s="214">
        <f>BY253+BY254</f>
        <v>-73.58</v>
      </c>
      <c r="CA255" s="214">
        <f>CA253+CA254</f>
        <v>5.3400000000000034</v>
      </c>
      <c r="CC255" s="214">
        <f>CC253+CC254</f>
        <v>4.5499999999999972</v>
      </c>
      <c r="CE255" s="214">
        <f>CE253+CE254</f>
        <v>10.809999999999999</v>
      </c>
      <c r="CG255" s="214">
        <f>CG253+CG254</f>
        <v>5.4200000000000017</v>
      </c>
    </row>
    <row r="256" spans="1:87" hidden="1">
      <c r="A256" s="231">
        <v>68</v>
      </c>
      <c r="B256" s="312" t="s">
        <v>30</v>
      </c>
      <c r="C256" s="213" t="s">
        <v>103</v>
      </c>
      <c r="E256" s="251"/>
      <c r="AP256" s="214"/>
      <c r="AT256" s="214"/>
    </row>
    <row r="257" spans="1:87" hidden="1">
      <c r="C257" s="253" t="s">
        <v>104</v>
      </c>
      <c r="D257" s="235">
        <v>44927</v>
      </c>
      <c r="F257" s="235">
        <v>44958</v>
      </c>
      <c r="G257" s="235"/>
      <c r="H257" s="235">
        <v>44986</v>
      </c>
      <c r="I257" s="235"/>
      <c r="J257" s="235">
        <v>45017</v>
      </c>
      <c r="K257" s="235"/>
      <c r="L257" s="246">
        <v>45047</v>
      </c>
      <c r="M257" s="235"/>
      <c r="N257" s="235">
        <v>45078</v>
      </c>
      <c r="O257" s="235"/>
      <c r="P257" s="235">
        <v>45108</v>
      </c>
      <c r="Q257" s="235"/>
      <c r="R257" s="235">
        <v>45139</v>
      </c>
      <c r="S257" s="235"/>
      <c r="T257" s="235">
        <v>45170</v>
      </c>
      <c r="U257" s="235"/>
      <c r="V257" s="235">
        <v>45200</v>
      </c>
      <c r="W257" s="235"/>
      <c r="X257" s="235">
        <v>45231</v>
      </c>
      <c r="Y257" s="235"/>
      <c r="Z257" s="235">
        <v>45261</v>
      </c>
      <c r="AA257" s="235"/>
      <c r="AB257" s="235">
        <v>45292</v>
      </c>
      <c r="AC257" s="235"/>
      <c r="AD257" s="235">
        <v>45323</v>
      </c>
      <c r="AE257" s="235"/>
      <c r="AF257" s="235">
        <v>45352</v>
      </c>
      <c r="AH257" s="235">
        <v>45383</v>
      </c>
      <c r="AJ257" s="235">
        <v>45413</v>
      </c>
      <c r="AL257" s="235">
        <v>45444</v>
      </c>
      <c r="AN257" s="235">
        <v>45474</v>
      </c>
      <c r="AP257" s="235">
        <v>45505</v>
      </c>
      <c r="AR257" s="236">
        <v>45536</v>
      </c>
      <c r="AT257" s="236">
        <v>45566</v>
      </c>
      <c r="AV257" s="235">
        <v>45597</v>
      </c>
      <c r="AX257" s="235">
        <v>45627</v>
      </c>
      <c r="BA257" s="235">
        <v>45658</v>
      </c>
      <c r="BC257" s="235">
        <v>45689</v>
      </c>
      <c r="BE257" s="235">
        <v>45717</v>
      </c>
      <c r="BG257" s="235">
        <v>45748</v>
      </c>
      <c r="BI257" s="235">
        <v>45778</v>
      </c>
      <c r="BK257" s="235">
        <v>45809</v>
      </c>
      <c r="BM257" s="235">
        <v>45839</v>
      </c>
      <c r="BO257" s="235">
        <v>45870</v>
      </c>
    </row>
    <row r="258" spans="1:87" hidden="1">
      <c r="C258" s="213" t="s">
        <v>7</v>
      </c>
      <c r="D258" s="214">
        <v>-46.44</v>
      </c>
      <c r="E258" s="235"/>
      <c r="J258" s="237">
        <v>-23.01</v>
      </c>
      <c r="L258" s="237">
        <v>-23.52</v>
      </c>
      <c r="N258" s="237">
        <v>-22.88</v>
      </c>
      <c r="P258" s="237">
        <v>-24.1</v>
      </c>
      <c r="R258" s="237">
        <v>-33.08</v>
      </c>
      <c r="T258" s="237">
        <v>-21.43</v>
      </c>
      <c r="V258" s="214">
        <v>0</v>
      </c>
      <c r="X258" s="237">
        <v>-36.56</v>
      </c>
      <c r="Z258" s="238">
        <v>-86.46</v>
      </c>
      <c r="AB258" s="238">
        <v>-86.89</v>
      </c>
      <c r="AD258" s="237">
        <v>-47.98</v>
      </c>
      <c r="AF258" s="237">
        <v>-33.590000000000003</v>
      </c>
      <c r="AH258" s="237">
        <f>-6.85-19.19</f>
        <v>-26.04</v>
      </c>
      <c r="AJ258" s="237">
        <v>-35.270000000000003</v>
      </c>
      <c r="AL258" s="237">
        <v>-34.65</v>
      </c>
      <c r="AN258" s="237">
        <v>-32.840000000000003</v>
      </c>
      <c r="AP258" s="237">
        <v>-50.97</v>
      </c>
      <c r="AR258" s="237">
        <f>-22.93-8.32</f>
        <v>-31.25</v>
      </c>
      <c r="AT258" s="237">
        <v>-25.81</v>
      </c>
      <c r="AV258" s="237">
        <v>-45.02</v>
      </c>
      <c r="AX258" s="237">
        <v>-88.14</v>
      </c>
      <c r="BA258" s="238">
        <v>-90.42</v>
      </c>
      <c r="BC258" s="237">
        <v>-86.44</v>
      </c>
      <c r="BE258" s="237">
        <v>-109.08</v>
      </c>
      <c r="BG258" s="237">
        <v>-46.63</v>
      </c>
      <c r="BI258" s="237">
        <v>-6.66</v>
      </c>
      <c r="BK258" s="214"/>
      <c r="BM258" s="214"/>
    </row>
    <row r="259" spans="1:87" hidden="1">
      <c r="C259" s="213" t="s">
        <v>8</v>
      </c>
      <c r="I259" s="266"/>
      <c r="J259" s="214">
        <v>7.06</v>
      </c>
      <c r="K259" s="222" t="s">
        <v>37</v>
      </c>
      <c r="L259" s="214">
        <v>0.48</v>
      </c>
      <c r="M259" s="222">
        <f>ABS(((J258+J259)/J258))</f>
        <v>0.6931768796175577</v>
      </c>
      <c r="N259" s="214">
        <v>20.34</v>
      </c>
      <c r="O259" s="222">
        <f>ABS(((L258+L259)/L258))</f>
        <v>0.97959183673469385</v>
      </c>
      <c r="P259" s="214">
        <v>33.5</v>
      </c>
      <c r="Q259" s="222">
        <f>ABS(((N258+N259)/N258))</f>
        <v>0.11101398601398599</v>
      </c>
      <c r="R259" s="214">
        <v>54.56</v>
      </c>
      <c r="S259" s="222">
        <f>ABS(((P258+P259)/P258))</f>
        <v>0.3900414937759335</v>
      </c>
      <c r="T259" s="214">
        <v>30.44</v>
      </c>
      <c r="U259" s="222">
        <f>ABS(((T258+T259)/T258))</f>
        <v>0.42043863742417181</v>
      </c>
      <c r="V259" s="214">
        <v>15.53</v>
      </c>
      <c r="W259" s="222" t="e">
        <f>ABS(((V258+V259)/V258))</f>
        <v>#DIV/0!</v>
      </c>
      <c r="X259" s="214">
        <v>75.95</v>
      </c>
      <c r="Y259" s="222">
        <f>ABS(((X258+X259)/X258))</f>
        <v>1.0774070021881839</v>
      </c>
      <c r="Z259" s="213">
        <v>122.11</v>
      </c>
      <c r="AA259" s="222">
        <f>ABS(((Z258+Z259)/Z258))</f>
        <v>0.41232940087901931</v>
      </c>
      <c r="AB259" s="213">
        <v>98.66</v>
      </c>
      <c r="AC259" s="222">
        <f>ABS(((AB258+AB259)/AB258))</f>
        <v>0.13545862584877427</v>
      </c>
      <c r="AD259" s="213">
        <v>95.34</v>
      </c>
      <c r="AE259" s="222">
        <f>ABS(((AD258+AD259)/AD258))</f>
        <v>0.98707794914547753</v>
      </c>
      <c r="AF259" s="214">
        <v>42.06</v>
      </c>
      <c r="AG259" s="222">
        <f>ABS(((AF258+AF259)/AF258))</f>
        <v>0.25215838047037803</v>
      </c>
      <c r="AH259" s="214">
        <v>6.81</v>
      </c>
      <c r="AI259" s="222">
        <f>ABS(((AH258+AH259)/AH258))</f>
        <v>0.73847926267281105</v>
      </c>
      <c r="AJ259" s="214">
        <v>24.4</v>
      </c>
      <c r="AK259" s="222">
        <f>ABS(((AJ258+AJ259)/AJ258))</f>
        <v>0.30819393252055582</v>
      </c>
      <c r="AL259" s="214">
        <v>18.89</v>
      </c>
      <c r="AM259" s="222">
        <f>ABS(((AL258+AL259)/AL258))</f>
        <v>0.45483405483405481</v>
      </c>
      <c r="AN259" s="214">
        <v>34.159999999999997</v>
      </c>
      <c r="AO259" s="222">
        <f>ABS(((AN258+AN259)/AN258))</f>
        <v>4.0194884287454109E-2</v>
      </c>
      <c r="AP259" s="214">
        <v>53.72</v>
      </c>
      <c r="AQ259" s="222">
        <f>ABS(((AP258+AP259)/AP258))</f>
        <v>5.3953305866195803E-2</v>
      </c>
      <c r="AR259" s="214">
        <v>27.99</v>
      </c>
      <c r="AS259" s="222">
        <f>ABS(((AR258+AR259)/AR258))</f>
        <v>0.10432000000000005</v>
      </c>
      <c r="AT259" s="214">
        <v>36.89</v>
      </c>
      <c r="AU259" s="222">
        <f>ABS(((AT258+AT259)/AT258))</f>
        <v>0.42929097249128256</v>
      </c>
      <c r="AV259" s="214">
        <v>59.25</v>
      </c>
      <c r="AW259" s="222">
        <f>ABS(((AV258+AV259)/AV258))</f>
        <v>0.31608174144824513</v>
      </c>
      <c r="AX259" s="214">
        <v>101.28</v>
      </c>
      <c r="AY259" s="224">
        <f>ABS(((AX258+AX259)/AX258))</f>
        <v>0.14908100748808714</v>
      </c>
      <c r="AZ259" s="225"/>
      <c r="BA259" s="213">
        <v>130.88999999999999</v>
      </c>
      <c r="BB259" s="222">
        <f>ABS(((BA258+BA259)/BA258))</f>
        <v>0.44757796947577949</v>
      </c>
      <c r="BC259" s="214">
        <v>117.77</v>
      </c>
      <c r="BD259" s="222">
        <f>ABS(((BC258+BC259)/BC258))</f>
        <v>0.36244794076816289</v>
      </c>
      <c r="BE259" s="214">
        <v>139.13</v>
      </c>
      <c r="BF259" s="222">
        <f>ABS(((BE258+BE259)/BE258))</f>
        <v>0.27548588192152546</v>
      </c>
      <c r="BG259" s="214">
        <v>74.87</v>
      </c>
      <c r="BH259" s="222">
        <f>ABS(((BG258+BG259)/BG258))</f>
        <v>0.60561870040746302</v>
      </c>
      <c r="BI259" s="214"/>
      <c r="BJ259" s="222">
        <f>ABS(((BI258+BI259)/BI258))</f>
        <v>1</v>
      </c>
      <c r="BK259" s="214"/>
      <c r="BL259" s="222" t="e">
        <f>ABS(((BK258+BK259)/BK258))</f>
        <v>#DIV/0!</v>
      </c>
      <c r="BM259" s="214"/>
      <c r="BN259" s="222" t="e">
        <f>ABS(((BM258+BM259)/BM258))</f>
        <v>#DIV/0!</v>
      </c>
      <c r="BP259" s="222" t="e">
        <f>ABS(((BO258+BO259)/BO258))</f>
        <v>#DIV/0!</v>
      </c>
      <c r="BR259" s="222" t="e">
        <f>ABS(((BQ258+BQ259)/BQ258))</f>
        <v>#DIV/0!</v>
      </c>
      <c r="BT259" s="222" t="e">
        <f>ABS(((BS258+BS259)/BS258))</f>
        <v>#DIV/0!</v>
      </c>
      <c r="BV259" s="222" t="e">
        <f>ABS(((BU258+BU259)/BU258))</f>
        <v>#DIV/0!</v>
      </c>
      <c r="BX259" s="222" t="e">
        <f>ABS(((BW258+BW259)/BW258))</f>
        <v>#DIV/0!</v>
      </c>
    </row>
    <row r="260" spans="1:87" hidden="1">
      <c r="C260" s="241" t="s">
        <v>9</v>
      </c>
      <c r="D260" s="251">
        <f>SUM(D258:D259)</f>
        <v>-46.44</v>
      </c>
      <c r="E260" s="222">
        <f>ABS(((D258+D259)/D258))</f>
        <v>1</v>
      </c>
      <c r="F260" s="251" t="s">
        <v>95</v>
      </c>
      <c r="H260" s="251"/>
      <c r="J260" s="214">
        <f>SUM(J258:J259)</f>
        <v>-15.950000000000003</v>
      </c>
      <c r="L260" s="214">
        <f>SUM(L258:L259)</f>
        <v>-23.04</v>
      </c>
      <c r="N260" s="214">
        <f>SUM(N258:N259)</f>
        <v>-2.5399999999999991</v>
      </c>
      <c r="P260" s="214">
        <f>SUM(P258:P259)</f>
        <v>9.3999999999999986</v>
      </c>
      <c r="R260" s="214">
        <f>R258+R259</f>
        <v>21.480000000000004</v>
      </c>
      <c r="S260" s="214"/>
      <c r="T260" s="214">
        <f>T258+T259</f>
        <v>9.0100000000000016</v>
      </c>
      <c r="V260" s="214">
        <f>V258+V259</f>
        <v>15.53</v>
      </c>
      <c r="X260" s="214">
        <f>X258+X259</f>
        <v>39.39</v>
      </c>
      <c r="Z260" s="214">
        <f>Z258+Z259</f>
        <v>35.650000000000006</v>
      </c>
      <c r="AB260" s="242">
        <f>AB258+AB259</f>
        <v>11.769999999999996</v>
      </c>
      <c r="AD260" s="242">
        <f>AD258+AD259</f>
        <v>47.360000000000007</v>
      </c>
      <c r="AF260" s="242">
        <f>AF258+AF259</f>
        <v>8.4699999999999989</v>
      </c>
      <c r="AH260" s="243">
        <f>AH258+AH259</f>
        <v>-19.23</v>
      </c>
      <c r="AJ260" s="243">
        <f>AJ258+AJ259</f>
        <v>-10.870000000000005</v>
      </c>
      <c r="AL260" s="243">
        <f>AL258+AL259</f>
        <v>-15.759999999999998</v>
      </c>
      <c r="AN260" s="243">
        <f>AN258+AN259</f>
        <v>1.3199999999999932</v>
      </c>
      <c r="AP260" s="214">
        <f>AP258+AP259</f>
        <v>2.75</v>
      </c>
      <c r="AR260" s="214">
        <f>AR258+AR259</f>
        <v>-3.2600000000000016</v>
      </c>
      <c r="AT260" s="214">
        <f>AT258+AT259</f>
        <v>11.080000000000002</v>
      </c>
      <c r="AV260" s="214">
        <f>AV258+AV259</f>
        <v>14.229999999999997</v>
      </c>
      <c r="AX260" s="214">
        <f>AX258+AX259</f>
        <v>13.14</v>
      </c>
      <c r="BA260" s="214">
        <f>BA258+BA259</f>
        <v>40.469999999999985</v>
      </c>
      <c r="BC260" s="214">
        <f>BC258+BC259</f>
        <v>31.33</v>
      </c>
      <c r="BE260" s="214">
        <f>BE258+BE259</f>
        <v>30.049999999999997</v>
      </c>
      <c r="BG260" s="214">
        <f>BG258+BG259</f>
        <v>28.240000000000002</v>
      </c>
      <c r="BI260" s="214">
        <f>BI258+BI259</f>
        <v>-6.66</v>
      </c>
      <c r="BK260" s="214">
        <f>BK258+BK259</f>
        <v>0</v>
      </c>
      <c r="BM260" s="214"/>
    </row>
    <row r="261" spans="1:87">
      <c r="A261" s="231">
        <v>69</v>
      </c>
      <c r="B261" s="232">
        <v>109391123</v>
      </c>
      <c r="C261" s="213" t="s">
        <v>105</v>
      </c>
      <c r="E261" s="251"/>
      <c r="AP261" s="214"/>
      <c r="AT261" s="214"/>
    </row>
    <row r="262" spans="1:87">
      <c r="C262" s="253" t="s">
        <v>106</v>
      </c>
      <c r="D262" s="235">
        <v>44927</v>
      </c>
      <c r="F262" s="235">
        <v>44958</v>
      </c>
      <c r="G262" s="235"/>
      <c r="H262" s="235">
        <v>44986</v>
      </c>
      <c r="I262" s="235"/>
      <c r="J262" s="235">
        <v>45017</v>
      </c>
      <c r="K262" s="235"/>
      <c r="L262" s="246">
        <v>45047</v>
      </c>
      <c r="M262" s="235"/>
      <c r="N262" s="235">
        <v>45078</v>
      </c>
      <c r="O262" s="235"/>
      <c r="P262" s="235">
        <v>45108</v>
      </c>
      <c r="Q262" s="235"/>
      <c r="R262" s="235">
        <v>45139</v>
      </c>
      <c r="S262" s="235"/>
      <c r="T262" s="235">
        <v>45170</v>
      </c>
      <c r="U262" s="235"/>
      <c r="V262" s="235">
        <v>45200</v>
      </c>
      <c r="W262" s="235"/>
      <c r="X262" s="235">
        <v>45231</v>
      </c>
      <c r="Y262" s="235"/>
      <c r="Z262" s="235">
        <v>45261</v>
      </c>
      <c r="AA262" s="235"/>
      <c r="AB262" s="235">
        <v>45292</v>
      </c>
      <c r="AC262" s="235"/>
      <c r="AD262" s="235">
        <v>45323</v>
      </c>
      <c r="AE262" s="235"/>
      <c r="AF262" s="235">
        <v>45352</v>
      </c>
      <c r="AH262" s="235">
        <v>45383</v>
      </c>
      <c r="AJ262" s="235">
        <v>45413</v>
      </c>
      <c r="AL262" s="235">
        <v>45444</v>
      </c>
      <c r="AN262" s="235">
        <v>45474</v>
      </c>
      <c r="AP262" s="235">
        <v>45505</v>
      </c>
      <c r="AR262" s="236">
        <v>45536</v>
      </c>
      <c r="AT262" s="236">
        <v>45566</v>
      </c>
      <c r="AV262" s="235">
        <v>45597</v>
      </c>
      <c r="AX262" s="235">
        <v>45627</v>
      </c>
      <c r="BA262" s="235">
        <v>45658</v>
      </c>
      <c r="BC262" s="235">
        <v>45689</v>
      </c>
      <c r="BE262" s="235">
        <v>45717</v>
      </c>
      <c r="BG262" s="235">
        <v>45748</v>
      </c>
      <c r="BI262" s="235">
        <v>45778</v>
      </c>
      <c r="BK262" s="235">
        <v>45809</v>
      </c>
      <c r="BM262" s="235">
        <v>45839</v>
      </c>
      <c r="BO262" s="235">
        <v>45870</v>
      </c>
      <c r="BQ262" s="235">
        <v>45901</v>
      </c>
      <c r="BS262" s="235">
        <v>45931</v>
      </c>
      <c r="BU262" s="235">
        <v>45962</v>
      </c>
      <c r="BW262" s="235">
        <v>45992</v>
      </c>
      <c r="BY262" s="235">
        <v>46023</v>
      </c>
      <c r="CA262" s="235">
        <v>46054</v>
      </c>
      <c r="CC262" s="235">
        <v>46082</v>
      </c>
      <c r="CE262" s="235">
        <v>46113</v>
      </c>
      <c r="CG262" s="235">
        <v>46143</v>
      </c>
      <c r="CI262" s="341">
        <v>46174</v>
      </c>
    </row>
    <row r="263" spans="1:87">
      <c r="C263" s="213" t="s">
        <v>7</v>
      </c>
      <c r="E263" s="235"/>
      <c r="F263" s="237">
        <v>-4.66</v>
      </c>
      <c r="H263" s="237">
        <v>-4.75</v>
      </c>
      <c r="J263" s="237">
        <v>-4.71</v>
      </c>
      <c r="L263" s="237">
        <v>-8.59</v>
      </c>
      <c r="N263" s="237">
        <v>-8.57</v>
      </c>
      <c r="P263" s="238">
        <v>-42.98</v>
      </c>
      <c r="R263" s="237">
        <v>-30.42</v>
      </c>
      <c r="T263" s="237">
        <v>-25.26</v>
      </c>
      <c r="V263" s="237">
        <v>-25.13</v>
      </c>
      <c r="X263" s="237">
        <v>-23.66</v>
      </c>
      <c r="Z263" s="238">
        <v>-26.83</v>
      </c>
      <c r="AB263" s="238">
        <v>-27.18</v>
      </c>
      <c r="AD263" s="237">
        <v>-23.79</v>
      </c>
      <c r="AF263" s="237">
        <v>-28.31</v>
      </c>
      <c r="AH263" s="237">
        <f>-7.71-21.93</f>
        <v>-29.64</v>
      </c>
      <c r="AJ263" s="237">
        <v>-39.659999999999997</v>
      </c>
      <c r="AL263" s="237">
        <v>-38.950000000000003</v>
      </c>
      <c r="AN263" s="237">
        <v>-36.89</v>
      </c>
      <c r="AP263" s="237">
        <v>-49.06</v>
      </c>
      <c r="AR263" s="237">
        <f>-25.54-9.53</f>
        <v>-35.07</v>
      </c>
      <c r="AT263" s="237">
        <v>-29.5</v>
      </c>
      <c r="AV263" s="237">
        <v>-28.56</v>
      </c>
      <c r="AX263" s="237">
        <v>-32.450000000000003</v>
      </c>
      <c r="BA263" s="237">
        <v>-33.6</v>
      </c>
      <c r="BC263" s="237">
        <v>-68.34</v>
      </c>
      <c r="BE263" s="237">
        <v>-71.67</v>
      </c>
      <c r="BG263" s="237">
        <v>-32.51</v>
      </c>
      <c r="BI263" s="237">
        <v>-45.7</v>
      </c>
      <c r="BK263" s="237">
        <v>-32.51</v>
      </c>
      <c r="BM263" s="237">
        <v>-50.7</v>
      </c>
      <c r="BO263" s="237">
        <v>-52.01</v>
      </c>
      <c r="BQ263" s="237">
        <v>-36.97</v>
      </c>
      <c r="BS263" s="237">
        <v>-35.07</v>
      </c>
      <c r="BU263" s="237">
        <v>-33.92</v>
      </c>
      <c r="BW263" s="237">
        <v>-35.07</v>
      </c>
      <c r="BY263" s="237">
        <v>-35.799999999999997</v>
      </c>
      <c r="CA263" s="237">
        <v>-32.340000000000003</v>
      </c>
      <c r="CC263" s="237">
        <v>-31.16</v>
      </c>
      <c r="CE263" s="237">
        <v>-30.15</v>
      </c>
      <c r="CG263" s="237">
        <v>-35.799999999999997</v>
      </c>
    </row>
    <row r="264" spans="1:87">
      <c r="C264" s="213" t="s">
        <v>8</v>
      </c>
      <c r="D264" s="214">
        <v>34.119999999999997</v>
      </c>
      <c r="F264" s="214">
        <v>22.3</v>
      </c>
      <c r="G264" s="222">
        <f>ABS(((F263+F264)/F263))</f>
        <v>3.7854077253218885</v>
      </c>
      <c r="H264" s="214">
        <v>32.25</v>
      </c>
      <c r="I264" s="222">
        <f>ABS(((H263+H264)/H263))</f>
        <v>5.7894736842105265</v>
      </c>
      <c r="J264" s="214">
        <v>25.13</v>
      </c>
      <c r="K264" s="222">
        <f>ABS(((J263+J264)/J263))</f>
        <v>4.3354564755838636</v>
      </c>
      <c r="L264" s="214">
        <v>30.72</v>
      </c>
      <c r="M264" s="222">
        <f>ABS(((L263+L264)/L263))</f>
        <v>2.5762514551804423</v>
      </c>
      <c r="N264" s="214">
        <v>30.13</v>
      </c>
      <c r="O264" s="222">
        <f>ABS(((N263+N264)/N263))</f>
        <v>2.5157526254375728</v>
      </c>
      <c r="P264" s="213">
        <v>56.14</v>
      </c>
      <c r="Q264" s="222">
        <f>ABS(((P263+P264)/P263))</f>
        <v>0.30618892508143336</v>
      </c>
      <c r="R264" s="214">
        <v>48.66</v>
      </c>
      <c r="S264" s="222">
        <f>ABS(((R263+R264)/R263))</f>
        <v>0.5996055226824456</v>
      </c>
      <c r="T264" s="214">
        <v>76.63</v>
      </c>
      <c r="U264" s="222">
        <f>ABS(((T263+T264)/T263))</f>
        <v>2.0336500395882813</v>
      </c>
      <c r="V264" s="214">
        <v>12.95</v>
      </c>
      <c r="W264" s="222">
        <f>ABS(((V263+V264)/V263))</f>
        <v>0.48467966573816157</v>
      </c>
      <c r="X264" s="214">
        <v>29.01</v>
      </c>
      <c r="Y264" s="222">
        <f>ABS(((X263+X264)/X263))</f>
        <v>0.22612003381234155</v>
      </c>
      <c r="Z264" s="213">
        <v>31</v>
      </c>
      <c r="AA264" s="222">
        <f>ABS(((Z263+Z264)/Z263))</f>
        <v>0.15542303391725687</v>
      </c>
      <c r="AB264" s="213">
        <v>54.1</v>
      </c>
      <c r="AC264" s="222">
        <f>ABS(((AB263+AB264)/AB263))</f>
        <v>0.99043414275202357</v>
      </c>
      <c r="AD264" s="213">
        <v>35.840000000000003</v>
      </c>
      <c r="AE264" s="222">
        <f>ABS(((AD263+AD264)/AD263))</f>
        <v>0.50651534258091657</v>
      </c>
      <c r="AF264" s="214">
        <v>13.48</v>
      </c>
      <c r="AG264" s="222">
        <f>ABS(((AF263+AF264)/AF263))</f>
        <v>0.52384316495937833</v>
      </c>
      <c r="AH264" s="214">
        <v>11.26</v>
      </c>
      <c r="AI264" s="222">
        <f>ABS(((AH263+AH264)/AH263))</f>
        <v>0.62010796221322539</v>
      </c>
      <c r="AJ264" s="214">
        <v>0.38</v>
      </c>
      <c r="AK264" s="222">
        <f>ABS(((AJ263+AJ264)/AJ263))</f>
        <v>0.99041855774079668</v>
      </c>
      <c r="AL264" s="214">
        <v>13.98</v>
      </c>
      <c r="AM264" s="222"/>
      <c r="AN264" s="214">
        <v>14.72</v>
      </c>
      <c r="AO264" s="222"/>
      <c r="AP264" s="214">
        <v>74.349999999999994</v>
      </c>
      <c r="AQ264" s="222">
        <f>ABS(((AP263+AP264)/AP263))</f>
        <v>0.51549123522217677</v>
      </c>
      <c r="AR264" s="214">
        <v>40.24</v>
      </c>
      <c r="AS264" s="222">
        <f>ABS(((AR263+AR264)/AR263))</f>
        <v>0.14741944682064448</v>
      </c>
      <c r="AT264" s="214">
        <v>37.97</v>
      </c>
      <c r="AU264" s="222">
        <f>AT265/AT264</f>
        <v>0.2230708454042665</v>
      </c>
      <c r="AV264" s="214">
        <v>34.35</v>
      </c>
      <c r="AW264" s="222">
        <f>AV265/AV264</f>
        <v>0.16855895196506557</v>
      </c>
      <c r="AX264" s="214">
        <v>45.44</v>
      </c>
      <c r="AY264" s="224">
        <f>AX265/AX264</f>
        <v>0.28587147887323933</v>
      </c>
      <c r="AZ264" s="225"/>
      <c r="BA264" s="214">
        <v>61.18</v>
      </c>
      <c r="BB264" s="222">
        <f>BA265/BA264</f>
        <v>0.45080091533180777</v>
      </c>
      <c r="BC264" s="214">
        <v>106.37</v>
      </c>
      <c r="BD264" s="222">
        <f>BC265/BC264</f>
        <v>0.35752561812541128</v>
      </c>
      <c r="BE264" s="214">
        <v>93.01</v>
      </c>
      <c r="BF264" s="222">
        <f>BE265/BE264</f>
        <v>0.22943769487151922</v>
      </c>
      <c r="BG264" s="214">
        <v>53.96</v>
      </c>
      <c r="BH264" s="222">
        <f>BG265/BG264</f>
        <v>0.39751667902149745</v>
      </c>
      <c r="BI264" s="214">
        <v>54.28</v>
      </c>
      <c r="BJ264" s="222">
        <f>BI265/BI264</f>
        <v>0.15806927044952096</v>
      </c>
      <c r="BK264" s="214">
        <v>57.89</v>
      </c>
      <c r="BL264" s="222">
        <f>BK265/BK264</f>
        <v>0.43841768871998621</v>
      </c>
      <c r="BM264" s="214">
        <v>98.52</v>
      </c>
      <c r="BN264" s="222">
        <f>BM265/BM264</f>
        <v>0.48538367844092567</v>
      </c>
      <c r="BO264" s="214">
        <v>97.89</v>
      </c>
      <c r="BP264" s="222">
        <f>BO265/BO264</f>
        <v>0.46868934518336913</v>
      </c>
      <c r="BQ264" s="214">
        <v>75.599999999999994</v>
      </c>
      <c r="BR264" s="222">
        <f>BQ265/BQ264</f>
        <v>0.51097883597883598</v>
      </c>
      <c r="BS264" s="214">
        <v>56.95</v>
      </c>
      <c r="BT264" s="222">
        <f>BS265/BS264</f>
        <v>0.38419666374012296</v>
      </c>
      <c r="BU264" s="214">
        <v>53.32</v>
      </c>
      <c r="BV264" s="222">
        <f>BU265/BU264</f>
        <v>0.36384096024005996</v>
      </c>
      <c r="BW264" s="214">
        <v>55.74</v>
      </c>
      <c r="BX264" s="222">
        <f>BW265/BW264</f>
        <v>0.37082884822389667</v>
      </c>
      <c r="BY264" s="214">
        <v>52.26</v>
      </c>
      <c r="BZ264" s="222">
        <f>BY265/BY264</f>
        <v>0.31496364332185228</v>
      </c>
      <c r="CA264" s="214">
        <v>50.66</v>
      </c>
      <c r="CB264" s="222">
        <f>CA265/CA264</f>
        <v>0.36162652980655341</v>
      </c>
      <c r="CC264" s="214">
        <v>52.88</v>
      </c>
      <c r="CD264" s="222">
        <f>CC265/CC264</f>
        <v>0.41074130105900153</v>
      </c>
      <c r="CE264" s="214">
        <v>46.56</v>
      </c>
      <c r="CF264" s="222">
        <f>CE265/CE264</f>
        <v>0.3524484536082475</v>
      </c>
      <c r="CG264" s="214">
        <v>48.31</v>
      </c>
      <c r="CH264" s="222">
        <f>CG265/CG264</f>
        <v>0.2589525978058374</v>
      </c>
    </row>
    <row r="265" spans="1:87">
      <c r="C265" s="241" t="s">
        <v>9</v>
      </c>
      <c r="D265" s="251" t="s">
        <v>95</v>
      </c>
      <c r="F265" s="313">
        <f>SUM(F263:F264)</f>
        <v>17.64</v>
      </c>
      <c r="H265" s="313">
        <f>SUM(H263:H264)</f>
        <v>27.5</v>
      </c>
      <c r="J265" s="314">
        <f>SUM(J263:J264)</f>
        <v>20.419999999999998</v>
      </c>
      <c r="L265" s="314">
        <f>SUM(L263:L264)</f>
        <v>22.13</v>
      </c>
      <c r="N265" s="314">
        <f>SUM(N263:N264)</f>
        <v>21.56</v>
      </c>
      <c r="P265" s="314">
        <f>SUM(P263:P264)</f>
        <v>13.160000000000004</v>
      </c>
      <c r="R265" s="214">
        <f>R263+R264</f>
        <v>18.239999999999995</v>
      </c>
      <c r="S265" s="214"/>
      <c r="T265" s="214">
        <f>T263+T264</f>
        <v>51.36999999999999</v>
      </c>
      <c r="V265" s="214">
        <f>V263+V264</f>
        <v>-12.18</v>
      </c>
      <c r="X265" s="214">
        <f>X263+X264</f>
        <v>5.3500000000000014</v>
      </c>
      <c r="Z265" s="214">
        <f>Z263+Z264</f>
        <v>4.1700000000000017</v>
      </c>
      <c r="AB265" s="242">
        <f>AB263+AB264</f>
        <v>26.92</v>
      </c>
      <c r="AD265" s="242">
        <f>AD263+AD264</f>
        <v>12.050000000000004</v>
      </c>
      <c r="AF265" s="242">
        <f>AF263+AF264</f>
        <v>-14.829999999999998</v>
      </c>
      <c r="AH265" s="243">
        <f>AH263+AH264</f>
        <v>-18.380000000000003</v>
      </c>
      <c r="AJ265" s="243">
        <f>AJ263+AJ264</f>
        <v>-39.279999999999994</v>
      </c>
      <c r="AL265" s="243">
        <f>AL263+AL264</f>
        <v>-24.970000000000002</v>
      </c>
      <c r="AN265" s="243">
        <f>AN263+AN264</f>
        <v>-22.17</v>
      </c>
      <c r="AP265" s="214">
        <f>AP263+AP264</f>
        <v>25.289999999999992</v>
      </c>
      <c r="AR265" s="214">
        <f>AR263+AR264</f>
        <v>5.1700000000000017</v>
      </c>
      <c r="AT265" s="214">
        <f>AT263+AT264</f>
        <v>8.4699999999999989</v>
      </c>
      <c r="AV265" s="214">
        <f>AV263+AV264</f>
        <v>5.7900000000000027</v>
      </c>
      <c r="AX265" s="214">
        <f>AX263+AX264</f>
        <v>12.989999999999995</v>
      </c>
      <c r="BA265" s="214">
        <f>BA263+BA264</f>
        <v>27.58</v>
      </c>
      <c r="BC265" s="214">
        <f>BC263+BC264</f>
        <v>38.03</v>
      </c>
      <c r="BE265" s="214">
        <f>BE263+BE264</f>
        <v>21.340000000000003</v>
      </c>
      <c r="BG265" s="214">
        <f>BG263+BG264</f>
        <v>21.450000000000003</v>
      </c>
      <c r="BI265" s="214">
        <f>BI263+BI264</f>
        <v>8.5799999999999983</v>
      </c>
      <c r="BK265" s="214">
        <f>BK263+BK264</f>
        <v>25.380000000000003</v>
      </c>
      <c r="BM265" s="214">
        <f>BM263+BM264</f>
        <v>47.819999999999993</v>
      </c>
      <c r="BO265" s="214">
        <f>BO263+BO264</f>
        <v>45.88</v>
      </c>
      <c r="BQ265" s="214">
        <f>BQ263+BQ264</f>
        <v>38.629999999999995</v>
      </c>
      <c r="BS265" s="214">
        <f>BS263+BS264</f>
        <v>21.880000000000003</v>
      </c>
      <c r="BU265" s="214">
        <f>BU263+BU264</f>
        <v>19.399999999999999</v>
      </c>
      <c r="BW265" s="214">
        <f>BW263+BW264</f>
        <v>20.67</v>
      </c>
      <c r="BY265" s="214">
        <f>BY263+BY264</f>
        <v>16.46</v>
      </c>
      <c r="CA265" s="214">
        <f>CA263+CA264</f>
        <v>18.319999999999993</v>
      </c>
      <c r="CC265" s="214">
        <f>CC263+CC264</f>
        <v>21.720000000000002</v>
      </c>
      <c r="CE265" s="214">
        <f>CE263+CE264</f>
        <v>16.410000000000004</v>
      </c>
      <c r="CG265" s="214">
        <f>CG263+CG264</f>
        <v>12.510000000000005</v>
      </c>
    </row>
    <row r="266" spans="1:87">
      <c r="A266" s="211">
        <v>80</v>
      </c>
      <c r="B266" s="315" t="s">
        <v>107</v>
      </c>
      <c r="C266" s="213" t="s">
        <v>108</v>
      </c>
      <c r="D266" s="235"/>
      <c r="E266" s="251"/>
      <c r="AP266" s="214"/>
      <c r="AT266" s="214"/>
    </row>
    <row r="267" spans="1:87">
      <c r="C267" s="253" t="s">
        <v>109</v>
      </c>
      <c r="D267" s="235">
        <v>44927</v>
      </c>
      <c r="F267" s="235">
        <v>44958</v>
      </c>
      <c r="G267" s="235"/>
      <c r="H267" s="235">
        <v>44986</v>
      </c>
      <c r="I267" s="235"/>
      <c r="J267" s="235">
        <v>45017</v>
      </c>
      <c r="K267" s="235"/>
      <c r="L267" s="246">
        <v>45047</v>
      </c>
      <c r="M267" s="235"/>
      <c r="N267" s="235">
        <v>45078</v>
      </c>
      <c r="O267" s="235"/>
      <c r="P267" s="235">
        <v>45108</v>
      </c>
      <c r="Q267" s="235"/>
      <c r="R267" s="235">
        <v>45139</v>
      </c>
      <c r="S267" s="235"/>
      <c r="T267" s="235">
        <v>45170</v>
      </c>
      <c r="U267" s="235"/>
      <c r="V267" s="235">
        <v>45200</v>
      </c>
      <c r="W267" s="235"/>
      <c r="X267" s="235">
        <v>45231</v>
      </c>
      <c r="Y267" s="235"/>
      <c r="Z267" s="235">
        <v>45261</v>
      </c>
      <c r="AA267" s="235"/>
      <c r="AB267" s="235">
        <v>45292</v>
      </c>
      <c r="AC267" s="235"/>
      <c r="AD267" s="235">
        <v>45323</v>
      </c>
      <c r="AE267" s="235"/>
      <c r="AF267" s="235">
        <v>45352</v>
      </c>
      <c r="AH267" s="235">
        <v>45383</v>
      </c>
      <c r="AJ267" s="235">
        <v>45413</v>
      </c>
      <c r="AL267" s="235">
        <v>45444</v>
      </c>
      <c r="AN267" s="235">
        <v>45474</v>
      </c>
      <c r="AP267" s="235">
        <v>45505</v>
      </c>
      <c r="AR267" s="236">
        <v>45536</v>
      </c>
      <c r="AT267" s="236">
        <v>45566</v>
      </c>
      <c r="AV267" s="235">
        <v>45597</v>
      </c>
      <c r="AX267" s="235">
        <v>45627</v>
      </c>
      <c r="BA267" s="235">
        <v>45658</v>
      </c>
      <c r="BC267" s="235">
        <v>45689</v>
      </c>
      <c r="BE267" s="235">
        <v>45717</v>
      </c>
      <c r="BG267" s="235">
        <v>45748</v>
      </c>
      <c r="BI267" s="235">
        <v>45778</v>
      </c>
      <c r="BK267" s="235">
        <v>45809</v>
      </c>
      <c r="BM267" s="235">
        <v>45839</v>
      </c>
      <c r="BO267" s="235">
        <v>45870</v>
      </c>
      <c r="BQ267" s="235">
        <v>45901</v>
      </c>
      <c r="BS267" s="235">
        <v>45931</v>
      </c>
      <c r="BU267" s="235">
        <v>45962</v>
      </c>
      <c r="BW267" s="235">
        <v>45992</v>
      </c>
      <c r="BY267" s="235">
        <v>46023</v>
      </c>
      <c r="CA267" s="235">
        <v>46054</v>
      </c>
      <c r="CC267" s="235">
        <v>46082</v>
      </c>
      <c r="CE267" s="235">
        <v>46113</v>
      </c>
      <c r="CG267" s="235">
        <v>46143</v>
      </c>
      <c r="CI267" s="341">
        <v>46174</v>
      </c>
    </row>
    <row r="268" spans="1:87">
      <c r="C268" s="213" t="s">
        <v>7</v>
      </c>
      <c r="D268" s="214">
        <v>-150.81</v>
      </c>
      <c r="E268" s="235"/>
      <c r="F268" s="214">
        <v>-121.31</v>
      </c>
      <c r="H268" s="237">
        <v>-114.04</v>
      </c>
      <c r="J268" s="238">
        <v>-100.47</v>
      </c>
      <c r="L268" s="238">
        <v>-95.71</v>
      </c>
      <c r="N268" s="237">
        <v>-88.91</v>
      </c>
      <c r="P268" s="237">
        <v>-87.49</v>
      </c>
      <c r="R268" s="237">
        <v>-78.7</v>
      </c>
      <c r="T268" s="237">
        <v>-80.72</v>
      </c>
      <c r="V268" s="238">
        <v>-104.48</v>
      </c>
      <c r="X268" s="238">
        <v>-108.69</v>
      </c>
      <c r="Z268" s="238">
        <v>-161.32</v>
      </c>
      <c r="AB268" s="237">
        <v>-201.32</v>
      </c>
      <c r="AD268" s="237">
        <v>-158.56</v>
      </c>
      <c r="AF268" s="237">
        <f>-122.66-39.72</f>
        <v>-162.38</v>
      </c>
      <c r="AH268" s="237">
        <f>-3.32-97.19</f>
        <v>-100.50999999999999</v>
      </c>
      <c r="AJ268" s="237">
        <v>-76.52</v>
      </c>
      <c r="AL268" s="237">
        <v>-79.709999999999994</v>
      </c>
      <c r="AN268" s="237">
        <v>-119.87</v>
      </c>
      <c r="AP268" s="237">
        <v>-70.209999999999994</v>
      </c>
      <c r="AR268" s="237">
        <v>-94.46</v>
      </c>
      <c r="AT268" s="237">
        <f>-3.15-127.06</f>
        <v>-130.21</v>
      </c>
      <c r="AV268" s="237">
        <f>-152.04-3.51</f>
        <v>-155.54999999999998</v>
      </c>
      <c r="AX268" s="237">
        <f>-10.84-194</f>
        <v>-204.84</v>
      </c>
      <c r="BA268" s="237">
        <v>-255.12</v>
      </c>
      <c r="BC268" s="237">
        <v>-187.5</v>
      </c>
      <c r="BE268" s="237">
        <v>-178</v>
      </c>
      <c r="BG268" s="237">
        <v>-127.35</v>
      </c>
      <c r="BI268" s="237">
        <v>-94.74</v>
      </c>
      <c r="BK268" s="237">
        <v>-120.44</v>
      </c>
      <c r="BM268" s="237">
        <v>-120.7</v>
      </c>
      <c r="BO268" s="237">
        <f>-7.78-76.56</f>
        <v>-84.34</v>
      </c>
      <c r="BQ268" s="237">
        <f>-5.32-97.03</f>
        <v>-102.35</v>
      </c>
      <c r="BS268" s="237">
        <v>-120.55</v>
      </c>
      <c r="BU268" s="237">
        <v>-152.65</v>
      </c>
      <c r="BW268" s="237">
        <v>-164.55</v>
      </c>
      <c r="BY268" s="237">
        <v>-189.1</v>
      </c>
      <c r="CA268" s="237">
        <v>-102.91</v>
      </c>
      <c r="CC268" s="237">
        <v>-111.99</v>
      </c>
      <c r="CE268" s="237">
        <v>-75.87</v>
      </c>
      <c r="CG268" s="237">
        <v>-95.06</v>
      </c>
    </row>
    <row r="269" spans="1:87">
      <c r="C269" s="213" t="s">
        <v>8</v>
      </c>
      <c r="D269" s="214">
        <v>167.56</v>
      </c>
      <c r="F269" s="214">
        <v>152.41</v>
      </c>
      <c r="G269" s="222">
        <f>ABS(((F268+F269)/F268))</f>
        <v>0.25636798285384549</v>
      </c>
      <c r="H269" s="214">
        <v>145.77000000000001</v>
      </c>
      <c r="I269" s="222">
        <f>ABS(((H268+H269)/H268))</f>
        <v>0.27823570676955456</v>
      </c>
      <c r="J269" s="213">
        <v>128.09</v>
      </c>
      <c r="K269" s="222">
        <f>ABS(((J268+J269)/J268))</f>
        <v>0.27490793271623376</v>
      </c>
      <c r="L269" s="213">
        <v>108.99</v>
      </c>
      <c r="M269" s="222">
        <f>ABS(((L268+L269)/L268))</f>
        <v>0.13875248145439351</v>
      </c>
      <c r="N269" s="214">
        <v>125.4</v>
      </c>
      <c r="O269" s="222">
        <f>ABS(((N268+N269)/N268))</f>
        <v>0.41041502643122268</v>
      </c>
      <c r="P269" s="214">
        <v>132.62</v>
      </c>
      <c r="Q269" s="222">
        <f>ABS(((P268+P269)/P268))</f>
        <v>0.51583038061492759</v>
      </c>
      <c r="R269" s="214">
        <v>133.22999999999999</v>
      </c>
      <c r="S269" s="301">
        <v>0.44</v>
      </c>
      <c r="T269" s="214">
        <v>108.79</v>
      </c>
      <c r="U269" s="222">
        <f>ABS(((T268+T269)/T268))</f>
        <v>0.34774529236868196</v>
      </c>
      <c r="V269" s="213">
        <v>119.07</v>
      </c>
      <c r="W269" s="222">
        <f>ABS(((V268+V269)/V268))</f>
        <v>0.13964395099540572</v>
      </c>
      <c r="X269" s="213">
        <v>124.29</v>
      </c>
      <c r="Z269" s="213">
        <v>143.18</v>
      </c>
      <c r="AB269" s="214">
        <v>213.12</v>
      </c>
      <c r="AC269" s="222">
        <f>ABS(((AB268+AB269)/AB268))</f>
        <v>5.8613153188952972E-2</v>
      </c>
      <c r="AD269" s="214">
        <v>175.21</v>
      </c>
      <c r="AE269" s="222">
        <f>ABS(((AD268+AD269)/AD268))</f>
        <v>0.10500756811301719</v>
      </c>
      <c r="AF269" s="214">
        <v>159.75</v>
      </c>
      <c r="AG269" s="222">
        <f>ABS(((AF268+AF269)/AF268))</f>
        <v>1.6196575932996646E-2</v>
      </c>
      <c r="AH269" s="214">
        <v>132.49</v>
      </c>
      <c r="AI269" s="222">
        <f>ABS(((AH268+AH269)/AH268))</f>
        <v>0.31817729579146375</v>
      </c>
      <c r="AJ269" s="214">
        <v>95.13</v>
      </c>
      <c r="AK269" s="222">
        <f>ABS(((AJ268+AJ269)/AJ268))</f>
        <v>0.24320439100888658</v>
      </c>
      <c r="AL269" s="214">
        <v>92.75</v>
      </c>
      <c r="AM269" s="222">
        <f>ABS(((AL268+AL269)/AL268))</f>
        <v>0.16359302471459047</v>
      </c>
      <c r="AN269" s="214">
        <v>135.34</v>
      </c>
      <c r="AO269" s="222">
        <f>ABS(((AN268+AN269)/AN268))</f>
        <v>0.12905647785100524</v>
      </c>
      <c r="AP269" s="214">
        <v>135.34</v>
      </c>
      <c r="AQ269" s="222">
        <f>ABS(((AP268+AP269)/AP268))</f>
        <v>0.92764563452499671</v>
      </c>
      <c r="AR269" s="214">
        <v>135.79</v>
      </c>
      <c r="AS269" s="222">
        <f>ABS(((AR268+AR269)/AR268))</f>
        <v>0.43753969934363751</v>
      </c>
      <c r="AT269" s="214">
        <v>129.38999999999999</v>
      </c>
      <c r="AU269" s="222">
        <f>AT270/AT269</f>
        <v>-6.3374294767758075E-3</v>
      </c>
      <c r="AV269" s="214">
        <v>243.42</v>
      </c>
      <c r="AW269" s="222">
        <f>AV270/AV269</f>
        <v>0.36098102045846686</v>
      </c>
      <c r="AX269" s="214">
        <v>223.16</v>
      </c>
      <c r="AY269" s="224">
        <f>AX270/AX269</f>
        <v>8.2093565155045678E-2</v>
      </c>
      <c r="AZ269" s="225"/>
      <c r="BA269" s="214">
        <v>276.12</v>
      </c>
      <c r="BB269" s="222">
        <f>BA270/BA269</f>
        <v>7.6053889613211648E-2</v>
      </c>
      <c r="BC269" s="214">
        <v>287.79000000000002</v>
      </c>
      <c r="BD269" s="222">
        <f>BC270/BC269</f>
        <v>0.34848326905034926</v>
      </c>
      <c r="BE269" s="214">
        <v>196.68</v>
      </c>
      <c r="BF269" s="222">
        <f>BE270/BE269</f>
        <v>9.4976611755135276E-2</v>
      </c>
      <c r="BG269" s="214">
        <v>120.7</v>
      </c>
      <c r="BH269" s="222">
        <f>BG270/BG269</f>
        <v>-5.5095277547638703E-2</v>
      </c>
      <c r="BI269" s="214">
        <v>113.38</v>
      </c>
      <c r="BJ269" s="222">
        <f>BI270/BI269</f>
        <v>0.16440289292644206</v>
      </c>
      <c r="BK269" s="214">
        <v>182.72</v>
      </c>
      <c r="BL269" s="222">
        <f>BK270/BK269</f>
        <v>0.34084938704028023</v>
      </c>
      <c r="BM269" s="214">
        <v>149.79</v>
      </c>
      <c r="BN269" s="222">
        <f>BM270/BM269</f>
        <v>0.19420522064223239</v>
      </c>
      <c r="BO269" s="214">
        <v>108.75</v>
      </c>
      <c r="BP269" s="222">
        <f>BO270/BO269</f>
        <v>0.2244597701149425</v>
      </c>
      <c r="BQ269" s="214">
        <v>134.01</v>
      </c>
      <c r="BR269" s="222">
        <f>BQ270/BQ269</f>
        <v>0.2362510260428326</v>
      </c>
      <c r="BS269" s="214">
        <v>139.86000000000001</v>
      </c>
      <c r="BT269" s="222">
        <f>BS270/BS269</f>
        <v>0.13806663806663816</v>
      </c>
      <c r="BU269" s="214">
        <v>219.27</v>
      </c>
      <c r="BV269" s="222">
        <f>BU270/BU269</f>
        <v>0.30382633283166871</v>
      </c>
      <c r="BW269" s="214">
        <v>165.49</v>
      </c>
      <c r="BX269" s="222">
        <f>BW270/BW269</f>
        <v>5.6801015167079446E-3</v>
      </c>
      <c r="BY269" s="214">
        <v>237.46</v>
      </c>
      <c r="BZ269" s="222">
        <f>BY270/BY269</f>
        <v>0.2036553524804178</v>
      </c>
      <c r="CA269" s="214">
        <v>149.9</v>
      </c>
      <c r="CB269" s="222">
        <f>CA270/CA269</f>
        <v>0.31347565043362247</v>
      </c>
      <c r="CC269" s="214">
        <v>133.93</v>
      </c>
      <c r="CD269" s="222">
        <f>CC270/CC269</f>
        <v>0.16381691928619435</v>
      </c>
      <c r="CE269" s="214">
        <v>99.41</v>
      </c>
      <c r="CF269" s="222">
        <f>CE270/CE269</f>
        <v>0.23679710290715211</v>
      </c>
      <c r="CG269" s="214">
        <v>89.23</v>
      </c>
      <c r="CH269" s="222">
        <f>CG270/CG269</f>
        <v>-6.5336770144570191E-2</v>
      </c>
    </row>
    <row r="270" spans="1:87">
      <c r="C270" s="241" t="s">
        <v>9</v>
      </c>
      <c r="D270" s="214">
        <f>D268+D269</f>
        <v>16.75</v>
      </c>
      <c r="F270" s="214">
        <f>F268+F269</f>
        <v>31.099999999999994</v>
      </c>
      <c r="H270" s="214">
        <f>H268+H269</f>
        <v>31.730000000000004</v>
      </c>
      <c r="J270" s="214">
        <f>J268+J269</f>
        <v>27.620000000000005</v>
      </c>
      <c r="L270" s="214">
        <f>L268+L269</f>
        <v>13.280000000000001</v>
      </c>
      <c r="N270" s="214">
        <f>N268+N269</f>
        <v>36.490000000000009</v>
      </c>
      <c r="P270" s="214">
        <f>P268+P269</f>
        <v>45.13000000000001</v>
      </c>
      <c r="R270" s="214">
        <f>R268+R269</f>
        <v>54.529999999999987</v>
      </c>
      <c r="S270" s="214"/>
      <c r="T270" s="214">
        <f>T268+T269</f>
        <v>28.070000000000007</v>
      </c>
      <c r="V270" s="214">
        <f>V268+V269</f>
        <v>14.589999999999989</v>
      </c>
      <c r="Z270" s="214">
        <f>Z268+Z269</f>
        <v>-18.139999999999986</v>
      </c>
      <c r="AB270" s="243">
        <f>AB268+AB269</f>
        <v>11.800000000000011</v>
      </c>
      <c r="AD270" s="243">
        <f>AD268+AD269</f>
        <v>16.650000000000006</v>
      </c>
      <c r="AF270" s="243">
        <f>AF268+AF269</f>
        <v>-2.6299999999999955</v>
      </c>
      <c r="AH270" s="243">
        <f>AH268+AH269</f>
        <v>31.980000000000018</v>
      </c>
      <c r="AJ270" s="243">
        <f>AJ268+AJ269</f>
        <v>18.61</v>
      </c>
      <c r="AL270" s="243">
        <f>AL268+AL269</f>
        <v>13.040000000000006</v>
      </c>
      <c r="AN270" s="243">
        <f>AN268+AN269</f>
        <v>15.469999999999999</v>
      </c>
      <c r="AP270" s="214">
        <f>AP268+AP269</f>
        <v>65.13000000000001</v>
      </c>
      <c r="AR270" s="214">
        <f>AR268+AR269</f>
        <v>41.33</v>
      </c>
      <c r="AT270" s="214">
        <f>AT268+AT269</f>
        <v>-0.8200000000000216</v>
      </c>
      <c r="AV270" s="214">
        <f>AV268+AV269</f>
        <v>87.87</v>
      </c>
      <c r="AX270" s="214">
        <f>AX268+AX269</f>
        <v>18.319999999999993</v>
      </c>
      <c r="BA270" s="214">
        <f>BA268+BA269</f>
        <v>21</v>
      </c>
      <c r="BC270" s="214">
        <f>BC268+BC269</f>
        <v>100.29000000000002</v>
      </c>
      <c r="BE270" s="214">
        <f>BE268+BE269</f>
        <v>18.680000000000007</v>
      </c>
      <c r="BG270" s="214">
        <f>BG268+BG269</f>
        <v>-6.6499999999999915</v>
      </c>
      <c r="BI270" s="214">
        <f>BI268+BI269</f>
        <v>18.64</v>
      </c>
      <c r="BK270" s="214">
        <f>BK268+BK269</f>
        <v>62.28</v>
      </c>
      <c r="BM270" s="214">
        <f>BM268+BM269</f>
        <v>29.089999999999989</v>
      </c>
      <c r="BO270" s="214">
        <f>BO268+BO269</f>
        <v>24.409999999999997</v>
      </c>
      <c r="BQ270" s="214">
        <f>BQ268+BQ269</f>
        <v>31.659999999999997</v>
      </c>
      <c r="BS270" s="214">
        <f>BS268+BS269</f>
        <v>19.310000000000016</v>
      </c>
      <c r="BU270" s="214">
        <f>BU268+BU269</f>
        <v>66.62</v>
      </c>
      <c r="BW270" s="214">
        <f>BW268+BW269</f>
        <v>0.93999999999999773</v>
      </c>
      <c r="BY270" s="214">
        <f>BY268+BY269</f>
        <v>48.360000000000014</v>
      </c>
      <c r="CA270" s="214">
        <f>CA268+CA269</f>
        <v>46.990000000000009</v>
      </c>
      <c r="CC270" s="214">
        <f>CC268+CC269</f>
        <v>21.940000000000012</v>
      </c>
      <c r="CE270" s="214">
        <f>CE268+CE269</f>
        <v>23.539999999999992</v>
      </c>
      <c r="CG270" s="214">
        <f>CG268+CG269</f>
        <v>-5.8299999999999983</v>
      </c>
    </row>
    <row r="271" spans="1:87">
      <c r="A271" s="231">
        <v>81</v>
      </c>
      <c r="B271" s="232">
        <v>529889146</v>
      </c>
      <c r="C271" s="213" t="s">
        <v>110</v>
      </c>
      <c r="D271" s="235"/>
      <c r="AP271" s="214"/>
      <c r="AT271" s="214"/>
    </row>
    <row r="272" spans="1:87">
      <c r="C272" s="253" t="s">
        <v>361</v>
      </c>
      <c r="D272" s="235">
        <v>44927</v>
      </c>
      <c r="F272" s="235">
        <v>44958</v>
      </c>
      <c r="G272" s="235"/>
      <c r="H272" s="235">
        <v>44986</v>
      </c>
      <c r="I272" s="235"/>
      <c r="J272" s="235">
        <v>45017</v>
      </c>
      <c r="K272" s="235"/>
      <c r="L272" s="246">
        <v>45047</v>
      </c>
      <c r="M272" s="235"/>
      <c r="N272" s="235">
        <v>45078</v>
      </c>
      <c r="O272" s="235"/>
      <c r="P272" s="235">
        <v>45108</v>
      </c>
      <c r="Q272" s="235"/>
      <c r="R272" s="235">
        <v>45139</v>
      </c>
      <c r="S272" s="235"/>
      <c r="T272" s="235">
        <v>45170</v>
      </c>
      <c r="U272" s="235"/>
      <c r="V272" s="235">
        <v>45200</v>
      </c>
      <c r="W272" s="235"/>
      <c r="X272" s="235">
        <v>45231</v>
      </c>
      <c r="Y272" s="235"/>
      <c r="Z272" s="235">
        <v>45261</v>
      </c>
      <c r="AA272" s="235"/>
      <c r="AB272" s="235">
        <v>45292</v>
      </c>
      <c r="AC272" s="235"/>
      <c r="AD272" s="235">
        <v>45323</v>
      </c>
      <c r="AE272" s="235"/>
      <c r="AF272" s="235">
        <v>45352</v>
      </c>
      <c r="AH272" s="235">
        <v>45383</v>
      </c>
      <c r="AJ272" s="235">
        <v>45413</v>
      </c>
      <c r="AL272" s="235">
        <v>45444</v>
      </c>
      <c r="AN272" s="235">
        <v>45474</v>
      </c>
      <c r="AP272" s="235">
        <v>45505</v>
      </c>
      <c r="AR272" s="236">
        <v>45536</v>
      </c>
      <c r="AT272" s="236">
        <v>45566</v>
      </c>
      <c r="AV272" s="235">
        <v>45597</v>
      </c>
      <c r="AX272" s="235">
        <v>45627</v>
      </c>
      <c r="BA272" s="235">
        <v>45658</v>
      </c>
      <c r="BC272" s="235">
        <v>45689</v>
      </c>
      <c r="BE272" s="235">
        <v>45717</v>
      </c>
      <c r="BG272" s="235">
        <v>45748</v>
      </c>
      <c r="BI272" s="235">
        <v>45778</v>
      </c>
      <c r="BK272" s="235">
        <v>45809</v>
      </c>
      <c r="BM272" s="235">
        <v>45839</v>
      </c>
      <c r="BO272" s="235">
        <v>45870</v>
      </c>
      <c r="BQ272" s="235">
        <v>45901</v>
      </c>
      <c r="BS272" s="235">
        <v>45931</v>
      </c>
      <c r="BU272" s="235">
        <v>45962</v>
      </c>
      <c r="BW272" s="235">
        <v>45992</v>
      </c>
      <c r="BY272" s="235">
        <v>46023</v>
      </c>
      <c r="CA272" s="235">
        <v>46054</v>
      </c>
      <c r="CC272" s="235">
        <v>46082</v>
      </c>
      <c r="CE272" s="235">
        <v>46113</v>
      </c>
      <c r="CG272" s="235">
        <v>46143</v>
      </c>
      <c r="CI272" s="341">
        <v>46174</v>
      </c>
    </row>
    <row r="273" spans="1:87">
      <c r="C273" s="213" t="s">
        <v>7</v>
      </c>
      <c r="D273" s="214">
        <v>-31.97</v>
      </c>
      <c r="E273" s="235"/>
      <c r="F273" s="214">
        <v>-88.81</v>
      </c>
      <c r="H273" s="237">
        <v>-41.43</v>
      </c>
      <c r="J273" s="238">
        <v>-16.61</v>
      </c>
      <c r="L273" s="237">
        <v>-27.41</v>
      </c>
      <c r="N273" s="237">
        <v>-8.1</v>
      </c>
      <c r="P273" s="237">
        <v>-8.09</v>
      </c>
      <c r="R273" s="237">
        <v>-8.16</v>
      </c>
      <c r="T273" s="237">
        <v>-37.67</v>
      </c>
      <c r="V273" s="238">
        <v>-38.93</v>
      </c>
      <c r="X273" s="237">
        <v>-37.67</v>
      </c>
      <c r="Z273" s="238">
        <v>-41.58</v>
      </c>
      <c r="AB273" s="237">
        <v>-40.14</v>
      </c>
      <c r="AD273" s="237">
        <v>-37.51</v>
      </c>
      <c r="AF273" s="237">
        <v>-44.58</v>
      </c>
      <c r="AH273" s="237">
        <f>-11.62-34.51</f>
        <v>-46.129999999999995</v>
      </c>
      <c r="AJ273" s="237">
        <v>-59.82</v>
      </c>
      <c r="AL273" s="237">
        <v>-58.75</v>
      </c>
      <c r="AN273" s="237">
        <v>-55.44</v>
      </c>
      <c r="AP273" s="237">
        <v>-56.01</v>
      </c>
      <c r="AR273" s="237">
        <f>-15.02-37.52</f>
        <v>-52.540000000000006</v>
      </c>
      <c r="AT273" s="237">
        <v>-46.53</v>
      </c>
      <c r="AV273" s="237">
        <v>-45.05</v>
      </c>
      <c r="AX273" s="237">
        <v>-51.18</v>
      </c>
      <c r="BA273" s="237">
        <v>-56.42</v>
      </c>
      <c r="BC273" s="237">
        <v>-60.03</v>
      </c>
      <c r="BE273" s="237">
        <v>-52.85</v>
      </c>
      <c r="BG273" s="237">
        <v>-63.25</v>
      </c>
      <c r="BI273" s="237">
        <v>-52.85</v>
      </c>
      <c r="BK273" s="237">
        <v>-51.15</v>
      </c>
      <c r="BM273" s="237">
        <v>-52.85</v>
      </c>
      <c r="BO273" s="237">
        <v>-52.85</v>
      </c>
      <c r="BQ273" s="237">
        <v>-51.13</v>
      </c>
      <c r="BS273" s="237">
        <v>-55.2</v>
      </c>
      <c r="BU273" s="237">
        <v>-53.4</v>
      </c>
      <c r="BW273" s="237">
        <v>-55.2</v>
      </c>
      <c r="BY273" s="237">
        <v>-56.23</v>
      </c>
      <c r="CA273" s="237">
        <v>-71.47</v>
      </c>
      <c r="CC273" s="237">
        <v>-69.819999999999993</v>
      </c>
      <c r="CE273" s="237">
        <v>-47.34</v>
      </c>
      <c r="CG273" s="237">
        <v>-56.23</v>
      </c>
    </row>
    <row r="274" spans="1:87">
      <c r="C274" s="213" t="s">
        <v>8</v>
      </c>
      <c r="D274" s="214">
        <v>63.32</v>
      </c>
      <c r="F274" s="214">
        <v>128.41999999999999</v>
      </c>
      <c r="G274" s="222">
        <f>ABS(((F273+F274)/F273))</f>
        <v>0.44600833239500037</v>
      </c>
      <c r="H274" s="214">
        <v>97.6</v>
      </c>
      <c r="I274" s="222">
        <f>ABS(((H273+H274)/H273))</f>
        <v>1.3557808351436156</v>
      </c>
      <c r="J274" s="213">
        <v>72.989999999999995</v>
      </c>
      <c r="K274" s="222">
        <f>ABS(((J273+J274)/J273))</f>
        <v>3.3943407585791689</v>
      </c>
      <c r="L274" s="214">
        <v>77.069999999999993</v>
      </c>
      <c r="M274" s="222">
        <f>ABS(((L273+L274)/L273))</f>
        <v>1.8117475373951111</v>
      </c>
      <c r="N274" s="214">
        <v>45.49</v>
      </c>
      <c r="O274" s="222">
        <f>ABS(((N273+N274)/N273))</f>
        <v>4.6160493827160494</v>
      </c>
      <c r="P274" s="214">
        <v>47.38</v>
      </c>
      <c r="Q274" s="222">
        <f>ABS(((P273+P274)/P273))</f>
        <v>4.8566131025957979</v>
      </c>
      <c r="R274" s="214">
        <v>52.02</v>
      </c>
      <c r="S274" s="222">
        <f>ABS(((R273+R274)/R273))</f>
        <v>5.375</v>
      </c>
      <c r="T274" s="214">
        <v>54.73</v>
      </c>
      <c r="U274" s="222">
        <f>ABS(((T273+T274)/T273))</f>
        <v>0.45288027608176251</v>
      </c>
      <c r="V274" s="213">
        <v>0</v>
      </c>
      <c r="X274" s="214">
        <v>42.4</v>
      </c>
      <c r="Y274" s="240" t="s">
        <v>111</v>
      </c>
      <c r="Z274" s="213">
        <v>39.76</v>
      </c>
      <c r="AA274" s="240" t="s">
        <v>111</v>
      </c>
      <c r="AB274" s="214">
        <v>68.180000000000007</v>
      </c>
      <c r="AC274" s="240" t="s">
        <v>111</v>
      </c>
      <c r="AD274" s="214">
        <v>88.9</v>
      </c>
      <c r="AE274" s="240"/>
      <c r="AF274" s="214">
        <v>52.15</v>
      </c>
      <c r="AG274" s="222">
        <f>ABS(((AF273+AF274)/AF273))</f>
        <v>0.16980708838043967</v>
      </c>
      <c r="AH274" s="214">
        <v>44.76</v>
      </c>
      <c r="AI274" s="222">
        <f>ABS(((AH273+AH274)/AH273))</f>
        <v>2.9698677650119177E-2</v>
      </c>
      <c r="AJ274" s="214">
        <v>33.03</v>
      </c>
      <c r="AK274" s="222">
        <f>ABS(((AJ273+AJ274)/AJ273))</f>
        <v>0.44784353059177529</v>
      </c>
      <c r="AL274" s="214">
        <v>26.86</v>
      </c>
      <c r="AM274" s="222"/>
      <c r="AN274" s="214">
        <v>16.75</v>
      </c>
      <c r="AO274" s="222"/>
      <c r="AP274" s="214">
        <v>20.47</v>
      </c>
      <c r="AQ274" s="222">
        <f>ABS(((AP273+AP274)/AP273))</f>
        <v>0.63452954829494734</v>
      </c>
      <c r="AR274" s="214">
        <v>63.15</v>
      </c>
      <c r="AS274" s="222">
        <f>ABS(((AR273+AR274)/AR273))</f>
        <v>0.20194137799771586</v>
      </c>
      <c r="AT274" s="214">
        <v>82.93</v>
      </c>
      <c r="AU274" s="222">
        <f>AT275/AT274</f>
        <v>0.43892439406728567</v>
      </c>
      <c r="AV274" s="214">
        <v>46.28</v>
      </c>
      <c r="AW274" s="222">
        <f>AV275/AV274</f>
        <v>2.6577355229040707E-2</v>
      </c>
      <c r="AX274" s="214">
        <v>48.05</v>
      </c>
      <c r="AY274" s="224">
        <f>AX275/AX274</f>
        <v>-6.5140478668054169E-2</v>
      </c>
      <c r="AZ274" s="225"/>
      <c r="BA274" s="214">
        <v>136.38</v>
      </c>
      <c r="BB274" s="222">
        <f>BA275/BA274</f>
        <v>0.58630297697609612</v>
      </c>
      <c r="BC274" s="214">
        <v>90.23</v>
      </c>
      <c r="BD274" s="222">
        <f>BC275/BC274</f>
        <v>0.33470021057298016</v>
      </c>
      <c r="BE274" s="214">
        <v>64.84</v>
      </c>
      <c r="BF274" s="222">
        <f>BE275/BE274</f>
        <v>0.18491671807526219</v>
      </c>
      <c r="BG274" s="214">
        <v>63.97</v>
      </c>
      <c r="BH274" s="222">
        <f>BG275/BG274</f>
        <v>1.1255275910583068E-2</v>
      </c>
      <c r="BI274" s="214">
        <v>64.2</v>
      </c>
      <c r="BJ274" s="222">
        <f>BI275/BI274</f>
        <v>0.176791277258567</v>
      </c>
      <c r="BK274" s="214">
        <v>79.37</v>
      </c>
      <c r="BL274" s="222">
        <f>BK275/BK274</f>
        <v>0.35554995590273408</v>
      </c>
      <c r="BM274" s="214">
        <v>64.2</v>
      </c>
      <c r="BN274" s="222">
        <f>BM275/BM274</f>
        <v>0.176791277258567</v>
      </c>
      <c r="BO274" s="214">
        <v>64.2</v>
      </c>
      <c r="BP274" s="222">
        <f>BO275/BO274</f>
        <v>0.176791277258567</v>
      </c>
      <c r="BQ274" s="214">
        <v>64.2</v>
      </c>
      <c r="BR274" s="222">
        <f>BQ275/BQ274</f>
        <v>0.20358255451713395</v>
      </c>
      <c r="BS274" s="214">
        <v>71.58</v>
      </c>
      <c r="BT274" s="222">
        <f>BS275/BS274</f>
        <v>0.22883487007544001</v>
      </c>
      <c r="BU274" s="214">
        <v>64.2</v>
      </c>
      <c r="BV274" s="222">
        <f>BU275/BU274</f>
        <v>0.16822429906542061</v>
      </c>
      <c r="BW274" s="214">
        <v>64.2</v>
      </c>
      <c r="BX274" s="222">
        <f>BW275/BW274</f>
        <v>0.14018691588785046</v>
      </c>
      <c r="BY274" s="214">
        <v>64.2</v>
      </c>
      <c r="BZ274" s="222">
        <f>BY275/BY274</f>
        <v>0.12414330218068545</v>
      </c>
      <c r="CA274" s="214">
        <v>101.34</v>
      </c>
      <c r="CB274" s="222">
        <f>CA275/CA274</f>
        <v>0.29475034537201505</v>
      </c>
      <c r="CC274" s="214">
        <v>103.57</v>
      </c>
      <c r="CD274" s="222">
        <f>CC275/CC274</f>
        <v>0.32586656367674038</v>
      </c>
      <c r="CE274" s="214">
        <v>64.2</v>
      </c>
      <c r="CF274" s="222">
        <f>CE275/CE274</f>
        <v>0.26261682242990653</v>
      </c>
      <c r="CG274" s="214">
        <v>64.2</v>
      </c>
      <c r="CH274" s="222">
        <f>CG275/CG274</f>
        <v>0.12414330218068545</v>
      </c>
    </row>
    <row r="275" spans="1:87">
      <c r="C275" s="241" t="s">
        <v>9</v>
      </c>
      <c r="D275" s="214">
        <f>D273+D274</f>
        <v>31.35</v>
      </c>
      <c r="E275" s="222">
        <f>ABS(((D272+D273)/D272))</f>
        <v>0.99928840118414319</v>
      </c>
      <c r="F275" s="252">
        <f>SUM(F273:F274)</f>
        <v>39.609999999999985</v>
      </c>
      <c r="H275" s="252">
        <f>SUM(H273:H274)</f>
        <v>56.169999999999995</v>
      </c>
      <c r="J275" s="252">
        <f>SUM(J273:J274)</f>
        <v>56.379999999999995</v>
      </c>
      <c r="L275" s="252">
        <f>SUM(L273:L274)</f>
        <v>49.66</v>
      </c>
      <c r="N275" s="252">
        <f>SUM(N273:N274)</f>
        <v>37.39</v>
      </c>
      <c r="P275" s="252">
        <f>SUM(P273:P274)</f>
        <v>39.290000000000006</v>
      </c>
      <c r="R275" s="214">
        <f>R273+R274</f>
        <v>43.86</v>
      </c>
      <c r="S275" s="214"/>
      <c r="T275" s="214">
        <f>T273+T274</f>
        <v>17.059999999999995</v>
      </c>
      <c r="V275" s="214">
        <f>V273+V274</f>
        <v>-38.93</v>
      </c>
      <c r="X275" s="214">
        <f>X273+X274</f>
        <v>4.7299999999999969</v>
      </c>
      <c r="Z275" s="214">
        <f>Z273+Z274</f>
        <v>-1.8200000000000003</v>
      </c>
      <c r="AB275" s="242">
        <f>AB273+AB274</f>
        <v>28.040000000000006</v>
      </c>
      <c r="AD275" s="242">
        <f>AD273+AD274</f>
        <v>51.390000000000008</v>
      </c>
      <c r="AF275" s="242">
        <f>AF273+AF274</f>
        <v>7.57</v>
      </c>
      <c r="AH275" s="243">
        <f>AH273+AH274</f>
        <v>-1.3699999999999974</v>
      </c>
      <c r="AJ275" s="243">
        <f>AJ273+AJ274</f>
        <v>-26.79</v>
      </c>
      <c r="AL275" s="243">
        <f>AL273+AL274</f>
        <v>-31.89</v>
      </c>
      <c r="AN275" s="243">
        <f>AN273+AN274</f>
        <v>-38.69</v>
      </c>
      <c r="AP275" s="214">
        <f>AP273+AP274</f>
        <v>-35.54</v>
      </c>
      <c r="AR275" s="214">
        <f>AR273+AR274</f>
        <v>10.609999999999992</v>
      </c>
      <c r="AT275" s="214">
        <f>AT273+AT274</f>
        <v>36.400000000000006</v>
      </c>
      <c r="AV275" s="214">
        <f>AV273+AV274</f>
        <v>1.230000000000004</v>
      </c>
      <c r="AX275" s="214">
        <f>AX273+AX274</f>
        <v>-3.1300000000000026</v>
      </c>
      <c r="BA275" s="214">
        <f>BA273+BA274</f>
        <v>79.959999999999994</v>
      </c>
      <c r="BC275" s="214">
        <f>BC273+BC274</f>
        <v>30.200000000000003</v>
      </c>
      <c r="BE275" s="214">
        <f>BE273+BE274</f>
        <v>11.990000000000002</v>
      </c>
      <c r="BG275" s="214">
        <f>BG273+BG274</f>
        <v>0.71999999999999886</v>
      </c>
      <c r="BI275" s="214">
        <f>BI273+BI274</f>
        <v>11.350000000000001</v>
      </c>
      <c r="BK275" s="214">
        <f>BK273+BK274</f>
        <v>28.220000000000006</v>
      </c>
      <c r="BM275" s="214">
        <f>BM273+BM274</f>
        <v>11.350000000000001</v>
      </c>
      <c r="BO275" s="214">
        <f>BO273+BO274</f>
        <v>11.350000000000001</v>
      </c>
      <c r="BQ275" s="214">
        <f>BQ273+BQ274</f>
        <v>13.07</v>
      </c>
      <c r="BS275" s="214">
        <f>BS273+BS274</f>
        <v>16.379999999999995</v>
      </c>
      <c r="BU275" s="214">
        <f>BU273+BU274</f>
        <v>10.800000000000004</v>
      </c>
      <c r="BW275" s="214">
        <f>BW273+BW274</f>
        <v>9</v>
      </c>
      <c r="BY275" s="214">
        <f>BY273+BY274</f>
        <v>7.970000000000006</v>
      </c>
      <c r="CA275" s="214">
        <f>CA273+CA274</f>
        <v>29.870000000000005</v>
      </c>
      <c r="CC275" s="214">
        <f>CC273+CC274</f>
        <v>33.75</v>
      </c>
      <c r="CE275" s="214">
        <f>CE273+CE274</f>
        <v>16.86</v>
      </c>
      <c r="CG275" s="214">
        <f>CG273+CG274</f>
        <v>7.970000000000006</v>
      </c>
    </row>
    <row r="276" spans="1:87">
      <c r="A276" s="231">
        <v>85</v>
      </c>
      <c r="B276" s="232">
        <v>129057654</v>
      </c>
      <c r="C276" s="213" t="s">
        <v>112</v>
      </c>
      <c r="E276" s="252"/>
      <c r="AP276" s="214"/>
      <c r="AT276" s="214"/>
    </row>
    <row r="277" spans="1:87">
      <c r="C277" s="253" t="s">
        <v>113</v>
      </c>
      <c r="D277" s="235">
        <v>44927</v>
      </c>
      <c r="F277" s="235">
        <v>44958</v>
      </c>
      <c r="G277" s="235"/>
      <c r="H277" s="235">
        <v>44986</v>
      </c>
      <c r="I277" s="235"/>
      <c r="J277" s="235">
        <v>45017</v>
      </c>
      <c r="K277" s="235"/>
      <c r="L277" s="246">
        <v>45047</v>
      </c>
      <c r="M277" s="235"/>
      <c r="N277" s="235">
        <v>45078</v>
      </c>
      <c r="O277" s="235"/>
      <c r="P277" s="235">
        <v>45108</v>
      </c>
      <c r="Q277" s="235"/>
      <c r="R277" s="235">
        <v>45139</v>
      </c>
      <c r="S277" s="235"/>
      <c r="T277" s="235">
        <v>45170</v>
      </c>
      <c r="U277" s="235"/>
      <c r="V277" s="235">
        <v>45200</v>
      </c>
      <c r="W277" s="235"/>
      <c r="X277" s="235">
        <v>45231</v>
      </c>
      <c r="Y277" s="235"/>
      <c r="Z277" s="235">
        <v>45261</v>
      </c>
      <c r="AA277" s="235"/>
      <c r="AB277" s="235">
        <v>45292</v>
      </c>
      <c r="AC277" s="235"/>
      <c r="AD277" s="235">
        <v>45323</v>
      </c>
      <c r="AE277" s="235"/>
      <c r="AF277" s="235">
        <v>45352</v>
      </c>
      <c r="AH277" s="235">
        <v>45383</v>
      </c>
      <c r="AJ277" s="235">
        <v>45413</v>
      </c>
      <c r="AL277" s="235">
        <v>45444</v>
      </c>
      <c r="AN277" s="235">
        <v>45474</v>
      </c>
      <c r="AP277" s="235">
        <v>45505</v>
      </c>
      <c r="AR277" s="236">
        <v>45536</v>
      </c>
      <c r="AT277" s="236">
        <v>45566</v>
      </c>
      <c r="AV277" s="235">
        <v>45597</v>
      </c>
      <c r="AX277" s="235">
        <v>45627</v>
      </c>
      <c r="BA277" s="235">
        <v>45658</v>
      </c>
      <c r="BC277" s="235">
        <v>45689</v>
      </c>
      <c r="BE277" s="235">
        <v>45717</v>
      </c>
      <c r="BG277" s="235">
        <v>45748</v>
      </c>
      <c r="BI277" s="235">
        <v>45778</v>
      </c>
      <c r="BK277" s="235">
        <v>45809</v>
      </c>
      <c r="BM277" s="235">
        <v>45839</v>
      </c>
      <c r="BO277" s="235">
        <v>45870</v>
      </c>
      <c r="BQ277" s="235">
        <v>45901</v>
      </c>
      <c r="BS277" s="235">
        <v>45931</v>
      </c>
      <c r="BU277" s="235">
        <v>45962</v>
      </c>
      <c r="BW277" s="235">
        <v>45992</v>
      </c>
      <c r="BY277" s="235">
        <v>46023</v>
      </c>
      <c r="CA277" s="235">
        <v>46054</v>
      </c>
      <c r="CC277" s="235">
        <v>46082</v>
      </c>
      <c r="CE277" s="235">
        <v>46113</v>
      </c>
      <c r="CG277" s="235">
        <v>46143</v>
      </c>
      <c r="CI277" s="341">
        <v>46174</v>
      </c>
    </row>
    <row r="278" spans="1:87">
      <c r="C278" s="213" t="s">
        <v>7</v>
      </c>
      <c r="D278" s="214">
        <v>-21.2</v>
      </c>
      <c r="E278" s="235"/>
      <c r="F278" s="214">
        <v>-40.200000000000003</v>
      </c>
      <c r="H278" s="214">
        <v>-4.6100000000000003</v>
      </c>
      <c r="J278" s="214">
        <f>-23.6</f>
        <v>-23.6</v>
      </c>
      <c r="L278" s="237">
        <v>-5.05</v>
      </c>
      <c r="N278" s="237">
        <v>-8.17</v>
      </c>
      <c r="P278" s="237">
        <v>-33.08</v>
      </c>
      <c r="R278" s="237">
        <v>-47.24</v>
      </c>
      <c r="T278" s="237">
        <v>-24.4</v>
      </c>
      <c r="V278" s="237">
        <v>-25.16</v>
      </c>
      <c r="X278" s="237">
        <v>-24.4</v>
      </c>
      <c r="Z278" s="238">
        <v>-36</v>
      </c>
      <c r="AB278" s="238">
        <v>-38.590000000000003</v>
      </c>
      <c r="AD278" s="237">
        <v>-23.79</v>
      </c>
      <c r="AF278" s="237">
        <v>-28.31</v>
      </c>
      <c r="AH278" s="237">
        <f>-6.99-0</f>
        <v>-6.99</v>
      </c>
      <c r="AJ278" s="237">
        <v>-39.659999999999997</v>
      </c>
      <c r="AL278" s="237">
        <v>-38.950000000000003</v>
      </c>
      <c r="AN278" s="237">
        <v>-36.89</v>
      </c>
      <c r="AP278" s="237">
        <v>-44.14</v>
      </c>
      <c r="AR278" s="237">
        <f>-25.54-9.53</f>
        <v>-35.07</v>
      </c>
      <c r="AT278" s="237">
        <v>-29.5</v>
      </c>
      <c r="AV278" s="237">
        <v>-34.79</v>
      </c>
      <c r="AX278" s="237">
        <v>-41.62</v>
      </c>
      <c r="BA278" s="237">
        <v>-43.23</v>
      </c>
      <c r="BC278" s="237">
        <v>-37.75</v>
      </c>
      <c r="BE278" s="237">
        <v>-48.62</v>
      </c>
      <c r="BG278" s="237">
        <v>-41.22</v>
      </c>
      <c r="BI278" s="237">
        <v>-33.6</v>
      </c>
      <c r="BK278" s="237">
        <v>-32.51</v>
      </c>
      <c r="BM278" s="237">
        <v>-42.43</v>
      </c>
      <c r="BO278" s="237">
        <v>-54.99</v>
      </c>
      <c r="BQ278" s="237">
        <v>-57.85</v>
      </c>
      <c r="BS278" s="237">
        <v>-38.67</v>
      </c>
      <c r="BU278" s="237">
        <v>-38.67</v>
      </c>
      <c r="BW278" s="237">
        <v>-55.32</v>
      </c>
      <c r="BY278" s="237">
        <v>-61.76</v>
      </c>
      <c r="CA278" s="237">
        <v>-33.89</v>
      </c>
      <c r="CC278" s="237">
        <v>-37.020000000000003</v>
      </c>
      <c r="CE278" s="237">
        <v>-30.15</v>
      </c>
      <c r="CG278" s="237">
        <v>-35.799999999999997</v>
      </c>
    </row>
    <row r="279" spans="1:87">
      <c r="C279" s="213" t="s">
        <v>8</v>
      </c>
      <c r="D279" s="214">
        <v>37.85</v>
      </c>
      <c r="F279" s="214">
        <v>92.44</v>
      </c>
      <c r="G279" s="222">
        <f>ABS(((F278+F279)/F278))</f>
        <v>1.2995024875621888</v>
      </c>
      <c r="H279" s="214">
        <v>62.94</v>
      </c>
      <c r="I279" s="222">
        <f>ABS(((H278+H279)/H278))</f>
        <v>12.652928416485899</v>
      </c>
      <c r="J279" s="214">
        <v>92.15</v>
      </c>
      <c r="K279" s="222">
        <f>ABS(((J278+J279)/J278))</f>
        <v>2.9046610169491527</v>
      </c>
      <c r="L279" s="214">
        <v>24.44</v>
      </c>
      <c r="M279" s="222">
        <f>ABS(((L278+L279)/L278))</f>
        <v>3.8396039603960399</v>
      </c>
      <c r="N279" s="214">
        <v>25.06</v>
      </c>
      <c r="O279" s="222">
        <f>ABS(((N278+N279)/N278))</f>
        <v>2.0673194614443084</v>
      </c>
      <c r="P279" s="214">
        <v>43.72</v>
      </c>
      <c r="Q279" s="222">
        <f>ABS(((P278+P279)/P278))</f>
        <v>0.32164449818621527</v>
      </c>
      <c r="R279" s="214">
        <v>68.19</v>
      </c>
      <c r="S279" s="222">
        <f>ABS(((R278+R279)/R278))</f>
        <v>0.44348010160880597</v>
      </c>
      <c r="T279" s="214">
        <v>54.05</v>
      </c>
      <c r="U279" s="222">
        <f>ABS(((T278+T279)/T278))</f>
        <v>1.2151639344262295</v>
      </c>
      <c r="V279" s="214">
        <v>33.840000000000003</v>
      </c>
      <c r="X279" s="214">
        <v>55.4</v>
      </c>
      <c r="Y279" s="240" t="s">
        <v>114</v>
      </c>
      <c r="Z279" s="213">
        <v>73.5</v>
      </c>
      <c r="AA279" s="240" t="s">
        <v>114</v>
      </c>
      <c r="AB279" s="213">
        <v>67.63</v>
      </c>
      <c r="AC279" s="240" t="s">
        <v>114</v>
      </c>
      <c r="AD279" s="213">
        <v>58.67</v>
      </c>
      <c r="AE279" s="240"/>
      <c r="AF279" s="213">
        <v>51.63</v>
      </c>
      <c r="AG279" s="222">
        <f>ABS(((AF278+AF279)/AF278))</f>
        <v>0.8237371953373368</v>
      </c>
      <c r="AH279" s="214">
        <v>42.66</v>
      </c>
      <c r="AI279" s="222">
        <f>ABS(((AH278+AH279)/AH278))</f>
        <v>5.103004291845493</v>
      </c>
      <c r="AJ279" s="214">
        <v>49.92</v>
      </c>
      <c r="AK279" s="222">
        <f>ABS(((AJ278+AJ279)/AJ278))</f>
        <v>0.25869894099848728</v>
      </c>
      <c r="AL279" s="214">
        <v>0.71</v>
      </c>
      <c r="AM279" s="222"/>
      <c r="AN279" s="214">
        <v>29.7</v>
      </c>
      <c r="AO279" s="222"/>
      <c r="AP279" s="214">
        <v>58.34</v>
      </c>
      <c r="AQ279" s="222">
        <f>ABS(((AP278+AP279)/AP278))</f>
        <v>0.32170367014046225</v>
      </c>
      <c r="AR279" s="214">
        <v>22.01</v>
      </c>
      <c r="AS279" s="222">
        <f>ABS(((AR278+AR279)/AR278))</f>
        <v>0.37239806102081546</v>
      </c>
      <c r="AT279" s="214">
        <v>40.1</v>
      </c>
      <c r="AU279" s="222">
        <f>AT280/AT279</f>
        <v>0.26433915211970077</v>
      </c>
      <c r="AV279" s="214">
        <v>47.92</v>
      </c>
      <c r="AW279" s="222">
        <f>AV280/AV279</f>
        <v>0.27399833055091827</v>
      </c>
      <c r="AX279" s="214">
        <v>55.22</v>
      </c>
      <c r="AY279" s="224">
        <f>AX280/AX279</f>
        <v>0.24628757696486783</v>
      </c>
      <c r="AZ279" s="225"/>
      <c r="BA279" s="214">
        <v>36</v>
      </c>
      <c r="BB279" s="222">
        <f>BA280/BA279</f>
        <v>-0.20083333333333325</v>
      </c>
      <c r="BC279" s="214">
        <v>43.32</v>
      </c>
      <c r="BD279" s="222">
        <f>BC280/BC279</f>
        <v>0.12857802400738688</v>
      </c>
      <c r="BE279" s="214">
        <v>47</v>
      </c>
      <c r="BF279" s="222">
        <f>BE280/BE279</f>
        <v>-3.4468085106382926E-2</v>
      </c>
      <c r="BG279" s="214">
        <v>46.83</v>
      </c>
      <c r="BH279" s="222">
        <f>BG280/BG279</f>
        <v>0.11979500320307494</v>
      </c>
      <c r="BI279" s="214">
        <v>40.9</v>
      </c>
      <c r="BJ279" s="222">
        <f>BI280/BI279</f>
        <v>0.17848410757946204</v>
      </c>
      <c r="BK279" s="214">
        <v>69.86</v>
      </c>
      <c r="BL279" s="222">
        <f>BK280/BK279</f>
        <v>0.53464070999141144</v>
      </c>
      <c r="BM279" s="214">
        <v>40.9</v>
      </c>
      <c r="BN279" s="222">
        <f>BM280/BM279</f>
        <v>-3.740831295843524E-2</v>
      </c>
      <c r="BO279" s="214">
        <v>63.91</v>
      </c>
      <c r="BP279" s="222">
        <f>BO280/BO279</f>
        <v>0.1395712721013925</v>
      </c>
      <c r="BQ279" s="214">
        <v>68.16</v>
      </c>
      <c r="BR279" s="222">
        <f>BQ280/BQ279</f>
        <v>0.15126173708920182</v>
      </c>
      <c r="BS279" s="214">
        <v>40.9</v>
      </c>
      <c r="BT279" s="222">
        <f>BS280/BS279</f>
        <v>5.4523227383863004E-2</v>
      </c>
      <c r="BU279" s="214">
        <v>52.86</v>
      </c>
      <c r="BV279" s="222">
        <f>BU280/BU279</f>
        <v>0.26844494892167986</v>
      </c>
      <c r="BW279" s="214">
        <v>61.8</v>
      </c>
      <c r="BX279" s="222">
        <f>BW280/BW279</f>
        <v>0.10485436893203878</v>
      </c>
      <c r="BY279" s="214">
        <v>67.5</v>
      </c>
      <c r="BZ279" s="222">
        <f>BY280/BY279</f>
        <v>8.5037037037037064E-2</v>
      </c>
      <c r="CA279" s="214">
        <v>40.880000000000003</v>
      </c>
      <c r="CB279" s="222">
        <f>CA280/CA279</f>
        <v>0.17098825831702547</v>
      </c>
      <c r="CC279" s="214">
        <v>40.9</v>
      </c>
      <c r="CD279" s="222">
        <f>CC280/CC279</f>
        <v>9.4865525672371526E-2</v>
      </c>
      <c r="CE279" s="214">
        <v>40.9</v>
      </c>
      <c r="CF279" s="222">
        <f>CE280/CE279</f>
        <v>0.26283618581907092</v>
      </c>
      <c r="CG279" s="214">
        <v>40.9</v>
      </c>
      <c r="CH279" s="222">
        <f>CG280/CG279</f>
        <v>0.12469437652811739</v>
      </c>
    </row>
    <row r="280" spans="1:87">
      <c r="C280" s="241" t="s">
        <v>9</v>
      </c>
      <c r="D280" s="252">
        <f>SUM(D278:D279)</f>
        <v>16.650000000000002</v>
      </c>
      <c r="E280" s="222">
        <f>ABS(((D278+D279)/D278))</f>
        <v>0.78537735849056611</v>
      </c>
      <c r="F280" s="214">
        <f>SUM(F278:F279)</f>
        <v>52.239999999999995</v>
      </c>
      <c r="H280" s="214">
        <f>SUM(H278:H279)</f>
        <v>58.33</v>
      </c>
      <c r="J280" s="214">
        <f>SUM(J278:J279)</f>
        <v>68.550000000000011</v>
      </c>
      <c r="L280" s="214">
        <f>SUM(L278:L279)</f>
        <v>19.39</v>
      </c>
      <c r="N280" s="214">
        <f>SUM(N278:N279)</f>
        <v>16.89</v>
      </c>
      <c r="P280" s="214">
        <f>SUM(P278:P279)</f>
        <v>10.64</v>
      </c>
      <c r="R280" s="214">
        <f>R278+R279</f>
        <v>20.949999999999996</v>
      </c>
      <c r="S280" s="214"/>
      <c r="T280" s="214">
        <f>T278+T279</f>
        <v>29.65</v>
      </c>
      <c r="V280" s="214">
        <f>V278+V279</f>
        <v>8.6800000000000033</v>
      </c>
      <c r="X280" s="214">
        <f>X278+X279</f>
        <v>31</v>
      </c>
      <c r="Z280" s="214">
        <f>Z278+Z279</f>
        <v>37.5</v>
      </c>
      <c r="AB280" s="242">
        <f>AB278+AB279</f>
        <v>29.039999999999992</v>
      </c>
      <c r="AD280" s="242">
        <f>AD278+AD279</f>
        <v>34.880000000000003</v>
      </c>
      <c r="AF280" s="242">
        <f>AF278+AF279</f>
        <v>23.320000000000004</v>
      </c>
      <c r="AH280" s="243">
        <f>AH278+AH279</f>
        <v>35.669999999999995</v>
      </c>
      <c r="AJ280" s="243">
        <f>AJ278+AJ279</f>
        <v>10.260000000000005</v>
      </c>
      <c r="AL280" s="243">
        <f>AL278+AL279</f>
        <v>-38.24</v>
      </c>
      <c r="AN280" s="243">
        <f>AN278+AN279</f>
        <v>-7.1900000000000013</v>
      </c>
      <c r="AP280" s="214">
        <f>AP278+AP279</f>
        <v>14.200000000000003</v>
      </c>
      <c r="AR280" s="214">
        <f>AR278+AR279</f>
        <v>-13.059999999999999</v>
      </c>
      <c r="AT280" s="214">
        <f>AT278+AT279</f>
        <v>10.600000000000001</v>
      </c>
      <c r="AV280" s="214">
        <f>AV278+AV279</f>
        <v>13.130000000000003</v>
      </c>
      <c r="AX280" s="214">
        <f>AX278+AX279</f>
        <v>13.600000000000001</v>
      </c>
      <c r="BA280" s="214">
        <f>BA278+BA279</f>
        <v>-7.2299999999999969</v>
      </c>
      <c r="BC280" s="214">
        <f>BC278+BC279</f>
        <v>5.57</v>
      </c>
      <c r="BE280" s="214">
        <f>BE278+BE279</f>
        <v>-1.6199999999999974</v>
      </c>
      <c r="BG280" s="214">
        <f>BG278+BG279</f>
        <v>5.6099999999999994</v>
      </c>
      <c r="BI280" s="214">
        <f>BI278+BI279</f>
        <v>7.2999999999999972</v>
      </c>
      <c r="BK280" s="214">
        <f>BK278+BK279</f>
        <v>37.35</v>
      </c>
      <c r="BM280" s="214">
        <f>BM278+BM279</f>
        <v>-1.5300000000000011</v>
      </c>
      <c r="BO280" s="214">
        <f>BO278+BO279</f>
        <v>8.9199999999999946</v>
      </c>
      <c r="BQ280" s="214">
        <f>BQ278+BQ279</f>
        <v>10.309999999999995</v>
      </c>
      <c r="BS280" s="214">
        <f>BS278+BS279</f>
        <v>2.2299999999999969</v>
      </c>
      <c r="BU280" s="214">
        <f>BU278+BU279</f>
        <v>14.189999999999998</v>
      </c>
      <c r="BW280" s="214">
        <f>BW278+BW279</f>
        <v>6.4799999999999969</v>
      </c>
      <c r="BY280" s="214">
        <f>BY278+BY279</f>
        <v>5.740000000000002</v>
      </c>
      <c r="CA280" s="214">
        <f>CA278+CA279</f>
        <v>6.990000000000002</v>
      </c>
      <c r="CC280" s="214">
        <f>CC278+CC279</f>
        <v>3.8799999999999955</v>
      </c>
      <c r="CE280" s="214">
        <f>CE278+CE279</f>
        <v>10.75</v>
      </c>
      <c r="CG280" s="214">
        <f>CG278+CG279</f>
        <v>5.1000000000000014</v>
      </c>
    </row>
    <row r="281" spans="1:87">
      <c r="A281" s="231">
        <v>86</v>
      </c>
      <c r="B281" s="232" t="s">
        <v>30</v>
      </c>
      <c r="C281" s="213" t="s">
        <v>115</v>
      </c>
      <c r="AP281" s="214"/>
      <c r="AT281" s="214"/>
    </row>
    <row r="282" spans="1:87">
      <c r="C282" s="253" t="s">
        <v>251</v>
      </c>
      <c r="D282" s="235">
        <v>44927</v>
      </c>
      <c r="F282" s="235">
        <v>44958</v>
      </c>
      <c r="G282" s="235"/>
      <c r="H282" s="235">
        <v>44986</v>
      </c>
      <c r="I282" s="235"/>
      <c r="J282" s="235">
        <v>45017</v>
      </c>
      <c r="K282" s="235"/>
      <c r="L282" s="246">
        <v>45047</v>
      </c>
      <c r="M282" s="235"/>
      <c r="N282" s="235">
        <v>45078</v>
      </c>
      <c r="O282" s="235"/>
      <c r="P282" s="235">
        <v>45108</v>
      </c>
      <c r="Q282" s="235"/>
      <c r="R282" s="235">
        <v>45139</v>
      </c>
      <c r="S282" s="235"/>
      <c r="T282" s="235">
        <v>45170</v>
      </c>
      <c r="U282" s="235"/>
      <c r="V282" s="235">
        <v>45200</v>
      </c>
      <c r="W282" s="235"/>
      <c r="X282" s="235">
        <v>45231</v>
      </c>
      <c r="Y282" s="235"/>
      <c r="Z282" s="235">
        <v>45261</v>
      </c>
      <c r="AA282" s="235"/>
      <c r="AB282" s="235">
        <v>45292</v>
      </c>
      <c r="AC282" s="235"/>
      <c r="AD282" s="235">
        <v>45323</v>
      </c>
      <c r="AE282" s="235"/>
      <c r="AF282" s="235">
        <v>45352</v>
      </c>
      <c r="AH282" s="235">
        <v>45383</v>
      </c>
      <c r="AJ282" s="235">
        <v>45413</v>
      </c>
      <c r="AL282" s="235">
        <v>45444</v>
      </c>
      <c r="AN282" s="235">
        <v>45474</v>
      </c>
      <c r="AP282" s="235">
        <v>45505</v>
      </c>
      <c r="AR282" s="236">
        <v>45536</v>
      </c>
      <c r="AT282" s="236">
        <v>45566</v>
      </c>
      <c r="AV282" s="235">
        <v>45597</v>
      </c>
      <c r="AX282" s="235">
        <v>45627</v>
      </c>
      <c r="BA282" s="235">
        <v>45658</v>
      </c>
      <c r="BC282" s="235">
        <v>45689</v>
      </c>
      <c r="BE282" s="235">
        <v>45717</v>
      </c>
      <c r="BG282" s="235">
        <v>45748</v>
      </c>
      <c r="BI282" s="235">
        <v>45778</v>
      </c>
      <c r="BK282" s="235">
        <v>45809</v>
      </c>
      <c r="BM282" s="235">
        <v>45839</v>
      </c>
      <c r="BO282" s="235">
        <v>45870</v>
      </c>
      <c r="BQ282" s="235">
        <v>45901</v>
      </c>
      <c r="BS282" s="235">
        <v>45931</v>
      </c>
      <c r="BU282" s="235">
        <v>45962</v>
      </c>
      <c r="BW282" s="235">
        <v>45992</v>
      </c>
      <c r="BY282" s="235">
        <v>46023</v>
      </c>
      <c r="CA282" s="235">
        <v>46054</v>
      </c>
      <c r="CC282" s="235">
        <v>46082</v>
      </c>
      <c r="CE282" s="235">
        <v>46113</v>
      </c>
      <c r="CG282" s="235">
        <v>46143</v>
      </c>
      <c r="CI282" s="341">
        <v>46174</v>
      </c>
    </row>
    <row r="283" spans="1:87">
      <c r="C283" s="213" t="s">
        <v>7</v>
      </c>
      <c r="E283" s="235"/>
      <c r="F283" s="214">
        <v>-68.44</v>
      </c>
      <c r="H283" s="237">
        <v>-89.91</v>
      </c>
      <c r="J283" s="237">
        <v>-40.9</v>
      </c>
      <c r="L283" s="237">
        <v>-100.2</v>
      </c>
      <c r="N283" s="237">
        <v>-132.34</v>
      </c>
      <c r="P283" s="237">
        <v>-235.39</v>
      </c>
      <c r="R283" s="237">
        <v>-185.8</v>
      </c>
      <c r="T283" s="237">
        <v>-93.69</v>
      </c>
      <c r="V283" s="237">
        <v>-85.39</v>
      </c>
      <c r="X283" s="237">
        <v>-96.57</v>
      </c>
      <c r="Z283" s="238">
        <v>-221.55</v>
      </c>
      <c r="AB283" s="238">
        <v>-106.14</v>
      </c>
      <c r="AD283" s="237">
        <v>-229.71</v>
      </c>
      <c r="AF283" s="237">
        <v>-65.8</v>
      </c>
      <c r="AH283" s="237">
        <f>-42.11-0</f>
        <v>-42.11</v>
      </c>
      <c r="AJ283" s="237">
        <v>-82.75</v>
      </c>
      <c r="AL283" s="237">
        <v>-91</v>
      </c>
      <c r="AN283" s="237">
        <v>-112.5</v>
      </c>
      <c r="AP283" s="237">
        <v>-163.25</v>
      </c>
      <c r="AR283" s="237">
        <f>-20.82-22.3</f>
        <v>-43.120000000000005</v>
      </c>
      <c r="AT283" s="237">
        <v>-223.53</v>
      </c>
      <c r="AV283" s="237">
        <v>-229.81</v>
      </c>
      <c r="AX283" s="237">
        <v>-313.27999999999997</v>
      </c>
      <c r="BA283" s="238">
        <v>-137.35</v>
      </c>
      <c r="BC283" s="237">
        <v>-100.97</v>
      </c>
      <c r="BE283" s="237">
        <v>-99.4</v>
      </c>
      <c r="BG283" s="237">
        <v>-191.34</v>
      </c>
      <c r="BI283" s="237">
        <v>-132.91</v>
      </c>
      <c r="BK283" s="237">
        <v>-168.11</v>
      </c>
      <c r="BM283" s="237">
        <v>-154.88999999999999</v>
      </c>
      <c r="BO283" s="237">
        <v>-107.25</v>
      </c>
      <c r="BQ283" s="237">
        <v>-146.49</v>
      </c>
      <c r="BS283" s="237">
        <v>-133.1</v>
      </c>
      <c r="BU283" s="237">
        <v>-54.99</v>
      </c>
      <c r="BW283" s="237">
        <v>-305.08</v>
      </c>
      <c r="BY283" s="237">
        <v>-153.77000000000001</v>
      </c>
      <c r="CA283" s="237">
        <v>-50.81</v>
      </c>
      <c r="CC283" s="237">
        <v>-28.41</v>
      </c>
      <c r="CE283" s="214"/>
      <c r="CG283" s="214"/>
    </row>
    <row r="284" spans="1:87">
      <c r="C284" s="213" t="s">
        <v>8</v>
      </c>
      <c r="F284" s="214">
        <v>124.01</v>
      </c>
      <c r="G284" s="222">
        <f>ABS(((F283+F284)/F283))</f>
        <v>0.81195207481005272</v>
      </c>
      <c r="H284" s="214">
        <v>228.4</v>
      </c>
      <c r="I284" s="222">
        <f>ABS(((H283+H284)/H283))</f>
        <v>1.5403180958736515</v>
      </c>
      <c r="J284" s="214">
        <v>157.28</v>
      </c>
      <c r="K284" s="222">
        <f>ABS(((J283+J284)/J283))</f>
        <v>2.845476772616137</v>
      </c>
      <c r="L284" s="214">
        <v>229.52</v>
      </c>
      <c r="M284" s="222">
        <f>ABS(((L283+L284)/L283))</f>
        <v>1.2906187624750498</v>
      </c>
      <c r="N284" s="214">
        <v>200.3</v>
      </c>
      <c r="O284" s="222">
        <f>ABS(((N283+N284)/N283))</f>
        <v>0.51352576696388097</v>
      </c>
      <c r="P284" s="214">
        <v>288.25</v>
      </c>
      <c r="Q284" s="222">
        <f>ABS(((P283+P284)/P283))</f>
        <v>0.22456349037767118</v>
      </c>
      <c r="R284" s="214">
        <v>247.71</v>
      </c>
      <c r="S284" s="222">
        <f>ABS(((R283+R284)/R283))</f>
        <v>0.33320775026910654</v>
      </c>
      <c r="T284" s="214">
        <v>184.1</v>
      </c>
      <c r="U284" s="222">
        <f>ABS(((T283+T284)/T283))</f>
        <v>0.96499092752695059</v>
      </c>
      <c r="V284" s="214">
        <v>154.30000000000001</v>
      </c>
      <c r="W284" s="222">
        <f>ABS(((V283+V284)/V283))</f>
        <v>0.80700316196275923</v>
      </c>
      <c r="X284" s="214">
        <v>168.67</v>
      </c>
      <c r="Y284" s="222">
        <f>ABS(((X283+X284)/X283))</f>
        <v>0.74660867764316041</v>
      </c>
      <c r="Z284" s="213">
        <v>308.66000000000003</v>
      </c>
      <c r="AA284" s="222">
        <f>ABS(((Z283+Z284)/Z283))</f>
        <v>0.39318438275784251</v>
      </c>
      <c r="AB284" s="213">
        <v>171.53</v>
      </c>
      <c r="AC284" s="222">
        <f>ABS(((AB283+AB284)/AB283))</f>
        <v>0.61607311098549089</v>
      </c>
      <c r="AD284" s="213">
        <v>337.58</v>
      </c>
      <c r="AE284" s="222"/>
      <c r="AF284" s="213">
        <v>140.41</v>
      </c>
      <c r="AG284" s="222">
        <f>ABS(((AF283+AF284)/AF283))</f>
        <v>1.1338905775075989</v>
      </c>
      <c r="AH284" s="214">
        <v>257.8</v>
      </c>
      <c r="AI284" s="222">
        <f>ABS(((AH283+AH284)/AH283))</f>
        <v>5.1220612681073376</v>
      </c>
      <c r="AJ284" s="214">
        <v>150.22999999999999</v>
      </c>
      <c r="AK284" s="222">
        <f>ABS(((AJ283+AJ284)/AJ283))</f>
        <v>0.81546827794561916</v>
      </c>
      <c r="AL284" s="214">
        <v>156.86000000000001</v>
      </c>
      <c r="AM284" s="222">
        <f>ABS(((AL283+AL284)/AL283))</f>
        <v>0.72373626373626387</v>
      </c>
      <c r="AN284" s="214">
        <v>189.7</v>
      </c>
      <c r="AO284" s="222">
        <f>ABS(((AN283+AN284)/AN283))</f>
        <v>0.68622222222222207</v>
      </c>
      <c r="AP284" s="214">
        <v>269.51</v>
      </c>
      <c r="AQ284" s="222">
        <f>ABS(((AP283+AP284)/AP283))</f>
        <v>0.65090352220520664</v>
      </c>
      <c r="AR284" s="214">
        <v>238.41</v>
      </c>
      <c r="AS284" s="222">
        <f>ABS(((AR283+AR284)/AR283))</f>
        <v>4.528988868274582</v>
      </c>
      <c r="AT284" s="214">
        <v>371.32</v>
      </c>
      <c r="AU284" s="222">
        <f>AT285/AT284</f>
        <v>0.39801249596035765</v>
      </c>
      <c r="AV284" s="214">
        <v>366.08</v>
      </c>
      <c r="AW284" s="222">
        <f>AV285/AV284</f>
        <v>0.37224104020979015</v>
      </c>
      <c r="AX284" s="214">
        <v>484.65</v>
      </c>
      <c r="AY284" s="224">
        <f>AX285/AX284</f>
        <v>0.35359537810791297</v>
      </c>
      <c r="AZ284" s="225"/>
      <c r="BA284" s="214">
        <v>194.15</v>
      </c>
      <c r="BB284" s="222">
        <f>BA285/BA284</f>
        <v>0.29255730105588468</v>
      </c>
      <c r="BC284" s="214">
        <v>149.55000000000001</v>
      </c>
      <c r="BD284" s="222">
        <f>BC285/BC284</f>
        <v>0.32484119023737884</v>
      </c>
      <c r="BE284" s="214">
        <v>144.32</v>
      </c>
      <c r="BF284" s="222">
        <f>BE285/BE284</f>
        <v>0.31125277161862519</v>
      </c>
      <c r="BG284" s="214">
        <v>245.24</v>
      </c>
      <c r="BH284" s="222">
        <f>BG285/BG284</f>
        <v>0.21978470070135378</v>
      </c>
      <c r="BI284" s="214">
        <v>147.13999999999999</v>
      </c>
      <c r="BJ284" s="222">
        <f>BI285/BI284</f>
        <v>9.6710615740111402E-2</v>
      </c>
      <c r="BK284" s="214">
        <v>183.94</v>
      </c>
      <c r="BL284" s="222">
        <f>BK285/BK284</f>
        <v>8.6060671958247167E-2</v>
      </c>
      <c r="BM284" s="214">
        <v>173.1</v>
      </c>
      <c r="BN284" s="222">
        <f>BM285/BM284</f>
        <v>0.10519930675909883</v>
      </c>
      <c r="BO284" s="214">
        <v>117.49</v>
      </c>
      <c r="BP284" s="222">
        <f>BO285/BO284</f>
        <v>8.7156353732232489E-2</v>
      </c>
      <c r="BQ284" s="214">
        <v>153.43</v>
      </c>
      <c r="BR284" s="222">
        <f>BQ285/BQ284</f>
        <v>4.5232353516261467E-2</v>
      </c>
      <c r="BS284" s="214">
        <v>157</v>
      </c>
      <c r="BT284" s="222">
        <f>BS285/BS284</f>
        <v>0.15222929936305737</v>
      </c>
      <c r="BU284" s="214">
        <v>75.459999999999994</v>
      </c>
      <c r="BV284" s="222">
        <f>BU285/BU284</f>
        <v>0.27126954677975079</v>
      </c>
      <c r="BW284" s="214">
        <v>370.61</v>
      </c>
      <c r="BX284" s="222">
        <f>BW285/BW284</f>
        <v>0.17681659966002003</v>
      </c>
      <c r="BY284" s="214">
        <v>181.39</v>
      </c>
      <c r="BZ284" s="222">
        <f>BY285/BY284</f>
        <v>0.1522685925354208</v>
      </c>
      <c r="CA284" s="214">
        <v>65.67</v>
      </c>
      <c r="CB284" s="222">
        <f>CA285/CA284</f>
        <v>0.22628292980051773</v>
      </c>
      <c r="CC284" s="214">
        <v>65.69</v>
      </c>
      <c r="CD284" s="222">
        <f>CC285/CC284</f>
        <v>0.56751408129091185</v>
      </c>
      <c r="CE284" s="214"/>
      <c r="CF284" s="222" t="e">
        <f>CE285/CE284</f>
        <v>#DIV/0!</v>
      </c>
      <c r="CG284" s="214"/>
      <c r="CH284" s="222" t="e">
        <f>CG285/CG284</f>
        <v>#DIV/0!</v>
      </c>
    </row>
    <row r="285" spans="1:87">
      <c r="C285" s="241" t="s">
        <v>9</v>
      </c>
      <c r="F285" s="252">
        <f>SUM(F283:F284)</f>
        <v>55.570000000000007</v>
      </c>
      <c r="H285" s="252">
        <f>SUM(H283:H284)</f>
        <v>138.49</v>
      </c>
      <c r="I285" s="235"/>
      <c r="J285" s="252">
        <f>SUM(J283:J284)</f>
        <v>116.38</v>
      </c>
      <c r="L285" s="252">
        <f>SUM(L283:L284)</f>
        <v>129.32</v>
      </c>
      <c r="N285" s="252">
        <f>SUM(N283:N284)</f>
        <v>67.960000000000008</v>
      </c>
      <c r="P285" s="252">
        <f>SUM(P283:P284)</f>
        <v>52.860000000000014</v>
      </c>
      <c r="R285" s="214">
        <f>R283+R284</f>
        <v>61.91</v>
      </c>
      <c r="S285" s="214"/>
      <c r="T285" s="214">
        <f>T283+T284</f>
        <v>90.41</v>
      </c>
      <c r="V285" s="214">
        <f>V283+V284</f>
        <v>68.910000000000011</v>
      </c>
      <c r="X285" s="214">
        <f>X283+X284</f>
        <v>72.099999999999994</v>
      </c>
      <c r="Z285" s="214">
        <f>Z283+Z284</f>
        <v>87.110000000000014</v>
      </c>
      <c r="AB285" s="242">
        <f>AB283+AB284</f>
        <v>65.39</v>
      </c>
      <c r="AD285" s="242">
        <f>AD283+AD284</f>
        <v>107.86999999999998</v>
      </c>
      <c r="AF285" s="242">
        <f>AF283+AF284</f>
        <v>74.61</v>
      </c>
      <c r="AH285" s="243">
        <f>AH283+AH284</f>
        <v>215.69</v>
      </c>
      <c r="AJ285" s="243">
        <f>AJ283+AJ284</f>
        <v>67.47999999999999</v>
      </c>
      <c r="AL285" s="243">
        <f>AL283+AL284</f>
        <v>65.860000000000014</v>
      </c>
      <c r="AN285" s="243">
        <f>AN283+AN284</f>
        <v>77.199999999999989</v>
      </c>
      <c r="AP285" s="214">
        <f>AP283+AP284</f>
        <v>106.25999999999999</v>
      </c>
      <c r="AR285" s="214">
        <f>AR283+AR284</f>
        <v>195.29</v>
      </c>
      <c r="AT285" s="214">
        <f>AT283+AT284</f>
        <v>147.79</v>
      </c>
      <c r="AV285" s="214">
        <f>AV283+AV284</f>
        <v>136.26999999999998</v>
      </c>
      <c r="AX285" s="214">
        <f>AX283+AX284</f>
        <v>171.37</v>
      </c>
      <c r="BA285" s="214">
        <f>BA283+BA284</f>
        <v>56.800000000000011</v>
      </c>
      <c r="BC285" s="214">
        <f>BC283+BC284</f>
        <v>48.580000000000013</v>
      </c>
      <c r="BE285" s="214">
        <f>BE283+BE284</f>
        <v>44.919999999999987</v>
      </c>
      <c r="BG285" s="214">
        <f>BG283+BG284</f>
        <v>53.900000000000006</v>
      </c>
      <c r="BI285" s="214">
        <f>BI283+BI284</f>
        <v>14.22999999999999</v>
      </c>
      <c r="BK285" s="214">
        <f>BK283+BK284</f>
        <v>15.829999999999984</v>
      </c>
      <c r="BM285" s="214">
        <f>BM283+BM284</f>
        <v>18.210000000000008</v>
      </c>
      <c r="BO285" s="214">
        <f>BO283+BO284</f>
        <v>10.239999999999995</v>
      </c>
      <c r="BQ285" s="214">
        <f>BQ283+BQ284</f>
        <v>6.9399999999999977</v>
      </c>
      <c r="BS285" s="214">
        <f>BS283+BS284</f>
        <v>23.900000000000006</v>
      </c>
      <c r="BU285" s="214">
        <f>BU283+BU284</f>
        <v>20.469999999999992</v>
      </c>
      <c r="BW285" s="214">
        <f>BW283+BW284</f>
        <v>65.53000000000003</v>
      </c>
      <c r="BY285" s="214">
        <f>BY283+BY284</f>
        <v>27.619999999999976</v>
      </c>
      <c r="CA285" s="214">
        <f>CA283+CA284</f>
        <v>14.86</v>
      </c>
      <c r="CC285" s="214">
        <f>CC283+CC284</f>
        <v>37.28</v>
      </c>
      <c r="CE285" s="214">
        <f>CE283+CE284</f>
        <v>0</v>
      </c>
      <c r="CG285" s="214">
        <f>CG283+CG284</f>
        <v>0</v>
      </c>
    </row>
    <row r="286" spans="1:87">
      <c r="A286" s="231">
        <f>A281+1</f>
        <v>87</v>
      </c>
      <c r="B286" s="232">
        <v>266777387</v>
      </c>
      <c r="C286" s="213" t="s">
        <v>116</v>
      </c>
      <c r="AP286" s="214"/>
      <c r="AT286" s="214"/>
    </row>
    <row r="287" spans="1:87">
      <c r="C287" s="253" t="s">
        <v>252</v>
      </c>
      <c r="D287" s="235">
        <v>44927</v>
      </c>
      <c r="F287" s="235">
        <v>44958</v>
      </c>
      <c r="G287" s="235"/>
      <c r="H287" s="235">
        <v>44986</v>
      </c>
      <c r="I287" s="235"/>
      <c r="J287" s="235">
        <v>45017</v>
      </c>
      <c r="K287" s="235"/>
      <c r="L287" s="246">
        <v>45047</v>
      </c>
      <c r="M287" s="235"/>
      <c r="N287" s="235">
        <v>45078</v>
      </c>
      <c r="O287" s="235"/>
      <c r="P287" s="235">
        <v>45108</v>
      </c>
      <c r="Q287" s="235"/>
      <c r="R287" s="235">
        <v>45139</v>
      </c>
      <c r="S287" s="235"/>
      <c r="T287" s="235">
        <v>45170</v>
      </c>
      <c r="U287" s="235"/>
      <c r="V287" s="235">
        <v>45200</v>
      </c>
      <c r="W287" s="235"/>
      <c r="X287" s="235">
        <v>45231</v>
      </c>
      <c r="Y287" s="235"/>
      <c r="Z287" s="235">
        <v>45261</v>
      </c>
      <c r="AA287" s="235"/>
      <c r="AB287" s="235">
        <v>45292</v>
      </c>
      <c r="AC287" s="235"/>
      <c r="AD287" s="235">
        <v>45323</v>
      </c>
      <c r="AE287" s="235"/>
      <c r="AF287" s="235">
        <v>45352</v>
      </c>
      <c r="AH287" s="235">
        <v>45383</v>
      </c>
      <c r="AJ287" s="235">
        <v>45413</v>
      </c>
      <c r="AL287" s="235">
        <v>45444</v>
      </c>
      <c r="AN287" s="235">
        <v>45474</v>
      </c>
      <c r="AP287" s="235">
        <v>45505</v>
      </c>
      <c r="AR287" s="236">
        <v>45536</v>
      </c>
      <c r="AT287" s="236">
        <v>45566</v>
      </c>
      <c r="AV287" s="235">
        <v>45597</v>
      </c>
      <c r="AX287" s="235">
        <v>45627</v>
      </c>
      <c r="BA287" s="235">
        <v>45658</v>
      </c>
      <c r="BC287" s="235">
        <v>45689</v>
      </c>
      <c r="BE287" s="235">
        <v>45717</v>
      </c>
      <c r="BG287" s="235">
        <v>45748</v>
      </c>
      <c r="BI287" s="235">
        <v>45778</v>
      </c>
      <c r="BK287" s="235">
        <v>45809</v>
      </c>
      <c r="BM287" s="235">
        <v>45839</v>
      </c>
      <c r="BO287" s="235">
        <v>45870</v>
      </c>
      <c r="BQ287" s="235">
        <v>45901</v>
      </c>
      <c r="BS287" s="235">
        <v>45931</v>
      </c>
      <c r="BU287" s="235">
        <v>45962</v>
      </c>
      <c r="BW287" s="235">
        <v>45992</v>
      </c>
      <c r="BY287" s="235">
        <v>46023</v>
      </c>
      <c r="CA287" s="235">
        <v>46054</v>
      </c>
      <c r="CC287" s="235">
        <v>46082</v>
      </c>
      <c r="CE287" s="235">
        <v>46113</v>
      </c>
      <c r="CG287" s="235">
        <v>46143</v>
      </c>
      <c r="CI287" s="341">
        <v>46174</v>
      </c>
    </row>
    <row r="288" spans="1:87">
      <c r="C288" s="213" t="s">
        <v>7</v>
      </c>
      <c r="D288" s="214">
        <f>-32.2 -37.55</f>
        <v>-69.75</v>
      </c>
      <c r="E288" s="235"/>
      <c r="F288" s="214">
        <v>-101.83</v>
      </c>
      <c r="H288" s="237">
        <v>-29.05</v>
      </c>
      <c r="J288" s="237">
        <v>-10.83</v>
      </c>
      <c r="L288" s="237">
        <v>-17.36</v>
      </c>
      <c r="N288" s="237">
        <v>-40.630000000000003</v>
      </c>
      <c r="P288" s="237">
        <v>-186.47</v>
      </c>
      <c r="R288" s="237">
        <v>-86.91</v>
      </c>
      <c r="T288" s="237">
        <v>-78.23</v>
      </c>
      <c r="V288" s="237">
        <v>-67.010000000000005</v>
      </c>
      <c r="X288" s="237">
        <v>-67.37</v>
      </c>
      <c r="Z288" s="238">
        <v>-117.24</v>
      </c>
      <c r="AB288" s="238">
        <v>-122.15</v>
      </c>
      <c r="AD288" s="237">
        <v>-62.09</v>
      </c>
      <c r="AF288" s="237">
        <v>-67.17</v>
      </c>
      <c r="AH288" s="237">
        <f>-14.18-54.18</f>
        <v>-68.36</v>
      </c>
      <c r="AJ288" s="237">
        <v>-87.74</v>
      </c>
      <c r="AL288" s="237">
        <v>-86.07</v>
      </c>
      <c r="AN288" s="237">
        <v>-124.12</v>
      </c>
      <c r="AP288" s="237">
        <v>-89.24</v>
      </c>
      <c r="AR288" s="237">
        <f>-14.94-89.93</f>
        <v>-104.87</v>
      </c>
      <c r="AT288" s="237">
        <v>-77.14</v>
      </c>
      <c r="AV288" s="237">
        <v>-74.67</v>
      </c>
      <c r="AX288" s="237">
        <v>-89.5</v>
      </c>
      <c r="BA288" s="237">
        <v>-99.51</v>
      </c>
      <c r="BC288" s="237">
        <v>-71.83</v>
      </c>
      <c r="BE288" s="237">
        <v>-79.52</v>
      </c>
      <c r="BG288" s="237">
        <v>-101.14</v>
      </c>
      <c r="BI288" s="237">
        <v>-79.52</v>
      </c>
      <c r="BK288" s="237">
        <v>-76.94</v>
      </c>
      <c r="BM288" s="237">
        <v>-103.72</v>
      </c>
      <c r="BO288" s="237">
        <v>-79.52</v>
      </c>
      <c r="BQ288" s="237">
        <v>-78.67</v>
      </c>
      <c r="BS288" s="237">
        <v>-86.6</v>
      </c>
      <c r="BU288" s="237">
        <v>-84.77</v>
      </c>
      <c r="BW288" s="237">
        <v>-161.37</v>
      </c>
      <c r="BY288" s="237">
        <v>-173.31</v>
      </c>
      <c r="CA288" s="237">
        <v>-76.86</v>
      </c>
      <c r="CC288" s="237">
        <v>-80.849999999999994</v>
      </c>
      <c r="CE288" s="237">
        <v>-78.239999999999995</v>
      </c>
      <c r="CG288" s="237">
        <v>-84.48</v>
      </c>
    </row>
    <row r="289" spans="1:87">
      <c r="C289" s="213" t="s">
        <v>8</v>
      </c>
      <c r="D289" s="214">
        <v>125.8</v>
      </c>
      <c r="F289" s="214">
        <v>172.4</v>
      </c>
      <c r="G289" s="222">
        <f>ABS(((F288+F289)/F288))</f>
        <v>0.69301777472257697</v>
      </c>
      <c r="H289" s="214">
        <v>137.05000000000001</v>
      </c>
      <c r="I289" s="222">
        <f>ABS(((H288+H289)/H288))</f>
        <v>3.717728055077453</v>
      </c>
      <c r="J289" s="214">
        <v>127.4</v>
      </c>
      <c r="K289" s="222">
        <f>ABS(((J288+J289)/J288))</f>
        <v>10.763619575253925</v>
      </c>
      <c r="L289" s="214">
        <v>132.24</v>
      </c>
      <c r="M289" s="222">
        <f>ABS(((L288+L289)/L288))</f>
        <v>6.6175115207373283</v>
      </c>
      <c r="N289" s="214">
        <v>110.05</v>
      </c>
      <c r="O289" s="222">
        <f>ABS(((N288+N289)/N288))</f>
        <v>1.7085897120354414</v>
      </c>
      <c r="P289" s="214">
        <v>242.45</v>
      </c>
      <c r="Q289" s="222">
        <f>ABS(((P288+P289)/P288))</f>
        <v>0.30020914892475997</v>
      </c>
      <c r="R289" s="214">
        <v>144.12</v>
      </c>
      <c r="S289" s="222">
        <f>ABS(((R288+R289)/R288))</f>
        <v>0.65826717293752168</v>
      </c>
      <c r="T289" s="214">
        <v>170.9</v>
      </c>
      <c r="U289" s="222">
        <f>ABS(((T288+T289)/T288))</f>
        <v>1.1845839192125782</v>
      </c>
      <c r="V289" s="214">
        <v>109.11</v>
      </c>
      <c r="W289" s="222">
        <f>ABS(((V288+V289)/V288))</f>
        <v>0.62826443814356048</v>
      </c>
      <c r="X289" s="214">
        <v>126.53</v>
      </c>
      <c r="Y289" s="222">
        <f>ABS(((X288+X289)/X288))</f>
        <v>0.87813566869526483</v>
      </c>
      <c r="Z289" s="213">
        <v>177.03</v>
      </c>
      <c r="AA289" s="222">
        <f>ABS(((Z288+Z289)/Z288))</f>
        <v>0.50997952917093148</v>
      </c>
      <c r="AB289" s="213">
        <v>182.32</v>
      </c>
      <c r="AC289" s="222">
        <f>ABS(((AB288+AB289)/AB288))</f>
        <v>0.49259107654523115</v>
      </c>
      <c r="AD289" s="213">
        <v>111.21</v>
      </c>
      <c r="AE289" s="222"/>
      <c r="AF289" s="213">
        <v>78.010000000000005</v>
      </c>
      <c r="AG289" s="222">
        <f>ABS(((AF288+AF289)/AF288))</f>
        <v>0.16138156915289567</v>
      </c>
      <c r="AH289" s="214">
        <v>82.66</v>
      </c>
      <c r="AI289" s="222">
        <f>ABS(((AH288+AH289)/AH288))</f>
        <v>0.2091866588648332</v>
      </c>
      <c r="AJ289" s="214">
        <v>74.73</v>
      </c>
      <c r="AK289" s="222">
        <f>ABS(((AJ288+AJ289)/AJ288))</f>
        <v>0.14827900615454742</v>
      </c>
      <c r="AL289" s="214">
        <v>123.01</v>
      </c>
      <c r="AM289" s="222">
        <f>ABS(((AL288+AL289)/AL288))</f>
        <v>0.42918554664807734</v>
      </c>
      <c r="AN289" s="214">
        <v>203.51</v>
      </c>
      <c r="AO289" s="222">
        <f>ABS(((AN288+AN289)/AN288))</f>
        <v>0.63962294553657739</v>
      </c>
      <c r="AP289" s="214">
        <v>145.88999999999999</v>
      </c>
      <c r="AQ289" s="222">
        <f>ABS(((AP288+AP289)/AP288))</f>
        <v>0.63480502017032714</v>
      </c>
      <c r="AR289" s="214">
        <v>160.85</v>
      </c>
      <c r="AS289" s="222">
        <f>ABS(((AR288+AR289)/AR288))</f>
        <v>0.53380375703251637</v>
      </c>
      <c r="AT289" s="214">
        <v>130.37</v>
      </c>
      <c r="AU289" s="222">
        <f>AT290/AT289</f>
        <v>0.40829945539618012</v>
      </c>
      <c r="AV289" s="214">
        <v>128.88</v>
      </c>
      <c r="AW289" s="222">
        <f>AV290/AV289</f>
        <v>0.4206238361266294</v>
      </c>
      <c r="AX289" s="214">
        <v>142.22</v>
      </c>
      <c r="AY289" s="224">
        <f>AX290/AX289</f>
        <v>0.37069329208268881</v>
      </c>
      <c r="AZ289" s="225"/>
      <c r="BA289" s="214">
        <v>184.96</v>
      </c>
      <c r="BB289" s="222">
        <f>BA290/BA289</f>
        <v>0.46199178200692043</v>
      </c>
      <c r="BC289" s="214">
        <v>104.97</v>
      </c>
      <c r="BD289" s="222">
        <f>BC290/BC289</f>
        <v>0.3157092502619796</v>
      </c>
      <c r="BE289" s="214">
        <v>100.2</v>
      </c>
      <c r="BF289" s="222">
        <f>BE290/BE289</f>
        <v>0.20638722554890226</v>
      </c>
      <c r="BG289" s="214">
        <v>94.39</v>
      </c>
      <c r="BH289" s="222">
        <f>BG290/BG289</f>
        <v>-7.1511812692022461E-2</v>
      </c>
      <c r="BI289" s="214">
        <v>94.62</v>
      </c>
      <c r="BJ289" s="222">
        <f>BI290/BI289</f>
        <v>0.15958571126611718</v>
      </c>
      <c r="BK289" s="214">
        <v>146.25</v>
      </c>
      <c r="BL289" s="222">
        <f>BK290/BK289</f>
        <v>0.47391452991452993</v>
      </c>
      <c r="BM289" s="214">
        <v>148.75</v>
      </c>
      <c r="BN289" s="222">
        <f>BM290/BM289</f>
        <v>0.30272268907563027</v>
      </c>
      <c r="BO289" s="214">
        <v>112.53</v>
      </c>
      <c r="BP289" s="222">
        <f>BO290/BO289</f>
        <v>0.29334399715631393</v>
      </c>
      <c r="BQ289" s="214">
        <v>111.98</v>
      </c>
      <c r="BR289" s="222">
        <f>BQ290/BQ289</f>
        <v>0.29746383282729061</v>
      </c>
      <c r="BS289" s="214">
        <v>113.48</v>
      </c>
      <c r="BT289" s="222">
        <f>BS290/BS289</f>
        <v>0.2368699330278464</v>
      </c>
      <c r="BU289" s="214">
        <v>112.21</v>
      </c>
      <c r="BV289" s="222">
        <f>BU290/BU289</f>
        <v>0.24454148471615719</v>
      </c>
      <c r="BW289" s="214">
        <v>198.15</v>
      </c>
      <c r="BX289" s="222">
        <f>BW290/BW289</f>
        <v>0.18561695685087054</v>
      </c>
      <c r="BY289" s="214">
        <v>210.03</v>
      </c>
      <c r="BZ289" s="222">
        <f>BY290/BY289</f>
        <v>0.17483216683330952</v>
      </c>
      <c r="CA289" s="214">
        <v>146.28</v>
      </c>
      <c r="CB289" s="222">
        <f>CA290/CA289</f>
        <v>0.47456931911402789</v>
      </c>
      <c r="CC289" s="214">
        <v>94.62</v>
      </c>
      <c r="CD289" s="222">
        <f>CC290/CC289</f>
        <v>0.1455294863665188</v>
      </c>
      <c r="CE289" s="214">
        <v>94.62</v>
      </c>
      <c r="CF289" s="222">
        <f>CE290/CE289</f>
        <v>0.1731135066582119</v>
      </c>
      <c r="CG289" s="214">
        <v>94.62</v>
      </c>
      <c r="CH289" s="222">
        <f>CG290/CG289</f>
        <v>0.10716550412175016</v>
      </c>
    </row>
    <row r="290" spans="1:87">
      <c r="C290" s="241" t="s">
        <v>9</v>
      </c>
      <c r="D290" s="252">
        <f>SUM(D288:D289)</f>
        <v>56.05</v>
      </c>
      <c r="E290" s="222">
        <f>ABS(((D288+D289)/D288))</f>
        <v>0.80358422939068097</v>
      </c>
      <c r="F290" s="252">
        <f>F288+F289</f>
        <v>70.570000000000007</v>
      </c>
      <c r="H290" s="252">
        <f>H288+H289</f>
        <v>108.00000000000001</v>
      </c>
      <c r="I290" s="235"/>
      <c r="J290" s="252">
        <f>J288+J289</f>
        <v>116.57000000000001</v>
      </c>
      <c r="L290" s="252">
        <f>L288+L289</f>
        <v>114.88000000000001</v>
      </c>
      <c r="N290" s="252">
        <f>N288+N289</f>
        <v>69.419999999999987</v>
      </c>
      <c r="P290" s="252">
        <f>P288+P289</f>
        <v>55.97999999999999</v>
      </c>
      <c r="R290" s="214">
        <f>R288+R289</f>
        <v>57.210000000000008</v>
      </c>
      <c r="S290" s="214"/>
      <c r="T290" s="214">
        <f>T288+T289</f>
        <v>92.67</v>
      </c>
      <c r="V290" s="214">
        <f>V288+V289</f>
        <v>42.099999999999994</v>
      </c>
      <c r="X290" s="214">
        <f>X288+X289</f>
        <v>59.16</v>
      </c>
      <c r="Z290" s="214">
        <f>Z288+Z289</f>
        <v>59.790000000000006</v>
      </c>
      <c r="AB290" s="242">
        <f>AB288+AB289</f>
        <v>60.169999999999987</v>
      </c>
      <c r="AD290" s="242">
        <f>AD288+AD289</f>
        <v>49.11999999999999</v>
      </c>
      <c r="AF290" s="242">
        <f>AF288+AF289</f>
        <v>10.840000000000003</v>
      </c>
      <c r="AH290" s="243">
        <f>AH288+AH289</f>
        <v>14.299999999999997</v>
      </c>
      <c r="AJ290" s="243">
        <f>AJ288+AJ289</f>
        <v>-13.009999999999991</v>
      </c>
      <c r="AL290" s="243">
        <f>AL288+AL289</f>
        <v>36.940000000000012</v>
      </c>
      <c r="AN290" s="243">
        <f>AN288+AN289</f>
        <v>79.389999999999986</v>
      </c>
      <c r="AP290" s="214">
        <f>AP288+AP289</f>
        <v>56.649999999999991</v>
      </c>
      <c r="AR290" s="214">
        <f>AR288+AR289</f>
        <v>55.97999999999999</v>
      </c>
      <c r="AT290" s="214">
        <f>AT288+AT289</f>
        <v>53.230000000000004</v>
      </c>
      <c r="AV290" s="214">
        <f>AV288+AV289</f>
        <v>54.209999999999994</v>
      </c>
      <c r="AX290" s="214">
        <f>AX288+AX289</f>
        <v>52.72</v>
      </c>
      <c r="BA290" s="214">
        <f>BA288+BA289</f>
        <v>85.45</v>
      </c>
      <c r="BC290" s="214">
        <f>BC288+BC289</f>
        <v>33.14</v>
      </c>
      <c r="BE290" s="214">
        <f>BE288+BE289</f>
        <v>20.680000000000007</v>
      </c>
      <c r="BG290" s="214">
        <f>BG288+BG289</f>
        <v>-6.75</v>
      </c>
      <c r="BI290" s="214">
        <f>BI288+BI289</f>
        <v>15.100000000000009</v>
      </c>
      <c r="BK290" s="214">
        <f>BK288+BK289</f>
        <v>69.31</v>
      </c>
      <c r="BM290" s="214">
        <f>BM288+BM289</f>
        <v>45.03</v>
      </c>
      <c r="BO290" s="214">
        <f>BO288+BO289</f>
        <v>33.010000000000005</v>
      </c>
      <c r="BQ290" s="214">
        <f>BQ288+BQ289</f>
        <v>33.31</v>
      </c>
      <c r="BS290" s="214">
        <f>BS288+BS289</f>
        <v>26.88000000000001</v>
      </c>
      <c r="BU290" s="214">
        <f>BU288+BU289</f>
        <v>27.439999999999998</v>
      </c>
      <c r="BW290" s="214">
        <f>BW288+BW289</f>
        <v>36.78</v>
      </c>
      <c r="BY290" s="214">
        <f>BY288+BY289</f>
        <v>36.72</v>
      </c>
      <c r="CA290" s="214">
        <f>CA288+CA289</f>
        <v>69.42</v>
      </c>
      <c r="CC290" s="214">
        <f>CC288+CC289</f>
        <v>13.77000000000001</v>
      </c>
      <c r="CE290" s="214">
        <f>CE288+CE289</f>
        <v>16.38000000000001</v>
      </c>
      <c r="CG290" s="214">
        <f>CG288+CG289</f>
        <v>10.14</v>
      </c>
    </row>
    <row r="291" spans="1:87">
      <c r="A291" s="231">
        <f>A286+1</f>
        <v>88</v>
      </c>
      <c r="B291" s="232">
        <v>508440774</v>
      </c>
      <c r="C291" s="213" t="s">
        <v>117</v>
      </c>
      <c r="E291" s="252"/>
      <c r="AP291" s="214"/>
      <c r="AT291" s="214"/>
    </row>
    <row r="292" spans="1:87">
      <c r="C292" s="253" t="s">
        <v>253</v>
      </c>
      <c r="D292" s="235">
        <v>44927</v>
      </c>
      <c r="F292" s="246">
        <v>44958</v>
      </c>
      <c r="H292" s="246">
        <v>44986</v>
      </c>
      <c r="I292" s="235"/>
      <c r="J292" s="235">
        <v>45017</v>
      </c>
      <c r="K292" s="235"/>
      <c r="L292" s="246">
        <v>45047</v>
      </c>
      <c r="M292" s="235"/>
      <c r="N292" s="235">
        <v>45078</v>
      </c>
      <c r="O292" s="235"/>
      <c r="P292" s="235">
        <v>45108</v>
      </c>
      <c r="Q292" s="235"/>
      <c r="R292" s="235">
        <v>45139</v>
      </c>
      <c r="S292" s="235"/>
      <c r="T292" s="235">
        <v>45170</v>
      </c>
      <c r="U292" s="235"/>
      <c r="V292" s="235">
        <v>45200</v>
      </c>
      <c r="W292" s="235"/>
      <c r="X292" s="235">
        <v>45231</v>
      </c>
      <c r="Y292" s="235"/>
      <c r="Z292" s="235">
        <v>45261</v>
      </c>
      <c r="AA292" s="235"/>
      <c r="AB292" s="235">
        <v>45292</v>
      </c>
      <c r="AC292" s="235"/>
      <c r="AD292" s="235">
        <v>45323</v>
      </c>
      <c r="AE292" s="235"/>
      <c r="AF292" s="235">
        <v>45352</v>
      </c>
      <c r="AH292" s="235">
        <v>45383</v>
      </c>
      <c r="AJ292" s="235">
        <v>45413</v>
      </c>
      <c r="AL292" s="235">
        <v>45444</v>
      </c>
      <c r="AN292" s="235">
        <v>45474</v>
      </c>
      <c r="AP292" s="235">
        <v>45505</v>
      </c>
      <c r="AR292" s="236">
        <v>45536</v>
      </c>
      <c r="AT292" s="236">
        <v>45566</v>
      </c>
      <c r="AV292" s="235">
        <v>45597</v>
      </c>
      <c r="AX292" s="235">
        <v>45627</v>
      </c>
      <c r="BA292" s="235">
        <v>45658</v>
      </c>
      <c r="BC292" s="235">
        <v>45689</v>
      </c>
      <c r="BE292" s="235">
        <v>45717</v>
      </c>
      <c r="BG292" s="235">
        <v>45748</v>
      </c>
      <c r="BI292" s="235">
        <v>45778</v>
      </c>
      <c r="BK292" s="235">
        <v>45809</v>
      </c>
      <c r="BM292" s="235">
        <v>45839</v>
      </c>
      <c r="BO292" s="235">
        <v>45870</v>
      </c>
      <c r="BQ292" s="235">
        <v>45901</v>
      </c>
      <c r="BS292" s="235">
        <v>45931</v>
      </c>
      <c r="BU292" s="235">
        <v>45962</v>
      </c>
      <c r="BW292" s="235">
        <v>45992</v>
      </c>
      <c r="BY292" s="235">
        <v>46023</v>
      </c>
      <c r="CA292" s="235">
        <v>46054</v>
      </c>
      <c r="CC292" s="235">
        <v>46082</v>
      </c>
      <c r="CE292" s="235">
        <v>46113</v>
      </c>
      <c r="CG292" s="235">
        <v>46143</v>
      </c>
      <c r="CI292" s="341">
        <v>46174</v>
      </c>
    </row>
    <row r="293" spans="1:87">
      <c r="C293" s="213" t="s">
        <v>7</v>
      </c>
      <c r="D293" s="214">
        <v>-37.1</v>
      </c>
      <c r="E293" s="235"/>
      <c r="F293" s="214">
        <v>-255.9</v>
      </c>
      <c r="H293" s="237">
        <v>-170.05</v>
      </c>
      <c r="J293" s="237">
        <v>-56.13</v>
      </c>
      <c r="L293" s="237">
        <v>-38.26</v>
      </c>
      <c r="N293" s="237">
        <v>-32.32</v>
      </c>
      <c r="P293" s="237">
        <v>-36.18</v>
      </c>
      <c r="R293" s="237">
        <v>-31.07</v>
      </c>
      <c r="T293" s="237">
        <v>-37.67</v>
      </c>
      <c r="V293" s="237">
        <v>-38.96</v>
      </c>
      <c r="X293" s="237">
        <v>-58.37</v>
      </c>
      <c r="Z293" s="238">
        <v>-89.28</v>
      </c>
      <c r="AB293" s="238">
        <v>-122.14</v>
      </c>
      <c r="AD293" s="237">
        <v>-97.87</v>
      </c>
      <c r="AF293" s="237">
        <v>-67.010000000000005</v>
      </c>
      <c r="AH293" s="237">
        <f>-11.12-10.2</f>
        <v>-21.32</v>
      </c>
      <c r="AJ293" s="237">
        <v>-59.82</v>
      </c>
      <c r="AL293" s="237">
        <v>-58.75</v>
      </c>
      <c r="AN293" s="237">
        <v>-55.44</v>
      </c>
      <c r="AP293" s="237">
        <v>-12.91</v>
      </c>
      <c r="AR293" s="237">
        <f>-37.52-15.02</f>
        <v>-52.540000000000006</v>
      </c>
      <c r="AT293" s="237">
        <v>-46.53</v>
      </c>
      <c r="AV293" s="237">
        <v>-57.56</v>
      </c>
      <c r="AX293" s="237">
        <v>-316.27999999999997</v>
      </c>
      <c r="BA293" s="238">
        <v>-369.36</v>
      </c>
      <c r="BC293" s="237">
        <v>-302.83999999999997</v>
      </c>
      <c r="BE293" s="237">
        <v>-299.37</v>
      </c>
      <c r="BG293" s="237">
        <v>-175.45</v>
      </c>
      <c r="BI293" s="237">
        <v>-66.27</v>
      </c>
      <c r="BK293" s="237">
        <v>-63.25</v>
      </c>
      <c r="BM293" s="237">
        <v>-52.85</v>
      </c>
      <c r="BO293" s="237">
        <v>-74.400000000000006</v>
      </c>
      <c r="BQ293" s="237">
        <v>-59.39</v>
      </c>
      <c r="BS293" s="237">
        <v>-56.01</v>
      </c>
      <c r="BU293" s="237">
        <v>-153.56</v>
      </c>
      <c r="BW293" s="237">
        <v>-330.64</v>
      </c>
      <c r="BY293" s="237">
        <v>-333.55</v>
      </c>
      <c r="CA293" s="237">
        <v>-202.26</v>
      </c>
      <c r="CC293" s="237">
        <v>-286.89999999999998</v>
      </c>
      <c r="CE293" s="237">
        <v>-107.69</v>
      </c>
      <c r="CG293" s="237">
        <v>-56.23</v>
      </c>
    </row>
    <row r="294" spans="1:87">
      <c r="C294" s="213" t="s">
        <v>8</v>
      </c>
      <c r="D294" s="214">
        <v>70.010000000000005</v>
      </c>
      <c r="F294" s="214">
        <v>366.31</v>
      </c>
      <c r="G294" s="222">
        <f>ABS(((F293+F294)/F293))</f>
        <v>0.43145760062524419</v>
      </c>
      <c r="H294" s="214">
        <v>285.68</v>
      </c>
      <c r="I294" s="222">
        <f>ABS(((H293+H294)/H293))</f>
        <v>0.67997647750661561</v>
      </c>
      <c r="J294" s="214">
        <v>127.96</v>
      </c>
      <c r="K294" s="222">
        <f>ABS(((J293+J294)/J293))</f>
        <v>1.2797078211295203</v>
      </c>
      <c r="L294" s="214">
        <v>109.88</v>
      </c>
      <c r="M294" s="222">
        <f>ABS(((L293+L294)/L293))</f>
        <v>1.8719289074751702</v>
      </c>
      <c r="N294" s="214">
        <v>66.87</v>
      </c>
      <c r="O294" s="222">
        <f>ABS(((N293+N294)/N293))</f>
        <v>1.0689975247524754</v>
      </c>
      <c r="P294" s="214">
        <v>50.88</v>
      </c>
      <c r="Q294" s="222">
        <f>ABS(((P293+P294)/P293))</f>
        <v>0.40630182421227207</v>
      </c>
      <c r="R294" s="214">
        <v>52.42</v>
      </c>
      <c r="S294" s="222">
        <f>ABS(((R293+R294)/R293))</f>
        <v>0.68715803025426458</v>
      </c>
      <c r="T294" s="214">
        <v>62.13</v>
      </c>
      <c r="U294" s="222">
        <f>ABS(((T293+T294)/T293))</f>
        <v>0.64932306875497747</v>
      </c>
      <c r="V294" s="214">
        <v>68.25</v>
      </c>
      <c r="W294" s="222">
        <f>ABS(((V293+V294)/V293))</f>
        <v>0.75179671457905539</v>
      </c>
      <c r="X294" s="214">
        <v>104.94</v>
      </c>
      <c r="Y294" s="222">
        <f>ABS(((X293+X294)/X293))</f>
        <v>0.79784135686140145</v>
      </c>
      <c r="Z294" s="213">
        <v>135.11000000000001</v>
      </c>
      <c r="AA294" s="222">
        <f>ABS(((Z293+Z294)/Z293))</f>
        <v>0.51332885304659515</v>
      </c>
      <c r="AB294" s="213">
        <v>177.08</v>
      </c>
      <c r="AC294" s="222">
        <f>ABS(((AB293+AB294)/AB293))</f>
        <v>0.4498116915015557</v>
      </c>
      <c r="AD294" s="213">
        <v>142.32</v>
      </c>
      <c r="AE294" s="222"/>
      <c r="AF294" s="213">
        <v>116.27</v>
      </c>
      <c r="AG294" s="222">
        <f>ABS(((AF293+AF294)/AF293))</f>
        <v>0.73511416206536317</v>
      </c>
      <c r="AH294" s="214">
        <v>77.819999999999993</v>
      </c>
      <c r="AI294" s="222">
        <f>ABS(((AH293+AH294)/AH293))</f>
        <v>2.6500938086303938</v>
      </c>
      <c r="AJ294" s="214">
        <v>59.55</v>
      </c>
      <c r="AK294" s="222"/>
      <c r="AL294" s="214">
        <v>57.75</v>
      </c>
      <c r="AM294" s="222"/>
      <c r="AN294" s="214">
        <v>58.75</v>
      </c>
      <c r="AO294" s="222">
        <f>ABS(((AN293+AN294)/AN293))</f>
        <v>5.9704184704184746E-2</v>
      </c>
      <c r="AP294" s="214">
        <v>84.57</v>
      </c>
      <c r="AQ294" s="222">
        <f>ABS(((AP293+AP294)/AP293))</f>
        <v>5.550735863671572</v>
      </c>
      <c r="AR294" s="214">
        <v>76.42</v>
      </c>
      <c r="AS294" s="222">
        <f>ABS(((AR293+AR294)/AR293))</f>
        <v>0.4545108488770459</v>
      </c>
      <c r="AT294" s="214">
        <v>81.12</v>
      </c>
      <c r="AU294" s="222">
        <f>AT295/AT294</f>
        <v>0.42640532544378701</v>
      </c>
      <c r="AV294" s="214">
        <v>94.73</v>
      </c>
      <c r="AW294" s="222">
        <f>AV295/AV294</f>
        <v>0.3923783384355537</v>
      </c>
      <c r="AX294" s="214">
        <v>416.52</v>
      </c>
      <c r="AY294" s="224">
        <f>AX295/AX294</f>
        <v>0.24066071257082497</v>
      </c>
      <c r="AZ294" s="225"/>
      <c r="BA294" s="213">
        <v>446.04</v>
      </c>
      <c r="BB294" s="222">
        <f>BA295/BA294</f>
        <v>0.1719128329297821</v>
      </c>
      <c r="BC294" s="214">
        <v>360.71</v>
      </c>
      <c r="BD294" s="222">
        <f>BC295/BC294</f>
        <v>0.16043358930997201</v>
      </c>
      <c r="BE294" s="214">
        <v>353.64</v>
      </c>
      <c r="BF294" s="222">
        <f>BE295/BE294</f>
        <v>0.15346114692908039</v>
      </c>
      <c r="BG294" s="214">
        <v>203.58</v>
      </c>
      <c r="BH294" s="222">
        <f>BG295/BG294</f>
        <v>0.13817663817663828</v>
      </c>
      <c r="BI294" s="214">
        <v>95.88</v>
      </c>
      <c r="BJ294" s="222">
        <f>BI295/BI294</f>
        <v>0.30882352941176472</v>
      </c>
      <c r="BK294" s="214">
        <v>76.69</v>
      </c>
      <c r="BL294" s="222">
        <f>BK295/BK294</f>
        <v>0.17525101056200285</v>
      </c>
      <c r="BM294" s="214">
        <v>64.2</v>
      </c>
      <c r="BN294" s="222">
        <f>BM295/BM294</f>
        <v>0.176791277258567</v>
      </c>
      <c r="BO294" s="214">
        <v>99.78</v>
      </c>
      <c r="BP294" s="222">
        <f>BO295/BO294</f>
        <v>0.25435959110042089</v>
      </c>
      <c r="BQ294" s="214">
        <v>81.77</v>
      </c>
      <c r="BR294" s="222">
        <f>BQ295/BQ294</f>
        <v>0.27369450898862657</v>
      </c>
      <c r="BS294" s="214">
        <v>78.69</v>
      </c>
      <c r="BT294" s="222">
        <f>BS295/BS294</f>
        <v>0.28821959588257723</v>
      </c>
      <c r="BU294" s="214">
        <v>198.53</v>
      </c>
      <c r="BV294" s="222">
        <f>BU295/BU294</f>
        <v>0.22651488440034251</v>
      </c>
      <c r="BW294" s="214">
        <v>412.86</v>
      </c>
      <c r="BX294" s="222">
        <f>BW295/BW294</f>
        <v>0.19914741074456238</v>
      </c>
      <c r="BY294" s="214">
        <v>412</v>
      </c>
      <c r="BZ294" s="222">
        <f>BY295/BY294</f>
        <v>0.19041262135922327</v>
      </c>
      <c r="CA294" s="214">
        <v>258.69</v>
      </c>
      <c r="CB294" s="222">
        <f>CA295/CA294</f>
        <v>0.21813753913951064</v>
      </c>
      <c r="CC294" s="214">
        <v>406.83</v>
      </c>
      <c r="CD294" s="222">
        <f>CC295/CC294</f>
        <v>0.29479143622643367</v>
      </c>
      <c r="CE294" s="214">
        <v>160.76</v>
      </c>
      <c r="CF294" s="222">
        <f>CE295/CE294</f>
        <v>0.33011943269470018</v>
      </c>
      <c r="CG294" s="214">
        <v>64.2</v>
      </c>
      <c r="CH294" s="222">
        <f>CG295/CG294</f>
        <v>0.12414330218068545</v>
      </c>
    </row>
    <row r="295" spans="1:87">
      <c r="C295" s="241" t="s">
        <v>9</v>
      </c>
      <c r="D295" s="252">
        <f>D293+D294</f>
        <v>32.910000000000004</v>
      </c>
      <c r="E295" s="222">
        <f>ABS(((D293+D294)/D293))</f>
        <v>0.88706199460916446</v>
      </c>
      <c r="F295" s="252">
        <f>F293+F294</f>
        <v>110.41</v>
      </c>
      <c r="H295" s="252">
        <f>H293+H294</f>
        <v>115.63</v>
      </c>
      <c r="J295" s="252">
        <f>J293+J294</f>
        <v>71.829999999999984</v>
      </c>
      <c r="L295" s="252">
        <f>L293+L294</f>
        <v>71.62</v>
      </c>
      <c r="N295" s="252">
        <f>N293+N294</f>
        <v>34.550000000000004</v>
      </c>
      <c r="P295" s="252">
        <f>P293+P294</f>
        <v>14.700000000000003</v>
      </c>
      <c r="R295" s="214">
        <f>R293+R294</f>
        <v>21.35</v>
      </c>
      <c r="S295" s="214"/>
      <c r="T295" s="214">
        <f>T293+T294</f>
        <v>24.46</v>
      </c>
      <c r="V295" s="214">
        <f>V293+V294</f>
        <v>29.29</v>
      </c>
      <c r="X295" s="214">
        <f>X293+X294</f>
        <v>46.57</v>
      </c>
      <c r="Z295" s="214">
        <f>Z293+Z294</f>
        <v>45.830000000000013</v>
      </c>
      <c r="AB295" s="242">
        <f>AB293+AB294</f>
        <v>54.940000000000012</v>
      </c>
      <c r="AD295" s="242">
        <f>AD293+AD294</f>
        <v>44.449999999999989</v>
      </c>
      <c r="AF295" s="242">
        <f>AF293+AF294</f>
        <v>49.259999999999991</v>
      </c>
      <c r="AH295" s="243">
        <f>AH293+AH294</f>
        <v>56.499999999999993</v>
      </c>
      <c r="AJ295" s="243">
        <f>AJ293+AJ294</f>
        <v>-0.27000000000000313</v>
      </c>
      <c r="AL295" s="243">
        <f>AL293+AL294</f>
        <v>-1</v>
      </c>
      <c r="AN295" s="243">
        <f>AN293+AN294</f>
        <v>3.3100000000000023</v>
      </c>
      <c r="AP295" s="214">
        <f>AP293+AP294</f>
        <v>71.66</v>
      </c>
      <c r="AR295" s="214">
        <f>AR293+AR294</f>
        <v>23.879999999999995</v>
      </c>
      <c r="AT295" s="214">
        <f>AT293+AT294</f>
        <v>34.590000000000003</v>
      </c>
      <c r="AV295" s="214">
        <f>AV293+AV294</f>
        <v>37.17</v>
      </c>
      <c r="AX295" s="214">
        <f>AX293+AX294</f>
        <v>100.24000000000001</v>
      </c>
      <c r="BA295" s="214">
        <f>BA293+BA294</f>
        <v>76.680000000000007</v>
      </c>
      <c r="BC295" s="214">
        <f>BC293+BC294</f>
        <v>57.870000000000005</v>
      </c>
      <c r="BE295" s="214">
        <f>BE293+BE294</f>
        <v>54.269999999999982</v>
      </c>
      <c r="BG295" s="214">
        <f>BG293+BG294</f>
        <v>28.130000000000024</v>
      </c>
      <c r="BI295" s="214">
        <f>BI293+BI294</f>
        <v>29.61</v>
      </c>
      <c r="BK295" s="214">
        <f>BK293+BK294</f>
        <v>13.439999999999998</v>
      </c>
      <c r="BM295" s="214">
        <f>BM293+BM294</f>
        <v>11.350000000000001</v>
      </c>
      <c r="BO295" s="214">
        <f>BO293+BO294</f>
        <v>25.379999999999995</v>
      </c>
      <c r="BQ295" s="214">
        <f>BQ293+BQ294</f>
        <v>22.379999999999995</v>
      </c>
      <c r="BS295" s="214">
        <f>BS293+BS294</f>
        <v>22.68</v>
      </c>
      <c r="BU295" s="214">
        <f>BU293+BU294</f>
        <v>44.97</v>
      </c>
      <c r="BW295" s="214">
        <f>BW293+BW294</f>
        <v>82.220000000000027</v>
      </c>
      <c r="BY295" s="214">
        <f>BY293+BY294</f>
        <v>78.449999999999989</v>
      </c>
      <c r="CA295" s="214">
        <f>CA293+CA294</f>
        <v>56.430000000000007</v>
      </c>
      <c r="CC295" s="214">
        <f>CC293+CC294</f>
        <v>119.93</v>
      </c>
      <c r="CE295" s="214">
        <f>CE293+CE294</f>
        <v>53.069999999999993</v>
      </c>
      <c r="CG295" s="214">
        <f>CG293+CG294</f>
        <v>7.970000000000006</v>
      </c>
    </row>
    <row r="296" spans="1:87">
      <c r="A296" s="231">
        <f>A291+1</f>
        <v>89</v>
      </c>
      <c r="B296" s="232">
        <v>129069760</v>
      </c>
      <c r="C296" s="316" t="s">
        <v>118</v>
      </c>
      <c r="E296" s="252"/>
      <c r="V296" s="214"/>
      <c r="AP296" s="214"/>
      <c r="AT296" s="214"/>
    </row>
    <row r="297" spans="1:87">
      <c r="C297" s="253" t="s">
        <v>119</v>
      </c>
      <c r="D297" s="246">
        <v>44927</v>
      </c>
      <c r="F297" s="246">
        <v>44958</v>
      </c>
      <c r="H297" s="246">
        <v>44986</v>
      </c>
      <c r="I297" s="235"/>
      <c r="J297" s="235">
        <v>45017</v>
      </c>
      <c r="K297" s="235"/>
      <c r="L297" s="246">
        <v>45047</v>
      </c>
      <c r="M297" s="235"/>
      <c r="N297" s="235">
        <v>45078</v>
      </c>
      <c r="O297" s="235"/>
      <c r="P297" s="235">
        <v>45108</v>
      </c>
      <c r="Q297" s="235"/>
      <c r="R297" s="235">
        <v>45139</v>
      </c>
      <c r="S297" s="235"/>
      <c r="T297" s="235">
        <v>45170</v>
      </c>
      <c r="U297" s="235"/>
      <c r="V297" s="235">
        <v>45200</v>
      </c>
      <c r="W297" s="235"/>
      <c r="X297" s="235">
        <v>45231</v>
      </c>
      <c r="Y297" s="235"/>
      <c r="Z297" s="235">
        <v>45261</v>
      </c>
      <c r="AA297" s="235"/>
      <c r="AB297" s="235">
        <v>45292</v>
      </c>
      <c r="AC297" s="235"/>
      <c r="AD297" s="235">
        <v>45323</v>
      </c>
      <c r="AE297" s="235"/>
      <c r="AF297" s="235">
        <v>45352</v>
      </c>
      <c r="AH297" s="235">
        <v>45383</v>
      </c>
      <c r="AJ297" s="235">
        <v>45413</v>
      </c>
      <c r="AL297" s="235">
        <v>45444</v>
      </c>
      <c r="AN297" s="235">
        <v>45474</v>
      </c>
      <c r="AP297" s="235">
        <v>45505</v>
      </c>
      <c r="AR297" s="236">
        <v>45536</v>
      </c>
      <c r="AT297" s="236">
        <v>45566</v>
      </c>
      <c r="AV297" s="235">
        <v>45597</v>
      </c>
      <c r="AX297" s="235">
        <v>45627</v>
      </c>
      <c r="BA297" s="235">
        <v>45658</v>
      </c>
      <c r="BC297" s="235">
        <v>45689</v>
      </c>
      <c r="BE297" s="235">
        <v>45717</v>
      </c>
      <c r="BG297" s="235">
        <v>45748</v>
      </c>
      <c r="BI297" s="235">
        <v>45778</v>
      </c>
      <c r="BK297" s="235">
        <v>45809</v>
      </c>
      <c r="BM297" s="235">
        <v>45839</v>
      </c>
      <c r="BO297" s="235">
        <v>45870</v>
      </c>
      <c r="BQ297" s="235">
        <v>45901</v>
      </c>
      <c r="BS297" s="235">
        <v>45931</v>
      </c>
      <c r="BU297" s="235">
        <v>45962</v>
      </c>
      <c r="BW297" s="235">
        <v>45992</v>
      </c>
      <c r="BY297" s="235">
        <v>46023</v>
      </c>
      <c r="CA297" s="235">
        <v>46054</v>
      </c>
      <c r="CC297" s="235">
        <v>46082</v>
      </c>
      <c r="CE297" s="235">
        <v>46113</v>
      </c>
      <c r="CG297" s="235">
        <v>46143</v>
      </c>
      <c r="CI297" s="341">
        <v>46174</v>
      </c>
    </row>
    <row r="298" spans="1:87">
      <c r="C298" s="213" t="s">
        <v>7</v>
      </c>
      <c r="D298" s="214">
        <v>0</v>
      </c>
      <c r="E298" s="246"/>
      <c r="N298" s="237">
        <f>-16.1-12.02</f>
        <v>-28.12</v>
      </c>
      <c r="P298" s="237">
        <v>-28.55</v>
      </c>
      <c r="R298" s="237">
        <v>-28.54</v>
      </c>
      <c r="T298" s="214">
        <v>0</v>
      </c>
      <c r="V298" s="237">
        <v>-24.13</v>
      </c>
      <c r="X298" s="237">
        <v>-23.35</v>
      </c>
      <c r="Z298" s="238">
        <v>-25.76</v>
      </c>
      <c r="AB298" s="238">
        <v>-24.45</v>
      </c>
      <c r="AD298" s="237">
        <v>-22.81</v>
      </c>
      <c r="AF298" s="237">
        <v>-27.13</v>
      </c>
      <c r="AH298" s="237">
        <f>-6.2-0</f>
        <v>-6.2</v>
      </c>
      <c r="AJ298" s="237">
        <v>-38.200000000000003</v>
      </c>
      <c r="AL298" s="237">
        <v>-37.53</v>
      </c>
      <c r="AN298" s="237">
        <v>-35.53</v>
      </c>
      <c r="AP298" s="237">
        <v>-40.39</v>
      </c>
      <c r="AR298" s="237">
        <f>-9.12-24.66</f>
        <v>-33.78</v>
      </c>
      <c r="AT298" s="237">
        <v>-28.26</v>
      </c>
      <c r="AV298" s="237">
        <v>-27.37</v>
      </c>
      <c r="AX298" s="237">
        <v>-31.08</v>
      </c>
      <c r="BA298" s="237">
        <v>-32.200000000000003</v>
      </c>
      <c r="BC298" s="237">
        <v>-29.09</v>
      </c>
      <c r="BE298" s="237">
        <v>-32.200000000000003</v>
      </c>
      <c r="BG298" s="237">
        <v>-31.16</v>
      </c>
      <c r="BI298" s="237">
        <v>-32.200000000000003</v>
      </c>
      <c r="BK298" s="237">
        <v>-43.26</v>
      </c>
      <c r="BM298" s="237">
        <v>-35.619999999999997</v>
      </c>
      <c r="BO298" s="237">
        <v>-32.200000000000003</v>
      </c>
      <c r="BQ298" s="237">
        <v>-31.16</v>
      </c>
      <c r="BS298" s="237">
        <v>-35.65</v>
      </c>
      <c r="BU298" s="237">
        <v>-32.51</v>
      </c>
      <c r="BW298" s="237">
        <v>-33.6</v>
      </c>
      <c r="BY298" s="237">
        <v>-35.4</v>
      </c>
      <c r="CA298" s="237">
        <v>-31.01</v>
      </c>
      <c r="CC298" s="237">
        <v>-29.88</v>
      </c>
      <c r="CE298" s="237">
        <v>-28.92</v>
      </c>
      <c r="CG298" s="237">
        <v>-34.33</v>
      </c>
    </row>
    <row r="299" spans="1:87">
      <c r="C299" s="213" t="s">
        <v>8</v>
      </c>
      <c r="D299" s="214">
        <v>0</v>
      </c>
      <c r="N299" s="214">
        <v>33.44</v>
      </c>
      <c r="O299" s="222">
        <f>ABS(((N298+N299)/N298))</f>
        <v>0.18918918918918906</v>
      </c>
      <c r="P299" s="214">
        <v>37.9</v>
      </c>
      <c r="Q299" s="222">
        <f>ABS(((P298+P299)/P298))</f>
        <v>0.32749562171628716</v>
      </c>
      <c r="R299" s="214">
        <v>35.47</v>
      </c>
      <c r="S299" s="222">
        <f>ABS(((R298+R299)/R298))</f>
        <v>0.24281709880868957</v>
      </c>
      <c r="T299" s="214">
        <v>48.53</v>
      </c>
      <c r="U299" s="222" t="e">
        <f>ABS(((T298+T299)/T298))</f>
        <v>#DIV/0!</v>
      </c>
      <c r="V299" s="214">
        <v>40.380000000000003</v>
      </c>
      <c r="W299" s="222">
        <f>ABS(((V298+V299)/V298))</f>
        <v>0.67343555739743077</v>
      </c>
      <c r="X299" s="214">
        <v>38.159999999999997</v>
      </c>
      <c r="Y299" s="222">
        <f>ABS(((X298+X299)/X298))</f>
        <v>0.63426124197002121</v>
      </c>
      <c r="Z299" s="213">
        <v>43.02</v>
      </c>
      <c r="AA299" s="222">
        <f>ABS(((Z298+Z299)/Z298))</f>
        <v>0.67003105590062118</v>
      </c>
      <c r="AB299" s="213">
        <v>29.15</v>
      </c>
      <c r="AC299" s="222">
        <f>ABS(((AB298+AB299)/AB298))</f>
        <v>0.19222903885480569</v>
      </c>
      <c r="AD299" s="213">
        <v>36.65</v>
      </c>
      <c r="AE299" s="222"/>
      <c r="AF299" s="213">
        <v>27.89</v>
      </c>
      <c r="AG299" s="222">
        <f>ABS(((AF298+AF299)/AF298))</f>
        <v>2.8013269443420627E-2</v>
      </c>
      <c r="AH299" s="214">
        <v>22.92</v>
      </c>
      <c r="AI299" s="222">
        <f>ABS(((AH298+AH299)/AH298))</f>
        <v>2.6967741935483875</v>
      </c>
      <c r="AJ299" s="214">
        <v>19.12</v>
      </c>
      <c r="AK299" s="222">
        <f>ABS(((AJ298+AJ299)/AJ298))</f>
        <v>0.49947643979057593</v>
      </c>
      <c r="AL299" s="214">
        <v>50.16</v>
      </c>
      <c r="AM299" s="222">
        <f>ABS(((AL298+AL299)/AL298))</f>
        <v>0.33653077537969611</v>
      </c>
      <c r="AN299" s="214">
        <v>53.43</v>
      </c>
      <c r="AO299" s="222">
        <f>ABS(((AN298+AN299)/AN298))</f>
        <v>0.50379960596678852</v>
      </c>
      <c r="AP299" s="214">
        <v>68.47</v>
      </c>
      <c r="AQ299" s="222">
        <f>ABS(((AP298+AP299)/AP298))</f>
        <v>0.69522158950235202</v>
      </c>
      <c r="AR299" s="214">
        <v>42.77</v>
      </c>
      <c r="AS299" s="222">
        <f>ABS(((AR298+AR299)/AR298))</f>
        <v>0.2661338069863825</v>
      </c>
      <c r="AT299" s="214">
        <v>43.62</v>
      </c>
      <c r="AU299" s="222">
        <f>AT300/AT299</f>
        <v>0.35213204951856941</v>
      </c>
      <c r="AV299" s="214">
        <v>32.49</v>
      </c>
      <c r="AW299" s="222">
        <f>AV300/AV299</f>
        <v>0.15758694983071717</v>
      </c>
      <c r="AX299" s="214">
        <v>47.87</v>
      </c>
      <c r="AY299" s="224">
        <f>AX300/AX299</f>
        <v>0.35074159181115522</v>
      </c>
      <c r="AZ299" s="225"/>
      <c r="BA299" s="214">
        <v>62.19</v>
      </c>
      <c r="BB299" s="222">
        <f>BA300/BA299</f>
        <v>0.48223187007557478</v>
      </c>
      <c r="BC299" s="214">
        <v>44.84</v>
      </c>
      <c r="BD299" s="222">
        <f>BC300/BC299</f>
        <v>0.35124888492417489</v>
      </c>
      <c r="BE299" s="214">
        <v>49.73</v>
      </c>
      <c r="BF299" s="222">
        <f>BE300/BE299</f>
        <v>0.35250351900261401</v>
      </c>
      <c r="BG299" s="214"/>
      <c r="BH299" s="222" t="e">
        <f>BG300/BG299</f>
        <v>#DIV/0!</v>
      </c>
      <c r="BI299" s="214"/>
      <c r="BJ299" s="222" t="e">
        <f>BI300/BI299</f>
        <v>#DIV/0!</v>
      </c>
      <c r="BK299" s="214">
        <v>117.03</v>
      </c>
      <c r="BL299" s="222">
        <f>BK300/BK299</f>
        <v>0.63035119200205081</v>
      </c>
      <c r="BM299" s="214">
        <v>51.35</v>
      </c>
      <c r="BN299" s="222">
        <f>BM300/BM299</f>
        <v>0.30632911392405071</v>
      </c>
      <c r="BO299" s="214">
        <v>19.53</v>
      </c>
      <c r="BP299" s="222">
        <f>BO300/BO299</f>
        <v>-0.64874551971326166</v>
      </c>
      <c r="BQ299" s="214">
        <v>18.78</v>
      </c>
      <c r="BR299" s="222">
        <f>BQ300/BQ299</f>
        <v>-0.65921192758253455</v>
      </c>
      <c r="BS299" s="214">
        <v>63.05</v>
      </c>
      <c r="BT299" s="222">
        <f>BS300/BS299</f>
        <v>0.43457573354480572</v>
      </c>
      <c r="BU299" s="214">
        <v>53.22</v>
      </c>
      <c r="BV299" s="222">
        <f>BU300/BU299</f>
        <v>0.38913942127019918</v>
      </c>
      <c r="BW299" s="214">
        <v>47.85</v>
      </c>
      <c r="BX299" s="222">
        <f>BW300/BW299</f>
        <v>0.29780564263322884</v>
      </c>
      <c r="BY299" s="214">
        <v>54.7</v>
      </c>
      <c r="BZ299" s="222">
        <f>BY300/BY299</f>
        <v>0.3528336380255942</v>
      </c>
      <c r="CA299" s="214">
        <v>52.9</v>
      </c>
      <c r="CB299" s="222">
        <f>CA300/CA299</f>
        <v>0.41379962192816633</v>
      </c>
      <c r="CC299" s="214">
        <v>45.22</v>
      </c>
      <c r="CD299" s="222">
        <f>CC300/CC299</f>
        <v>0.33923042901371075</v>
      </c>
      <c r="CE299" s="214">
        <v>43.75</v>
      </c>
      <c r="CF299" s="222">
        <f>CE300/CE299</f>
        <v>0.33897142857142853</v>
      </c>
      <c r="CG299" s="214">
        <v>43.75</v>
      </c>
      <c r="CH299" s="222">
        <f>CG300/CG299</f>
        <v>0.21531428571428576</v>
      </c>
    </row>
    <row r="300" spans="1:87">
      <c r="C300" s="241" t="s">
        <v>9</v>
      </c>
      <c r="D300" s="214">
        <v>0</v>
      </c>
      <c r="N300" s="214">
        <f>SUM(N298:N299)</f>
        <v>5.3199999999999967</v>
      </c>
      <c r="P300" s="214">
        <f>SUM(P298:P299)</f>
        <v>9.3499999999999979</v>
      </c>
      <c r="R300" s="214">
        <f>R298+R299</f>
        <v>6.93</v>
      </c>
      <c r="S300" s="214"/>
      <c r="T300" s="214">
        <f>T298+T299</f>
        <v>48.53</v>
      </c>
      <c r="V300" s="214">
        <f>V298+V299</f>
        <v>16.250000000000004</v>
      </c>
      <c r="X300" s="214">
        <f>X298+X299</f>
        <v>14.809999999999995</v>
      </c>
      <c r="Z300" s="214">
        <f>Z298+Z299</f>
        <v>17.260000000000002</v>
      </c>
      <c r="AB300" s="242">
        <f>AB298+AB299</f>
        <v>4.6999999999999993</v>
      </c>
      <c r="AD300" s="242">
        <f>AD298+AD299</f>
        <v>13.84</v>
      </c>
      <c r="AF300" s="242">
        <f>AF298+AF299</f>
        <v>0.76000000000000156</v>
      </c>
      <c r="AH300" s="243">
        <f>AH298+AH299</f>
        <v>16.720000000000002</v>
      </c>
      <c r="AJ300" s="242">
        <f>AJ298+AJ299</f>
        <v>-19.080000000000002</v>
      </c>
      <c r="AL300" s="243">
        <f>AL298+AL299</f>
        <v>12.629999999999995</v>
      </c>
      <c r="AN300" s="243">
        <f>AN298+AN299</f>
        <v>17.899999999999999</v>
      </c>
      <c r="AP300" s="214">
        <f>AP298+AP299</f>
        <v>28.08</v>
      </c>
      <c r="AR300" s="214">
        <f>AR298+AR299</f>
        <v>8.990000000000002</v>
      </c>
      <c r="AT300" s="214">
        <f>AT298+AT299</f>
        <v>15.359999999999996</v>
      </c>
      <c r="AV300" s="214">
        <f>AV298+AV299</f>
        <v>5.120000000000001</v>
      </c>
      <c r="AX300" s="214">
        <f>AX298+AX299</f>
        <v>16.79</v>
      </c>
      <c r="BA300" s="214">
        <f>BA298+BA299</f>
        <v>29.989999999999995</v>
      </c>
      <c r="BC300" s="214">
        <f>BC298+BC299</f>
        <v>15.750000000000004</v>
      </c>
      <c r="BE300" s="214">
        <f>BE298+BE299</f>
        <v>17.529999999999994</v>
      </c>
      <c r="BG300" s="214">
        <f>BG298+BG299</f>
        <v>-31.16</v>
      </c>
      <c r="BI300" s="214">
        <f>BI298+BI299</f>
        <v>-32.200000000000003</v>
      </c>
      <c r="BK300" s="214">
        <f>BK298+BK299</f>
        <v>73.77000000000001</v>
      </c>
      <c r="BM300" s="214">
        <f>BM298+BM299</f>
        <v>15.730000000000004</v>
      </c>
      <c r="BO300" s="214">
        <f>BO298+BO299</f>
        <v>-12.670000000000002</v>
      </c>
      <c r="BQ300" s="214">
        <f>BQ298+BQ299</f>
        <v>-12.379999999999999</v>
      </c>
      <c r="BS300" s="214">
        <f>BS298+BS299</f>
        <v>27.4</v>
      </c>
      <c r="BU300" s="214">
        <f>BU298+BU299</f>
        <v>20.71</v>
      </c>
      <c r="BW300" s="214">
        <f>BW298+BW299</f>
        <v>14.25</v>
      </c>
      <c r="BY300" s="214">
        <f>BY298+BY299</f>
        <v>19.300000000000004</v>
      </c>
      <c r="CA300" s="214">
        <f>CA298+CA299</f>
        <v>21.889999999999997</v>
      </c>
      <c r="CC300" s="214">
        <f>CC298+CC299</f>
        <v>15.34</v>
      </c>
      <c r="CE300" s="214">
        <f>CE298+CE299</f>
        <v>14.829999999999998</v>
      </c>
      <c r="CG300" s="214">
        <f>CG298+CG299</f>
        <v>9.4200000000000017</v>
      </c>
    </row>
    <row r="301" spans="1:87">
      <c r="A301" s="231">
        <f>A296+1</f>
        <v>90</v>
      </c>
      <c r="B301" s="232">
        <v>221368656</v>
      </c>
      <c r="C301" s="213" t="s">
        <v>120</v>
      </c>
      <c r="AP301" s="214"/>
      <c r="AT301" s="214"/>
    </row>
    <row r="302" spans="1:87">
      <c r="C302" s="253" t="s">
        <v>121</v>
      </c>
      <c r="D302" s="246">
        <v>44927</v>
      </c>
      <c r="F302" s="235">
        <v>44958</v>
      </c>
      <c r="G302" s="235"/>
      <c r="H302" s="235">
        <v>44986</v>
      </c>
      <c r="I302" s="235"/>
      <c r="J302" s="235">
        <v>45017</v>
      </c>
      <c r="K302" s="235"/>
      <c r="L302" s="246">
        <v>45047</v>
      </c>
      <c r="M302" s="235"/>
      <c r="N302" s="235">
        <v>45078</v>
      </c>
      <c r="O302" s="235"/>
      <c r="P302" s="235">
        <v>45108</v>
      </c>
      <c r="Q302" s="235"/>
      <c r="R302" s="235">
        <v>45139</v>
      </c>
      <c r="S302" s="235"/>
      <c r="T302" s="235">
        <v>45170</v>
      </c>
      <c r="U302" s="235"/>
      <c r="V302" s="235">
        <v>45200</v>
      </c>
      <c r="W302" s="235"/>
      <c r="X302" s="235">
        <v>45231</v>
      </c>
      <c r="Y302" s="235"/>
      <c r="Z302" s="235">
        <v>45261</v>
      </c>
      <c r="AA302" s="235"/>
      <c r="AB302" s="235">
        <v>45292</v>
      </c>
      <c r="AC302" s="235"/>
      <c r="AD302" s="235">
        <v>45323</v>
      </c>
      <c r="AE302" s="235"/>
      <c r="AF302" s="235">
        <v>45352</v>
      </c>
      <c r="AH302" s="235">
        <v>45383</v>
      </c>
      <c r="AJ302" s="235">
        <v>45413</v>
      </c>
      <c r="AL302" s="235">
        <v>45444</v>
      </c>
      <c r="AN302" s="235">
        <v>45474</v>
      </c>
      <c r="AP302" s="235">
        <v>45505</v>
      </c>
      <c r="AR302" s="236">
        <v>45536</v>
      </c>
      <c r="AT302" s="236">
        <v>45566</v>
      </c>
      <c r="AV302" s="235">
        <v>45597</v>
      </c>
      <c r="AX302" s="235">
        <v>45627</v>
      </c>
      <c r="BA302" s="235">
        <v>45658</v>
      </c>
      <c r="BC302" s="235">
        <v>45689</v>
      </c>
      <c r="BE302" s="235">
        <v>45717</v>
      </c>
      <c r="BG302" s="235">
        <v>45748</v>
      </c>
      <c r="BI302" s="235">
        <v>45778</v>
      </c>
      <c r="BK302" s="235">
        <v>45809</v>
      </c>
      <c r="BM302" s="235">
        <v>45839</v>
      </c>
      <c r="BO302" s="235">
        <v>45870</v>
      </c>
      <c r="BQ302" s="235">
        <v>45901</v>
      </c>
      <c r="BS302" s="235">
        <v>45931</v>
      </c>
      <c r="BU302" s="235">
        <v>45962</v>
      </c>
      <c r="BW302" s="235">
        <v>45992</v>
      </c>
      <c r="BY302" s="235">
        <v>46023</v>
      </c>
      <c r="CA302" s="235">
        <v>46054</v>
      </c>
      <c r="CC302" s="235">
        <v>46082</v>
      </c>
      <c r="CE302" s="235">
        <v>46113</v>
      </c>
      <c r="CG302" s="235">
        <v>46143</v>
      </c>
      <c r="CI302" s="341">
        <v>46174</v>
      </c>
    </row>
    <row r="303" spans="1:87">
      <c r="C303" s="213" t="s">
        <v>7</v>
      </c>
      <c r="E303" s="246"/>
      <c r="J303" s="214"/>
      <c r="L303" s="237">
        <f>-9.7-52.78</f>
        <v>-62.480000000000004</v>
      </c>
      <c r="N303" s="237">
        <f>-2.23-82.17</f>
        <v>-84.4</v>
      </c>
      <c r="P303" s="237">
        <f>-9.72-121.17</f>
        <v>-130.89000000000001</v>
      </c>
      <c r="R303" s="237">
        <v>-149.72</v>
      </c>
      <c r="T303" s="237">
        <v>-121.65</v>
      </c>
      <c r="V303" s="237">
        <v>-102.81</v>
      </c>
      <c r="X303" s="214">
        <v>0</v>
      </c>
      <c r="Z303" s="238">
        <v>-212.87</v>
      </c>
      <c r="AB303" s="238">
        <v>-209.02</v>
      </c>
      <c r="AD303" s="237">
        <v>-144.80000000000001</v>
      </c>
      <c r="AF303" s="239">
        <v>0</v>
      </c>
      <c r="AH303" s="237">
        <f>-33.06-21.37</f>
        <v>-54.430000000000007</v>
      </c>
      <c r="AJ303" s="237">
        <v>-57.49</v>
      </c>
      <c r="AL303" s="237">
        <v>-65.36</v>
      </c>
      <c r="AN303" s="237">
        <v>-117.2</v>
      </c>
      <c r="AP303" s="237">
        <v>-160.44</v>
      </c>
      <c r="AR303" s="237">
        <f>-14.16-97.79</f>
        <v>-111.95</v>
      </c>
      <c r="AT303" s="237">
        <v>-103.82</v>
      </c>
      <c r="AV303" s="237">
        <v>-120.37</v>
      </c>
      <c r="AX303" s="237">
        <v>-252.88</v>
      </c>
      <c r="BA303" s="237">
        <v>-295.49</v>
      </c>
      <c r="BC303" s="237">
        <v>-218.3</v>
      </c>
      <c r="BE303" s="237">
        <v>-186.27</v>
      </c>
      <c r="BG303" s="237">
        <v>-101.29</v>
      </c>
      <c r="BI303" s="237">
        <v>-59.46</v>
      </c>
      <c r="BK303" s="237">
        <v>-121.67</v>
      </c>
      <c r="BM303" s="237">
        <v>-171.88</v>
      </c>
      <c r="BO303" s="237">
        <v>-197.3</v>
      </c>
      <c r="BQ303" s="237">
        <v>-153.07</v>
      </c>
      <c r="BS303" s="237">
        <v>-124.96</v>
      </c>
      <c r="BU303" s="237">
        <v>-173.78</v>
      </c>
      <c r="BW303" s="237">
        <v>-296.04000000000002</v>
      </c>
      <c r="BY303" s="237">
        <v>-299.7</v>
      </c>
      <c r="CA303" s="237">
        <v>-157.30000000000001</v>
      </c>
      <c r="CC303" s="237">
        <v>-152.99</v>
      </c>
      <c r="CE303" s="237">
        <v>-77.58</v>
      </c>
      <c r="CG303" s="237">
        <v>-76.13</v>
      </c>
    </row>
    <row r="304" spans="1:87">
      <c r="C304" s="213" t="s">
        <v>8</v>
      </c>
      <c r="J304" s="214"/>
      <c r="L304" s="214">
        <v>79.19</v>
      </c>
      <c r="M304" s="222">
        <f>ABS(((L303+L304)/L303))</f>
        <v>0.26744558258642753</v>
      </c>
      <c r="N304" s="214">
        <v>97.81</v>
      </c>
      <c r="O304" s="222">
        <f>ABS(((N303+N304)/N303))</f>
        <v>0.15888625592417058</v>
      </c>
      <c r="P304" s="214">
        <v>181.26</v>
      </c>
      <c r="Q304" s="222">
        <f>ABS(((P303+P304)/P303))</f>
        <v>0.38482695393078137</v>
      </c>
      <c r="R304" s="214">
        <v>215.39</v>
      </c>
      <c r="S304" s="222">
        <f>ABS(((R303+R304)/R303))</f>
        <v>0.43861875500935071</v>
      </c>
      <c r="T304" s="214">
        <v>195.27</v>
      </c>
      <c r="U304" s="222">
        <f>ABS(((T303+T304)/T303))</f>
        <v>0.60517879161528976</v>
      </c>
      <c r="V304" s="214">
        <v>168.44</v>
      </c>
      <c r="W304" s="222">
        <f>ABS(((V303+V304)/V303))</f>
        <v>0.63836202704017109</v>
      </c>
      <c r="X304" s="214">
        <v>158.72</v>
      </c>
      <c r="Y304" s="213">
        <v>-97.18</v>
      </c>
      <c r="Z304" s="213">
        <v>286.79000000000002</v>
      </c>
      <c r="AA304" s="213">
        <v>-97.18</v>
      </c>
      <c r="AB304" s="213">
        <v>292.02999999999997</v>
      </c>
      <c r="AC304" s="222">
        <f>ABS(((AB303+AB304)/AB303))</f>
        <v>0.39713902975791771</v>
      </c>
      <c r="AD304" s="213">
        <v>218.43</v>
      </c>
      <c r="AE304" s="222"/>
      <c r="AF304" s="213">
        <v>188.72</v>
      </c>
      <c r="AG304" s="213">
        <v>-98.97</v>
      </c>
      <c r="AH304" s="214">
        <v>102.85</v>
      </c>
      <c r="AI304" s="222">
        <f>ABS(((AH303+AH304)/AH303))</f>
        <v>0.88958295057872461</v>
      </c>
      <c r="AJ304" s="214">
        <v>77.52</v>
      </c>
      <c r="AK304" s="222">
        <f>ABS(((AJ303+AJ304)/AJ303))</f>
        <v>0.34840841885545298</v>
      </c>
      <c r="AL304" s="214">
        <v>101.4</v>
      </c>
      <c r="AM304" s="222">
        <f>ABS(((AL303+AL304)/AL303))</f>
        <v>0.55140758873929019</v>
      </c>
      <c r="AN304" s="214">
        <v>151.52000000000001</v>
      </c>
      <c r="AO304" s="222">
        <f>ABS(((AN303+AN304)/AN303))</f>
        <v>0.29283276450511952</v>
      </c>
      <c r="AP304" s="214">
        <v>198.19</v>
      </c>
      <c r="AQ304" s="222">
        <f>ABS(((AP303+AP304)/AP303))</f>
        <v>0.23529045125903764</v>
      </c>
      <c r="AR304" s="214">
        <v>145.38999999999999</v>
      </c>
      <c r="AS304" s="222">
        <f>ABS(((AR303+AR304)/AR303))</f>
        <v>0.2987047789191602</v>
      </c>
      <c r="AT304" s="214">
        <v>139.41999999999999</v>
      </c>
      <c r="AU304" s="222">
        <f>AT305/AT304</f>
        <v>0.25534356620284032</v>
      </c>
      <c r="AV304" s="214">
        <v>152.66999999999999</v>
      </c>
      <c r="AW304" s="222">
        <f>AV305/AV304</f>
        <v>0.2115674330254797</v>
      </c>
      <c r="AX304" s="214">
        <v>293.77</v>
      </c>
      <c r="AY304" s="224">
        <f>AX305/AX304</f>
        <v>0.13919052319842048</v>
      </c>
      <c r="AZ304" s="225"/>
      <c r="BA304" s="214">
        <v>327.54000000000002</v>
      </c>
      <c r="BB304" s="222">
        <f>BA305/BA304</f>
        <v>9.7850644196128739E-2</v>
      </c>
      <c r="BC304" s="214">
        <v>264.91000000000003</v>
      </c>
      <c r="BD304" s="222">
        <f>BC305/BC304</f>
        <v>0.17594654788418712</v>
      </c>
      <c r="BE304" s="214">
        <v>227.04</v>
      </c>
      <c r="BF304" s="222">
        <f>BE305/BE304</f>
        <v>0.17957188160676527</v>
      </c>
      <c r="BG304" s="214">
        <v>90.21</v>
      </c>
      <c r="BH304" s="222">
        <f>BG305/BG304</f>
        <v>-0.12282452056313062</v>
      </c>
      <c r="BI304" s="214">
        <v>64.67</v>
      </c>
      <c r="BJ304" s="222">
        <f>BI305/BI304</f>
        <v>8.0562857584660599E-2</v>
      </c>
      <c r="BK304" s="214">
        <v>132.1</v>
      </c>
      <c r="BL304" s="222">
        <f>BK305/BK304</f>
        <v>7.8955336866010542E-2</v>
      </c>
      <c r="BM304" s="214">
        <v>181.42</v>
      </c>
      <c r="BN304" s="222">
        <f>BM305/BM304</f>
        <v>5.2585161503693051E-2</v>
      </c>
      <c r="BO304" s="214">
        <v>240.45</v>
      </c>
      <c r="BP304" s="222">
        <f>BO305/BO304</f>
        <v>0.17945518818881256</v>
      </c>
      <c r="BQ304" s="214">
        <v>172.38</v>
      </c>
      <c r="BR304" s="222">
        <f>BQ305/BQ304</f>
        <v>0.11201995591135865</v>
      </c>
      <c r="BS304" s="214">
        <v>170.53</v>
      </c>
      <c r="BT304" s="222">
        <f>BS305/BS304</f>
        <v>0.26722570808655371</v>
      </c>
      <c r="BU304" s="214">
        <v>198.01</v>
      </c>
      <c r="BV304" s="222">
        <f>BU305/BU304</f>
        <v>0.12236755719408106</v>
      </c>
      <c r="BW304" s="214">
        <v>332.69</v>
      </c>
      <c r="BX304" s="222">
        <f>BW305/BW304</f>
        <v>0.11016261384472024</v>
      </c>
      <c r="BY304" s="214">
        <v>332.26</v>
      </c>
      <c r="BZ304" s="222">
        <f>BY305/BY304</f>
        <v>9.7995545657015598E-2</v>
      </c>
      <c r="CA304" s="214">
        <v>178.78</v>
      </c>
      <c r="CB304" s="222">
        <f>CA305/CA304</f>
        <v>0.12014766752433152</v>
      </c>
      <c r="CC304" s="214">
        <v>188.65</v>
      </c>
      <c r="CD304" s="222">
        <f>CC305/CC304</f>
        <v>0.18902729923138084</v>
      </c>
      <c r="CE304" s="214">
        <v>84.98</v>
      </c>
      <c r="CF304" s="222">
        <f>CE305/CE304</f>
        <v>8.7079312779477586E-2</v>
      </c>
      <c r="CG304" s="214">
        <v>72.709999999999994</v>
      </c>
      <c r="CH304" s="222">
        <f>CG305/CG304</f>
        <v>-4.703617109063405E-2</v>
      </c>
    </row>
    <row r="305" spans="1:87">
      <c r="C305" s="241" t="s">
        <v>9</v>
      </c>
      <c r="J305" s="214"/>
      <c r="L305" s="214">
        <f>SUM(L303:L304)</f>
        <v>16.709999999999994</v>
      </c>
      <c r="N305" s="214">
        <f>SUM(N303:N304)</f>
        <v>13.409999999999997</v>
      </c>
      <c r="P305" s="214">
        <f>SUM(P303:P304)</f>
        <v>50.369999999999976</v>
      </c>
      <c r="R305" s="214">
        <f>R303+R304</f>
        <v>65.669999999999987</v>
      </c>
      <c r="S305" s="214"/>
      <c r="T305" s="214">
        <f>T303+T304</f>
        <v>73.62</v>
      </c>
      <c r="V305" s="214">
        <f>V303+V304</f>
        <v>65.63</v>
      </c>
      <c r="X305" s="214">
        <f>X303+X304</f>
        <v>158.72</v>
      </c>
      <c r="Z305" s="214">
        <f>Z303+Z304</f>
        <v>73.920000000000016</v>
      </c>
      <c r="AB305" s="242">
        <f>AB303+AB304</f>
        <v>83.009999999999962</v>
      </c>
      <c r="AD305" s="243">
        <f>AD303+AD304</f>
        <v>73.63</v>
      </c>
      <c r="AF305" s="242">
        <f>AF303+AF304</f>
        <v>188.72</v>
      </c>
      <c r="AH305" s="243">
        <f>AH303+AH304</f>
        <v>48.419999999999987</v>
      </c>
      <c r="AJ305" s="243">
        <f>AJ303+AJ304</f>
        <v>20.029999999999994</v>
      </c>
      <c r="AL305" s="243">
        <f>AL303+AL304</f>
        <v>36.040000000000006</v>
      </c>
      <c r="AN305" s="243">
        <f>AN303+AN304</f>
        <v>34.320000000000007</v>
      </c>
      <c r="AP305" s="214">
        <f>AP303+AP304</f>
        <v>37.75</v>
      </c>
      <c r="AR305" s="214">
        <f>AR303+AR304</f>
        <v>33.439999999999984</v>
      </c>
      <c r="AT305" s="214">
        <f>AT303+AT304</f>
        <v>35.599999999999994</v>
      </c>
      <c r="AV305" s="214">
        <f>AV303+AV304</f>
        <v>32.299999999999983</v>
      </c>
      <c r="AX305" s="214">
        <f>AX303+AX304</f>
        <v>40.889999999999986</v>
      </c>
      <c r="BA305" s="214">
        <f>BA303+BA304</f>
        <v>32.050000000000011</v>
      </c>
      <c r="BC305" s="214">
        <f>BC303+BC304</f>
        <v>46.610000000000014</v>
      </c>
      <c r="BE305" s="214">
        <f>BE303+BE304</f>
        <v>40.769999999999982</v>
      </c>
      <c r="BG305" s="214">
        <f>BG303+BG304</f>
        <v>-11.080000000000013</v>
      </c>
      <c r="BI305" s="214">
        <f>BI303+BI304</f>
        <v>5.2100000000000009</v>
      </c>
      <c r="BK305" s="214">
        <f>BK303+BK304</f>
        <v>10.429999999999993</v>
      </c>
      <c r="BM305" s="214">
        <f>BM303+BM304</f>
        <v>9.539999999999992</v>
      </c>
      <c r="BO305" s="214">
        <f>BO303+BO304</f>
        <v>43.149999999999977</v>
      </c>
      <c r="BQ305" s="214">
        <f>BQ303+BQ304</f>
        <v>19.310000000000002</v>
      </c>
      <c r="BS305" s="214">
        <f>BS303+BS304</f>
        <v>45.570000000000007</v>
      </c>
      <c r="BU305" s="214">
        <f>BU303+BU304</f>
        <v>24.22999999999999</v>
      </c>
      <c r="BW305" s="214">
        <f>BW303+BW304</f>
        <v>36.649999999999977</v>
      </c>
      <c r="BY305" s="214">
        <f>BY303+BY304</f>
        <v>32.56</v>
      </c>
      <c r="CA305" s="214">
        <f>CA303+CA304</f>
        <v>21.47999999999999</v>
      </c>
      <c r="CC305" s="214">
        <f>CC303+CC304</f>
        <v>35.659999999999997</v>
      </c>
      <c r="CE305" s="214">
        <f>CE303+CE304</f>
        <v>7.4000000000000057</v>
      </c>
      <c r="CG305" s="214">
        <f>CG303+CG304</f>
        <v>-3.4200000000000017</v>
      </c>
    </row>
    <row r="306" spans="1:87">
      <c r="A306" s="231">
        <v>93</v>
      </c>
      <c r="B306" s="232">
        <v>129071973</v>
      </c>
      <c r="C306" s="213" t="s">
        <v>122</v>
      </c>
      <c r="AP306" s="214"/>
      <c r="AT306" s="214"/>
    </row>
    <row r="307" spans="1:87">
      <c r="C307" s="253" t="s">
        <v>254</v>
      </c>
      <c r="D307" s="235">
        <v>44927</v>
      </c>
      <c r="F307" s="246">
        <v>44958</v>
      </c>
      <c r="H307" s="246">
        <v>44986</v>
      </c>
      <c r="I307" s="235"/>
      <c r="J307" s="235">
        <v>45017</v>
      </c>
      <c r="K307" s="235"/>
      <c r="L307" s="246">
        <v>45047</v>
      </c>
      <c r="M307" s="235"/>
      <c r="N307" s="235">
        <v>45078</v>
      </c>
      <c r="O307" s="235"/>
      <c r="P307" s="235">
        <v>45108</v>
      </c>
      <c r="Q307" s="235"/>
      <c r="R307" s="235">
        <v>45139</v>
      </c>
      <c r="S307" s="235"/>
      <c r="T307" s="235">
        <v>45170</v>
      </c>
      <c r="U307" s="235"/>
      <c r="V307" s="235">
        <v>45200</v>
      </c>
      <c r="W307" s="235"/>
      <c r="X307" s="235">
        <v>45231</v>
      </c>
      <c r="Y307" s="235"/>
      <c r="Z307" s="235">
        <v>45261</v>
      </c>
      <c r="AA307" s="235"/>
      <c r="AB307" s="235">
        <v>45292</v>
      </c>
      <c r="AC307" s="235"/>
      <c r="AD307" s="235">
        <v>45323</v>
      </c>
      <c r="AE307" s="235"/>
      <c r="AF307" s="235">
        <v>45352</v>
      </c>
      <c r="AH307" s="235">
        <v>45383</v>
      </c>
      <c r="AJ307" s="235">
        <v>45413</v>
      </c>
      <c r="AL307" s="235">
        <v>45444</v>
      </c>
      <c r="AN307" s="235">
        <v>45474</v>
      </c>
      <c r="AP307" s="235">
        <v>45505</v>
      </c>
      <c r="AR307" s="236">
        <v>45536</v>
      </c>
      <c r="AT307" s="236">
        <v>45566</v>
      </c>
      <c r="AV307" s="235">
        <v>45597</v>
      </c>
      <c r="AX307" s="235">
        <v>45627</v>
      </c>
      <c r="BA307" s="235">
        <v>45658</v>
      </c>
      <c r="BC307" s="235">
        <v>45689</v>
      </c>
      <c r="BE307" s="235">
        <v>45717</v>
      </c>
      <c r="BG307" s="235">
        <v>45748</v>
      </c>
      <c r="BI307" s="235">
        <v>45778</v>
      </c>
      <c r="BK307" s="235">
        <v>45809</v>
      </c>
      <c r="BM307" s="235">
        <v>45839</v>
      </c>
      <c r="BO307" s="235">
        <v>45870</v>
      </c>
      <c r="BQ307" s="235">
        <v>45901</v>
      </c>
      <c r="BS307" s="235">
        <v>45931</v>
      </c>
      <c r="BU307" s="235">
        <v>45962</v>
      </c>
      <c r="BW307" s="235">
        <v>45992</v>
      </c>
      <c r="BY307" s="235">
        <v>46023</v>
      </c>
      <c r="CA307" s="235">
        <v>46054</v>
      </c>
      <c r="CC307" s="235">
        <v>46082</v>
      </c>
      <c r="CE307" s="235">
        <v>46113</v>
      </c>
      <c r="CG307" s="235">
        <v>46143</v>
      </c>
      <c r="CI307" s="341">
        <v>46174</v>
      </c>
    </row>
    <row r="308" spans="1:87">
      <c r="C308" s="213" t="s">
        <v>7</v>
      </c>
      <c r="E308" s="235"/>
      <c r="J308" s="237">
        <v>-6.3</v>
      </c>
      <c r="L308" s="247">
        <v>-4.78</v>
      </c>
      <c r="N308" s="237">
        <v>-9.82</v>
      </c>
      <c r="P308" s="237">
        <v>-30.43</v>
      </c>
      <c r="R308" s="237">
        <v>-29.44</v>
      </c>
      <c r="T308" s="237">
        <v>-22.23</v>
      </c>
      <c r="V308" s="238">
        <v>-22.12</v>
      </c>
      <c r="X308" s="237">
        <v>-21.41</v>
      </c>
      <c r="Z308" s="238">
        <v>-48.47</v>
      </c>
      <c r="AB308" s="238">
        <v>-23.41</v>
      </c>
      <c r="AD308" s="237">
        <v>-35.86</v>
      </c>
      <c r="AF308" s="237">
        <v>-39.25</v>
      </c>
      <c r="AH308" s="237">
        <f>-6.85-0</f>
        <v>-6.85</v>
      </c>
      <c r="AJ308" s="237">
        <v>-35.270000000000003</v>
      </c>
      <c r="AL308" s="237">
        <v>-34.65</v>
      </c>
      <c r="AN308" s="237">
        <v>-32.840000000000003</v>
      </c>
      <c r="AP308" s="237">
        <v>-33.39</v>
      </c>
      <c r="AR308" s="237">
        <f>-22.93-8.32</f>
        <v>-31.25</v>
      </c>
      <c r="AT308" s="237">
        <v>-30.11</v>
      </c>
      <c r="AV308" s="237">
        <v>-24.99</v>
      </c>
      <c r="AX308" s="237">
        <v>-28.39</v>
      </c>
      <c r="BA308" s="237">
        <v>-74.95</v>
      </c>
      <c r="BC308" s="237">
        <v>-27.45</v>
      </c>
      <c r="BE308" s="237">
        <v>-29.43</v>
      </c>
      <c r="BG308" s="237">
        <v>-53.01</v>
      </c>
      <c r="BI308" s="237">
        <v>-47.42</v>
      </c>
      <c r="BK308" s="237">
        <v>-28.45</v>
      </c>
      <c r="BM308" s="237">
        <v>-29.43</v>
      </c>
      <c r="BO308" s="237">
        <v>-29.43</v>
      </c>
      <c r="BQ308" s="237">
        <v>-28.47</v>
      </c>
      <c r="BS308" s="237">
        <v>-30.69</v>
      </c>
      <c r="BU308" s="237">
        <v>-38.78</v>
      </c>
      <c r="BW308" s="237">
        <v>-30.69</v>
      </c>
      <c r="BY308" s="237">
        <v>-31.36</v>
      </c>
      <c r="CA308" s="237">
        <v>-28.34</v>
      </c>
      <c r="CC308" s="237">
        <v>-27.3</v>
      </c>
      <c r="CE308" s="237">
        <v>-26.42</v>
      </c>
      <c r="CG308" s="237">
        <v>-31.36</v>
      </c>
    </row>
    <row r="309" spans="1:87">
      <c r="C309" s="213" t="s">
        <v>8</v>
      </c>
      <c r="J309" s="214">
        <v>23.62</v>
      </c>
      <c r="K309" s="222">
        <f>ABS(((J308+J309)/J308))</f>
        <v>2.7492063492063492</v>
      </c>
      <c r="L309" s="214">
        <v>12.1</v>
      </c>
      <c r="M309" s="266"/>
      <c r="N309" s="214">
        <v>30.13</v>
      </c>
      <c r="O309" s="222">
        <f>ABS(((N308+N309)/N308))</f>
        <v>2.0682281059063135</v>
      </c>
      <c r="P309" s="214">
        <v>30.94</v>
      </c>
      <c r="Q309" s="222">
        <f>ABS(((P308+P309)/P308))</f>
        <v>1.6759776536312901E-2</v>
      </c>
      <c r="R309" s="214">
        <v>31.14</v>
      </c>
      <c r="S309" s="222">
        <f>ABS(((R308+R309)/R308))</f>
        <v>5.7744565217391276E-2</v>
      </c>
      <c r="T309" s="214">
        <v>56.13</v>
      </c>
      <c r="U309" s="222">
        <f>ABS(((T308+T309)/T308))</f>
        <v>1.5249662618083673</v>
      </c>
      <c r="V309" s="213">
        <v>0</v>
      </c>
      <c r="W309" s="213">
        <v>0</v>
      </c>
      <c r="X309" s="214">
        <v>0.67</v>
      </c>
      <c r="Y309" s="213">
        <v>21.34</v>
      </c>
      <c r="Z309" s="213">
        <v>42.36</v>
      </c>
      <c r="AA309" s="213">
        <v>21.34</v>
      </c>
      <c r="AB309" s="213">
        <v>53.44</v>
      </c>
      <c r="AC309" s="222">
        <f>ABS(((AB308+AB309)/AB308))</f>
        <v>1.2827851345578811</v>
      </c>
      <c r="AD309" s="213">
        <v>81.58</v>
      </c>
      <c r="AE309" s="222"/>
      <c r="AF309" s="213">
        <v>98.8</v>
      </c>
      <c r="AG309" s="222">
        <f>ABS(((AF308+AF309)/AF308))</f>
        <v>1.5171974522292992</v>
      </c>
      <c r="AH309" s="214">
        <v>54.37</v>
      </c>
      <c r="AI309" s="222">
        <f>ABS(((AH308+AH309)/AH308))</f>
        <v>6.9372262773722628</v>
      </c>
      <c r="AJ309" s="214">
        <v>22.14</v>
      </c>
      <c r="AK309" s="222">
        <f>ABS(((AJ308+AJ309)/AJ308))</f>
        <v>0.37227105188545512</v>
      </c>
      <c r="AL309" s="214">
        <v>59.87</v>
      </c>
      <c r="AM309" s="222"/>
      <c r="AN309" s="214">
        <v>20.059999999999999</v>
      </c>
      <c r="AO309" s="222"/>
      <c r="AP309" s="214">
        <v>16.29</v>
      </c>
      <c r="AQ309" s="222">
        <f>ABS(((AP308+AP309)/AP308))</f>
        <v>0.5121293800539084</v>
      </c>
      <c r="AR309" s="214">
        <v>59.99</v>
      </c>
      <c r="AS309" s="222">
        <f>ABS(((AR308+AR309)/AR308))</f>
        <v>0.91968000000000005</v>
      </c>
      <c r="AT309" s="214">
        <v>74.7</v>
      </c>
      <c r="AU309" s="222">
        <f>AT310/AT309</f>
        <v>0.59692101740294512</v>
      </c>
      <c r="AV309" s="214">
        <v>39.07</v>
      </c>
      <c r="AW309" s="222">
        <f>AV310/AV309</f>
        <v>0.3603788072690044</v>
      </c>
      <c r="AX309" s="214">
        <v>29.29</v>
      </c>
      <c r="AY309" s="224">
        <f>AX310/AX309</f>
        <v>3.0727210652099646E-2</v>
      </c>
      <c r="AZ309" s="225"/>
      <c r="BA309" s="214">
        <v>123.81</v>
      </c>
      <c r="BB309" s="222">
        <f>BA310/BA309</f>
        <v>0.39463694370406266</v>
      </c>
      <c r="BC309" s="214">
        <v>45.76</v>
      </c>
      <c r="BD309" s="222">
        <f>BC310/BC309</f>
        <v>0.40013111888111885</v>
      </c>
      <c r="BE309" s="214">
        <v>37.03</v>
      </c>
      <c r="BF309" s="222">
        <f>BE310/BE309</f>
        <v>0.20523899540912777</v>
      </c>
      <c r="BG309" s="214">
        <v>75.180000000000007</v>
      </c>
      <c r="BH309" s="222">
        <f>BG310/BG309</f>
        <v>0.29489225857940948</v>
      </c>
      <c r="BI309" s="214">
        <v>58.4</v>
      </c>
      <c r="BJ309" s="222">
        <f>BI310/BI309</f>
        <v>0.18801369863013695</v>
      </c>
      <c r="BK309" s="214">
        <v>45.88</v>
      </c>
      <c r="BL309" s="222">
        <f>BK310/BK309</f>
        <v>0.37990409764603317</v>
      </c>
      <c r="BM309" s="214">
        <v>36.75</v>
      </c>
      <c r="BN309" s="222">
        <f>BM310/BM309</f>
        <v>0.19918367346938776</v>
      </c>
      <c r="BO309" s="214">
        <v>36.75</v>
      </c>
      <c r="BP309" s="222">
        <f>BO310/BO309</f>
        <v>0.19918367346938776</v>
      </c>
      <c r="BQ309" s="214">
        <v>36.75</v>
      </c>
      <c r="BR309" s="222">
        <f>BQ310/BQ309</f>
        <v>0.22530612244897963</v>
      </c>
      <c r="BS309" s="214">
        <v>36.75</v>
      </c>
      <c r="BT309" s="222">
        <f>BS310/BS309</f>
        <v>0.16489795918367345</v>
      </c>
      <c r="BU309" s="214">
        <v>55.79</v>
      </c>
      <c r="BV309" s="222">
        <f>BU310/BU309</f>
        <v>0.30489335006273521</v>
      </c>
      <c r="BW309" s="214">
        <v>41.17</v>
      </c>
      <c r="BX309" s="222">
        <f>BW310/BW309</f>
        <v>0.25455428710225891</v>
      </c>
      <c r="BY309" s="214">
        <v>37.409999999999997</v>
      </c>
      <c r="BZ309" s="222">
        <f>BY310/BY309</f>
        <v>0.16172146484897079</v>
      </c>
      <c r="CA309" s="214">
        <v>36.74</v>
      </c>
      <c r="CB309" s="222">
        <f>CA310/CA309</f>
        <v>0.22863364180729454</v>
      </c>
      <c r="CC309" s="214">
        <v>36.75</v>
      </c>
      <c r="CD309" s="222">
        <f>CC310/CC309</f>
        <v>0.25714285714285712</v>
      </c>
      <c r="CE309" s="214">
        <v>36.75</v>
      </c>
      <c r="CF309" s="222">
        <f>CE310/CE309</f>
        <v>0.28108843537414963</v>
      </c>
      <c r="CG309" s="214">
        <v>36.75</v>
      </c>
      <c r="CH309" s="222">
        <f>CG310/CG309</f>
        <v>0.1466666666666667</v>
      </c>
    </row>
    <row r="310" spans="1:87">
      <c r="C310" s="241" t="s">
        <v>9</v>
      </c>
      <c r="J310" s="214">
        <f>SUM(J308:J309)</f>
        <v>17.32</v>
      </c>
      <c r="L310" s="214">
        <f>SUM(L308:L309)</f>
        <v>7.3199999999999994</v>
      </c>
      <c r="N310" s="214">
        <f>SUM(N308:N309)</f>
        <v>20.309999999999999</v>
      </c>
      <c r="P310" s="214">
        <f>SUM(P308:P309)</f>
        <v>0.51000000000000156</v>
      </c>
      <c r="R310" s="214">
        <f>R308+R309</f>
        <v>1.6999999999999993</v>
      </c>
      <c r="S310" s="214"/>
      <c r="T310" s="214">
        <f>T308+T309</f>
        <v>33.900000000000006</v>
      </c>
      <c r="V310" s="214">
        <f>V308+V309</f>
        <v>-22.12</v>
      </c>
      <c r="X310" s="214">
        <f>X308+X309</f>
        <v>-20.74</v>
      </c>
      <c r="Z310" s="214">
        <f>Z308+Z309</f>
        <v>-6.1099999999999994</v>
      </c>
      <c r="AB310" s="242">
        <f>AB308+AB309</f>
        <v>30.029999999999998</v>
      </c>
      <c r="AD310" s="242">
        <f>AD308+AD309</f>
        <v>45.72</v>
      </c>
      <c r="AF310" s="242">
        <f>AF308+AF309</f>
        <v>59.55</v>
      </c>
      <c r="AH310" s="243">
        <f>AH308+AH309</f>
        <v>47.519999999999996</v>
      </c>
      <c r="AJ310" s="243">
        <f>AJ308+AJ309</f>
        <v>-13.130000000000003</v>
      </c>
      <c r="AL310" s="243">
        <f>AL308+AL309</f>
        <v>25.22</v>
      </c>
      <c r="AN310" s="243">
        <f>AN308+AN309</f>
        <v>-12.780000000000005</v>
      </c>
      <c r="AP310" s="214">
        <f>AP308+AP309</f>
        <v>-17.100000000000001</v>
      </c>
      <c r="AR310" s="214">
        <f>AR308+AR309</f>
        <v>28.740000000000002</v>
      </c>
      <c r="AT310" s="214">
        <f>AT308+AT309</f>
        <v>44.59</v>
      </c>
      <c r="AV310" s="214">
        <f>AV308+AV309</f>
        <v>14.080000000000002</v>
      </c>
      <c r="AX310" s="214">
        <f>AX308+AX309</f>
        <v>0.89999999999999858</v>
      </c>
      <c r="BA310" s="214">
        <f>BA308+BA309</f>
        <v>48.86</v>
      </c>
      <c r="BC310" s="214">
        <f>BC308+BC309</f>
        <v>18.309999999999999</v>
      </c>
      <c r="BE310" s="214">
        <f>BE308+BE309</f>
        <v>7.6000000000000014</v>
      </c>
      <c r="BG310" s="214">
        <f>BG308+BG309</f>
        <v>22.170000000000009</v>
      </c>
      <c r="BI310" s="214">
        <f>BI308+BI309</f>
        <v>10.979999999999997</v>
      </c>
      <c r="BK310" s="214">
        <f>BK308+BK309</f>
        <v>17.430000000000003</v>
      </c>
      <c r="BM310" s="214">
        <f>BM308+BM309</f>
        <v>7.32</v>
      </c>
      <c r="BO310" s="214">
        <f>BO308+BO309</f>
        <v>7.32</v>
      </c>
      <c r="BQ310" s="214">
        <f>BQ308+BQ309</f>
        <v>8.2800000000000011</v>
      </c>
      <c r="BS310" s="214">
        <f>BS308+BS309</f>
        <v>6.0599999999999987</v>
      </c>
      <c r="BU310" s="214">
        <f>BU308+BU309</f>
        <v>17.009999999999998</v>
      </c>
      <c r="BW310" s="214">
        <f>BW308+BW309</f>
        <v>10.48</v>
      </c>
      <c r="BY310" s="214">
        <f>BY308+BY309</f>
        <v>6.0499999999999972</v>
      </c>
      <c r="CA310" s="214">
        <f>CA308+CA309</f>
        <v>8.4000000000000021</v>
      </c>
      <c r="CC310" s="214">
        <f>CC308+CC309</f>
        <v>9.4499999999999993</v>
      </c>
      <c r="CE310" s="214">
        <f>CE308+CE309</f>
        <v>10.329999999999998</v>
      </c>
      <c r="CG310" s="214">
        <f>CG308+CG309</f>
        <v>5.3900000000000006</v>
      </c>
    </row>
    <row r="311" spans="1:87">
      <c r="A311" s="231">
        <v>96</v>
      </c>
      <c r="B311" s="232">
        <v>108120491</v>
      </c>
      <c r="C311" s="213" t="s">
        <v>123</v>
      </c>
      <c r="AP311" s="214"/>
      <c r="AT311" s="214"/>
    </row>
    <row r="312" spans="1:87">
      <c r="C312" s="253" t="s">
        <v>124</v>
      </c>
      <c r="D312" s="246">
        <v>44927</v>
      </c>
      <c r="F312" s="246">
        <v>44958</v>
      </c>
      <c r="H312" s="246">
        <v>44986</v>
      </c>
      <c r="I312" s="235"/>
      <c r="J312" s="235">
        <v>45017</v>
      </c>
      <c r="K312" s="235"/>
      <c r="L312" s="246">
        <v>45047</v>
      </c>
      <c r="M312" s="235"/>
      <c r="N312" s="235">
        <v>45078</v>
      </c>
      <c r="O312" s="235"/>
      <c r="P312" s="235">
        <v>45108</v>
      </c>
      <c r="Q312" s="235"/>
      <c r="R312" s="235">
        <v>45139</v>
      </c>
      <c r="S312" s="235"/>
      <c r="T312" s="235">
        <v>45170</v>
      </c>
      <c r="U312" s="235"/>
      <c r="V312" s="235">
        <v>45200</v>
      </c>
      <c r="W312" s="235"/>
      <c r="X312" s="235">
        <v>45231</v>
      </c>
      <c r="Y312" s="235"/>
      <c r="Z312" s="235">
        <v>45261</v>
      </c>
      <c r="AA312" s="235"/>
      <c r="AB312" s="235">
        <v>45292</v>
      </c>
      <c r="AC312" s="235"/>
      <c r="AD312" s="235">
        <v>45323</v>
      </c>
      <c r="AE312" s="235"/>
      <c r="AF312" s="235">
        <v>45352</v>
      </c>
      <c r="AH312" s="235">
        <v>45383</v>
      </c>
      <c r="AJ312" s="235">
        <v>45413</v>
      </c>
      <c r="AL312" s="235">
        <v>45444</v>
      </c>
      <c r="AN312" s="235">
        <v>45474</v>
      </c>
      <c r="AP312" s="235">
        <v>45505</v>
      </c>
      <c r="AR312" s="236">
        <v>45536</v>
      </c>
      <c r="AT312" s="236">
        <v>45566</v>
      </c>
      <c r="AV312" s="235">
        <v>45597</v>
      </c>
      <c r="AX312" s="235">
        <v>45627</v>
      </c>
      <c r="BA312" s="235">
        <v>45658</v>
      </c>
      <c r="BC312" s="235">
        <v>45689</v>
      </c>
      <c r="BE312" s="235">
        <v>45717</v>
      </c>
      <c r="BG312" s="235">
        <v>45748</v>
      </c>
      <c r="BI312" s="235">
        <v>45778</v>
      </c>
      <c r="BK312" s="235">
        <v>45809</v>
      </c>
      <c r="BM312" s="235">
        <v>45839</v>
      </c>
      <c r="BO312" s="235">
        <v>45870</v>
      </c>
      <c r="BQ312" s="235">
        <v>45901</v>
      </c>
      <c r="BS312" s="235">
        <v>45931</v>
      </c>
      <c r="BU312" s="235">
        <v>45962</v>
      </c>
      <c r="BW312" s="235">
        <v>45992</v>
      </c>
      <c r="BY312" s="235">
        <v>46023</v>
      </c>
      <c r="CA312" s="235">
        <v>46054</v>
      </c>
      <c r="CC312" s="235">
        <v>46082</v>
      </c>
      <c r="CE312" s="235">
        <v>46113</v>
      </c>
      <c r="CG312" s="235">
        <v>46143</v>
      </c>
      <c r="CI312" s="341">
        <v>46174</v>
      </c>
    </row>
    <row r="313" spans="1:87">
      <c r="C313" s="213" t="s">
        <v>7</v>
      </c>
      <c r="E313" s="246"/>
      <c r="F313" s="214">
        <f>-28.5-12.79</f>
        <v>-41.29</v>
      </c>
      <c r="H313" s="237">
        <v>-36.86</v>
      </c>
      <c r="J313" s="237">
        <v>-35.869999999999997</v>
      </c>
      <c r="L313" s="237">
        <v>-36.94</v>
      </c>
      <c r="N313" s="237">
        <f>-2.41-87.56</f>
        <v>-89.97</v>
      </c>
      <c r="P313" s="237">
        <v>-104.98</v>
      </c>
      <c r="R313" s="237">
        <v>-185.37</v>
      </c>
      <c r="T313" s="237">
        <v>-36.549999999999997</v>
      </c>
      <c r="V313" s="237">
        <v>-52.74</v>
      </c>
      <c r="X313" s="237">
        <v>-78.680000000000007</v>
      </c>
      <c r="Z313" s="238">
        <v>-102.51</v>
      </c>
      <c r="AB313" s="238">
        <v>-85.66</v>
      </c>
      <c r="AD313" s="237">
        <v>-52.71</v>
      </c>
      <c r="AF313" s="237">
        <v>-44.58</v>
      </c>
      <c r="AH313" s="237">
        <f>-11.62-34.51</f>
        <v>-46.129999999999995</v>
      </c>
      <c r="AJ313" s="237">
        <v>-59.82</v>
      </c>
      <c r="AL313" s="237">
        <v>-58.75</v>
      </c>
      <c r="AN313" s="237">
        <v>-74.16</v>
      </c>
      <c r="AP313" s="237">
        <v>-82.97</v>
      </c>
      <c r="AR313" s="237">
        <f>-49.19-15.02</f>
        <v>-64.209999999999994</v>
      </c>
      <c r="AT313" s="237">
        <v>-70.17</v>
      </c>
      <c r="AV313" s="237">
        <v>-86.13</v>
      </c>
      <c r="AX313" s="237">
        <v>-116.16</v>
      </c>
      <c r="BA313" s="237">
        <v>-113.27</v>
      </c>
      <c r="BC313" s="237">
        <v>-84.99</v>
      </c>
      <c r="BE313" s="237">
        <v>-84.91</v>
      </c>
      <c r="BG313" s="237">
        <v>-51.15</v>
      </c>
      <c r="BI313" s="237">
        <v>-52.85</v>
      </c>
      <c r="BK313" s="237">
        <v>-117.25</v>
      </c>
      <c r="BM313" s="237">
        <v>-175.56</v>
      </c>
      <c r="BO313" s="237">
        <v>-107.62</v>
      </c>
      <c r="BQ313" s="237">
        <v>-85.7</v>
      </c>
      <c r="BS313" s="237">
        <v>-83.99</v>
      </c>
      <c r="BU313" s="237">
        <v>-103.27</v>
      </c>
      <c r="BW313" s="237">
        <v>-110.82</v>
      </c>
      <c r="BY313" s="237">
        <v>-86.83</v>
      </c>
      <c r="CA313" s="237">
        <v>-83.02</v>
      </c>
      <c r="CC313" s="237">
        <v>-61.06</v>
      </c>
      <c r="CE313" s="237">
        <v>-47.37</v>
      </c>
      <c r="CG313" s="237">
        <v>-98.17</v>
      </c>
    </row>
    <row r="314" spans="1:87">
      <c r="C314" s="213" t="s">
        <v>8</v>
      </c>
      <c r="F314" s="214">
        <v>69.64</v>
      </c>
      <c r="G314" s="222">
        <f>ABS(((F313+F314)/F313))</f>
        <v>0.68660692661661427</v>
      </c>
      <c r="H314" s="214">
        <v>41.92</v>
      </c>
      <c r="I314" s="222">
        <f>ABS(((H313+H314)/H313))</f>
        <v>0.1372761801410744</v>
      </c>
      <c r="J314" s="214">
        <v>26.88</v>
      </c>
      <c r="K314" s="222">
        <v>0</v>
      </c>
      <c r="L314" s="214">
        <v>45.96</v>
      </c>
      <c r="M314" s="222">
        <f>ABS(((L313+L314)/L313))</f>
        <v>0.24417975094748251</v>
      </c>
      <c r="N314" s="214">
        <v>85.09</v>
      </c>
      <c r="O314" s="222">
        <f>ABS(((N313+N314)/N313))</f>
        <v>5.4240302322996502E-2</v>
      </c>
      <c r="P314" s="214">
        <v>87.1</v>
      </c>
      <c r="Q314" s="222"/>
      <c r="R314" s="214">
        <v>211.84</v>
      </c>
      <c r="S314" s="222">
        <f>ABS(((R313+R314)/R313))</f>
        <v>0.1427954901008793</v>
      </c>
      <c r="T314" s="214">
        <v>72.739999999999995</v>
      </c>
      <c r="U314" s="222">
        <f>ABS(((T313+T314)/T313))</f>
        <v>0.99015047879616969</v>
      </c>
      <c r="V314" s="214">
        <v>103.76</v>
      </c>
      <c r="W314" s="222">
        <f>ABS(((V313+V314)/V313))</f>
        <v>0.96738718240424726</v>
      </c>
      <c r="X314" s="214">
        <v>116.23</v>
      </c>
      <c r="Y314" s="222">
        <f>ABS(((X313+X314)/X313))</f>
        <v>0.47724961870869337</v>
      </c>
      <c r="Z314" s="213">
        <v>135.62</v>
      </c>
      <c r="AA314" s="222">
        <f>ABS(((Z313+Z314)/Z313))</f>
        <v>0.32299287874353722</v>
      </c>
      <c r="AB314" s="213">
        <v>122.17</v>
      </c>
      <c r="AC314" s="222">
        <f>ABS(((AB313+AB314)/AB313))</f>
        <v>0.42621993929488683</v>
      </c>
      <c r="AD314" s="213">
        <v>94.25</v>
      </c>
      <c r="AE314" s="222"/>
      <c r="AF314" s="213">
        <v>75.569999999999993</v>
      </c>
      <c r="AG314" s="222">
        <f>ABS(((AF313+AF314)/AF313))</f>
        <v>0.69515477792732161</v>
      </c>
      <c r="AH314" s="214">
        <v>87.52</v>
      </c>
      <c r="AI314" s="222">
        <f>ABS(((AH313+AH314)/AH313))</f>
        <v>0.89724691090396713</v>
      </c>
      <c r="AJ314" s="214">
        <v>43.21</v>
      </c>
      <c r="AK314" s="222">
        <f>ABS(((AJ313+AJ314)/AJ313))</f>
        <v>0.27766633233032428</v>
      </c>
      <c r="AL314" s="214">
        <v>89.11</v>
      </c>
      <c r="AM314" s="222">
        <f>ABS(((AL313+AL314)/AL313))</f>
        <v>0.51676595744680853</v>
      </c>
      <c r="AN314" s="214">
        <v>147.4</v>
      </c>
      <c r="AO314" s="222">
        <f>ABS(((AN313+AN314)/AN313))</f>
        <v>0.98759439050701203</v>
      </c>
      <c r="AP314" s="214">
        <v>156.54</v>
      </c>
      <c r="AQ314" s="222">
        <f>ABS(((AP313+AP314)/AP313))</f>
        <v>0.88670603832710615</v>
      </c>
      <c r="AR314" s="214">
        <v>117.58</v>
      </c>
      <c r="AS314" s="222">
        <f>ABS(((AR313+AR314)/AR313))</f>
        <v>0.83117894408970583</v>
      </c>
      <c r="AT314" s="214">
        <v>132.99</v>
      </c>
      <c r="AU314" s="222">
        <f>AT315/AT314</f>
        <v>0.47236634333408528</v>
      </c>
      <c r="AV314" s="214">
        <v>133.44999999999999</v>
      </c>
      <c r="AW314" s="222">
        <f>AV315/AV314</f>
        <v>0.35458973398276505</v>
      </c>
      <c r="AX314" s="214">
        <v>171.27</v>
      </c>
      <c r="AY314" s="224">
        <f>AX315/AX314</f>
        <v>0.32177263969171488</v>
      </c>
      <c r="AZ314" s="225"/>
      <c r="BA314" s="214">
        <v>189.54</v>
      </c>
      <c r="BB314" s="222">
        <f>BA315/BA314</f>
        <v>0.40239527276564313</v>
      </c>
      <c r="BC314" s="214">
        <v>125.93</v>
      </c>
      <c r="BD314" s="222">
        <f>BC315/BC314</f>
        <v>0.32510124672437074</v>
      </c>
      <c r="BE314" s="214">
        <v>130.88</v>
      </c>
      <c r="BF314" s="222">
        <f>BE315/BE314</f>
        <v>0.35123777506112469</v>
      </c>
      <c r="BG314" s="214">
        <v>74.78</v>
      </c>
      <c r="BH314" s="222">
        <f>BG315/BG314</f>
        <v>0.31599358117143622</v>
      </c>
      <c r="BI314" s="214">
        <v>74.77</v>
      </c>
      <c r="BJ314" s="222">
        <f>BI315/BI314</f>
        <v>0.29316570817172655</v>
      </c>
      <c r="BK314" s="214">
        <v>189.36</v>
      </c>
      <c r="BL314" s="222">
        <f>BK315/BK314</f>
        <v>0.38080904098014368</v>
      </c>
      <c r="BM314" s="214">
        <v>238.23</v>
      </c>
      <c r="BN314" s="222">
        <f>BM315/BM314</f>
        <v>0.26306510515048476</v>
      </c>
      <c r="BO314" s="214">
        <v>161.88</v>
      </c>
      <c r="BP314" s="222">
        <f>BO315/BO314</f>
        <v>0.33518655794415614</v>
      </c>
      <c r="BQ314" s="214">
        <v>132.79</v>
      </c>
      <c r="BR314" s="222">
        <f>BQ315/BQ314</f>
        <v>0.35462007681301294</v>
      </c>
      <c r="BS314" s="214">
        <v>127.18</v>
      </c>
      <c r="BT314" s="222">
        <f>BS315/BS314</f>
        <v>0.33959742097814127</v>
      </c>
      <c r="BU314" s="214">
        <v>141.5</v>
      </c>
      <c r="BV314" s="222">
        <f>BU315/BU314</f>
        <v>0.27017667844522969</v>
      </c>
      <c r="BW314" s="214">
        <v>148.44999999999999</v>
      </c>
      <c r="BX314" s="222">
        <f>BW315/BW314</f>
        <v>0.25348602222970695</v>
      </c>
      <c r="BY314" s="214">
        <v>118.66</v>
      </c>
      <c r="BZ314" s="222">
        <f>BY315/BY314</f>
        <v>0.26824540704533961</v>
      </c>
      <c r="CA314" s="214">
        <v>126.26</v>
      </c>
      <c r="CB314" s="222">
        <f>CA315/CA314</f>
        <v>0.3424679233328054</v>
      </c>
      <c r="CC314" s="214">
        <v>109.13</v>
      </c>
      <c r="CD314" s="222">
        <f>CC315/CC314</f>
        <v>0.44048382662879132</v>
      </c>
      <c r="CE314" s="214">
        <v>69.569999999999993</v>
      </c>
      <c r="CF314" s="222">
        <f>CE315/CE314</f>
        <v>0.31910306166451052</v>
      </c>
      <c r="CG314" s="214">
        <v>148.68</v>
      </c>
      <c r="CH314" s="222">
        <f>CG315/CG314</f>
        <v>0.33972289480764056</v>
      </c>
    </row>
    <row r="315" spans="1:87">
      <c r="C315" s="241" t="s">
        <v>9</v>
      </c>
      <c r="F315" s="214">
        <f>SUM(F313:F314)</f>
        <v>28.35</v>
      </c>
      <c r="H315" s="214">
        <f>SUM(H313:H314)</f>
        <v>5.0600000000000023</v>
      </c>
      <c r="J315" s="214">
        <f>SUM(J313:J314)</f>
        <v>-8.9899999999999984</v>
      </c>
      <c r="L315" s="214">
        <f>SUM(L313:L314)</f>
        <v>9.0200000000000031</v>
      </c>
      <c r="N315" s="214">
        <f>SUM(N313:N314)</f>
        <v>-4.8799999999999955</v>
      </c>
      <c r="P315" s="214">
        <f>SUM(P313:P314)</f>
        <v>-17.88000000000001</v>
      </c>
      <c r="R315" s="214">
        <f>R313+R314</f>
        <v>26.47</v>
      </c>
      <c r="S315" s="214"/>
      <c r="T315" s="214">
        <f>T313+T314</f>
        <v>36.19</v>
      </c>
      <c r="V315" s="214">
        <f>V313+V314</f>
        <v>51.02</v>
      </c>
      <c r="X315" s="214">
        <f>X313+X314</f>
        <v>37.549999999999997</v>
      </c>
      <c r="Z315" s="214">
        <f>Z313+Z314</f>
        <v>33.11</v>
      </c>
      <c r="AB315" s="242">
        <f>AB313+AB314</f>
        <v>36.510000000000005</v>
      </c>
      <c r="AD315" s="242">
        <f>AD313+AD314</f>
        <v>41.54</v>
      </c>
      <c r="AF315" s="242">
        <f>AF313+AF314</f>
        <v>30.989999999999995</v>
      </c>
      <c r="AH315" s="243">
        <f>AH313+AH314</f>
        <v>41.39</v>
      </c>
      <c r="AJ315" s="243">
        <f>AJ313+AJ314</f>
        <v>-16.61</v>
      </c>
      <c r="AL315" s="243">
        <f>AL313+AL314</f>
        <v>30.36</v>
      </c>
      <c r="AN315" s="243">
        <f>AN313+AN314</f>
        <v>73.240000000000009</v>
      </c>
      <c r="AP315" s="214">
        <f>AP313+AP314</f>
        <v>73.569999999999993</v>
      </c>
      <c r="AR315" s="214">
        <f>AR313+AR314</f>
        <v>53.370000000000005</v>
      </c>
      <c r="AT315" s="214">
        <f>AT313+AT314</f>
        <v>62.820000000000007</v>
      </c>
      <c r="AV315" s="214">
        <f>AV313+AV314</f>
        <v>47.319999999999993</v>
      </c>
      <c r="AX315" s="214">
        <f>AX313+AX314</f>
        <v>55.110000000000014</v>
      </c>
      <c r="BA315" s="214">
        <f>BA313+BA314</f>
        <v>76.27</v>
      </c>
      <c r="BC315" s="214">
        <f>BC313+BC314</f>
        <v>40.940000000000012</v>
      </c>
      <c r="BE315" s="214">
        <f>BE313+BE314</f>
        <v>45.97</v>
      </c>
      <c r="BG315" s="214">
        <f>BG313+BG314</f>
        <v>23.630000000000003</v>
      </c>
      <c r="BI315" s="214">
        <f>BI313+BI314</f>
        <v>21.919999999999995</v>
      </c>
      <c r="BK315" s="214">
        <f>BK313+BK314</f>
        <v>72.110000000000014</v>
      </c>
      <c r="BM315" s="214">
        <f>BM313+BM314</f>
        <v>62.669999999999987</v>
      </c>
      <c r="BO315" s="214">
        <f>BO313+BO314</f>
        <v>54.259999999999991</v>
      </c>
      <c r="BQ315" s="214">
        <f>BQ313+BQ314</f>
        <v>47.089999999999989</v>
      </c>
      <c r="BS315" s="214">
        <f>BS313+BS314</f>
        <v>43.190000000000012</v>
      </c>
      <c r="BU315" s="214">
        <f>BU313+BU314</f>
        <v>38.230000000000004</v>
      </c>
      <c r="BW315" s="214">
        <f>BW313+BW314</f>
        <v>37.629999999999995</v>
      </c>
      <c r="BY315" s="214">
        <f>BY313+BY314</f>
        <v>31.83</v>
      </c>
      <c r="CA315" s="214">
        <f>CA313+CA314</f>
        <v>43.240000000000009</v>
      </c>
      <c r="CC315" s="214">
        <f>CC313+CC314</f>
        <v>48.069999999999993</v>
      </c>
      <c r="CE315" s="214">
        <f>CE313+CE314</f>
        <v>22.199999999999996</v>
      </c>
      <c r="CG315" s="214">
        <f>CG313+CG314</f>
        <v>50.510000000000005</v>
      </c>
    </row>
    <row r="316" spans="1:87">
      <c r="A316" s="211">
        <v>97</v>
      </c>
      <c r="B316" s="232">
        <v>595009827</v>
      </c>
      <c r="C316" s="213" t="s">
        <v>125</v>
      </c>
      <c r="AP316" s="214"/>
      <c r="AT316" s="214"/>
    </row>
    <row r="317" spans="1:87">
      <c r="C317" s="253" t="s">
        <v>383</v>
      </c>
      <c r="D317" s="246">
        <v>44927</v>
      </c>
      <c r="F317" s="246">
        <v>44958</v>
      </c>
      <c r="H317" s="246">
        <v>44986</v>
      </c>
      <c r="I317" s="235"/>
      <c r="J317" s="235">
        <v>45017</v>
      </c>
      <c r="K317" s="235"/>
      <c r="L317" s="246">
        <v>45047</v>
      </c>
      <c r="M317" s="235"/>
      <c r="N317" s="235">
        <v>45078</v>
      </c>
      <c r="O317" s="235"/>
      <c r="P317" s="235">
        <v>45108</v>
      </c>
      <c r="Q317" s="235"/>
      <c r="R317" s="235">
        <v>45139</v>
      </c>
      <c r="S317" s="235"/>
      <c r="T317" s="235">
        <v>45170</v>
      </c>
      <c r="U317" s="235"/>
      <c r="V317" s="235">
        <v>45200</v>
      </c>
      <c r="W317" s="235"/>
      <c r="X317" s="235">
        <v>45231</v>
      </c>
      <c r="Y317" s="235"/>
      <c r="Z317" s="235">
        <v>45261</v>
      </c>
      <c r="AA317" s="235"/>
      <c r="AB317" s="235">
        <v>45292</v>
      </c>
      <c r="AC317" s="235"/>
      <c r="AD317" s="235">
        <v>45323</v>
      </c>
      <c r="AE317" s="235"/>
      <c r="AF317" s="235">
        <v>45352</v>
      </c>
      <c r="AH317" s="235">
        <v>45383</v>
      </c>
      <c r="AJ317" s="235">
        <v>45413</v>
      </c>
      <c r="AL317" s="235">
        <v>45444</v>
      </c>
      <c r="AN317" s="235">
        <v>45474</v>
      </c>
      <c r="AP317" s="235">
        <v>45505</v>
      </c>
      <c r="AR317" s="236">
        <v>45536</v>
      </c>
      <c r="AT317" s="236">
        <v>45566</v>
      </c>
      <c r="AV317" s="235">
        <v>45597</v>
      </c>
      <c r="AX317" s="235">
        <v>45627</v>
      </c>
      <c r="BA317" s="235">
        <v>45658</v>
      </c>
      <c r="BC317" s="235">
        <v>45689</v>
      </c>
      <c r="BE317" s="235">
        <v>45717</v>
      </c>
      <c r="BG317" s="235">
        <v>45748</v>
      </c>
      <c r="BI317" s="235">
        <v>45778</v>
      </c>
      <c r="BK317" s="235">
        <v>45809</v>
      </c>
      <c r="BM317" s="235">
        <v>45839</v>
      </c>
      <c r="BO317" s="235">
        <v>45870</v>
      </c>
      <c r="BQ317" s="235">
        <v>45901</v>
      </c>
      <c r="BS317" s="235">
        <v>45931</v>
      </c>
      <c r="BU317" s="235">
        <v>45962</v>
      </c>
      <c r="BW317" s="235">
        <v>45992</v>
      </c>
      <c r="BY317" s="235">
        <v>46023</v>
      </c>
      <c r="CA317" s="235">
        <v>46054</v>
      </c>
      <c r="CC317" s="235">
        <v>46082</v>
      </c>
      <c r="CE317" s="235">
        <v>46113</v>
      </c>
      <c r="CG317" s="235">
        <v>46143</v>
      </c>
      <c r="CI317" s="341">
        <v>46174</v>
      </c>
    </row>
    <row r="318" spans="1:87">
      <c r="C318" s="213" t="s">
        <v>7</v>
      </c>
      <c r="E318" s="246"/>
      <c r="F318" s="214">
        <v>-626.61</v>
      </c>
      <c r="H318" s="237">
        <v>-292.33999999999997</v>
      </c>
      <c r="J318" s="237">
        <v>-101.82</v>
      </c>
      <c r="L318" s="237">
        <v>-191.14</v>
      </c>
      <c r="N318" s="237">
        <v>-381.38</v>
      </c>
      <c r="P318" s="237">
        <v>-703.58</v>
      </c>
      <c r="R318" s="237">
        <v>-609.34</v>
      </c>
      <c r="T318" s="237">
        <v>-502</v>
      </c>
      <c r="V318" s="237">
        <v>-393.76</v>
      </c>
      <c r="X318" s="237">
        <v>-315.54000000000002</v>
      </c>
      <c r="Z318" s="238">
        <v>-469.26</v>
      </c>
      <c r="AB318" s="238">
        <v>-674.83</v>
      </c>
      <c r="AD318" s="237">
        <v>-306.89999999999998</v>
      </c>
      <c r="AF318" s="237">
        <v>-138.27000000000001</v>
      </c>
      <c r="AH318" s="237">
        <v>-113.28</v>
      </c>
      <c r="AJ318" s="237">
        <v>-142.81</v>
      </c>
      <c r="AL318" s="237">
        <v>-302.60000000000002</v>
      </c>
      <c r="AN318" s="237">
        <v>-661.97</v>
      </c>
      <c r="AP318" s="237">
        <v>-707.47</v>
      </c>
      <c r="AR318" s="237">
        <v>-452.13</v>
      </c>
      <c r="AT318" s="237">
        <v>-438.6</v>
      </c>
      <c r="AV318" s="237">
        <v>-570.85</v>
      </c>
      <c r="AX318" s="237">
        <v>-732.8</v>
      </c>
      <c r="BA318" s="237">
        <v>-834.52</v>
      </c>
      <c r="BC318" s="237">
        <v>-512.14</v>
      </c>
      <c r="BE318" s="237">
        <v>-521.24</v>
      </c>
      <c r="BG318" s="237">
        <v>-249.28</v>
      </c>
      <c r="BI318" s="237">
        <v>-296.04000000000002</v>
      </c>
      <c r="BK318" s="237">
        <v>-455.64</v>
      </c>
      <c r="BM318" s="237">
        <v>-852.32</v>
      </c>
      <c r="BO318" s="237">
        <v>-565.09</v>
      </c>
      <c r="BQ318" s="237">
        <v>-498.25</v>
      </c>
      <c r="BS318" s="237">
        <f>-89.8-420.35-11.74</f>
        <v>-521.89</v>
      </c>
      <c r="BU318" s="237">
        <f>-340.41-21.97</f>
        <v>-362.38</v>
      </c>
      <c r="BW318" s="237">
        <f>-659.16-23.6</f>
        <v>-682.76</v>
      </c>
      <c r="BY318" s="237">
        <f>-708.05-16.17</f>
        <v>-724.21999999999991</v>
      </c>
      <c r="CA318" s="237">
        <f>-436.66-15.1</f>
        <v>-451.76000000000005</v>
      </c>
      <c r="CC318" s="237">
        <f>-453.02-8.49</f>
        <v>-461.51</v>
      </c>
      <c r="CE318" s="237">
        <f>-246.18-11.15</f>
        <v>-257.33</v>
      </c>
      <c r="CG318" s="237">
        <v>-334.41</v>
      </c>
    </row>
    <row r="319" spans="1:87">
      <c r="C319" s="213" t="s">
        <v>8</v>
      </c>
      <c r="F319" s="214">
        <v>809.88</v>
      </c>
      <c r="G319" s="222">
        <f>ABS(((F318+F319)/F318))</f>
        <v>0.29247857519030973</v>
      </c>
      <c r="H319" s="214">
        <v>511.42</v>
      </c>
      <c r="I319" s="222">
        <f>ABS(((H318+H319)/H318))</f>
        <v>0.74940138195252126</v>
      </c>
      <c r="J319" s="214">
        <v>262.36</v>
      </c>
      <c r="K319" s="222">
        <f>ABS(((J318+J319)/J318))</f>
        <v>1.5767039874287962</v>
      </c>
      <c r="L319" s="214">
        <v>423.02</v>
      </c>
      <c r="M319" s="222">
        <f>ABS(((L318+L319)/L318))</f>
        <v>1.2131421994349691</v>
      </c>
      <c r="N319" s="214">
        <v>597.63</v>
      </c>
      <c r="O319" s="222">
        <f>ABS(((N318+N319)/N318))</f>
        <v>0.56701977030782946</v>
      </c>
      <c r="P319" s="214">
        <v>978.36</v>
      </c>
      <c r="Q319" s="222">
        <f>ABS(((P318+P319)/P318))</f>
        <v>0.39054549589243576</v>
      </c>
      <c r="R319" s="214">
        <v>907.41</v>
      </c>
      <c r="S319" s="222">
        <f>ABS(((R318+R319)/R318))</f>
        <v>0.48916860865854844</v>
      </c>
      <c r="T319" s="214">
        <v>730.43</v>
      </c>
      <c r="U319" s="222">
        <f>ABS(((T318+T319)/T318))</f>
        <v>0.45503984063745012</v>
      </c>
      <c r="V319" s="214">
        <v>537.86</v>
      </c>
      <c r="W319" s="222">
        <f>ABS(((V318+V319)/V318))</f>
        <v>0.3659589597724503</v>
      </c>
      <c r="X319" s="214">
        <v>545.71</v>
      </c>
      <c r="Z319" s="213">
        <v>965.62</v>
      </c>
      <c r="AB319" s="260">
        <v>1077.08</v>
      </c>
      <c r="AD319" s="260">
        <v>583.52</v>
      </c>
      <c r="AF319" s="214">
        <v>440.03</v>
      </c>
      <c r="AG319" s="222">
        <f>ABS(((AF318+AF319)/AF318))</f>
        <v>2.1823967599623924</v>
      </c>
      <c r="AH319" s="214">
        <v>369.36</v>
      </c>
      <c r="AI319" s="222">
        <f>ABS(((AH318+AH319)/AH318))</f>
        <v>2.2605932203389836</v>
      </c>
      <c r="AJ319" s="214">
        <v>458.02</v>
      </c>
      <c r="AK319" s="222">
        <f>ABS(((AJ318+AJ319)/AJ318))</f>
        <v>2.2071983754639031</v>
      </c>
      <c r="AL319" s="214">
        <v>564.35</v>
      </c>
      <c r="AM319" s="222">
        <f>ABS(((AL318+AL319)/AL318))</f>
        <v>0.86500330469266351</v>
      </c>
      <c r="AN319" s="214">
        <v>1167.19</v>
      </c>
      <c r="AO319" s="222">
        <f>ABS(((AN318+AN319)/AN318))</f>
        <v>0.76320679184857321</v>
      </c>
      <c r="AP319" s="214">
        <v>1131.8599999999999</v>
      </c>
      <c r="AQ319" s="222">
        <f>ABS(((AP318+AP319)/AP318))</f>
        <v>0.59986995915021113</v>
      </c>
      <c r="AR319" s="214">
        <v>610.86</v>
      </c>
      <c r="AS319" s="222">
        <f>ABS(((AR318+AR319)/AR318))</f>
        <v>0.35107159445292285</v>
      </c>
      <c r="AT319" s="214">
        <v>553.94000000000005</v>
      </c>
      <c r="AU319" s="222">
        <f>AT320/AT319</f>
        <v>0.20821749647976318</v>
      </c>
      <c r="AV319" s="214">
        <v>544.65</v>
      </c>
      <c r="AW319" s="222">
        <f>AV320/AV319</f>
        <v>-4.810428715688983E-2</v>
      </c>
      <c r="AX319" s="214">
        <v>727.09</v>
      </c>
      <c r="AY319" s="224">
        <f>AX320/AX319</f>
        <v>-7.8532231223093739E-3</v>
      </c>
      <c r="AZ319" s="225"/>
      <c r="BA319" s="214">
        <v>952.35</v>
      </c>
      <c r="BB319" s="222">
        <f>BA320/BA319</f>
        <v>0.12372552107943512</v>
      </c>
      <c r="BC319" s="214">
        <v>581.27</v>
      </c>
      <c r="BD319" s="222">
        <f>BC320/BC319</f>
        <v>0.11892924114439073</v>
      </c>
      <c r="BE319" s="214">
        <v>746.2</v>
      </c>
      <c r="BF319" s="222">
        <f>BE320/BE319</f>
        <v>0.30147413562047709</v>
      </c>
      <c r="BG319" s="214">
        <v>543.77</v>
      </c>
      <c r="BH319" s="222">
        <f>BG320/BG319</f>
        <v>0.54157088474906678</v>
      </c>
      <c r="BI319" s="214">
        <v>442.06</v>
      </c>
      <c r="BJ319" s="222">
        <f>BI320/BI319</f>
        <v>0.33031715151789348</v>
      </c>
      <c r="BK319" s="214">
        <v>643.80999999999995</v>
      </c>
      <c r="BL319" s="222">
        <f>BK320/BK319</f>
        <v>0.29227567139373412</v>
      </c>
      <c r="BM319" s="214">
        <v>881.89</v>
      </c>
      <c r="BN319" s="222">
        <f>BM320/BM319</f>
        <v>3.3530258875823442E-2</v>
      </c>
      <c r="BO319" s="214">
        <v>963.15</v>
      </c>
      <c r="BP319" s="222">
        <f>BO320/BO319</f>
        <v>0.41328972641852252</v>
      </c>
      <c r="BQ319" s="214">
        <v>800.92</v>
      </c>
      <c r="BR319" s="222">
        <f>BQ320/BQ319</f>
        <v>0.37790291165160061</v>
      </c>
      <c r="BS319" s="214">
        <v>588.39</v>
      </c>
      <c r="BT319" s="222">
        <f>BS320/BS319</f>
        <v>0.11302027566749945</v>
      </c>
      <c r="BU319" s="214">
        <v>478.95</v>
      </c>
      <c r="BV319" s="222">
        <f>BU320/BU319</f>
        <v>0.24338657479903955</v>
      </c>
      <c r="BW319" s="214">
        <v>812.61</v>
      </c>
      <c r="BX319" s="222">
        <f>BW320/BW319</f>
        <v>0.15979375099986465</v>
      </c>
      <c r="BY319" s="214">
        <v>783.67</v>
      </c>
      <c r="BZ319" s="222">
        <f>BY320/BY319</f>
        <v>7.586101292635937E-2</v>
      </c>
      <c r="CA319" s="214">
        <v>595.95000000000005</v>
      </c>
      <c r="CB319" s="222">
        <f>CA320/CA319</f>
        <v>0.24194982800570516</v>
      </c>
      <c r="CC319" s="214">
        <v>634.87</v>
      </c>
      <c r="CD319" s="222">
        <f>CC320/CC319</f>
        <v>0.2730637768362027</v>
      </c>
      <c r="CE319" s="214">
        <v>433.2</v>
      </c>
      <c r="CF319" s="222">
        <f>CE320/CE319</f>
        <v>0.40597876269621425</v>
      </c>
      <c r="CG319" s="214">
        <v>544.11</v>
      </c>
      <c r="CH319" s="222">
        <f>CG320/CG319</f>
        <v>0.38540001102718197</v>
      </c>
    </row>
    <row r="320" spans="1:87">
      <c r="C320" s="241" t="s">
        <v>9</v>
      </c>
      <c r="F320" s="214">
        <f>SUM(F318:F319)</f>
        <v>183.26999999999998</v>
      </c>
      <c r="H320" s="214">
        <f>SUM(H318:H319)</f>
        <v>219.08000000000004</v>
      </c>
      <c r="J320" s="214">
        <f>SUM(J318:J319)</f>
        <v>160.54000000000002</v>
      </c>
      <c r="L320" s="214">
        <f>SUM(L318:L319)</f>
        <v>231.88</v>
      </c>
      <c r="N320" s="214">
        <f>SUM(N318:N319)</f>
        <v>216.25</v>
      </c>
      <c r="P320" s="214">
        <f>SUM(P318:P319)</f>
        <v>274.77999999999997</v>
      </c>
      <c r="R320" s="214">
        <f>R318+R319</f>
        <v>298.06999999999994</v>
      </c>
      <c r="S320" s="214"/>
      <c r="T320" s="214">
        <f>T318+T319</f>
        <v>228.42999999999995</v>
      </c>
      <c r="V320" s="214">
        <f>V318+V319</f>
        <v>144.10000000000002</v>
      </c>
      <c r="X320" s="214">
        <f>X318+X319</f>
        <v>230.17000000000002</v>
      </c>
      <c r="Z320" s="214">
        <f>Z318+Z319</f>
        <v>496.36</v>
      </c>
      <c r="AB320" s="242">
        <f>AB318+AB319</f>
        <v>402.24999999999989</v>
      </c>
      <c r="AD320" s="242">
        <f>AD318+AD319</f>
        <v>276.62</v>
      </c>
      <c r="AF320" s="242">
        <f>AF318+AF319</f>
        <v>301.76</v>
      </c>
      <c r="AH320" s="242">
        <f>AH318+AH319</f>
        <v>256.08000000000004</v>
      </c>
      <c r="AJ320" s="242">
        <f>AJ318+AJ319</f>
        <v>315.20999999999998</v>
      </c>
      <c r="AL320" s="242">
        <f>AL318+AL319</f>
        <v>261.75</v>
      </c>
      <c r="AN320" s="242">
        <f>AN318+AN319</f>
        <v>505.22</v>
      </c>
      <c r="AP320" s="214">
        <f>AP318+AP319</f>
        <v>424.38999999999987</v>
      </c>
      <c r="AR320" s="214">
        <f>AR318+AR319</f>
        <v>158.73000000000002</v>
      </c>
      <c r="AT320" s="214">
        <f>AT318+AT319</f>
        <v>115.34000000000003</v>
      </c>
      <c r="AV320" s="214">
        <f>AV318+AV319</f>
        <v>-26.200000000000045</v>
      </c>
      <c r="AX320" s="214">
        <f>AX318+AX319</f>
        <v>-5.7099999999999227</v>
      </c>
      <c r="BA320" s="214">
        <f>BA318+BA319</f>
        <v>117.83000000000004</v>
      </c>
      <c r="BC320" s="214">
        <f>BC318+BC319</f>
        <v>69.13</v>
      </c>
      <c r="BE320" s="214">
        <f>BE318+BE319</f>
        <v>224.96000000000004</v>
      </c>
      <c r="BG320" s="214">
        <f>BG318+BG319</f>
        <v>294.49</v>
      </c>
      <c r="BI320" s="214">
        <f>BI318+BI319</f>
        <v>146.01999999999998</v>
      </c>
      <c r="BK320" s="214">
        <f>BK318+BK319</f>
        <v>188.16999999999996</v>
      </c>
      <c r="BM320" s="214">
        <f>BM318+BM319</f>
        <v>29.569999999999936</v>
      </c>
      <c r="BO320" s="214">
        <f>BO318+BO319</f>
        <v>398.05999999999995</v>
      </c>
      <c r="BQ320" s="214">
        <f>BQ318+BQ319</f>
        <v>302.66999999999996</v>
      </c>
      <c r="BS320" s="214">
        <f>BS318+BS319</f>
        <v>66.5</v>
      </c>
      <c r="BU320" s="214">
        <f>BU318+BU319</f>
        <v>116.57</v>
      </c>
      <c r="BW320" s="214">
        <f>BW318+BW319</f>
        <v>129.85000000000002</v>
      </c>
      <c r="BY320" s="214">
        <f>BY318+BY319</f>
        <v>59.450000000000045</v>
      </c>
      <c r="CA320" s="214">
        <f>CA318+CA319</f>
        <v>144.19</v>
      </c>
      <c r="CC320" s="214">
        <f>CC318+CC319</f>
        <v>173.36</v>
      </c>
      <c r="CE320" s="214">
        <f>CE318+CE319</f>
        <v>175.87</v>
      </c>
      <c r="CG320" s="214">
        <f>CG318+CG319</f>
        <v>209.7</v>
      </c>
    </row>
    <row r="321" spans="1:87">
      <c r="A321" s="231">
        <v>98</v>
      </c>
      <c r="B321" s="232">
        <v>129072187</v>
      </c>
      <c r="C321" s="213" t="s">
        <v>126</v>
      </c>
      <c r="AP321" s="214"/>
      <c r="AT321" s="214"/>
    </row>
    <row r="322" spans="1:87">
      <c r="C322" s="253" t="s">
        <v>255</v>
      </c>
      <c r="D322" s="246">
        <v>44927</v>
      </c>
      <c r="F322" s="235">
        <v>44958</v>
      </c>
      <c r="G322" s="235"/>
      <c r="H322" s="235">
        <v>44986</v>
      </c>
      <c r="I322" s="235"/>
      <c r="J322" s="235">
        <v>45017</v>
      </c>
      <c r="K322" s="235"/>
      <c r="L322" s="246">
        <v>45047</v>
      </c>
      <c r="M322" s="235"/>
      <c r="N322" s="235">
        <v>45078</v>
      </c>
      <c r="O322" s="235"/>
      <c r="P322" s="235">
        <v>45108</v>
      </c>
      <c r="Q322" s="235"/>
      <c r="R322" s="235">
        <v>45139</v>
      </c>
      <c r="S322" s="235"/>
      <c r="T322" s="235">
        <v>45170</v>
      </c>
      <c r="U322" s="235"/>
      <c r="V322" s="235">
        <v>45200</v>
      </c>
      <c r="W322" s="235"/>
      <c r="X322" s="235">
        <v>45231</v>
      </c>
      <c r="Y322" s="235"/>
      <c r="Z322" s="235">
        <v>45261</v>
      </c>
      <c r="AA322" s="235"/>
      <c r="AB322" s="235">
        <v>45292</v>
      </c>
      <c r="AC322" s="235"/>
      <c r="AD322" s="235">
        <v>45323</v>
      </c>
      <c r="AE322" s="235"/>
      <c r="AF322" s="235">
        <v>45352</v>
      </c>
      <c r="AH322" s="235">
        <v>45383</v>
      </c>
      <c r="AJ322" s="235">
        <v>45413</v>
      </c>
      <c r="AL322" s="235">
        <v>45444</v>
      </c>
      <c r="AN322" s="235">
        <v>45474</v>
      </c>
      <c r="AP322" s="235">
        <v>45505</v>
      </c>
      <c r="AR322" s="236">
        <v>45536</v>
      </c>
      <c r="AT322" s="236">
        <v>45566</v>
      </c>
      <c r="AV322" s="235">
        <v>45597</v>
      </c>
      <c r="AX322" s="235">
        <v>45627</v>
      </c>
      <c r="BA322" s="235">
        <v>45658</v>
      </c>
      <c r="BC322" s="235">
        <v>45689</v>
      </c>
      <c r="BE322" s="235">
        <v>45717</v>
      </c>
      <c r="BG322" s="235">
        <v>45748</v>
      </c>
      <c r="BI322" s="235">
        <v>45778</v>
      </c>
      <c r="BK322" s="235">
        <v>45809</v>
      </c>
      <c r="BM322" s="235">
        <v>45839</v>
      </c>
      <c r="BO322" s="235">
        <v>45870</v>
      </c>
      <c r="BQ322" s="235">
        <v>45901</v>
      </c>
      <c r="BS322" s="235">
        <v>45931</v>
      </c>
      <c r="BU322" s="235">
        <v>45962</v>
      </c>
      <c r="BW322" s="235">
        <v>45992</v>
      </c>
      <c r="BY322" s="235">
        <v>46023</v>
      </c>
      <c r="CA322" s="235">
        <v>46054</v>
      </c>
      <c r="CC322" s="235">
        <v>46082</v>
      </c>
      <c r="CE322" s="235">
        <v>46113</v>
      </c>
      <c r="CG322" s="235">
        <v>46143</v>
      </c>
      <c r="CI322" s="341">
        <v>46174</v>
      </c>
    </row>
    <row r="323" spans="1:87">
      <c r="C323" s="213" t="s">
        <v>7</v>
      </c>
      <c r="E323" s="246"/>
      <c r="L323" s="238">
        <v>-4.78</v>
      </c>
      <c r="N323" s="238">
        <v>-28.94</v>
      </c>
      <c r="P323" s="237">
        <v>-29.75</v>
      </c>
      <c r="R323" s="237">
        <v>-29.76</v>
      </c>
      <c r="T323" s="237">
        <v>-23.35</v>
      </c>
      <c r="V323" s="237">
        <v>-24.13</v>
      </c>
      <c r="X323" s="237">
        <v>-23.35</v>
      </c>
      <c r="Z323" s="238">
        <v>-25.76</v>
      </c>
      <c r="AB323" s="247">
        <v>0</v>
      </c>
      <c r="AD323" s="238">
        <v>-22.81</v>
      </c>
      <c r="AF323" s="238">
        <v>-27.13</v>
      </c>
      <c r="AH323" s="237">
        <f>-7.43-0</f>
        <v>-7.43</v>
      </c>
      <c r="AJ323" s="237">
        <v>-38.200000000000003</v>
      </c>
      <c r="AL323" s="237">
        <v>-37.53</v>
      </c>
      <c r="AN323" s="237">
        <v>-35.53</v>
      </c>
      <c r="AP323" s="237">
        <v>-36.07</v>
      </c>
      <c r="AR323" s="237">
        <f>-9.12-24.66</f>
        <v>-33.78</v>
      </c>
      <c r="AT323" s="237">
        <v>-28.26</v>
      </c>
      <c r="AV323" s="237">
        <v>-27.37</v>
      </c>
      <c r="AX323" s="237">
        <v>-31.08</v>
      </c>
      <c r="BA323" s="237">
        <v>-32.200000000000003</v>
      </c>
      <c r="BC323" s="237">
        <v>-29.09</v>
      </c>
      <c r="BE323" s="237">
        <v>-32.200000000000003</v>
      </c>
      <c r="BG323" s="237">
        <v>-31.16</v>
      </c>
      <c r="BI323" s="237">
        <v>-32.200000000000003</v>
      </c>
      <c r="BK323" s="237">
        <v>-31.16</v>
      </c>
      <c r="BM323" s="237">
        <v>-32.200000000000003</v>
      </c>
      <c r="BO323" s="237">
        <v>-38.28</v>
      </c>
      <c r="BQ323" s="237">
        <v>-31.16</v>
      </c>
      <c r="BS323" s="237">
        <v>-33.6</v>
      </c>
      <c r="BU323" s="237">
        <v>-32.51</v>
      </c>
      <c r="BW323" s="237">
        <v>-33.6</v>
      </c>
      <c r="BY323" s="237">
        <v>-34.33</v>
      </c>
      <c r="CA323" s="237">
        <v>-31.01</v>
      </c>
      <c r="CC323" s="237">
        <v>-29.88</v>
      </c>
      <c r="CE323" s="237">
        <v>-28.92</v>
      </c>
      <c r="CG323" s="237">
        <v>-34.33</v>
      </c>
    </row>
    <row r="324" spans="1:87">
      <c r="C324" s="213" t="s">
        <v>8</v>
      </c>
      <c r="N324" s="213">
        <v>32.15</v>
      </c>
      <c r="O324" s="222">
        <f>ABS(((N323+N324)/N323))</f>
        <v>0.11091914305459562</v>
      </c>
      <c r="P324" s="214">
        <v>15.92</v>
      </c>
      <c r="Q324" s="222">
        <v>0</v>
      </c>
      <c r="R324" s="214">
        <v>34.56</v>
      </c>
      <c r="S324" s="222">
        <f>ABS(((R323+R324)/R323))</f>
        <v>0.16129032258064518</v>
      </c>
      <c r="T324" s="214">
        <v>33.81</v>
      </c>
      <c r="U324" s="222">
        <f>ABS(((T323+T324)/T323))</f>
        <v>0.44796573875802997</v>
      </c>
      <c r="V324" s="214">
        <v>0</v>
      </c>
      <c r="W324" s="213">
        <v>0</v>
      </c>
      <c r="X324" s="214">
        <v>1.04</v>
      </c>
      <c r="Y324" s="213">
        <v>40.049999999999997</v>
      </c>
      <c r="Z324" s="213">
        <v>5.15</v>
      </c>
      <c r="AA324" s="213">
        <v>40.049999999999997</v>
      </c>
      <c r="AB324" s="213">
        <v>28.95</v>
      </c>
      <c r="AC324" s="213">
        <v>-24.45</v>
      </c>
      <c r="AD324" s="213">
        <v>10.71</v>
      </c>
      <c r="AE324" s="222"/>
      <c r="AG324" s="222">
        <f>ABS(((AF323+AF324)/AF323))</f>
        <v>1</v>
      </c>
      <c r="AH324" s="214">
        <v>0.28000000000000003</v>
      </c>
      <c r="AI324" s="222">
        <f>ABS(((AH323+AH324)/AH323))</f>
        <v>0.96231493943472401</v>
      </c>
      <c r="AJ324" s="214">
        <v>0.01</v>
      </c>
      <c r="AK324" s="222">
        <f>ABS(((AJ323+AJ324)/AJ323))</f>
        <v>0.99973821989528799</v>
      </c>
      <c r="AL324" s="214">
        <v>1.95</v>
      </c>
      <c r="AM324" s="222"/>
      <c r="AN324" s="214">
        <v>1.17</v>
      </c>
      <c r="AO324" s="222"/>
      <c r="AP324" s="214">
        <v>9.24</v>
      </c>
      <c r="AQ324" s="222">
        <f>ABS(((AP323+AP324)/AP323))</f>
        <v>0.74383143886886605</v>
      </c>
      <c r="AR324" s="214">
        <v>14.48</v>
      </c>
      <c r="AS324" s="222">
        <f>ABS(((AR323+AR324)/AR323))</f>
        <v>0.57134399052693907</v>
      </c>
      <c r="AT324" s="214">
        <v>19.82</v>
      </c>
      <c r="AU324" s="222">
        <f>AT325/AT324</f>
        <v>-0.42583249243188703</v>
      </c>
      <c r="AV324" s="214">
        <v>37.630000000000003</v>
      </c>
      <c r="AW324" s="222">
        <f>AV325/AV324</f>
        <v>0.27265479670475684</v>
      </c>
      <c r="AX324" s="214">
        <v>30.56</v>
      </c>
      <c r="AY324" s="224">
        <f>AX325/AX324</f>
        <v>-1.7015706806282709E-2</v>
      </c>
      <c r="AZ324" s="225"/>
      <c r="BA324" s="214">
        <v>43.52</v>
      </c>
      <c r="BB324" s="222">
        <f>BA325/BA324</f>
        <v>0.26011029411764702</v>
      </c>
      <c r="BC324" s="214">
        <v>43.5</v>
      </c>
      <c r="BD324" s="222">
        <f>BC325/BC324</f>
        <v>0.33126436781609198</v>
      </c>
      <c r="BE324" s="214">
        <v>43.52</v>
      </c>
      <c r="BF324" s="222">
        <f>BE325/BE324</f>
        <v>0.26011029411764702</v>
      </c>
      <c r="BG324" s="214">
        <v>43.52</v>
      </c>
      <c r="BH324" s="222">
        <f>BG325/BG324</f>
        <v>0.28400735294117652</v>
      </c>
      <c r="BI324" s="214">
        <v>43.75</v>
      </c>
      <c r="BJ324" s="222">
        <f>BI325/BI324</f>
        <v>0.26399999999999996</v>
      </c>
      <c r="BK324" s="214">
        <v>47.01</v>
      </c>
      <c r="BL324" s="222">
        <f>BK325/BK324</f>
        <v>0.33716230589236329</v>
      </c>
      <c r="BM324" s="214">
        <v>43.75</v>
      </c>
      <c r="BN324" s="222">
        <f>BM325/BM324</f>
        <v>0.26399999999999996</v>
      </c>
      <c r="BO324" s="214">
        <v>83.09</v>
      </c>
      <c r="BP324" s="222">
        <f>BO325/BO324</f>
        <v>0.53929474064267657</v>
      </c>
      <c r="BQ324" s="214">
        <v>43.75</v>
      </c>
      <c r="BR324" s="222">
        <f>BQ325/BQ324</f>
        <v>0.28777142857142857</v>
      </c>
      <c r="BS324" s="214">
        <v>43.75</v>
      </c>
      <c r="BT324" s="222">
        <f>BS325/BS324</f>
        <v>0.23199999999999996</v>
      </c>
      <c r="BU324" s="214">
        <v>43.75</v>
      </c>
      <c r="BV324" s="222">
        <f>BU325/BU324</f>
        <v>0.25691428571428576</v>
      </c>
      <c r="BW324" s="214">
        <v>43.75</v>
      </c>
      <c r="BX324" s="222">
        <f>BW325/BW324</f>
        <v>0.23199999999999996</v>
      </c>
      <c r="BY324" s="214">
        <v>43.75</v>
      </c>
      <c r="BZ324" s="222">
        <f>BY325/BY324</f>
        <v>0.21531428571428576</v>
      </c>
      <c r="CA324" s="214">
        <v>43.73</v>
      </c>
      <c r="CB324" s="222">
        <f>CA325/CA324</f>
        <v>0.29087582895037722</v>
      </c>
      <c r="CC324" s="214">
        <v>43.75</v>
      </c>
      <c r="CD324" s="222">
        <f>CC325/CC324</f>
        <v>0.31702857142857144</v>
      </c>
      <c r="CE324" s="214">
        <v>43.75</v>
      </c>
      <c r="CF324" s="222">
        <f>CE325/CE324</f>
        <v>0.33897142857142853</v>
      </c>
      <c r="CG324" s="214">
        <v>43.75</v>
      </c>
      <c r="CH324" s="222">
        <f>CG325/CG324</f>
        <v>0.21531428571428576</v>
      </c>
    </row>
    <row r="325" spans="1:87">
      <c r="C325" s="241" t="s">
        <v>9</v>
      </c>
      <c r="N325" s="214">
        <f>SUM(N323:N324)</f>
        <v>3.2099999999999973</v>
      </c>
      <c r="P325" s="214">
        <f>SUM(P323:P324)</f>
        <v>-13.83</v>
      </c>
      <c r="R325" s="214">
        <f>R323+R324</f>
        <v>4.8000000000000007</v>
      </c>
      <c r="S325" s="214"/>
      <c r="T325" s="214">
        <f>T323+T324</f>
        <v>10.46</v>
      </c>
      <c r="V325" s="214">
        <f>V323+V324</f>
        <v>-24.13</v>
      </c>
      <c r="X325" s="214">
        <f>X323+X324</f>
        <v>-22.310000000000002</v>
      </c>
      <c r="Z325" s="214">
        <f>Z323+Z324</f>
        <v>-20.61</v>
      </c>
      <c r="AB325" s="242">
        <f>AB323+AB324</f>
        <v>28.95</v>
      </c>
      <c r="AD325" s="242">
        <f>AD323+AD324</f>
        <v>-12.099999999999998</v>
      </c>
      <c r="AF325" s="214">
        <f>AF323+AF324</f>
        <v>-27.13</v>
      </c>
      <c r="AH325" s="243">
        <f>AH323+AH324</f>
        <v>-7.1499999999999995</v>
      </c>
      <c r="AJ325" s="242">
        <f>AJ323+AJ324</f>
        <v>-38.190000000000005</v>
      </c>
      <c r="AL325" s="243">
        <f>AL323+AL324</f>
        <v>-35.58</v>
      </c>
      <c r="AN325" s="243">
        <f>AN323+AN324</f>
        <v>-34.36</v>
      </c>
      <c r="AP325" s="214">
        <f>AP323+AP324</f>
        <v>-26.83</v>
      </c>
      <c r="AR325" s="214">
        <f>AR323+AR324</f>
        <v>-19.3</v>
      </c>
      <c r="AT325" s="214">
        <f>AT323+AT324</f>
        <v>-8.4400000000000013</v>
      </c>
      <c r="AV325" s="214">
        <f>AV323+AV324</f>
        <v>10.260000000000002</v>
      </c>
      <c r="AX325" s="214">
        <f>AX323+AX324</f>
        <v>-0.51999999999999957</v>
      </c>
      <c r="BA325" s="214">
        <f>BA323+BA324</f>
        <v>11.32</v>
      </c>
      <c r="BC325" s="214">
        <f>BC323+BC324</f>
        <v>14.41</v>
      </c>
      <c r="BE325" s="214">
        <f>BE323+BE324</f>
        <v>11.32</v>
      </c>
      <c r="BG325" s="214">
        <f>BG323+BG324</f>
        <v>12.360000000000003</v>
      </c>
      <c r="BI325" s="214">
        <f>BI323+BI324</f>
        <v>11.549999999999997</v>
      </c>
      <c r="BK325" s="214">
        <f>BK323+BK324</f>
        <v>15.849999999999998</v>
      </c>
      <c r="BM325" s="214">
        <f>BM323+BM324</f>
        <v>11.549999999999997</v>
      </c>
      <c r="BO325" s="214">
        <f>BO323+BO324</f>
        <v>44.81</v>
      </c>
      <c r="BQ325" s="214">
        <f>BQ323+BQ324</f>
        <v>12.59</v>
      </c>
      <c r="BS325" s="214">
        <f>BS323+BS324</f>
        <v>10.149999999999999</v>
      </c>
      <c r="BU325" s="214">
        <f>BU323+BU324</f>
        <v>11.240000000000002</v>
      </c>
      <c r="BW325" s="214">
        <f>BW323+BW324</f>
        <v>10.149999999999999</v>
      </c>
      <c r="BY325" s="214">
        <f>BY323+BY324</f>
        <v>9.4200000000000017</v>
      </c>
      <c r="CA325" s="214">
        <f>CA323+CA324</f>
        <v>12.719999999999995</v>
      </c>
      <c r="CC325" s="214">
        <f>CC323+CC324</f>
        <v>13.870000000000001</v>
      </c>
      <c r="CE325" s="214">
        <f>CE323+CE324</f>
        <v>14.829999999999998</v>
      </c>
      <c r="CG325" s="214">
        <f>CG323+CG324</f>
        <v>9.4200000000000017</v>
      </c>
    </row>
    <row r="326" spans="1:87">
      <c r="A326" s="231">
        <v>99</v>
      </c>
      <c r="B326" s="279">
        <v>136656651</v>
      </c>
      <c r="C326" s="213" t="s">
        <v>127</v>
      </c>
      <c r="AP326" s="214"/>
      <c r="AT326" s="214"/>
    </row>
    <row r="327" spans="1:87">
      <c r="C327" s="253" t="s">
        <v>128</v>
      </c>
      <c r="J327" s="235">
        <v>45017</v>
      </c>
      <c r="K327" s="235"/>
      <c r="L327" s="246">
        <v>45047</v>
      </c>
      <c r="M327" s="235"/>
      <c r="N327" s="235">
        <v>45078</v>
      </c>
      <c r="O327" s="235"/>
      <c r="P327" s="235">
        <v>45108</v>
      </c>
      <c r="Q327" s="235"/>
      <c r="R327" s="235">
        <v>45139</v>
      </c>
      <c r="S327" s="235"/>
      <c r="T327" s="235">
        <v>45170</v>
      </c>
      <c r="U327" s="235"/>
      <c r="V327" s="235">
        <v>45200</v>
      </c>
      <c r="W327" s="235"/>
      <c r="X327" s="235">
        <v>45231</v>
      </c>
      <c r="Y327" s="235"/>
      <c r="Z327" s="235">
        <v>45261</v>
      </c>
      <c r="AA327" s="235"/>
      <c r="AB327" s="235">
        <v>45292</v>
      </c>
      <c r="AC327" s="235"/>
      <c r="AD327" s="235">
        <v>45323</v>
      </c>
      <c r="AE327" s="235"/>
      <c r="AF327" s="235">
        <v>45352</v>
      </c>
      <c r="AH327" s="235">
        <v>45383</v>
      </c>
      <c r="AJ327" s="235">
        <v>45413</v>
      </c>
      <c r="AL327" s="235">
        <v>45444</v>
      </c>
      <c r="AN327" s="235">
        <v>45474</v>
      </c>
      <c r="AP327" s="235">
        <v>45505</v>
      </c>
      <c r="AR327" s="236">
        <v>45536</v>
      </c>
      <c r="AT327" s="236">
        <v>45566</v>
      </c>
      <c r="AV327" s="235">
        <v>45597</v>
      </c>
      <c r="AX327" s="235">
        <v>45627</v>
      </c>
      <c r="BA327" s="235">
        <v>45658</v>
      </c>
      <c r="BC327" s="235">
        <v>45689</v>
      </c>
      <c r="BE327" s="235">
        <v>45717</v>
      </c>
      <c r="BG327" s="235">
        <v>45748</v>
      </c>
      <c r="BI327" s="235">
        <v>45778</v>
      </c>
      <c r="BK327" s="235">
        <v>45809</v>
      </c>
      <c r="BM327" s="235">
        <v>45839</v>
      </c>
      <c r="BO327" s="235">
        <v>45870</v>
      </c>
      <c r="BQ327" s="235">
        <v>45901</v>
      </c>
      <c r="BS327" s="235">
        <v>45931</v>
      </c>
      <c r="BU327" s="235">
        <v>45962</v>
      </c>
      <c r="BW327" s="235">
        <v>45992</v>
      </c>
      <c r="BY327" s="235">
        <v>46023</v>
      </c>
      <c r="CA327" s="235">
        <v>46054</v>
      </c>
      <c r="CC327" s="235">
        <v>46082</v>
      </c>
      <c r="CE327" s="235">
        <v>46113</v>
      </c>
      <c r="CG327" s="235">
        <v>46143</v>
      </c>
      <c r="CI327" s="341">
        <v>46174</v>
      </c>
    </row>
    <row r="328" spans="1:87">
      <c r="C328" s="213" t="s">
        <v>7</v>
      </c>
      <c r="T328" s="237">
        <v>-46.28</v>
      </c>
      <c r="V328" s="237">
        <v>-44.11</v>
      </c>
      <c r="X328" s="237">
        <v>-53.75</v>
      </c>
      <c r="Z328" s="238">
        <v>-66.260000000000005</v>
      </c>
      <c r="AB328" s="238">
        <v>-73.17</v>
      </c>
      <c r="AD328" s="237">
        <v>-50.18</v>
      </c>
      <c r="AF328" s="237">
        <v>-49.65</v>
      </c>
      <c r="AH328" s="237">
        <f>-34.51-11.62</f>
        <v>-46.129999999999995</v>
      </c>
      <c r="AJ328" s="237">
        <v>-59.82</v>
      </c>
      <c r="AL328" s="237">
        <v>-58.75</v>
      </c>
      <c r="AN328" s="237">
        <v>-73.28</v>
      </c>
      <c r="AP328" s="237">
        <v>-120.85</v>
      </c>
      <c r="AR328" s="237">
        <f>-66.59-9.01</f>
        <v>-75.600000000000009</v>
      </c>
      <c r="AT328" s="237">
        <v>-47.28</v>
      </c>
      <c r="AV328" s="237">
        <v>-60.84</v>
      </c>
      <c r="AX328" s="237">
        <v>-74.92</v>
      </c>
      <c r="BA328" s="237">
        <v>-108.82</v>
      </c>
      <c r="BC328" s="237">
        <v>-100.05</v>
      </c>
      <c r="BE328" s="237">
        <v>-56.97</v>
      </c>
      <c r="BG328" s="237">
        <v>-51.15</v>
      </c>
      <c r="BI328" s="237">
        <v>-64.95</v>
      </c>
      <c r="BK328" s="237">
        <v>-51.15</v>
      </c>
      <c r="BM328" s="237">
        <v>-52.85</v>
      </c>
      <c r="BO328" s="237">
        <v>-85.12</v>
      </c>
      <c r="BQ328" s="237">
        <v>-55.6</v>
      </c>
      <c r="BS328" s="237">
        <v>-69.61</v>
      </c>
      <c r="BU328" s="237">
        <v>-53.74</v>
      </c>
      <c r="BW328" s="237">
        <v>-60.86</v>
      </c>
      <c r="BY328" s="237">
        <v>-60.79</v>
      </c>
      <c r="CA328" s="237">
        <v>-109.77</v>
      </c>
      <c r="CC328" s="237">
        <v>-78.28</v>
      </c>
      <c r="CE328" s="237">
        <v>-47.34</v>
      </c>
      <c r="CG328" s="237">
        <v>-60.81</v>
      </c>
    </row>
    <row r="329" spans="1:87">
      <c r="C329" s="213" t="s">
        <v>8</v>
      </c>
      <c r="T329" s="214">
        <v>81.91</v>
      </c>
      <c r="U329" s="222">
        <f>ABS(((T328+T329)/T328))</f>
        <v>0.76987899740708721</v>
      </c>
      <c r="V329" s="214">
        <v>74.58</v>
      </c>
      <c r="W329" s="222">
        <f>ABS(((V328+V329)/V328))</f>
        <v>0.69077306733167076</v>
      </c>
      <c r="X329" s="214">
        <v>81.89</v>
      </c>
      <c r="Y329" s="222">
        <f>ABS(((X328+X329)/X328))</f>
        <v>0.52353488372093027</v>
      </c>
      <c r="Z329" s="213">
        <v>37.700000000000003</v>
      </c>
      <c r="AA329" s="222">
        <f>ABS(((Z328+Z329)/Z328))</f>
        <v>0.43102927859945667</v>
      </c>
      <c r="AB329" s="213">
        <v>45.55</v>
      </c>
      <c r="AC329" s="222">
        <f>ABS(((AB328+AB329)/AB328))</f>
        <v>0.37747710810441443</v>
      </c>
      <c r="AD329" s="213">
        <v>82.88</v>
      </c>
      <c r="AE329" s="222"/>
      <c r="AF329" s="213">
        <v>87.89</v>
      </c>
      <c r="AG329" s="222">
        <f>ABS(((AF328+AF329)/AF328))</f>
        <v>0.77019133937562945</v>
      </c>
      <c r="AH329" s="214">
        <v>56.74</v>
      </c>
      <c r="AI329" s="222">
        <f>ABS(((AH328+AH329)/AH328))</f>
        <v>0.23000216778668994</v>
      </c>
      <c r="AJ329" s="214">
        <v>62.87</v>
      </c>
      <c r="AK329" s="222">
        <f>ABS(((AJ328+AJ329)/AJ328))</f>
        <v>5.0986292209963174E-2</v>
      </c>
      <c r="AL329" s="214">
        <v>51.86</v>
      </c>
      <c r="AM329" s="222">
        <f>ABS(((AL328+AL329)/AL328))</f>
        <v>0.11727659574468086</v>
      </c>
      <c r="AN329" s="214">
        <v>93.18</v>
      </c>
      <c r="AO329" s="222">
        <f>ABS(((AN328+AN329)/AN328))</f>
        <v>0.2715611353711791</v>
      </c>
      <c r="AP329" s="214">
        <v>164</v>
      </c>
      <c r="AQ329" s="222">
        <f>ABS(((AP328+AP329)/AP328))</f>
        <v>0.3570541994207696</v>
      </c>
      <c r="AR329" s="214">
        <v>101.13</v>
      </c>
      <c r="AS329" s="222">
        <f>ABS(((AR328+AR329)/AR328))</f>
        <v>0.3376984126984125</v>
      </c>
      <c r="AT329" s="214">
        <v>75.790000000000006</v>
      </c>
      <c r="AU329" s="222">
        <f>AT330/AT329</f>
        <v>0.37617099881250826</v>
      </c>
      <c r="AV329" s="214">
        <v>86.4</v>
      </c>
      <c r="AW329" s="222">
        <f>AV330/AV329</f>
        <v>0.29583333333333334</v>
      </c>
      <c r="AX329" s="214">
        <v>102.22</v>
      </c>
      <c r="AY329" s="224">
        <f>AX330/AX329</f>
        <v>0.26707102328311483</v>
      </c>
      <c r="AZ329" s="225"/>
      <c r="BA329" s="214">
        <v>144.93</v>
      </c>
      <c r="BB329" s="222">
        <f>BA330/BA329</f>
        <v>0.2491547643690058</v>
      </c>
      <c r="BC329" s="214">
        <v>110.66</v>
      </c>
      <c r="BD329" s="222">
        <f>BC330/BC329</f>
        <v>9.5879269835532258E-2</v>
      </c>
      <c r="BE329" s="214">
        <v>82.15</v>
      </c>
      <c r="BF329" s="222">
        <f>BE330/BE329</f>
        <v>0.3065124771758978</v>
      </c>
      <c r="BG329" s="214">
        <v>69.34</v>
      </c>
      <c r="BH329" s="222">
        <f>BG330/BG329</f>
        <v>0.26233054513989046</v>
      </c>
      <c r="BI329" s="214">
        <v>69.569999999999993</v>
      </c>
      <c r="BJ329" s="222">
        <f>BI330/BI329</f>
        <v>6.6407934454506115E-2</v>
      </c>
      <c r="BK329" s="214">
        <v>102</v>
      </c>
      <c r="BL329" s="222">
        <f>BK330/BK329</f>
        <v>0.49852941176470589</v>
      </c>
      <c r="BM329" s="214">
        <v>73.75</v>
      </c>
      <c r="BN329" s="222">
        <f>BM330/BM329</f>
        <v>0.28338983050847455</v>
      </c>
      <c r="BO329" s="214">
        <v>121.72</v>
      </c>
      <c r="BP329" s="222">
        <f>BO330/BO329</f>
        <v>0.30069010844561284</v>
      </c>
      <c r="BQ329" s="214">
        <v>85.03</v>
      </c>
      <c r="BR329" s="222">
        <f>BQ330/BQ329</f>
        <v>0.34611313654004466</v>
      </c>
      <c r="BS329" s="214">
        <v>101.5</v>
      </c>
      <c r="BT329" s="222">
        <f>BS330/BS329</f>
        <v>0.3141871921182266</v>
      </c>
      <c r="BU329" s="214">
        <v>80.52</v>
      </c>
      <c r="BV329" s="222">
        <f>BU330/BU329</f>
        <v>0.33258817685047187</v>
      </c>
      <c r="BW329" s="214">
        <v>85.02</v>
      </c>
      <c r="BX329" s="222">
        <f>BW330/BW329</f>
        <v>0.28416843095742178</v>
      </c>
      <c r="BY329" s="214">
        <v>84.16</v>
      </c>
      <c r="BZ329" s="222">
        <f>BY330/BY329</f>
        <v>0.27768536121673004</v>
      </c>
      <c r="CA329" s="214">
        <v>158.84</v>
      </c>
      <c r="CB329" s="222">
        <f>CA330/CA329</f>
        <v>0.30892722236212544</v>
      </c>
      <c r="CC329" s="214">
        <v>125.64</v>
      </c>
      <c r="CD329" s="222">
        <f>CC330/CC329</f>
        <v>0.37695001591849731</v>
      </c>
      <c r="CE329" s="214">
        <v>69.569999999999993</v>
      </c>
      <c r="CF329" s="222">
        <f>CE330/CE329</f>
        <v>0.31953428201811113</v>
      </c>
      <c r="CG329" s="214">
        <v>95.66</v>
      </c>
      <c r="CH329" s="222">
        <f>CG330/CG329</f>
        <v>0.36431110181894205</v>
      </c>
    </row>
    <row r="330" spans="1:87">
      <c r="C330" s="241" t="s">
        <v>9</v>
      </c>
      <c r="T330" s="214">
        <f>T328+T329</f>
        <v>35.629999999999995</v>
      </c>
      <c r="V330" s="214">
        <f>V328+V329</f>
        <v>30.47</v>
      </c>
      <c r="X330" s="214">
        <f>X328+X329</f>
        <v>28.14</v>
      </c>
      <c r="Z330" s="214">
        <f>Z328+Z329</f>
        <v>-28.560000000000002</v>
      </c>
      <c r="AB330" s="242">
        <f>AB328+AB329</f>
        <v>-27.620000000000005</v>
      </c>
      <c r="AD330" s="243">
        <f>AD328+AD329</f>
        <v>32.699999999999996</v>
      </c>
      <c r="AF330" s="242">
        <f>AF328+AF329</f>
        <v>38.24</v>
      </c>
      <c r="AH330" s="243">
        <f>AH328+AH329</f>
        <v>10.610000000000007</v>
      </c>
      <c r="AJ330" s="243">
        <f>AJ328+AJ329</f>
        <v>3.0499999999999972</v>
      </c>
      <c r="AL330" s="243">
        <f>AL328+AL329</f>
        <v>-6.8900000000000006</v>
      </c>
      <c r="AN330" s="243">
        <f>AN328+AN329</f>
        <v>19.900000000000006</v>
      </c>
      <c r="AP330" s="214">
        <f>AP328+AP329</f>
        <v>43.150000000000006</v>
      </c>
      <c r="AR330" s="214">
        <f>AR328+AR329</f>
        <v>25.529999999999987</v>
      </c>
      <c r="AT330" s="214">
        <f>AT328+AT329</f>
        <v>28.510000000000005</v>
      </c>
      <c r="AV330" s="214">
        <f>AV328+AV329</f>
        <v>25.560000000000002</v>
      </c>
      <c r="AX330" s="214">
        <f>AX328+AX329</f>
        <v>27.299999999999997</v>
      </c>
      <c r="BA330" s="214">
        <f>BA328+BA329</f>
        <v>36.110000000000014</v>
      </c>
      <c r="BC330" s="214">
        <f>BC328+BC329</f>
        <v>10.61</v>
      </c>
      <c r="BE330" s="214">
        <f>BE328+BE329</f>
        <v>25.180000000000007</v>
      </c>
      <c r="BG330" s="214">
        <f>BG328+BG329</f>
        <v>18.190000000000005</v>
      </c>
      <c r="BI330" s="214">
        <f>BI328+BI329</f>
        <v>4.6199999999999903</v>
      </c>
      <c r="BK330" s="214">
        <f>BK328+BK329</f>
        <v>50.85</v>
      </c>
      <c r="BM330" s="214">
        <f>BM328+BM329</f>
        <v>20.9</v>
      </c>
      <c r="BO330" s="214">
        <f>BO328+BO329</f>
        <v>36.599999999999994</v>
      </c>
      <c r="BQ330" s="214">
        <f>BQ328+BQ329</f>
        <v>29.43</v>
      </c>
      <c r="BS330" s="214">
        <f>BS328+BS329</f>
        <v>31.89</v>
      </c>
      <c r="BU330" s="214">
        <f>BU328+BU329</f>
        <v>26.779999999999994</v>
      </c>
      <c r="BW330" s="214">
        <f>BW328+BW329</f>
        <v>24.159999999999997</v>
      </c>
      <c r="BY330" s="214">
        <f>BY328+BY329</f>
        <v>23.369999999999997</v>
      </c>
      <c r="CA330" s="214">
        <f>CA328+CA329</f>
        <v>49.070000000000007</v>
      </c>
      <c r="CC330" s="214">
        <f>CC328+CC329</f>
        <v>47.36</v>
      </c>
      <c r="CE330" s="214">
        <f>CE328+CE329</f>
        <v>22.22999999999999</v>
      </c>
      <c r="CG330" s="214">
        <f>CG328+CG329</f>
        <v>34.849999999999994</v>
      </c>
    </row>
    <row r="331" spans="1:87">
      <c r="A331" s="231">
        <v>101</v>
      </c>
      <c r="B331" s="279">
        <v>105169948</v>
      </c>
      <c r="C331" s="213" t="s">
        <v>129</v>
      </c>
      <c r="AP331" s="214"/>
      <c r="AT331" s="214"/>
    </row>
    <row r="332" spans="1:87">
      <c r="C332" s="253" t="s">
        <v>256</v>
      </c>
      <c r="D332" s="235">
        <v>44927</v>
      </c>
      <c r="E332" s="235"/>
      <c r="F332" s="246">
        <v>44958</v>
      </c>
      <c r="H332" s="246">
        <v>44986</v>
      </c>
      <c r="I332" s="235"/>
      <c r="J332" s="235">
        <v>45017</v>
      </c>
      <c r="K332" s="235"/>
      <c r="L332" s="246">
        <v>45047</v>
      </c>
      <c r="M332" s="235"/>
      <c r="N332" s="235">
        <v>45078</v>
      </c>
      <c r="O332" s="235"/>
      <c r="P332" s="235">
        <v>45108</v>
      </c>
      <c r="Q332" s="235"/>
      <c r="R332" s="235">
        <v>45139</v>
      </c>
      <c r="S332" s="235"/>
      <c r="T332" s="235">
        <v>45170</v>
      </c>
      <c r="U332" s="235"/>
      <c r="V332" s="235">
        <v>45200</v>
      </c>
      <c r="W332" s="235"/>
      <c r="X332" s="235">
        <v>45231</v>
      </c>
      <c r="Y332" s="235"/>
      <c r="Z332" s="235">
        <v>45261</v>
      </c>
      <c r="AA332" s="235"/>
      <c r="AB332" s="235">
        <v>45292</v>
      </c>
      <c r="AC332" s="235"/>
      <c r="AD332" s="235">
        <v>45323</v>
      </c>
      <c r="AE332" s="235"/>
      <c r="AF332" s="235">
        <v>45352</v>
      </c>
      <c r="AH332" s="235">
        <v>45383</v>
      </c>
      <c r="AJ332" s="235">
        <v>45413</v>
      </c>
      <c r="AL332" s="235">
        <v>45444</v>
      </c>
      <c r="AN332" s="235">
        <v>45474</v>
      </c>
      <c r="AP332" s="235">
        <v>45505</v>
      </c>
      <c r="AR332" s="236">
        <v>45536</v>
      </c>
      <c r="AT332" s="236">
        <v>45566</v>
      </c>
      <c r="AV332" s="235">
        <v>45597</v>
      </c>
      <c r="AX332" s="235">
        <v>45627</v>
      </c>
      <c r="BA332" s="235">
        <v>45658</v>
      </c>
      <c r="BC332" s="235">
        <v>45689</v>
      </c>
      <c r="BE332" s="235">
        <v>45717</v>
      </c>
      <c r="BG332" s="235">
        <v>45748</v>
      </c>
      <c r="BI332" s="235">
        <v>45778</v>
      </c>
      <c r="BK332" s="235">
        <v>45809</v>
      </c>
      <c r="BM332" s="235">
        <v>45839</v>
      </c>
      <c r="BO332" s="235">
        <v>45870</v>
      </c>
      <c r="BQ332" s="235">
        <v>45901</v>
      </c>
      <c r="BS332" s="235">
        <v>45931</v>
      </c>
      <c r="BU332" s="235">
        <v>45962</v>
      </c>
      <c r="BW332" s="235">
        <v>45992</v>
      </c>
      <c r="BY332" s="235">
        <v>46023</v>
      </c>
      <c r="CA332" s="235">
        <v>46054</v>
      </c>
      <c r="CC332" s="235">
        <v>46082</v>
      </c>
      <c r="CE332" s="235">
        <v>46113</v>
      </c>
      <c r="CG332" s="235">
        <v>46143</v>
      </c>
      <c r="CI332" s="341">
        <v>46174</v>
      </c>
    </row>
    <row r="333" spans="1:87">
      <c r="C333" s="213" t="s">
        <v>7</v>
      </c>
      <c r="N333" s="237">
        <f>-18.23-12.05-5.43</f>
        <v>-35.71</v>
      </c>
      <c r="P333" s="237">
        <v>-102.21</v>
      </c>
      <c r="R333" s="237">
        <v>-66.650000000000006</v>
      </c>
      <c r="T333" s="237">
        <v>-23.35</v>
      </c>
      <c r="V333" s="237">
        <v>-24.22</v>
      </c>
      <c r="X333" s="237">
        <v>-23.35</v>
      </c>
      <c r="Z333" s="238">
        <v>-25.76</v>
      </c>
      <c r="AB333" s="238">
        <v>-24.45</v>
      </c>
      <c r="AD333" s="237">
        <v>-22.81</v>
      </c>
      <c r="AF333" s="237">
        <v>-27.13</v>
      </c>
      <c r="AH333" s="237">
        <f>-7.43-21.02</f>
        <v>-28.45</v>
      </c>
      <c r="AJ333" s="237">
        <v>-38.200000000000003</v>
      </c>
      <c r="AL333" s="237">
        <v>-37.53</v>
      </c>
      <c r="AN333" s="237">
        <v>-75</v>
      </c>
      <c r="AP333" s="237">
        <v>-80.5</v>
      </c>
      <c r="AR333" s="237">
        <f>-28.77-16.94</f>
        <v>-45.71</v>
      </c>
      <c r="AT333" s="237">
        <v>-33.83</v>
      </c>
      <c r="AV333" s="237">
        <v>-27.37</v>
      </c>
      <c r="AX333" s="237">
        <v>-31.08</v>
      </c>
      <c r="BA333" s="237">
        <v>-32.200000000000003</v>
      </c>
      <c r="BC333" s="237">
        <v>-29.09</v>
      </c>
      <c r="BE333" s="237">
        <v>-32.200000000000003</v>
      </c>
      <c r="BG333" s="237">
        <v>-38.43</v>
      </c>
      <c r="BI333" s="237">
        <v>-32.200000000000003</v>
      </c>
      <c r="BK333" s="237">
        <v>-50.48</v>
      </c>
      <c r="BM333" s="237">
        <v>-116.83</v>
      </c>
      <c r="BO333" s="237">
        <v>-108.75</v>
      </c>
      <c r="BQ333" s="237">
        <v>-78.66</v>
      </c>
      <c r="BS333" s="237">
        <v>-46.28</v>
      </c>
      <c r="BU333" s="237">
        <v>-32.51</v>
      </c>
      <c r="BW333" s="237">
        <v>-33.6</v>
      </c>
      <c r="BY333" s="237">
        <v>-34.33</v>
      </c>
      <c r="CA333" s="237">
        <v>-31.01</v>
      </c>
      <c r="CC333" s="237">
        <v>-29.88</v>
      </c>
      <c r="CE333" s="237">
        <v>-28.92</v>
      </c>
      <c r="CG333" s="237">
        <v>-34.33</v>
      </c>
    </row>
    <row r="334" spans="1:87">
      <c r="C334" s="213" t="s">
        <v>8</v>
      </c>
      <c r="N334" s="214">
        <v>53.95</v>
      </c>
      <c r="O334" s="222">
        <f>ABS(((N333+N334)/N333))</f>
        <v>0.51078129375525072</v>
      </c>
      <c r="P334" s="214">
        <v>135.5</v>
      </c>
      <c r="Q334" s="222">
        <f>ABS(((P333+P334)/P333))</f>
        <v>0.3257019861070346</v>
      </c>
      <c r="R334" s="214">
        <v>118.87</v>
      </c>
      <c r="S334" s="222">
        <f>ABS(((R333+R334)/R333))</f>
        <v>0.78349587396849207</v>
      </c>
      <c r="T334" s="214">
        <v>46.08</v>
      </c>
      <c r="U334" s="222">
        <f>ABS(((T333+T334)/T333))</f>
        <v>0.9734475374732332</v>
      </c>
      <c r="V334" s="214">
        <v>37.590000000000003</v>
      </c>
      <c r="W334" s="222">
        <f>ABS(((V333+V334)/V333))</f>
        <v>0.55202312138728349</v>
      </c>
      <c r="X334" s="214">
        <v>29.91</v>
      </c>
      <c r="Y334" s="214">
        <v>22.89</v>
      </c>
      <c r="Z334" s="213">
        <v>29.23</v>
      </c>
      <c r="AA334" s="214">
        <v>22.89</v>
      </c>
      <c r="AB334" s="213">
        <v>31.01</v>
      </c>
      <c r="AC334" s="222">
        <f>ABS(((AB333+AB334)/AB333))</f>
        <v>0.26830265848670765</v>
      </c>
      <c r="AD334" s="213">
        <v>28.69</v>
      </c>
      <c r="AE334" s="222">
        <f>ABS(((AD333+AD334)/AD333))</f>
        <v>0.25778167470407731</v>
      </c>
      <c r="AF334" s="213">
        <v>52.46</v>
      </c>
      <c r="AG334" s="222">
        <f>ABS(((AF333+AF334)/AF333))</f>
        <v>0.93365278289716191</v>
      </c>
      <c r="AH334" s="214">
        <v>35.03</v>
      </c>
      <c r="AI334" s="222">
        <f>ABS(((AH333+AH334)/AH333))</f>
        <v>0.23128295254833048</v>
      </c>
      <c r="AJ334" s="214">
        <v>44.84</v>
      </c>
      <c r="AK334" s="222">
        <f>ABS(((AJ333+AJ334)/AJ333))</f>
        <v>0.17382198952879582</v>
      </c>
      <c r="AL334" s="214">
        <v>44.91</v>
      </c>
      <c r="AM334" s="222">
        <f>ABS(((AL333+AL334)/AL333))</f>
        <v>0.1966426858513188</v>
      </c>
      <c r="AN334" s="214">
        <v>123.81</v>
      </c>
      <c r="AO334" s="222">
        <f>ABS(((AN333+AN334)/AN333))</f>
        <v>0.65080000000000005</v>
      </c>
      <c r="AP334" s="214">
        <v>133.68</v>
      </c>
      <c r="AQ334" s="222">
        <f>ABS(((AP333+AP334)/AP333))</f>
        <v>0.6606211180124224</v>
      </c>
      <c r="AR334" s="214">
        <v>79.36</v>
      </c>
      <c r="AS334" s="222">
        <f>ABS(((AR333+AR334)/AR333))</f>
        <v>0.73616276525924296</v>
      </c>
      <c r="AT334" s="214">
        <v>74.13</v>
      </c>
      <c r="AU334" s="222">
        <f>AT335/AT334</f>
        <v>0.54363955213813575</v>
      </c>
      <c r="AV334" s="214">
        <v>27.45</v>
      </c>
      <c r="AW334" s="222">
        <f>AV335/AV334</f>
        <v>2.9143897996356393E-3</v>
      </c>
      <c r="AX334" s="214">
        <v>44.02</v>
      </c>
      <c r="AY334" s="224">
        <f>AX335/AX334</f>
        <v>0.29395729213993649</v>
      </c>
      <c r="AZ334" s="225"/>
      <c r="BA334" s="214">
        <v>60.73</v>
      </c>
      <c r="BB334" s="222">
        <f>BA335/BA334</f>
        <v>0.46978429112465003</v>
      </c>
      <c r="BC334" s="214">
        <v>48.83</v>
      </c>
      <c r="BD334" s="222">
        <f>BC335/BC334</f>
        <v>0.40425967642842514</v>
      </c>
      <c r="BE334" s="214">
        <v>43.52</v>
      </c>
      <c r="BF334" s="222">
        <f>BE335/BE334</f>
        <v>0.26011029411764702</v>
      </c>
      <c r="BG334" s="214">
        <v>67.930000000000007</v>
      </c>
      <c r="BH334" s="222">
        <f>BG335/BG334</f>
        <v>0.43427057264831448</v>
      </c>
      <c r="BI334" s="214">
        <v>43.75</v>
      </c>
      <c r="BJ334" s="222">
        <f>BI335/BI334</f>
        <v>0.26399999999999996</v>
      </c>
      <c r="BK334" s="214">
        <v>88.29</v>
      </c>
      <c r="BL334" s="222">
        <f>BK335/BK334</f>
        <v>0.42824781968512865</v>
      </c>
      <c r="BM334" s="214">
        <v>154.9</v>
      </c>
      <c r="BN334" s="222">
        <f>BM335/BM334</f>
        <v>0.24577146546158815</v>
      </c>
      <c r="BO334" s="214">
        <v>148.72999999999999</v>
      </c>
      <c r="BP334" s="222">
        <f>BO335/BO334</f>
        <v>0.26880925166408925</v>
      </c>
      <c r="BQ334" s="214">
        <v>109.65</v>
      </c>
      <c r="BR334" s="222">
        <f>BQ335/BQ334</f>
        <v>0.28262653898768819</v>
      </c>
      <c r="BS334" s="214">
        <v>74.27</v>
      </c>
      <c r="BT334" s="222">
        <f>BS335/BS334</f>
        <v>0.37686818365423452</v>
      </c>
      <c r="BU334" s="214">
        <v>43.75</v>
      </c>
      <c r="BV334" s="222">
        <f>BU335/BU334</f>
        <v>0.25691428571428576</v>
      </c>
      <c r="BW334" s="214">
        <v>43.75</v>
      </c>
      <c r="BX334" s="222">
        <f>BW335/BW334</f>
        <v>0.23199999999999996</v>
      </c>
      <c r="BY334" s="214">
        <v>43.75</v>
      </c>
      <c r="BZ334" s="222">
        <f>BY335/BY334</f>
        <v>0.21531428571428576</v>
      </c>
      <c r="CA334" s="214">
        <v>43.73</v>
      </c>
      <c r="CB334" s="222">
        <f>CA335/CA334</f>
        <v>0.29087582895037722</v>
      </c>
      <c r="CC334" s="214">
        <v>43.75</v>
      </c>
      <c r="CD334" s="222">
        <f>CC335/CC334</f>
        <v>0.31702857142857144</v>
      </c>
      <c r="CE334" s="214">
        <v>43.75</v>
      </c>
      <c r="CF334" s="222">
        <f>CE335/CE334</f>
        <v>0.33897142857142853</v>
      </c>
      <c r="CG334" s="214">
        <v>50.27</v>
      </c>
      <c r="CH334" s="222">
        <f>CG335/CG334</f>
        <v>0.31708772627809834</v>
      </c>
    </row>
    <row r="335" spans="1:87">
      <c r="C335" s="241" t="s">
        <v>9</v>
      </c>
      <c r="N335" s="214">
        <f>SUM(N333:N334)</f>
        <v>18.240000000000002</v>
      </c>
      <c r="P335" s="214">
        <f>SUM(P333:P334)</f>
        <v>33.290000000000006</v>
      </c>
      <c r="R335" s="214">
        <f>R333+R334</f>
        <v>52.22</v>
      </c>
      <c r="S335" s="214"/>
      <c r="T335" s="214">
        <f>T333+T334</f>
        <v>22.729999999999997</v>
      </c>
      <c r="V335" s="214">
        <f>V333+V334</f>
        <v>13.370000000000005</v>
      </c>
      <c r="X335" s="214">
        <f>X333+X334</f>
        <v>6.5599999999999987</v>
      </c>
      <c r="Z335" s="214">
        <f>Z333+Z334</f>
        <v>3.4699999999999989</v>
      </c>
      <c r="AB335" s="242">
        <f>AB333+AB334</f>
        <v>6.5600000000000023</v>
      </c>
      <c r="AD335" s="242">
        <f>AD333+AD334</f>
        <v>5.8800000000000026</v>
      </c>
      <c r="AF335" s="242">
        <f>AF333+AF334</f>
        <v>25.330000000000002</v>
      </c>
      <c r="AH335" s="243">
        <f>AH333+AH334</f>
        <v>6.5800000000000018</v>
      </c>
      <c r="AJ335" s="242">
        <f>AJ333+AJ334</f>
        <v>6.6400000000000006</v>
      </c>
      <c r="AL335" s="243">
        <f>AL333+AL334</f>
        <v>7.3799999999999955</v>
      </c>
      <c r="AN335" s="243">
        <f>AN333+AN334</f>
        <v>48.81</v>
      </c>
      <c r="AP335" s="214">
        <f>AP333+AP334</f>
        <v>53.180000000000007</v>
      </c>
      <c r="AR335" s="214">
        <f>AR333+AR334</f>
        <v>33.65</v>
      </c>
      <c r="AT335" s="214">
        <f>AT333+AT334</f>
        <v>40.299999999999997</v>
      </c>
      <c r="AV335" s="214">
        <f>AV333+AV334</f>
        <v>7.9999999999998295E-2</v>
      </c>
      <c r="AX335" s="214">
        <f>AX333+AX334</f>
        <v>12.940000000000005</v>
      </c>
      <c r="BA335" s="214">
        <f>BA333+BA334</f>
        <v>28.529999999999994</v>
      </c>
      <c r="BC335" s="214">
        <f>BC333+BC334</f>
        <v>19.739999999999998</v>
      </c>
      <c r="BE335" s="214">
        <f>BE333+BE334</f>
        <v>11.32</v>
      </c>
      <c r="BG335" s="214">
        <f>BG333+BG334</f>
        <v>29.500000000000007</v>
      </c>
      <c r="BI335" s="214">
        <f>BI333+BI334</f>
        <v>11.549999999999997</v>
      </c>
      <c r="BK335" s="214">
        <f>BK333+BK334</f>
        <v>37.810000000000009</v>
      </c>
      <c r="BM335" s="214">
        <f>BM333+BM334</f>
        <v>38.070000000000007</v>
      </c>
      <c r="BO335" s="214">
        <f>BO333+BO334</f>
        <v>39.97999999999999</v>
      </c>
      <c r="BQ335" s="214">
        <f>BQ333+BQ334</f>
        <v>30.990000000000009</v>
      </c>
      <c r="BS335" s="214">
        <f>BS333+BS334</f>
        <v>27.989999999999995</v>
      </c>
      <c r="BU335" s="214">
        <f>BU333+BU334</f>
        <v>11.240000000000002</v>
      </c>
      <c r="BW335" s="214">
        <f>BW333+BW334</f>
        <v>10.149999999999999</v>
      </c>
      <c r="BY335" s="214">
        <f>BY333+BY334</f>
        <v>9.4200000000000017</v>
      </c>
      <c r="CA335" s="214">
        <f>CA333+CA334</f>
        <v>12.719999999999995</v>
      </c>
      <c r="CC335" s="214">
        <f>CC333+CC334</f>
        <v>13.870000000000001</v>
      </c>
      <c r="CE335" s="214">
        <f>CE333+CE334</f>
        <v>14.829999999999998</v>
      </c>
      <c r="CG335" s="214">
        <f>CG333+CG334</f>
        <v>15.940000000000005</v>
      </c>
    </row>
    <row r="336" spans="1:87">
      <c r="A336" s="231">
        <v>103</v>
      </c>
      <c r="B336" s="232">
        <v>145761058</v>
      </c>
      <c r="C336" s="213" t="s">
        <v>130</v>
      </c>
      <c r="AP336" s="214"/>
      <c r="AT336" s="214"/>
    </row>
    <row r="337" spans="1:87">
      <c r="C337" s="253" t="s">
        <v>131</v>
      </c>
      <c r="D337" s="246">
        <v>44927</v>
      </c>
      <c r="E337" s="246"/>
      <c r="F337" s="235">
        <v>44958</v>
      </c>
      <c r="G337" s="235"/>
      <c r="H337" s="235">
        <v>44986</v>
      </c>
      <c r="I337" s="235"/>
      <c r="J337" s="235">
        <v>45017</v>
      </c>
      <c r="K337" s="235"/>
      <c r="L337" s="246">
        <v>45047</v>
      </c>
      <c r="M337" s="235"/>
      <c r="N337" s="235">
        <v>45078</v>
      </c>
      <c r="O337" s="235"/>
      <c r="P337" s="235">
        <v>45108</v>
      </c>
      <c r="Q337" s="235"/>
      <c r="R337" s="235">
        <v>45139</v>
      </c>
      <c r="S337" s="235"/>
      <c r="T337" s="235">
        <v>45170</v>
      </c>
      <c r="U337" s="235"/>
      <c r="V337" s="235">
        <v>45200</v>
      </c>
      <c r="W337" s="235"/>
      <c r="X337" s="235">
        <v>45231</v>
      </c>
      <c r="Y337" s="235"/>
      <c r="Z337" s="235">
        <v>45261</v>
      </c>
      <c r="AA337" s="235"/>
      <c r="AB337" s="235">
        <v>45292</v>
      </c>
      <c r="AC337" s="235"/>
      <c r="AD337" s="235">
        <v>45323</v>
      </c>
      <c r="AE337" s="235"/>
      <c r="AF337" s="235">
        <v>45352</v>
      </c>
      <c r="AH337" s="235">
        <v>45383</v>
      </c>
      <c r="AJ337" s="235">
        <v>45413</v>
      </c>
      <c r="AL337" s="235">
        <v>45444</v>
      </c>
      <c r="AN337" s="235">
        <v>45474</v>
      </c>
      <c r="AP337" s="235">
        <v>45505</v>
      </c>
      <c r="AR337" s="236">
        <v>45536</v>
      </c>
      <c r="AT337" s="236">
        <v>45566</v>
      </c>
      <c r="AV337" s="235">
        <v>45597</v>
      </c>
      <c r="AX337" s="235">
        <v>45627</v>
      </c>
      <c r="BA337" s="235">
        <v>45658</v>
      </c>
      <c r="BC337" s="235">
        <v>45689</v>
      </c>
      <c r="BE337" s="235">
        <v>45717</v>
      </c>
      <c r="BG337" s="235">
        <v>45748</v>
      </c>
      <c r="BI337" s="235">
        <v>45778</v>
      </c>
      <c r="BK337" s="235">
        <v>45809</v>
      </c>
      <c r="BM337" s="235">
        <v>45839</v>
      </c>
      <c r="BO337" s="235">
        <v>45870</v>
      </c>
      <c r="BQ337" s="235">
        <v>45901</v>
      </c>
      <c r="BS337" s="235">
        <v>45931</v>
      </c>
      <c r="BU337" s="235">
        <v>45962</v>
      </c>
      <c r="BW337" s="235">
        <v>45992</v>
      </c>
      <c r="BY337" s="235">
        <v>46023</v>
      </c>
      <c r="CA337" s="235">
        <v>46054</v>
      </c>
      <c r="CC337" s="235">
        <v>46082</v>
      </c>
      <c r="CE337" s="235">
        <v>46113</v>
      </c>
      <c r="CG337" s="235">
        <v>46143</v>
      </c>
      <c r="CI337" s="341">
        <v>46174</v>
      </c>
    </row>
    <row r="338" spans="1:87">
      <c r="C338" s="213" t="s">
        <v>7</v>
      </c>
      <c r="N338" s="214">
        <f>-5.92-10.1-13.19</f>
        <v>-29.21</v>
      </c>
      <c r="P338" s="237">
        <v>-31.36</v>
      </c>
      <c r="R338" s="237">
        <v>-31.31</v>
      </c>
      <c r="T338" s="237">
        <v>-25.86</v>
      </c>
      <c r="V338" s="237">
        <v>-26.72</v>
      </c>
      <c r="X338" s="237">
        <v>-25.86</v>
      </c>
      <c r="Z338" s="238">
        <v>-33.31</v>
      </c>
      <c r="AB338" s="238">
        <v>-43.7</v>
      </c>
      <c r="AD338" s="237">
        <v>-25.36</v>
      </c>
      <c r="AF338" s="237">
        <v>-30.17</v>
      </c>
      <c r="AH338" s="237">
        <f>-6.76-24.35</f>
        <v>-31.11</v>
      </c>
      <c r="AJ338" s="237">
        <v>-41.79</v>
      </c>
      <c r="AL338" s="237">
        <v>-41.04</v>
      </c>
      <c r="AN338" s="237">
        <f>-48.99</f>
        <v>-48.99</v>
      </c>
      <c r="AP338" s="237">
        <f>-16-28.69</f>
        <v>-44.69</v>
      </c>
      <c r="AR338" s="237">
        <f>-9.24-25.86</f>
        <v>-35.1</v>
      </c>
      <c r="AT338" s="237">
        <v>-30.01</v>
      </c>
      <c r="AV338" s="237">
        <v>-29.05</v>
      </c>
      <c r="AX338" s="237">
        <v>-33.76</v>
      </c>
      <c r="BA338" s="237">
        <v>-41.79</v>
      </c>
      <c r="BC338" s="237">
        <v>-30.9</v>
      </c>
      <c r="BE338" s="237">
        <v>-34.229999999999997</v>
      </c>
      <c r="BG338" s="237">
        <v>-33.119999999999997</v>
      </c>
      <c r="BI338" s="237">
        <v>-44.75</v>
      </c>
      <c r="BK338" s="237">
        <v>-33.119999999999997</v>
      </c>
      <c r="BM338" s="237">
        <v>-34.229999999999997</v>
      </c>
      <c r="BO338" s="237">
        <v>-43.46</v>
      </c>
      <c r="BQ338" s="237">
        <v>-34.19</v>
      </c>
      <c r="BS338" s="237">
        <v>-38.97</v>
      </c>
      <c r="BU338" s="237">
        <v>-34.46</v>
      </c>
      <c r="BW338" s="237">
        <v>-63.9</v>
      </c>
      <c r="BY338" s="237">
        <v>-50.2</v>
      </c>
      <c r="CA338" s="237">
        <v>-31.34</v>
      </c>
      <c r="CC338" s="237">
        <v>-31.69</v>
      </c>
      <c r="CE338" s="237">
        <v>-30.66</v>
      </c>
      <c r="CG338" s="237">
        <v>-67.760000000000005</v>
      </c>
    </row>
    <row r="339" spans="1:87">
      <c r="C339" s="213" t="s">
        <v>8</v>
      </c>
      <c r="N339" s="214">
        <v>48.56</v>
      </c>
      <c r="O339" s="222">
        <f>ABS(((N338+N339)/N338))</f>
        <v>0.6624443683669976</v>
      </c>
      <c r="P339" s="214">
        <v>63.28</v>
      </c>
      <c r="Q339" s="222">
        <f>ABS(((P338+P339)/P338))</f>
        <v>1.017857142857143</v>
      </c>
      <c r="R339" s="214">
        <v>55.87</v>
      </c>
      <c r="S339" s="222">
        <f>ABS(((R338+R339)/R338))</f>
        <v>0.78441392526349407</v>
      </c>
      <c r="T339" s="214">
        <v>37.25</v>
      </c>
      <c r="U339" s="222">
        <f>ABS(((T338+T339)/T338))</f>
        <v>0.44044856921887088</v>
      </c>
      <c r="V339" s="214">
        <v>43.89</v>
      </c>
      <c r="W339" s="222">
        <f>ABS(((V338+V339)/V338))</f>
        <v>0.64258982035928158</v>
      </c>
      <c r="X339" s="214">
        <v>31.62</v>
      </c>
      <c r="Y339" s="214">
        <v>15.17</v>
      </c>
      <c r="Z339" s="213">
        <v>48.75</v>
      </c>
      <c r="AA339" s="214">
        <v>15.17</v>
      </c>
      <c r="AB339" s="213">
        <v>67.52</v>
      </c>
      <c r="AC339" s="222">
        <f>ABS(((AB338+AB339)/AB338))</f>
        <v>0.5450800915331806</v>
      </c>
      <c r="AD339" s="213">
        <v>34.619999999999997</v>
      </c>
      <c r="AE339" s="222">
        <f>ABS(((AD338+AD339)/AD338))</f>
        <v>0.3651419558359621</v>
      </c>
      <c r="AF339" s="213">
        <v>33.96</v>
      </c>
      <c r="AG339" s="222">
        <f>ABS(((AF338+AF339)/AF338))</f>
        <v>0.12562147828969172</v>
      </c>
      <c r="AH339" s="214">
        <v>34.840000000000003</v>
      </c>
      <c r="AI339" s="222">
        <f>ABS(((AH338+AH339)/AH338))</f>
        <v>0.1198971391835424</v>
      </c>
      <c r="AJ339" s="214">
        <v>6.64</v>
      </c>
      <c r="AK339" s="222">
        <f>ABS(((AJ338+AJ339)/AJ338))</f>
        <v>0.84111031347212251</v>
      </c>
      <c r="AL339" s="214">
        <v>2.98</v>
      </c>
      <c r="AM339" s="222">
        <f>ABS(((AL338+AL339)/AL338))</f>
        <v>0.92738791423001954</v>
      </c>
      <c r="AN339" s="214">
        <v>52.74</v>
      </c>
      <c r="AO339" s="222">
        <f>ABS(((AN338+AN339)/AN338))</f>
        <v>7.6546233925290877E-2</v>
      </c>
      <c r="AP339" s="214">
        <v>11.08</v>
      </c>
      <c r="AQ339" s="222">
        <f>ABS(((AP338+AP339)/AP338))</f>
        <v>0.7520698142761244</v>
      </c>
      <c r="AR339" s="214">
        <v>13.46</v>
      </c>
      <c r="AS339" s="222">
        <f>ABS(((AR338+AR339)/AR338))</f>
        <v>0.61652421652421652</v>
      </c>
      <c r="AT339" s="214">
        <v>22.68</v>
      </c>
      <c r="AU339" s="222">
        <f>AT340/AT339</f>
        <v>-0.3231922398589066</v>
      </c>
      <c r="AV339" s="214">
        <v>22.5</v>
      </c>
      <c r="AW339" s="222">
        <f>AV340/AV339</f>
        <v>-0.29111111111111115</v>
      </c>
      <c r="AX339" s="214">
        <v>5.04</v>
      </c>
      <c r="AY339" s="224">
        <f>AX340/AX339</f>
        <v>-5.6984126984126977</v>
      </c>
      <c r="AZ339" s="225"/>
      <c r="BA339" s="214">
        <v>46.59</v>
      </c>
      <c r="BB339" s="222">
        <f>BA340/BA339</f>
        <v>0.10302640051513208</v>
      </c>
      <c r="BC339" s="214">
        <v>35.869999999999997</v>
      </c>
      <c r="BD339" s="222">
        <f>BC340/BC339</f>
        <v>0.13855589629216614</v>
      </c>
      <c r="BE339" s="214">
        <v>35.89</v>
      </c>
      <c r="BF339" s="222">
        <f>BE340/BE339</f>
        <v>4.6252438005015425E-2</v>
      </c>
      <c r="BG339" s="214">
        <v>35.89</v>
      </c>
      <c r="BH339" s="222">
        <f>BG340/BG339</f>
        <v>7.7180273056561804E-2</v>
      </c>
      <c r="BI339" s="214">
        <v>36.119999999999997</v>
      </c>
      <c r="BJ339" s="222">
        <f>BI340/BI339</f>
        <v>-0.23892580287929133</v>
      </c>
      <c r="BK339" s="214">
        <v>36.119999999999997</v>
      </c>
      <c r="BL339" s="222">
        <f>BK340/BK339</f>
        <v>8.3056478405315617E-2</v>
      </c>
      <c r="BM339" s="214">
        <v>36.119999999999997</v>
      </c>
      <c r="BN339" s="222">
        <f>BM340/BM339</f>
        <v>5.2325581395348854E-2</v>
      </c>
      <c r="BO339" s="214">
        <v>49.91</v>
      </c>
      <c r="BP339" s="222">
        <f>BO340/BO339</f>
        <v>0.12923261871368455</v>
      </c>
      <c r="BQ339" s="214">
        <v>39.49</v>
      </c>
      <c r="BR339" s="222">
        <f>BQ340/BQ339</f>
        <v>0.13421119270701454</v>
      </c>
      <c r="BS339" s="214">
        <v>42.54</v>
      </c>
      <c r="BT339" s="222">
        <f>BS340/BS339</f>
        <v>8.3921015514809599E-2</v>
      </c>
      <c r="BU339" s="214">
        <v>36.119999999999997</v>
      </c>
      <c r="BV339" s="222">
        <f>BU340/BU339</f>
        <v>4.5957918050941217E-2</v>
      </c>
      <c r="BW339" s="214">
        <v>71.73</v>
      </c>
      <c r="BX339" s="222">
        <f>BW340/BW339</f>
        <v>0.10915934755332504</v>
      </c>
      <c r="BY339" s="214">
        <v>54.38</v>
      </c>
      <c r="BZ339" s="222">
        <f>BY340/BY339</f>
        <v>7.6866495034939308E-2</v>
      </c>
      <c r="CA339" s="214">
        <v>36.1</v>
      </c>
      <c r="CB339" s="222">
        <f>CA340/CA339</f>
        <v>0.13185595567867039</v>
      </c>
      <c r="CC339" s="214">
        <v>36.35</v>
      </c>
      <c r="CD339" s="222">
        <f>CC340/CC339</f>
        <v>0.12819807427785421</v>
      </c>
      <c r="CE339" s="214">
        <v>36.119999999999997</v>
      </c>
      <c r="CF339" s="222">
        <f>CE340/CE339</f>
        <v>0.15116279069767435</v>
      </c>
      <c r="CG339" s="214">
        <v>75.63</v>
      </c>
      <c r="CH339" s="222">
        <f>CG340/CG339</f>
        <v>0.10405923575300795</v>
      </c>
    </row>
    <row r="340" spans="1:87">
      <c r="C340" s="241" t="s">
        <v>9</v>
      </c>
      <c r="N340" s="214">
        <f>SUM(N338:N339)</f>
        <v>19.350000000000001</v>
      </c>
      <c r="P340" s="214">
        <f>SUM(P338:P339)</f>
        <v>31.92</v>
      </c>
      <c r="R340" s="214">
        <f>R338+R339</f>
        <v>24.56</v>
      </c>
      <c r="S340" s="214"/>
      <c r="T340" s="214">
        <f>T338+T339</f>
        <v>11.39</v>
      </c>
      <c r="V340" s="214">
        <f>V338+V339</f>
        <v>17.170000000000002</v>
      </c>
      <c r="X340" s="214">
        <f>X338+X339</f>
        <v>5.7600000000000016</v>
      </c>
      <c r="Z340" s="214">
        <f>Z338+Z339</f>
        <v>15.439999999999998</v>
      </c>
      <c r="AB340" s="242">
        <f>AB338+AB339</f>
        <v>23.819999999999993</v>
      </c>
      <c r="AD340" s="242">
        <f>AD338+AD339</f>
        <v>9.259999999999998</v>
      </c>
      <c r="AF340" s="242">
        <f>AF338+AF339</f>
        <v>3.7899999999999991</v>
      </c>
      <c r="AH340" s="243">
        <f>AH338+AH339</f>
        <v>3.730000000000004</v>
      </c>
      <c r="AJ340" s="243">
        <f>AJ338+AJ339</f>
        <v>-35.15</v>
      </c>
      <c r="AL340" s="242">
        <f>AL338+AL339</f>
        <v>-38.06</v>
      </c>
      <c r="AN340" s="243">
        <f>AN338+AN339</f>
        <v>3.75</v>
      </c>
      <c r="AP340" s="214">
        <f>AP338+AP339</f>
        <v>-33.61</v>
      </c>
      <c r="AR340" s="214">
        <f>AR338+AR339</f>
        <v>-21.64</v>
      </c>
      <c r="AT340" s="214">
        <f>AT338+AT339</f>
        <v>-7.3300000000000018</v>
      </c>
      <c r="AV340" s="214">
        <f>AV338+AV339</f>
        <v>-6.5500000000000007</v>
      </c>
      <c r="AX340" s="214">
        <f>AX338+AX339</f>
        <v>-28.72</v>
      </c>
      <c r="BA340" s="214">
        <f>BA338+BA339</f>
        <v>4.8000000000000043</v>
      </c>
      <c r="BC340" s="214">
        <f>BC338+BC339</f>
        <v>4.9699999999999989</v>
      </c>
      <c r="BE340" s="214">
        <f>BE338+BE339</f>
        <v>1.6600000000000037</v>
      </c>
      <c r="BG340" s="214">
        <f>BG338+BG339</f>
        <v>2.7700000000000031</v>
      </c>
      <c r="BI340" s="214">
        <f>BI338+BI339</f>
        <v>-8.6300000000000026</v>
      </c>
      <c r="BK340" s="214">
        <f>BK338+BK339</f>
        <v>3</v>
      </c>
      <c r="BM340" s="214">
        <f>BM338+BM339</f>
        <v>1.8900000000000006</v>
      </c>
      <c r="BO340" s="214">
        <f>BO338+BO339</f>
        <v>6.4499999999999957</v>
      </c>
      <c r="BQ340" s="214">
        <f>BQ338+BQ339</f>
        <v>5.3000000000000043</v>
      </c>
      <c r="BS340" s="214">
        <f>BS338+BS339</f>
        <v>3.5700000000000003</v>
      </c>
      <c r="BU340" s="214">
        <f>BU338+BU339</f>
        <v>1.6599999999999966</v>
      </c>
      <c r="BW340" s="214">
        <f>BW338+BW339</f>
        <v>7.8300000000000054</v>
      </c>
      <c r="BY340" s="214">
        <f>BY338+BY339</f>
        <v>4.18</v>
      </c>
      <c r="CA340" s="214">
        <f>CA338+CA339</f>
        <v>4.7600000000000016</v>
      </c>
      <c r="CC340" s="214">
        <f>CC338+CC339</f>
        <v>4.66</v>
      </c>
      <c r="CE340" s="214">
        <f>CE338+CE339</f>
        <v>5.4599999999999973</v>
      </c>
      <c r="CG340" s="214">
        <f>CG338+CG339</f>
        <v>7.8699999999999903</v>
      </c>
    </row>
    <row r="341" spans="1:87">
      <c r="A341" s="231">
        <v>104</v>
      </c>
      <c r="B341" s="279">
        <v>645012361</v>
      </c>
      <c r="C341" s="213" t="s">
        <v>132</v>
      </c>
      <c r="AP341" s="214"/>
      <c r="AT341" s="214"/>
    </row>
    <row r="342" spans="1:87">
      <c r="C342" s="253" t="s">
        <v>133</v>
      </c>
      <c r="D342" s="246">
        <v>44927</v>
      </c>
      <c r="E342" s="246"/>
      <c r="F342" s="246">
        <v>44958</v>
      </c>
      <c r="H342" s="246">
        <v>44986</v>
      </c>
      <c r="I342" s="235"/>
      <c r="J342" s="235">
        <v>45017</v>
      </c>
      <c r="K342" s="235"/>
      <c r="L342" s="246">
        <v>45047</v>
      </c>
      <c r="M342" s="235"/>
      <c r="N342" s="235">
        <v>45078</v>
      </c>
      <c r="O342" s="235"/>
      <c r="P342" s="235">
        <v>45108</v>
      </c>
      <c r="Q342" s="235"/>
      <c r="R342" s="235">
        <v>45139</v>
      </c>
      <c r="S342" s="235"/>
      <c r="T342" s="235">
        <v>45170</v>
      </c>
      <c r="U342" s="235"/>
      <c r="V342" s="235">
        <v>45200</v>
      </c>
      <c r="W342" s="235"/>
      <c r="X342" s="235">
        <v>45231</v>
      </c>
      <c r="Y342" s="235"/>
      <c r="Z342" s="235">
        <v>45261</v>
      </c>
      <c r="AA342" s="235"/>
      <c r="AB342" s="235">
        <v>45292</v>
      </c>
      <c r="AC342" s="235"/>
      <c r="AD342" s="235">
        <v>45323</v>
      </c>
      <c r="AE342" s="235"/>
      <c r="AF342" s="235">
        <v>45352</v>
      </c>
      <c r="AH342" s="235">
        <v>45383</v>
      </c>
      <c r="AJ342" s="235">
        <v>45413</v>
      </c>
      <c r="AL342" s="235">
        <v>45444</v>
      </c>
      <c r="AN342" s="235">
        <v>45474</v>
      </c>
      <c r="AP342" s="235">
        <v>45505</v>
      </c>
      <c r="AR342" s="236">
        <v>45536</v>
      </c>
      <c r="AT342" s="236">
        <v>45566</v>
      </c>
      <c r="AV342" s="235">
        <v>45597</v>
      </c>
      <c r="AX342" s="235">
        <v>45627</v>
      </c>
      <c r="BA342" s="235">
        <v>45658</v>
      </c>
      <c r="BC342" s="235">
        <v>45689</v>
      </c>
      <c r="BE342" s="235">
        <v>45717</v>
      </c>
      <c r="BG342" s="235">
        <v>45748</v>
      </c>
      <c r="BI342" s="235">
        <v>45778</v>
      </c>
      <c r="BK342" s="235">
        <v>45809</v>
      </c>
      <c r="BM342" s="235">
        <v>45839</v>
      </c>
      <c r="BO342" s="235">
        <v>45870</v>
      </c>
      <c r="BQ342" s="235">
        <v>45901</v>
      </c>
      <c r="BS342" s="235">
        <v>45931</v>
      </c>
      <c r="BU342" s="235">
        <v>45962</v>
      </c>
      <c r="BW342" s="235">
        <v>45992</v>
      </c>
      <c r="BY342" s="235">
        <v>46023</v>
      </c>
      <c r="CA342" s="235">
        <v>46054</v>
      </c>
      <c r="CC342" s="235">
        <v>46082</v>
      </c>
      <c r="CE342" s="235">
        <v>46113</v>
      </c>
      <c r="CG342" s="235">
        <v>46143</v>
      </c>
      <c r="CI342" s="341">
        <v>46174</v>
      </c>
    </row>
    <row r="343" spans="1:87">
      <c r="C343" s="213" t="s">
        <v>7</v>
      </c>
      <c r="N343" s="237">
        <f>-11.43-72.42-82.33</f>
        <v>-166.18</v>
      </c>
      <c r="P343" s="237">
        <v>-366.63</v>
      </c>
      <c r="R343" s="237">
        <v>-320.88</v>
      </c>
      <c r="T343" s="237">
        <v>-132.02000000000001</v>
      </c>
      <c r="V343" s="237">
        <v>-87.29</v>
      </c>
      <c r="X343" s="237">
        <v>-113.75</v>
      </c>
      <c r="Z343" s="238">
        <v>-112.6</v>
      </c>
      <c r="AB343" s="238">
        <v>-157.12</v>
      </c>
      <c r="AD343" s="237">
        <v>-139.31</v>
      </c>
      <c r="AF343" s="237">
        <v>-112.31</v>
      </c>
      <c r="AH343" s="237">
        <f>-12.29-41.02</f>
        <v>-53.31</v>
      </c>
      <c r="AJ343" s="237">
        <v>-67.489999999999995</v>
      </c>
      <c r="AL343" s="237">
        <v>-88.18</v>
      </c>
      <c r="AN343" s="237">
        <v>-271.79000000000002</v>
      </c>
      <c r="AP343" s="237">
        <v>-284.41000000000003</v>
      </c>
      <c r="AR343" s="237">
        <f>-11.29-102.51</f>
        <v>-113.80000000000001</v>
      </c>
      <c r="AT343" s="237">
        <v>-111.02</v>
      </c>
      <c r="AV343" s="237">
        <v>-73.77</v>
      </c>
      <c r="AX343" s="237">
        <v>-140.97</v>
      </c>
      <c r="BA343" s="237">
        <v>-278.13</v>
      </c>
      <c r="BC343" s="237">
        <v>-167.63</v>
      </c>
      <c r="BE343" s="237">
        <v>-144.97</v>
      </c>
      <c r="BG343" s="237">
        <v>-113.96</v>
      </c>
      <c r="BI343" s="237">
        <v>-159.26</v>
      </c>
      <c r="BK343" s="237">
        <v>-281.2</v>
      </c>
      <c r="BM343" s="237">
        <v>-491.34</v>
      </c>
      <c r="BO343" s="237">
        <v>-327.9</v>
      </c>
      <c r="BQ343" s="237">
        <v>-269.7</v>
      </c>
      <c r="BS343" s="237">
        <v>-262.72000000000003</v>
      </c>
      <c r="BU343" s="237">
        <v>-165.55</v>
      </c>
      <c r="BW343" s="237">
        <v>-213</v>
      </c>
      <c r="BY343" s="237">
        <v>-294.95</v>
      </c>
      <c r="CA343" s="237">
        <v>-176.99</v>
      </c>
      <c r="CC343" s="237">
        <v>-190.96</v>
      </c>
      <c r="CE343" s="237">
        <v>-163.83000000000001</v>
      </c>
      <c r="CG343" s="237">
        <v>-184.57</v>
      </c>
    </row>
    <row r="344" spans="1:87">
      <c r="C344" s="213" t="s">
        <v>8</v>
      </c>
      <c r="N344" s="214">
        <v>233.98</v>
      </c>
      <c r="O344" s="222">
        <f>ABS(((N343+N344)/N343))</f>
        <v>0.40799133469731602</v>
      </c>
      <c r="P344" s="214">
        <v>470.59</v>
      </c>
      <c r="Q344" s="222">
        <f>ABS(((P343+P344)/P343))</f>
        <v>0.28355562829010167</v>
      </c>
      <c r="R344" s="214">
        <v>431.92</v>
      </c>
      <c r="S344" s="222">
        <f>ABS(((R343+R344)/R343))</f>
        <v>0.34604836699077546</v>
      </c>
      <c r="T344" s="214">
        <v>221.94</v>
      </c>
      <c r="V344" s="214">
        <v>160.77000000000001</v>
      </c>
      <c r="W344" s="222">
        <f>ABS(((V343+V344)/V343))</f>
        <v>0.84179172872035746</v>
      </c>
      <c r="X344" s="214">
        <v>181.44</v>
      </c>
      <c r="Y344" s="222">
        <f>ABS(((X343+X344)/X343))</f>
        <v>0.59507692307692306</v>
      </c>
      <c r="Z344" s="213">
        <v>168.7</v>
      </c>
      <c r="AA344" s="222">
        <f>ABS(((Z343+Z344)/Z343))</f>
        <v>0.49822380106571934</v>
      </c>
      <c r="AB344" s="213">
        <v>233.23</v>
      </c>
      <c r="AC344" s="222">
        <f>ABS(((AB343+AB344)/AB343))</f>
        <v>0.4844068228105905</v>
      </c>
      <c r="AE344" s="222">
        <f>ABS(((AD343+AD344)/AD343))</f>
        <v>1</v>
      </c>
      <c r="AF344" s="213">
        <v>160.49</v>
      </c>
      <c r="AG344" s="222">
        <f>ABS(((AF343+AF344)/AF343))</f>
        <v>0.42899118511263473</v>
      </c>
      <c r="AH344" s="214">
        <v>81.47</v>
      </c>
      <c r="AI344" s="222">
        <f>ABS(((AH343+AH344)/AH343))</f>
        <v>0.5282311011067341</v>
      </c>
      <c r="AJ344" s="214">
        <v>85.84</v>
      </c>
      <c r="AK344" s="222">
        <f>ABS(((AJ343+AJ344)/AJ343))</f>
        <v>0.27189213216772867</v>
      </c>
      <c r="AL344" s="214">
        <v>168.08</v>
      </c>
      <c r="AM344" s="222">
        <f>ABS(((AL343+AL344)/AL343))</f>
        <v>0.9061011567248809</v>
      </c>
      <c r="AN344" s="214">
        <v>429.28</v>
      </c>
      <c r="AO344" s="222">
        <f>ABS(((AN343+AN344)/AN343))</f>
        <v>0.57945472607527848</v>
      </c>
      <c r="AP344" s="214">
        <v>449.67</v>
      </c>
      <c r="AQ344" s="222">
        <f>ABS(((AP343+AP344)/AP343))</f>
        <v>0.58106255054322975</v>
      </c>
      <c r="AR344" s="214">
        <v>189.66</v>
      </c>
      <c r="AS344" s="222">
        <f>ABS(((AR343+AR344)/AR343))</f>
        <v>0.66660808435852348</v>
      </c>
      <c r="AT344" s="214">
        <v>197.76</v>
      </c>
      <c r="AU344" s="222">
        <f>AT345/AT344</f>
        <v>0.43861245954692557</v>
      </c>
      <c r="AV344" s="214">
        <v>140.56</v>
      </c>
      <c r="AW344" s="222">
        <f>AV345/AV344</f>
        <v>0.4751707455890723</v>
      </c>
      <c r="AX344" s="214">
        <v>226.86</v>
      </c>
      <c r="AY344" s="224">
        <f>AX345/AX344</f>
        <v>0.37860354403596935</v>
      </c>
      <c r="AZ344" s="225"/>
      <c r="BA344" s="214">
        <v>427.88</v>
      </c>
      <c r="BB344" s="222">
        <f>BA345/BA344</f>
        <v>0.34998130316911286</v>
      </c>
      <c r="BC344" s="214">
        <v>282.52</v>
      </c>
      <c r="BD344" s="222">
        <f>BC345/BC344</f>
        <v>0.40666147529378449</v>
      </c>
      <c r="BE344" s="214">
        <v>251.05</v>
      </c>
      <c r="BF344" s="222">
        <f>BE345/BE344</f>
        <v>0.42254530969926313</v>
      </c>
      <c r="BG344" s="214">
        <v>218.59</v>
      </c>
      <c r="BH344" s="222">
        <f>BG345/BG344</f>
        <v>0.47865867606020407</v>
      </c>
      <c r="BI344" s="214">
        <v>249.04</v>
      </c>
      <c r="BJ344" s="222">
        <f>BI345/BI344</f>
        <v>0.36050433665274656</v>
      </c>
      <c r="BK344" s="239">
        <v>463.87</v>
      </c>
      <c r="BL344" s="222">
        <f>BK345/BK344</f>
        <v>0.39379567551253586</v>
      </c>
      <c r="BM344" s="214">
        <v>645.71</v>
      </c>
      <c r="BN344" s="222">
        <f>BM345/BM344</f>
        <v>0.2390701708197179</v>
      </c>
      <c r="BO344" s="214">
        <v>503.86</v>
      </c>
      <c r="BP344" s="222">
        <f>BO345/BO344</f>
        <v>0.34922399079109284</v>
      </c>
      <c r="BQ344" s="214">
        <v>412.16</v>
      </c>
      <c r="BR344" s="222">
        <f>BQ345/BQ344</f>
        <v>0.34564246894409945</v>
      </c>
      <c r="BS344" s="214">
        <v>410.9</v>
      </c>
      <c r="BT344" s="222">
        <f>BS345/BS344</f>
        <v>0.36062302263324397</v>
      </c>
      <c r="BU344" s="214">
        <v>280.38</v>
      </c>
      <c r="BV344" s="222">
        <f>BU345/BU344</f>
        <v>0.40955132320422277</v>
      </c>
      <c r="BW344" s="214">
        <v>343.97</v>
      </c>
      <c r="BX344" s="222">
        <f>BW345/BW344</f>
        <v>0.38075994999563922</v>
      </c>
      <c r="BY344" s="214">
        <v>471.05</v>
      </c>
      <c r="BZ344" s="222">
        <f>BY345/BY344</f>
        <v>0.37384566394225671</v>
      </c>
      <c r="CA344" s="214">
        <v>390.87</v>
      </c>
      <c r="CB344" s="222">
        <f>CA345/CA344</f>
        <v>0.54718960268119832</v>
      </c>
      <c r="CC344" s="214">
        <v>336.14</v>
      </c>
      <c r="CD344" s="222">
        <f>CC345/CC344</f>
        <v>0.43190337359433567</v>
      </c>
      <c r="CE344" s="214">
        <v>302.08</v>
      </c>
      <c r="CF344" s="222">
        <f>CE345/CE344</f>
        <v>0.45766022245762705</v>
      </c>
      <c r="CG344" s="214">
        <v>320.81</v>
      </c>
      <c r="CH344" s="222">
        <f>CG345/CG344</f>
        <v>0.42467504130170508</v>
      </c>
    </row>
    <row r="345" spans="1:87">
      <c r="C345" s="241" t="s">
        <v>9</v>
      </c>
      <c r="N345" s="214">
        <f>SUM(N343:N344)</f>
        <v>67.799999999999983</v>
      </c>
      <c r="P345" s="214">
        <f>SUM(P343:P344)</f>
        <v>103.95999999999998</v>
      </c>
      <c r="R345" s="214">
        <f>R343+R344</f>
        <v>111.04000000000002</v>
      </c>
      <c r="S345" s="214"/>
      <c r="T345" s="214">
        <f>T343+T344</f>
        <v>89.919999999999987</v>
      </c>
      <c r="V345" s="214">
        <f>V343+V344</f>
        <v>73.48</v>
      </c>
      <c r="X345" s="214">
        <f>X343+X344</f>
        <v>67.69</v>
      </c>
      <c r="Z345" s="214">
        <f>Z343+Z344</f>
        <v>56.099999999999994</v>
      </c>
      <c r="AB345" s="242">
        <f>AB343+AB344</f>
        <v>76.109999999999985</v>
      </c>
      <c r="AD345" s="243">
        <f>AD343+AD344</f>
        <v>-139.31</v>
      </c>
      <c r="AF345" s="243">
        <f>AF343+AF344</f>
        <v>48.180000000000007</v>
      </c>
      <c r="AH345" s="243">
        <f>AH343+AH344</f>
        <v>28.159999999999997</v>
      </c>
      <c r="AJ345" s="243">
        <f>AJ343+AJ344</f>
        <v>18.350000000000009</v>
      </c>
      <c r="AL345" s="214">
        <f>AL343+AL344</f>
        <v>79.900000000000006</v>
      </c>
      <c r="AN345" s="214">
        <f>AN343+AN344</f>
        <v>157.48999999999995</v>
      </c>
      <c r="AP345" s="214">
        <f>AP343+AP344</f>
        <v>165.26</v>
      </c>
      <c r="AR345" s="214">
        <f>AR343+AR344</f>
        <v>75.859999999999985</v>
      </c>
      <c r="AT345" s="214">
        <f>AT343+AT344</f>
        <v>86.74</v>
      </c>
      <c r="AV345" s="214">
        <f>AV343+AV344</f>
        <v>66.790000000000006</v>
      </c>
      <c r="AX345" s="214">
        <f>AX343+AX344</f>
        <v>85.890000000000015</v>
      </c>
      <c r="BA345" s="214">
        <f>BA343+BA344</f>
        <v>149.75</v>
      </c>
      <c r="BC345" s="214">
        <f>BC343+BC344</f>
        <v>114.88999999999999</v>
      </c>
      <c r="BE345" s="214">
        <f>BE343+BE344</f>
        <v>106.08000000000001</v>
      </c>
      <c r="BG345" s="214">
        <f>BG343+BG344</f>
        <v>104.63000000000001</v>
      </c>
      <c r="BI345" s="214">
        <f>BI343+BI344</f>
        <v>89.78</v>
      </c>
      <c r="BK345" s="214">
        <f>BK343+BK344</f>
        <v>182.67000000000002</v>
      </c>
      <c r="BM345" s="214">
        <f>BM343+BM344</f>
        <v>154.37000000000006</v>
      </c>
      <c r="BO345" s="214">
        <f>BO343+BO344</f>
        <v>175.96000000000004</v>
      </c>
      <c r="BQ345" s="214">
        <f>BQ343+BQ344</f>
        <v>142.46000000000004</v>
      </c>
      <c r="BS345" s="214">
        <f>BS343+BS344</f>
        <v>148.17999999999995</v>
      </c>
      <c r="BU345" s="214">
        <f>BU343+BU344</f>
        <v>114.82999999999998</v>
      </c>
      <c r="BW345" s="214">
        <f>BW343+BW344</f>
        <v>130.97000000000003</v>
      </c>
      <c r="BY345" s="214">
        <f>BY343+BY344</f>
        <v>176.10000000000002</v>
      </c>
      <c r="CA345" s="214">
        <f>CA343+CA344</f>
        <v>213.88</v>
      </c>
      <c r="CC345" s="214">
        <f>CC343+CC344</f>
        <v>145.17999999999998</v>
      </c>
      <c r="CE345" s="214">
        <f>CE343+CE344</f>
        <v>138.24999999999997</v>
      </c>
      <c r="CG345" s="214">
        <f>CG343+CG344</f>
        <v>136.24</v>
      </c>
    </row>
    <row r="346" spans="1:87">
      <c r="A346" s="231">
        <v>107</v>
      </c>
      <c r="B346" s="232">
        <v>843106487</v>
      </c>
      <c r="C346" s="213" t="s">
        <v>134</v>
      </c>
      <c r="AP346" s="214"/>
      <c r="AT346" s="214"/>
    </row>
    <row r="347" spans="1:87">
      <c r="C347" s="253" t="s">
        <v>257</v>
      </c>
      <c r="D347" s="235">
        <v>44927</v>
      </c>
      <c r="E347" s="235"/>
      <c r="F347" s="235">
        <v>44958</v>
      </c>
      <c r="G347" s="235"/>
      <c r="H347" s="235">
        <v>44986</v>
      </c>
      <c r="I347" s="235"/>
      <c r="J347" s="235">
        <v>45017</v>
      </c>
      <c r="K347" s="235"/>
      <c r="L347" s="246">
        <v>45047</v>
      </c>
      <c r="M347" s="235"/>
      <c r="N347" s="235">
        <v>45078</v>
      </c>
      <c r="O347" s="235"/>
      <c r="P347" s="235">
        <v>45108</v>
      </c>
      <c r="Q347" s="235"/>
      <c r="R347" s="235">
        <v>45139</v>
      </c>
      <c r="S347" s="235"/>
      <c r="T347" s="235">
        <v>45170</v>
      </c>
      <c r="U347" s="235"/>
      <c r="V347" s="235">
        <v>45200</v>
      </c>
      <c r="W347" s="235"/>
      <c r="X347" s="235">
        <v>45231</v>
      </c>
      <c r="Y347" s="235"/>
      <c r="Z347" s="235">
        <v>45261</v>
      </c>
      <c r="AA347" s="235"/>
      <c r="AB347" s="235">
        <v>45292</v>
      </c>
      <c r="AC347" s="235"/>
      <c r="AD347" s="235">
        <v>45323</v>
      </c>
      <c r="AE347" s="235"/>
      <c r="AF347" s="235">
        <v>45352</v>
      </c>
      <c r="AH347" s="235">
        <v>45383</v>
      </c>
      <c r="AJ347" s="235">
        <v>45413</v>
      </c>
      <c r="AL347" s="235">
        <v>45444</v>
      </c>
      <c r="AN347" s="235">
        <v>45474</v>
      </c>
      <c r="AP347" s="235">
        <v>45505</v>
      </c>
      <c r="AR347" s="236">
        <v>45536</v>
      </c>
      <c r="AT347" s="236">
        <v>45566</v>
      </c>
      <c r="AV347" s="235">
        <v>45597</v>
      </c>
      <c r="AX347" s="235">
        <v>45627</v>
      </c>
      <c r="BA347" s="235">
        <v>45658</v>
      </c>
      <c r="BC347" s="235">
        <v>45689</v>
      </c>
      <c r="BE347" s="235">
        <v>45717</v>
      </c>
      <c r="BG347" s="235">
        <v>45748</v>
      </c>
      <c r="BI347" s="235">
        <v>45778</v>
      </c>
      <c r="BK347" s="235">
        <v>45809</v>
      </c>
      <c r="BM347" s="235">
        <v>45839</v>
      </c>
      <c r="BO347" s="235">
        <v>45870</v>
      </c>
      <c r="BQ347" s="235">
        <v>45901</v>
      </c>
      <c r="BS347" s="235">
        <v>45931</v>
      </c>
      <c r="BU347" s="235">
        <v>45962</v>
      </c>
      <c r="BW347" s="235">
        <v>45992</v>
      </c>
      <c r="BY347" s="235">
        <v>46023</v>
      </c>
      <c r="CA347" s="235">
        <v>46054</v>
      </c>
      <c r="CC347" s="235">
        <v>46082</v>
      </c>
      <c r="CE347" s="235">
        <v>46113</v>
      </c>
      <c r="CG347" s="235">
        <v>46143</v>
      </c>
      <c r="CI347" s="341">
        <v>46174</v>
      </c>
    </row>
    <row r="348" spans="1:87">
      <c r="C348" s="213" t="s">
        <v>7</v>
      </c>
      <c r="J348" s="237">
        <v>-44.94</v>
      </c>
      <c r="L348" s="237">
        <v>-25.98</v>
      </c>
      <c r="N348" s="238">
        <v>-94.68</v>
      </c>
      <c r="P348" s="237">
        <v>-97.62</v>
      </c>
      <c r="R348" s="237">
        <f>-219.65-39.17</f>
        <v>-258.82</v>
      </c>
      <c r="T348" s="237">
        <v>-66.42</v>
      </c>
      <c r="V348" s="237">
        <v>-87.56</v>
      </c>
      <c r="X348" s="237">
        <v>-143.33000000000001</v>
      </c>
      <c r="Z348" s="238">
        <v>-157.38</v>
      </c>
      <c r="AB348" s="238">
        <f>-136.41-14</f>
        <v>-150.41</v>
      </c>
      <c r="AD348" s="237">
        <f>-77.05-16.14</f>
        <v>-93.19</v>
      </c>
      <c r="AF348" s="237">
        <f>-56.27-14.68</f>
        <v>-70.95</v>
      </c>
      <c r="AH348" s="237">
        <f>-32.3-8.76</f>
        <v>-41.059999999999995</v>
      </c>
      <c r="AJ348" s="237">
        <f>-32.22-17.82</f>
        <v>-50.04</v>
      </c>
      <c r="AL348" s="237">
        <f>-43.68-33.36</f>
        <v>-77.039999999999992</v>
      </c>
      <c r="AN348" s="237">
        <f>-95.86-40.74</f>
        <v>-136.6</v>
      </c>
      <c r="AP348" s="237">
        <f>-128.15-25.83</f>
        <v>-153.98000000000002</v>
      </c>
      <c r="AR348" s="237">
        <f>-63.29-9.69-31.74</f>
        <v>-104.72</v>
      </c>
      <c r="AT348" s="237">
        <f>-35.07-127.03</f>
        <v>-162.1</v>
      </c>
      <c r="AV348" s="237">
        <f>-120.09-34.44</f>
        <v>-154.53</v>
      </c>
      <c r="AX348" s="237">
        <f>-109.13-66.48</f>
        <v>-175.61</v>
      </c>
      <c r="BA348" s="237">
        <f>-144.12-28.95</f>
        <v>-173.07</v>
      </c>
      <c r="BC348" s="237">
        <f>-139.09-19.44</f>
        <v>-158.53</v>
      </c>
      <c r="BE348" s="237">
        <f>-116.75-37.92</f>
        <v>-154.67000000000002</v>
      </c>
      <c r="BG348" s="237">
        <f>-151.76-25.32</f>
        <v>-177.07999999999998</v>
      </c>
      <c r="BI348" s="237">
        <f>-114-26.64</f>
        <v>-140.63999999999999</v>
      </c>
      <c r="BK348" s="237">
        <f>-159.93-38.82</f>
        <v>-198.75</v>
      </c>
      <c r="BM348" s="237">
        <f>-155.42-40.81</f>
        <v>-196.23</v>
      </c>
      <c r="BO348" s="237">
        <f>-145.75-30.84</f>
        <v>-176.59</v>
      </c>
      <c r="BQ348" s="237">
        <f>-112.97-25.44</f>
        <v>-138.41</v>
      </c>
      <c r="BS348" s="237">
        <f>-82.71-21.95</f>
        <v>-104.66</v>
      </c>
      <c r="BU348" s="237">
        <f>-100.91-49.84</f>
        <v>-150.75</v>
      </c>
      <c r="BW348" s="237">
        <f>-149.45-57.5</f>
        <v>-206.95</v>
      </c>
      <c r="BY348" s="237">
        <f>-143.84-42.06</f>
        <v>-185.9</v>
      </c>
      <c r="CA348" s="237">
        <f>-154.35-27</f>
        <v>-181.35</v>
      </c>
      <c r="CC348" s="237">
        <f>-103.54-18.64</f>
        <v>-122.18</v>
      </c>
      <c r="CE348" s="237">
        <f>-53.55-10.01</f>
        <v>-63.559999999999995</v>
      </c>
      <c r="CG348" s="237">
        <v>-34.29</v>
      </c>
    </row>
    <row r="349" spans="1:87">
      <c r="C349" s="213" t="s">
        <v>8</v>
      </c>
      <c r="J349" s="214">
        <v>76.33</v>
      </c>
      <c r="K349" s="222">
        <f>ABS(((J348+J349)/J348))</f>
        <v>0.69848687138406773</v>
      </c>
      <c r="L349" s="214">
        <v>38.69</v>
      </c>
      <c r="M349" s="222">
        <f>ABS(((L348+L349)/L348))</f>
        <v>0.48922247882986902</v>
      </c>
      <c r="N349" s="214">
        <v>97.23</v>
      </c>
      <c r="O349" s="317" t="s">
        <v>135</v>
      </c>
      <c r="P349" s="214">
        <v>206.53</v>
      </c>
      <c r="Q349" s="222">
        <f>ABS(((P348+P349)/P348))</f>
        <v>1.1156525302192173</v>
      </c>
      <c r="R349" s="214">
        <v>275.68</v>
      </c>
      <c r="S349" s="222">
        <f>ABS(((R348+R349)/R348))</f>
        <v>6.5141797388146253E-2</v>
      </c>
      <c r="T349" s="214">
        <v>211.98</v>
      </c>
      <c r="V349" s="214">
        <v>148.85</v>
      </c>
      <c r="W349" s="222">
        <f>ABS(((V348+V349)/V348))</f>
        <v>0.69997715851987197</v>
      </c>
      <c r="X349" s="214">
        <v>174.07</v>
      </c>
      <c r="Y349" s="222">
        <f>ABS(((X348+X349)/X348))</f>
        <v>0.21447010395590579</v>
      </c>
      <c r="Z349" s="213">
        <v>78.25</v>
      </c>
      <c r="AA349" s="222">
        <f>ABS(((Z348+Z349)/Z348))</f>
        <v>0.50279578091244126</v>
      </c>
      <c r="AB349" s="213">
        <v>236.43</v>
      </c>
      <c r="AC349" s="222">
        <f>ABS(((AB348+AB349)/AB348))</f>
        <v>0.57190346386543456</v>
      </c>
      <c r="AD349" s="213">
        <v>49.09</v>
      </c>
      <c r="AE349" s="222">
        <f>ABS(((AD348+AD349)/AD348))</f>
        <v>0.47322674106663798</v>
      </c>
      <c r="AF349" s="213">
        <v>117.64</v>
      </c>
      <c r="AG349" s="222">
        <f>ABS(((AF348+AF349)/AF348))</f>
        <v>0.65806906272022547</v>
      </c>
      <c r="AH349" s="214">
        <v>54.66</v>
      </c>
      <c r="AI349" s="222">
        <f>ABS(((AH348+AH349)/AH348))</f>
        <v>0.33122260107160262</v>
      </c>
      <c r="AJ349" s="214">
        <v>53.29</v>
      </c>
      <c r="AK349" s="222">
        <f>ABS(((AJ348+AJ349)/AJ348))</f>
        <v>6.4948041566746606E-2</v>
      </c>
      <c r="AL349" s="214">
        <v>118.93</v>
      </c>
      <c r="AM349" s="222">
        <f>ABS(((AL348+AL349)/AL348))</f>
        <v>0.54374350986500541</v>
      </c>
      <c r="AN349" s="214">
        <v>211.44</v>
      </c>
      <c r="AO349" s="222">
        <f>ABS(((AN348+AN349)/AN348))</f>
        <v>0.54787701317715964</v>
      </c>
      <c r="AP349" s="214">
        <v>272.92</v>
      </c>
      <c r="AQ349" s="222">
        <f>ABS(((AP348+AP349)/AP348))</f>
        <v>0.77243797895830613</v>
      </c>
      <c r="AR349" s="214">
        <v>236.77</v>
      </c>
      <c r="AS349" s="222">
        <f>ABS(((AR348+AR349)/AR348))</f>
        <v>1.2609816653934303</v>
      </c>
      <c r="AT349" s="214">
        <v>201.25</v>
      </c>
      <c r="AU349" s="222">
        <f>AT350/AT349</f>
        <v>0.19453416149068326</v>
      </c>
      <c r="AV349" s="214">
        <v>140.36000000000001</v>
      </c>
      <c r="AW349" s="222">
        <f>AV350/AV349</f>
        <v>-0.10095468794528346</v>
      </c>
      <c r="AX349" s="214">
        <v>216.58</v>
      </c>
      <c r="AY349" s="224">
        <f>AX350/AX349</f>
        <v>0.18916797488226059</v>
      </c>
      <c r="AZ349" s="225"/>
      <c r="BA349" s="214">
        <v>190.68</v>
      </c>
      <c r="BB349" s="222">
        <f>BA350/BA349</f>
        <v>9.235368156073008E-2</v>
      </c>
      <c r="BC349" s="214">
        <v>169.35</v>
      </c>
      <c r="BD349" s="222">
        <f>BC350/BC349</f>
        <v>6.3891349276645956E-2</v>
      </c>
      <c r="BE349" s="214">
        <v>183.57</v>
      </c>
      <c r="BF349" s="222">
        <f>BE350/BE349</f>
        <v>0.15743313177534443</v>
      </c>
      <c r="BG349" s="214">
        <v>189.28</v>
      </c>
      <c r="BH349" s="222">
        <f>BG350/BG349</f>
        <v>6.4454775993237623E-2</v>
      </c>
      <c r="BI349" s="214">
        <v>136.38</v>
      </c>
      <c r="BJ349" s="222">
        <f>BI350/BI349</f>
        <v>-3.1236251649801958E-2</v>
      </c>
      <c r="BK349" s="214">
        <v>232.67</v>
      </c>
      <c r="BL349" s="222">
        <f>BK350/BK349</f>
        <v>0.14578587699316625</v>
      </c>
      <c r="BM349" s="214">
        <v>250.36</v>
      </c>
      <c r="BN349" s="222">
        <f>BM350/BM349</f>
        <v>0.21620865953027649</v>
      </c>
      <c r="BO349" s="214">
        <v>185.22</v>
      </c>
      <c r="BP349" s="222">
        <f>BO350/BO349</f>
        <v>4.6593240470791469E-2</v>
      </c>
      <c r="BQ349" s="214">
        <v>186.73</v>
      </c>
      <c r="BR349" s="222">
        <f>BQ350/BQ349</f>
        <v>0.25876934611471109</v>
      </c>
      <c r="BS349" s="214">
        <v>117.37</v>
      </c>
      <c r="BT349" s="222">
        <f>BS350/BS349</f>
        <v>0.1082900230041749</v>
      </c>
      <c r="BU349" s="214">
        <v>181.48</v>
      </c>
      <c r="BV349" s="222">
        <f>BU350/BU349</f>
        <v>0.16932995371390783</v>
      </c>
      <c r="BW349" s="214">
        <v>301.20999999999998</v>
      </c>
      <c r="BX349" s="222">
        <f>BW350/BW349</f>
        <v>0.31293781746953953</v>
      </c>
      <c r="BY349" s="214">
        <v>188.98</v>
      </c>
      <c r="BZ349" s="222">
        <f>BY350/BY349</f>
        <v>1.6298020954598286E-2</v>
      </c>
      <c r="CA349" s="214">
        <v>228.54</v>
      </c>
      <c r="CB349" s="222">
        <f>CA350/CA349</f>
        <v>0.20648464163822525</v>
      </c>
      <c r="CC349" s="214">
        <v>164.03</v>
      </c>
      <c r="CD349" s="222">
        <f>CC350/CC349</f>
        <v>0.25513625556300673</v>
      </c>
      <c r="CE349" s="214">
        <v>75.709999999999994</v>
      </c>
      <c r="CF349" s="222">
        <f>CE350/CE349</f>
        <v>0.1604807819310527</v>
      </c>
      <c r="CG349" s="214">
        <v>54.2</v>
      </c>
      <c r="CH349" s="222">
        <f>CG350/CG349</f>
        <v>0.36734317343173439</v>
      </c>
    </row>
    <row r="350" spans="1:87">
      <c r="C350" s="241" t="s">
        <v>9</v>
      </c>
      <c r="J350" s="214">
        <f>SUM(J348:J349)</f>
        <v>31.39</v>
      </c>
      <c r="L350" s="214">
        <f>SUM(L348:L349)</f>
        <v>12.709999999999997</v>
      </c>
      <c r="N350" s="214">
        <f>SUM(N348:N349)</f>
        <v>2.5499999999999972</v>
      </c>
      <c r="P350" s="214">
        <f>SUM(P348:P349)</f>
        <v>108.91</v>
      </c>
      <c r="R350" s="214">
        <f>R348+R349</f>
        <v>16.860000000000014</v>
      </c>
      <c r="S350" s="214"/>
      <c r="T350" s="214">
        <f>T348+T349</f>
        <v>145.56</v>
      </c>
      <c r="V350" s="214">
        <f>V348+V349</f>
        <v>61.289999999999992</v>
      </c>
      <c r="X350" s="214">
        <f>X348+X349</f>
        <v>30.739999999999981</v>
      </c>
      <c r="Z350" s="214">
        <f>Z348+Z349</f>
        <v>-79.13</v>
      </c>
      <c r="AB350" s="243">
        <f>AB348+AB349</f>
        <v>86.02000000000001</v>
      </c>
      <c r="AD350" s="243">
        <f>AD348+AD349</f>
        <v>-44.099999999999994</v>
      </c>
      <c r="AF350" s="243">
        <f>AF348+AF349</f>
        <v>46.69</v>
      </c>
      <c r="AH350" s="243">
        <f>AH348+AH349</f>
        <v>13.600000000000001</v>
      </c>
      <c r="AJ350" s="243">
        <f>AJ348+AJ349</f>
        <v>3.25</v>
      </c>
      <c r="AL350" s="243">
        <f>AL348+AL349</f>
        <v>41.890000000000015</v>
      </c>
      <c r="AN350" s="243">
        <f>AN348+AN349</f>
        <v>74.84</v>
      </c>
      <c r="AP350" s="214">
        <f>AP348+AP349</f>
        <v>118.94</v>
      </c>
      <c r="AR350" s="214">
        <f>AR348+AR349</f>
        <v>132.05000000000001</v>
      </c>
      <c r="AT350" s="214">
        <f>AT348+AT349</f>
        <v>39.150000000000006</v>
      </c>
      <c r="AV350" s="214">
        <f>AV348+AV349</f>
        <v>-14.169999999999987</v>
      </c>
      <c r="AX350" s="214">
        <f>AX348+AX349</f>
        <v>40.97</v>
      </c>
      <c r="BA350" s="214">
        <f>BA348+BA349</f>
        <v>17.610000000000014</v>
      </c>
      <c r="BC350" s="214">
        <f>BC348+BC349</f>
        <v>10.819999999999993</v>
      </c>
      <c r="BE350" s="214">
        <f>BE348+BE349</f>
        <v>28.899999999999977</v>
      </c>
      <c r="BG350" s="214">
        <f>BG348+BG349</f>
        <v>12.200000000000017</v>
      </c>
      <c r="BI350" s="214">
        <f>BI348+BI349</f>
        <v>-4.2599999999999909</v>
      </c>
      <c r="BK350" s="214">
        <f>BK348+BK349</f>
        <v>33.919999999999987</v>
      </c>
      <c r="BM350" s="214">
        <f>BM348+BM349</f>
        <v>54.130000000000024</v>
      </c>
      <c r="BO350" s="214">
        <f>BO348+BO349</f>
        <v>8.6299999999999955</v>
      </c>
      <c r="BQ350" s="214">
        <f>BQ348+BQ349</f>
        <v>48.319999999999993</v>
      </c>
      <c r="BS350" s="214">
        <f>BS348+BS349</f>
        <v>12.710000000000008</v>
      </c>
      <c r="BU350" s="214">
        <f>BU348+BU349</f>
        <v>30.72999999999999</v>
      </c>
      <c r="BW350" s="214">
        <f>BW348+BW349</f>
        <v>94.259999999999991</v>
      </c>
      <c r="BY350" s="214">
        <f>BY348+BY349</f>
        <v>3.0799999999999841</v>
      </c>
      <c r="CA350" s="214">
        <f>CA348+CA349</f>
        <v>47.19</v>
      </c>
      <c r="CC350" s="214">
        <f>CC348+CC349</f>
        <v>41.849999999999994</v>
      </c>
      <c r="CE350" s="214">
        <f>CE348+CE349</f>
        <v>12.149999999999999</v>
      </c>
      <c r="CG350" s="214">
        <f>CG348+CG349</f>
        <v>19.910000000000004</v>
      </c>
    </row>
    <row r="351" spans="1:87">
      <c r="A351" s="231">
        <v>108</v>
      </c>
      <c r="B351" s="279">
        <v>268890249</v>
      </c>
      <c r="C351" s="213" t="s">
        <v>136</v>
      </c>
      <c r="AP351" s="214"/>
      <c r="AT351" s="214"/>
    </row>
    <row r="352" spans="1:87">
      <c r="C352" s="253" t="s">
        <v>137</v>
      </c>
      <c r="D352" s="235">
        <v>44927</v>
      </c>
      <c r="E352" s="235"/>
      <c r="F352" s="235">
        <v>44958</v>
      </c>
      <c r="G352" s="235"/>
      <c r="H352" s="235">
        <v>44986</v>
      </c>
      <c r="I352" s="235"/>
      <c r="J352" s="235">
        <v>45017</v>
      </c>
      <c r="K352" s="235"/>
      <c r="L352" s="246">
        <v>45047</v>
      </c>
      <c r="M352" s="235"/>
      <c r="N352" s="235">
        <v>45078</v>
      </c>
      <c r="O352" s="235"/>
      <c r="P352" s="235">
        <v>45108</v>
      </c>
      <c r="Q352" s="235"/>
      <c r="R352" s="235">
        <v>45139</v>
      </c>
      <c r="S352" s="235"/>
      <c r="T352" s="235">
        <v>45170</v>
      </c>
      <c r="U352" s="235"/>
      <c r="V352" s="235">
        <v>45200</v>
      </c>
      <c r="W352" s="235"/>
      <c r="X352" s="235">
        <v>45231</v>
      </c>
      <c r="Y352" s="235"/>
      <c r="Z352" s="235">
        <v>45261</v>
      </c>
      <c r="AA352" s="235"/>
      <c r="AB352" s="235">
        <v>45292</v>
      </c>
      <c r="AC352" s="235"/>
      <c r="AD352" s="235">
        <v>45323</v>
      </c>
      <c r="AE352" s="235"/>
      <c r="AF352" s="235">
        <v>45352</v>
      </c>
      <c r="AH352" s="235">
        <v>45383</v>
      </c>
      <c r="AJ352" s="235">
        <v>45413</v>
      </c>
      <c r="AL352" s="235">
        <v>45444</v>
      </c>
      <c r="AN352" s="235">
        <v>45474</v>
      </c>
      <c r="AP352" s="235">
        <v>45505</v>
      </c>
      <c r="AR352" s="236">
        <v>45536</v>
      </c>
      <c r="AT352" s="236">
        <v>45566</v>
      </c>
      <c r="AV352" s="235">
        <v>45597</v>
      </c>
      <c r="AX352" s="235">
        <v>45627</v>
      </c>
      <c r="BA352" s="235">
        <v>45658</v>
      </c>
      <c r="BC352" s="235">
        <v>45689</v>
      </c>
      <c r="BE352" s="235">
        <v>45717</v>
      </c>
      <c r="BG352" s="235">
        <v>45748</v>
      </c>
      <c r="BI352" s="235">
        <v>45778</v>
      </c>
      <c r="BK352" s="235">
        <v>45809</v>
      </c>
      <c r="BM352" s="235">
        <v>45839</v>
      </c>
      <c r="BO352" s="235">
        <v>45870</v>
      </c>
      <c r="BQ352" s="235">
        <v>45901</v>
      </c>
      <c r="BS352" s="235">
        <v>45931</v>
      </c>
      <c r="BU352" s="235">
        <v>45962</v>
      </c>
      <c r="BW352" s="235">
        <v>45992</v>
      </c>
      <c r="BY352" s="235">
        <v>46023</v>
      </c>
      <c r="CA352" s="235">
        <v>46054</v>
      </c>
      <c r="CC352" s="235">
        <v>46082</v>
      </c>
      <c r="CE352" s="235">
        <v>46113</v>
      </c>
      <c r="CG352" s="235">
        <v>46143</v>
      </c>
      <c r="CI352" s="341">
        <v>46174</v>
      </c>
    </row>
    <row r="353" spans="1:87">
      <c r="C353" s="213" t="s">
        <v>7</v>
      </c>
      <c r="J353" s="237">
        <v>-45.72</v>
      </c>
      <c r="L353" s="237">
        <f>-58.83-2</f>
        <v>-60.83</v>
      </c>
      <c r="N353" s="237">
        <v>-23.94</v>
      </c>
      <c r="P353" s="237">
        <v>-47.6</v>
      </c>
      <c r="R353" s="237">
        <f>-91.04-23.43</f>
        <v>-114.47</v>
      </c>
      <c r="T353" s="237">
        <v>-42.8</v>
      </c>
      <c r="V353" s="237">
        <v>-55.95</v>
      </c>
      <c r="X353" s="237">
        <v>-56.12</v>
      </c>
      <c r="Z353" s="238">
        <v>-52.51</v>
      </c>
      <c r="AB353" s="238">
        <f>-43.76-16.32</f>
        <v>-60.08</v>
      </c>
      <c r="AD353" s="237">
        <f>-42.74-16.16</f>
        <v>-58.900000000000006</v>
      </c>
      <c r="AF353" s="237">
        <f>-42.54-21.3</f>
        <v>-63.84</v>
      </c>
      <c r="AH353" s="237">
        <f>-49.12-11.15</f>
        <v>-60.269999999999996</v>
      </c>
      <c r="AJ353" s="237">
        <f>-51.19-17.76</f>
        <v>-68.95</v>
      </c>
      <c r="AL353" s="237">
        <f>-51.11-16.24</f>
        <v>-67.349999999999994</v>
      </c>
      <c r="AN353" s="237">
        <f>-55.62-18.2</f>
        <v>-73.819999999999993</v>
      </c>
      <c r="AP353" s="237">
        <f>-22.68-57.29</f>
        <v>-79.97</v>
      </c>
      <c r="AR353" s="237">
        <f>-55.53-4.47-11.7</f>
        <v>-71.7</v>
      </c>
      <c r="AT353" s="237">
        <f>-46.7-13.65</f>
        <v>-60.35</v>
      </c>
      <c r="AV353" s="214">
        <f>-46.69-14.04</f>
        <v>-60.73</v>
      </c>
      <c r="AX353" s="237">
        <f>-44.57-28.32</f>
        <v>-72.89</v>
      </c>
      <c r="BA353" s="237">
        <f>-61.37-12.75</f>
        <v>-74.12</v>
      </c>
      <c r="BC353" s="237">
        <f>-61.34-9.56</f>
        <v>-70.900000000000006</v>
      </c>
      <c r="BE353" s="237">
        <f>-57.29-13.92</f>
        <v>-71.209999999999994</v>
      </c>
      <c r="BG353" s="237">
        <f>-55.74-13.38</f>
        <v>-69.12</v>
      </c>
      <c r="BI353" s="237">
        <f>-58-12.45</f>
        <v>-70.45</v>
      </c>
      <c r="BK353" s="237">
        <f>-59.67-20.46</f>
        <v>-80.13</v>
      </c>
      <c r="BM353" s="237">
        <f>-81.7-22.08</f>
        <v>-103.78</v>
      </c>
      <c r="BO353" s="237">
        <f>-95.59-14.58</f>
        <v>-110.17</v>
      </c>
      <c r="BQ353" s="237">
        <f>-53.36-17.36</f>
        <v>-70.72</v>
      </c>
      <c r="BS353" s="237">
        <f>-56.56-11.65</f>
        <v>-68.210000000000008</v>
      </c>
      <c r="BU353" s="237">
        <f>-53.64-16.66</f>
        <v>-70.3</v>
      </c>
      <c r="BW353" s="237">
        <f>-50.02-23.8</f>
        <v>-73.820000000000007</v>
      </c>
      <c r="BY353" s="237">
        <f>-59.59-14.94</f>
        <v>-74.53</v>
      </c>
      <c r="CA353" s="237">
        <f>-54.78-12.72</f>
        <v>-67.5</v>
      </c>
      <c r="CC353" s="237">
        <f>-48.88-16.56</f>
        <v>-65.44</v>
      </c>
      <c r="CE353" s="237">
        <f>-47.65-13.58</f>
        <v>-61.23</v>
      </c>
      <c r="CG353" s="237">
        <v>-46.7</v>
      </c>
    </row>
    <row r="354" spans="1:87">
      <c r="C354" s="213" t="s">
        <v>8</v>
      </c>
      <c r="J354" s="214">
        <v>74.290000000000006</v>
      </c>
      <c r="K354" s="222">
        <f>ABS(((J353+J354)/J353))</f>
        <v>0.62489063867016637</v>
      </c>
      <c r="L354" s="214">
        <v>84.82</v>
      </c>
      <c r="M354" s="222">
        <f>ABS(((L353+L354)/L353))</f>
        <v>0.3943777741246095</v>
      </c>
      <c r="N354" s="214">
        <v>86.74</v>
      </c>
      <c r="O354" s="222">
        <f>ABS(((N353+N354)/N353))</f>
        <v>2.623224728487886</v>
      </c>
      <c r="P354" s="214">
        <v>96.53</v>
      </c>
      <c r="Q354" s="222">
        <f>ABS(((P353+P354)/P353))</f>
        <v>1.0279411764705881</v>
      </c>
      <c r="R354" s="214">
        <v>134.69999999999999</v>
      </c>
      <c r="T354" s="214">
        <v>91.95</v>
      </c>
      <c r="V354" s="214">
        <v>73.58</v>
      </c>
      <c r="W354" s="222">
        <f>ABS(((V353+V354)/V353))</f>
        <v>0.31510277033065226</v>
      </c>
      <c r="X354" s="214">
        <v>76.38</v>
      </c>
      <c r="Y354" s="222">
        <f>ABS(((X353+X354)/X353))</f>
        <v>0.36101211689237345</v>
      </c>
      <c r="Z354" s="213">
        <v>72.14</v>
      </c>
      <c r="AA354" s="222">
        <f>ABS(((Z353+Z354)/Z353))</f>
        <v>0.37383355551323566</v>
      </c>
      <c r="AB354" s="213">
        <v>77.44</v>
      </c>
      <c r="AC354" s="222">
        <f>ABS(((AB353+AB354)/AB353))</f>
        <v>0.28894806924101196</v>
      </c>
      <c r="AD354" s="213">
        <v>81.62</v>
      </c>
      <c r="AE354" s="222">
        <f>ABS(((AD353+AD354)/AD353))</f>
        <v>0.38573853989813239</v>
      </c>
      <c r="AF354" s="213">
        <v>85.81</v>
      </c>
      <c r="AG354" s="222">
        <f>ABS(((AF353+AF354)/AF353))</f>
        <v>0.34414160401002503</v>
      </c>
      <c r="AH354" s="214">
        <v>85.68</v>
      </c>
      <c r="AI354" s="222">
        <f>ABS(((AH353+AH354)/AH353))</f>
        <v>0.42160278745644619</v>
      </c>
      <c r="AJ354" s="214">
        <v>87.1</v>
      </c>
      <c r="AK354" s="222">
        <f>ABS(((AJ353+AJ354)/AJ353))</f>
        <v>0.26323422770123267</v>
      </c>
      <c r="AL354" s="214">
        <v>82.89</v>
      </c>
      <c r="AM354" s="222">
        <f>ABS(((AL353+AL354)/AL353))</f>
        <v>0.23073496659242773</v>
      </c>
      <c r="AN354" s="214">
        <v>97.78</v>
      </c>
      <c r="AO354" s="222">
        <f>ABS(((AN353+AN354)/AN353))</f>
        <v>0.32457328637225696</v>
      </c>
      <c r="AP354" s="214">
        <v>108.93</v>
      </c>
      <c r="AQ354" s="222">
        <f>ABS(((AP353+AP354)/AP353))</f>
        <v>0.36213580092534708</v>
      </c>
      <c r="AR354" s="214">
        <v>107.39</v>
      </c>
      <c r="AS354" s="222">
        <f>ABS(((AR353+AR354)/AR353))</f>
        <v>0.49776847977684791</v>
      </c>
      <c r="AT354" s="214">
        <v>72</v>
      </c>
      <c r="AU354" s="222">
        <f>AT355/AT354</f>
        <v>0.16180555555555554</v>
      </c>
      <c r="AV354" s="214">
        <v>76.97</v>
      </c>
      <c r="AW354" s="222">
        <f>AV355/AV354</f>
        <v>0.21099129530986102</v>
      </c>
      <c r="AX354" s="214">
        <v>83.23</v>
      </c>
      <c r="AY354" s="224">
        <f>AX355/AX354</f>
        <v>0.12423405022227565</v>
      </c>
      <c r="AZ354" s="225"/>
      <c r="BA354" s="214">
        <v>81.83</v>
      </c>
      <c r="BB354" s="222">
        <f>BA355/BA354</f>
        <v>9.42197238176707E-2</v>
      </c>
      <c r="BC354" s="214">
        <v>81.5</v>
      </c>
      <c r="BD354" s="222">
        <f>BC355/BC354</f>
        <v>0.13006134969325148</v>
      </c>
      <c r="BE354" s="214">
        <v>78.61</v>
      </c>
      <c r="BF354" s="222">
        <f>BE355/BE354</f>
        <v>9.4135606156977553E-2</v>
      </c>
      <c r="BG354" s="214">
        <v>75.61</v>
      </c>
      <c r="BH354" s="222">
        <f>BG355/BG354</f>
        <v>8.5835206983203211E-2</v>
      </c>
      <c r="BI354" s="214">
        <v>80.099999999999994</v>
      </c>
      <c r="BJ354" s="222">
        <f>BI355/BI354</f>
        <v>0.12047440699126083</v>
      </c>
      <c r="BK354" s="214">
        <v>91.48</v>
      </c>
      <c r="BL354" s="222">
        <f>BK355/BK354</f>
        <v>0.12407083515522527</v>
      </c>
      <c r="BM354" s="214">
        <v>123.71</v>
      </c>
      <c r="BN354" s="222">
        <f>BM355/BM354</f>
        <v>0.16110257861126823</v>
      </c>
      <c r="BO354" s="214">
        <v>136.58000000000001</v>
      </c>
      <c r="BP354" s="222">
        <f>BO355/BO354</f>
        <v>0.19336652511348668</v>
      </c>
      <c r="BQ354" s="214">
        <v>76.13</v>
      </c>
      <c r="BR354" s="222">
        <f>BQ355/BQ354</f>
        <v>7.1062655983186618E-2</v>
      </c>
      <c r="BS354" s="214">
        <v>78.53</v>
      </c>
      <c r="BT354" s="222">
        <f>BS355/BS354</f>
        <v>0.13141474595695904</v>
      </c>
      <c r="BU354" s="214">
        <v>84.02</v>
      </c>
      <c r="BV354" s="222">
        <f>BU355/BU354</f>
        <v>0.16329445370149964</v>
      </c>
      <c r="BW354" s="214">
        <v>82.24</v>
      </c>
      <c r="BX354" s="222">
        <f>BW355/BW354</f>
        <v>0.10238326848249013</v>
      </c>
      <c r="BY354" s="214">
        <v>84.46</v>
      </c>
      <c r="BZ354" s="222">
        <f>BY355/BY354</f>
        <v>0.11757044754913561</v>
      </c>
      <c r="CA354" s="214">
        <v>85.62</v>
      </c>
      <c r="CB354" s="222">
        <f>CA355/CA354</f>
        <v>0.2116327960756833</v>
      </c>
      <c r="CC354" s="214">
        <v>83.76</v>
      </c>
      <c r="CD354" s="222">
        <f>CC355/CC354</f>
        <v>0.21872015281757409</v>
      </c>
      <c r="CE354" s="214">
        <v>80.78</v>
      </c>
      <c r="CF354" s="222">
        <f>CE355/CE354</f>
        <v>0.24201535033424121</v>
      </c>
      <c r="CG354" s="214">
        <v>80.5</v>
      </c>
      <c r="CH354" s="222">
        <f>CG355/CG354</f>
        <v>0.4198757763975155</v>
      </c>
    </row>
    <row r="355" spans="1:87">
      <c r="C355" s="241" t="s">
        <v>9</v>
      </c>
      <c r="J355" s="214">
        <f>SUM(J353:J354)</f>
        <v>28.570000000000007</v>
      </c>
      <c r="L355" s="214">
        <f>SUM(L353:L354)</f>
        <v>23.989999999999995</v>
      </c>
      <c r="N355" s="214">
        <f>SUM(N353:N354)</f>
        <v>62.8</v>
      </c>
      <c r="P355" s="214">
        <f>SUM(P353:P354)</f>
        <v>48.93</v>
      </c>
      <c r="R355" s="214">
        <f>R353+R354</f>
        <v>20.22999999999999</v>
      </c>
      <c r="S355" s="214"/>
      <c r="T355" s="214">
        <f>T353+T354</f>
        <v>49.150000000000006</v>
      </c>
      <c r="V355" s="214">
        <f>V353+V354</f>
        <v>17.629999999999995</v>
      </c>
      <c r="X355" s="214">
        <f>X353+X354</f>
        <v>20.259999999999998</v>
      </c>
      <c r="Z355" s="214">
        <f>Z353+Z354</f>
        <v>19.630000000000003</v>
      </c>
      <c r="AB355" s="243">
        <f>AB353+AB354</f>
        <v>17.36</v>
      </c>
      <c r="AD355" s="243">
        <f>AD353+AD354</f>
        <v>22.72</v>
      </c>
      <c r="AF355" s="243">
        <f>AF353+AF354</f>
        <v>21.97</v>
      </c>
      <c r="AH355" s="243">
        <f>AH353+AH354</f>
        <v>25.410000000000011</v>
      </c>
      <c r="AJ355" s="243">
        <f>AJ353+AJ354</f>
        <v>18.149999999999991</v>
      </c>
      <c r="AL355" s="243">
        <f>AL353+AL354</f>
        <v>15.540000000000006</v>
      </c>
      <c r="AN355" s="243">
        <f>AN353+AN354</f>
        <v>23.960000000000008</v>
      </c>
      <c r="AP355" s="214">
        <f>AP353+AP354</f>
        <v>28.960000000000008</v>
      </c>
      <c r="AR355" s="214">
        <f>AR353+AR354</f>
        <v>35.69</v>
      </c>
      <c r="AT355" s="214">
        <f>AT353+AT354</f>
        <v>11.649999999999999</v>
      </c>
      <c r="AV355" s="214">
        <f>AV353+AV354</f>
        <v>16.240000000000002</v>
      </c>
      <c r="AX355" s="214">
        <f>AX353+AX354</f>
        <v>10.340000000000003</v>
      </c>
      <c r="BA355" s="214">
        <f>BA353+BA354</f>
        <v>7.7099999999999937</v>
      </c>
      <c r="BC355" s="214">
        <f>BC353+BC354</f>
        <v>10.599999999999994</v>
      </c>
      <c r="BE355" s="214">
        <f>BE353+BE354</f>
        <v>7.4000000000000057</v>
      </c>
      <c r="BG355" s="214">
        <f>BG353+BG354</f>
        <v>6.4899999999999949</v>
      </c>
      <c r="BI355" s="214">
        <f>BI353+BI354</f>
        <v>9.6499999999999915</v>
      </c>
      <c r="BK355" s="214">
        <f>BK353+BK354</f>
        <v>11.350000000000009</v>
      </c>
      <c r="BM355" s="214">
        <f>BM353+BM354</f>
        <v>19.929999999999993</v>
      </c>
      <c r="BO355" s="214">
        <f>BO353+BO354</f>
        <v>26.410000000000011</v>
      </c>
      <c r="BQ355" s="214">
        <f>BQ353+BQ354</f>
        <v>5.4099999999999966</v>
      </c>
      <c r="BS355" s="214">
        <f>BS353+BS354</f>
        <v>10.319999999999993</v>
      </c>
      <c r="BU355" s="214">
        <f>BU353+BU354</f>
        <v>13.719999999999999</v>
      </c>
      <c r="BW355" s="214">
        <f>BW353+BW354</f>
        <v>8.4199999999999875</v>
      </c>
      <c r="BY355" s="214">
        <f>BY353+BY354</f>
        <v>9.9299999999999926</v>
      </c>
      <c r="CA355" s="214">
        <f>CA353+CA354</f>
        <v>18.120000000000005</v>
      </c>
      <c r="CC355" s="214">
        <f>CC353+CC354</f>
        <v>18.320000000000007</v>
      </c>
      <c r="CE355" s="214">
        <f>CE353+CE354</f>
        <v>19.550000000000004</v>
      </c>
      <c r="CG355" s="214">
        <f>CG353+CG354</f>
        <v>33.799999999999997</v>
      </c>
    </row>
    <row r="356" spans="1:87">
      <c r="A356" s="231">
        <v>109</v>
      </c>
      <c r="B356" s="232">
        <v>145779282</v>
      </c>
      <c r="C356" s="213" t="s">
        <v>138</v>
      </c>
      <c r="AP356" s="214"/>
      <c r="AT356" s="214"/>
    </row>
    <row r="357" spans="1:87">
      <c r="C357" s="253" t="s">
        <v>139</v>
      </c>
      <c r="D357" s="235">
        <v>44927</v>
      </c>
      <c r="E357" s="235"/>
      <c r="F357" s="235">
        <v>44958</v>
      </c>
      <c r="G357" s="235"/>
      <c r="H357" s="235">
        <v>44986</v>
      </c>
      <c r="I357" s="235"/>
      <c r="J357" s="235">
        <v>45017</v>
      </c>
      <c r="K357" s="235"/>
      <c r="L357" s="246">
        <v>45047</v>
      </c>
      <c r="M357" s="235"/>
      <c r="N357" s="235">
        <v>45078</v>
      </c>
      <c r="O357" s="235"/>
      <c r="P357" s="235">
        <v>45108</v>
      </c>
      <c r="Q357" s="235"/>
      <c r="R357" s="235">
        <v>45139</v>
      </c>
      <c r="S357" s="235"/>
      <c r="T357" s="235">
        <v>45170</v>
      </c>
      <c r="U357" s="235"/>
      <c r="V357" s="235">
        <v>45200</v>
      </c>
      <c r="W357" s="235"/>
      <c r="X357" s="235">
        <v>45231</v>
      </c>
      <c r="Y357" s="235"/>
      <c r="Z357" s="235">
        <v>45261</v>
      </c>
      <c r="AA357" s="235"/>
      <c r="AB357" s="235">
        <v>45292</v>
      </c>
      <c r="AC357" s="235"/>
      <c r="AD357" s="235">
        <v>45323</v>
      </c>
      <c r="AE357" s="235"/>
      <c r="AF357" s="235">
        <v>45352</v>
      </c>
      <c r="AH357" s="235">
        <v>45383</v>
      </c>
      <c r="AJ357" s="235">
        <v>45413</v>
      </c>
      <c r="AL357" s="235">
        <v>45444</v>
      </c>
      <c r="AN357" s="235">
        <v>45474</v>
      </c>
      <c r="AP357" s="235">
        <v>45505</v>
      </c>
      <c r="AR357" s="236">
        <v>45536</v>
      </c>
      <c r="AT357" s="236">
        <v>45566</v>
      </c>
      <c r="AV357" s="235">
        <v>45597</v>
      </c>
      <c r="AX357" s="235">
        <v>45627</v>
      </c>
      <c r="BA357" s="235">
        <v>45658</v>
      </c>
      <c r="BC357" s="235">
        <v>45689</v>
      </c>
      <c r="BE357" s="235">
        <v>45717</v>
      </c>
      <c r="BG357" s="235">
        <v>45748</v>
      </c>
      <c r="BI357" s="235">
        <v>45778</v>
      </c>
      <c r="BK357" s="235">
        <v>45809</v>
      </c>
      <c r="BM357" s="235">
        <v>45839</v>
      </c>
      <c r="BO357" s="235">
        <v>45870</v>
      </c>
      <c r="BQ357" s="235">
        <v>45901</v>
      </c>
      <c r="BS357" s="235">
        <v>45931</v>
      </c>
      <c r="BU357" s="235">
        <v>45962</v>
      </c>
      <c r="BW357" s="235">
        <v>45992</v>
      </c>
      <c r="BY357" s="235">
        <v>46023</v>
      </c>
      <c r="CA357" s="235">
        <v>46054</v>
      </c>
      <c r="CC357" s="235">
        <v>46082</v>
      </c>
      <c r="CE357" s="235">
        <v>46113</v>
      </c>
      <c r="CG357" s="235">
        <v>46143</v>
      </c>
      <c r="CI357" s="341">
        <v>46174</v>
      </c>
    </row>
    <row r="358" spans="1:87">
      <c r="C358" s="213" t="s">
        <v>7</v>
      </c>
      <c r="N358" s="237">
        <f>-5.59-3.74-64.05</f>
        <v>-73.38</v>
      </c>
      <c r="P358" s="238">
        <v>-70.88</v>
      </c>
      <c r="R358" s="237">
        <v>-70.89</v>
      </c>
      <c r="T358" s="237">
        <v>-49.39</v>
      </c>
      <c r="V358" s="214">
        <v>0</v>
      </c>
      <c r="X358" s="237">
        <v>-75.2</v>
      </c>
      <c r="Z358" s="238">
        <v>-217.96</v>
      </c>
      <c r="AB358" s="238">
        <v>-179.07</v>
      </c>
      <c r="AD358" s="237">
        <v>-49.2</v>
      </c>
      <c r="AF358" s="237">
        <v>-65.11</v>
      </c>
      <c r="AH358" s="237">
        <f>-10.91-0</f>
        <v>-10.91</v>
      </c>
      <c r="AJ358" s="237">
        <v>-67.489999999999995</v>
      </c>
      <c r="AL358" s="237">
        <v>-66.209999999999994</v>
      </c>
      <c r="AN358" s="237">
        <v>-68.260000000000005</v>
      </c>
      <c r="AP358" s="237">
        <v>-68.73</v>
      </c>
      <c r="AR358" s="237">
        <f>-45.76-18.82</f>
        <v>-64.58</v>
      </c>
      <c r="AT358" s="237">
        <v>-58.35</v>
      </c>
      <c r="AV358" s="237">
        <v>-120.14</v>
      </c>
      <c r="AX358" s="237">
        <v>-116.37</v>
      </c>
      <c r="BA358" s="237">
        <v>-213.92</v>
      </c>
      <c r="BC358" s="237">
        <v>-118.16</v>
      </c>
      <c r="BE358" s="237">
        <v>-147.43</v>
      </c>
      <c r="BG358" s="237">
        <v>-106.48</v>
      </c>
      <c r="BI358" s="237">
        <v>-60.19</v>
      </c>
      <c r="BK358" s="237">
        <v>-58.24</v>
      </c>
      <c r="BM358" s="237">
        <v>-60.19</v>
      </c>
      <c r="BO358" s="237">
        <v>-60.19</v>
      </c>
      <c r="BQ358" s="237">
        <v>-58.24</v>
      </c>
      <c r="BS358" s="237">
        <v>-62.84</v>
      </c>
      <c r="BU358" s="237">
        <v>-80.55</v>
      </c>
      <c r="BW358" s="237">
        <v>-200.16</v>
      </c>
      <c r="BY358" s="237">
        <v>-184.51</v>
      </c>
      <c r="CA358" s="237">
        <v>-59.34</v>
      </c>
      <c r="CC358" s="237">
        <v>-96.92</v>
      </c>
      <c r="CE358" s="237">
        <v>-59.25</v>
      </c>
      <c r="CG358" s="237">
        <v>-63.96</v>
      </c>
    </row>
    <row r="359" spans="1:87">
      <c r="C359" s="213" t="s">
        <v>8</v>
      </c>
      <c r="N359" s="214">
        <v>88.21</v>
      </c>
      <c r="O359" s="222">
        <f>ABS(((N358+N359)/N358))</f>
        <v>0.20209866448623601</v>
      </c>
      <c r="P359" s="213">
        <v>71.540000000000006</v>
      </c>
      <c r="Q359" s="222">
        <f>ABS(((P358+P359)/P358))</f>
        <v>9.31151241535004E-3</v>
      </c>
      <c r="R359" s="214">
        <v>65.040000000000006</v>
      </c>
      <c r="T359" s="214">
        <v>63.75</v>
      </c>
      <c r="U359" s="213">
        <v>60.17</v>
      </c>
      <c r="V359" s="214">
        <v>20.16</v>
      </c>
      <c r="W359" s="222" t="e">
        <f>ABS(((V358+V359)/V358))</f>
        <v>#DIV/0!</v>
      </c>
      <c r="X359" s="214">
        <v>143.55000000000001</v>
      </c>
      <c r="Y359" s="213">
        <v>-23.47</v>
      </c>
      <c r="Z359" s="213">
        <v>313.45999999999998</v>
      </c>
      <c r="AA359" s="213">
        <v>-23.47</v>
      </c>
      <c r="AB359" s="213">
        <v>267.31</v>
      </c>
      <c r="AC359" s="222">
        <f>ABS(((AB358+AB359)/AB358))</f>
        <v>0.49276819121014137</v>
      </c>
      <c r="AD359" s="213">
        <v>130.99</v>
      </c>
      <c r="AE359" s="222">
        <f>ABS(((AD358+AD359)/AD358))</f>
        <v>1.6623983739837398</v>
      </c>
      <c r="AF359" s="213">
        <v>158.63999999999999</v>
      </c>
      <c r="AG359" s="222">
        <f>ABS(((AF358+AF359)/AF358))</f>
        <v>1.4364920903087082</v>
      </c>
      <c r="AH359" s="214">
        <v>56.83</v>
      </c>
      <c r="AI359" s="222">
        <f>ABS(((AH358+AH359)/AH358))</f>
        <v>4.208982584784601</v>
      </c>
      <c r="AJ359" s="214">
        <v>51.31</v>
      </c>
      <c r="AK359" s="222">
        <f>ABS(((AJ358+AJ359)/AJ358))</f>
        <v>0.23973922062527772</v>
      </c>
      <c r="AL359" s="214">
        <v>22.08</v>
      </c>
      <c r="AM359" s="222">
        <f>ABS(((AL358+AL359)/AL358))</f>
        <v>0.66651563207974629</v>
      </c>
      <c r="AN359" s="214">
        <v>25.52</v>
      </c>
      <c r="AO359" s="222">
        <f>ABS(((AN358+AN359)/AN358))</f>
        <v>0.62613536478171705</v>
      </c>
      <c r="AP359" s="214">
        <v>44.22</v>
      </c>
      <c r="AQ359" s="222">
        <f>ABS(((AP358+AP359)/AP358))</f>
        <v>0.35661283282409434</v>
      </c>
      <c r="AR359" s="214">
        <v>59.8</v>
      </c>
      <c r="AS359" s="222">
        <f>ABS(((AR358+AR359)/AR358))</f>
        <v>7.4016723443790663E-2</v>
      </c>
      <c r="AT359" s="214">
        <v>103.33</v>
      </c>
      <c r="AU359" s="222">
        <f>AT360/AT359</f>
        <v>0.4353043646569244</v>
      </c>
      <c r="AV359" s="214">
        <v>195.55</v>
      </c>
      <c r="AW359" s="222">
        <f>AV360/AV359</f>
        <v>0.38563027358731783</v>
      </c>
      <c r="AX359" s="214">
        <v>183.98</v>
      </c>
      <c r="AY359" s="224">
        <f>AX360/AX359</f>
        <v>0.36748559626046301</v>
      </c>
      <c r="AZ359" s="225"/>
      <c r="BA359" s="214">
        <v>282.61</v>
      </c>
      <c r="BB359" s="222">
        <f>BA360/BA359</f>
        <v>0.24305580128091725</v>
      </c>
      <c r="BC359" s="214">
        <v>173.78</v>
      </c>
      <c r="BD359" s="222">
        <f>BC360/BC359</f>
        <v>0.32005984578202329</v>
      </c>
      <c r="BE359" s="214">
        <v>204.88</v>
      </c>
      <c r="BF359" s="222">
        <f>BE360/BE359</f>
        <v>0.28040804373291678</v>
      </c>
      <c r="BG359" s="214">
        <v>128.58000000000001</v>
      </c>
      <c r="BH359" s="222">
        <f>BG360/BG359</f>
        <v>0.17187743039352937</v>
      </c>
      <c r="BI359" s="214">
        <v>77.89</v>
      </c>
      <c r="BJ359" s="222">
        <f>BI360/BI359</f>
        <v>0.22724354859417131</v>
      </c>
      <c r="BK359" s="214">
        <v>89.85</v>
      </c>
      <c r="BL359" s="222">
        <f>BK360/BK359</f>
        <v>0.35180856983861986</v>
      </c>
      <c r="BM359" s="214">
        <v>77.900000000000006</v>
      </c>
      <c r="BN359" s="222">
        <f>BM360/BM359</f>
        <v>0.22734274711168173</v>
      </c>
      <c r="BO359" s="214">
        <v>88.4</v>
      </c>
      <c r="BP359" s="222">
        <f>BO360/BO359</f>
        <v>0.31911764705882362</v>
      </c>
      <c r="BQ359" s="214">
        <v>82.66</v>
      </c>
      <c r="BR359" s="222">
        <f>BQ360/BQ359</f>
        <v>0.2954270505685942</v>
      </c>
      <c r="BS359" s="214">
        <v>77.900000000000006</v>
      </c>
      <c r="BT359" s="222">
        <f>BS360/BS359</f>
        <v>0.1933247753530167</v>
      </c>
      <c r="BU359" s="214">
        <v>118.24</v>
      </c>
      <c r="BV359" s="222">
        <f>BU360/BU359</f>
        <v>0.31875845737483083</v>
      </c>
      <c r="BW359" s="214">
        <v>266.62</v>
      </c>
      <c r="BX359" s="222">
        <f>BW360/BW359</f>
        <v>0.24926862200885158</v>
      </c>
      <c r="BY359" s="214">
        <v>244.98</v>
      </c>
      <c r="BZ359" s="222">
        <f>BY360/BY359</f>
        <v>0.24683647644705692</v>
      </c>
      <c r="CA359" s="214">
        <v>141.1</v>
      </c>
      <c r="CB359" s="222">
        <f>CA360/CA359</f>
        <v>0.57944720056697374</v>
      </c>
      <c r="CC359" s="214">
        <v>147.4</v>
      </c>
      <c r="CD359" s="222">
        <f>CC360/CC359</f>
        <v>0.34246947082767981</v>
      </c>
      <c r="CE359" s="214">
        <v>77.900000000000006</v>
      </c>
      <c r="CF359" s="222">
        <f>CE360/CE359</f>
        <v>0.23940949935815153</v>
      </c>
      <c r="CG359" s="214">
        <v>77.900000000000006</v>
      </c>
      <c r="CH359" s="222">
        <f>CG360/CG359</f>
        <v>0.17894736842105269</v>
      </c>
    </row>
    <row r="360" spans="1:87">
      <c r="C360" s="241" t="s">
        <v>9</v>
      </c>
      <c r="N360" s="214">
        <f>SUM(N358:N359)</f>
        <v>14.829999999999998</v>
      </c>
      <c r="P360" s="214">
        <f>SUM(P358:P359)</f>
        <v>0.6600000000000108</v>
      </c>
      <c r="R360" s="214">
        <f>R358+R359</f>
        <v>-5.8499999999999943</v>
      </c>
      <c r="S360" s="214"/>
      <c r="T360" s="214">
        <f>T358+T359</f>
        <v>14.36</v>
      </c>
      <c r="V360" s="214">
        <f>V358+V359</f>
        <v>20.16</v>
      </c>
      <c r="X360" s="214">
        <f>X358+X359</f>
        <v>68.350000000000009</v>
      </c>
      <c r="Z360" s="214">
        <f>Z358+Z359</f>
        <v>95.499999999999972</v>
      </c>
      <c r="AB360" s="242">
        <f>AB358+AB359</f>
        <v>88.240000000000009</v>
      </c>
      <c r="AD360" s="242">
        <f>AD358+AD359</f>
        <v>81.790000000000006</v>
      </c>
      <c r="AF360" s="242">
        <f>AF358+AF359</f>
        <v>93.529999999999987</v>
      </c>
      <c r="AH360" s="243">
        <f>AH358+AH359</f>
        <v>45.92</v>
      </c>
      <c r="AJ360" s="243">
        <f>AJ358+AJ359</f>
        <v>-16.179999999999993</v>
      </c>
      <c r="AL360" s="242">
        <f>AL358+AL359</f>
        <v>-44.129999999999995</v>
      </c>
      <c r="AN360" s="243">
        <f>AN358+AN359</f>
        <v>-42.740000000000009</v>
      </c>
      <c r="AP360" s="214">
        <f>AP358+AP359</f>
        <v>-24.510000000000005</v>
      </c>
      <c r="AR360" s="214">
        <f>AR358+AR359</f>
        <v>-4.7800000000000011</v>
      </c>
      <c r="AT360" s="214">
        <f>AT358+AT359</f>
        <v>44.98</v>
      </c>
      <c r="AV360" s="214">
        <f>AV358+AV359</f>
        <v>75.410000000000011</v>
      </c>
      <c r="AX360" s="214">
        <f>AX358+AX359</f>
        <v>67.609999999999985</v>
      </c>
      <c r="BA360" s="214">
        <f>BA358+BA359</f>
        <v>68.690000000000026</v>
      </c>
      <c r="BC360" s="214">
        <f>BC358+BC359</f>
        <v>55.620000000000005</v>
      </c>
      <c r="BE360" s="214">
        <f>BE358+BE359</f>
        <v>57.449999999999989</v>
      </c>
      <c r="BG360" s="214">
        <f>BG358+BG359</f>
        <v>22.100000000000009</v>
      </c>
      <c r="BI360" s="214">
        <f>BI358+BI359</f>
        <v>17.700000000000003</v>
      </c>
      <c r="BK360" s="214">
        <f>BK358+BK359</f>
        <v>31.609999999999992</v>
      </c>
      <c r="BM360" s="214">
        <f>BM358+BM359</f>
        <v>17.710000000000008</v>
      </c>
      <c r="BO360" s="214">
        <f>BO358+BO359</f>
        <v>28.210000000000008</v>
      </c>
      <c r="BQ360" s="214">
        <f>BQ358+BQ359</f>
        <v>24.419999999999995</v>
      </c>
      <c r="BS360" s="214">
        <f>BS358+BS359</f>
        <v>15.060000000000002</v>
      </c>
      <c r="BU360" s="214">
        <f>BU358+BU359</f>
        <v>37.69</v>
      </c>
      <c r="BW360" s="214">
        <f>BW358+BW359</f>
        <v>66.460000000000008</v>
      </c>
      <c r="BY360" s="214">
        <f>BY358+BY359</f>
        <v>60.47</v>
      </c>
      <c r="CA360" s="214">
        <f>CA358+CA359</f>
        <v>81.759999999999991</v>
      </c>
      <c r="CC360" s="214">
        <f>CC358+CC359</f>
        <v>50.480000000000004</v>
      </c>
      <c r="CE360" s="214">
        <f>CE358+CE359</f>
        <v>18.650000000000006</v>
      </c>
      <c r="CG360" s="214">
        <f>CG358+CG359</f>
        <v>13.940000000000005</v>
      </c>
    </row>
    <row r="361" spans="1:87">
      <c r="A361" s="231">
        <v>111</v>
      </c>
      <c r="B361" s="279">
        <v>135172093</v>
      </c>
      <c r="C361" s="213" t="s">
        <v>140</v>
      </c>
      <c r="X361" s="214"/>
      <c r="AP361" s="214"/>
      <c r="AT361" s="214"/>
    </row>
    <row r="362" spans="1:87">
      <c r="C362" s="253" t="s">
        <v>141</v>
      </c>
      <c r="D362" s="235">
        <v>44927</v>
      </c>
      <c r="E362" s="235"/>
      <c r="F362" s="246">
        <v>44958</v>
      </c>
      <c r="H362" s="246">
        <v>44986</v>
      </c>
      <c r="I362" s="235"/>
      <c r="J362" s="235">
        <v>45017</v>
      </c>
      <c r="K362" s="235"/>
      <c r="L362" s="246">
        <v>45047</v>
      </c>
      <c r="M362" s="235"/>
      <c r="N362" s="235">
        <v>45078</v>
      </c>
      <c r="O362" s="235"/>
      <c r="P362" s="235">
        <v>45108</v>
      </c>
      <c r="Q362" s="235"/>
      <c r="R362" s="235">
        <v>45139</v>
      </c>
      <c r="S362" s="235"/>
      <c r="T362" s="235">
        <v>45170</v>
      </c>
      <c r="U362" s="235"/>
      <c r="V362" s="235">
        <v>45200</v>
      </c>
      <c r="W362" s="235"/>
      <c r="X362" s="235">
        <v>45231</v>
      </c>
      <c r="Y362" s="235"/>
      <c r="Z362" s="235">
        <v>45261</v>
      </c>
      <c r="AA362" s="235"/>
      <c r="AB362" s="235">
        <v>45292</v>
      </c>
      <c r="AC362" s="235"/>
      <c r="AD362" s="235">
        <v>45323</v>
      </c>
      <c r="AE362" s="235"/>
      <c r="AF362" s="235">
        <v>45352</v>
      </c>
      <c r="AH362" s="235">
        <v>45383</v>
      </c>
      <c r="AJ362" s="235">
        <v>45413</v>
      </c>
      <c r="AL362" s="235">
        <v>45444</v>
      </c>
      <c r="AN362" s="235">
        <v>45474</v>
      </c>
      <c r="AP362" s="235">
        <v>45505</v>
      </c>
      <c r="AR362" s="236">
        <v>45536</v>
      </c>
      <c r="AT362" s="236">
        <v>45566</v>
      </c>
      <c r="AV362" s="235">
        <v>45597</v>
      </c>
      <c r="AX362" s="235">
        <v>45627</v>
      </c>
      <c r="BA362" s="235">
        <v>45658</v>
      </c>
      <c r="BC362" s="235">
        <v>45689</v>
      </c>
      <c r="BE362" s="235">
        <v>45717</v>
      </c>
      <c r="BG362" s="235">
        <v>45748</v>
      </c>
      <c r="BI362" s="235">
        <v>45778</v>
      </c>
      <c r="BK362" s="235">
        <v>45809</v>
      </c>
      <c r="BM362" s="235">
        <v>45839</v>
      </c>
      <c r="BO362" s="235">
        <v>45870</v>
      </c>
      <c r="BQ362" s="235">
        <v>45901</v>
      </c>
      <c r="BS362" s="235">
        <v>45931</v>
      </c>
      <c r="BU362" s="235">
        <v>45962</v>
      </c>
      <c r="BW362" s="235">
        <v>45992</v>
      </c>
      <c r="BY362" s="235">
        <v>46023</v>
      </c>
      <c r="CA362" s="235">
        <v>46054</v>
      </c>
      <c r="CC362" s="235">
        <v>46082</v>
      </c>
      <c r="CE362" s="235">
        <v>46113</v>
      </c>
      <c r="CG362" s="235">
        <v>46143</v>
      </c>
      <c r="CI362" s="341">
        <v>46174</v>
      </c>
    </row>
    <row r="363" spans="1:87">
      <c r="C363" s="213" t="s">
        <v>7</v>
      </c>
      <c r="L363" s="237">
        <v>-100.46</v>
      </c>
      <c r="N363" s="237">
        <f>-2.83-65.42</f>
        <v>-68.25</v>
      </c>
      <c r="P363" s="237">
        <f>-5.24-39.63</f>
        <v>-44.870000000000005</v>
      </c>
      <c r="R363" s="237">
        <v>-43.89</v>
      </c>
      <c r="T363" s="237">
        <v>-40.96</v>
      </c>
      <c r="V363" s="213">
        <v>0</v>
      </c>
      <c r="X363" s="237">
        <v>-37.67</v>
      </c>
      <c r="Z363" s="238">
        <v>-133.5</v>
      </c>
      <c r="AB363" s="238">
        <v>-70.540000000000006</v>
      </c>
      <c r="AD363" s="237">
        <v>-37.43</v>
      </c>
      <c r="AF363" s="237">
        <v>-62.38</v>
      </c>
      <c r="AH363" s="237">
        <f>-25.88-42.48</f>
        <v>-68.36</v>
      </c>
      <c r="AJ363" s="237">
        <v>-112.6</v>
      </c>
      <c r="AL363" s="237">
        <v>-58.75</v>
      </c>
      <c r="AN363" s="237">
        <v>-107.38</v>
      </c>
      <c r="AP363" s="237">
        <f>-61.92-31.04</f>
        <v>-92.960000000000008</v>
      </c>
      <c r="AR363" s="237">
        <f>-13.18-76.18</f>
        <v>-89.360000000000014</v>
      </c>
      <c r="AT363" s="237">
        <v>-107.36</v>
      </c>
      <c r="AV363" s="237">
        <v>-151.59</v>
      </c>
      <c r="AX363" s="237">
        <v>-160.93</v>
      </c>
      <c r="BA363" s="237">
        <v>-98.11</v>
      </c>
      <c r="BC363" s="237">
        <v>-47.73</v>
      </c>
      <c r="BE363" s="237">
        <v>-52.85</v>
      </c>
      <c r="BG363" s="237">
        <v>-152.94</v>
      </c>
      <c r="BI363" s="237">
        <f>-96.12</f>
        <v>-96.12</v>
      </c>
      <c r="BK363" s="237">
        <v>-57.34</v>
      </c>
      <c r="BM363" s="237">
        <v>-96.27</v>
      </c>
      <c r="BO363" s="237">
        <f>-55.43</f>
        <v>-55.43</v>
      </c>
      <c r="BQ363" s="237">
        <v>-134.94</v>
      </c>
      <c r="BS363" s="237">
        <v>-104.11</v>
      </c>
      <c r="BU363" s="237">
        <v>-53.4</v>
      </c>
      <c r="BW363" s="237">
        <v>-141.34</v>
      </c>
      <c r="BY363" s="237">
        <v>-89.81</v>
      </c>
      <c r="CA363" s="237">
        <v>-62.34</v>
      </c>
      <c r="CC363" s="237">
        <v>-103.99</v>
      </c>
      <c r="CE363" s="237">
        <f>-167.33</f>
        <v>-167.33</v>
      </c>
      <c r="CG363" s="237">
        <v>-103.84</v>
      </c>
    </row>
    <row r="364" spans="1:87">
      <c r="C364" s="213" t="s">
        <v>8</v>
      </c>
      <c r="L364" s="214">
        <v>145.22</v>
      </c>
      <c r="M364" s="222">
        <f>ABS(((L363+L364)/L363))</f>
        <v>0.44555046784789976</v>
      </c>
      <c r="N364" s="214">
        <v>51.26</v>
      </c>
      <c r="O364" s="222">
        <f>ABS(((N363+N364)/N363))</f>
        <v>0.24893772893772897</v>
      </c>
      <c r="P364" s="214">
        <v>20.190000000000001</v>
      </c>
      <c r="Q364" s="222">
        <f>ABS(((P363+P364)/P363))</f>
        <v>0.55003342990862492</v>
      </c>
      <c r="R364" s="214">
        <v>51.87</v>
      </c>
      <c r="S364" s="222">
        <f>ABS(((R363+R364)/R363))</f>
        <v>0.18181818181818174</v>
      </c>
      <c r="T364" s="214">
        <v>66.05</v>
      </c>
      <c r="V364" s="214">
        <v>114.71</v>
      </c>
      <c r="W364" s="222" t="e">
        <f>ABS(((V363+V364)/V363))</f>
        <v>#DIV/0!</v>
      </c>
      <c r="X364" s="214">
        <v>60.74</v>
      </c>
      <c r="Y364" s="222">
        <f>ABS(((X363+X364)/X363))</f>
        <v>0.61242367932041408</v>
      </c>
      <c r="Z364" s="213">
        <v>176.88</v>
      </c>
      <c r="AA364" s="222">
        <f>ABS(((Z363+Z364)/Z363))</f>
        <v>0.32494382022471907</v>
      </c>
      <c r="AB364" s="213">
        <v>104.55</v>
      </c>
      <c r="AC364" s="222">
        <f>ABS(((AB363+AB364)/AB363))</f>
        <v>0.48213779415934205</v>
      </c>
      <c r="AD364" s="213">
        <v>51.08</v>
      </c>
      <c r="AE364" s="222">
        <f>ABS(((AD363+AD364)/AD363))</f>
        <v>0.36468073737643597</v>
      </c>
      <c r="AF364" s="213">
        <v>107.83</v>
      </c>
      <c r="AG364" s="222">
        <f>ABS(((AF363+AF364)/AF363))</f>
        <v>0.72859890990702136</v>
      </c>
      <c r="AH364" s="214">
        <v>102.47</v>
      </c>
      <c r="AI364" s="222">
        <f>ABS(((AH363+AH364)/AH363))</f>
        <v>0.4989760093622001</v>
      </c>
      <c r="AJ364" s="214">
        <v>157.87</v>
      </c>
      <c r="AK364" s="222">
        <f>ABS(((AJ363+AJ364)/AJ363))</f>
        <v>0.40204262877442287</v>
      </c>
      <c r="AL364" s="214">
        <v>55.46</v>
      </c>
      <c r="AM364" s="222">
        <f>ABS(((AL363+AL364)/AL363))</f>
        <v>5.5999999999999987E-2</v>
      </c>
      <c r="AN364" s="214">
        <v>154.78</v>
      </c>
      <c r="AO364" s="222">
        <f>ABS(((AN363+AN364)/AN363))</f>
        <v>0.4414229837958652</v>
      </c>
      <c r="AP364" s="214">
        <v>123.33</v>
      </c>
      <c r="AQ364" s="222">
        <f>ABS(((AP363+AP364)/AP363))</f>
        <v>0.32669965576592069</v>
      </c>
      <c r="AR364" s="214">
        <v>107.85</v>
      </c>
      <c r="AS364" s="222">
        <f>ABS(((AR363+AR364)/AR363))</f>
        <v>0.20691584601611435</v>
      </c>
      <c r="AT364" s="214">
        <v>160.43</v>
      </c>
      <c r="AU364" s="222">
        <f>AT365/AT364</f>
        <v>0.33079847908745252</v>
      </c>
      <c r="AV364" s="214">
        <v>226.72</v>
      </c>
      <c r="AW364" s="222">
        <f>AV365/AV364</f>
        <v>0.3313779110797459</v>
      </c>
      <c r="AX364" s="214">
        <v>236.67</v>
      </c>
      <c r="AY364" s="224">
        <f>AX365/AX364</f>
        <v>0.32002366163856838</v>
      </c>
      <c r="AZ364" s="225"/>
      <c r="BA364" s="214">
        <v>129.57</v>
      </c>
      <c r="BB364" s="222">
        <f>BA365/BA364</f>
        <v>0.24280311800571117</v>
      </c>
      <c r="BC364" s="214">
        <v>69.319999999999993</v>
      </c>
      <c r="BD364" s="222">
        <f>BC365/BC364</f>
        <v>0.3114541257934218</v>
      </c>
      <c r="BE364" s="214">
        <v>69.34</v>
      </c>
      <c r="BF364" s="222">
        <f>BE365/BE364</f>
        <v>0.23781367176233056</v>
      </c>
      <c r="BG364" s="214">
        <v>187.78</v>
      </c>
      <c r="BH364" s="222">
        <f>BG365/BG364</f>
        <v>0.18553626584300778</v>
      </c>
      <c r="BI364" s="214">
        <v>131.22</v>
      </c>
      <c r="BJ364" s="222">
        <f>BI365/BI364</f>
        <v>0.26748971193415633</v>
      </c>
      <c r="BK364" s="214">
        <v>98.37</v>
      </c>
      <c r="BL364" s="222">
        <f>BK365/BK364</f>
        <v>0.4170987089559825</v>
      </c>
      <c r="BM364" s="214">
        <v>125.48</v>
      </c>
      <c r="BN364" s="222">
        <f>BM365/BM364</f>
        <v>0.23278610137073644</v>
      </c>
      <c r="BO364" s="214">
        <v>77.680000000000007</v>
      </c>
      <c r="BP364" s="222">
        <f>BO365/BO364</f>
        <v>0.28643151390319266</v>
      </c>
      <c r="BQ364" s="214">
        <v>172.87</v>
      </c>
      <c r="BR364" s="222">
        <f>BQ365/BQ364</f>
        <v>0.21941343205877253</v>
      </c>
      <c r="BS364" s="214">
        <v>137.63</v>
      </c>
      <c r="BT364" s="222">
        <f>BS365/BS364</f>
        <v>0.2435515512606263</v>
      </c>
      <c r="BU364" s="214">
        <v>69.569999999999993</v>
      </c>
      <c r="BV364" s="222">
        <f>BU365/BU364</f>
        <v>0.23242777059077183</v>
      </c>
      <c r="BW364" s="214">
        <v>186.81</v>
      </c>
      <c r="BX364" s="222">
        <f>BW365/BW364</f>
        <v>0.24340238745249182</v>
      </c>
      <c r="BY364" s="214">
        <v>114.85</v>
      </c>
      <c r="BZ364" s="222">
        <f>BY365/BY364</f>
        <v>0.21802350892468431</v>
      </c>
      <c r="CA364" s="214">
        <v>87.63</v>
      </c>
      <c r="CB364" s="222">
        <f>CA365/CA364</f>
        <v>0.28859979459089347</v>
      </c>
      <c r="CC364" s="214">
        <v>157.97999999999999</v>
      </c>
      <c r="CD364" s="222">
        <f>CC365/CC364</f>
        <v>0.34175212052158499</v>
      </c>
      <c r="CE364" s="214">
        <v>256.98</v>
      </c>
      <c r="CF364" s="222">
        <f>CE365/CE364</f>
        <v>0.34885983345007393</v>
      </c>
      <c r="CG364" s="214">
        <v>138.05000000000001</v>
      </c>
      <c r="CH364" s="222">
        <f>CG365/CG364</f>
        <v>0.24780876494023907</v>
      </c>
    </row>
    <row r="365" spans="1:87">
      <c r="C365" s="241" t="s">
        <v>9</v>
      </c>
      <c r="L365" s="214">
        <f>SUM(L363:L364)</f>
        <v>44.760000000000005</v>
      </c>
      <c r="N365" s="214">
        <f>SUM(N363:N364)</f>
        <v>-16.990000000000002</v>
      </c>
      <c r="P365" s="214">
        <f>SUM(P363:P364)</f>
        <v>-24.680000000000003</v>
      </c>
      <c r="R365" s="214">
        <f>R363+R364</f>
        <v>7.9799999999999969</v>
      </c>
      <c r="S365" s="214"/>
      <c r="T365" s="214">
        <f>T363+T364</f>
        <v>25.089999999999996</v>
      </c>
      <c r="V365" s="214">
        <f>V363+V364</f>
        <v>114.71</v>
      </c>
      <c r="X365" s="214">
        <f>X363+X364</f>
        <v>23.07</v>
      </c>
      <c r="Z365" s="214">
        <f>Z363+Z364</f>
        <v>43.379999999999995</v>
      </c>
      <c r="AB365" s="242">
        <f>AB363+AB364</f>
        <v>34.009999999999991</v>
      </c>
      <c r="AD365" s="242">
        <f>AD363+AD364</f>
        <v>13.649999999999999</v>
      </c>
      <c r="AF365" s="242">
        <f>AF363+AF364</f>
        <v>45.449999999999996</v>
      </c>
      <c r="AH365" s="243">
        <f>AH363+AH364</f>
        <v>34.11</v>
      </c>
      <c r="AJ365" s="243">
        <f>AJ363+AJ364</f>
        <v>45.27000000000001</v>
      </c>
      <c r="AL365" s="243">
        <f>AL363+AL364</f>
        <v>-3.2899999999999991</v>
      </c>
      <c r="AN365" s="243">
        <f>AN363+AN364</f>
        <v>47.400000000000006</v>
      </c>
      <c r="AP365" s="214">
        <f>AP363+AP364</f>
        <v>30.36999999999999</v>
      </c>
      <c r="AR365" s="214">
        <f>AR363+AR364</f>
        <v>18.489999999999981</v>
      </c>
      <c r="AT365" s="214">
        <f>AT363+AT364</f>
        <v>53.070000000000007</v>
      </c>
      <c r="AV365" s="214">
        <f>AV363+AV364</f>
        <v>75.13</v>
      </c>
      <c r="AX365" s="214">
        <f>AX363+AX364</f>
        <v>75.739999999999981</v>
      </c>
      <c r="BA365" s="214">
        <f>BA363+BA364</f>
        <v>31.459999999999994</v>
      </c>
      <c r="BC365" s="214">
        <f>BC363+BC364</f>
        <v>21.589999999999996</v>
      </c>
      <c r="BE365" s="214">
        <f>BE363+BE364</f>
        <v>16.490000000000002</v>
      </c>
      <c r="BG365" s="214">
        <f>BG363+BG364</f>
        <v>34.840000000000003</v>
      </c>
      <c r="BI365" s="214">
        <f>BI363+BI364</f>
        <v>35.099999999999994</v>
      </c>
      <c r="BK365" s="214">
        <f>BK363+BK364</f>
        <v>41.03</v>
      </c>
      <c r="BM365" s="214">
        <f>BM363+BM364</f>
        <v>29.210000000000008</v>
      </c>
      <c r="BO365" s="214">
        <f>BO363+BO364</f>
        <v>22.250000000000007</v>
      </c>
      <c r="BQ365" s="214">
        <f>BQ363+BQ364</f>
        <v>37.930000000000007</v>
      </c>
      <c r="BS365" s="214">
        <f>BS363+BS364</f>
        <v>33.519999999999996</v>
      </c>
      <c r="BU365" s="214">
        <f>BU363+BU364</f>
        <v>16.169999999999995</v>
      </c>
      <c r="BW365" s="214">
        <f>BW363+BW364</f>
        <v>45.47</v>
      </c>
      <c r="BY365" s="214">
        <f>BY363+BY364</f>
        <v>25.039999999999992</v>
      </c>
      <c r="CA365" s="214">
        <f>CA363+CA364</f>
        <v>25.289999999999992</v>
      </c>
      <c r="CC365" s="214">
        <f>CC363+CC364</f>
        <v>53.989999999999995</v>
      </c>
      <c r="CE365" s="214">
        <f>CE363+CE364</f>
        <v>89.65</v>
      </c>
      <c r="CG365" s="214">
        <f>CG363+CG364</f>
        <v>34.210000000000008</v>
      </c>
    </row>
    <row r="366" spans="1:87">
      <c r="A366" s="231">
        <v>112</v>
      </c>
      <c r="B366" s="232">
        <v>786565238</v>
      </c>
      <c r="C366" s="213" t="s">
        <v>142</v>
      </c>
      <c r="X366" s="214"/>
      <c r="AP366" s="214"/>
      <c r="AT366" s="214"/>
    </row>
    <row r="367" spans="1:87">
      <c r="C367" s="253" t="s">
        <v>394</v>
      </c>
      <c r="D367" s="246">
        <v>44927</v>
      </c>
      <c r="E367" s="246"/>
      <c r="F367" s="246">
        <v>44958</v>
      </c>
      <c r="H367" s="246">
        <v>44986</v>
      </c>
      <c r="I367" s="235"/>
      <c r="J367" s="235">
        <v>45017</v>
      </c>
      <c r="K367" s="235"/>
      <c r="L367" s="246">
        <v>45047</v>
      </c>
      <c r="M367" s="235"/>
      <c r="N367" s="235">
        <v>45078</v>
      </c>
      <c r="O367" s="235"/>
      <c r="P367" s="235">
        <v>45108</v>
      </c>
      <c r="Q367" s="235"/>
      <c r="R367" s="235">
        <v>45139</v>
      </c>
      <c r="S367" s="235"/>
      <c r="T367" s="235">
        <v>45170</v>
      </c>
      <c r="U367" s="235"/>
      <c r="V367" s="235">
        <v>45200</v>
      </c>
      <c r="W367" s="235"/>
      <c r="X367" s="235">
        <v>45231</v>
      </c>
      <c r="Y367" s="235"/>
      <c r="Z367" s="235">
        <v>45261</v>
      </c>
      <c r="AA367" s="235"/>
      <c r="AB367" s="235">
        <v>45292</v>
      </c>
      <c r="AC367" s="235"/>
      <c r="AD367" s="235">
        <v>45323</v>
      </c>
      <c r="AE367" s="235"/>
      <c r="AF367" s="235">
        <v>45352</v>
      </c>
      <c r="AH367" s="235">
        <v>45383</v>
      </c>
      <c r="AJ367" s="235">
        <v>45413</v>
      </c>
      <c r="AL367" s="235">
        <v>45444</v>
      </c>
      <c r="AN367" s="235">
        <v>45474</v>
      </c>
      <c r="AP367" s="235">
        <v>45505</v>
      </c>
      <c r="AR367" s="236">
        <v>45536</v>
      </c>
      <c r="AT367" s="236">
        <v>45566</v>
      </c>
      <c r="AV367" s="235">
        <v>45597</v>
      </c>
      <c r="AX367" s="235">
        <v>45627</v>
      </c>
      <c r="BA367" s="235">
        <v>45658</v>
      </c>
      <c r="BC367" s="235">
        <v>45689</v>
      </c>
      <c r="BE367" s="235">
        <v>45717</v>
      </c>
      <c r="BG367" s="235">
        <v>45748</v>
      </c>
      <c r="BI367" s="235">
        <v>45778</v>
      </c>
      <c r="BK367" s="235">
        <v>45809</v>
      </c>
      <c r="BM367" s="235">
        <v>45839</v>
      </c>
      <c r="BO367" s="235">
        <v>45870</v>
      </c>
      <c r="BQ367" s="235">
        <v>45901</v>
      </c>
      <c r="BS367" s="235">
        <v>45931</v>
      </c>
      <c r="BU367" s="235">
        <v>45962</v>
      </c>
      <c r="BW367" s="235">
        <v>45992</v>
      </c>
      <c r="BY367" s="235">
        <v>46023</v>
      </c>
      <c r="CA367" s="235">
        <v>46054</v>
      </c>
      <c r="CC367" s="235">
        <v>46082</v>
      </c>
      <c r="CE367" s="235">
        <v>46113</v>
      </c>
      <c r="CG367" s="235">
        <v>46143</v>
      </c>
      <c r="CI367" s="341">
        <v>46174</v>
      </c>
    </row>
    <row r="368" spans="1:87">
      <c r="C368" s="213" t="s">
        <v>7</v>
      </c>
      <c r="L368" s="237">
        <v>-627.34</v>
      </c>
      <c r="N368" s="237">
        <v>-1053.26</v>
      </c>
      <c r="P368" s="237">
        <v>-1509.52</v>
      </c>
      <c r="R368" s="237">
        <v>-2084.02</v>
      </c>
      <c r="T368" s="237">
        <v>-1510.13</v>
      </c>
      <c r="V368" s="237">
        <v>-1169.71</v>
      </c>
      <c r="X368" s="237">
        <f>-152.19-727.78</f>
        <v>-879.97</v>
      </c>
      <c r="Z368" s="238">
        <v>-642.47</v>
      </c>
      <c r="AB368" s="238">
        <v>-941.07</v>
      </c>
      <c r="AD368" s="238">
        <f>-297.03-87.92-283.12</f>
        <v>-668.06999999999994</v>
      </c>
      <c r="AF368" s="238">
        <v>-698.09</v>
      </c>
      <c r="AH368" s="237">
        <v>-902.27</v>
      </c>
      <c r="AJ368" s="237">
        <v>-983.96</v>
      </c>
      <c r="AL368" s="237">
        <v>-996.07</v>
      </c>
      <c r="AN368" s="237">
        <v>-1260.1400000000001</v>
      </c>
      <c r="AP368" s="237">
        <v>-1444.72</v>
      </c>
      <c r="AR368" s="237">
        <v>-973.26</v>
      </c>
      <c r="AT368" s="237">
        <v>-757.01</v>
      </c>
      <c r="AV368" s="214">
        <v>-613.36</v>
      </c>
      <c r="AX368" s="237">
        <f>-318.64-340.69</f>
        <v>-659.32999999999993</v>
      </c>
      <c r="BA368" s="214">
        <v>-762.14</v>
      </c>
      <c r="BC368" s="237">
        <f>-170.79-502.41</f>
        <v>-673.2</v>
      </c>
      <c r="BE368" s="237">
        <v>-738.35</v>
      </c>
      <c r="BG368" s="237">
        <v>-616.24</v>
      </c>
      <c r="BI368" s="237">
        <f>-107.11-532.55</f>
        <v>-639.66</v>
      </c>
      <c r="BK368" s="237">
        <f>-726.74-34.11</f>
        <v>-760.85</v>
      </c>
      <c r="BM368" s="237">
        <f>-1023.28-33.33</f>
        <v>-1056.6099999999999</v>
      </c>
      <c r="BO368" s="237">
        <f>-999.97-22.81</f>
        <v>-1022.78</v>
      </c>
      <c r="BQ368" s="237">
        <f>-661.53-16.57</f>
        <v>-678.1</v>
      </c>
      <c r="BS368" s="237">
        <f>-497.14-14.51</f>
        <v>-511.65</v>
      </c>
      <c r="BU368" s="237">
        <f>-420.76-14.82</f>
        <v>-435.58</v>
      </c>
      <c r="BW368" s="237">
        <f>-444.69-18.83</f>
        <v>-463.52</v>
      </c>
      <c r="BY368" s="237">
        <f>-564.78-14.87</f>
        <v>-579.65</v>
      </c>
      <c r="CA368" s="237">
        <f>-401.49-13.69</f>
        <v>-415.18</v>
      </c>
      <c r="CC368" s="237">
        <f>-410.6-3.81</f>
        <v>-414.41</v>
      </c>
      <c r="CE368" s="237">
        <f>-110.39-3.97</f>
        <v>-114.36</v>
      </c>
      <c r="CG368" s="237">
        <v>-119.09</v>
      </c>
    </row>
    <row r="369" spans="1:87">
      <c r="C369" s="213" t="s">
        <v>8</v>
      </c>
      <c r="L369" s="214">
        <v>960.28</v>
      </c>
      <c r="M369" s="222">
        <f>ABS(((L368+L369)/L368))</f>
        <v>0.53071699556859109</v>
      </c>
      <c r="N369" s="214">
        <f>887.76+503.31</f>
        <v>1391.07</v>
      </c>
      <c r="O369" s="222">
        <f>ABS(((N368+N369)/N368))</f>
        <v>0.32072802536885475</v>
      </c>
      <c r="P369" s="214">
        <v>1655.16</v>
      </c>
      <c r="Q369" s="222">
        <f>ABS(((P368+P369)/P368))</f>
        <v>9.6481000582966839E-2</v>
      </c>
      <c r="R369" s="214">
        <v>2624.45</v>
      </c>
      <c r="S369" s="222">
        <f>ABS(((R368+R369)/R368))</f>
        <v>0.25932092782218974</v>
      </c>
      <c r="T369" s="214">
        <v>2061.33</v>
      </c>
      <c r="U369" s="222">
        <f>ABS(((T368+T369)/T368))</f>
        <v>0.36500168859634585</v>
      </c>
      <c r="V369" s="214">
        <v>1223.3</v>
      </c>
      <c r="W369" s="222">
        <f>ABS(((V368+V369)/V368))</f>
        <v>4.5814774602251772E-2</v>
      </c>
      <c r="X369" s="214">
        <f>374.32+921.5</f>
        <v>1295.82</v>
      </c>
      <c r="Z369" s="213">
        <v>848.24</v>
      </c>
      <c r="AA369" s="222">
        <f>ABS(((Z368+Z369)/Z368))</f>
        <v>0.32027954612666737</v>
      </c>
      <c r="AB369" s="260">
        <v>1114.8599999999999</v>
      </c>
      <c r="AC369" s="222">
        <f>ABS(((AB368+AB369)/AB368))</f>
        <v>0.18467276610666564</v>
      </c>
      <c r="AD369" s="260">
        <v>804.35</v>
      </c>
      <c r="AE369" s="222">
        <f>ABS(((AD368+AD369)/AD368))</f>
        <v>0.20399059978744757</v>
      </c>
      <c r="AF369" s="260">
        <v>1007.41</v>
      </c>
      <c r="AG369" s="222">
        <f>ABS(((AF368+AF369)/AF368))</f>
        <v>0.44309472990588594</v>
      </c>
      <c r="AH369" s="214">
        <v>1155.3599999999999</v>
      </c>
      <c r="AI369" s="222">
        <f>ABS(((AH368+AH369)/AH368))</f>
        <v>0.28050361865073636</v>
      </c>
      <c r="AJ369" s="214">
        <v>1280.73</v>
      </c>
      <c r="AK369" s="222">
        <f>ABS(((AJ368+AJ369)/AJ368))</f>
        <v>0.30160778893450951</v>
      </c>
      <c r="AL369" s="214">
        <v>1323.97</v>
      </c>
      <c r="AM369" s="222">
        <f>ABS(((AL368+AL369)/AL368))</f>
        <v>0.3291937313642615</v>
      </c>
      <c r="AN369" s="214">
        <v>1586.36</v>
      </c>
      <c r="AO369" s="222">
        <f>ABS(((AN368+AN369)/AN368))</f>
        <v>0.25887599790499449</v>
      </c>
      <c r="AP369" s="214">
        <v>1774.61</v>
      </c>
      <c r="AQ369" s="222">
        <f>ABS(((AP368+AP369)/AP368))</f>
        <v>0.22834182402126355</v>
      </c>
      <c r="AR369" s="214">
        <v>1038.58</v>
      </c>
      <c r="AS369" s="222">
        <f>ABS(((AR368+AR369)/AR368))</f>
        <v>6.7114645623985308E-2</v>
      </c>
      <c r="AT369" s="214">
        <v>830.95</v>
      </c>
      <c r="AU369" s="222">
        <f>AT370/AT369</f>
        <v>8.8982489921174621E-2</v>
      </c>
      <c r="AV369" s="214">
        <v>967.97</v>
      </c>
      <c r="AW369" s="222">
        <f>AV370/AV369</f>
        <v>0.366343998264409</v>
      </c>
      <c r="AX369" s="214">
        <v>983.43</v>
      </c>
      <c r="AY369" s="224">
        <f>AX370/AX369</f>
        <v>0.3295608228343655</v>
      </c>
      <c r="AZ369" s="225"/>
      <c r="BA369" s="214">
        <v>1124.1199999999999</v>
      </c>
      <c r="BB369" s="222">
        <f>BA370/BA369</f>
        <v>0.32201188485215099</v>
      </c>
      <c r="BC369" s="214">
        <v>888.12</v>
      </c>
      <c r="BD369" s="222">
        <f>BC370/BC369</f>
        <v>0.24199432509120383</v>
      </c>
      <c r="BE369" s="214">
        <v>897.79</v>
      </c>
      <c r="BF369" s="222">
        <f>BE370/BE369</f>
        <v>0.17759164169794711</v>
      </c>
      <c r="BG369" s="214">
        <v>1150.8900000000001</v>
      </c>
      <c r="BH369" s="222">
        <f>BG370/BG369</f>
        <v>0.46455351945016471</v>
      </c>
      <c r="BI369" s="214">
        <v>1197.48</v>
      </c>
      <c r="BJ369" s="222">
        <f>BI370/BI369</f>
        <v>0.46582823930253536</v>
      </c>
      <c r="BK369" s="214">
        <v>1168.1199999999999</v>
      </c>
      <c r="BL369" s="222">
        <f>BK370/BK369</f>
        <v>0.3486542478512481</v>
      </c>
      <c r="BM369" s="214">
        <v>1373.89</v>
      </c>
      <c r="BN369" s="222">
        <f>BM370/BM369</f>
        <v>0.23093551885522143</v>
      </c>
      <c r="BO369" s="214">
        <v>1831.06</v>
      </c>
      <c r="BP369" s="222">
        <f>BO370/BO369</f>
        <v>0.441427369938724</v>
      </c>
      <c r="BQ369" s="214">
        <v>1409.07</v>
      </c>
      <c r="BR369" s="222">
        <f>BQ370/BQ369</f>
        <v>0.5187606009637562</v>
      </c>
      <c r="BS369" s="214">
        <v>987.45</v>
      </c>
      <c r="BT369" s="222">
        <f>BS370/BS369</f>
        <v>0.48184718213580441</v>
      </c>
      <c r="BU369" s="214">
        <v>669.16</v>
      </c>
      <c r="BV369" s="222">
        <f>BU370/BU369</f>
        <v>0.34906449877458307</v>
      </c>
      <c r="BW369" s="214">
        <v>663.77</v>
      </c>
      <c r="BX369" s="222">
        <f>BW370/BW369</f>
        <v>0.30168582490923063</v>
      </c>
      <c r="BY369" s="214">
        <v>576.33000000000004</v>
      </c>
      <c r="BZ369" s="222">
        <f>BY370/BY369</f>
        <v>-5.7605885516977011E-3</v>
      </c>
      <c r="CA369" s="214">
        <v>938.81</v>
      </c>
      <c r="CB369" s="222">
        <f>CA370/CA369</f>
        <v>0.55775929101735167</v>
      </c>
      <c r="CC369" s="214">
        <v>734.17</v>
      </c>
      <c r="CD369" s="222">
        <f>CC370/CC369</f>
        <v>0.43553945271531108</v>
      </c>
      <c r="CE369" s="214">
        <v>1087.6400000000001</v>
      </c>
      <c r="CF369" s="222">
        <f>CE370/CE369</f>
        <v>0.89485491522930383</v>
      </c>
      <c r="CG369" s="214">
        <v>1113.9000000000001</v>
      </c>
      <c r="CH369" s="222">
        <f>CG370/CG369</f>
        <v>0.89308735074961842</v>
      </c>
    </row>
    <row r="370" spans="1:87">
      <c r="C370" s="241" t="s">
        <v>9</v>
      </c>
      <c r="L370" s="214">
        <f>SUM(L368:L369)</f>
        <v>332.93999999999994</v>
      </c>
      <c r="N370" s="214">
        <f>SUM(N368:N369)</f>
        <v>337.80999999999995</v>
      </c>
      <c r="P370" s="214">
        <f>SUM(P368:P369)</f>
        <v>145.6400000000001</v>
      </c>
      <c r="R370" s="214">
        <f>R368+R369</f>
        <v>540.42999999999984</v>
      </c>
      <c r="S370" s="214"/>
      <c r="T370" s="214">
        <f>T368+T369</f>
        <v>551.19999999999982</v>
      </c>
      <c r="V370" s="214">
        <f>V368+V369</f>
        <v>53.589999999999918</v>
      </c>
      <c r="X370" s="214">
        <f>X368+X369</f>
        <v>415.84999999999991</v>
      </c>
      <c r="Z370" s="214">
        <f>Z368+Z369</f>
        <v>205.76999999999998</v>
      </c>
      <c r="AB370" s="242">
        <f>AB368+AB369</f>
        <v>173.78999999999985</v>
      </c>
      <c r="AD370" s="243">
        <f>AD368+AD369</f>
        <v>136.28000000000009</v>
      </c>
      <c r="AF370" s="243">
        <f>AF368+AF369</f>
        <v>309.31999999999994</v>
      </c>
      <c r="AH370" s="243">
        <f>AH368+AH369</f>
        <v>253.08999999999992</v>
      </c>
      <c r="AJ370" s="243">
        <f>AJ368+AJ369</f>
        <v>296.77</v>
      </c>
      <c r="AL370" s="243">
        <f>AL368+AL369</f>
        <v>327.9</v>
      </c>
      <c r="AN370" s="243">
        <f>AN368+AN369</f>
        <v>326.2199999999998</v>
      </c>
      <c r="AP370" s="214">
        <f>AP368+AP369</f>
        <v>329.88999999999987</v>
      </c>
      <c r="AR370" s="214">
        <f>AR368+AR369</f>
        <v>65.319999999999936</v>
      </c>
      <c r="AT370" s="214">
        <f>AT368+AT369</f>
        <v>73.940000000000055</v>
      </c>
      <c r="AV370" s="214">
        <f>AV368+AV369</f>
        <v>354.61</v>
      </c>
      <c r="AX370" s="214">
        <f>AX368+AX369</f>
        <v>324.10000000000002</v>
      </c>
      <c r="BA370" s="214">
        <f>BA368+BA369</f>
        <v>361.9799999999999</v>
      </c>
      <c r="BC370" s="214">
        <f>BC368+BC369</f>
        <v>214.91999999999996</v>
      </c>
      <c r="BE370" s="214">
        <f>BE368+BE369</f>
        <v>159.43999999999994</v>
      </c>
      <c r="BG370" s="214">
        <f>BG368+BG369</f>
        <v>534.65000000000009</v>
      </c>
      <c r="BI370" s="214">
        <f>BI368+BI369</f>
        <v>557.82000000000005</v>
      </c>
      <c r="BK370" s="214">
        <f>BK368+BK369</f>
        <v>407.26999999999987</v>
      </c>
      <c r="BM370" s="214">
        <f>BM368+BM369</f>
        <v>317.2800000000002</v>
      </c>
      <c r="BO370" s="214">
        <f>BO368+BO369</f>
        <v>808.28</v>
      </c>
      <c r="BQ370" s="214">
        <f>BQ368+BQ369</f>
        <v>730.96999999999991</v>
      </c>
      <c r="BS370" s="214">
        <f>BS368+BS369</f>
        <v>475.80000000000007</v>
      </c>
      <c r="BU370" s="214">
        <f>BU368+BU369</f>
        <v>233.57999999999998</v>
      </c>
      <c r="BW370" s="214">
        <f>BW368+BW369</f>
        <v>200.25</v>
      </c>
      <c r="BY370" s="214">
        <f>BY368+BY369</f>
        <v>-3.3199999999999363</v>
      </c>
      <c r="CA370" s="214">
        <f>CA368+CA369</f>
        <v>523.62999999999988</v>
      </c>
      <c r="CC370" s="214">
        <f>CC368+CC369</f>
        <v>319.75999999999993</v>
      </c>
      <c r="CE370" s="214">
        <f>CE368+CE369</f>
        <v>973.28000000000009</v>
      </c>
      <c r="CG370" s="214">
        <f>CG368+CG369</f>
        <v>994.81000000000006</v>
      </c>
    </row>
    <row r="371" spans="1:87">
      <c r="A371" s="231">
        <v>113</v>
      </c>
      <c r="B371" s="232">
        <v>140903604</v>
      </c>
      <c r="C371" s="318" t="s">
        <v>287</v>
      </c>
      <c r="L371" s="214"/>
      <c r="AP371" s="214"/>
      <c r="AT371" s="214"/>
    </row>
    <row r="372" spans="1:87">
      <c r="C372" s="253" t="s">
        <v>143</v>
      </c>
      <c r="D372" s="246">
        <v>44927</v>
      </c>
      <c r="E372" s="246"/>
      <c r="F372" s="246">
        <v>44958</v>
      </c>
      <c r="H372" s="246">
        <v>44986</v>
      </c>
      <c r="I372" s="235"/>
      <c r="J372" s="235">
        <v>45017</v>
      </c>
      <c r="K372" s="235"/>
      <c r="L372" s="246">
        <v>45047</v>
      </c>
      <c r="M372" s="235"/>
      <c r="N372" s="235">
        <v>45078</v>
      </c>
      <c r="O372" s="235"/>
      <c r="P372" s="235">
        <v>45108</v>
      </c>
      <c r="Q372" s="235"/>
      <c r="R372" s="235">
        <v>45139</v>
      </c>
      <c r="S372" s="235"/>
      <c r="T372" s="235">
        <v>45170</v>
      </c>
      <c r="U372" s="235"/>
      <c r="V372" s="235">
        <v>45200</v>
      </c>
      <c r="W372" s="235"/>
      <c r="X372" s="235">
        <v>45231</v>
      </c>
      <c r="Y372" s="235"/>
      <c r="Z372" s="235">
        <v>45261</v>
      </c>
      <c r="AA372" s="235"/>
      <c r="AB372" s="235">
        <v>45292</v>
      </c>
      <c r="AC372" s="235"/>
      <c r="AD372" s="235">
        <v>45323</v>
      </c>
      <c r="AE372" s="235"/>
      <c r="AF372" s="235">
        <v>45352</v>
      </c>
      <c r="AH372" s="235">
        <v>45383</v>
      </c>
      <c r="AJ372" s="235">
        <v>45413</v>
      </c>
      <c r="AL372" s="235">
        <v>45444</v>
      </c>
      <c r="AN372" s="235">
        <v>45474</v>
      </c>
      <c r="AP372" s="235">
        <v>45505</v>
      </c>
      <c r="AR372" s="236">
        <v>45536</v>
      </c>
      <c r="AT372" s="236">
        <v>45566</v>
      </c>
      <c r="AV372" s="235">
        <v>45597</v>
      </c>
      <c r="AX372" s="235">
        <v>45627</v>
      </c>
      <c r="BA372" s="235">
        <v>45658</v>
      </c>
      <c r="BC372" s="235">
        <v>45689</v>
      </c>
      <c r="BE372" s="235">
        <v>45717</v>
      </c>
      <c r="BG372" s="235">
        <v>45748</v>
      </c>
      <c r="BI372" s="235">
        <v>45778</v>
      </c>
      <c r="BK372" s="235">
        <v>45809</v>
      </c>
      <c r="BM372" s="235">
        <v>45839</v>
      </c>
      <c r="BO372" s="235">
        <v>45870</v>
      </c>
      <c r="BQ372" s="235">
        <v>45901</v>
      </c>
      <c r="BS372" s="235">
        <v>45931</v>
      </c>
      <c r="BU372" s="235">
        <v>45962</v>
      </c>
      <c r="BW372" s="235">
        <v>45992</v>
      </c>
      <c r="BY372" s="235">
        <v>46023</v>
      </c>
      <c r="CA372" s="235">
        <v>46054</v>
      </c>
      <c r="CC372" s="235">
        <v>46082</v>
      </c>
      <c r="CE372" s="235">
        <v>46113</v>
      </c>
      <c r="CG372" s="235">
        <v>46143</v>
      </c>
      <c r="CI372" s="341">
        <v>46174</v>
      </c>
    </row>
    <row r="373" spans="1:87">
      <c r="C373" s="213" t="s">
        <v>7</v>
      </c>
      <c r="L373" s="238">
        <f>-17.97-3.1</f>
        <v>-21.07</v>
      </c>
      <c r="N373" s="237">
        <v>-46.43</v>
      </c>
      <c r="P373" s="237">
        <v>-47.97</v>
      </c>
      <c r="R373" s="237">
        <v>-47.98</v>
      </c>
      <c r="T373" s="237">
        <v>-33.590000000000003</v>
      </c>
      <c r="V373" s="213">
        <v>0</v>
      </c>
      <c r="X373" s="238">
        <v>-34.51</v>
      </c>
      <c r="Z373" s="238">
        <v>-37.07</v>
      </c>
      <c r="AB373" s="238">
        <v>-35.67</v>
      </c>
      <c r="AD373" s="237">
        <v>-33.26</v>
      </c>
      <c r="AF373" s="237">
        <v>-39.6</v>
      </c>
      <c r="AH373" s="237">
        <f>-22.99-20.79</f>
        <v>-43.78</v>
      </c>
      <c r="AJ373" s="237">
        <v>-53.48</v>
      </c>
      <c r="AL373" s="237">
        <v>-52.51</v>
      </c>
      <c r="AN373" s="237">
        <v>-49.59</v>
      </c>
      <c r="AP373" s="237">
        <f>-17.8-33.3</f>
        <v>-51.099999999999994</v>
      </c>
      <c r="AR373" s="237">
        <v>-62.14</v>
      </c>
      <c r="AT373" s="237">
        <f>AS373-16.38-43.25</f>
        <v>-59.629999999999995</v>
      </c>
      <c r="AV373" s="237">
        <v>-54.65</v>
      </c>
      <c r="AX373" s="237">
        <v>-52.65</v>
      </c>
      <c r="BA373" s="237">
        <v>-54.16</v>
      </c>
      <c r="BC373" s="237">
        <v>-48.9</v>
      </c>
      <c r="BE373" s="237">
        <v>-52.39</v>
      </c>
      <c r="BG373" s="237">
        <v>-52.39</v>
      </c>
      <c r="BI373" s="237">
        <v>-54.16</v>
      </c>
      <c r="BK373" s="237">
        <v>-52.39</v>
      </c>
      <c r="BM373" s="237">
        <v>-54.16</v>
      </c>
      <c r="BO373" s="237">
        <v>-54.16</v>
      </c>
      <c r="BQ373" s="237">
        <v>-52.39</v>
      </c>
      <c r="BS373" s="237">
        <v>-56.3</v>
      </c>
      <c r="BU373" s="237">
        <v>-52.95</v>
      </c>
      <c r="BW373" s="237">
        <v>-54.16</v>
      </c>
      <c r="BY373" s="237">
        <v>-55.1</v>
      </c>
      <c r="CA373" s="237">
        <v>-49.77</v>
      </c>
      <c r="CC373" s="237">
        <v>-47.96</v>
      </c>
      <c r="CE373" s="237">
        <v>-46.39</v>
      </c>
      <c r="CG373" s="237">
        <v>-55.1</v>
      </c>
    </row>
    <row r="374" spans="1:87">
      <c r="C374" s="213" t="s">
        <v>8</v>
      </c>
      <c r="L374" s="213">
        <v>24.06</v>
      </c>
      <c r="M374" s="222">
        <f>ABS(((L373+L374)/L373))</f>
        <v>0.14190792596108204</v>
      </c>
      <c r="N374" s="214">
        <v>44.03</v>
      </c>
      <c r="O374" s="222">
        <v>0</v>
      </c>
      <c r="P374" s="214">
        <v>41.9</v>
      </c>
      <c r="Q374" s="222">
        <v>0</v>
      </c>
      <c r="R374" s="214">
        <v>46.08</v>
      </c>
      <c r="T374" s="214">
        <v>45.94</v>
      </c>
      <c r="U374" s="222">
        <f>ABS(((T373+T374)/T373))</f>
        <v>0.36766894909199144</v>
      </c>
      <c r="X374" s="213">
        <v>67.62</v>
      </c>
      <c r="Y374" s="213">
        <v>-34.99</v>
      </c>
      <c r="Z374" s="213">
        <v>46.08</v>
      </c>
      <c r="AA374" s="213">
        <v>-34.99</v>
      </c>
      <c r="AB374" s="213">
        <v>44.83</v>
      </c>
      <c r="AC374" s="213">
        <v>-34.99</v>
      </c>
      <c r="AD374" s="213">
        <v>35.200000000000003</v>
      </c>
      <c r="AE374" s="222">
        <f>ABS(((AD373+AD374)/AD373))</f>
        <v>5.8328322309080124E-2</v>
      </c>
      <c r="AF374" s="213">
        <v>46.37</v>
      </c>
      <c r="AG374" s="222">
        <f>ABS(((AF373+AF374)/AF373))</f>
        <v>0.17095959595959584</v>
      </c>
      <c r="AH374" s="214">
        <v>89.15</v>
      </c>
      <c r="AI374" s="222">
        <f>ABS(((AH373+AH374)/AH373))</f>
        <v>1.0363179534033806</v>
      </c>
      <c r="AJ374" s="214">
        <v>41.65</v>
      </c>
      <c r="AK374" s="222">
        <f>ABS(((AJ373+AJ374)/AJ373))</f>
        <v>0.22120418848167536</v>
      </c>
      <c r="AL374" s="214">
        <v>26.47</v>
      </c>
      <c r="AM374" s="222">
        <f>ABS(((AL373+AL374)/AL373))</f>
        <v>0.4959055418015616</v>
      </c>
      <c r="AN374" s="214">
        <v>8.5</v>
      </c>
      <c r="AO374" s="222"/>
      <c r="AP374" s="214">
        <v>17.54</v>
      </c>
      <c r="AQ374" s="222">
        <f>ABS(((AP373+AP374)/AP373))</f>
        <v>0.65675146771037185</v>
      </c>
      <c r="AR374" s="214">
        <v>68.069999999999993</v>
      </c>
      <c r="AS374" s="222">
        <f>ABS(((AR373+AR374)/AR373))</f>
        <v>9.5429674927582753E-2</v>
      </c>
      <c r="AT374" s="214">
        <v>93.41</v>
      </c>
      <c r="AU374" s="222">
        <f>AT375/AT374</f>
        <v>0.36163151696820472</v>
      </c>
      <c r="AV374" s="214">
        <v>89.52</v>
      </c>
      <c r="AW374" s="222">
        <f>AV375/AV374</f>
        <v>0.38952189454870417</v>
      </c>
      <c r="AX374" s="214">
        <v>57.43</v>
      </c>
      <c r="AY374" s="224">
        <f>AX375/AX374</f>
        <v>8.3231760403970068E-2</v>
      </c>
      <c r="AZ374" s="225"/>
      <c r="BA374" s="214">
        <v>60.96</v>
      </c>
      <c r="BB374" s="222">
        <f>BA375/BA374</f>
        <v>0.11154855643044627</v>
      </c>
      <c r="BC374" s="214">
        <v>60.95</v>
      </c>
      <c r="BD374" s="222">
        <f>BC375/BC374</f>
        <v>0.19770303527481548</v>
      </c>
      <c r="BE374" s="214">
        <v>60.96</v>
      </c>
      <c r="BF374" s="222">
        <f>BE375/BE374</f>
        <v>0.14058398950131235</v>
      </c>
      <c r="BG374" s="214">
        <v>60.96</v>
      </c>
      <c r="BH374" s="222">
        <f>BG375/BG374</f>
        <v>0.14058398950131235</v>
      </c>
      <c r="BI374" s="214">
        <v>61.19</v>
      </c>
      <c r="BJ374" s="222">
        <f>BI375/BI374</f>
        <v>0.11488805360353001</v>
      </c>
      <c r="BK374" s="214">
        <v>78.5</v>
      </c>
      <c r="BL374" s="222">
        <f>BK375/BK374</f>
        <v>0.33261146496815286</v>
      </c>
      <c r="BM374" s="214">
        <v>61.19</v>
      </c>
      <c r="BN374" s="222">
        <f>BM375/BM374</f>
        <v>0.11488805360353001</v>
      </c>
      <c r="BO374" s="214">
        <v>61.19</v>
      </c>
      <c r="BP374" s="222">
        <f>BO375/BO374</f>
        <v>0.11488805360353001</v>
      </c>
      <c r="BQ374" s="214">
        <v>61.19</v>
      </c>
      <c r="BR374" s="222">
        <f>BQ375/BQ374</f>
        <v>0.14381434874979568</v>
      </c>
      <c r="BS374" s="214">
        <v>80.03</v>
      </c>
      <c r="BT374" s="222">
        <f>BS375/BS374</f>
        <v>0.29651380732225419</v>
      </c>
      <c r="BU374" s="214">
        <v>77.680000000000007</v>
      </c>
      <c r="BV374" s="222">
        <f>BU375/BU374</f>
        <v>0.31835736354273947</v>
      </c>
      <c r="BW374" s="214">
        <v>61.19</v>
      </c>
      <c r="BX374" s="222">
        <f>BW375/BW374</f>
        <v>0.11488805360353001</v>
      </c>
      <c r="BY374" s="214">
        <v>61.19</v>
      </c>
      <c r="BZ374" s="222">
        <f>BY375/BY374</f>
        <v>9.9526066350710846E-2</v>
      </c>
      <c r="CA374" s="214">
        <v>61.18</v>
      </c>
      <c r="CB374" s="222">
        <f>CA375/CA374</f>
        <v>0.18649885583524023</v>
      </c>
      <c r="CC374" s="214">
        <v>61.19</v>
      </c>
      <c r="CD374" s="222">
        <f>CC375/CC374</f>
        <v>0.21621179931361328</v>
      </c>
      <c r="CE374" s="214">
        <v>61.19</v>
      </c>
      <c r="CF374" s="222">
        <f>CE375/CE374</f>
        <v>0.24186958653374729</v>
      </c>
      <c r="CG374" s="214">
        <v>61.19</v>
      </c>
      <c r="CH374" s="222">
        <f>CG375/CG374</f>
        <v>9.9526066350710846E-2</v>
      </c>
    </row>
    <row r="375" spans="1:87">
      <c r="C375" s="241" t="s">
        <v>9</v>
      </c>
      <c r="L375" s="214">
        <f>SUM(L373:L374)</f>
        <v>2.9899999999999984</v>
      </c>
      <c r="N375" s="214">
        <f>SUM(N373:N374)</f>
        <v>-2.3999999999999986</v>
      </c>
      <c r="P375" s="214">
        <f>SUM(P373:P374)</f>
        <v>-6.07</v>
      </c>
      <c r="R375" s="214">
        <f>R373+R374</f>
        <v>-1.8999999999999986</v>
      </c>
      <c r="S375" s="214"/>
      <c r="T375" s="214">
        <f>T373+T374</f>
        <v>12.349999999999994</v>
      </c>
      <c r="V375" s="214">
        <f>V373+V374</f>
        <v>0</v>
      </c>
      <c r="X375" s="214">
        <f>X373+X374</f>
        <v>33.110000000000007</v>
      </c>
      <c r="Z375" s="214">
        <f>Z373+Z374</f>
        <v>9.009999999999998</v>
      </c>
      <c r="AB375" s="242">
        <f>AB373+AB374</f>
        <v>9.1599999999999966</v>
      </c>
      <c r="AD375" s="242">
        <f>AD373+AD374</f>
        <v>1.9400000000000048</v>
      </c>
      <c r="AF375" s="242">
        <f>AF373+AF374</f>
        <v>6.769999999999996</v>
      </c>
      <c r="AH375" s="243">
        <f>AH373+AH374</f>
        <v>45.370000000000005</v>
      </c>
      <c r="AJ375" s="243">
        <f>AJ373+AJ374</f>
        <v>-11.829999999999998</v>
      </c>
      <c r="AL375" s="243">
        <f>AL373+AL374</f>
        <v>-26.04</v>
      </c>
      <c r="AN375" s="243">
        <f>AN373+AN374</f>
        <v>-41.09</v>
      </c>
      <c r="AP375" s="214">
        <f>AP373+AP374</f>
        <v>-33.559999999999995</v>
      </c>
      <c r="AR375" s="214">
        <f>AR373+AR374</f>
        <v>5.9299999999999926</v>
      </c>
      <c r="AT375" s="214">
        <f>AT373+AT374</f>
        <v>33.78</v>
      </c>
      <c r="AV375" s="214">
        <f>AV373+AV374</f>
        <v>34.869999999999997</v>
      </c>
      <c r="AX375" s="214">
        <f>AX373+AX374</f>
        <v>4.7800000000000011</v>
      </c>
      <c r="BA375" s="214">
        <f>BA373+BA374</f>
        <v>6.8000000000000043</v>
      </c>
      <c r="BC375" s="214">
        <f>BC373+BC374</f>
        <v>12.050000000000004</v>
      </c>
      <c r="BE375" s="214">
        <f>BE373+BE374</f>
        <v>8.57</v>
      </c>
      <c r="BG375" s="214">
        <f>BG373+BG374</f>
        <v>8.57</v>
      </c>
      <c r="BI375" s="214">
        <f>BI373+BI374</f>
        <v>7.0300000000000011</v>
      </c>
      <c r="BK375" s="214">
        <f>BK373+BK374</f>
        <v>26.11</v>
      </c>
      <c r="BM375" s="214">
        <f>BM373+BM374</f>
        <v>7.0300000000000011</v>
      </c>
      <c r="BO375" s="214">
        <f>BO373+BO374</f>
        <v>7.0300000000000011</v>
      </c>
      <c r="BQ375" s="214">
        <f>BQ373+BQ374</f>
        <v>8.7999999999999972</v>
      </c>
      <c r="BS375" s="214">
        <f>BS373+BS374</f>
        <v>23.730000000000004</v>
      </c>
      <c r="BU375" s="214">
        <f>BU373+BU374</f>
        <v>24.730000000000004</v>
      </c>
      <c r="BW375" s="214">
        <f>BW373+BW374</f>
        <v>7.0300000000000011</v>
      </c>
      <c r="BY375" s="214">
        <f>BY373+BY374</f>
        <v>6.0899999999999963</v>
      </c>
      <c r="CA375" s="214">
        <f>CA373+CA374</f>
        <v>11.409999999999997</v>
      </c>
      <c r="CC375" s="214">
        <f>CC373+CC374</f>
        <v>13.229999999999997</v>
      </c>
      <c r="CE375" s="214">
        <f>CE373+CE374</f>
        <v>14.799999999999997</v>
      </c>
      <c r="CG375" s="214">
        <f>CG373+CG374</f>
        <v>6.0899999999999963</v>
      </c>
    </row>
    <row r="376" spans="1:87">
      <c r="A376" s="231">
        <v>114</v>
      </c>
      <c r="B376" s="232">
        <v>206143114</v>
      </c>
      <c r="C376" s="213" t="s">
        <v>144</v>
      </c>
      <c r="AP376" s="214"/>
      <c r="AT376" s="214"/>
    </row>
    <row r="377" spans="1:87">
      <c r="C377" s="253" t="s">
        <v>384</v>
      </c>
      <c r="D377" s="246">
        <v>44927</v>
      </c>
      <c r="E377" s="246"/>
      <c r="F377" s="246">
        <v>44958</v>
      </c>
      <c r="H377" s="246">
        <v>44986</v>
      </c>
      <c r="I377" s="235"/>
      <c r="J377" s="235">
        <v>45017</v>
      </c>
      <c r="K377" s="235"/>
      <c r="L377" s="246">
        <v>45047</v>
      </c>
      <c r="M377" s="235"/>
      <c r="N377" s="235">
        <v>45078</v>
      </c>
      <c r="O377" s="235"/>
      <c r="P377" s="235">
        <v>45108</v>
      </c>
      <c r="Q377" s="235"/>
      <c r="R377" s="235">
        <v>45139</v>
      </c>
      <c r="S377" s="235"/>
      <c r="T377" s="235">
        <v>45170</v>
      </c>
      <c r="U377" s="235"/>
      <c r="V377" s="235">
        <v>45200</v>
      </c>
      <c r="W377" s="235"/>
      <c r="X377" s="235">
        <v>45231</v>
      </c>
      <c r="Y377" s="235"/>
      <c r="Z377" s="235">
        <v>45261</v>
      </c>
      <c r="AA377" s="235"/>
      <c r="AB377" s="235">
        <v>45292</v>
      </c>
      <c r="AC377" s="235"/>
      <c r="AD377" s="235">
        <v>45323</v>
      </c>
      <c r="AE377" s="235"/>
      <c r="AF377" s="235">
        <v>45352</v>
      </c>
      <c r="AH377" s="235">
        <v>45383</v>
      </c>
      <c r="AJ377" s="235">
        <v>45413</v>
      </c>
      <c r="AL377" s="235">
        <v>45444</v>
      </c>
      <c r="AN377" s="235">
        <v>45474</v>
      </c>
      <c r="AP377" s="235">
        <v>45505</v>
      </c>
      <c r="AR377" s="236">
        <v>45536</v>
      </c>
      <c r="AT377" s="236">
        <v>45566</v>
      </c>
      <c r="AV377" s="235">
        <v>45597</v>
      </c>
      <c r="AX377" s="235">
        <v>45627</v>
      </c>
      <c r="BA377" s="235">
        <v>45658</v>
      </c>
      <c r="BC377" s="235">
        <v>45689</v>
      </c>
      <c r="BE377" s="235">
        <v>45717</v>
      </c>
      <c r="BG377" s="235">
        <v>45748</v>
      </c>
      <c r="BI377" s="235">
        <v>45778</v>
      </c>
      <c r="BK377" s="235">
        <v>45809</v>
      </c>
      <c r="BM377" s="235">
        <v>45839</v>
      </c>
      <c r="BO377" s="235">
        <v>45870</v>
      </c>
      <c r="BQ377" s="235">
        <v>45901</v>
      </c>
      <c r="BS377" s="235">
        <v>45931</v>
      </c>
      <c r="BU377" s="235">
        <v>45962</v>
      </c>
      <c r="BW377" s="235">
        <v>45992</v>
      </c>
      <c r="BY377" s="235">
        <v>46023</v>
      </c>
      <c r="CA377" s="235">
        <v>46054</v>
      </c>
      <c r="CC377" s="235">
        <v>46082</v>
      </c>
      <c r="CE377" s="235">
        <v>46113</v>
      </c>
      <c r="CG377" s="235">
        <v>46143</v>
      </c>
      <c r="CI377" s="341">
        <v>46174</v>
      </c>
    </row>
    <row r="378" spans="1:87">
      <c r="C378" s="213" t="s">
        <v>7</v>
      </c>
      <c r="L378" s="237">
        <v>-372.89</v>
      </c>
      <c r="N378" s="237">
        <v>-649.9</v>
      </c>
      <c r="P378" s="237">
        <v>-451.46</v>
      </c>
      <c r="R378" s="237">
        <v>-125.84</v>
      </c>
      <c r="T378" s="237">
        <v>-104.71</v>
      </c>
      <c r="V378" s="237">
        <v>-105.54</v>
      </c>
      <c r="X378" s="238">
        <f>-36.06-54.86</f>
        <v>-90.92</v>
      </c>
      <c r="Z378" s="238">
        <v>-86.77</v>
      </c>
      <c r="AB378" s="238">
        <v>-69.22</v>
      </c>
      <c r="AD378" s="237">
        <v>-62.45</v>
      </c>
      <c r="AF378" s="237">
        <v>-72.91</v>
      </c>
      <c r="AH378" s="237">
        <v>-69.040000000000006</v>
      </c>
      <c r="AJ378" s="237">
        <v>-69.760000000000005</v>
      </c>
      <c r="AL378" s="237">
        <v>-68.12</v>
      </c>
      <c r="AN378" s="237">
        <v>-67.14</v>
      </c>
      <c r="AP378" s="237">
        <v>-61.71</v>
      </c>
      <c r="AR378" s="237">
        <v>-60.92</v>
      </c>
      <c r="AT378" s="237">
        <v>-65.56</v>
      </c>
      <c r="AV378" s="237">
        <v>-61.53</v>
      </c>
      <c r="AX378" s="237">
        <v>-71.09</v>
      </c>
      <c r="BA378" s="237">
        <v>-75.44</v>
      </c>
      <c r="BC378" s="237">
        <v>-66.33</v>
      </c>
      <c r="BE378" s="237">
        <v>-73.92</v>
      </c>
      <c r="BG378" s="237">
        <v>-71.39</v>
      </c>
      <c r="BI378" s="237">
        <v>-75.12</v>
      </c>
      <c r="BK378" s="237">
        <v>-70.17</v>
      </c>
      <c r="BM378" s="237">
        <v>-45.97</v>
      </c>
      <c r="BO378" s="237">
        <v>-76.98</v>
      </c>
      <c r="BQ378" s="237">
        <v>-73.05</v>
      </c>
      <c r="BS378" s="237">
        <v>-74.64</v>
      </c>
      <c r="BU378" s="237">
        <v>-93.04</v>
      </c>
      <c r="BW378" s="237">
        <v>-79.84</v>
      </c>
      <c r="BY378" s="237">
        <v>-78.13</v>
      </c>
      <c r="CA378" s="237">
        <v>-72.680000000000007</v>
      </c>
      <c r="CC378" s="237">
        <v>-78.09</v>
      </c>
      <c r="CE378" s="237">
        <v>-46.43</v>
      </c>
      <c r="CG378" s="237">
        <v>-13.02</v>
      </c>
    </row>
    <row r="379" spans="1:87">
      <c r="C379" s="213" t="s">
        <v>8</v>
      </c>
      <c r="L379" s="214">
        <v>656.72</v>
      </c>
      <c r="M379" s="222">
        <f>ABS(((L378+L379)/L378))</f>
        <v>0.76116280940760028</v>
      </c>
      <c r="N379" s="214">
        <v>843.07</v>
      </c>
      <c r="O379" s="222">
        <f>ABS(((N378+N379)/N378))</f>
        <v>0.29723034312971236</v>
      </c>
      <c r="P379" s="214">
        <v>565.45000000000005</v>
      </c>
      <c r="Q379" s="222">
        <f>ABS(((P378+P379)/P378))</f>
        <v>0.2524919151198336</v>
      </c>
      <c r="R379" s="214">
        <v>163.99</v>
      </c>
      <c r="S379" s="222">
        <f>ABS(((R378+R379)/R378))</f>
        <v>0.30316274634456458</v>
      </c>
      <c r="T379" s="214">
        <v>137.51</v>
      </c>
      <c r="U379" s="222">
        <f>ABS(((T378+T379)/T378))</f>
        <v>0.31324610829911181</v>
      </c>
      <c r="V379" s="214">
        <v>157.13</v>
      </c>
      <c r="W379" s="222">
        <f>ABS(((V378+V379)/V378))</f>
        <v>0.48881940496494208</v>
      </c>
      <c r="X379" s="213">
        <v>128.88999999999999</v>
      </c>
      <c r="Z379" s="213">
        <v>138.16</v>
      </c>
      <c r="AB379" s="213">
        <v>120.8</v>
      </c>
      <c r="AD379" s="213">
        <v>117.46</v>
      </c>
      <c r="AE379" s="222">
        <f>ABS(((AD378+AD379)/AD378))</f>
        <v>0.88086469175340254</v>
      </c>
      <c r="AF379" s="213">
        <v>125.13</v>
      </c>
      <c r="AG379" s="222">
        <f>ABS(((AF378+AF379)/AF378))</f>
        <v>0.7162254834727747</v>
      </c>
      <c r="AH379" s="214">
        <v>124.12</v>
      </c>
      <c r="AI379" s="222">
        <f>ABS(((AH378+AH379)/AH378))</f>
        <v>0.79779837775202767</v>
      </c>
      <c r="AJ379" s="214">
        <v>124.58</v>
      </c>
      <c r="AK379" s="222">
        <f>ABS(((AJ378+AJ379)/AJ378))</f>
        <v>0.78583715596330261</v>
      </c>
      <c r="AL379" s="239">
        <v>123.84</v>
      </c>
      <c r="AM379" s="222">
        <f>ABS(((AL378+AL379)/AL378))</f>
        <v>0.81796829125073389</v>
      </c>
      <c r="AN379" s="214">
        <v>128.85</v>
      </c>
      <c r="AO379" s="222">
        <f>ABS(((AN378+AN379)/AN378))</f>
        <v>0.91912421805183186</v>
      </c>
      <c r="AP379" s="214">
        <v>119.74</v>
      </c>
      <c r="AQ379" s="222">
        <f>ABS(((AP378+AP379)/AP378))</f>
        <v>0.94036622913628254</v>
      </c>
      <c r="AR379" s="214">
        <v>120.37</v>
      </c>
      <c r="AS379" s="222">
        <f>ABS(((AR378+AR379)/AR378))</f>
        <v>0.97586999343401182</v>
      </c>
      <c r="AT379" s="214">
        <v>126</v>
      </c>
      <c r="AU379" s="222">
        <f>AT380/AT379</f>
        <v>0.47968253968253965</v>
      </c>
      <c r="AV379" s="214">
        <v>121.75</v>
      </c>
      <c r="AW379" s="222">
        <f>AV380/AV379</f>
        <v>0.49462012320328541</v>
      </c>
      <c r="AX379" s="214">
        <v>129.12</v>
      </c>
      <c r="AY379" s="224">
        <f>AX380/AX379</f>
        <v>0.44942688971499378</v>
      </c>
      <c r="AZ379" s="225"/>
      <c r="BA379" s="214">
        <v>118.2</v>
      </c>
      <c r="BB379" s="222">
        <f>BA380/BA379</f>
        <v>0.36175972927241967</v>
      </c>
      <c r="BC379" s="214">
        <v>116.61</v>
      </c>
      <c r="BD379" s="222">
        <f>BC380/BC379</f>
        <v>0.43118085927450478</v>
      </c>
      <c r="BE379" s="214">
        <v>118.21</v>
      </c>
      <c r="BF379" s="222">
        <f>BE380/BE379</f>
        <v>0.37467219355384479</v>
      </c>
      <c r="BG379" s="214">
        <v>118.11</v>
      </c>
      <c r="BH379" s="222">
        <f>BG380/BG379</f>
        <v>0.39556345779358226</v>
      </c>
      <c r="BI379" s="214">
        <v>120.31</v>
      </c>
      <c r="BJ379" s="222">
        <f>BI380/BI379</f>
        <v>0.37561299975064416</v>
      </c>
      <c r="BK379" s="214">
        <v>110.46</v>
      </c>
      <c r="BL379" s="222">
        <f>BK380/BK379</f>
        <v>0.36474741988049969</v>
      </c>
      <c r="BM379" s="214">
        <v>126.3</v>
      </c>
      <c r="BN379" s="222">
        <f>BM380/BM379</f>
        <v>0.63602533650039583</v>
      </c>
      <c r="BO379" s="214">
        <v>120.84</v>
      </c>
      <c r="BP379" s="222">
        <f>BO380/BO379</f>
        <v>0.36295928500496522</v>
      </c>
      <c r="BQ379" s="214">
        <v>118.41</v>
      </c>
      <c r="BR379" s="222">
        <f>BQ380/BQ379</f>
        <v>0.38307575373701547</v>
      </c>
      <c r="BS379" s="214">
        <v>110.34</v>
      </c>
      <c r="BT379" s="222">
        <f>BS380/BS379</f>
        <v>0.32354540511147362</v>
      </c>
      <c r="BU379" s="214">
        <v>143.28</v>
      </c>
      <c r="BV379" s="222">
        <f>BU380/BU379</f>
        <v>0.35064209938581792</v>
      </c>
      <c r="BW379" s="214">
        <v>123.63</v>
      </c>
      <c r="BX379" s="222">
        <f>BW380/BW379</f>
        <v>0.35420205451751186</v>
      </c>
      <c r="BY379" s="214">
        <v>117.54</v>
      </c>
      <c r="BZ379" s="222">
        <f>BY380/BY379</f>
        <v>0.33529011400374348</v>
      </c>
      <c r="CA379" s="214">
        <v>119.84</v>
      </c>
      <c r="CB379" s="222">
        <f>CA380/CA379</f>
        <v>0.3935246995994659</v>
      </c>
      <c r="CC379" s="214">
        <v>122.01</v>
      </c>
      <c r="CD379" s="222">
        <f>CC380/CC379</f>
        <v>0.35997049422178512</v>
      </c>
      <c r="CE379" s="214">
        <v>115.84</v>
      </c>
      <c r="CF379" s="222">
        <f>CE380/CE379</f>
        <v>0.59918853591160215</v>
      </c>
      <c r="CG379" s="214"/>
      <c r="CH379" s="222" t="e">
        <f>CG380/CG379</f>
        <v>#DIV/0!</v>
      </c>
    </row>
    <row r="380" spans="1:87">
      <c r="C380" s="241" t="s">
        <v>9</v>
      </c>
      <c r="L380" s="214">
        <f>SUM(L378:L379)</f>
        <v>283.83000000000004</v>
      </c>
      <c r="N380" s="214">
        <f>SUM(N378:N379)</f>
        <v>193.17000000000007</v>
      </c>
      <c r="P380" s="214">
        <f>SUM(P378:P379)</f>
        <v>113.99000000000007</v>
      </c>
      <c r="R380" s="214">
        <f>R378+R379</f>
        <v>38.150000000000006</v>
      </c>
      <c r="S380" s="214"/>
      <c r="T380" s="214">
        <f>T378+T379</f>
        <v>32.799999999999997</v>
      </c>
      <c r="V380" s="214">
        <f>V378+V379</f>
        <v>51.589999999999989</v>
      </c>
      <c r="X380" s="214">
        <f>X378+X379</f>
        <v>37.969999999999985</v>
      </c>
      <c r="Z380" s="214">
        <f>Z378+Z379</f>
        <v>51.39</v>
      </c>
      <c r="AB380" s="242">
        <f>AB378+AB379</f>
        <v>51.58</v>
      </c>
      <c r="AD380" s="242">
        <f>AD378+AD379</f>
        <v>55.009999999999991</v>
      </c>
      <c r="AF380" s="242">
        <f>AF378+AF379</f>
        <v>52.22</v>
      </c>
      <c r="AH380" s="242">
        <f>AH378+AH379</f>
        <v>55.08</v>
      </c>
      <c r="AJ380" s="242">
        <f>AJ378+AJ379</f>
        <v>54.819999999999993</v>
      </c>
      <c r="AL380" s="242">
        <f>AL378+AL379</f>
        <v>55.72</v>
      </c>
      <c r="AN380" s="242">
        <f>AN378+AN379</f>
        <v>61.709999999999994</v>
      </c>
      <c r="AP380" s="214">
        <f>AP378+AP379</f>
        <v>58.029999999999994</v>
      </c>
      <c r="AR380" s="214">
        <f>AR378+AR379</f>
        <v>59.45</v>
      </c>
      <c r="AT380" s="214">
        <f>AT378+AT379</f>
        <v>60.44</v>
      </c>
      <c r="AV380" s="214">
        <f>AV378+AV379</f>
        <v>60.22</v>
      </c>
      <c r="AX380" s="214">
        <f>AX378+AX379</f>
        <v>58.03</v>
      </c>
      <c r="BA380" s="214">
        <f>BA378+BA379</f>
        <v>42.760000000000005</v>
      </c>
      <c r="BC380" s="214">
        <f>BC378+BC379</f>
        <v>50.28</v>
      </c>
      <c r="BE380" s="214">
        <f>BE378+BE379</f>
        <v>44.289999999999992</v>
      </c>
      <c r="BG380" s="214">
        <f>BG378+BG379</f>
        <v>46.72</v>
      </c>
      <c r="BI380" s="214">
        <f>BI378+BI379</f>
        <v>45.19</v>
      </c>
      <c r="BK380" s="214">
        <f>BK378+BK379</f>
        <v>40.289999999999992</v>
      </c>
      <c r="BM380" s="214">
        <f>BM378+BM379</f>
        <v>80.33</v>
      </c>
      <c r="BO380" s="214">
        <f>BO378+BO379</f>
        <v>43.86</v>
      </c>
      <c r="BQ380" s="214">
        <f>BQ378+BQ379</f>
        <v>45.36</v>
      </c>
      <c r="BS380" s="214">
        <f>BS378+BS379</f>
        <v>35.700000000000003</v>
      </c>
      <c r="BU380" s="214">
        <f>BU378+BU379</f>
        <v>50.239999999999995</v>
      </c>
      <c r="BW380" s="214">
        <f>BW378+BW379</f>
        <v>43.789999999999992</v>
      </c>
      <c r="BY380" s="214">
        <f>BY378+BY379</f>
        <v>39.410000000000011</v>
      </c>
      <c r="CA380" s="214">
        <f>CA378+CA379</f>
        <v>47.16</v>
      </c>
      <c r="CC380" s="214">
        <f>CC378+CC379</f>
        <v>43.92</v>
      </c>
      <c r="CE380" s="214">
        <f>CE378+CE379</f>
        <v>69.41</v>
      </c>
      <c r="CG380" s="214">
        <f>CG378+CG379</f>
        <v>-13.02</v>
      </c>
    </row>
    <row r="381" spans="1:87">
      <c r="A381" s="231">
        <v>115</v>
      </c>
      <c r="B381" s="319">
        <v>109380289</v>
      </c>
      <c r="C381" s="213" t="s">
        <v>145</v>
      </c>
      <c r="AP381" s="214"/>
      <c r="AT381" s="214"/>
    </row>
    <row r="382" spans="1:87">
      <c r="C382" s="253" t="s">
        <v>602</v>
      </c>
      <c r="D382" s="246">
        <v>44927</v>
      </c>
      <c r="E382" s="246"/>
      <c r="F382" s="246">
        <v>44958</v>
      </c>
      <c r="H382" s="246">
        <v>44986</v>
      </c>
      <c r="I382" s="235"/>
      <c r="J382" s="235">
        <v>45017</v>
      </c>
      <c r="K382" s="235"/>
      <c r="L382" s="246">
        <v>45047</v>
      </c>
      <c r="M382" s="235"/>
      <c r="N382" s="235">
        <v>45078</v>
      </c>
      <c r="O382" s="235"/>
      <c r="P382" s="235">
        <v>45108</v>
      </c>
      <c r="Q382" s="235"/>
      <c r="R382" s="235">
        <v>45139</v>
      </c>
      <c r="S382" s="235"/>
      <c r="T382" s="235">
        <v>45170</v>
      </c>
      <c r="U382" s="235"/>
      <c r="V382" s="235">
        <v>45200</v>
      </c>
      <c r="W382" s="235"/>
      <c r="X382" s="235">
        <v>45231</v>
      </c>
      <c r="Y382" s="235"/>
      <c r="Z382" s="235">
        <v>45261</v>
      </c>
      <c r="AA382" s="235"/>
      <c r="AB382" s="235">
        <v>45292</v>
      </c>
      <c r="AC382" s="235"/>
      <c r="AD382" s="235">
        <v>45323</v>
      </c>
      <c r="AE382" s="235"/>
      <c r="AF382" s="235">
        <v>45352</v>
      </c>
      <c r="AH382" s="235">
        <v>45383</v>
      </c>
      <c r="AJ382" s="235">
        <v>45413</v>
      </c>
      <c r="AL382" s="235">
        <v>45444</v>
      </c>
      <c r="AN382" s="235">
        <v>45474</v>
      </c>
      <c r="AP382" s="235">
        <v>45505</v>
      </c>
      <c r="AR382" s="236">
        <v>45536</v>
      </c>
      <c r="AT382" s="236">
        <v>45566</v>
      </c>
      <c r="AV382" s="235">
        <v>45597</v>
      </c>
      <c r="AX382" s="235">
        <v>45627</v>
      </c>
      <c r="BA382" s="235">
        <v>45658</v>
      </c>
      <c r="BC382" s="235">
        <v>45689</v>
      </c>
      <c r="BE382" s="235">
        <v>45717</v>
      </c>
      <c r="BG382" s="235">
        <v>45748</v>
      </c>
      <c r="BI382" s="235">
        <v>45778</v>
      </c>
      <c r="BK382" s="235">
        <v>45809</v>
      </c>
      <c r="BM382" s="235">
        <v>45839</v>
      </c>
      <c r="BO382" s="235">
        <v>45870</v>
      </c>
      <c r="BQ382" s="235">
        <v>45901</v>
      </c>
      <c r="BS382" s="235">
        <v>45931</v>
      </c>
      <c r="BU382" s="235">
        <v>45962</v>
      </c>
      <c r="BW382" s="235">
        <v>45992</v>
      </c>
      <c r="BY382" s="235">
        <v>46023</v>
      </c>
      <c r="CA382" s="235">
        <v>46054</v>
      </c>
      <c r="CC382" s="235">
        <v>46082</v>
      </c>
      <c r="CE382" s="235">
        <v>46113</v>
      </c>
      <c r="CG382" s="235">
        <v>46143</v>
      </c>
      <c r="CI382" s="341">
        <v>46174</v>
      </c>
    </row>
    <row r="383" spans="1:87">
      <c r="C383" s="213" t="s">
        <v>7</v>
      </c>
      <c r="N383" s="237">
        <v>-31.31</v>
      </c>
      <c r="P383" s="237">
        <v>-34.67</v>
      </c>
      <c r="R383" s="238">
        <v>-69.069999999999993</v>
      </c>
      <c r="T383" s="237">
        <v>-24.32</v>
      </c>
      <c r="V383" s="237">
        <v>-25.13</v>
      </c>
      <c r="X383" s="237">
        <v>-24.32</v>
      </c>
      <c r="Z383" s="238">
        <v>-26.83</v>
      </c>
      <c r="AB383" s="247">
        <v>0</v>
      </c>
      <c r="AD383" s="238">
        <v>-47.11</v>
      </c>
      <c r="AF383" s="238">
        <v>-28.31</v>
      </c>
      <c r="AH383" s="237">
        <f>-11.43-21.93</f>
        <v>-33.36</v>
      </c>
      <c r="AJ383" s="237">
        <v>-39.659999999999997</v>
      </c>
      <c r="AL383" s="237">
        <v>-43.8</v>
      </c>
      <c r="AN383" s="237">
        <v>-87.78</v>
      </c>
      <c r="AP383" s="237">
        <v>-94.32</v>
      </c>
      <c r="AR383" s="237">
        <f>-19.83-64.09</f>
        <v>-83.92</v>
      </c>
      <c r="AT383" s="237">
        <v>-62.39</v>
      </c>
      <c r="AV383" s="237">
        <v>-28.56</v>
      </c>
      <c r="AX383" s="237">
        <v>-32.450000000000003</v>
      </c>
      <c r="BA383" s="237">
        <v>-33.6</v>
      </c>
      <c r="BC383" s="237">
        <v>-44.41</v>
      </c>
      <c r="BE383" s="237">
        <v>-33.6</v>
      </c>
      <c r="BG383" s="237">
        <v>-44.61</v>
      </c>
      <c r="BI383" s="237">
        <v>-37.119999999999997</v>
      </c>
      <c r="BK383" s="237">
        <v>-93.42</v>
      </c>
      <c r="BM383" s="237">
        <v>-85.16</v>
      </c>
      <c r="BO383" s="237">
        <v>-107.13</v>
      </c>
      <c r="BQ383" s="237">
        <v>-96.65</v>
      </c>
      <c r="BS383" s="237">
        <v>-75.61</v>
      </c>
      <c r="BU383" s="237">
        <v>-106.67</v>
      </c>
      <c r="BW383" s="237">
        <v>-118.28</v>
      </c>
      <c r="BY383" s="237">
        <v>-191.6</v>
      </c>
      <c r="CA383" s="237">
        <v>-89.29</v>
      </c>
      <c r="CC383" s="237">
        <v>-79.08</v>
      </c>
      <c r="CE383" s="237">
        <v>-30.18</v>
      </c>
      <c r="CG383" s="237">
        <v>-122.89</v>
      </c>
    </row>
    <row r="384" spans="1:87">
      <c r="C384" s="213" t="s">
        <v>8</v>
      </c>
      <c r="N384" s="214">
        <v>44.25</v>
      </c>
      <c r="O384" s="222">
        <f>ABS(((N383+N384)/N383))</f>
        <v>0.41328648993931655</v>
      </c>
      <c r="P384" s="214">
        <v>38.619999999999997</v>
      </c>
      <c r="Q384" s="222">
        <f>ABS(((P383+P384)/P383))</f>
        <v>0.11393135275454271</v>
      </c>
      <c r="R384" s="214">
        <v>75.41</v>
      </c>
      <c r="S384" s="222">
        <f>ABS(((R383+R384)/R383))</f>
        <v>9.1790936730852812E-2</v>
      </c>
      <c r="T384" s="214">
        <v>35.049999999999997</v>
      </c>
      <c r="U384" s="222">
        <f>ABS(((T383+T384)/T383))</f>
        <v>0.44120065789473673</v>
      </c>
      <c r="V384" s="214">
        <v>5.31</v>
      </c>
      <c r="X384" s="214">
        <v>30</v>
      </c>
      <c r="Y384" s="214">
        <v>28.13</v>
      </c>
      <c r="Z384" s="213">
        <v>46.33</v>
      </c>
      <c r="AA384" s="214">
        <v>28.13</v>
      </c>
      <c r="AB384" s="213">
        <v>41.44</v>
      </c>
      <c r="AC384" s="214">
        <v>28.13</v>
      </c>
      <c r="AD384" s="213">
        <v>108.01</v>
      </c>
      <c r="AE384" s="222">
        <f>ABS(((AD383+AD384)/AD383))</f>
        <v>1.2927191679049035</v>
      </c>
      <c r="AF384" s="213">
        <v>23.32</v>
      </c>
      <c r="AG384" s="222">
        <f>ABS(((AF383+AF384)/AF383))</f>
        <v>0.17626280466266334</v>
      </c>
      <c r="AH384" s="214">
        <v>61.36</v>
      </c>
      <c r="AI384" s="222">
        <f>ABS(((AH383+AH384)/AH383))</f>
        <v>0.83932853717026379</v>
      </c>
      <c r="AJ384" s="214">
        <v>17.61</v>
      </c>
      <c r="AK384" s="222">
        <f>ABS(((AJ383+AJ384)/AJ383))</f>
        <v>0.55597579425113464</v>
      </c>
      <c r="AL384" s="214">
        <v>75.12</v>
      </c>
      <c r="AM384" s="222">
        <f>ABS(((AL383+AL384)/AL383))</f>
        <v>0.7150684931506851</v>
      </c>
      <c r="AN384" s="214">
        <v>126.47</v>
      </c>
      <c r="AO384" s="222">
        <f>ABS(((AN383+AN384)/AN383))</f>
        <v>0.4407609933925723</v>
      </c>
      <c r="AP384" s="214">
        <v>134.16999999999999</v>
      </c>
      <c r="AQ384" s="222">
        <f>ABS(((AP383+AP384)/AP383))</f>
        <v>0.42249787955894824</v>
      </c>
      <c r="AR384" s="214">
        <v>121.13</v>
      </c>
      <c r="AS384" s="222">
        <f>ABS(((AR383+AR384)/AR383))</f>
        <v>0.44339847473784549</v>
      </c>
      <c r="AT384" s="214">
        <v>104.37</v>
      </c>
      <c r="AU384" s="222">
        <f>AT385/AT384</f>
        <v>0.40222286097537607</v>
      </c>
      <c r="AV384" s="214">
        <v>45.37</v>
      </c>
      <c r="AW384" s="222">
        <f>AV385/AV384</f>
        <v>0.37050914701344501</v>
      </c>
      <c r="AX384" s="214">
        <v>36.22</v>
      </c>
      <c r="AY384" s="224">
        <f>AX385/AX384</f>
        <v>0.1040861402540032</v>
      </c>
      <c r="AZ384" s="225"/>
      <c r="BA384" s="214">
        <v>40.93</v>
      </c>
      <c r="BB384" s="222">
        <f>BA385/BA384</f>
        <v>0.17908624480820909</v>
      </c>
      <c r="BC384" s="214">
        <v>71.709999999999994</v>
      </c>
      <c r="BD384" s="222">
        <f>BC385/BC384</f>
        <v>0.38070004183516942</v>
      </c>
      <c r="BE384" s="214">
        <v>41.43</v>
      </c>
      <c r="BF384" s="222">
        <f>BE385/BE384</f>
        <v>0.18899348298334537</v>
      </c>
      <c r="BG384" s="214">
        <v>47.84</v>
      </c>
      <c r="BH384" s="222">
        <f>BG385/BG384</f>
        <v>6.7516722408026836E-2</v>
      </c>
      <c r="BI384" s="214">
        <v>64.13</v>
      </c>
      <c r="BJ384" s="222">
        <f>BI385/BI384</f>
        <v>0.42117573678465614</v>
      </c>
      <c r="BK384" s="214">
        <v>140.32</v>
      </c>
      <c r="BL384" s="222">
        <f>BK385/BK384</f>
        <v>0.33423603192702389</v>
      </c>
      <c r="BM384" s="214">
        <v>112</v>
      </c>
      <c r="BN384" s="222">
        <f>BM385/BM384</f>
        <v>0.23964285714285719</v>
      </c>
      <c r="BO384" s="214">
        <v>134.63</v>
      </c>
      <c r="BP384" s="222">
        <f>BO385/BO384</f>
        <v>0.2042635371016861</v>
      </c>
      <c r="BQ384" s="214">
        <v>121.92</v>
      </c>
      <c r="BR384" s="222">
        <f>BQ385/BQ384</f>
        <v>0.20726706036745404</v>
      </c>
      <c r="BS384" s="214">
        <v>104.05</v>
      </c>
      <c r="BT384" s="222">
        <f>BS385/BS384</f>
        <v>0.27333012974531473</v>
      </c>
      <c r="BU384" s="214">
        <v>144.47</v>
      </c>
      <c r="BV384" s="222">
        <f>BU385/BU384</f>
        <v>0.26164601647400842</v>
      </c>
      <c r="BW384" s="214">
        <v>155.97</v>
      </c>
      <c r="BX384" s="222">
        <f>BW385/BW384</f>
        <v>0.24164903507084695</v>
      </c>
      <c r="BY384" s="214">
        <v>243.53</v>
      </c>
      <c r="BZ384" s="222">
        <f>BY385/BY384</f>
        <v>0.21323861536566341</v>
      </c>
      <c r="CA384" s="214">
        <v>125.87</v>
      </c>
      <c r="CB384" s="222">
        <f>CA385/CA384</f>
        <v>0.29061730356717247</v>
      </c>
      <c r="CC384" s="214">
        <v>121.01</v>
      </c>
      <c r="CD384" s="222">
        <f>CC385/CC384</f>
        <v>0.34650028923229487</v>
      </c>
      <c r="CE384" s="214">
        <v>41.66</v>
      </c>
      <c r="CF384" s="222">
        <f>CE385/CE384</f>
        <v>0.27556409025444067</v>
      </c>
      <c r="CG384" s="214">
        <v>152.25</v>
      </c>
      <c r="CH384" s="222">
        <f>CG385/CG384</f>
        <v>0.1928407224958949</v>
      </c>
    </row>
    <row r="385" spans="1:87">
      <c r="C385" s="241" t="s">
        <v>9</v>
      </c>
      <c r="N385" s="214">
        <f>SUM(N383:N384)</f>
        <v>12.940000000000001</v>
      </c>
      <c r="P385" s="214">
        <f>SUM(P383:P384)</f>
        <v>3.9499999999999957</v>
      </c>
      <c r="R385" s="214">
        <f>R383+R384</f>
        <v>6.3400000000000034</v>
      </c>
      <c r="S385" s="214"/>
      <c r="T385" s="214">
        <f>T383+T384</f>
        <v>10.729999999999997</v>
      </c>
      <c r="V385" s="214">
        <f>V383+V384</f>
        <v>-19.82</v>
      </c>
      <c r="X385" s="214">
        <f>X383+X384</f>
        <v>5.68</v>
      </c>
      <c r="Z385" s="214">
        <f>Z383+Z384</f>
        <v>19.5</v>
      </c>
      <c r="AB385" s="242">
        <f>AB383+AB384</f>
        <v>41.44</v>
      </c>
      <c r="AD385" s="242">
        <f>AD383+AD384</f>
        <v>60.900000000000006</v>
      </c>
      <c r="AF385" s="242">
        <f>AF383+AF384</f>
        <v>-4.9899999999999984</v>
      </c>
      <c r="AH385" s="243">
        <f>AH383+AH384</f>
        <v>28</v>
      </c>
      <c r="AJ385" s="243">
        <f>AJ383+AJ384</f>
        <v>-22.049999999999997</v>
      </c>
      <c r="AL385" s="243">
        <f>AL383+AL384</f>
        <v>31.320000000000007</v>
      </c>
      <c r="AN385" s="243">
        <f>AN383+AN384</f>
        <v>38.69</v>
      </c>
      <c r="AP385" s="214">
        <f>AP383+AP384</f>
        <v>39.849999999999994</v>
      </c>
      <c r="AR385" s="214">
        <f>AR383+AR384</f>
        <v>37.209999999999994</v>
      </c>
      <c r="AT385" s="214">
        <f>AT383+AT384</f>
        <v>41.980000000000004</v>
      </c>
      <c r="AV385" s="214">
        <f>AV383+AV384</f>
        <v>16.809999999999999</v>
      </c>
      <c r="AX385" s="214">
        <f>AX383+AX384</f>
        <v>3.769999999999996</v>
      </c>
      <c r="BA385" s="214">
        <f>BA383+BA384</f>
        <v>7.3299999999999983</v>
      </c>
      <c r="BC385" s="214">
        <f>BC383+BC384</f>
        <v>27.299999999999997</v>
      </c>
      <c r="BE385" s="214">
        <f>BE383+BE384</f>
        <v>7.8299999999999983</v>
      </c>
      <c r="BG385" s="214">
        <f>BG383+BG384</f>
        <v>3.230000000000004</v>
      </c>
      <c r="BI385" s="214">
        <f>BI383+BI384</f>
        <v>27.009999999999998</v>
      </c>
      <c r="BK385" s="214">
        <f>BK383+BK384</f>
        <v>46.899999999999991</v>
      </c>
      <c r="BM385" s="214">
        <f>BM383+BM384</f>
        <v>26.840000000000003</v>
      </c>
      <c r="BO385" s="214">
        <f>BO383+BO384</f>
        <v>27.5</v>
      </c>
      <c r="BQ385" s="214">
        <f>BQ383+BQ384</f>
        <v>25.269999999999996</v>
      </c>
      <c r="BS385" s="214">
        <f>BS383+BS384</f>
        <v>28.439999999999998</v>
      </c>
      <c r="BU385" s="214">
        <f>BU383+BU384</f>
        <v>37.799999999999997</v>
      </c>
      <c r="BW385" s="214">
        <f>BW383+BW384</f>
        <v>37.69</v>
      </c>
      <c r="BY385" s="214">
        <f>BY383+BY384</f>
        <v>51.930000000000007</v>
      </c>
      <c r="CA385" s="214">
        <f>CA383+CA384</f>
        <v>36.58</v>
      </c>
      <c r="CC385" s="214">
        <f>CC383+CC384</f>
        <v>41.930000000000007</v>
      </c>
      <c r="CE385" s="214">
        <f>CE383+CE384</f>
        <v>11.479999999999997</v>
      </c>
      <c r="CG385" s="214">
        <f>CG383+CG384</f>
        <v>29.36</v>
      </c>
    </row>
    <row r="386" spans="1:87">
      <c r="A386" s="231">
        <v>116</v>
      </c>
      <c r="B386" s="232">
        <v>149929043</v>
      </c>
      <c r="C386" s="213" t="s">
        <v>146</v>
      </c>
      <c r="AP386" s="214"/>
      <c r="AT386" s="214"/>
    </row>
    <row r="387" spans="1:87">
      <c r="C387" s="253" t="s">
        <v>147</v>
      </c>
      <c r="J387" s="235">
        <v>45017</v>
      </c>
      <c r="K387" s="235"/>
      <c r="L387" s="246">
        <v>45047</v>
      </c>
      <c r="M387" s="235"/>
      <c r="N387" s="235">
        <v>45078</v>
      </c>
      <c r="O387" s="235"/>
      <c r="P387" s="235">
        <v>45108</v>
      </c>
      <c r="Q387" s="235"/>
      <c r="R387" s="235">
        <v>45139</v>
      </c>
      <c r="S387" s="235"/>
      <c r="T387" s="235">
        <v>45170</v>
      </c>
      <c r="U387" s="235"/>
      <c r="V387" s="235">
        <v>45200</v>
      </c>
      <c r="W387" s="235"/>
      <c r="X387" s="235">
        <v>45231</v>
      </c>
      <c r="Y387" s="235"/>
      <c r="Z387" s="235">
        <v>45261</v>
      </c>
      <c r="AA387" s="235"/>
      <c r="AB387" s="235">
        <v>45292</v>
      </c>
      <c r="AC387" s="235"/>
      <c r="AD387" s="235">
        <v>45323</v>
      </c>
      <c r="AE387" s="235"/>
      <c r="AF387" s="235">
        <v>45352</v>
      </c>
      <c r="AH387" s="235">
        <v>45383</v>
      </c>
      <c r="AJ387" s="235">
        <v>45413</v>
      </c>
      <c r="AL387" s="235">
        <v>45444</v>
      </c>
      <c r="AN387" s="235">
        <v>45474</v>
      </c>
      <c r="AP387" s="235">
        <v>45505</v>
      </c>
      <c r="AR387" s="236">
        <v>45536</v>
      </c>
      <c r="AT387" s="236">
        <v>45566</v>
      </c>
      <c r="AV387" s="235">
        <v>45597</v>
      </c>
      <c r="AX387" s="235">
        <v>45627</v>
      </c>
      <c r="BA387" s="235">
        <v>45658</v>
      </c>
      <c r="BC387" s="235">
        <v>45689</v>
      </c>
      <c r="BE387" s="235">
        <v>45717</v>
      </c>
      <c r="BG387" s="235">
        <v>45748</v>
      </c>
      <c r="BI387" s="235">
        <v>45778</v>
      </c>
      <c r="BK387" s="235">
        <v>45809</v>
      </c>
      <c r="BM387" s="235">
        <v>45839</v>
      </c>
      <c r="BO387" s="235">
        <v>45870</v>
      </c>
      <c r="BQ387" s="235">
        <v>45901</v>
      </c>
      <c r="BS387" s="235">
        <v>45931</v>
      </c>
      <c r="BU387" s="235">
        <v>45962</v>
      </c>
      <c r="BW387" s="235">
        <v>45992</v>
      </c>
      <c r="BY387" s="235">
        <v>46023</v>
      </c>
      <c r="CA387" s="235">
        <v>46054</v>
      </c>
      <c r="CC387" s="235">
        <v>46082</v>
      </c>
      <c r="CE387" s="235">
        <v>46113</v>
      </c>
      <c r="CG387" s="235">
        <v>46143</v>
      </c>
      <c r="CI387" s="341">
        <v>46174</v>
      </c>
    </row>
    <row r="388" spans="1:87">
      <c r="C388" s="213" t="s">
        <v>7</v>
      </c>
      <c r="N388" s="237">
        <v>-27.81</v>
      </c>
      <c r="P388" s="237">
        <v>-64.7</v>
      </c>
      <c r="R388" s="237">
        <v>-71.05</v>
      </c>
      <c r="T388" s="237">
        <v>-48.2</v>
      </c>
      <c r="V388" s="237">
        <v>-51.29</v>
      </c>
      <c r="X388" s="237">
        <v>-73.959999999999994</v>
      </c>
      <c r="Z388" s="238">
        <v>-133.29</v>
      </c>
      <c r="AB388" s="238">
        <v>-42.88</v>
      </c>
      <c r="AD388" s="238">
        <v>-27.68</v>
      </c>
      <c r="AF388" s="238">
        <v>0</v>
      </c>
      <c r="AH388" s="237">
        <f>-29.09-16.12-98.78</f>
        <v>-143.99</v>
      </c>
      <c r="AJ388" s="237">
        <f>-46.39</f>
        <v>-46.39</v>
      </c>
      <c r="AL388" s="237">
        <v>-45.56</v>
      </c>
      <c r="AN388" s="237">
        <v>-48.98</v>
      </c>
      <c r="AP388" s="237">
        <v>-79.2</v>
      </c>
      <c r="AR388" s="237">
        <f>-18.57-56.38</f>
        <v>-74.95</v>
      </c>
      <c r="AT388" s="237">
        <v>-67.8</v>
      </c>
      <c r="AV388" s="237">
        <v>-136.21</v>
      </c>
      <c r="AX388" s="237">
        <v>-152.28</v>
      </c>
      <c r="BA388" s="237">
        <v>-167.39</v>
      </c>
      <c r="BC388" s="237">
        <v>-129.86000000000001</v>
      </c>
      <c r="BE388" s="237">
        <v>-118.76</v>
      </c>
      <c r="BG388" s="237">
        <v>-60.02</v>
      </c>
      <c r="BI388" s="237">
        <v>-48.17</v>
      </c>
      <c r="BK388" s="237">
        <v>-63.38</v>
      </c>
      <c r="BM388" s="237">
        <v>-110.73</v>
      </c>
      <c r="BO388" s="320">
        <v>-91.57</v>
      </c>
      <c r="BQ388" s="237">
        <v>-86.99</v>
      </c>
      <c r="BS388" s="237">
        <v>-90.98</v>
      </c>
      <c r="BU388" s="237">
        <v>-121.52</v>
      </c>
      <c r="BW388" s="237">
        <v>-173.31</v>
      </c>
      <c r="BY388" s="237">
        <v>-218.49</v>
      </c>
      <c r="CA388" s="237">
        <v>-148.13999999999999</v>
      </c>
      <c r="CC388" s="237">
        <v>-136.24</v>
      </c>
      <c r="CE388" s="237">
        <v>-65.239999999999995</v>
      </c>
      <c r="CG388" s="237">
        <v>-64.69</v>
      </c>
    </row>
    <row r="389" spans="1:87">
      <c r="C389" s="213" t="s">
        <v>8</v>
      </c>
      <c r="N389" s="214">
        <v>43.19</v>
      </c>
      <c r="O389" s="222">
        <f>ABS(((N388+N389)/N388))</f>
        <v>0.55303847536857242</v>
      </c>
      <c r="P389" s="214">
        <v>93.63</v>
      </c>
      <c r="Q389" s="222">
        <f>ABS(((P388+P389)/P388))</f>
        <v>0.44714064914992258</v>
      </c>
      <c r="R389" s="214">
        <v>95.98</v>
      </c>
      <c r="S389" s="222">
        <f>ABS(((R388+R389)/R388))</f>
        <v>0.35087966220971156</v>
      </c>
      <c r="T389" s="214">
        <v>90.06</v>
      </c>
      <c r="U389" s="222">
        <f>ABS(((T388+T389)/T388))</f>
        <v>0.86846473029045634</v>
      </c>
      <c r="V389" s="214">
        <v>87.4</v>
      </c>
      <c r="W389" s="222">
        <f>ABS(((V388+V389)/V388))</f>
        <v>0.70403587443946203</v>
      </c>
      <c r="X389" s="214">
        <v>113.24</v>
      </c>
      <c r="Z389" s="213">
        <v>178.21</v>
      </c>
      <c r="AB389" s="213">
        <v>84.87</v>
      </c>
      <c r="AD389" s="213">
        <v>45.79</v>
      </c>
      <c r="AE389" s="222">
        <f>ABS(((AD388+AD389)/AD388))</f>
        <v>0.6542630057803468</v>
      </c>
      <c r="AF389" s="213">
        <v>157.18</v>
      </c>
      <c r="AG389" s="213">
        <v>-96.85</v>
      </c>
      <c r="AH389" s="214">
        <v>107.07</v>
      </c>
      <c r="AI389" s="222">
        <f>ABS(((AH388+AH389)/AH388))</f>
        <v>0.25640669490936879</v>
      </c>
      <c r="AJ389" s="214">
        <v>88.88</v>
      </c>
      <c r="AK389" s="222">
        <f>ABS(((AJ388+AJ389)/AJ388))</f>
        <v>0.91593015736150019</v>
      </c>
      <c r="AL389" s="214">
        <v>67.16</v>
      </c>
      <c r="AM389" s="222">
        <f>ABS(((AL388+AL389)/AL388))</f>
        <v>0.47410008779631241</v>
      </c>
      <c r="AN389" s="214">
        <v>91.94</v>
      </c>
      <c r="AO389" s="222">
        <f>ABS(((AN388+AN389)/AN388))</f>
        <v>0.87709269089424258</v>
      </c>
      <c r="AP389" s="214">
        <v>126.66</v>
      </c>
      <c r="AQ389" s="222">
        <f>ABS(((AP388+AP389)/AP388))</f>
        <v>0.59924242424242413</v>
      </c>
      <c r="AR389" s="214">
        <v>118.17</v>
      </c>
      <c r="AS389" s="222">
        <f>ABS(((AR388+AR389)/AR388))</f>
        <v>0.57665110073382253</v>
      </c>
      <c r="AT389" s="214">
        <v>111.74</v>
      </c>
      <c r="AU389" s="222">
        <f>AT390/AT389</f>
        <v>0.39323429389654557</v>
      </c>
      <c r="AV389" s="214">
        <v>211.39</v>
      </c>
      <c r="AW389" s="222">
        <f>AV390/AV389</f>
        <v>0.35564596243909352</v>
      </c>
      <c r="AX389" s="214">
        <v>230.54</v>
      </c>
      <c r="AY389" s="224">
        <f>AX390/AX389</f>
        <v>0.33946386744165868</v>
      </c>
      <c r="AZ389" s="225"/>
      <c r="BA389" s="214">
        <v>213.65</v>
      </c>
      <c r="BB389" s="222">
        <f>BA390/BA389</f>
        <v>0.21652234963725728</v>
      </c>
      <c r="BC389" s="214">
        <v>174.39</v>
      </c>
      <c r="BD389" s="222">
        <f>BC390/BC389</f>
        <v>0.25534721027581841</v>
      </c>
      <c r="BE389" s="214">
        <v>160.68</v>
      </c>
      <c r="BF389" s="222">
        <f>BE390/BE389</f>
        <v>0.26089121234752305</v>
      </c>
      <c r="BG389" s="214">
        <v>97.39</v>
      </c>
      <c r="BH389" s="222">
        <f>BG390/BG389</f>
        <v>0.38371496046822051</v>
      </c>
      <c r="BI389" s="214">
        <v>84.97</v>
      </c>
      <c r="BJ389" s="222">
        <f>BI390/BI389</f>
        <v>0.43309403318818401</v>
      </c>
      <c r="BK389" s="214">
        <v>102.39</v>
      </c>
      <c r="BL389" s="222">
        <f>BK390/BK389</f>
        <v>0.3809942377185272</v>
      </c>
      <c r="BM389" s="214">
        <v>152.44</v>
      </c>
      <c r="BN389" s="222">
        <f>BM390/BM389</f>
        <v>0.27361584885856727</v>
      </c>
      <c r="BO389" s="321">
        <v>128.26</v>
      </c>
      <c r="BP389" s="222">
        <f>BO390/BO389</f>
        <v>0.28605956650553566</v>
      </c>
      <c r="BQ389" s="214">
        <v>117.52</v>
      </c>
      <c r="BR389" s="222">
        <f>BQ390/BQ389</f>
        <v>0.259785568413887</v>
      </c>
      <c r="BS389" s="214">
        <v>127</v>
      </c>
      <c r="BT389" s="222">
        <f>BS390/BS389</f>
        <v>0.28362204724409446</v>
      </c>
      <c r="BU389" s="214">
        <v>167.38</v>
      </c>
      <c r="BV389" s="222">
        <f>BU390/BU389</f>
        <v>0.27398733420958299</v>
      </c>
      <c r="BW389" s="214">
        <v>233.21</v>
      </c>
      <c r="BX389" s="222">
        <f>BW390/BW389</f>
        <v>0.25685004931177907</v>
      </c>
      <c r="BY389" s="214">
        <v>290.52</v>
      </c>
      <c r="BZ389" s="222">
        <f>BY390/BY389</f>
        <v>0.24793473771168931</v>
      </c>
      <c r="CA389" s="214">
        <v>205.21</v>
      </c>
      <c r="CB389" s="222">
        <f>CA390/CA389</f>
        <v>0.27810535548949866</v>
      </c>
      <c r="CC389" s="214">
        <v>213.54</v>
      </c>
      <c r="CD389" s="222">
        <f>CC390/CC389</f>
        <v>0.36199306921419866</v>
      </c>
      <c r="CE389" s="214">
        <v>112.22</v>
      </c>
      <c r="CF389" s="222">
        <f>CE390/CE389</f>
        <v>0.41864195330600612</v>
      </c>
      <c r="CG389" s="214">
        <v>99.18</v>
      </c>
      <c r="CH389" s="222">
        <f>CG390/CG389</f>
        <v>0.34775156281508374</v>
      </c>
    </row>
    <row r="390" spans="1:87">
      <c r="C390" s="241" t="s">
        <v>9</v>
      </c>
      <c r="J390" s="235"/>
      <c r="K390" s="235"/>
      <c r="L390" s="246"/>
      <c r="M390" s="235"/>
      <c r="N390" s="214">
        <f>SUM(N388:N389)</f>
        <v>15.379999999999999</v>
      </c>
      <c r="O390" s="235"/>
      <c r="P390" s="214">
        <f>SUM(P388:P389)</f>
        <v>28.929999999999993</v>
      </c>
      <c r="Q390" s="235"/>
      <c r="R390" s="214">
        <f>SUM(R388:R389)</f>
        <v>24.930000000000007</v>
      </c>
      <c r="S390" s="214"/>
      <c r="T390" s="214">
        <f>T388+T389</f>
        <v>41.86</v>
      </c>
      <c r="U390" s="235"/>
      <c r="V390" s="214">
        <f>V388+V389</f>
        <v>36.110000000000007</v>
      </c>
      <c r="W390" s="235"/>
      <c r="X390" s="214">
        <f>X388+X389</f>
        <v>39.28</v>
      </c>
      <c r="Y390" s="235"/>
      <c r="Z390" s="214">
        <f>Z388+Z389</f>
        <v>44.920000000000016</v>
      </c>
      <c r="AA390" s="235"/>
      <c r="AB390" s="242">
        <f>AB388+AB389</f>
        <v>41.99</v>
      </c>
      <c r="AC390" s="235"/>
      <c r="AD390" s="242">
        <f>AD388+AD389</f>
        <v>18.11</v>
      </c>
      <c r="AE390" s="235"/>
      <c r="AF390" s="242">
        <f>AF388+AF389</f>
        <v>157.18</v>
      </c>
      <c r="AH390" s="243">
        <f>AH388+AH389</f>
        <v>-36.920000000000016</v>
      </c>
      <c r="AJ390" s="243">
        <f>AJ388+AJ389</f>
        <v>42.489999999999995</v>
      </c>
      <c r="AL390" s="243">
        <f>AL388+AL389</f>
        <v>21.599999999999994</v>
      </c>
      <c r="AN390" s="243">
        <f>AN388+AN389</f>
        <v>42.96</v>
      </c>
      <c r="AP390" s="214">
        <f>AP388+AP389</f>
        <v>47.459999999999994</v>
      </c>
      <c r="AR390" s="214">
        <f>AR388+AR389</f>
        <v>43.22</v>
      </c>
      <c r="AT390" s="214">
        <f>AT388+AT389</f>
        <v>43.94</v>
      </c>
      <c r="AV390" s="214">
        <f>AV388+AV389</f>
        <v>75.179999999999978</v>
      </c>
      <c r="AX390" s="214">
        <f>AX388+AX389</f>
        <v>78.259999999999991</v>
      </c>
      <c r="BA390" s="214">
        <f>BA388+BA389</f>
        <v>46.260000000000019</v>
      </c>
      <c r="BC390" s="214">
        <f>BC388+BC389</f>
        <v>44.529999999999973</v>
      </c>
      <c r="BE390" s="214">
        <f>BE388+BE389</f>
        <v>41.92</v>
      </c>
      <c r="BG390" s="214">
        <f>BG388+BG389</f>
        <v>37.369999999999997</v>
      </c>
      <c r="BI390" s="214">
        <f>BI388+BI389</f>
        <v>36.799999999999997</v>
      </c>
      <c r="BK390" s="214">
        <f>BK388+BK389</f>
        <v>39.01</v>
      </c>
      <c r="BM390" s="214">
        <f>BM388+BM389</f>
        <v>41.709999999999994</v>
      </c>
      <c r="BO390" s="214">
        <f>BO388+BO389</f>
        <v>36.69</v>
      </c>
      <c r="BQ390" s="214">
        <f>BQ388+BQ389</f>
        <v>30.53</v>
      </c>
      <c r="BS390" s="214">
        <f>BS388+BS389</f>
        <v>36.019999999999996</v>
      </c>
      <c r="BU390" s="214">
        <f>BU388+BU389</f>
        <v>45.86</v>
      </c>
      <c r="BW390" s="214">
        <f>BW388+BW389</f>
        <v>59.900000000000006</v>
      </c>
      <c r="BY390" s="214">
        <f>BY388+BY389</f>
        <v>72.029999999999973</v>
      </c>
      <c r="CA390" s="214">
        <f>CA388+CA389</f>
        <v>57.070000000000022</v>
      </c>
      <c r="CC390" s="214">
        <f>CC388+CC389</f>
        <v>77.299999999999983</v>
      </c>
      <c r="CE390" s="214">
        <f>CE388+CE389</f>
        <v>46.980000000000004</v>
      </c>
      <c r="CG390" s="214">
        <f>CG388+CG389</f>
        <v>34.490000000000009</v>
      </c>
    </row>
    <row r="391" spans="1:87">
      <c r="A391" s="211">
        <v>117</v>
      </c>
      <c r="B391" s="232">
        <v>127552625</v>
      </c>
      <c r="C391" s="213" t="s">
        <v>148</v>
      </c>
      <c r="I391" s="235"/>
      <c r="N391" s="235"/>
      <c r="X391" s="214"/>
      <c r="AP391" s="214"/>
      <c r="AT391" s="214"/>
    </row>
    <row r="392" spans="1:87">
      <c r="C392" s="253" t="s">
        <v>149</v>
      </c>
      <c r="F392" s="246">
        <v>44958</v>
      </c>
      <c r="H392" s="246">
        <v>44986</v>
      </c>
      <c r="I392" s="235"/>
      <c r="J392" s="235">
        <v>45017</v>
      </c>
      <c r="K392" s="235"/>
      <c r="L392" s="246">
        <v>45047</v>
      </c>
      <c r="M392" s="235"/>
      <c r="N392" s="235">
        <v>45078</v>
      </c>
      <c r="O392" s="235"/>
      <c r="P392" s="235">
        <v>45108</v>
      </c>
      <c r="Q392" s="235"/>
      <c r="R392" s="235">
        <v>45139</v>
      </c>
      <c r="S392" s="235"/>
      <c r="T392" s="235">
        <v>45170</v>
      </c>
      <c r="U392" s="235"/>
      <c r="V392" s="235">
        <v>45200</v>
      </c>
      <c r="W392" s="235"/>
      <c r="X392" s="235">
        <v>45231</v>
      </c>
      <c r="Y392" s="235"/>
      <c r="Z392" s="235">
        <v>45261</v>
      </c>
      <c r="AA392" s="235"/>
      <c r="AB392" s="235">
        <v>45292</v>
      </c>
      <c r="AC392" s="235"/>
      <c r="AD392" s="235">
        <v>45323</v>
      </c>
      <c r="AE392" s="235"/>
      <c r="AF392" s="235">
        <v>45352</v>
      </c>
      <c r="AH392" s="235">
        <v>45383</v>
      </c>
      <c r="AJ392" s="235">
        <v>45413</v>
      </c>
      <c r="AL392" s="235">
        <v>45444</v>
      </c>
      <c r="AN392" s="235">
        <v>45474</v>
      </c>
      <c r="AP392" s="235">
        <v>45505</v>
      </c>
      <c r="AR392" s="236">
        <v>45536</v>
      </c>
      <c r="AT392" s="236">
        <v>45566</v>
      </c>
      <c r="AV392" s="235">
        <v>45597</v>
      </c>
      <c r="AX392" s="235">
        <v>45627</v>
      </c>
      <c r="BA392" s="235">
        <v>45658</v>
      </c>
      <c r="BC392" s="235">
        <v>45689</v>
      </c>
      <c r="BE392" s="235">
        <v>45717</v>
      </c>
      <c r="BG392" s="235">
        <v>45748</v>
      </c>
      <c r="BI392" s="235">
        <v>45778</v>
      </c>
      <c r="BK392" s="235">
        <v>45809</v>
      </c>
      <c r="BM392" s="235">
        <v>45839</v>
      </c>
      <c r="BO392" s="235">
        <v>45870</v>
      </c>
      <c r="BQ392" s="235">
        <v>45901</v>
      </c>
      <c r="BS392" s="235">
        <v>45931</v>
      </c>
      <c r="BU392" s="235">
        <v>45962</v>
      </c>
      <c r="BW392" s="235">
        <v>45992</v>
      </c>
      <c r="BY392" s="235">
        <v>46023</v>
      </c>
      <c r="CA392" s="235">
        <v>46054</v>
      </c>
      <c r="CC392" s="235">
        <v>46082</v>
      </c>
      <c r="CE392" s="235">
        <v>46113</v>
      </c>
      <c r="CG392" s="235">
        <v>46143</v>
      </c>
      <c r="CI392" s="341">
        <v>46174</v>
      </c>
    </row>
    <row r="393" spans="1:87">
      <c r="C393" s="213" t="s">
        <v>7</v>
      </c>
      <c r="F393" s="246"/>
      <c r="H393" s="246"/>
      <c r="I393" s="235"/>
      <c r="N393" s="238">
        <v>-86.62</v>
      </c>
      <c r="P393" s="237">
        <v>-62.88</v>
      </c>
      <c r="R393" s="237">
        <f>-1025.35-151.5</f>
        <v>-1176.8499999999999</v>
      </c>
      <c r="T393" s="237">
        <v>-414.22</v>
      </c>
      <c r="V393" s="244">
        <v>-501.63</v>
      </c>
      <c r="X393" s="237">
        <v>-505.73</v>
      </c>
      <c r="Z393" s="238">
        <v>-493.28</v>
      </c>
      <c r="AB393" s="258">
        <f>-413.23-108.3</f>
        <v>-521.53</v>
      </c>
      <c r="AD393" s="237">
        <f>-433.26-15.68</f>
        <v>-448.94</v>
      </c>
      <c r="AF393" s="237">
        <f>-94.02-140.56</f>
        <v>-234.57999999999998</v>
      </c>
      <c r="AH393" s="237">
        <f>-361.47-17.34-97.98-80.39</f>
        <v>-557.18000000000006</v>
      </c>
      <c r="AJ393" s="237">
        <f>-87.7-424.53</f>
        <v>-512.23</v>
      </c>
      <c r="AL393" s="237">
        <f>-403.5-139.3</f>
        <v>-542.79999999999995</v>
      </c>
      <c r="AN393" s="237">
        <f>-477.68-140.21</f>
        <v>-617.89</v>
      </c>
      <c r="AP393" s="237">
        <f>-520.66-90.8</f>
        <v>-611.45999999999992</v>
      </c>
      <c r="AR393" s="237">
        <f>-17.28-417.59-99.48</f>
        <v>-534.35</v>
      </c>
      <c r="AT393" s="237">
        <f>-111.58-397.88</f>
        <v>-509.46</v>
      </c>
      <c r="AV393" s="237">
        <f>-382.43-97.26</f>
        <v>-479.69</v>
      </c>
      <c r="AX393" s="237">
        <f>-388.97-115.78</f>
        <v>-504.75</v>
      </c>
      <c r="BA393" s="237">
        <f>-429.89-91.7</f>
        <v>-521.59</v>
      </c>
      <c r="BC393" s="237">
        <f>-440.3-61.48</f>
        <v>-501.78000000000003</v>
      </c>
      <c r="BE393" s="237">
        <f>-5.3-110.7-353.53</f>
        <v>-469.53</v>
      </c>
      <c r="BG393" s="237">
        <f>-406.02-118.64</f>
        <v>-524.66</v>
      </c>
      <c r="BI393" s="237">
        <f>-341.2-27.84</f>
        <v>-369.03999999999996</v>
      </c>
      <c r="BK393" s="237">
        <f>-80.09-18.9</f>
        <v>-98.990000000000009</v>
      </c>
      <c r="BM393" s="237">
        <f>-67.53-16.2-77.4</f>
        <v>-161.13</v>
      </c>
      <c r="BO393" s="320">
        <f>-70.23-13.5-399.9</f>
        <v>-483.63</v>
      </c>
      <c r="BQ393" s="237">
        <f>-13.51-64.31-402.24-94.32</f>
        <v>-574.38</v>
      </c>
      <c r="BS393" s="237">
        <f>-408.79-78.35</f>
        <v>-487.14</v>
      </c>
      <c r="BU393" s="237">
        <f>-360.32-95.34</f>
        <v>-455.65999999999997</v>
      </c>
      <c r="BW393" s="237">
        <f>-299.5-119.97</f>
        <v>-419.47</v>
      </c>
      <c r="BY393" s="237">
        <f>-346.55-68.45</f>
        <v>-415</v>
      </c>
      <c r="CA393" s="237">
        <f>-301.19-78.84</f>
        <v>-380.03</v>
      </c>
      <c r="CC393" s="237">
        <f>-328.42-83.82</f>
        <v>-412.24</v>
      </c>
      <c r="CE393" s="237">
        <f>-307.35-118.24</f>
        <v>-425.59000000000003</v>
      </c>
      <c r="CG393" s="237">
        <v>-354.62</v>
      </c>
    </row>
    <row r="394" spans="1:87">
      <c r="C394" s="213" t="s">
        <v>8</v>
      </c>
      <c r="F394" s="246"/>
      <c r="H394" s="246"/>
      <c r="I394" s="235"/>
      <c r="N394" s="213">
        <v>0</v>
      </c>
      <c r="P394" s="214">
        <v>990.92</v>
      </c>
      <c r="Q394" s="222">
        <f>ABS(((P393+P394)/P393))</f>
        <v>14.758905852417302</v>
      </c>
      <c r="R394" s="214">
        <f>817.33+977.48</f>
        <v>1794.81</v>
      </c>
      <c r="S394" s="222">
        <f>ABS(((R393+R394)/R393))</f>
        <v>0.52509665632833413</v>
      </c>
      <c r="T394" s="214">
        <v>864.66</v>
      </c>
      <c r="U394" s="222">
        <f>ABS(((T393+T394)/T393))</f>
        <v>1.0874414562309882</v>
      </c>
      <c r="V394" s="240">
        <v>699.84</v>
      </c>
      <c r="W394" s="222">
        <f>ABS(((V393+V394)/V393))</f>
        <v>0.39513187010346279</v>
      </c>
      <c r="X394" s="214">
        <v>644.16999999999996</v>
      </c>
      <c r="Y394" s="222">
        <f>ABS(((X393+X394)/X393))</f>
        <v>0.2737429062938721</v>
      </c>
      <c r="Z394" s="213">
        <v>689.65</v>
      </c>
      <c r="AA394" s="222">
        <f>ABS(((Z393+Z394)/Z393))</f>
        <v>0.39809033409017192</v>
      </c>
      <c r="AB394" s="213">
        <v>717.98</v>
      </c>
      <c r="AC394" s="222">
        <f>ABS(((AB393+AB394)/AB393))</f>
        <v>0.3766801526278451</v>
      </c>
      <c r="AD394" s="214">
        <v>599.83000000000004</v>
      </c>
      <c r="AE394" s="222">
        <f>ABS(((AD393+AD394)/AD393))</f>
        <v>0.33610281997594343</v>
      </c>
      <c r="AF394" s="213">
        <v>721.11</v>
      </c>
      <c r="AG394" s="222">
        <f>ABS(((AF393+AF394)/AF393))</f>
        <v>2.0740472333532272</v>
      </c>
      <c r="AH394" s="214">
        <v>754.2</v>
      </c>
      <c r="AI394" s="222">
        <f>ABS(((AH393+AH394)/AH393))</f>
        <v>0.35360206755447066</v>
      </c>
      <c r="AJ394" s="214">
        <v>619.58000000000004</v>
      </c>
      <c r="AK394" s="222">
        <f>ABS(((AJ393+AJ394)/AJ393))</f>
        <v>0.20957382425863386</v>
      </c>
      <c r="AL394" s="214">
        <v>647.33000000000004</v>
      </c>
      <c r="AM394" s="222">
        <f>ABS(((AL393+AL394)/AL393))</f>
        <v>0.1925755342667651</v>
      </c>
      <c r="AN394" s="214">
        <v>738.36</v>
      </c>
      <c r="AO394" s="222">
        <f>ABS(((AN393+AN394)/AN393))</f>
        <v>0.19496997847513317</v>
      </c>
      <c r="AP394" s="214">
        <v>754.42</v>
      </c>
      <c r="AQ394" s="222">
        <f>ABS(((AP393+AP394)/AP393))</f>
        <v>0.23380106630033046</v>
      </c>
      <c r="AR394" s="214">
        <v>757.63</v>
      </c>
      <c r="AS394" s="222">
        <f>ABS(((AR393+AR394)/AR393))</f>
        <v>0.41785346682885743</v>
      </c>
      <c r="AT394" s="214">
        <v>614.82000000000005</v>
      </c>
      <c r="AU394" s="222">
        <f>AT395/AT394</f>
        <v>0.17136722943300489</v>
      </c>
      <c r="AV394" s="214">
        <v>588.30999999999995</v>
      </c>
      <c r="AW394" s="222">
        <f>AV395/AV394</f>
        <v>0.1846305519199061</v>
      </c>
      <c r="AX394" s="214">
        <v>586.33000000000004</v>
      </c>
      <c r="AY394" s="224">
        <f>AX395/AX394</f>
        <v>0.13913666365357399</v>
      </c>
      <c r="AZ394" s="225"/>
      <c r="BA394" s="214">
        <v>645.20000000000005</v>
      </c>
      <c r="BB394" s="222">
        <f>BA395/BA394</f>
        <v>0.19158400495970243</v>
      </c>
      <c r="BC394" s="214">
        <v>593.09</v>
      </c>
      <c r="BD394" s="222">
        <f>BC395/BC394</f>
        <v>0.15395639784855586</v>
      </c>
      <c r="BE394" s="214">
        <v>635.32000000000005</v>
      </c>
      <c r="BF394" s="222">
        <f>BE395/BE394</f>
        <v>0.26095510923629045</v>
      </c>
      <c r="BG394" s="214">
        <v>653.80999999999995</v>
      </c>
      <c r="BH394" s="222">
        <f>BG395/BG394</f>
        <v>0.19753445190498767</v>
      </c>
      <c r="BI394" s="214">
        <v>646.54999999999995</v>
      </c>
      <c r="BJ394" s="222">
        <f>BI395/BI394</f>
        <v>0.42921661124429666</v>
      </c>
      <c r="BK394" s="214">
        <v>675.7</v>
      </c>
      <c r="BL394" s="222">
        <f>BK395/BK394</f>
        <v>0.85350007399733607</v>
      </c>
      <c r="BM394" s="214">
        <v>695.59</v>
      </c>
      <c r="BN394" s="222">
        <f>BM395/BM394</f>
        <v>0.76835492172112885</v>
      </c>
      <c r="BO394" s="321">
        <v>773.5</v>
      </c>
      <c r="BP394" s="222">
        <f>BO395/BO394</f>
        <v>0.37475113122171944</v>
      </c>
      <c r="BQ394" s="214">
        <v>634.58000000000004</v>
      </c>
      <c r="BR394" s="222">
        <f>BQ395/BQ394</f>
        <v>9.4865895552964236E-2</v>
      </c>
      <c r="BS394" s="214">
        <v>585.5</v>
      </c>
      <c r="BT394" s="222">
        <f>BS395/BS394</f>
        <v>0.16799316823228014</v>
      </c>
      <c r="BU394" s="214">
        <v>545.25</v>
      </c>
      <c r="BV394" s="222">
        <f>BU395/BU394</f>
        <v>0.16430994956442005</v>
      </c>
      <c r="BW394" s="214">
        <v>539.67999999999995</v>
      </c>
      <c r="BX394" s="222">
        <f>BW395/BW394</f>
        <v>0.22274310702638589</v>
      </c>
      <c r="BY394" s="214">
        <v>528.14</v>
      </c>
      <c r="BZ394" s="222">
        <f>BY395/BY394</f>
        <v>0.21422350134434048</v>
      </c>
      <c r="CA394" s="214">
        <v>548.53</v>
      </c>
      <c r="CB394" s="222">
        <f>CA395/CA394</f>
        <v>0.30718465717463039</v>
      </c>
      <c r="CC394" s="214">
        <v>478.11</v>
      </c>
      <c r="CD394" s="222">
        <f>CC395/CC394</f>
        <v>0.13777164250904603</v>
      </c>
      <c r="CE394" s="214">
        <v>524.21</v>
      </c>
      <c r="CF394" s="222">
        <f>CE395/CE394</f>
        <v>0.1881307109746094</v>
      </c>
      <c r="CG394" s="214">
        <v>620.70000000000005</v>
      </c>
      <c r="CH394" s="222">
        <f>CG395/CG394</f>
        <v>0.42867729982278074</v>
      </c>
    </row>
    <row r="395" spans="1:87">
      <c r="C395" s="241" t="s">
        <v>9</v>
      </c>
      <c r="F395" s="246"/>
      <c r="H395" s="246"/>
      <c r="I395" s="235"/>
      <c r="P395" s="214">
        <f>SUM(P393:P394)</f>
        <v>928.04</v>
      </c>
      <c r="R395" s="214">
        <f>SUM(R393:R394)</f>
        <v>617.96</v>
      </c>
      <c r="S395" s="214"/>
      <c r="T395" s="214">
        <f>T393+T394</f>
        <v>450.43999999999994</v>
      </c>
      <c r="V395" s="240">
        <f>V393+V394</f>
        <v>198.21000000000004</v>
      </c>
      <c r="X395" s="214">
        <f>X393+X394</f>
        <v>138.43999999999994</v>
      </c>
      <c r="Z395" s="214">
        <f>Z393+Z394</f>
        <v>196.37</v>
      </c>
      <c r="AB395" s="243">
        <f>AB393+AB394</f>
        <v>196.45000000000005</v>
      </c>
      <c r="AD395" s="243">
        <f>AD393+AD394</f>
        <v>150.89000000000004</v>
      </c>
      <c r="AF395" s="243">
        <f>AF393+AF394</f>
        <v>486.53000000000003</v>
      </c>
      <c r="AH395" s="243">
        <f>AH393+AH394</f>
        <v>197.01999999999998</v>
      </c>
      <c r="AJ395" s="243">
        <f>AJ393+AJ394</f>
        <v>107.35000000000002</v>
      </c>
      <c r="AL395" s="243">
        <f>AL393+AL394</f>
        <v>104.53000000000009</v>
      </c>
      <c r="AN395" s="243">
        <f>AN393+AN394</f>
        <v>120.47000000000003</v>
      </c>
      <c r="AP395" s="214">
        <f>AP393+AP394</f>
        <v>142.96000000000004</v>
      </c>
      <c r="AR395" s="214">
        <f>AR393+AR394</f>
        <v>223.27999999999997</v>
      </c>
      <c r="AT395" s="214">
        <f>AT393+AT394</f>
        <v>105.36000000000007</v>
      </c>
      <c r="AV395" s="214">
        <f>AV393+AV394</f>
        <v>108.61999999999995</v>
      </c>
      <c r="AX395" s="214">
        <f>AX393+AX394</f>
        <v>81.580000000000041</v>
      </c>
      <c r="BA395" s="214">
        <f>BA393+BA394</f>
        <v>123.61000000000001</v>
      </c>
      <c r="BC395" s="214">
        <f>BC393+BC394</f>
        <v>91.31</v>
      </c>
      <c r="BE395" s="214">
        <f>BE393+BE394</f>
        <v>165.79000000000008</v>
      </c>
      <c r="BG395" s="214">
        <f>BG393+BG394</f>
        <v>129.14999999999998</v>
      </c>
      <c r="BI395" s="214">
        <f>BI393+BI394</f>
        <v>277.51</v>
      </c>
      <c r="BK395" s="214">
        <f>BK393+BK394</f>
        <v>576.71</v>
      </c>
      <c r="BM395" s="214">
        <f>BM393+BM394</f>
        <v>534.46</v>
      </c>
      <c r="BO395" s="214">
        <f>BO393+BO394</f>
        <v>289.87</v>
      </c>
      <c r="BQ395" s="214">
        <f>BQ393+BQ394</f>
        <v>60.200000000000045</v>
      </c>
      <c r="BS395" s="214">
        <f>BS393+BS394</f>
        <v>98.360000000000014</v>
      </c>
      <c r="BU395" s="214">
        <f>BU393+BU394</f>
        <v>89.590000000000032</v>
      </c>
      <c r="BW395" s="214">
        <f>BW393+BW394</f>
        <v>120.20999999999992</v>
      </c>
      <c r="BY395" s="214">
        <f>BY393+BY394</f>
        <v>113.13999999999999</v>
      </c>
      <c r="CA395" s="214">
        <f>CA393+CA394</f>
        <v>168.5</v>
      </c>
      <c r="CC395" s="214">
        <f>CC393+CC394</f>
        <v>65.87</v>
      </c>
      <c r="CE395" s="214">
        <f>CE393+CE394</f>
        <v>98.62</v>
      </c>
      <c r="CG395" s="214">
        <f>CG393+CG394</f>
        <v>266.08000000000004</v>
      </c>
    </row>
    <row r="396" spans="1:87">
      <c r="A396" s="231">
        <v>120</v>
      </c>
      <c r="B396" s="232">
        <v>108120697</v>
      </c>
      <c r="C396" s="213" t="s">
        <v>150</v>
      </c>
      <c r="N396" s="214"/>
      <c r="AP396" s="214"/>
      <c r="AT396" s="214"/>
    </row>
    <row r="397" spans="1:87">
      <c r="C397" s="253" t="s">
        <v>601</v>
      </c>
      <c r="J397" s="235">
        <v>45017</v>
      </c>
      <c r="K397" s="235"/>
      <c r="L397" s="246">
        <v>45047</v>
      </c>
      <c r="M397" s="235"/>
      <c r="N397" s="235">
        <v>45078</v>
      </c>
      <c r="O397" s="235"/>
      <c r="P397" s="235">
        <v>45108</v>
      </c>
      <c r="Q397" s="235"/>
      <c r="R397" s="235">
        <v>45139</v>
      </c>
      <c r="S397" s="235"/>
      <c r="T397" s="235">
        <v>45170</v>
      </c>
      <c r="U397" s="235"/>
      <c r="V397" s="235">
        <v>45200</v>
      </c>
      <c r="W397" s="235"/>
      <c r="X397" s="235">
        <v>45231</v>
      </c>
      <c r="Y397" s="235"/>
      <c r="Z397" s="235">
        <v>45261</v>
      </c>
      <c r="AA397" s="235"/>
      <c r="AB397" s="235">
        <v>45292</v>
      </c>
      <c r="AC397" s="235"/>
      <c r="AD397" s="235">
        <v>45323</v>
      </c>
      <c r="AE397" s="235"/>
      <c r="AF397" s="235">
        <v>45352</v>
      </c>
      <c r="AH397" s="235">
        <v>45383</v>
      </c>
      <c r="AJ397" s="235">
        <v>45413</v>
      </c>
      <c r="AL397" s="235">
        <v>45444</v>
      </c>
      <c r="AN397" s="235">
        <v>45474</v>
      </c>
      <c r="AP397" s="235">
        <v>45505</v>
      </c>
      <c r="AR397" s="236">
        <v>45536</v>
      </c>
      <c r="AT397" s="236">
        <v>45566</v>
      </c>
      <c r="AV397" s="235">
        <v>45597</v>
      </c>
      <c r="AX397" s="235">
        <v>45627</v>
      </c>
      <c r="BA397" s="235">
        <v>45658</v>
      </c>
      <c r="BC397" s="235">
        <v>45689</v>
      </c>
      <c r="BE397" s="235">
        <v>45717</v>
      </c>
      <c r="BG397" s="235">
        <v>45748</v>
      </c>
      <c r="BI397" s="235">
        <v>45778</v>
      </c>
      <c r="BK397" s="235">
        <v>45809</v>
      </c>
      <c r="BM397" s="235">
        <v>45839</v>
      </c>
      <c r="BO397" s="235">
        <v>45870</v>
      </c>
      <c r="BQ397" s="235">
        <v>45901</v>
      </c>
      <c r="BS397" s="235">
        <v>45931</v>
      </c>
      <c r="BU397" s="235">
        <v>45962</v>
      </c>
      <c r="BW397" s="235">
        <v>45992</v>
      </c>
      <c r="BY397" s="235">
        <v>46023</v>
      </c>
      <c r="CA397" s="235">
        <v>46054</v>
      </c>
      <c r="CC397" s="235">
        <v>46082</v>
      </c>
      <c r="CE397" s="235">
        <v>46113</v>
      </c>
      <c r="CG397" s="235">
        <v>46143</v>
      </c>
      <c r="CI397" s="341">
        <v>46174</v>
      </c>
    </row>
    <row r="398" spans="1:87">
      <c r="C398" s="213" t="s">
        <v>7</v>
      </c>
      <c r="N398" s="237">
        <v>-80.38</v>
      </c>
      <c r="P398" s="237">
        <v>-100.1</v>
      </c>
      <c r="R398" s="237">
        <v>-130.77000000000001</v>
      </c>
      <c r="T398" s="237">
        <v>-59.87</v>
      </c>
      <c r="V398" s="237">
        <v>-60.33</v>
      </c>
      <c r="X398" s="237">
        <v>-39.44</v>
      </c>
      <c r="Z398" s="238">
        <v>-76.19</v>
      </c>
      <c r="AB398" s="238">
        <v>-91.47</v>
      </c>
      <c r="AD398" s="237">
        <v>-68.790000000000006</v>
      </c>
      <c r="AF398" s="237">
        <v>-60</v>
      </c>
      <c r="AH398" s="237">
        <f>-36.08-14.1</f>
        <v>-50.18</v>
      </c>
      <c r="AJ398" s="237">
        <v>-42.91</v>
      </c>
      <c r="AL398" s="237">
        <v>-50.87</v>
      </c>
      <c r="AN398" s="237">
        <v>-212.98</v>
      </c>
      <c r="AP398" s="237">
        <v>-256.93</v>
      </c>
      <c r="AR398" s="237">
        <f>-94.51-21.93</f>
        <v>-116.44</v>
      </c>
      <c r="AT398" s="237">
        <v>-59.83</v>
      </c>
      <c r="AV398" s="237">
        <v>-46.11</v>
      </c>
      <c r="AX398" s="237">
        <v>-77.42</v>
      </c>
      <c r="BA398" s="237">
        <v>-86.27</v>
      </c>
      <c r="BC398" s="237">
        <v>-97.91</v>
      </c>
      <c r="BE398" s="237">
        <v>-110.68</v>
      </c>
      <c r="BG398" s="237">
        <v>-59.13</v>
      </c>
      <c r="BI398" s="237">
        <v>-72.62</v>
      </c>
      <c r="BK398" s="237">
        <v>-187.4</v>
      </c>
      <c r="BM398" s="237">
        <v>-221.35</v>
      </c>
      <c r="BO398" s="320">
        <v>-242.22</v>
      </c>
      <c r="BQ398" s="237">
        <v>-175.58</v>
      </c>
      <c r="BS398" s="237">
        <v>-84.85</v>
      </c>
      <c r="BU398" s="237">
        <v>-55.1</v>
      </c>
      <c r="BW398" s="237">
        <v>-91.4</v>
      </c>
      <c r="BY398" s="237">
        <v>-66.97</v>
      </c>
      <c r="CA398" s="237">
        <v>-45.79</v>
      </c>
      <c r="CC398" s="237">
        <v>-53.54</v>
      </c>
      <c r="CE398" s="237">
        <v>-42.46</v>
      </c>
      <c r="CG398" s="237">
        <v>-101.01</v>
      </c>
    </row>
    <row r="399" spans="1:87">
      <c r="C399" s="213" t="s">
        <v>8</v>
      </c>
      <c r="N399" s="214">
        <v>111.21</v>
      </c>
      <c r="O399" s="222">
        <f>ABS(((N398+N399)/N398))</f>
        <v>0.38355312266733016</v>
      </c>
      <c r="P399" s="214">
        <v>115.78</v>
      </c>
      <c r="Q399" s="222">
        <f>ABS(((P398+P399)/P398))</f>
        <v>0.15664335664335671</v>
      </c>
      <c r="R399" s="214">
        <v>157.29</v>
      </c>
      <c r="S399" s="222">
        <f>ABS(((R398+R399)/R398))</f>
        <v>0.20279880706584064</v>
      </c>
      <c r="T399" s="214">
        <v>103.3</v>
      </c>
      <c r="U399" s="301">
        <v>0.36499999999999999</v>
      </c>
      <c r="V399" s="214">
        <v>99.37</v>
      </c>
      <c r="W399" s="301">
        <v>1.143</v>
      </c>
      <c r="X399" s="214">
        <v>69.08</v>
      </c>
      <c r="Y399" s="222">
        <f>ABS(((X398+X399)/X398))</f>
        <v>0.75152129817444224</v>
      </c>
      <c r="Z399" s="213">
        <v>110.41</v>
      </c>
      <c r="AA399" s="222">
        <f>ABS(((Z398+Z399)/Z398))</f>
        <v>0.44914030712691955</v>
      </c>
      <c r="AB399" s="213">
        <v>137.22</v>
      </c>
      <c r="AC399" s="222">
        <f>ABS(((AB398+AB399)/AB398))</f>
        <v>0.50016398819285013</v>
      </c>
      <c r="AD399" s="213">
        <v>113.01</v>
      </c>
      <c r="AE399" s="222">
        <f>ABS(((AD398+AD399)/AD398))</f>
        <v>0.64282599215002179</v>
      </c>
      <c r="AF399" s="213">
        <v>112.17</v>
      </c>
      <c r="AG399" s="222">
        <f>ABS(((AF398+AF399)/AF398))</f>
        <v>0.86950000000000005</v>
      </c>
      <c r="AH399" s="214">
        <v>102.13</v>
      </c>
      <c r="AI399" s="222">
        <f>ABS(((AH398+AH399)/AH398))</f>
        <v>1.035273017138302</v>
      </c>
      <c r="AJ399" s="214">
        <v>69.069999999999993</v>
      </c>
      <c r="AK399" s="222">
        <v>0</v>
      </c>
      <c r="AL399" s="214">
        <v>80.14</v>
      </c>
      <c r="AM399" s="222">
        <f>ABS(((AL398+AL399)/AL398))</f>
        <v>0.57538824454491855</v>
      </c>
      <c r="AN399" s="214">
        <v>246.38</v>
      </c>
      <c r="AO399" s="222">
        <f>ABS(((AN398+AN399)/AN398))</f>
        <v>0.1568222368297493</v>
      </c>
      <c r="AP399" s="214">
        <v>288.26</v>
      </c>
      <c r="AQ399" s="222">
        <f>ABS(((AP398+AP399)/AP398))</f>
        <v>0.12193982796870736</v>
      </c>
      <c r="AR399" s="214">
        <v>151.27000000000001</v>
      </c>
      <c r="AS399" s="222">
        <f>ABS(((AR398+AR399)/AR398))</f>
        <v>0.29912401236688435</v>
      </c>
      <c r="AT399" s="214">
        <v>88.34</v>
      </c>
      <c r="AU399" s="222">
        <f>AT400/AT399</f>
        <v>0.32273035997283228</v>
      </c>
      <c r="AV399" s="214">
        <v>67.03</v>
      </c>
      <c r="AW399" s="222">
        <f>AV400/AV399</f>
        <v>0.31209906012233329</v>
      </c>
      <c r="AX399" s="214">
        <v>101.85</v>
      </c>
      <c r="AY399" s="224">
        <f>AX400/AX399</f>
        <v>0.23986254295532641</v>
      </c>
      <c r="AZ399" s="225"/>
      <c r="BA399" s="214">
        <v>105.13</v>
      </c>
      <c r="BB399" s="222">
        <f>BA400/BA399</f>
        <v>0.1793969371254637</v>
      </c>
      <c r="BC399" s="214">
        <v>122.56</v>
      </c>
      <c r="BD399" s="222">
        <f>BC400/BC399</f>
        <v>0.20112597911227159</v>
      </c>
      <c r="BE399" s="214">
        <v>135.28</v>
      </c>
      <c r="BF399" s="222">
        <f>BE400/BE399</f>
        <v>0.18184506209343579</v>
      </c>
      <c r="BG399" s="214">
        <v>80.7</v>
      </c>
      <c r="BH399" s="222">
        <f>BG400/BG399</f>
        <v>0.26728624535315987</v>
      </c>
      <c r="BI399" s="214">
        <v>84.12</v>
      </c>
      <c r="BJ399" s="222">
        <f>BI400/BI399</f>
        <v>0.1367094626723728</v>
      </c>
      <c r="BK399" s="214">
        <v>211.73</v>
      </c>
      <c r="BL399" s="222">
        <f>BK400/BK399</f>
        <v>0.11491049922070555</v>
      </c>
      <c r="BM399" s="214">
        <v>259.39999999999998</v>
      </c>
      <c r="BN399" s="222">
        <f>BM400/BM399</f>
        <v>0.14668465690053967</v>
      </c>
      <c r="BO399" s="321">
        <v>274.17</v>
      </c>
      <c r="BP399" s="222">
        <f>BO400/BO399</f>
        <v>0.11653353758616922</v>
      </c>
      <c r="BQ399" s="214">
        <v>200.65</v>
      </c>
      <c r="BR399" s="222">
        <f>BQ400/BQ399</f>
        <v>0.12494393222028403</v>
      </c>
      <c r="BS399" s="214">
        <v>107.5</v>
      </c>
      <c r="BT399" s="222">
        <f>BS400/BS399</f>
        <v>0.21069767441860471</v>
      </c>
      <c r="BU399" s="214">
        <v>64.239999999999995</v>
      </c>
      <c r="BV399" s="222">
        <f>BU400/BU399</f>
        <v>0.14227895392278944</v>
      </c>
      <c r="BW399" s="214">
        <v>113.9</v>
      </c>
      <c r="BX399" s="222">
        <f>BW400/BW399</f>
        <v>0.19754170324846357</v>
      </c>
      <c r="BY399" s="214">
        <v>82.44</v>
      </c>
      <c r="BZ399" s="222">
        <f>BY400/BY399</f>
        <v>0.18765162542455119</v>
      </c>
      <c r="CA399" s="214">
        <v>62.54</v>
      </c>
      <c r="CB399" s="222">
        <f>CA400/CA399</f>
        <v>0.26782858970259033</v>
      </c>
      <c r="CC399" s="214">
        <v>78.59</v>
      </c>
      <c r="CD399" s="222">
        <f>CC400/CC399</f>
        <v>0.31874284260083985</v>
      </c>
      <c r="CE399" s="214">
        <v>65.64</v>
      </c>
      <c r="CF399" s="222">
        <f>CE400/CE399</f>
        <v>0.35313833028641073</v>
      </c>
      <c r="CG399" s="214">
        <v>130.04</v>
      </c>
      <c r="CH399" s="222">
        <f>CG400/CG399</f>
        <v>0.22323900338357419</v>
      </c>
    </row>
    <row r="400" spans="1:87">
      <c r="C400" s="241" t="s">
        <v>9</v>
      </c>
      <c r="N400" s="214">
        <f>SUM(N398:N399)</f>
        <v>30.83</v>
      </c>
      <c r="P400" s="214">
        <f>SUM(P398:P399)</f>
        <v>15.680000000000007</v>
      </c>
      <c r="R400" s="214">
        <f>SUM(R398:R399)</f>
        <v>26.519999999999982</v>
      </c>
      <c r="S400" s="214"/>
      <c r="T400" s="214">
        <f>T398+T399</f>
        <v>43.43</v>
      </c>
      <c r="V400" s="214">
        <f>V398+V399</f>
        <v>39.040000000000006</v>
      </c>
      <c r="X400" s="214">
        <f>X398+X399</f>
        <v>29.64</v>
      </c>
      <c r="Z400" s="214">
        <f>Z398+Z399</f>
        <v>34.22</v>
      </c>
      <c r="AB400" s="242">
        <f>AB398+AB399</f>
        <v>45.75</v>
      </c>
      <c r="AD400" s="242">
        <f>AD398+AD399</f>
        <v>44.22</v>
      </c>
      <c r="AF400" s="242">
        <f>AF398+AF399</f>
        <v>52.17</v>
      </c>
      <c r="AH400" s="243">
        <f>AH398+AH399</f>
        <v>51.949999999999996</v>
      </c>
      <c r="AJ400" s="243">
        <f>AJ398+AJ399</f>
        <v>26.159999999999997</v>
      </c>
      <c r="AL400" s="243">
        <f>AL398+AL399</f>
        <v>29.270000000000003</v>
      </c>
      <c r="AN400" s="243">
        <f>AN398+AN399</f>
        <v>33.400000000000006</v>
      </c>
      <c r="AP400" s="214">
        <f>AP398+AP399</f>
        <v>31.329999999999984</v>
      </c>
      <c r="AR400" s="214">
        <f>AR398+AR399</f>
        <v>34.830000000000013</v>
      </c>
      <c r="AT400" s="214">
        <f>AT398+AT399</f>
        <v>28.510000000000005</v>
      </c>
      <c r="AV400" s="214">
        <f>AV398+AV399</f>
        <v>20.92</v>
      </c>
      <c r="AX400" s="214">
        <f>AX398+AX399</f>
        <v>24.429999999999993</v>
      </c>
      <c r="BA400" s="214">
        <f>BA398+BA399</f>
        <v>18.86</v>
      </c>
      <c r="BC400" s="214">
        <f>BC398+BC399</f>
        <v>24.650000000000006</v>
      </c>
      <c r="BE400" s="214">
        <f>BE398+BE399</f>
        <v>24.599999999999994</v>
      </c>
      <c r="BG400" s="214">
        <f>BG398+BG399</f>
        <v>21.57</v>
      </c>
      <c r="BI400" s="214">
        <f>BI398+BI399</f>
        <v>11.5</v>
      </c>
      <c r="BK400" s="214">
        <f>BK398+BK399</f>
        <v>24.329999999999984</v>
      </c>
      <c r="BM400" s="214">
        <f>BM398+BM399</f>
        <v>38.049999999999983</v>
      </c>
      <c r="BO400" s="214">
        <f>BO398+BO399</f>
        <v>31.950000000000017</v>
      </c>
      <c r="BQ400" s="214">
        <f>BQ398+BQ399</f>
        <v>25.069999999999993</v>
      </c>
      <c r="BS400" s="214">
        <f>BS398+BS399</f>
        <v>22.650000000000006</v>
      </c>
      <c r="BU400" s="214">
        <f>BU398+BU399</f>
        <v>9.1399999999999935</v>
      </c>
      <c r="BW400" s="214">
        <f>BW398+BW399</f>
        <v>22.5</v>
      </c>
      <c r="BY400" s="214">
        <f>BY398+BY399</f>
        <v>15.469999999999999</v>
      </c>
      <c r="CA400" s="214">
        <f>CA398+CA399</f>
        <v>16.75</v>
      </c>
      <c r="CC400" s="214">
        <f>CC398+CC399</f>
        <v>25.050000000000004</v>
      </c>
      <c r="CE400" s="214">
        <f>CE398+CE399</f>
        <v>23.18</v>
      </c>
      <c r="CG400" s="214">
        <f>CG398+CG399</f>
        <v>29.029999999999987</v>
      </c>
    </row>
    <row r="401" spans="1:87">
      <c r="A401" s="231">
        <v>122</v>
      </c>
      <c r="B401" s="232">
        <v>137996056</v>
      </c>
      <c r="C401" s="213" t="s">
        <v>151</v>
      </c>
      <c r="AP401" s="214"/>
      <c r="AT401" s="214"/>
    </row>
    <row r="402" spans="1:87">
      <c r="C402" s="253" t="s">
        <v>152</v>
      </c>
      <c r="J402" s="235">
        <v>45017</v>
      </c>
      <c r="K402" s="235"/>
      <c r="L402" s="246">
        <v>45047</v>
      </c>
      <c r="M402" s="235"/>
      <c r="N402" s="235">
        <v>45078</v>
      </c>
      <c r="O402" s="235"/>
      <c r="P402" s="235">
        <v>45108</v>
      </c>
      <c r="Q402" s="235"/>
      <c r="R402" s="235">
        <v>45139</v>
      </c>
      <c r="S402" s="235"/>
      <c r="T402" s="235">
        <v>45170</v>
      </c>
      <c r="U402" s="235"/>
      <c r="V402" s="235">
        <v>45200</v>
      </c>
      <c r="W402" s="235"/>
      <c r="X402" s="235">
        <v>45231</v>
      </c>
      <c r="Y402" s="235"/>
      <c r="Z402" s="235">
        <v>45261</v>
      </c>
      <c r="AA402" s="235"/>
      <c r="AB402" s="235">
        <v>45292</v>
      </c>
      <c r="AC402" s="235"/>
      <c r="AD402" s="235">
        <v>45323</v>
      </c>
      <c r="AE402" s="235"/>
      <c r="AF402" s="235">
        <v>45352</v>
      </c>
      <c r="AH402" s="235">
        <v>45383</v>
      </c>
      <c r="AJ402" s="235">
        <v>45413</v>
      </c>
      <c r="AL402" s="235">
        <v>45444</v>
      </c>
      <c r="AN402" s="235">
        <v>45474</v>
      </c>
      <c r="AP402" s="235">
        <v>45505</v>
      </c>
      <c r="AR402" s="236">
        <v>45536</v>
      </c>
      <c r="AT402" s="236">
        <v>45566</v>
      </c>
      <c r="AV402" s="235">
        <v>45597</v>
      </c>
      <c r="AX402" s="235">
        <v>45627</v>
      </c>
      <c r="BA402" s="235">
        <v>45658</v>
      </c>
      <c r="BC402" s="235">
        <v>45689</v>
      </c>
      <c r="BE402" s="235">
        <v>45717</v>
      </c>
      <c r="BG402" s="235">
        <v>45748</v>
      </c>
      <c r="BI402" s="235">
        <v>45778</v>
      </c>
      <c r="BK402" s="235">
        <v>45809</v>
      </c>
      <c r="BM402" s="235">
        <v>45839</v>
      </c>
      <c r="BO402" s="235">
        <v>45870</v>
      </c>
      <c r="BQ402" s="235">
        <v>45901</v>
      </c>
      <c r="BS402" s="235">
        <v>45931</v>
      </c>
      <c r="BU402" s="235">
        <v>45962</v>
      </c>
      <c r="BW402" s="235">
        <v>45992</v>
      </c>
      <c r="BY402" s="235">
        <v>46023</v>
      </c>
      <c r="CA402" s="235">
        <v>46054</v>
      </c>
      <c r="CC402" s="235">
        <v>46082</v>
      </c>
      <c r="CE402" s="235">
        <v>46113</v>
      </c>
      <c r="CG402" s="235">
        <v>46143</v>
      </c>
      <c r="CI402" s="341">
        <v>46174</v>
      </c>
    </row>
    <row r="403" spans="1:87">
      <c r="C403" s="213" t="s">
        <v>7</v>
      </c>
      <c r="N403" s="237">
        <v>-43.66</v>
      </c>
      <c r="P403" s="237">
        <v>-131.96</v>
      </c>
      <c r="R403" s="237">
        <v>-93.3</v>
      </c>
      <c r="T403" s="237">
        <v>-56.91</v>
      </c>
      <c r="V403" s="237">
        <v>-51.19</v>
      </c>
      <c r="X403" s="237">
        <v>-42.78</v>
      </c>
      <c r="Z403" s="238">
        <v>-64.2</v>
      </c>
      <c r="AB403" s="238">
        <f>-6.42-0</f>
        <v>-6.42</v>
      </c>
      <c r="AD403" s="237">
        <f>-50.4-0</f>
        <v>-50.4</v>
      </c>
      <c r="AF403" s="237">
        <f>-8.42-0</f>
        <v>-8.42</v>
      </c>
      <c r="AH403" s="237">
        <f>-34.07-0-3.97-13.37</f>
        <v>-51.41</v>
      </c>
      <c r="AJ403" s="237">
        <f>-9.54-47.84</f>
        <v>-57.38</v>
      </c>
      <c r="AL403" s="237">
        <f>-7.37-49.14</f>
        <v>-56.51</v>
      </c>
      <c r="AN403" s="237">
        <f>-3.81-93.09</f>
        <v>-96.9</v>
      </c>
      <c r="AP403" s="237">
        <f>-12.71-86.67</f>
        <v>-99.38</v>
      </c>
      <c r="AR403" s="237">
        <f>-9.55-42.48-11.22</f>
        <v>-63.25</v>
      </c>
      <c r="AT403" s="237">
        <v>-57.97</v>
      </c>
      <c r="AV403" s="237">
        <f>-11.18-43.7</f>
        <v>-54.88</v>
      </c>
      <c r="AX403" s="237">
        <f>-7.7-74.79</f>
        <v>-82.490000000000009</v>
      </c>
      <c r="BA403" s="237">
        <f>-19.34-64.4</f>
        <v>-83.740000000000009</v>
      </c>
      <c r="BC403" s="237">
        <f>-65.52-14.02</f>
        <v>-79.539999999999992</v>
      </c>
      <c r="BE403" s="237">
        <f>-13.58-64.48</f>
        <v>-78.06</v>
      </c>
      <c r="BG403" s="237">
        <f>-7.36-58.59</f>
        <v>-65.95</v>
      </c>
      <c r="BI403" s="237">
        <f>-13.03-53</f>
        <v>-66.03</v>
      </c>
      <c r="BK403" s="237">
        <f>-8.49-89.96</f>
        <v>-98.449999999999989</v>
      </c>
      <c r="BM403" s="237">
        <f>-10.24-107.52</f>
        <v>-117.75999999999999</v>
      </c>
      <c r="BO403" s="320">
        <f>-15.27-107.19</f>
        <v>-122.46</v>
      </c>
      <c r="BQ403" s="237">
        <f>-12.04-61.83</f>
        <v>-73.87</v>
      </c>
      <c r="BS403" s="237">
        <f>-11.58-52</f>
        <v>-63.58</v>
      </c>
      <c r="BU403" s="237">
        <v>-56.25</v>
      </c>
      <c r="BW403" s="237">
        <f>-6.77-72.52</f>
        <v>-79.289999999999992</v>
      </c>
      <c r="BY403" s="237">
        <f>-18.15-57.6</f>
        <v>-75.75</v>
      </c>
      <c r="CA403" s="237">
        <f>-9.47-56.88</f>
        <v>-66.350000000000009</v>
      </c>
      <c r="CC403" s="237">
        <f>-9.52-38.25</f>
        <v>-47.769999999999996</v>
      </c>
      <c r="CE403" s="237">
        <f>-33.81-48.75</f>
        <v>-82.56</v>
      </c>
      <c r="CG403" s="237">
        <f>-9.81-59.02</f>
        <v>-68.83</v>
      </c>
      <c r="CI403" s="213">
        <v>-6.85</v>
      </c>
    </row>
    <row r="404" spans="1:87">
      <c r="C404" s="213" t="s">
        <v>8</v>
      </c>
      <c r="N404" s="214">
        <v>57.39</v>
      </c>
      <c r="O404" s="222">
        <f>ABS(((N403+N404)/N403))</f>
        <v>0.31447549244159423</v>
      </c>
      <c r="P404" s="214">
        <v>163.07</v>
      </c>
      <c r="Q404" s="222">
        <f>ABS(((P403+P404)/P403))</f>
        <v>0.23575325856320084</v>
      </c>
      <c r="R404" s="214">
        <v>148.11000000000001</v>
      </c>
      <c r="S404" s="301">
        <v>0.36499999999999999</v>
      </c>
      <c r="T404" s="214">
        <v>71.94</v>
      </c>
      <c r="U404" s="301">
        <v>0.36499999999999999</v>
      </c>
      <c r="V404" s="214">
        <v>70.290000000000006</v>
      </c>
      <c r="W404" s="222">
        <f>ABS(((V403+V404)/V403))</f>
        <v>0.37311974995116254</v>
      </c>
      <c r="X404" s="214">
        <v>66.180000000000007</v>
      </c>
      <c r="Y404" s="222">
        <f>ABS(((X403+X404)/X403))</f>
        <v>0.54698457223001418</v>
      </c>
      <c r="Z404" s="213">
        <v>86.44</v>
      </c>
      <c r="AA404" s="222">
        <f>ABS(((Z403+Z404)/Z403))</f>
        <v>0.34641744548286596</v>
      </c>
      <c r="AB404" s="213">
        <v>85.03</v>
      </c>
      <c r="AC404" s="222">
        <f>ABS(((AB403+AB404)/AB403))</f>
        <v>12.244548286604362</v>
      </c>
      <c r="AD404" s="213">
        <v>81.25</v>
      </c>
      <c r="AE404" s="222">
        <f>ABS(((AD403+AD404)/AD403))</f>
        <v>0.61210317460317465</v>
      </c>
      <c r="AF404" s="213">
        <v>96.93</v>
      </c>
      <c r="AG404" s="222">
        <f>ABS(((AF403+AF404)/AF403))</f>
        <v>10.51187648456057</v>
      </c>
      <c r="AH404" s="214">
        <v>80.27</v>
      </c>
      <c r="AI404" s="222">
        <f>ABS(((AH403+AH404)/AH403))</f>
        <v>0.56136938338844589</v>
      </c>
      <c r="AJ404" s="214">
        <v>77.760000000000005</v>
      </c>
      <c r="AK404" s="222">
        <f>ABS(((AJ403+AJ404)/AJ403))</f>
        <v>0.35517601951899619</v>
      </c>
      <c r="AL404" s="214">
        <v>80.05</v>
      </c>
      <c r="AM404" s="222">
        <f>ABS(((AL403+AL404)/AL403))</f>
        <v>0.41656344009909752</v>
      </c>
      <c r="AN404" s="214">
        <v>143.84</v>
      </c>
      <c r="AO404" s="222">
        <f>ABS(((AN403+AN404)/AN403))</f>
        <v>0.48441692466460262</v>
      </c>
      <c r="AP404" s="214">
        <v>155.57</v>
      </c>
      <c r="AQ404" s="222">
        <f>ABS(((AP403+AP404)/AP403))</f>
        <v>0.56540551418796536</v>
      </c>
      <c r="AR404" s="214">
        <v>113.12</v>
      </c>
      <c r="AS404" s="222">
        <f>ABS(((AR403+AR404)/AR403))</f>
        <v>0.78845849802371548</v>
      </c>
      <c r="AT404" s="214">
        <v>77.02</v>
      </c>
      <c r="AU404" s="222">
        <f>AT405/AT404</f>
        <v>0.24733835367437026</v>
      </c>
      <c r="AV404" s="214">
        <v>78.239999999999995</v>
      </c>
      <c r="AW404" s="222">
        <f>AV405/AV404</f>
        <v>0.29856850715746414</v>
      </c>
      <c r="AX404" s="214">
        <v>113.94</v>
      </c>
      <c r="AY404" s="224">
        <f>AX405/AX404</f>
        <v>0.27602246796559582</v>
      </c>
      <c r="AZ404" s="225"/>
      <c r="BA404" s="214">
        <v>103.23</v>
      </c>
      <c r="BB404" s="222">
        <f>BA405/BA404</f>
        <v>0.18880170493073714</v>
      </c>
      <c r="BC404" s="214">
        <v>95.24</v>
      </c>
      <c r="BD404" s="222">
        <f>BC405/BC404</f>
        <v>0.16484670306593871</v>
      </c>
      <c r="BE404" s="214">
        <v>94.78</v>
      </c>
      <c r="BF404" s="222">
        <f>BE405/BE404</f>
        <v>0.17640852500527537</v>
      </c>
      <c r="BG404" s="214">
        <v>79.19</v>
      </c>
      <c r="BH404" s="222">
        <f>BG405/BG404</f>
        <v>0.16719282737719404</v>
      </c>
      <c r="BI404" s="214">
        <v>81.25</v>
      </c>
      <c r="BJ404" s="222">
        <f>BI405/BI404</f>
        <v>0.1873230769230769</v>
      </c>
      <c r="BK404" s="214">
        <v>124.6</v>
      </c>
      <c r="BL404" s="222">
        <f>BK405/BK404</f>
        <v>0.20987158908507228</v>
      </c>
      <c r="BM404" s="214">
        <v>158.87</v>
      </c>
      <c r="BN404" s="222">
        <f>BM405/BM404</f>
        <v>0.25876502801032297</v>
      </c>
      <c r="BO404" s="321">
        <v>163.44</v>
      </c>
      <c r="BP404" s="222">
        <f>BO405/BO404</f>
        <v>0.25073421439060206</v>
      </c>
      <c r="BQ404" s="214">
        <v>93.41</v>
      </c>
      <c r="BR404" s="222">
        <f>BQ405/BQ404</f>
        <v>0.20918531206508931</v>
      </c>
      <c r="BS404" s="214">
        <v>77.7</v>
      </c>
      <c r="BT404" s="222">
        <f>BS405/BS404</f>
        <v>0.18172458172458178</v>
      </c>
      <c r="BU404" s="214">
        <v>86.03</v>
      </c>
      <c r="BV404" s="222">
        <f>BU405/BU404</f>
        <v>0.34615831686620946</v>
      </c>
      <c r="BW404" s="214">
        <v>99.28</v>
      </c>
      <c r="BX404" s="222">
        <f>BW405/BW404</f>
        <v>0.20134971796937962</v>
      </c>
      <c r="BY404" s="214">
        <v>115.57</v>
      </c>
      <c r="BZ404" s="222">
        <f>BY405/BY404</f>
        <v>0.34455308471056501</v>
      </c>
      <c r="CA404" s="214">
        <v>86.34</v>
      </c>
      <c r="CB404" s="222">
        <f>CA405/CA404</f>
        <v>0.23152652304841317</v>
      </c>
      <c r="CC404" s="214">
        <v>103.3</v>
      </c>
      <c r="CD404" s="222">
        <f>CC405/CC404</f>
        <v>0.53756050338818973</v>
      </c>
      <c r="CE404" s="214">
        <v>88.16</v>
      </c>
      <c r="CF404" s="222">
        <f>CE405/CE404</f>
        <v>6.3520871143375623E-2</v>
      </c>
      <c r="CG404" s="214">
        <v>83.71</v>
      </c>
      <c r="CH404" s="222">
        <f>CG405/CG404</f>
        <v>0.17775654043722372</v>
      </c>
    </row>
    <row r="405" spans="1:87">
      <c r="C405" s="241" t="s">
        <v>9</v>
      </c>
      <c r="N405" s="214">
        <f>SUM(N403:N404)</f>
        <v>13.730000000000004</v>
      </c>
      <c r="P405" s="214">
        <f>SUM(P403:P404)</f>
        <v>31.109999999999985</v>
      </c>
      <c r="R405" s="214">
        <f>SUM(R403:R404)</f>
        <v>54.810000000000016</v>
      </c>
      <c r="S405" s="214"/>
      <c r="T405" s="214">
        <f>T403+T404</f>
        <v>15.030000000000001</v>
      </c>
      <c r="V405" s="214">
        <f>V403+V404</f>
        <v>19.100000000000009</v>
      </c>
      <c r="X405" s="214">
        <f>X403+X404</f>
        <v>23.400000000000006</v>
      </c>
      <c r="Z405" s="214">
        <f>Z403+Z404</f>
        <v>22.239999999999995</v>
      </c>
      <c r="AB405" s="243">
        <f>AB403+AB404</f>
        <v>78.61</v>
      </c>
      <c r="AD405" s="243">
        <f>AD403+AD404</f>
        <v>30.85</v>
      </c>
      <c r="AF405" s="243">
        <f>AF403+AF404</f>
        <v>88.51</v>
      </c>
      <c r="AH405" s="243">
        <f>AH403+AH404</f>
        <v>28.86</v>
      </c>
      <c r="AJ405" s="243">
        <f>AJ403+AJ404</f>
        <v>20.380000000000003</v>
      </c>
      <c r="AL405" s="243">
        <f>AL403+AL404</f>
        <v>23.54</v>
      </c>
      <c r="AN405" s="243">
        <f>AN403+AN404</f>
        <v>46.94</v>
      </c>
      <c r="AP405" s="214">
        <f>AP403+AP404</f>
        <v>56.19</v>
      </c>
      <c r="AR405" s="214">
        <f>AR403+AR404</f>
        <v>49.870000000000005</v>
      </c>
      <c r="AT405" s="214">
        <f>AT403+AT404</f>
        <v>19.049999999999997</v>
      </c>
      <c r="AV405" s="214">
        <f>AV403+AV404</f>
        <v>23.359999999999992</v>
      </c>
      <c r="AX405" s="214">
        <f>AX403+AX404</f>
        <v>31.449999999999989</v>
      </c>
      <c r="BA405" s="214">
        <f>BA403+BA404</f>
        <v>19.489999999999995</v>
      </c>
      <c r="BC405" s="214">
        <f>BC403+BC404</f>
        <v>15.700000000000003</v>
      </c>
      <c r="BE405" s="214">
        <f>BE403+BE404</f>
        <v>16.72</v>
      </c>
      <c r="BG405" s="214">
        <f>BG403+BG404</f>
        <v>13.239999999999995</v>
      </c>
      <c r="BI405" s="214">
        <f>BI403+BI404</f>
        <v>15.219999999999999</v>
      </c>
      <c r="BK405" s="214">
        <f>BK403+BK404</f>
        <v>26.150000000000006</v>
      </c>
      <c r="BM405" s="214">
        <f>BM403+BM404</f>
        <v>41.110000000000014</v>
      </c>
      <c r="BO405" s="214">
        <f>BO403+BO404</f>
        <v>40.980000000000004</v>
      </c>
      <c r="BQ405" s="214">
        <f>BQ403+BQ404</f>
        <v>19.539999999999992</v>
      </c>
      <c r="BS405" s="214">
        <f>BS403+BS404</f>
        <v>14.120000000000005</v>
      </c>
      <c r="BU405" s="214">
        <f>BU403+BU404</f>
        <v>29.78</v>
      </c>
      <c r="BW405" s="214">
        <f>BW403+BW404</f>
        <v>19.990000000000009</v>
      </c>
      <c r="BY405" s="214">
        <f>BY403+BY404</f>
        <v>39.819999999999993</v>
      </c>
      <c r="CA405" s="214">
        <f>CA403+CA404</f>
        <v>19.989999999999995</v>
      </c>
      <c r="CC405" s="214">
        <f>CC403+CC404</f>
        <v>55.53</v>
      </c>
      <c r="CE405" s="214">
        <f>CE403+CE404</f>
        <v>5.5999999999999943</v>
      </c>
      <c r="CG405" s="214">
        <f>CG403+CG404</f>
        <v>14.879999999999995</v>
      </c>
    </row>
    <row r="406" spans="1:87">
      <c r="A406" s="211">
        <v>123</v>
      </c>
      <c r="B406" s="232">
        <v>216265411</v>
      </c>
      <c r="C406" s="267" t="s">
        <v>153</v>
      </c>
      <c r="I406" s="270"/>
      <c r="J406" s="270"/>
      <c r="K406" s="270"/>
      <c r="L406" s="270"/>
      <c r="M406" s="270"/>
      <c r="N406" s="270"/>
      <c r="O406" s="270"/>
      <c r="P406" s="270"/>
      <c r="Q406" s="270"/>
      <c r="R406" s="270"/>
      <c r="S406" s="270"/>
      <c r="T406" s="253"/>
      <c r="U406" s="270"/>
      <c r="V406" s="270"/>
      <c r="W406" s="270"/>
      <c r="X406" s="270"/>
      <c r="Y406" s="270"/>
      <c r="Z406" s="270"/>
      <c r="AA406" s="270"/>
      <c r="AB406" s="292"/>
      <c r="AC406" s="270"/>
      <c r="AD406" s="292"/>
      <c r="AE406" s="270"/>
      <c r="AF406" s="292"/>
      <c r="AP406" s="214"/>
      <c r="AT406" s="214"/>
    </row>
    <row r="407" spans="1:87">
      <c r="C407" s="270" t="s">
        <v>154</v>
      </c>
      <c r="I407" s="270"/>
      <c r="J407" s="280">
        <v>45017</v>
      </c>
      <c r="K407" s="280"/>
      <c r="L407" s="304">
        <v>45047</v>
      </c>
      <c r="M407" s="280"/>
      <c r="N407" s="280">
        <v>45078</v>
      </c>
      <c r="O407" s="280"/>
      <c r="P407" s="280">
        <v>45108</v>
      </c>
      <c r="Q407" s="280"/>
      <c r="R407" s="280">
        <v>45139</v>
      </c>
      <c r="S407" s="280"/>
      <c r="T407" s="281">
        <v>45170</v>
      </c>
      <c r="U407" s="280"/>
      <c r="V407" s="280">
        <v>45200</v>
      </c>
      <c r="W407" s="280"/>
      <c r="X407" s="280">
        <v>45231</v>
      </c>
      <c r="Y407" s="280"/>
      <c r="Z407" s="280">
        <v>45261</v>
      </c>
      <c r="AA407" s="280"/>
      <c r="AB407" s="235">
        <v>45292</v>
      </c>
      <c r="AC407" s="280"/>
      <c r="AD407" s="235">
        <v>45323</v>
      </c>
      <c r="AE407" s="280"/>
      <c r="AF407" s="235">
        <v>45352</v>
      </c>
      <c r="AH407" s="235">
        <v>45383</v>
      </c>
      <c r="AJ407" s="235">
        <v>45413</v>
      </c>
      <c r="AL407" s="235">
        <v>45444</v>
      </c>
      <c r="AN407" s="235">
        <v>45474</v>
      </c>
      <c r="AP407" s="235">
        <v>45505</v>
      </c>
      <c r="AR407" s="236">
        <v>45536</v>
      </c>
      <c r="AT407" s="236">
        <v>45566</v>
      </c>
      <c r="AV407" s="235">
        <v>45597</v>
      </c>
      <c r="AX407" s="235">
        <v>45627</v>
      </c>
      <c r="BA407" s="235">
        <v>45658</v>
      </c>
      <c r="BC407" s="235">
        <v>45689</v>
      </c>
      <c r="BE407" s="235">
        <v>45717</v>
      </c>
      <c r="BG407" s="235">
        <v>45748</v>
      </c>
      <c r="BI407" s="235">
        <v>45778</v>
      </c>
      <c r="BK407" s="235">
        <v>45809</v>
      </c>
      <c r="BM407" s="235">
        <v>45839</v>
      </c>
      <c r="BO407" s="235">
        <v>45870</v>
      </c>
      <c r="BQ407" s="235">
        <v>45901</v>
      </c>
      <c r="BS407" s="235">
        <v>45931</v>
      </c>
      <c r="BU407" s="235">
        <v>45962</v>
      </c>
      <c r="BW407" s="235">
        <v>45992</v>
      </c>
      <c r="BY407" s="235">
        <v>46023</v>
      </c>
      <c r="CA407" s="235">
        <v>46054</v>
      </c>
      <c r="CC407" s="235">
        <v>46082</v>
      </c>
      <c r="CE407" s="235">
        <v>46113</v>
      </c>
      <c r="CG407" s="235">
        <v>46143</v>
      </c>
      <c r="CI407" s="341">
        <v>46174</v>
      </c>
    </row>
    <row r="408" spans="1:87">
      <c r="C408" s="267" t="s">
        <v>7</v>
      </c>
      <c r="I408" s="270"/>
      <c r="J408" s="270"/>
      <c r="K408" s="270"/>
      <c r="L408" s="270"/>
      <c r="M408" s="270"/>
      <c r="N408" s="273">
        <v>-261.72000000000003</v>
      </c>
      <c r="O408" s="270"/>
      <c r="P408" s="273">
        <v>-1293.53</v>
      </c>
      <c r="Q408" s="270"/>
      <c r="R408" s="273">
        <v>-1201.19</v>
      </c>
      <c r="S408" s="270"/>
      <c r="T408" s="273">
        <v>-855.72</v>
      </c>
      <c r="U408" s="270"/>
      <c r="V408" s="273">
        <v>-617.37</v>
      </c>
      <c r="W408" s="270"/>
      <c r="X408" s="274">
        <f>-54.95-128.94</f>
        <v>-183.89</v>
      </c>
      <c r="Y408" s="270"/>
      <c r="Z408" s="274">
        <v>-580.74</v>
      </c>
      <c r="AA408" s="270"/>
      <c r="AB408" s="275">
        <v>-595.72</v>
      </c>
      <c r="AC408" s="270"/>
      <c r="AD408" s="275">
        <f>-366.84-395.68</f>
        <v>-762.52</v>
      </c>
      <c r="AE408" s="270"/>
      <c r="AF408" s="275">
        <v>-571.25</v>
      </c>
      <c r="AH408" s="237">
        <v>-494.9</v>
      </c>
      <c r="AJ408" s="237">
        <v>-592.48</v>
      </c>
      <c r="AL408" s="237">
        <v>-692.18</v>
      </c>
      <c r="AN408" s="237">
        <f>-760.93-372.15</f>
        <v>-1133.08</v>
      </c>
      <c r="AP408" s="237">
        <v>-1158.44</v>
      </c>
      <c r="AR408" s="237">
        <v>-633.77</v>
      </c>
      <c r="AT408" s="237">
        <v>-482.1</v>
      </c>
      <c r="AV408" s="237">
        <f>-172.43-50.95</f>
        <v>-223.38</v>
      </c>
      <c r="AX408" s="237">
        <v>-636.71</v>
      </c>
      <c r="BA408" s="237">
        <v>-698.41</v>
      </c>
      <c r="BC408" s="237">
        <v>-473.62</v>
      </c>
      <c r="BE408" s="237">
        <v>-491.74</v>
      </c>
      <c r="BG408" s="237">
        <f>-5.08-486.82</f>
        <v>-491.9</v>
      </c>
      <c r="BI408" s="237">
        <v>-518.54999999999995</v>
      </c>
      <c r="BK408" s="237">
        <v>-729.58</v>
      </c>
      <c r="BM408" s="237">
        <v>-1029.8399999999999</v>
      </c>
      <c r="BO408" s="320">
        <v>-926.33</v>
      </c>
      <c r="BQ408" s="237">
        <v>-665.56</v>
      </c>
      <c r="BS408" s="237">
        <v>-479.63</v>
      </c>
      <c r="BU408" s="237">
        <v>-232.53</v>
      </c>
      <c r="BW408" s="237">
        <v>-626.20000000000005</v>
      </c>
      <c r="BY408" s="237">
        <v>-509.75</v>
      </c>
      <c r="CA408" s="237">
        <v>-442.74</v>
      </c>
      <c r="CC408" s="237">
        <v>-467.1</v>
      </c>
      <c r="CE408" s="237">
        <v>-423.55</v>
      </c>
      <c r="CG408" s="237">
        <v>-481.04</v>
      </c>
    </row>
    <row r="409" spans="1:87">
      <c r="C409" s="267" t="s">
        <v>8</v>
      </c>
      <c r="I409" s="270"/>
      <c r="J409" s="270"/>
      <c r="K409" s="270"/>
      <c r="L409" s="270"/>
      <c r="M409" s="270"/>
      <c r="N409" s="272">
        <v>294.5</v>
      </c>
      <c r="O409" s="276">
        <f>ABS(((N408+N409)/N408))</f>
        <v>0.12524835702277232</v>
      </c>
      <c r="P409" s="272">
        <v>1395.66</v>
      </c>
      <c r="Q409" s="276">
        <f>ABS(((P408+P409)/P408))</f>
        <v>7.8954488879268439E-2</v>
      </c>
      <c r="R409" s="272">
        <v>1688.95</v>
      </c>
      <c r="S409" s="276">
        <f>ABS(((R408+R409)/R408))</f>
        <v>0.40606398654667453</v>
      </c>
      <c r="T409" s="217">
        <v>1428.23</v>
      </c>
      <c r="U409" s="301">
        <v>0.36499999999999999</v>
      </c>
      <c r="V409" s="272">
        <v>556.55999999999995</v>
      </c>
      <c r="W409" s="270">
        <v>0</v>
      </c>
      <c r="X409" s="270">
        <v>136.94</v>
      </c>
      <c r="Y409" s="270"/>
      <c r="Z409" s="270">
        <v>756.73</v>
      </c>
      <c r="AA409" s="270"/>
      <c r="AB409" s="292">
        <v>758.87</v>
      </c>
      <c r="AC409" s="270"/>
      <c r="AD409" s="292">
        <v>731.17</v>
      </c>
      <c r="AE409" s="222">
        <f>ABS(((AD408+AD409)/AD408))</f>
        <v>4.1113675706866734E-2</v>
      </c>
      <c r="AF409" s="292">
        <v>833.98</v>
      </c>
      <c r="AG409" s="222">
        <f>ABS(((AF408+AF409)/AF408))</f>
        <v>0.45992122538293218</v>
      </c>
      <c r="AH409" s="214">
        <v>711.17</v>
      </c>
      <c r="AI409" s="222">
        <f>ABS(((AH407+AH408)/AH407))</f>
        <v>0.98909503558601231</v>
      </c>
      <c r="AJ409" s="214">
        <v>831.58</v>
      </c>
      <c r="AK409" s="222">
        <f>ABS(((AJ408+AJ409)/AJ408))</f>
        <v>0.40355792600594115</v>
      </c>
      <c r="AL409" s="214">
        <v>1129.3800000000001</v>
      </c>
      <c r="AM409" s="222">
        <f>ABS(((AL408+AL409)/AL408))</f>
        <v>0.63162761131497613</v>
      </c>
      <c r="AN409" s="214">
        <v>1506.8</v>
      </c>
      <c r="AO409" s="222">
        <f>ABS(((AN408+AN409)/AN408))</f>
        <v>0.32982666713736014</v>
      </c>
      <c r="AP409" s="214">
        <v>1792.99</v>
      </c>
      <c r="AQ409" s="222">
        <f>ABS(((AP408+AP409)/AP408))</f>
        <v>0.54776250820068362</v>
      </c>
      <c r="AR409" s="214">
        <v>833.07</v>
      </c>
      <c r="AS409" s="222">
        <f>ABS(((AR408+AR409)/AR408))</f>
        <v>0.31446739353393199</v>
      </c>
      <c r="AT409" s="214">
        <v>766.01</v>
      </c>
      <c r="AU409" s="222">
        <f>AT410/AT409</f>
        <v>0.37063484810903247</v>
      </c>
      <c r="AV409" s="214">
        <v>194.02</v>
      </c>
      <c r="AW409" s="222">
        <f>AV410/AV409</f>
        <v>-0.15132460571075138</v>
      </c>
      <c r="AX409" s="214">
        <v>665.19</v>
      </c>
      <c r="AY409" s="224">
        <f>AX410/AX409</f>
        <v>4.2814834859213183E-2</v>
      </c>
      <c r="AZ409" s="225"/>
      <c r="BA409" s="214">
        <v>676.36</v>
      </c>
      <c r="BB409" s="222">
        <f>BA410/BA409</f>
        <v>-3.2600981725708134E-2</v>
      </c>
      <c r="BC409" s="214">
        <v>603.95000000000005</v>
      </c>
      <c r="BD409" s="222">
        <f>BC410/BC409</f>
        <v>0.21579600960344406</v>
      </c>
      <c r="BE409" s="214">
        <v>730.96</v>
      </c>
      <c r="BF409" s="222">
        <f>BE410/BE409</f>
        <v>0.32726824997263876</v>
      </c>
      <c r="BG409" s="214">
        <v>678.97</v>
      </c>
      <c r="BH409" s="222">
        <f>BG410/BG409</f>
        <v>0.27552027335522933</v>
      </c>
      <c r="BI409" s="214">
        <v>774.09</v>
      </c>
      <c r="BJ409" s="222">
        <f>BI410/BI409</f>
        <v>0.33011665310235255</v>
      </c>
      <c r="BK409" s="214">
        <v>774.72</v>
      </c>
      <c r="BL409" s="222">
        <f>BK410/BK409</f>
        <v>5.8266212308963221E-2</v>
      </c>
      <c r="BM409" s="214">
        <v>1594.97</v>
      </c>
      <c r="BN409" s="222">
        <f>BM410/BM409</f>
        <v>0.3543201439525509</v>
      </c>
      <c r="BO409" s="321">
        <v>1863.52</v>
      </c>
      <c r="BP409" s="222">
        <f>BO410/BO409</f>
        <v>0.50291384047394172</v>
      </c>
      <c r="BQ409" s="214">
        <v>1379.87</v>
      </c>
      <c r="BR409" s="222">
        <f>BQ410/BQ409</f>
        <v>0.51766470754491367</v>
      </c>
      <c r="BS409" s="214">
        <v>902.28</v>
      </c>
      <c r="BT409" s="222">
        <f>BS410/BS409</f>
        <v>0.46842443587356475</v>
      </c>
      <c r="BU409" s="214">
        <v>243.48</v>
      </c>
      <c r="BV409" s="222">
        <f>BU410/BU409</f>
        <v>4.4972893050763879E-2</v>
      </c>
      <c r="BW409" s="214">
        <v>790.46</v>
      </c>
      <c r="BX409" s="222">
        <f>BW410/BW409</f>
        <v>0.20780305138779948</v>
      </c>
      <c r="BY409" s="214">
        <v>762.17</v>
      </c>
      <c r="BZ409" s="222">
        <f>BY410/BY409</f>
        <v>0.33118595588910604</v>
      </c>
      <c r="CA409" s="214">
        <v>615.97</v>
      </c>
      <c r="CB409" s="222">
        <f>CA410/CA409</f>
        <v>0.28123122879361012</v>
      </c>
      <c r="CC409" s="214">
        <v>542.6</v>
      </c>
      <c r="CD409" s="222">
        <f>CC410/CC409</f>
        <v>0.13914485809067453</v>
      </c>
      <c r="CE409" s="214">
        <v>641.55999999999995</v>
      </c>
      <c r="CF409" s="222">
        <f>CE410/CE409</f>
        <v>0.33981233243967823</v>
      </c>
      <c r="CG409" s="214">
        <v>747.69</v>
      </c>
      <c r="CH409" s="222">
        <f>CG410/CG409</f>
        <v>0.35663175915152001</v>
      </c>
    </row>
    <row r="410" spans="1:87">
      <c r="C410" s="267" t="s">
        <v>9</v>
      </c>
      <c r="I410" s="270"/>
      <c r="J410" s="270"/>
      <c r="K410" s="270"/>
      <c r="L410" s="270"/>
      <c r="M410" s="270"/>
      <c r="N410" s="272">
        <f>SUM(N408:N409)</f>
        <v>32.779999999999973</v>
      </c>
      <c r="O410" s="270"/>
      <c r="P410" s="272">
        <f>SUM(P408:P409)</f>
        <v>102.13000000000011</v>
      </c>
      <c r="Q410" s="270"/>
      <c r="R410" s="268">
        <f>SUM(R408:R409)</f>
        <v>487.76</v>
      </c>
      <c r="S410" s="268"/>
      <c r="T410" s="214">
        <f>T408+T409</f>
        <v>572.51</v>
      </c>
      <c r="U410" s="270"/>
      <c r="V410" s="214">
        <f>V408+V409</f>
        <v>-60.810000000000059</v>
      </c>
      <c r="W410" s="270"/>
      <c r="X410" s="214">
        <f>X408+X409</f>
        <v>-46.949999999999989</v>
      </c>
      <c r="Y410" s="270"/>
      <c r="Z410" s="214">
        <f>Z408+Z409</f>
        <v>175.99</v>
      </c>
      <c r="AA410" s="270"/>
      <c r="AB410" s="242">
        <f>AB408+AB409</f>
        <v>163.14999999999998</v>
      </c>
      <c r="AC410" s="270"/>
      <c r="AD410" s="243">
        <f>AD408+AD409</f>
        <v>-31.350000000000023</v>
      </c>
      <c r="AE410" s="270"/>
      <c r="AF410" s="243">
        <f>AF408+AF409</f>
        <v>262.73</v>
      </c>
      <c r="AH410" s="243">
        <f>AH408+AH409</f>
        <v>216.26999999999998</v>
      </c>
      <c r="AJ410" s="243">
        <f>AJ408+AJ409</f>
        <v>239.10000000000002</v>
      </c>
      <c r="AL410" s="243">
        <f>AL408+AL409</f>
        <v>437.20000000000016</v>
      </c>
      <c r="AN410" s="243">
        <f>AN408+AN409</f>
        <v>373.72</v>
      </c>
      <c r="AP410" s="214">
        <f>AP408+AP409</f>
        <v>634.54999999999995</v>
      </c>
      <c r="AR410" s="214">
        <f>AR408+AR409</f>
        <v>199.30000000000007</v>
      </c>
      <c r="AT410" s="214">
        <f>AT408+AT409</f>
        <v>283.90999999999997</v>
      </c>
      <c r="AV410" s="214">
        <f>AV408+AV409</f>
        <v>-29.359999999999985</v>
      </c>
      <c r="AX410" s="214">
        <f>AX408+AX409</f>
        <v>28.480000000000018</v>
      </c>
      <c r="BA410" s="214">
        <f>BA408+BA409</f>
        <v>-22.049999999999955</v>
      </c>
      <c r="BC410" s="214">
        <f>BC408+BC409</f>
        <v>130.33000000000004</v>
      </c>
      <c r="BE410" s="214">
        <f>BE408+BE409</f>
        <v>239.22000000000003</v>
      </c>
      <c r="BG410" s="214">
        <f>BG408+BG409</f>
        <v>187.07000000000005</v>
      </c>
      <c r="BI410" s="214">
        <f>BI408+BI409</f>
        <v>255.54000000000008</v>
      </c>
      <c r="BK410" s="214">
        <f>BK408+BK409</f>
        <v>45.139999999999986</v>
      </c>
      <c r="BM410" s="214">
        <f>BM408+BM409</f>
        <v>565.13000000000011</v>
      </c>
      <c r="BO410" s="214">
        <f>BO408+BO409</f>
        <v>937.18999999999994</v>
      </c>
      <c r="BQ410" s="214">
        <f>BQ408+BQ409</f>
        <v>714.31</v>
      </c>
      <c r="BS410" s="214">
        <f>BS408+BS409</f>
        <v>422.65</v>
      </c>
      <c r="BU410" s="214">
        <f>BU408+BU409</f>
        <v>10.949999999999989</v>
      </c>
      <c r="BW410" s="214">
        <f>BW408+BW409</f>
        <v>164.26</v>
      </c>
      <c r="BY410" s="214">
        <f>BY408+BY409</f>
        <v>252.41999999999996</v>
      </c>
      <c r="CA410" s="214">
        <f>CA408+CA409</f>
        <v>173.23000000000002</v>
      </c>
      <c r="CC410" s="214">
        <f>CC408+CC409</f>
        <v>75.5</v>
      </c>
      <c r="CE410" s="214">
        <f>CE408+CE409</f>
        <v>218.00999999999993</v>
      </c>
      <c r="CG410" s="214">
        <f>CG408+CG409</f>
        <v>266.65000000000003</v>
      </c>
    </row>
    <row r="411" spans="1:87">
      <c r="A411" s="231">
        <v>124</v>
      </c>
      <c r="B411" s="232">
        <v>460626450</v>
      </c>
      <c r="C411" s="213" t="s">
        <v>360</v>
      </c>
      <c r="AP411" s="214"/>
      <c r="AT411" s="214"/>
    </row>
    <row r="412" spans="1:87">
      <c r="C412" s="253" t="s">
        <v>155</v>
      </c>
      <c r="J412" s="235">
        <v>45017</v>
      </c>
      <c r="K412" s="235"/>
      <c r="L412" s="246">
        <v>45047</v>
      </c>
      <c r="M412" s="235"/>
      <c r="N412" s="235">
        <v>45078</v>
      </c>
      <c r="O412" s="235"/>
      <c r="P412" s="235">
        <v>45108</v>
      </c>
      <c r="Q412" s="235"/>
      <c r="R412" s="235">
        <v>45139</v>
      </c>
      <c r="S412" s="235"/>
      <c r="T412" s="235">
        <v>45170</v>
      </c>
      <c r="U412" s="235"/>
      <c r="V412" s="235">
        <v>45200</v>
      </c>
      <c r="W412" s="235"/>
      <c r="X412" s="235">
        <v>45231</v>
      </c>
      <c r="Y412" s="235"/>
      <c r="Z412" s="235">
        <v>45261</v>
      </c>
      <c r="AA412" s="235"/>
      <c r="AB412" s="235">
        <v>45292</v>
      </c>
      <c r="AC412" s="235"/>
      <c r="AD412" s="235">
        <v>45323</v>
      </c>
      <c r="AE412" s="235"/>
      <c r="AF412" s="235">
        <v>45352</v>
      </c>
      <c r="AH412" s="235">
        <v>45383</v>
      </c>
      <c r="AJ412" s="235">
        <v>45413</v>
      </c>
      <c r="AL412" s="235">
        <v>45444</v>
      </c>
      <c r="AN412" s="235">
        <v>45474</v>
      </c>
      <c r="AP412" s="235">
        <v>45505</v>
      </c>
      <c r="AR412" s="236">
        <v>45536</v>
      </c>
      <c r="AT412" s="236">
        <v>45566</v>
      </c>
      <c r="AV412" s="235">
        <v>45597</v>
      </c>
      <c r="AX412" s="235">
        <v>45627</v>
      </c>
      <c r="BA412" s="235">
        <v>45658</v>
      </c>
      <c r="BC412" s="235">
        <v>45689</v>
      </c>
      <c r="BE412" s="235">
        <v>45717</v>
      </c>
      <c r="BG412" s="235">
        <v>45748</v>
      </c>
      <c r="BI412" s="235">
        <v>45778</v>
      </c>
      <c r="BK412" s="235">
        <v>45809</v>
      </c>
      <c r="BM412" s="235">
        <v>45839</v>
      </c>
      <c r="BO412" s="235">
        <v>45870</v>
      </c>
      <c r="BQ412" s="235">
        <v>45901</v>
      </c>
      <c r="BS412" s="235">
        <v>45931</v>
      </c>
      <c r="BU412" s="235">
        <v>45962</v>
      </c>
      <c r="BW412" s="235">
        <v>45992</v>
      </c>
      <c r="BY412" s="235">
        <v>46023</v>
      </c>
      <c r="CA412" s="235">
        <v>46054</v>
      </c>
      <c r="CC412" s="235">
        <v>46082</v>
      </c>
      <c r="CE412" s="235">
        <v>46113</v>
      </c>
      <c r="CG412" s="235">
        <v>46143</v>
      </c>
      <c r="CI412" s="341">
        <v>46174</v>
      </c>
    </row>
    <row r="413" spans="1:87">
      <c r="C413" s="213" t="s">
        <v>7</v>
      </c>
      <c r="P413" s="237">
        <v>-272.67</v>
      </c>
      <c r="R413" s="238">
        <f>-344.37-60.78</f>
        <v>-405.15</v>
      </c>
      <c r="T413" s="237">
        <v>-206.43</v>
      </c>
      <c r="V413" s="237">
        <v>-229.92</v>
      </c>
      <c r="X413" s="237">
        <v>-148.6</v>
      </c>
      <c r="Z413" s="238">
        <v>-132.47</v>
      </c>
      <c r="AB413" s="238">
        <f>-98.13-27.6</f>
        <v>-125.72999999999999</v>
      </c>
      <c r="AD413" s="237">
        <f>-96.59-38.5</f>
        <v>-135.09</v>
      </c>
      <c r="AF413" s="237">
        <f>-115.65-61.7</f>
        <v>-177.35000000000002</v>
      </c>
      <c r="AH413" s="237">
        <f>-141.97-32.3</f>
        <v>-174.26999999999998</v>
      </c>
      <c r="AJ413" s="237">
        <f>-148.6-75.6</f>
        <v>-224.2</v>
      </c>
      <c r="AL413" s="237">
        <f>-184.82-69.52</f>
        <v>-254.33999999999997</v>
      </c>
      <c r="AN413" s="237">
        <f>-199.77-79.36</f>
        <v>-279.13</v>
      </c>
      <c r="AP413" s="237">
        <f>-208.38-72.27</f>
        <v>-280.64999999999998</v>
      </c>
      <c r="AR413" s="237">
        <f>-176.57-13.09-44.16</f>
        <v>-233.82</v>
      </c>
      <c r="AT413" s="237">
        <f>-20.23-176.58</f>
        <v>-196.81</v>
      </c>
      <c r="AV413" s="237">
        <f>-69.5-27.78</f>
        <v>-97.28</v>
      </c>
      <c r="AX413" s="237">
        <f>-88.02-66.25</f>
        <v>-154.26999999999998</v>
      </c>
      <c r="BA413" s="237">
        <f>-144.02-25.55</f>
        <v>-169.57000000000002</v>
      </c>
      <c r="BC413" s="237">
        <f>-122.75-22.04</f>
        <v>-144.79</v>
      </c>
      <c r="BE413" s="237">
        <f>-132.31-40.74</f>
        <v>-173.05</v>
      </c>
      <c r="BG413" s="237">
        <f>-162.99-41.7</f>
        <v>-204.69</v>
      </c>
      <c r="BI413" s="237">
        <f>-187.74-37.8</f>
        <v>-225.54000000000002</v>
      </c>
      <c r="BK413" s="237">
        <f>-226.89-63.18</f>
        <v>-290.07</v>
      </c>
      <c r="BM413" s="237">
        <f>-284.19-48.76</f>
        <v>-332.95</v>
      </c>
      <c r="BO413" s="320">
        <f>-304.63-67.32</f>
        <v>-371.95</v>
      </c>
      <c r="BQ413" s="237">
        <f>-258.13-69.2</f>
        <v>-327.33</v>
      </c>
      <c r="BS413" s="237">
        <f>-216.13-35.9</f>
        <v>-252.03</v>
      </c>
      <c r="BU413" s="237">
        <f>-165.07-46.27</f>
        <v>-211.34</v>
      </c>
      <c r="BW413" s="237">
        <f>-145.45-57.42</f>
        <v>-202.87</v>
      </c>
      <c r="BY413" s="237">
        <f>-159.38-38.64</f>
        <v>-198.01999999999998</v>
      </c>
      <c r="CA413" s="237">
        <f>-148.14-28.45</f>
        <v>-176.58999999999997</v>
      </c>
      <c r="CC413" s="237">
        <f>-130.98-50.88</f>
        <v>-181.85999999999999</v>
      </c>
      <c r="CE413" s="237">
        <f>-146.42-46.62</f>
        <v>-193.04</v>
      </c>
      <c r="CG413" s="237">
        <v>-139.96</v>
      </c>
    </row>
    <row r="414" spans="1:87">
      <c r="C414" s="213" t="s">
        <v>8</v>
      </c>
      <c r="P414" s="214">
        <v>349.22</v>
      </c>
      <c r="Q414" s="276">
        <f>ABS(((P413+P414)/P413))</f>
        <v>0.2807422892140683</v>
      </c>
      <c r="R414" s="213">
        <v>434.67</v>
      </c>
      <c r="S414" s="301">
        <v>0.36499999999999999</v>
      </c>
      <c r="T414" s="214">
        <v>373.72</v>
      </c>
      <c r="U414" s="301">
        <v>0.36499999999999999</v>
      </c>
      <c r="V414" s="214">
        <v>283.74</v>
      </c>
      <c r="W414" s="222">
        <f>ABS(((V413+V414)/V413))</f>
        <v>0.23408141962421722</v>
      </c>
      <c r="X414" s="214">
        <v>204.39</v>
      </c>
      <c r="Y414" s="222">
        <f>ABS(((X413+X414)/X413))</f>
        <v>0.37543741588156121</v>
      </c>
      <c r="Z414" s="213">
        <v>165.69</v>
      </c>
      <c r="AA414" s="222">
        <f>ABS(((Z413+Z414)/Z413))</f>
        <v>0.25077376009662566</v>
      </c>
      <c r="AB414" s="213">
        <v>171.69</v>
      </c>
      <c r="AC414" s="222">
        <f>ABS(((AB413+AB414)/AB413))</f>
        <v>0.36554521593891681</v>
      </c>
      <c r="AD414" s="213">
        <v>188.72</v>
      </c>
      <c r="AE414" s="222">
        <f>ABS(((AD413+AD414)/AD413))</f>
        <v>0.39699459619512911</v>
      </c>
      <c r="AF414" s="213">
        <v>245.91</v>
      </c>
      <c r="AG414" s="222">
        <f>ABS(((AF413+AF414)/AF413))</f>
        <v>0.38658020862700854</v>
      </c>
      <c r="AH414" s="214">
        <v>260.22000000000003</v>
      </c>
      <c r="AI414" s="222">
        <f>ABS(((AH413+AH414)/AH413))</f>
        <v>0.49320020657600305</v>
      </c>
      <c r="AJ414" s="214">
        <v>342.93</v>
      </c>
      <c r="AK414" s="222">
        <f>ABS(((AJ413+AJ414)/AJ413))</f>
        <v>0.5295718108831402</v>
      </c>
      <c r="AL414" s="214">
        <v>419.22</v>
      </c>
      <c r="AM414" s="222">
        <f>ABS(((AL413+AL414)/AL413))</f>
        <v>0.64826610049540012</v>
      </c>
      <c r="AN414" s="214">
        <v>450.86</v>
      </c>
      <c r="AO414" s="222">
        <f>ABS(((AN413+AN414)/AN413))</f>
        <v>0.61523304553433888</v>
      </c>
      <c r="AP414" s="214">
        <v>501.95</v>
      </c>
      <c r="AQ414" s="222">
        <f>ABS(((AP413+AP414)/AP413))</f>
        <v>0.78852663459825412</v>
      </c>
      <c r="AR414" s="214">
        <v>352.1</v>
      </c>
      <c r="AS414" s="222">
        <f>ABS(((AR413+AR414)/AR413))</f>
        <v>0.50585920793772998</v>
      </c>
      <c r="AT414" s="214">
        <v>310.67</v>
      </c>
      <c r="AU414" s="222">
        <f>AT415/AT414</f>
        <v>0.36649821353848139</v>
      </c>
      <c r="AV414" s="214">
        <v>80.959999999999994</v>
      </c>
      <c r="AW414" s="222">
        <f>AV415/AV414</f>
        <v>-0.2015810276679843</v>
      </c>
      <c r="AX414" s="214">
        <v>252.22</v>
      </c>
      <c r="AY414" s="224">
        <f>AX415/AX414</f>
        <v>0.38835143921972887</v>
      </c>
      <c r="AZ414" s="225"/>
      <c r="BA414" s="214">
        <v>189.88</v>
      </c>
      <c r="BB414" s="222">
        <f>BA415/BA414</f>
        <v>0.1069622919738781</v>
      </c>
      <c r="BC414" s="214">
        <v>173.9</v>
      </c>
      <c r="BD414" s="222">
        <f>BC415/BC414</f>
        <v>0.16739505462909726</v>
      </c>
      <c r="BE414" s="214">
        <v>213.5</v>
      </c>
      <c r="BF414" s="222">
        <f>BE415/BE414</f>
        <v>0.18946135831381727</v>
      </c>
      <c r="BG414" s="214">
        <v>243.71</v>
      </c>
      <c r="BH414" s="222">
        <f>BG415/BG414</f>
        <v>0.16010832546879492</v>
      </c>
      <c r="BI414" s="214">
        <v>298.63</v>
      </c>
      <c r="BJ414" s="222">
        <f>BI415/BI414</f>
        <v>0.24475102970230711</v>
      </c>
      <c r="BK414" s="214">
        <v>373.51</v>
      </c>
      <c r="BL414" s="222">
        <f>BK415/BK414</f>
        <v>0.22339428663221869</v>
      </c>
      <c r="BM414" s="214">
        <v>379.36</v>
      </c>
      <c r="BN414" s="222">
        <f>BM415/BM414</f>
        <v>0.12233762125685371</v>
      </c>
      <c r="BO414" s="321">
        <v>550.77</v>
      </c>
      <c r="BP414" s="222">
        <f>BO415/BO414</f>
        <v>0.32467273090400711</v>
      </c>
      <c r="BQ414" s="214">
        <v>411.98</v>
      </c>
      <c r="BR414" s="222">
        <f>BQ415/BQ414</f>
        <v>0.20547113937569791</v>
      </c>
      <c r="BS414" s="214">
        <v>322.51</v>
      </c>
      <c r="BT414" s="222">
        <f>BS415/BS414</f>
        <v>0.21853585935319833</v>
      </c>
      <c r="BU414" s="214">
        <v>250.16</v>
      </c>
      <c r="BV414" s="222">
        <f>BU415/BU414</f>
        <v>0.1551806843620083</v>
      </c>
      <c r="BW414" s="214">
        <v>271.08</v>
      </c>
      <c r="BX414" s="222">
        <f>BW415/BW414</f>
        <v>0.25162313708130435</v>
      </c>
      <c r="BY414" s="214">
        <v>247.65</v>
      </c>
      <c r="BZ414" s="222">
        <f>BY415/BY414</f>
        <v>0.20040379567938632</v>
      </c>
      <c r="CA414" s="214">
        <v>299.08</v>
      </c>
      <c r="CB414" s="222">
        <f>CA415/CA414</f>
        <v>0.4095559716463823</v>
      </c>
      <c r="CC414" s="214">
        <v>281.66000000000003</v>
      </c>
      <c r="CD414" s="222">
        <f>CC415/CC414</f>
        <v>0.35432791308670036</v>
      </c>
      <c r="CE414" s="214">
        <v>294.98</v>
      </c>
      <c r="CF414" s="222">
        <f>CE415/CE414</f>
        <v>0.34558275137297451</v>
      </c>
      <c r="CG414" s="214">
        <v>324.47000000000003</v>
      </c>
      <c r="CH414" s="222">
        <f>CG415/CG414</f>
        <v>0.56865041452214382</v>
      </c>
    </row>
    <row r="415" spans="1:87">
      <c r="C415" s="241" t="s">
        <v>9</v>
      </c>
      <c r="D415" s="246"/>
      <c r="E415" s="246"/>
      <c r="P415" s="272">
        <f>SUM(P413:P414)</f>
        <v>76.550000000000011</v>
      </c>
      <c r="R415" s="214">
        <f>SUM(R413:R414)</f>
        <v>29.520000000000039</v>
      </c>
      <c r="S415" s="214"/>
      <c r="T415" s="214">
        <f>T413+T414</f>
        <v>167.29000000000002</v>
      </c>
      <c r="V415" s="214">
        <f>V413+V414</f>
        <v>53.820000000000022</v>
      </c>
      <c r="X415" s="214">
        <f>X413+X414</f>
        <v>55.789999999999992</v>
      </c>
      <c r="Z415" s="214">
        <f>Z413+Z414</f>
        <v>33.22</v>
      </c>
      <c r="AB415" s="243">
        <f>AB413+AB414</f>
        <v>45.960000000000008</v>
      </c>
      <c r="AD415" s="243">
        <f>AD413+AD414</f>
        <v>53.629999999999995</v>
      </c>
      <c r="AF415" s="243">
        <f>AF413+AF414</f>
        <v>68.559999999999974</v>
      </c>
      <c r="AH415" s="243">
        <f>AH413+AH414</f>
        <v>85.950000000000045</v>
      </c>
      <c r="AJ415" s="243">
        <f>AJ413+AJ414</f>
        <v>118.73000000000002</v>
      </c>
      <c r="AL415" s="243">
        <f>AL413+AL414</f>
        <v>164.88000000000005</v>
      </c>
      <c r="AN415" s="243">
        <f>AN413+AN414</f>
        <v>171.73000000000002</v>
      </c>
      <c r="AP415" s="214">
        <f>AP413+AP414</f>
        <v>221.3</v>
      </c>
      <c r="AR415" s="214">
        <f>AR413+AR414</f>
        <v>118.28000000000003</v>
      </c>
      <c r="AT415" s="214">
        <f>AT413+AT414</f>
        <v>113.86000000000001</v>
      </c>
      <c r="AV415" s="214">
        <f>AV413+AV414</f>
        <v>-16.320000000000007</v>
      </c>
      <c r="AX415" s="214">
        <f>AX413+AX414</f>
        <v>97.950000000000017</v>
      </c>
      <c r="BA415" s="214">
        <f>BA413+BA414</f>
        <v>20.309999999999974</v>
      </c>
      <c r="BC415" s="214">
        <f>BC413+BC414</f>
        <v>29.110000000000014</v>
      </c>
      <c r="BE415" s="214">
        <f>BE413+BE414</f>
        <v>40.449999999999989</v>
      </c>
      <c r="BG415" s="214">
        <f>BG413+BG414</f>
        <v>39.02000000000001</v>
      </c>
      <c r="BI415" s="214">
        <f>BI413+BI414</f>
        <v>73.089999999999975</v>
      </c>
      <c r="BK415" s="214">
        <f>BK413+BK414</f>
        <v>83.44</v>
      </c>
      <c r="BM415" s="214">
        <f>BM413+BM414</f>
        <v>46.410000000000025</v>
      </c>
      <c r="BO415" s="214">
        <f>BO413+BO414</f>
        <v>178.82</v>
      </c>
      <c r="BQ415" s="214">
        <f>BQ413+BQ414</f>
        <v>84.650000000000034</v>
      </c>
      <c r="BS415" s="214">
        <f>BS413+BS414</f>
        <v>70.47999999999999</v>
      </c>
      <c r="BU415" s="214">
        <f>BU413+BU414</f>
        <v>38.819999999999993</v>
      </c>
      <c r="BW415" s="214">
        <f>BW413+BW414</f>
        <v>68.20999999999998</v>
      </c>
      <c r="BY415" s="214">
        <f>BY413+BY414</f>
        <v>49.630000000000024</v>
      </c>
      <c r="CA415" s="214">
        <f>CA413+CA414</f>
        <v>122.49000000000001</v>
      </c>
      <c r="CC415" s="214">
        <f>CC413+CC414</f>
        <v>99.80000000000004</v>
      </c>
      <c r="CE415" s="214">
        <f>CE413+CE414</f>
        <v>101.94000000000003</v>
      </c>
      <c r="CG415" s="214">
        <f>CG413+CG414</f>
        <v>184.51000000000002</v>
      </c>
    </row>
    <row r="416" spans="1:87">
      <c r="A416" s="211">
        <v>127</v>
      </c>
      <c r="B416" s="279">
        <v>157362528</v>
      </c>
      <c r="C416" s="213" t="s">
        <v>156</v>
      </c>
      <c r="AP416" s="214"/>
      <c r="AT416" s="214"/>
    </row>
    <row r="417" spans="1:87">
      <c r="C417" s="253" t="s">
        <v>157</v>
      </c>
      <c r="J417" s="235">
        <v>45017</v>
      </c>
      <c r="K417" s="235"/>
      <c r="L417" s="246">
        <v>45047</v>
      </c>
      <c r="M417" s="235"/>
      <c r="N417" s="235">
        <v>45078</v>
      </c>
      <c r="O417" s="235"/>
      <c r="P417" s="235">
        <v>45108</v>
      </c>
      <c r="Q417" s="235"/>
      <c r="R417" s="235">
        <v>45139</v>
      </c>
      <c r="S417" s="235"/>
      <c r="T417" s="235">
        <v>45170</v>
      </c>
      <c r="U417" s="235"/>
      <c r="V417" s="235">
        <v>45200</v>
      </c>
      <c r="W417" s="235"/>
      <c r="X417" s="235">
        <v>45231</v>
      </c>
      <c r="Y417" s="235"/>
      <c r="Z417" s="235">
        <v>45261</v>
      </c>
      <c r="AA417" s="235"/>
      <c r="AB417" s="235">
        <v>45292</v>
      </c>
      <c r="AC417" s="235"/>
      <c r="AD417" s="235">
        <v>45323</v>
      </c>
      <c r="AE417" s="235"/>
      <c r="AF417" s="235">
        <v>45352</v>
      </c>
      <c r="AH417" s="235">
        <v>45383</v>
      </c>
      <c r="AJ417" s="235">
        <v>45413</v>
      </c>
      <c r="AL417" s="235">
        <v>45444</v>
      </c>
      <c r="AN417" s="235">
        <v>45474</v>
      </c>
      <c r="AP417" s="235">
        <v>45505</v>
      </c>
      <c r="AR417" s="236">
        <v>45536</v>
      </c>
      <c r="AT417" s="236">
        <v>45566</v>
      </c>
      <c r="AV417" s="235">
        <v>45597</v>
      </c>
      <c r="AX417" s="235">
        <v>45627</v>
      </c>
      <c r="BA417" s="235">
        <v>45658</v>
      </c>
      <c r="BC417" s="235">
        <v>45689</v>
      </c>
      <c r="BE417" s="235">
        <v>45717</v>
      </c>
      <c r="BG417" s="235">
        <v>45748</v>
      </c>
      <c r="BI417" s="235">
        <v>45778</v>
      </c>
      <c r="BK417" s="235">
        <v>45809</v>
      </c>
      <c r="BM417" s="235">
        <v>45839</v>
      </c>
      <c r="BO417" s="235">
        <v>45870</v>
      </c>
      <c r="BQ417" s="235">
        <v>45901</v>
      </c>
      <c r="BS417" s="235">
        <v>45931</v>
      </c>
      <c r="BU417" s="235">
        <v>45962</v>
      </c>
      <c r="BW417" s="235">
        <v>45992</v>
      </c>
      <c r="BY417" s="235">
        <v>46023</v>
      </c>
      <c r="CA417" s="235">
        <v>46054</v>
      </c>
      <c r="CC417" s="235">
        <v>46082</v>
      </c>
      <c r="CE417" s="235">
        <v>46113</v>
      </c>
      <c r="CG417" s="235">
        <v>46143</v>
      </c>
      <c r="CI417" s="341">
        <v>46174</v>
      </c>
    </row>
    <row r="418" spans="1:87">
      <c r="C418" s="213" t="s">
        <v>7</v>
      </c>
      <c r="P418" s="214">
        <v>0</v>
      </c>
      <c r="R418" s="237">
        <v>-499.72</v>
      </c>
      <c r="T418" s="237">
        <v>-393.07</v>
      </c>
      <c r="V418" s="237">
        <v>-320.36</v>
      </c>
      <c r="X418" s="238">
        <f>-81.9-207.64</f>
        <v>-289.53999999999996</v>
      </c>
      <c r="Z418" s="238">
        <v>-373.19</v>
      </c>
      <c r="AB418" s="238">
        <v>-481.4</v>
      </c>
      <c r="AD418" s="237">
        <v>-372.03</v>
      </c>
      <c r="AF418" s="237">
        <v>-337.02</v>
      </c>
      <c r="AH418" s="237">
        <v>-287.24</v>
      </c>
      <c r="AJ418" s="237">
        <v>-266.83</v>
      </c>
      <c r="AL418" s="237">
        <f>-51.67-330.65</f>
        <v>-382.32</v>
      </c>
      <c r="AN418" s="237">
        <v>-427.17</v>
      </c>
      <c r="AP418" s="237">
        <f>-21.91-415.57</f>
        <v>-437.48</v>
      </c>
      <c r="AR418" s="237">
        <v>-304.87</v>
      </c>
      <c r="AT418" s="237">
        <v>-255.85</v>
      </c>
      <c r="AV418" s="237">
        <f>-210.16-79.44</f>
        <v>-289.60000000000002</v>
      </c>
      <c r="AX418" s="237">
        <v>-284.7</v>
      </c>
      <c r="BA418" s="237">
        <v>-336.22</v>
      </c>
      <c r="BC418" s="237">
        <v>-313.91000000000003</v>
      </c>
      <c r="BE418" s="237">
        <v>-275.43</v>
      </c>
      <c r="BG418" s="237">
        <f>-3.15-198.4</f>
        <v>-201.55</v>
      </c>
      <c r="BI418" s="237">
        <v>-205.92</v>
      </c>
      <c r="BK418" s="237">
        <v>-319.39999999999998</v>
      </c>
      <c r="BM418" s="237">
        <v>-423.55</v>
      </c>
      <c r="BO418" s="320">
        <v>-349.1</v>
      </c>
      <c r="BQ418" s="237">
        <v>-280.10000000000002</v>
      </c>
      <c r="BS418" s="237">
        <v>-223.89</v>
      </c>
      <c r="BU418" s="237">
        <v>-248.46</v>
      </c>
      <c r="BW418" s="237">
        <v>-350.28</v>
      </c>
      <c r="BY418" s="237">
        <v>-384.96</v>
      </c>
      <c r="CA418" s="237">
        <v>-301.83</v>
      </c>
      <c r="CC418" s="237">
        <v>-297.62</v>
      </c>
      <c r="CE418" s="237">
        <f>-166.39-44.76-8.36</f>
        <v>-219.51</v>
      </c>
      <c r="CG418" s="237">
        <v>-250.82</v>
      </c>
    </row>
    <row r="419" spans="1:87">
      <c r="C419" s="213" t="s">
        <v>8</v>
      </c>
      <c r="P419" s="214"/>
      <c r="R419" s="214">
        <v>667.04</v>
      </c>
      <c r="S419" s="276">
        <f>ABS(((R418+R419)/R418))</f>
        <v>0.33482750340190492</v>
      </c>
      <c r="T419" s="214">
        <v>611.91999999999996</v>
      </c>
      <c r="V419" s="214">
        <v>349.85</v>
      </c>
      <c r="W419" s="222">
        <f>ABS(((V418+V419)/V418))</f>
        <v>9.2052690722936717E-2</v>
      </c>
      <c r="X419" s="213">
        <v>443.93</v>
      </c>
      <c r="Z419" s="213">
        <v>463.98</v>
      </c>
      <c r="AB419" s="213">
        <v>606.22</v>
      </c>
      <c r="AC419" s="222">
        <f>ABS(((AB418+AB419)/AB418))</f>
        <v>0.25928541753219786</v>
      </c>
      <c r="AD419" s="213">
        <v>481.24</v>
      </c>
      <c r="AE419" s="222">
        <f>ABS(((AD418+AD419)/AD418))</f>
        <v>0.2935515953014543</v>
      </c>
      <c r="AF419" s="213">
        <v>453.91</v>
      </c>
      <c r="AG419" s="222">
        <f>ABS(((AF418+AF419)/AF418))</f>
        <v>0.34683401578541345</v>
      </c>
      <c r="AH419" s="214">
        <v>410.94</v>
      </c>
      <c r="AI419" s="222">
        <f>ABS(((AH418+AH419)/AH418))</f>
        <v>0.43065032725247177</v>
      </c>
      <c r="AJ419" s="214">
        <v>431.54</v>
      </c>
      <c r="AK419" s="222">
        <f>ABS(((AJ418+AJ419)/AJ418))</f>
        <v>0.61728441329685579</v>
      </c>
      <c r="AL419" s="214">
        <v>501.04</v>
      </c>
      <c r="AM419" s="222">
        <f>ABS(((AL418+AL419)/AL418))</f>
        <v>0.3105252144800168</v>
      </c>
      <c r="AN419" s="214">
        <v>693.23</v>
      </c>
      <c r="AO419" s="222">
        <f>ABS(((AN418+AN419)/AN418))</f>
        <v>0.62284336446847854</v>
      </c>
      <c r="AP419" s="214">
        <v>552.9</v>
      </c>
      <c r="AQ419" s="222">
        <f>ABS(((AP418+AP419)/AP418))</f>
        <v>0.26382920362073686</v>
      </c>
      <c r="AR419" s="214">
        <v>433.72</v>
      </c>
      <c r="AS419" s="222">
        <f>ABS(((AR418+AR419)/AR418))</f>
        <v>0.42263915767376264</v>
      </c>
      <c r="AT419" s="214">
        <v>362.57</v>
      </c>
      <c r="AU419" s="222">
        <f>AT420/AT419</f>
        <v>0.29434316132057259</v>
      </c>
      <c r="AV419" s="214">
        <v>340.99</v>
      </c>
      <c r="AW419" s="222">
        <f>AV420/AV419</f>
        <v>0.15070823191295929</v>
      </c>
      <c r="AX419" s="214">
        <v>389.79</v>
      </c>
      <c r="AY419" s="224">
        <f>AX420/AX419</f>
        <v>0.26960671130608799</v>
      </c>
      <c r="AZ419" s="225"/>
      <c r="BA419" s="214">
        <v>446.52</v>
      </c>
      <c r="BB419" s="222">
        <f>BA420/BA419</f>
        <v>0.24702141001522879</v>
      </c>
      <c r="BC419" s="214">
        <v>418.69</v>
      </c>
      <c r="BD419" s="222">
        <f>BC420/BC419</f>
        <v>0.25025675320642954</v>
      </c>
      <c r="BE419" s="214">
        <v>387.06</v>
      </c>
      <c r="BF419" s="222">
        <f>BE420/BE419</f>
        <v>0.28840489846535422</v>
      </c>
      <c r="BG419" s="214">
        <v>287.83999999999997</v>
      </c>
      <c r="BH419" s="222">
        <f>BG420/BG419</f>
        <v>0.29978460255697598</v>
      </c>
      <c r="BI419" s="214">
        <v>309.27999999999997</v>
      </c>
      <c r="BJ419" s="222">
        <f>BI420/BI419</f>
        <v>0.33419555095706155</v>
      </c>
      <c r="BK419" s="214">
        <v>360.8</v>
      </c>
      <c r="BL419" s="222">
        <f>BK420/BK419</f>
        <v>0.11474501108647459</v>
      </c>
      <c r="BM419" s="214">
        <v>523.09</v>
      </c>
      <c r="BN419" s="222">
        <f>BM420/BM419</f>
        <v>0.19029230151599155</v>
      </c>
      <c r="BO419" s="321">
        <v>475.61</v>
      </c>
      <c r="BP419" s="222">
        <f>BO420/BO419</f>
        <v>0.26599524820756498</v>
      </c>
      <c r="BQ419" s="214">
        <v>414.61</v>
      </c>
      <c r="BR419" s="222">
        <f>BQ420/BQ419</f>
        <v>0.32442536359470342</v>
      </c>
      <c r="BS419" s="214">
        <v>335.53</v>
      </c>
      <c r="BT419" s="222">
        <f>BS420/BS419</f>
        <v>0.33272732691562601</v>
      </c>
      <c r="BU419" s="214">
        <v>354.84</v>
      </c>
      <c r="BV419" s="222">
        <f>BU420/BU419</f>
        <v>0.29979709164693941</v>
      </c>
      <c r="BW419" s="214">
        <v>421.51</v>
      </c>
      <c r="BX419" s="222">
        <f>BW420/BW419</f>
        <v>0.16898768712486067</v>
      </c>
      <c r="BY419" s="214">
        <v>502.41</v>
      </c>
      <c r="BZ419" s="222">
        <f>BY420/BY419</f>
        <v>0.23377321311279639</v>
      </c>
      <c r="CA419" s="214">
        <v>454.39</v>
      </c>
      <c r="CB419" s="222">
        <f>CA420/CA419</f>
        <v>0.33574682541429168</v>
      </c>
      <c r="CC419" s="214">
        <v>353.18</v>
      </c>
      <c r="CD419" s="222">
        <f>CC420/CC419</f>
        <v>0.15731355116371257</v>
      </c>
      <c r="CE419" s="214">
        <v>161.47</v>
      </c>
      <c r="CF419" s="222">
        <f>CE420/CE419</f>
        <v>-0.35944757540100325</v>
      </c>
      <c r="CG419" s="214">
        <v>302.83999999999997</v>
      </c>
      <c r="CH419" s="222">
        <f>CG420/CG419</f>
        <v>0.17177387399286748</v>
      </c>
    </row>
    <row r="420" spans="1:87">
      <c r="C420" s="241" t="s">
        <v>9</v>
      </c>
      <c r="P420" s="214"/>
      <c r="R420" s="214">
        <f>SUM(R418:R419)</f>
        <v>167.31999999999994</v>
      </c>
      <c r="S420" s="214"/>
      <c r="T420" s="214">
        <f>T418+T419</f>
        <v>218.84999999999997</v>
      </c>
      <c r="V420" s="214">
        <f>V418+V419</f>
        <v>29.490000000000009</v>
      </c>
      <c r="X420" s="214">
        <f>X418+X419</f>
        <v>154.39000000000004</v>
      </c>
      <c r="Z420" s="214">
        <f>Z418+Z419</f>
        <v>90.79000000000002</v>
      </c>
      <c r="AB420" s="242">
        <f>AB418+AB419</f>
        <v>124.82000000000005</v>
      </c>
      <c r="AD420" s="242">
        <f>AD418+AD419</f>
        <v>109.21000000000004</v>
      </c>
      <c r="AF420" s="242">
        <f>AF418+AF419</f>
        <v>116.89000000000004</v>
      </c>
      <c r="AH420" s="242">
        <f>AH418+AH419</f>
        <v>123.69999999999999</v>
      </c>
      <c r="AJ420" s="242">
        <f>AJ418+AJ419</f>
        <v>164.71000000000004</v>
      </c>
      <c r="AL420" s="242">
        <f>AL418+AL419</f>
        <v>118.72000000000003</v>
      </c>
      <c r="AN420" s="242">
        <f>AN418+AN419</f>
        <v>266.06</v>
      </c>
      <c r="AP420" s="214">
        <f>AP418+AP419</f>
        <v>115.41999999999996</v>
      </c>
      <c r="AR420" s="214">
        <f>AR418+AR419</f>
        <v>128.85000000000002</v>
      </c>
      <c r="AT420" s="214">
        <f>AT418+AT419</f>
        <v>106.72</v>
      </c>
      <c r="AV420" s="214">
        <f>AV418+AV419</f>
        <v>51.389999999999986</v>
      </c>
      <c r="AX420" s="214">
        <f>AX418+AX419</f>
        <v>105.09000000000003</v>
      </c>
      <c r="BA420" s="214">
        <f>BA418+BA419</f>
        <v>110.29999999999995</v>
      </c>
      <c r="BC420" s="214">
        <f>BC418+BC419</f>
        <v>104.77999999999997</v>
      </c>
      <c r="BE420" s="214">
        <f>BE418+BE419</f>
        <v>111.63</v>
      </c>
      <c r="BG420" s="214">
        <f>BG418+BG419</f>
        <v>86.289999999999964</v>
      </c>
      <c r="BI420" s="214">
        <f>BI418+BI419</f>
        <v>103.35999999999999</v>
      </c>
      <c r="BK420" s="214">
        <f>BK418+BK419</f>
        <v>41.400000000000034</v>
      </c>
      <c r="BM420" s="214">
        <f>BM418+BM419</f>
        <v>99.54000000000002</v>
      </c>
      <c r="BO420" s="214">
        <f>BO418+BO419</f>
        <v>126.50999999999999</v>
      </c>
      <c r="BQ420" s="214">
        <f>BQ418+BQ419</f>
        <v>134.51</v>
      </c>
      <c r="BS420" s="214">
        <f>BS418+BS419</f>
        <v>111.63999999999999</v>
      </c>
      <c r="BU420" s="214">
        <f>BU418+BU419</f>
        <v>106.37999999999997</v>
      </c>
      <c r="BW420" s="214">
        <f>BW418+BW419</f>
        <v>71.230000000000018</v>
      </c>
      <c r="BY420" s="214">
        <f>BY418+BY419</f>
        <v>117.45000000000005</v>
      </c>
      <c r="CA420" s="214">
        <f>CA418+CA419</f>
        <v>152.56</v>
      </c>
      <c r="CC420" s="214">
        <f>CC418+CC419</f>
        <v>55.56</v>
      </c>
      <c r="CE420" s="214">
        <f>CE418+CE419</f>
        <v>-58.039999999999992</v>
      </c>
      <c r="CG420" s="214">
        <f>CG418+CG419</f>
        <v>52.019999999999982</v>
      </c>
    </row>
    <row r="421" spans="1:87">
      <c r="A421" s="211">
        <v>128</v>
      </c>
      <c r="B421" s="232">
        <v>116842647</v>
      </c>
      <c r="C421" s="213" t="s">
        <v>158</v>
      </c>
      <c r="P421" s="214"/>
      <c r="AP421" s="214"/>
      <c r="AT421" s="214"/>
    </row>
    <row r="422" spans="1:87">
      <c r="C422" s="253" t="s">
        <v>159</v>
      </c>
      <c r="N422" s="235">
        <v>45078</v>
      </c>
      <c r="O422" s="235"/>
      <c r="P422" s="235">
        <v>45108</v>
      </c>
      <c r="Q422" s="235"/>
      <c r="R422" s="235">
        <v>45139</v>
      </c>
      <c r="S422" s="235"/>
      <c r="T422" s="235">
        <v>45170</v>
      </c>
      <c r="U422" s="235"/>
      <c r="V422" s="235">
        <v>45200</v>
      </c>
      <c r="W422" s="235"/>
      <c r="X422" s="235">
        <v>45231</v>
      </c>
      <c r="Y422" s="235"/>
      <c r="Z422" s="235">
        <v>45261</v>
      </c>
      <c r="AA422" s="235"/>
      <c r="AB422" s="235">
        <v>45292</v>
      </c>
      <c r="AC422" s="235"/>
      <c r="AD422" s="235">
        <v>45323</v>
      </c>
      <c r="AE422" s="235"/>
      <c r="AF422" s="235">
        <v>45352</v>
      </c>
      <c r="AH422" s="235">
        <v>45383</v>
      </c>
      <c r="AJ422" s="235">
        <v>45413</v>
      </c>
      <c r="AL422" s="235">
        <v>45444</v>
      </c>
      <c r="AN422" s="235">
        <v>45474</v>
      </c>
      <c r="AP422" s="235">
        <v>45505</v>
      </c>
      <c r="AR422" s="236">
        <v>45536</v>
      </c>
      <c r="AT422" s="236">
        <v>45566</v>
      </c>
      <c r="AV422" s="235">
        <v>45597</v>
      </c>
      <c r="AX422" s="235">
        <v>45627</v>
      </c>
      <c r="BA422" s="235">
        <v>45658</v>
      </c>
      <c r="BC422" s="235">
        <v>45689</v>
      </c>
      <c r="BE422" s="235">
        <v>45717</v>
      </c>
      <c r="BG422" s="235">
        <v>45748</v>
      </c>
      <c r="BI422" s="235">
        <v>45778</v>
      </c>
      <c r="BK422" s="235">
        <v>45809</v>
      </c>
      <c r="BM422" s="235">
        <v>45839</v>
      </c>
      <c r="BO422" s="235">
        <v>45870</v>
      </c>
      <c r="BQ422" s="235">
        <v>45901</v>
      </c>
      <c r="BS422" s="235">
        <v>45931</v>
      </c>
      <c r="BU422" s="235">
        <v>45962</v>
      </c>
      <c r="BW422" s="235">
        <v>45992</v>
      </c>
      <c r="BY422" s="235">
        <v>46023</v>
      </c>
      <c r="CA422" s="235">
        <v>46054</v>
      </c>
      <c r="CC422" s="235">
        <v>46082</v>
      </c>
      <c r="CE422" s="235">
        <v>46113</v>
      </c>
      <c r="CG422" s="235">
        <v>46143</v>
      </c>
      <c r="CI422" s="341">
        <v>46174</v>
      </c>
    </row>
    <row r="423" spans="1:87">
      <c r="C423" s="213" t="s">
        <v>7</v>
      </c>
      <c r="P423" s="237">
        <v>-33.119999999999997</v>
      </c>
      <c r="R423" s="237">
        <f>-112.99-19.75</f>
        <v>-132.74</v>
      </c>
      <c r="T423" s="237">
        <v>-61.15</v>
      </c>
      <c r="V423" s="214">
        <v>0</v>
      </c>
      <c r="X423" s="237">
        <v>-60.35</v>
      </c>
      <c r="Z423" s="238">
        <v>-60.86</v>
      </c>
      <c r="AB423" s="237">
        <f>-52.55-16.45</f>
        <v>-69</v>
      </c>
      <c r="AD423" s="237">
        <f>-49.39-16.94</f>
        <v>-66.33</v>
      </c>
      <c r="AF423" s="237">
        <f>-50.97-19.2</f>
        <v>-70.17</v>
      </c>
      <c r="AH423" s="237">
        <f>-34.48-14.4-12.79</f>
        <v>-61.669999999999995</v>
      </c>
      <c r="AJ423" s="237">
        <f>-57.56-21.92</f>
        <v>-79.48</v>
      </c>
      <c r="AL423" s="237">
        <f>-63.14-27.28</f>
        <v>-90.42</v>
      </c>
      <c r="AN423" s="237">
        <f>-81.86-22.19</f>
        <v>-104.05</v>
      </c>
      <c r="AP423" s="237">
        <f>-66.46-26.91</f>
        <v>-93.36999999999999</v>
      </c>
      <c r="AR423" s="237">
        <f>-65.71-4.7-15.54</f>
        <v>-85.949999999999989</v>
      </c>
      <c r="AT423" s="237">
        <f>-69.89-10.32</f>
        <v>-80.210000000000008</v>
      </c>
      <c r="AV423" s="237">
        <f>-64.58-12.28</f>
        <v>-76.86</v>
      </c>
      <c r="AX423" s="237">
        <f>-64.48-31</f>
        <v>-95.48</v>
      </c>
      <c r="BA423" s="237">
        <f>-80.7-15.65</f>
        <v>-96.350000000000009</v>
      </c>
      <c r="BC423" s="237">
        <f>-78.33-7.83</f>
        <v>-86.16</v>
      </c>
      <c r="BE423" s="237">
        <f>-65.18-17.46</f>
        <v>-82.640000000000015</v>
      </c>
      <c r="BG423" s="237">
        <f>-75.71-11.4</f>
        <v>-87.11</v>
      </c>
      <c r="BI423" s="237">
        <f>-74.05-16.45</f>
        <v>-90.5</v>
      </c>
      <c r="BK423" s="237">
        <f>-78.85-20.34</f>
        <v>-99.19</v>
      </c>
      <c r="BM423" s="237">
        <f>-81.4-23.38</f>
        <v>-104.78</v>
      </c>
      <c r="BO423" s="320">
        <f>-83.39-18.18</f>
        <v>-101.57</v>
      </c>
      <c r="BQ423" s="237">
        <f>-69.73-17.5</f>
        <v>-87.23</v>
      </c>
      <c r="BS423" s="237">
        <f>-67.45-10</f>
        <v>-77.45</v>
      </c>
      <c r="BU423" s="237">
        <f>-57.52-19.04</f>
        <v>-76.56</v>
      </c>
      <c r="BW423" s="237">
        <f>-76.19-28</f>
        <v>-104.19</v>
      </c>
      <c r="BY423" s="237">
        <f>-70.05-16.2</f>
        <v>-86.25</v>
      </c>
      <c r="CA423" s="237">
        <f>-61.99-12.65</f>
        <v>-74.64</v>
      </c>
      <c r="CC423" s="237">
        <f>-58.31-22.96</f>
        <v>-81.27000000000001</v>
      </c>
      <c r="CE423" s="237">
        <f>-66-20.86</f>
        <v>-86.86</v>
      </c>
      <c r="CG423" s="237">
        <v>-74.63</v>
      </c>
    </row>
    <row r="424" spans="1:87">
      <c r="C424" s="213" t="s">
        <v>8</v>
      </c>
      <c r="P424" s="214">
        <v>48.21</v>
      </c>
      <c r="R424" s="214">
        <v>166.79</v>
      </c>
      <c r="T424" s="214">
        <v>89.94</v>
      </c>
      <c r="V424" s="214">
        <v>88.55</v>
      </c>
      <c r="W424" s="222" t="e">
        <f>ABS(((V423+V424)/V423))</f>
        <v>#DIV/0!</v>
      </c>
      <c r="X424" s="214">
        <v>85.19</v>
      </c>
      <c r="Y424" s="222">
        <f>ABS(((X423+X424)/X423))</f>
        <v>0.41159900579950282</v>
      </c>
      <c r="Z424" s="213">
        <v>94.47</v>
      </c>
      <c r="AA424" s="222">
        <f>ABS(((Z423+Z424)/Z423))</f>
        <v>0.55225106802497537</v>
      </c>
      <c r="AB424" s="214">
        <v>95.4</v>
      </c>
      <c r="AC424" s="222">
        <f>ABS(((AB423+AB424)/AB423))</f>
        <v>0.38260869565217398</v>
      </c>
      <c r="AD424" s="214">
        <v>98.05</v>
      </c>
      <c r="AE424" s="222">
        <f>ABS(((AD423+AD424)/AD423))</f>
        <v>0.47821498567767223</v>
      </c>
      <c r="AF424" s="214">
        <v>101.3</v>
      </c>
      <c r="AG424" s="222">
        <f>ABS(((AF423+AF424)/AF423))</f>
        <v>0.44363688185834393</v>
      </c>
      <c r="AH424" s="214">
        <v>112.63</v>
      </c>
      <c r="AI424" s="222">
        <f>ABS(((AH423+AH424)/AH423))</f>
        <v>0.82633371169126002</v>
      </c>
      <c r="AJ424" s="214">
        <v>105.21</v>
      </c>
      <c r="AK424" s="222">
        <f>ABS(((AJ423+AJ424)/AJ423))</f>
        <v>0.32372924006039239</v>
      </c>
      <c r="AL424" s="214">
        <v>122.93</v>
      </c>
      <c r="AM424" s="222">
        <f>ABS(((AL423+AL424)/AL423))</f>
        <v>0.35954434859544354</v>
      </c>
      <c r="AN424" s="214">
        <v>153.33000000000001</v>
      </c>
      <c r="AO424" s="222">
        <f>ABS(((AN423+AN424)/AN423))</f>
        <v>0.47361845266698721</v>
      </c>
      <c r="AP424" s="214">
        <v>147.01</v>
      </c>
      <c r="AQ424" s="222">
        <f>ABS(((AP423+AP424)/AP423))</f>
        <v>0.57448859376673456</v>
      </c>
      <c r="AR424" s="214">
        <v>140.11000000000001</v>
      </c>
      <c r="AS424" s="222">
        <f>ABS(((AR423+AR424)/AR423))</f>
        <v>0.63013379872018649</v>
      </c>
      <c r="AT424" s="214">
        <v>105.85</v>
      </c>
      <c r="AU424" s="222">
        <f>AT425/AT424</f>
        <v>0.24222957014643351</v>
      </c>
      <c r="AV424" s="214">
        <v>109.16</v>
      </c>
      <c r="AW424" s="222">
        <f>AV425/AV424</f>
        <v>0.29589593257603514</v>
      </c>
      <c r="AX424" s="214">
        <v>122.99</v>
      </c>
      <c r="AY424" s="224">
        <f>AX425/AX424</f>
        <v>0.22367672168468974</v>
      </c>
      <c r="AZ424" s="225"/>
      <c r="BA424" s="214">
        <v>107.06</v>
      </c>
      <c r="BB424" s="222">
        <f>BA425/BA424</f>
        <v>0.10003736222678866</v>
      </c>
      <c r="BC424" s="214">
        <v>99.79</v>
      </c>
      <c r="BD424" s="222">
        <f>BC425/BC424</f>
        <v>0.13658683234793073</v>
      </c>
      <c r="BE424" s="214">
        <v>86.46</v>
      </c>
      <c r="BF424" s="222">
        <f>BE425/BE424</f>
        <v>4.4182280823501958E-2</v>
      </c>
      <c r="BG424" s="214">
        <v>97.2</v>
      </c>
      <c r="BH424" s="222">
        <f>BG425/BG424</f>
        <v>0.10380658436213995</v>
      </c>
      <c r="BI424" s="214">
        <v>98.66</v>
      </c>
      <c r="BJ424" s="222">
        <f>BI425/BI424</f>
        <v>8.2708291100750023E-2</v>
      </c>
      <c r="BK424" s="214">
        <v>118.04</v>
      </c>
      <c r="BL424" s="222">
        <f>BK425/BK424</f>
        <v>0.15969162995594721</v>
      </c>
      <c r="BM424" s="214">
        <v>121.23</v>
      </c>
      <c r="BN424" s="222">
        <f>BM425/BM424</f>
        <v>0.13569248535840966</v>
      </c>
      <c r="BO424" s="321">
        <v>123.07</v>
      </c>
      <c r="BP424" s="222">
        <f>BO425/BO424</f>
        <v>0.17469732672462826</v>
      </c>
      <c r="BQ424" s="214">
        <v>103.02</v>
      </c>
      <c r="BR424" s="222">
        <f>BQ425/BQ424</f>
        <v>0.1532712094738885</v>
      </c>
      <c r="BS424" s="214">
        <v>88.36</v>
      </c>
      <c r="BT424" s="222">
        <f>BS425/BS424</f>
        <v>0.12347215934812128</v>
      </c>
      <c r="BU424" s="214">
        <v>90.26</v>
      </c>
      <c r="BV424" s="222">
        <f>BU425/BU424</f>
        <v>0.1517837358741414</v>
      </c>
      <c r="BW424" s="214">
        <v>98.99</v>
      </c>
      <c r="BX424" s="222">
        <f>BW425/BW424</f>
        <v>-5.2530558642287131E-2</v>
      </c>
      <c r="BY424" s="214">
        <v>99.37</v>
      </c>
      <c r="BZ424" s="222">
        <f>BY425/BY424</f>
        <v>0.13203180034215561</v>
      </c>
      <c r="CA424" s="214">
        <v>91.81</v>
      </c>
      <c r="CB424" s="222">
        <f>CA425/CA424</f>
        <v>0.1870166648513234</v>
      </c>
      <c r="CC424" s="214">
        <v>107.98</v>
      </c>
      <c r="CD424" s="222">
        <f>CC425/CC424</f>
        <v>0.24736062233746983</v>
      </c>
      <c r="CE424" s="214">
        <v>116.25</v>
      </c>
      <c r="CF424" s="222">
        <f>CE425/CE424</f>
        <v>0.25281720430107529</v>
      </c>
      <c r="CG424" s="214">
        <v>128.05000000000001</v>
      </c>
      <c r="CH424" s="222">
        <f>CG425/CG424</f>
        <v>0.41718078875439291</v>
      </c>
    </row>
    <row r="425" spans="1:87">
      <c r="C425" s="241" t="s">
        <v>9</v>
      </c>
      <c r="P425" s="272">
        <f>SUM(P423:P424)</f>
        <v>15.090000000000003</v>
      </c>
      <c r="R425" s="214">
        <f>SUM(R423:R424)</f>
        <v>34.049999999999983</v>
      </c>
      <c r="S425" s="214"/>
      <c r="T425" s="214">
        <f>T423+T424</f>
        <v>28.79</v>
      </c>
      <c r="V425" s="214">
        <f>V423+V424</f>
        <v>88.55</v>
      </c>
      <c r="X425" s="214">
        <f>X423+X424</f>
        <v>24.839999999999996</v>
      </c>
      <c r="Z425" s="214">
        <f>Z423+Z424</f>
        <v>33.61</v>
      </c>
      <c r="AB425" s="243">
        <f>AB423+AB424</f>
        <v>26.400000000000006</v>
      </c>
      <c r="AD425" s="243">
        <f>AD423+AD424</f>
        <v>31.72</v>
      </c>
      <c r="AF425" s="243">
        <f>AF423+AF424</f>
        <v>31.129999999999995</v>
      </c>
      <c r="AH425" s="243">
        <f>AH423+AH424</f>
        <v>50.96</v>
      </c>
      <c r="AJ425" s="243">
        <f>AJ423+AJ424</f>
        <v>25.72999999999999</v>
      </c>
      <c r="AL425" s="243">
        <f>AL423+AL424</f>
        <v>32.510000000000005</v>
      </c>
      <c r="AN425" s="243">
        <f>AN423+AN424</f>
        <v>49.280000000000015</v>
      </c>
      <c r="AP425" s="214">
        <f>AP423+AP424</f>
        <v>53.64</v>
      </c>
      <c r="AR425" s="214">
        <f>AR423+AR424</f>
        <v>54.160000000000025</v>
      </c>
      <c r="AT425" s="214">
        <f>AT423+AT424</f>
        <v>25.639999999999986</v>
      </c>
      <c r="AV425" s="214">
        <f>AV423+AV424</f>
        <v>32.299999999999997</v>
      </c>
      <c r="AX425" s="214">
        <f>AX423+AX424</f>
        <v>27.509999999999991</v>
      </c>
      <c r="BA425" s="214">
        <f>BA423+BA424</f>
        <v>10.709999999999994</v>
      </c>
      <c r="BC425" s="214">
        <f>BC423+BC424</f>
        <v>13.63000000000001</v>
      </c>
      <c r="BE425" s="214">
        <f>BE423+BE424</f>
        <v>3.819999999999979</v>
      </c>
      <c r="BG425" s="214">
        <f>BG423+BG424</f>
        <v>10.090000000000003</v>
      </c>
      <c r="BI425" s="214">
        <f>BI423+BI424</f>
        <v>8.1599999999999966</v>
      </c>
      <c r="BK425" s="214">
        <f>BK423+BK424</f>
        <v>18.850000000000009</v>
      </c>
      <c r="BM425" s="214">
        <f>BM423+BM424</f>
        <v>16.450000000000003</v>
      </c>
      <c r="BO425" s="214">
        <f>BO423+BO424</f>
        <v>21.5</v>
      </c>
      <c r="BQ425" s="214">
        <f>BQ423+BQ424</f>
        <v>15.789999999999992</v>
      </c>
      <c r="BS425" s="214">
        <f>BS423+BS424</f>
        <v>10.909999999999997</v>
      </c>
      <c r="BU425" s="214">
        <f>BU423+BU424</f>
        <v>13.700000000000003</v>
      </c>
      <c r="BW425" s="214">
        <f>BW423+BW424</f>
        <v>-5.2000000000000028</v>
      </c>
      <c r="BY425" s="214">
        <f>BY423+BY424</f>
        <v>13.120000000000005</v>
      </c>
      <c r="CA425" s="214">
        <f>CA423+CA424</f>
        <v>17.170000000000002</v>
      </c>
      <c r="CC425" s="214">
        <f>CC423+CC424</f>
        <v>26.709999999999994</v>
      </c>
      <c r="CE425" s="214">
        <f>CE423+CE424</f>
        <v>29.39</v>
      </c>
      <c r="CG425" s="214">
        <f>CG423+CG424</f>
        <v>53.420000000000016</v>
      </c>
    </row>
    <row r="426" spans="1:87">
      <c r="A426" s="211">
        <v>129</v>
      </c>
      <c r="B426" s="279">
        <v>705799931</v>
      </c>
      <c r="C426" s="213" t="s">
        <v>160</v>
      </c>
      <c r="T426" s="235"/>
      <c r="AJ426" s="247"/>
      <c r="AP426" s="214"/>
      <c r="AT426" s="214"/>
    </row>
    <row r="427" spans="1:87">
      <c r="C427" s="253" t="s">
        <v>161</v>
      </c>
      <c r="N427" s="235">
        <v>45078</v>
      </c>
      <c r="O427" s="235"/>
      <c r="P427" s="235">
        <v>45108</v>
      </c>
      <c r="Q427" s="235"/>
      <c r="R427" s="235">
        <v>45139</v>
      </c>
      <c r="S427" s="235"/>
      <c r="T427" s="235">
        <v>45170</v>
      </c>
      <c r="U427" s="235"/>
      <c r="V427" s="235">
        <v>45200</v>
      </c>
      <c r="W427" s="235"/>
      <c r="X427" s="235">
        <v>45231</v>
      </c>
      <c r="Y427" s="235"/>
      <c r="Z427" s="235">
        <v>45261</v>
      </c>
      <c r="AA427" s="235"/>
      <c r="AB427" s="235">
        <v>45292</v>
      </c>
      <c r="AC427" s="235"/>
      <c r="AD427" s="235">
        <v>45323</v>
      </c>
      <c r="AE427" s="235"/>
      <c r="AF427" s="235">
        <v>45352</v>
      </c>
      <c r="AH427" s="235">
        <v>45383</v>
      </c>
      <c r="AJ427" s="235">
        <v>45413</v>
      </c>
      <c r="AL427" s="235">
        <v>45444</v>
      </c>
      <c r="AN427" s="235">
        <v>45474</v>
      </c>
      <c r="AP427" s="235">
        <v>45505</v>
      </c>
      <c r="AR427" s="236">
        <v>45536</v>
      </c>
      <c r="AT427" s="236">
        <v>45566</v>
      </c>
      <c r="AV427" s="235">
        <v>45597</v>
      </c>
      <c r="AX427" s="235">
        <v>45627</v>
      </c>
      <c r="BA427" s="235">
        <v>45658</v>
      </c>
      <c r="BC427" s="235">
        <v>45689</v>
      </c>
      <c r="BE427" s="235">
        <v>45717</v>
      </c>
      <c r="BG427" s="235">
        <v>45748</v>
      </c>
      <c r="BI427" s="235">
        <v>45778</v>
      </c>
      <c r="BK427" s="235">
        <v>45809</v>
      </c>
      <c r="BM427" s="235">
        <v>45839</v>
      </c>
      <c r="BO427" s="235">
        <v>45870</v>
      </c>
      <c r="BQ427" s="235">
        <v>45901</v>
      </c>
      <c r="BS427" s="235">
        <v>45931</v>
      </c>
      <c r="BU427" s="235">
        <v>45962</v>
      </c>
      <c r="BW427" s="235">
        <v>45992</v>
      </c>
      <c r="BY427" s="235">
        <v>46023</v>
      </c>
      <c r="CA427" s="235">
        <v>46054</v>
      </c>
      <c r="CC427" s="235">
        <v>46082</v>
      </c>
      <c r="CE427" s="235">
        <v>46113</v>
      </c>
      <c r="CG427" s="235">
        <v>46143</v>
      </c>
      <c r="CI427" s="341">
        <v>46174</v>
      </c>
    </row>
    <row r="428" spans="1:87">
      <c r="C428" s="213" t="s">
        <v>7</v>
      </c>
      <c r="T428" s="237">
        <v>-191.4</v>
      </c>
      <c r="V428" s="214">
        <v>0</v>
      </c>
      <c r="X428" s="237">
        <v>-229.04</v>
      </c>
      <c r="Z428" s="238">
        <v>-203.34</v>
      </c>
      <c r="AB428" s="238">
        <f>-241.33-70.42</f>
        <v>-311.75</v>
      </c>
      <c r="AD428" s="237">
        <f>-221.28-87.84</f>
        <v>-309.12</v>
      </c>
      <c r="AF428" s="237">
        <f>-230.6-127.8</f>
        <v>-358.4</v>
      </c>
      <c r="AH428" s="237">
        <f>-230.13-30.1-110.16-12.25</f>
        <v>-382.64</v>
      </c>
      <c r="AJ428" s="237">
        <f>-110.24-281.43</f>
        <v>-391.67</v>
      </c>
      <c r="AL428" s="237">
        <f>-303.28-103.6</f>
        <v>-406.88</v>
      </c>
      <c r="AN428" s="237">
        <f>-297.94-111.84</f>
        <v>-409.78</v>
      </c>
      <c r="AP428" s="237">
        <f>-307.51-101.36</f>
        <v>-408.87</v>
      </c>
      <c r="AR428" s="237">
        <f>-32.66-291.4-59.88</f>
        <v>-383.93999999999994</v>
      </c>
      <c r="AT428" s="237">
        <f>-249.46-56.7</f>
        <v>-306.16000000000003</v>
      </c>
      <c r="AV428" s="237">
        <f>-236.29-8.16</f>
        <v>-244.45</v>
      </c>
      <c r="AX428" s="237">
        <f>-40.03-183.37</f>
        <v>-223.4</v>
      </c>
      <c r="BA428" s="237">
        <f>-433.35-11.45</f>
        <v>-444.8</v>
      </c>
      <c r="BC428" s="237">
        <f>-57.16-58.38</f>
        <v>-115.53999999999999</v>
      </c>
      <c r="BE428" s="237">
        <f>-486.62-12.36</f>
        <v>-498.98</v>
      </c>
      <c r="BG428" s="237">
        <f>-51.6-10.3</f>
        <v>-61.900000000000006</v>
      </c>
      <c r="BI428" s="237">
        <f>-55.72-11.6</f>
        <v>-67.319999999999993</v>
      </c>
      <c r="BK428" s="237">
        <f>-72.43-188.6</f>
        <v>-261.02999999999997</v>
      </c>
      <c r="BM428" s="237">
        <f>-942.96-12.36-105.9</f>
        <v>-1061.22</v>
      </c>
      <c r="BO428" s="320">
        <f>-53.66-85.95-458.98</f>
        <v>-598.59</v>
      </c>
      <c r="BQ428" s="237">
        <f>-395.28-97.37</f>
        <v>-492.65</v>
      </c>
      <c r="BS428" s="237">
        <f>-361.75-43.95</f>
        <v>-405.7</v>
      </c>
      <c r="BU428" s="237">
        <f>-202.12-66.64</f>
        <v>-268.76</v>
      </c>
      <c r="BW428" s="237">
        <f>-199.85-120.1</f>
        <v>-319.95</v>
      </c>
      <c r="BY428" s="237">
        <f>-300.25-64.86</f>
        <v>-365.11</v>
      </c>
      <c r="CA428" s="237">
        <f>-237.72-58.02</f>
        <v>-295.74</v>
      </c>
      <c r="CC428" s="237">
        <f>-222.33-85.92</f>
        <v>-308.25</v>
      </c>
      <c r="CE428" s="237">
        <f>-257.76-66.24</f>
        <v>-324</v>
      </c>
      <c r="CG428" s="237">
        <v>-264.87</v>
      </c>
    </row>
    <row r="429" spans="1:87">
      <c r="C429" s="213" t="s">
        <v>8</v>
      </c>
      <c r="T429" s="214">
        <v>410.1</v>
      </c>
      <c r="U429" s="222">
        <f>ABS(((T428+T429)/T428))</f>
        <v>1.1426332288401255</v>
      </c>
      <c r="V429" s="214">
        <v>495.16</v>
      </c>
      <c r="W429" s="222" t="e">
        <f>ABS(((V428+V429)/V428))</f>
        <v>#DIV/0!</v>
      </c>
      <c r="X429" s="214">
        <v>141.56</v>
      </c>
      <c r="Y429" s="222"/>
      <c r="Z429" s="213">
        <v>392.86</v>
      </c>
      <c r="AA429" s="222"/>
      <c r="AB429" s="213">
        <v>413.35</v>
      </c>
      <c r="AC429" s="222"/>
      <c r="AD429" s="213">
        <v>389.61</v>
      </c>
      <c r="AE429" s="222">
        <f>ABS(((AD428+AD429)/AD428))</f>
        <v>0.26038431677018636</v>
      </c>
      <c r="AF429" s="213">
        <v>435.72</v>
      </c>
      <c r="AG429" s="222">
        <f>ABS(((AF428+AF429)/AF428))</f>
        <v>0.21573660714285731</v>
      </c>
      <c r="AH429" s="214">
        <v>434.11</v>
      </c>
      <c r="AI429" s="222">
        <f>ABS(((AH428+AH429)/AH428))</f>
        <v>0.13451285803888779</v>
      </c>
      <c r="AJ429" s="214">
        <v>483.69</v>
      </c>
      <c r="AK429" s="222">
        <f>ABS(((AJ428+AJ429)/AJ428))</f>
        <v>0.23494268133888216</v>
      </c>
      <c r="AL429" s="214">
        <v>510.34</v>
      </c>
      <c r="AM429" s="222">
        <f>ABS(((AL428+AL429)/AL428))</f>
        <v>0.2542764451435312</v>
      </c>
      <c r="AN429" s="214">
        <v>508.41</v>
      </c>
      <c r="AO429" s="222">
        <f>ABS(((AN428+AN429)/AN428))</f>
        <v>0.24069012640929294</v>
      </c>
      <c r="AP429" s="214">
        <v>549.44000000000005</v>
      </c>
      <c r="AQ429" s="222">
        <f>ABS(((AP428+AP429)/AP428))</f>
        <v>0.34380120820798798</v>
      </c>
      <c r="AR429" s="214">
        <v>544.74</v>
      </c>
      <c r="AS429" s="222">
        <f>ABS(((AR428+AR429)/AR428))</f>
        <v>0.41881543991248654</v>
      </c>
      <c r="AT429" s="214">
        <v>610.77</v>
      </c>
      <c r="AU429" s="222">
        <f>AT430/AT429</f>
        <v>0.49873110991044084</v>
      </c>
      <c r="AV429" s="214">
        <v>188.56</v>
      </c>
      <c r="AW429" s="222">
        <f>AV430/AV429</f>
        <v>-0.29640432753500207</v>
      </c>
      <c r="AX429" s="214">
        <v>794.46</v>
      </c>
      <c r="AY429" s="224">
        <f>AX430/AX429</f>
        <v>0.71880270875815022</v>
      </c>
      <c r="AZ429" s="225"/>
      <c r="BA429" s="214">
        <f>68.31+569.22</f>
        <v>637.53</v>
      </c>
      <c r="BB429" s="222">
        <f>BA430/BA429</f>
        <v>0.3023073423995733</v>
      </c>
      <c r="BC429" s="214">
        <v>618.4</v>
      </c>
      <c r="BD429" s="222">
        <f>BC430/BC429</f>
        <v>0.81316300129366115</v>
      </c>
      <c r="BE429" s="214">
        <v>608.5</v>
      </c>
      <c r="BF429" s="222">
        <f>BE430/BE429</f>
        <v>0.17998356614626126</v>
      </c>
      <c r="BG429" s="214">
        <v>590.74</v>
      </c>
      <c r="BH429" s="222">
        <f>BG430/BG429</f>
        <v>0.8952161695500559</v>
      </c>
      <c r="BI429" s="214">
        <v>591.54</v>
      </c>
      <c r="BJ429" s="222">
        <f>BI430/BI429</f>
        <v>0.8861953544984279</v>
      </c>
      <c r="BK429" s="214">
        <v>739.16</v>
      </c>
      <c r="BL429" s="222">
        <f>BK430/BK429</f>
        <v>0.64685589047026359</v>
      </c>
      <c r="BM429" s="214">
        <v>1862.25</v>
      </c>
      <c r="BN429" s="222">
        <f>BM430/BM429</f>
        <v>0.43014095851792183</v>
      </c>
      <c r="BO429" s="321">
        <v>1466.67</v>
      </c>
      <c r="BP429" s="222">
        <f>BO430/BO429</f>
        <v>0.59187138211049517</v>
      </c>
      <c r="BQ429" s="214">
        <v>1105.01</v>
      </c>
      <c r="BR429" s="222">
        <f>BQ430/BQ429</f>
        <v>0.55416693061601252</v>
      </c>
      <c r="BS429" s="214">
        <v>500.73</v>
      </c>
      <c r="BT429" s="222">
        <f>BS430/BS429</f>
        <v>0.18978291694126581</v>
      </c>
      <c r="BU429" s="214">
        <v>297.66000000000003</v>
      </c>
      <c r="BV429" s="222">
        <f>BU430/BU429</f>
        <v>9.7090640327890984E-2</v>
      </c>
      <c r="BW429" s="214">
        <v>486.46</v>
      </c>
      <c r="BX429" s="222">
        <f>BW430/BW429</f>
        <v>0.34228919130041524</v>
      </c>
      <c r="BY429" s="214">
        <v>454.94</v>
      </c>
      <c r="BZ429" s="222">
        <f>BY430/BY429</f>
        <v>0.19745460939904161</v>
      </c>
      <c r="CA429" s="214">
        <v>421.67</v>
      </c>
      <c r="CB429" s="222">
        <f>CA430/CA429</f>
        <v>0.29864586050703157</v>
      </c>
      <c r="CC429" s="214">
        <v>431.66</v>
      </c>
      <c r="CD429" s="222">
        <f>CC430/CC429</f>
        <v>0.28589630727887694</v>
      </c>
      <c r="CE429" s="214">
        <v>542.19000000000005</v>
      </c>
      <c r="CF429" s="222">
        <f>CE430/CE429</f>
        <v>0.40242350467548282</v>
      </c>
      <c r="CG429" s="214">
        <v>578.73</v>
      </c>
      <c r="CH429" s="222">
        <f>CG430/CG429</f>
        <v>0.54232543673215494</v>
      </c>
    </row>
    <row r="430" spans="1:87">
      <c r="C430" s="241" t="s">
        <v>9</v>
      </c>
      <c r="T430" s="214">
        <f>T428+T429</f>
        <v>218.70000000000002</v>
      </c>
      <c r="V430" s="214">
        <f>V428+V429</f>
        <v>495.16</v>
      </c>
      <c r="X430" s="214">
        <f>X428+X429</f>
        <v>-87.47999999999999</v>
      </c>
      <c r="Z430" s="214">
        <f>Z428+Z429</f>
        <v>189.52</v>
      </c>
      <c r="AB430" s="243">
        <f>AB428+AB429</f>
        <v>101.60000000000002</v>
      </c>
      <c r="AD430" s="243">
        <f>AD428+AD429</f>
        <v>80.490000000000009</v>
      </c>
      <c r="AF430" s="243">
        <f>AF428+AF429</f>
        <v>77.32000000000005</v>
      </c>
      <c r="AH430" s="243">
        <f>AH428+AH429</f>
        <v>51.470000000000027</v>
      </c>
      <c r="AJ430" s="243">
        <f>AJ428+AJ429</f>
        <v>92.019999999999982</v>
      </c>
      <c r="AL430" s="242">
        <f>AL428+AL429</f>
        <v>103.45999999999998</v>
      </c>
      <c r="AN430" s="214">
        <f>AN428+AN429</f>
        <v>98.630000000000052</v>
      </c>
      <c r="AP430" s="214">
        <f>AP428+AP429</f>
        <v>140.57000000000005</v>
      </c>
      <c r="AR430" s="214">
        <f>AR428+AR429</f>
        <v>160.80000000000007</v>
      </c>
      <c r="AT430" s="214">
        <f>AT428+AT429</f>
        <v>304.60999999999996</v>
      </c>
      <c r="AV430" s="214">
        <f>AV428+AV429</f>
        <v>-55.889999999999986</v>
      </c>
      <c r="AX430" s="214">
        <f>AX428+AX429</f>
        <v>571.06000000000006</v>
      </c>
      <c r="BA430" s="214">
        <f>BA428+BA429</f>
        <v>192.72999999999996</v>
      </c>
      <c r="BC430" s="214">
        <f>BC428+BC429</f>
        <v>502.86</v>
      </c>
      <c r="BE430" s="214">
        <f>BE428+BE429</f>
        <v>109.51999999999998</v>
      </c>
      <c r="BG430" s="214">
        <f>BG428+BG429</f>
        <v>528.84</v>
      </c>
      <c r="BI430" s="214">
        <f>BI428+BI429</f>
        <v>524.22</v>
      </c>
      <c r="BK430" s="214">
        <f>BK428+BK429</f>
        <v>478.13</v>
      </c>
      <c r="BM430" s="214">
        <f>BM428+BM429</f>
        <v>801.03</v>
      </c>
      <c r="BO430" s="214">
        <f>BO428+BO429</f>
        <v>868.08</v>
      </c>
      <c r="BQ430" s="214">
        <f>BQ428+BQ429</f>
        <v>612.36</v>
      </c>
      <c r="BS430" s="214">
        <f>BS428+BS429</f>
        <v>95.03000000000003</v>
      </c>
      <c r="BU430" s="214">
        <f>BU428+BU429</f>
        <v>28.900000000000034</v>
      </c>
      <c r="BW430" s="214">
        <f>BW428+BW429</f>
        <v>166.51</v>
      </c>
      <c r="BY430" s="214">
        <f>BY428+BY429</f>
        <v>89.829999999999984</v>
      </c>
      <c r="CA430" s="214">
        <f>CA428+CA429</f>
        <v>125.93</v>
      </c>
      <c r="CC430" s="214">
        <f>CC428+CC429</f>
        <v>123.41000000000003</v>
      </c>
      <c r="CE430" s="214">
        <f>CE428+CE429</f>
        <v>218.19000000000005</v>
      </c>
      <c r="CG430" s="214">
        <f>CG428+CG429</f>
        <v>313.86</v>
      </c>
    </row>
    <row r="431" spans="1:87">
      <c r="A431" s="231">
        <v>130</v>
      </c>
      <c r="B431" s="279">
        <v>470760126</v>
      </c>
      <c r="C431" s="213" t="s">
        <v>162</v>
      </c>
      <c r="T431" s="235"/>
      <c r="AP431" s="214"/>
      <c r="AT431" s="214"/>
    </row>
    <row r="432" spans="1:87">
      <c r="C432" s="253" t="s">
        <v>163</v>
      </c>
      <c r="T432" s="235">
        <v>45170</v>
      </c>
      <c r="U432" s="235"/>
      <c r="V432" s="235">
        <v>45200</v>
      </c>
      <c r="W432" s="235"/>
      <c r="X432" s="235">
        <v>45231</v>
      </c>
      <c r="Y432" s="235"/>
      <c r="Z432" s="235">
        <v>45261</v>
      </c>
      <c r="AA432" s="235"/>
      <c r="AB432" s="235">
        <v>45292</v>
      </c>
      <c r="AC432" s="235"/>
      <c r="AD432" s="235">
        <v>45323</v>
      </c>
      <c r="AE432" s="235"/>
      <c r="AF432" s="235">
        <v>45352</v>
      </c>
      <c r="AH432" s="235">
        <v>45383</v>
      </c>
      <c r="AJ432" s="235">
        <v>45413</v>
      </c>
      <c r="AL432" s="235">
        <v>45444</v>
      </c>
      <c r="AN432" s="235">
        <v>45474</v>
      </c>
      <c r="AP432" s="235">
        <v>45505</v>
      </c>
      <c r="AR432" s="236">
        <v>45536</v>
      </c>
      <c r="AT432" s="236">
        <v>45566</v>
      </c>
      <c r="AV432" s="235">
        <v>45597</v>
      </c>
      <c r="AX432" s="235">
        <v>45627</v>
      </c>
      <c r="BA432" s="235">
        <v>45658</v>
      </c>
      <c r="BC432" s="235">
        <v>45689</v>
      </c>
      <c r="BE432" s="235">
        <v>45717</v>
      </c>
      <c r="BG432" s="235">
        <v>45748</v>
      </c>
      <c r="BI432" s="235">
        <v>45778</v>
      </c>
      <c r="BK432" s="235">
        <v>45809</v>
      </c>
      <c r="BM432" s="235">
        <v>45839</v>
      </c>
      <c r="BO432" s="235">
        <v>45870</v>
      </c>
      <c r="BQ432" s="235">
        <v>45901</v>
      </c>
      <c r="BS432" s="235">
        <v>45931</v>
      </c>
      <c r="BU432" s="235">
        <v>45962</v>
      </c>
      <c r="BW432" s="235">
        <v>45992</v>
      </c>
      <c r="BY432" s="235">
        <v>46023</v>
      </c>
      <c r="CA432" s="235">
        <v>46054</v>
      </c>
      <c r="CC432" s="235">
        <v>46082</v>
      </c>
      <c r="CE432" s="235">
        <v>46113</v>
      </c>
      <c r="CG432" s="235">
        <v>46143</v>
      </c>
      <c r="CI432" s="341">
        <v>46174</v>
      </c>
    </row>
    <row r="433" spans="1:87">
      <c r="C433" s="213" t="s">
        <v>7</v>
      </c>
      <c r="T433" s="214"/>
      <c r="V433" s="214"/>
      <c r="AB433" s="238">
        <v>-46.81</v>
      </c>
      <c r="AD433" s="237">
        <v>-109.76</v>
      </c>
      <c r="AF433" s="237">
        <f>-73.1-30.71</f>
        <v>-103.81</v>
      </c>
      <c r="AH433" s="237">
        <v>-74.34</v>
      </c>
      <c r="AI433" s="222">
        <f>ABS(((AH432+AH433)/AH432))</f>
        <v>0.99836194169622994</v>
      </c>
      <c r="AJ433" s="237">
        <v>-79.61</v>
      </c>
      <c r="AL433" s="237">
        <v>-80.53</v>
      </c>
      <c r="AN433" s="237">
        <v>-111.7</v>
      </c>
      <c r="AP433" s="237">
        <v>-82.59</v>
      </c>
      <c r="AR433" s="237">
        <v>-83.42</v>
      </c>
      <c r="AT433" s="237">
        <v>-86.67</v>
      </c>
      <c r="AV433" s="237">
        <f>-132.57-2.77</f>
        <v>-135.34</v>
      </c>
      <c r="AX433" s="237">
        <v>-83.14</v>
      </c>
      <c r="BA433" s="237">
        <v>-254.92</v>
      </c>
      <c r="BC433" s="237">
        <v>-177.52</v>
      </c>
      <c r="BE433" s="237">
        <v>-104.39</v>
      </c>
      <c r="BG433" s="237">
        <v>-114.19</v>
      </c>
      <c r="BI433" s="237">
        <f>-65.69-22.4-5.06</f>
        <v>-93.15</v>
      </c>
      <c r="BK433" s="237">
        <v>-75.94</v>
      </c>
      <c r="BM433" s="237">
        <v>-132.82</v>
      </c>
      <c r="BO433" s="320">
        <v>-78.459999999999994</v>
      </c>
      <c r="BQ433" s="237">
        <v>-75.92</v>
      </c>
      <c r="BS433" s="237">
        <v>-91.72</v>
      </c>
      <c r="BU433" s="237">
        <v>-154.19999999999999</v>
      </c>
      <c r="BW433" s="237">
        <v>-257.05</v>
      </c>
      <c r="BY433" s="237">
        <v>-272.2</v>
      </c>
      <c r="CA433" s="237">
        <v>-138.28</v>
      </c>
      <c r="CC433" s="237">
        <v>-76.239999999999995</v>
      </c>
      <c r="CE433" s="237">
        <v>-128.30000000000001</v>
      </c>
      <c r="CG433" s="237">
        <v>-164.43</v>
      </c>
    </row>
    <row r="434" spans="1:87">
      <c r="C434" s="213" t="s">
        <v>8</v>
      </c>
      <c r="T434" s="214"/>
      <c r="V434" s="214"/>
      <c r="AD434" s="213">
        <v>184.36</v>
      </c>
      <c r="AE434" s="222">
        <f>ABS(((AD433+AD434)/AD433))</f>
        <v>0.67966472303207004</v>
      </c>
      <c r="AF434" s="213">
        <v>140.24</v>
      </c>
      <c r="AG434" s="222">
        <f>ABS(((AF433+AF434)/AF433))</f>
        <v>0.35092958289182163</v>
      </c>
      <c r="AH434" s="214">
        <v>120.65</v>
      </c>
      <c r="AJ434" s="214">
        <v>111.99</v>
      </c>
      <c r="AK434" s="222">
        <f>ABS(((AJ433+AJ434)/AJ433))</f>
        <v>0.40673282250973491</v>
      </c>
      <c r="AL434" s="214">
        <v>138.22999999999999</v>
      </c>
      <c r="AM434" s="222">
        <f>ABS(((AL433+AL434)/AL433))</f>
        <v>0.71650316652179302</v>
      </c>
      <c r="AN434" s="214">
        <v>213.67</v>
      </c>
      <c r="AO434" s="222">
        <f>ABS(((AN433+AN434)/AN433))</f>
        <v>0.91289167412712602</v>
      </c>
      <c r="AP434" s="214">
        <v>115.54</v>
      </c>
      <c r="AQ434" s="222">
        <f>ABS(((AP433+AP434)/AP433))</f>
        <v>0.39895871170843927</v>
      </c>
      <c r="AR434" s="214">
        <v>176.18</v>
      </c>
      <c r="AS434" s="222">
        <f>ABS(((AR433+AR434)/AR433))</f>
        <v>1.1119635578997842</v>
      </c>
      <c r="AT434" s="214">
        <v>152.15</v>
      </c>
      <c r="AU434" s="222">
        <f>AT435/AT434</f>
        <v>0.43036477160696684</v>
      </c>
      <c r="AV434" s="214">
        <v>263.54000000000002</v>
      </c>
      <c r="AW434" s="222">
        <f>AV435/AV434</f>
        <v>0.48645366927221678</v>
      </c>
      <c r="AX434" s="214">
        <v>158.61000000000001</v>
      </c>
      <c r="AY434" s="224">
        <f>AX435/AX434</f>
        <v>0.47582119664586098</v>
      </c>
      <c r="AZ434" s="225"/>
      <c r="BA434" s="214">
        <v>-114.19</v>
      </c>
      <c r="BB434" s="222">
        <f>BA435/BA434</f>
        <v>3.2324196514580965</v>
      </c>
      <c r="BC434" s="214">
        <v>257.64</v>
      </c>
      <c r="BD434" s="222">
        <f>BC435/BC434</f>
        <v>0.31097655643533606</v>
      </c>
      <c r="BE434" s="214">
        <v>206.7</v>
      </c>
      <c r="BF434" s="222">
        <f>BE435/BE434</f>
        <v>0.49496855345911944</v>
      </c>
      <c r="BG434" s="214">
        <v>207.69</v>
      </c>
      <c r="BH434" s="222">
        <f>BG435/BG434</f>
        <v>0.4501901872983774</v>
      </c>
      <c r="BI434" s="214">
        <v>49.94</v>
      </c>
      <c r="BJ434" s="222">
        <f>BI435/BI434</f>
        <v>-0.8652382859431319</v>
      </c>
      <c r="BK434" s="214">
        <v>50.67</v>
      </c>
      <c r="BL434" s="222">
        <f>BK435/BK434</f>
        <v>-0.49871718965857498</v>
      </c>
      <c r="BM434" s="214">
        <v>169.08</v>
      </c>
      <c r="BN434" s="222">
        <f>BM435/BM434</f>
        <v>0.21445469600189268</v>
      </c>
      <c r="BO434" s="321">
        <v>55.5</v>
      </c>
      <c r="BP434" s="222">
        <f>BO435/BO434</f>
        <v>-0.41369369369369358</v>
      </c>
      <c r="BQ434" s="214">
        <v>85.21</v>
      </c>
      <c r="BR434" s="222">
        <f>BQ435/BQ434</f>
        <v>0.10902476235183656</v>
      </c>
      <c r="BS434" s="214">
        <v>53.6</v>
      </c>
      <c r="BT434" s="222">
        <f>BS435/BS434</f>
        <v>-0.7111940298507462</v>
      </c>
      <c r="BU434" s="214">
        <v>181.56</v>
      </c>
      <c r="BV434" s="222">
        <f>BU435/BU434</f>
        <v>0.15069398545935236</v>
      </c>
      <c r="BW434" s="214">
        <v>300.33999999999997</v>
      </c>
      <c r="BX434" s="222">
        <f>BW435/BW434</f>
        <v>0.14413664513551297</v>
      </c>
      <c r="BY434" s="214">
        <v>296.47000000000003</v>
      </c>
      <c r="BZ434" s="222">
        <f>BY435/BY434</f>
        <v>8.1863257665193909E-2</v>
      </c>
      <c r="CA434" s="214">
        <v>227.02</v>
      </c>
      <c r="CB434" s="222">
        <f>CA435/CA434</f>
        <v>0.39089067042551318</v>
      </c>
      <c r="CC434" s="214">
        <v>69.319999999999993</v>
      </c>
      <c r="CD434" s="222">
        <f>CC435/CC434</f>
        <v>-9.9826889786497439E-2</v>
      </c>
      <c r="CE434" s="214">
        <v>151.16999999999999</v>
      </c>
      <c r="CF434" s="222">
        <f>CE435/CE434</f>
        <v>0.15128663094529324</v>
      </c>
      <c r="CG434" s="214">
        <v>201.7</v>
      </c>
      <c r="CH434" s="222">
        <f>CG435/CG434</f>
        <v>0.18477937530986605</v>
      </c>
    </row>
    <row r="435" spans="1:87">
      <c r="C435" s="241" t="s">
        <v>9</v>
      </c>
      <c r="T435" s="214"/>
      <c r="V435" s="214"/>
      <c r="Z435" s="214">
        <f>Z433+Z434</f>
        <v>0</v>
      </c>
      <c r="AB435" s="214">
        <f>AB433+AB434</f>
        <v>-46.81</v>
      </c>
      <c r="AD435" s="243">
        <f>AD433+AD434</f>
        <v>74.600000000000009</v>
      </c>
      <c r="AF435" s="243">
        <f>AF433+AF434</f>
        <v>36.430000000000007</v>
      </c>
      <c r="AH435" s="243">
        <f>AH433+AH434</f>
        <v>46.31</v>
      </c>
      <c r="AJ435" s="243">
        <f>AJ433+AJ434</f>
        <v>32.379999999999995</v>
      </c>
      <c r="AL435" s="243">
        <f>AL433+AL434</f>
        <v>57.699999999999989</v>
      </c>
      <c r="AN435" s="243">
        <f>AN433+AN434</f>
        <v>101.96999999999998</v>
      </c>
      <c r="AP435" s="214">
        <f>AP433+AP434</f>
        <v>32.950000000000003</v>
      </c>
      <c r="AR435" s="214">
        <f>AR433+AR434</f>
        <v>92.76</v>
      </c>
      <c r="AT435" s="214">
        <f>AT433+AT434</f>
        <v>65.48</v>
      </c>
      <c r="AV435" s="214">
        <f>AV433+AV434</f>
        <v>128.20000000000002</v>
      </c>
      <c r="AX435" s="214">
        <f>AX433+AX434</f>
        <v>75.470000000000013</v>
      </c>
      <c r="BA435" s="214">
        <f>BA433+BA434</f>
        <v>-369.11</v>
      </c>
      <c r="BC435" s="214">
        <f>BC433+BC434</f>
        <v>80.119999999999976</v>
      </c>
      <c r="BE435" s="214">
        <f>BE433+BE434</f>
        <v>102.30999999999999</v>
      </c>
      <c r="BG435" s="214">
        <f>BG433+BG434</f>
        <v>93.5</v>
      </c>
      <c r="BI435" s="214">
        <f>BI433+BI434</f>
        <v>-43.210000000000008</v>
      </c>
      <c r="BK435" s="214">
        <f>BK433+BK434</f>
        <v>-25.269999999999996</v>
      </c>
      <c r="BM435" s="214">
        <f>BM433+BM434</f>
        <v>36.260000000000019</v>
      </c>
      <c r="BO435" s="214">
        <f>BO433+BO434</f>
        <v>-22.959999999999994</v>
      </c>
      <c r="BQ435" s="214">
        <f>BQ433+BQ434</f>
        <v>9.289999999999992</v>
      </c>
      <c r="BS435" s="214">
        <f>BS433+BS434</f>
        <v>-38.119999999999997</v>
      </c>
      <c r="BU435" s="214">
        <f>BU433+BU434</f>
        <v>27.360000000000014</v>
      </c>
      <c r="BW435" s="214">
        <f>BW433+BW434</f>
        <v>43.289999999999964</v>
      </c>
      <c r="BY435" s="214">
        <f>BY433+BY434</f>
        <v>24.270000000000039</v>
      </c>
      <c r="CA435" s="214">
        <f>CA433+CA434</f>
        <v>88.740000000000009</v>
      </c>
      <c r="CC435" s="214">
        <f>CC433+CC434</f>
        <v>-6.9200000000000017</v>
      </c>
      <c r="CE435" s="214">
        <f>CE433+CE434</f>
        <v>22.869999999999976</v>
      </c>
      <c r="CG435" s="214">
        <f>CG433+CG434</f>
        <v>37.269999999999982</v>
      </c>
    </row>
    <row r="436" spans="1:87">
      <c r="A436" s="231">
        <v>133</v>
      </c>
      <c r="B436" s="279">
        <v>268568388</v>
      </c>
      <c r="C436" s="213" t="s">
        <v>164</v>
      </c>
      <c r="AP436" s="214"/>
      <c r="AT436" s="214"/>
    </row>
    <row r="437" spans="1:87">
      <c r="C437" s="253" t="s">
        <v>238</v>
      </c>
      <c r="T437" s="235">
        <v>45170</v>
      </c>
      <c r="U437" s="235"/>
      <c r="V437" s="235">
        <v>45200</v>
      </c>
      <c r="W437" s="235"/>
      <c r="X437" s="235">
        <v>45231</v>
      </c>
      <c r="Y437" s="235"/>
      <c r="Z437" s="235">
        <v>45261</v>
      </c>
      <c r="AA437" s="235"/>
      <c r="AB437" s="235">
        <v>45292</v>
      </c>
      <c r="AC437" s="235"/>
      <c r="AD437" s="235">
        <v>45323</v>
      </c>
      <c r="AE437" s="235"/>
      <c r="AF437" s="235">
        <v>45352</v>
      </c>
      <c r="AH437" s="235">
        <v>45383</v>
      </c>
      <c r="AJ437" s="235">
        <v>45413</v>
      </c>
      <c r="AL437" s="235">
        <v>45444</v>
      </c>
      <c r="AN437" s="235">
        <v>45474</v>
      </c>
      <c r="AP437" s="235">
        <v>45505</v>
      </c>
      <c r="AR437" s="236">
        <v>45536</v>
      </c>
      <c r="AT437" s="236">
        <v>45566</v>
      </c>
      <c r="AV437" s="235">
        <v>45597</v>
      </c>
      <c r="AX437" s="235">
        <v>45627</v>
      </c>
      <c r="BA437" s="235">
        <v>45658</v>
      </c>
      <c r="BC437" s="235">
        <v>45689</v>
      </c>
      <c r="BE437" s="235">
        <v>45717</v>
      </c>
      <c r="BG437" s="235">
        <v>45748</v>
      </c>
      <c r="BI437" s="235">
        <v>45778</v>
      </c>
      <c r="BK437" s="235">
        <v>45809</v>
      </c>
      <c r="BM437" s="235">
        <v>45839</v>
      </c>
      <c r="BO437" s="235">
        <v>45870</v>
      </c>
      <c r="BQ437" s="235">
        <v>45901</v>
      </c>
      <c r="BS437" s="235">
        <v>45931</v>
      </c>
      <c r="BU437" s="235">
        <v>45962</v>
      </c>
      <c r="BW437" s="235">
        <v>45992</v>
      </c>
      <c r="BY437" s="235">
        <v>46023</v>
      </c>
      <c r="CA437" s="235">
        <v>46054</v>
      </c>
      <c r="CC437" s="235">
        <v>46082</v>
      </c>
      <c r="CE437" s="235">
        <v>46113</v>
      </c>
      <c r="CG437" s="235">
        <v>46143</v>
      </c>
      <c r="CI437" s="341">
        <v>46174</v>
      </c>
    </row>
    <row r="438" spans="1:87">
      <c r="C438" s="213" t="s">
        <v>7</v>
      </c>
      <c r="X438" s="237">
        <v>-2186.91</v>
      </c>
      <c r="Z438" s="258">
        <v>-3683.23</v>
      </c>
      <c r="AB438" s="237">
        <v>-3946.25</v>
      </c>
      <c r="AD438" s="237">
        <f>-3811-205.92</f>
        <v>-4016.92</v>
      </c>
      <c r="AF438" s="237">
        <v>-3191.64</v>
      </c>
      <c r="AH438" s="237">
        <v>-2579.41</v>
      </c>
      <c r="AJ438" s="237">
        <f>-722.77-1628.68</f>
        <v>-2351.4499999999998</v>
      </c>
      <c r="AL438" s="237">
        <v>-2554.5500000000002</v>
      </c>
      <c r="AN438" s="237">
        <v>-3330.72</v>
      </c>
      <c r="AP438" s="237">
        <v>-2996.58</v>
      </c>
      <c r="AR438" s="237">
        <v>-2343.83</v>
      </c>
      <c r="AT438" s="237">
        <v>-1970.04</v>
      </c>
      <c r="AV438" s="237">
        <v>-2018.69</v>
      </c>
      <c r="AX438" s="237">
        <v>-2221.9699999999998</v>
      </c>
      <c r="BA438" s="237">
        <v>-2324.25</v>
      </c>
      <c r="BC438" s="237">
        <v>-2083.17</v>
      </c>
      <c r="BE438" s="237">
        <v>-2118.77</v>
      </c>
      <c r="BG438" s="237">
        <v>-1686.07</v>
      </c>
      <c r="BI438" s="237">
        <v>-1761.48</v>
      </c>
      <c r="BK438" s="237">
        <v>-2192.25</v>
      </c>
      <c r="BM438" s="237">
        <f>-2908.51-9.4</f>
        <v>-2917.9100000000003</v>
      </c>
      <c r="BO438" s="320">
        <v>-2573.34</v>
      </c>
      <c r="BQ438" s="237">
        <v>-2144.66</v>
      </c>
      <c r="BS438" s="237">
        <v>-1835.74</v>
      </c>
      <c r="BU438" s="237">
        <v>-1866.23</v>
      </c>
      <c r="BW438" s="237">
        <v>-2280.67</v>
      </c>
      <c r="BY438" s="237">
        <v>-2338.2600000000002</v>
      </c>
      <c r="CA438" s="237">
        <v>-1725.11</v>
      </c>
      <c r="CC438" s="237">
        <v>-1750.93</v>
      </c>
      <c r="CE438" s="214">
        <v>-1464.55</v>
      </c>
      <c r="CG438" s="214">
        <v>-1720.24</v>
      </c>
    </row>
    <row r="439" spans="1:87">
      <c r="C439" s="213" t="s">
        <v>8</v>
      </c>
      <c r="X439" s="214">
        <v>5274.53</v>
      </c>
      <c r="Z439" s="260">
        <v>5260.92</v>
      </c>
      <c r="AB439" s="214">
        <v>5457.16</v>
      </c>
      <c r="AC439" s="322">
        <f>ABS(((AB438+AB439)/AB438))</f>
        <v>0.38287234716503005</v>
      </c>
      <c r="AD439" s="214">
        <v>4784.4399999999996</v>
      </c>
      <c r="AE439" s="322">
        <f>ABS(((AD438+AD439)/AD438))</f>
        <v>0.19107176642800941</v>
      </c>
      <c r="AF439" s="214">
        <v>4607.72</v>
      </c>
      <c r="AG439" s="322">
        <f>ABS(((AF438+AF439)/AF438))</f>
        <v>0.44368412477597735</v>
      </c>
      <c r="AH439" s="214">
        <v>3558.21</v>
      </c>
      <c r="AI439" s="222">
        <f>ABS(((AH438+AH439)/AH438))</f>
        <v>0.37946662221205635</v>
      </c>
      <c r="AJ439" s="214">
        <v>4178.3999999999996</v>
      </c>
      <c r="AK439" s="222">
        <f>ABS(((AJ438+AJ439)/AJ438))</f>
        <v>0.77694613961598158</v>
      </c>
      <c r="AL439" s="214">
        <v>4295.6099999999997</v>
      </c>
      <c r="AM439" s="222">
        <f>ABS(((AL438+AL439)/AL438))</f>
        <v>0.68155252392789312</v>
      </c>
      <c r="AN439" s="214">
        <v>4696.57</v>
      </c>
      <c r="AO439" s="222">
        <f>ABS(((AN438+AN439)/AN438))</f>
        <v>0.41007649997598117</v>
      </c>
      <c r="AP439" s="214">
        <v>5119.32</v>
      </c>
      <c r="AQ439" s="222">
        <f>ABS(((AP438+AP439)/AP438))</f>
        <v>0.70838756182047524</v>
      </c>
      <c r="AR439" s="214">
        <v>3940.09</v>
      </c>
      <c r="AS439" s="222">
        <f>ABS(((AR438+AR439)/AR438))</f>
        <v>0.68104768690562045</v>
      </c>
      <c r="AT439" s="214">
        <v>4434.05</v>
      </c>
      <c r="AU439" s="222">
        <f>AT440/AT439</f>
        <v>0.55570189781351143</v>
      </c>
      <c r="AV439" s="214">
        <v>4230.84</v>
      </c>
      <c r="AW439" s="222">
        <f>AV440/AV439</f>
        <v>0.52286307210861205</v>
      </c>
      <c r="AX439" s="214">
        <v>4056.83</v>
      </c>
      <c r="AY439" s="224">
        <f>AX440/AX439</f>
        <v>0.45228910257516342</v>
      </c>
      <c r="AZ439" s="225"/>
      <c r="BA439" s="214">
        <v>3691.35</v>
      </c>
      <c r="BB439" s="222">
        <f>BA440/BA439</f>
        <v>0.37035231013044007</v>
      </c>
      <c r="BC439" s="214">
        <v>4434.05</v>
      </c>
      <c r="BD439" s="222">
        <f>BC440/BC439</f>
        <v>0.53018797713151633</v>
      </c>
      <c r="BE439" s="214">
        <v>4606.2299999999996</v>
      </c>
      <c r="BF439" s="222">
        <f>BE440/BE439</f>
        <v>0.54002079791933966</v>
      </c>
      <c r="BG439" s="214">
        <v>3691.35</v>
      </c>
      <c r="BH439" s="222">
        <f>BG440/BG439</f>
        <v>0.54323756891110297</v>
      </c>
      <c r="BI439" s="214">
        <v>3472.32</v>
      </c>
      <c r="BJ439" s="222">
        <f>BI440/BI439</f>
        <v>0.49270804534144319</v>
      </c>
      <c r="BK439" s="214">
        <v>3278.22</v>
      </c>
      <c r="BL439" s="222">
        <f>BK440/BK439</f>
        <v>0.3312681882240972</v>
      </c>
      <c r="BM439" s="214">
        <v>4267.4799999999996</v>
      </c>
      <c r="BN439" s="222">
        <f>BM440/BM439</f>
        <v>0.3162451845117023</v>
      </c>
      <c r="BO439" s="321">
        <v>4424.0200000000004</v>
      </c>
      <c r="BP439" s="222">
        <f>BO440/BO439</f>
        <v>0.41832541444206855</v>
      </c>
      <c r="BQ439" s="214">
        <v>3939.03</v>
      </c>
      <c r="BR439" s="222">
        <f>BQ440/BQ439</f>
        <v>0.45553600759577872</v>
      </c>
      <c r="BS439" s="214">
        <v>3404.76</v>
      </c>
      <c r="BT439" s="222">
        <f>BS440/BS439</f>
        <v>0.46083130675877304</v>
      </c>
      <c r="BU439" s="214">
        <v>3733.87</v>
      </c>
      <c r="BV439" s="222">
        <f>BU440/BU439</f>
        <v>0.5001888121439686</v>
      </c>
      <c r="BW439" s="214">
        <v>3769.58</v>
      </c>
      <c r="BX439" s="222">
        <f>BW440/BW439</f>
        <v>0.39498034263764131</v>
      </c>
      <c r="BY439" s="214">
        <v>2917.21</v>
      </c>
      <c r="BZ439" s="222">
        <f>BY440/BY439</f>
        <v>0.1984601725621398</v>
      </c>
      <c r="CA439" s="214">
        <v>3522.69</v>
      </c>
      <c r="CB439" s="222">
        <f>CA440/CA439</f>
        <v>0.51028617335047932</v>
      </c>
      <c r="CC439" s="214">
        <v>3557.98</v>
      </c>
      <c r="CD439" s="222">
        <f>CC440/CC439</f>
        <v>0.50788649739458902</v>
      </c>
      <c r="CE439" s="214">
        <v>3087.33</v>
      </c>
      <c r="CF439" s="222">
        <f>CE440/CE439</f>
        <v>0.52562570246782814</v>
      </c>
      <c r="CG439" s="214">
        <v>3133.52</v>
      </c>
      <c r="CH439" s="222">
        <f>CG440/CG439</f>
        <v>0.45101993923766243</v>
      </c>
      <c r="CI439" s="214">
        <v>3743.04</v>
      </c>
    </row>
    <row r="440" spans="1:87">
      <c r="C440" s="213" t="s">
        <v>9</v>
      </c>
      <c r="X440" s="214"/>
      <c r="Z440" s="214">
        <f>Z438+Z439</f>
        <v>1577.69</v>
      </c>
      <c r="AB440" s="242">
        <f>AB438+AB439</f>
        <v>1510.9099999999999</v>
      </c>
      <c r="AD440" s="243">
        <f>AD438+AD439</f>
        <v>767.51999999999953</v>
      </c>
      <c r="AF440" s="243">
        <f>AF438+AF439</f>
        <v>1416.0800000000004</v>
      </c>
      <c r="AH440" s="242">
        <f>AH438+AH439</f>
        <v>978.80000000000018</v>
      </c>
      <c r="AJ440" s="242">
        <f>AJ438+AJ439</f>
        <v>1826.9499999999998</v>
      </c>
      <c r="AL440" s="242">
        <f>AL438+AL439</f>
        <v>1741.0599999999995</v>
      </c>
      <c r="AN440" s="243">
        <f>AN438+AN439</f>
        <v>1365.85</v>
      </c>
      <c r="AP440" s="214">
        <f>AP438+AP439</f>
        <v>2122.7399999999998</v>
      </c>
      <c r="AR440" s="214">
        <f>AR438+AR439</f>
        <v>1596.2600000000002</v>
      </c>
      <c r="AT440" s="214">
        <f>AT438+AT439</f>
        <v>2464.0100000000002</v>
      </c>
      <c r="AV440" s="214">
        <f>AV438+AV439</f>
        <v>2212.15</v>
      </c>
      <c r="AX440" s="214">
        <f>AX438+AX439</f>
        <v>1834.8600000000001</v>
      </c>
      <c r="BA440" s="214">
        <f>BA438+BA439</f>
        <v>1367.1</v>
      </c>
      <c r="BC440" s="214">
        <f>BC438+BC439</f>
        <v>2350.88</v>
      </c>
      <c r="BE440" s="214">
        <f>BE438+BE439</f>
        <v>2487.4599999999996</v>
      </c>
      <c r="BG440" s="214">
        <f>BG438+BG439</f>
        <v>2005.28</v>
      </c>
      <c r="BI440" s="214">
        <f>BI438+BI439</f>
        <v>1710.8400000000001</v>
      </c>
      <c r="BK440" s="214">
        <f>BK438+BK439</f>
        <v>1085.9699999999998</v>
      </c>
      <c r="BM440" s="214">
        <f>BM438+BM439</f>
        <v>1349.5699999999993</v>
      </c>
      <c r="BO440" s="214">
        <f>BO438+BO439</f>
        <v>1850.6800000000003</v>
      </c>
      <c r="BQ440" s="214">
        <f>BQ438+BQ439</f>
        <v>1794.3700000000003</v>
      </c>
      <c r="BS440" s="214">
        <f>BS438+BS439</f>
        <v>1569.0200000000002</v>
      </c>
      <c r="BU440" s="214">
        <f>BU438+BU439</f>
        <v>1867.6399999999999</v>
      </c>
      <c r="BW440" s="214">
        <f>BW438+BW439</f>
        <v>1488.9099999999999</v>
      </c>
      <c r="BY440" s="214">
        <f>BY438+BY439</f>
        <v>578.94999999999982</v>
      </c>
      <c r="CA440" s="214">
        <f>CA438+CA439</f>
        <v>1797.5800000000002</v>
      </c>
      <c r="CC440" s="214">
        <f>CC438+CC439</f>
        <v>1807.05</v>
      </c>
      <c r="CE440" s="214">
        <f>CE438+CE439</f>
        <v>1622.78</v>
      </c>
      <c r="CG440" s="214">
        <f>CG438+CG439</f>
        <v>1413.28</v>
      </c>
    </row>
    <row r="441" spans="1:87">
      <c r="A441" s="211">
        <v>135</v>
      </c>
      <c r="B441" s="279">
        <v>231280324</v>
      </c>
      <c r="C441" s="213" t="s">
        <v>165</v>
      </c>
      <c r="AP441" s="214"/>
      <c r="AT441" s="214"/>
    </row>
    <row r="442" spans="1:87">
      <c r="C442" s="253" t="s">
        <v>166</v>
      </c>
      <c r="T442" s="235">
        <v>45170</v>
      </c>
      <c r="U442" s="235"/>
      <c r="V442" s="235">
        <v>45200</v>
      </c>
      <c r="W442" s="235"/>
      <c r="X442" s="235">
        <v>45231</v>
      </c>
      <c r="Y442" s="235"/>
      <c r="Z442" s="235">
        <v>45261</v>
      </c>
      <c r="AA442" s="235"/>
      <c r="AB442" s="235">
        <v>45292</v>
      </c>
      <c r="AC442" s="235"/>
      <c r="AD442" s="235">
        <v>45323</v>
      </c>
      <c r="AE442" s="235"/>
      <c r="AF442" s="235">
        <v>45352</v>
      </c>
      <c r="AH442" s="235">
        <v>45383</v>
      </c>
      <c r="AJ442" s="235">
        <v>45413</v>
      </c>
      <c r="AL442" s="235">
        <v>45444</v>
      </c>
      <c r="AN442" s="235">
        <v>45474</v>
      </c>
      <c r="AP442" s="235">
        <v>45505</v>
      </c>
      <c r="AR442" s="236">
        <v>45536</v>
      </c>
      <c r="AT442" s="236">
        <v>45566</v>
      </c>
      <c r="AV442" s="235">
        <v>45597</v>
      </c>
      <c r="AX442" s="235">
        <v>45627</v>
      </c>
      <c r="BA442" s="235">
        <v>45658</v>
      </c>
      <c r="BC442" s="235">
        <v>45689</v>
      </c>
      <c r="BE442" s="235">
        <v>45717</v>
      </c>
      <c r="BG442" s="235">
        <v>45748</v>
      </c>
      <c r="BI442" s="235">
        <v>45778</v>
      </c>
      <c r="BK442" s="235">
        <v>45809</v>
      </c>
      <c r="BM442" s="235">
        <v>45839</v>
      </c>
      <c r="BO442" s="235">
        <v>45870</v>
      </c>
      <c r="BQ442" s="235">
        <v>45901</v>
      </c>
      <c r="BS442" s="235">
        <v>45931</v>
      </c>
      <c r="BU442" s="235">
        <v>45962</v>
      </c>
      <c r="BW442" s="235">
        <v>45992</v>
      </c>
      <c r="BY442" s="235">
        <v>46023</v>
      </c>
      <c r="CA442" s="235">
        <v>46054</v>
      </c>
      <c r="CC442" s="235">
        <v>46082</v>
      </c>
      <c r="CE442" s="235">
        <v>46113</v>
      </c>
      <c r="CG442" s="235">
        <v>46143</v>
      </c>
      <c r="CI442" s="341">
        <v>46174</v>
      </c>
    </row>
    <row r="443" spans="1:87">
      <c r="C443" s="213" t="s">
        <v>7</v>
      </c>
      <c r="X443" s="238">
        <v>-41.41</v>
      </c>
      <c r="Z443" s="237">
        <v>-73.64</v>
      </c>
      <c r="AB443" s="237">
        <v>-104.97</v>
      </c>
      <c r="AD443" s="237">
        <v>-78.63</v>
      </c>
      <c r="AF443" s="237">
        <v>-84.74</v>
      </c>
      <c r="AH443" s="237">
        <f>-62.39-26.38</f>
        <v>-88.77</v>
      </c>
      <c r="AJ443" s="237">
        <v>-59.97</v>
      </c>
      <c r="AL443" s="237">
        <v>-80.489999999999995</v>
      </c>
      <c r="AN443" s="237">
        <v>-155.47</v>
      </c>
      <c r="AP443" s="237">
        <v>-144.5</v>
      </c>
      <c r="AR443" s="237">
        <v>-113.76</v>
      </c>
      <c r="AT443" s="237">
        <f>-2.3-73.31</f>
        <v>-75.61</v>
      </c>
      <c r="AV443" s="237">
        <v>-52.86</v>
      </c>
      <c r="AX443" s="237">
        <f>-1.38-75.04</f>
        <v>-76.42</v>
      </c>
      <c r="BA443" s="237">
        <v>-111.44</v>
      </c>
      <c r="BC443" s="237">
        <v>-90.82</v>
      </c>
      <c r="BE443" s="237">
        <v>-73.83</v>
      </c>
      <c r="BG443" s="237">
        <v>-54.4</v>
      </c>
      <c r="BI443" s="237">
        <v>-62.75</v>
      </c>
      <c r="BK443" s="237">
        <v>-102.83</v>
      </c>
      <c r="BM443" s="237">
        <v>-179.39</v>
      </c>
      <c r="BO443" s="320">
        <v>-117.59</v>
      </c>
      <c r="BQ443" s="237">
        <v>-96.55</v>
      </c>
      <c r="BS443" s="237">
        <v>-64.66</v>
      </c>
      <c r="BU443" s="237">
        <v>-68.38</v>
      </c>
      <c r="BW443" s="237">
        <v>-106.17</v>
      </c>
      <c r="BY443" s="237">
        <v>-150.03</v>
      </c>
      <c r="CA443" s="237">
        <v>-125.17</v>
      </c>
      <c r="CC443" s="237">
        <v>-51.32</v>
      </c>
      <c r="CE443" s="237">
        <v>-37.18</v>
      </c>
      <c r="CG443" s="237">
        <v>-22.97</v>
      </c>
    </row>
    <row r="444" spans="1:87">
      <c r="C444" s="213" t="s">
        <v>8</v>
      </c>
      <c r="X444" s="214">
        <v>43.89</v>
      </c>
      <c r="Z444" s="214">
        <v>51.17</v>
      </c>
      <c r="AB444" s="214">
        <v>74.37</v>
      </c>
      <c r="AD444" s="214">
        <v>60.39</v>
      </c>
      <c r="AE444" s="322">
        <f>ABS(((AD443+AD444)/AD443))</f>
        <v>0.2319725295688668</v>
      </c>
      <c r="AF444" s="214">
        <v>72.5</v>
      </c>
      <c r="AG444" s="222">
        <f>ABS(((AF443+AF444)/AF443))</f>
        <v>0.14444182204389894</v>
      </c>
      <c r="AH444" s="214">
        <v>60.79</v>
      </c>
      <c r="AI444" s="222">
        <f>ABS(((AH443+AH444)/AH443))</f>
        <v>0.3151965754196237</v>
      </c>
      <c r="AJ444" s="214">
        <v>56.15</v>
      </c>
      <c r="AK444" s="222">
        <f>ABS(((AJ443+AJ444)/AJ443))</f>
        <v>6.3698515924628982E-2</v>
      </c>
      <c r="AL444" s="214">
        <v>78.41</v>
      </c>
      <c r="AM444" s="222"/>
      <c r="AN444" s="214">
        <v>153.99</v>
      </c>
      <c r="AO444" s="222"/>
      <c r="AP444" s="214">
        <v>163.34</v>
      </c>
      <c r="AQ444" s="222">
        <f>ABS(((AP443+AP444)/AP443))</f>
        <v>0.13038062283737026</v>
      </c>
      <c r="AR444" s="214">
        <v>87.39</v>
      </c>
      <c r="AS444" s="222">
        <f>ABS(((AR443+AR444)/AR443))</f>
        <v>0.23180379746835447</v>
      </c>
      <c r="AT444" s="214">
        <v>84.32</v>
      </c>
      <c r="AU444" s="222">
        <f>AT445/AT444</f>
        <v>0.10329696394686901</v>
      </c>
      <c r="AV444" s="214">
        <v>56.29</v>
      </c>
      <c r="AW444" s="222">
        <f>AV445/AV444</f>
        <v>6.0934446615739914E-2</v>
      </c>
      <c r="AX444" s="214">
        <v>72.5</v>
      </c>
      <c r="AY444" s="224">
        <f>AX445/AX444</f>
        <v>-5.4068965517241406E-2</v>
      </c>
      <c r="AZ444" s="225"/>
      <c r="BA444" s="214">
        <v>86.78</v>
      </c>
      <c r="BB444" s="222">
        <f>BA445/BA444</f>
        <v>-0.28416685872320807</v>
      </c>
      <c r="BC444" s="214">
        <v>75.95</v>
      </c>
      <c r="BD444" s="222">
        <f>BC445/BC444</f>
        <v>-0.19578670177748506</v>
      </c>
      <c r="BE444" s="214">
        <v>62.51</v>
      </c>
      <c r="BF444" s="222">
        <f>BE445/BE444</f>
        <v>-0.18109102543593025</v>
      </c>
      <c r="BG444" s="214">
        <v>89.8</v>
      </c>
      <c r="BH444" s="222">
        <f>BG445/BG444</f>
        <v>0.39420935412026725</v>
      </c>
      <c r="BI444" s="214">
        <v>102.08</v>
      </c>
      <c r="BJ444" s="222">
        <f>BI445/BI444</f>
        <v>0.38528605015673978</v>
      </c>
      <c r="BK444" s="214">
        <v>160.63</v>
      </c>
      <c r="BL444" s="222">
        <f>BK445/BK444</f>
        <v>0.35983315694453089</v>
      </c>
      <c r="BM444" s="214">
        <v>240.96</v>
      </c>
      <c r="BN444" s="222">
        <f>BM445/BM444</f>
        <v>0.25551958831341309</v>
      </c>
      <c r="BO444" s="321">
        <v>176.31</v>
      </c>
      <c r="BP444" s="222">
        <f>BO445/BO444</f>
        <v>0.33304974193182463</v>
      </c>
      <c r="BQ444" s="214">
        <v>154.65</v>
      </c>
      <c r="BR444" s="222">
        <f>BQ445/BQ444</f>
        <v>0.3756870352408665</v>
      </c>
      <c r="BS444" s="214">
        <v>105.42</v>
      </c>
      <c r="BT444" s="222">
        <f>BS445/BS444</f>
        <v>0.38664390058812376</v>
      </c>
      <c r="BU444" s="214">
        <v>106.51</v>
      </c>
      <c r="BV444" s="222">
        <f>BU445/BU444</f>
        <v>0.3579945545019248</v>
      </c>
      <c r="BW444" s="214">
        <v>147.06</v>
      </c>
      <c r="BX444" s="222">
        <f>BW445/BW444</f>
        <v>0.27804977560179517</v>
      </c>
      <c r="BY444" s="214">
        <v>201.1</v>
      </c>
      <c r="BZ444" s="222">
        <f>BY445/BY444</f>
        <v>0.25395325708602684</v>
      </c>
      <c r="CA444" s="214">
        <v>180.88</v>
      </c>
      <c r="CB444" s="222">
        <f>CA445/CA444</f>
        <v>0.30799425033171163</v>
      </c>
      <c r="CC444" s="214">
        <v>134.57</v>
      </c>
      <c r="CD444" s="222">
        <f>CC445/CC444</f>
        <v>0.61863714052166163</v>
      </c>
      <c r="CE444" s="214">
        <v>119.32</v>
      </c>
      <c r="CF444" s="222">
        <f>CE445/CE444</f>
        <v>0.68840093865236329</v>
      </c>
      <c r="CG444" s="214">
        <v>107.6</v>
      </c>
      <c r="CH444" s="222">
        <f>CG445/CG444</f>
        <v>0.78652416356877319</v>
      </c>
    </row>
    <row r="445" spans="1:87">
      <c r="C445" s="213" t="s">
        <v>9</v>
      </c>
      <c r="X445" s="214">
        <f>X443+X444</f>
        <v>2.480000000000004</v>
      </c>
      <c r="Z445" s="214">
        <f>Z443+Z444</f>
        <v>-22.47</v>
      </c>
      <c r="AB445" s="242">
        <f>AB443+AB444</f>
        <v>-30.599999999999994</v>
      </c>
      <c r="AD445" s="242">
        <f>AD443+AD444</f>
        <v>-18.239999999999995</v>
      </c>
      <c r="AF445" s="243">
        <f>AF443+AF444</f>
        <v>-12.239999999999995</v>
      </c>
      <c r="AH445" s="243">
        <f>AH443+AH444</f>
        <v>-27.979999999999997</v>
      </c>
      <c r="AJ445" s="243">
        <f>AJ443+AJ444</f>
        <v>-3.8200000000000003</v>
      </c>
      <c r="AL445" s="243">
        <f>AL443+AL444</f>
        <v>-2.0799999999999983</v>
      </c>
      <c r="AN445" s="243">
        <f>AN443+AN444</f>
        <v>-1.4799999999999898</v>
      </c>
      <c r="AP445" s="214">
        <f>AP443+AP444</f>
        <v>18.840000000000003</v>
      </c>
      <c r="AR445" s="214">
        <f>AR443+AR444</f>
        <v>-26.370000000000005</v>
      </c>
      <c r="AT445" s="214">
        <f>AT443+AT444</f>
        <v>8.7099999999999937</v>
      </c>
      <c r="AV445" s="214">
        <f>AV443+AV444</f>
        <v>3.4299999999999997</v>
      </c>
      <c r="AX445" s="214">
        <f>AX443+AX444</f>
        <v>-3.9200000000000017</v>
      </c>
      <c r="BA445" s="214">
        <f>BA443+BA444</f>
        <v>-24.659999999999997</v>
      </c>
      <c r="BC445" s="214">
        <f>BC443+BC444</f>
        <v>-14.86999999999999</v>
      </c>
      <c r="BE445" s="214">
        <f>BE443+BE444</f>
        <v>-11.32</v>
      </c>
      <c r="BG445" s="214">
        <f>BG443+BG444</f>
        <v>35.4</v>
      </c>
      <c r="BI445" s="214">
        <f>BI443+BI444</f>
        <v>39.33</v>
      </c>
      <c r="BK445" s="214">
        <f>BK443+BK444</f>
        <v>57.8</v>
      </c>
      <c r="BM445" s="214">
        <f>BM443+BM444</f>
        <v>61.570000000000022</v>
      </c>
      <c r="BO445" s="214">
        <f>BO443+BO444</f>
        <v>58.72</v>
      </c>
      <c r="BQ445" s="214">
        <f>BQ443+BQ444</f>
        <v>58.100000000000009</v>
      </c>
      <c r="BS445" s="214">
        <f>BS443+BS444</f>
        <v>40.760000000000005</v>
      </c>
      <c r="BU445" s="214">
        <f>BU443+BU444</f>
        <v>38.13000000000001</v>
      </c>
      <c r="BW445" s="214">
        <f>BW443+BW444</f>
        <v>40.89</v>
      </c>
      <c r="BY445" s="214">
        <f>BY443+BY444</f>
        <v>51.069999999999993</v>
      </c>
      <c r="CA445" s="214">
        <f>CA443+CA444</f>
        <v>55.709999999999994</v>
      </c>
      <c r="CC445" s="214">
        <f>CC443+CC444</f>
        <v>83.25</v>
      </c>
      <c r="CE445" s="214">
        <f>CE443+CE444</f>
        <v>82.139999999999986</v>
      </c>
      <c r="CG445" s="214">
        <f>CG443+CG444</f>
        <v>84.63</v>
      </c>
    </row>
    <row r="446" spans="1:87">
      <c r="A446" s="231">
        <v>136</v>
      </c>
      <c r="B446" s="279">
        <v>219626110</v>
      </c>
      <c r="C446" s="213" t="s">
        <v>167</v>
      </c>
      <c r="X446" s="214"/>
      <c r="AP446" s="214"/>
      <c r="AT446" s="214"/>
    </row>
    <row r="447" spans="1:87">
      <c r="C447" s="253" t="s">
        <v>168</v>
      </c>
      <c r="T447" s="235">
        <v>45170</v>
      </c>
      <c r="U447" s="235"/>
      <c r="V447" s="235">
        <v>45200</v>
      </c>
      <c r="W447" s="235"/>
      <c r="X447" s="235">
        <v>45231</v>
      </c>
      <c r="Y447" s="235"/>
      <c r="Z447" s="235">
        <v>45261</v>
      </c>
      <c r="AA447" s="235"/>
      <c r="AB447" s="235">
        <v>45292</v>
      </c>
      <c r="AC447" s="235"/>
      <c r="AD447" s="235">
        <v>45323</v>
      </c>
      <c r="AE447" s="235"/>
      <c r="AF447" s="235">
        <v>45352</v>
      </c>
      <c r="AH447" s="235">
        <v>45383</v>
      </c>
      <c r="AJ447" s="235">
        <v>45413</v>
      </c>
      <c r="AL447" s="235">
        <v>45444</v>
      </c>
      <c r="AN447" s="235">
        <v>45474</v>
      </c>
      <c r="AP447" s="235">
        <v>45505</v>
      </c>
      <c r="AR447" s="236">
        <v>45536</v>
      </c>
      <c r="AT447" s="236">
        <v>45566</v>
      </c>
      <c r="AV447" s="235">
        <v>45597</v>
      </c>
      <c r="AX447" s="235">
        <v>45627</v>
      </c>
      <c r="BA447" s="235">
        <v>45658</v>
      </c>
      <c r="BC447" s="235">
        <v>45689</v>
      </c>
      <c r="BE447" s="235">
        <v>45717</v>
      </c>
      <c r="BG447" s="235">
        <v>45748</v>
      </c>
      <c r="BI447" s="235">
        <v>45778</v>
      </c>
      <c r="BK447" s="235">
        <v>45809</v>
      </c>
      <c r="BM447" s="235">
        <v>45839</v>
      </c>
      <c r="BO447" s="235">
        <v>45870</v>
      </c>
      <c r="BQ447" s="235">
        <v>45901</v>
      </c>
      <c r="BS447" s="235">
        <v>45931</v>
      </c>
      <c r="BU447" s="235">
        <v>45962</v>
      </c>
      <c r="BW447" s="235">
        <v>45992</v>
      </c>
      <c r="BY447" s="235">
        <v>46023</v>
      </c>
      <c r="CA447" s="235">
        <v>46054</v>
      </c>
      <c r="CC447" s="235">
        <v>46082</v>
      </c>
      <c r="CE447" s="235">
        <v>46113</v>
      </c>
      <c r="CG447" s="235">
        <v>46143</v>
      </c>
      <c r="CI447" s="341">
        <v>46174</v>
      </c>
    </row>
    <row r="448" spans="1:87">
      <c r="C448" s="213" t="s">
        <v>7</v>
      </c>
      <c r="V448" s="247"/>
      <c r="X448" s="237">
        <f>-19.68-30.72</f>
        <v>-50.4</v>
      </c>
      <c r="Z448" s="238">
        <v>-32.799999999999997</v>
      </c>
      <c r="AB448" s="238">
        <v>-25.79</v>
      </c>
      <c r="AD448" s="237">
        <v>-8.19</v>
      </c>
      <c r="AF448" s="237">
        <f>-24.43-11.2</f>
        <v>-35.629999999999995</v>
      </c>
      <c r="AH448" s="237">
        <f>-26.76-5.24</f>
        <v>-32</v>
      </c>
      <c r="AJ448" s="237">
        <v>-30.19</v>
      </c>
      <c r="AL448" s="237">
        <f>-41.37-10.16</f>
        <v>-51.53</v>
      </c>
      <c r="AN448" s="237">
        <f>-29.1-10.16</f>
        <v>-39.260000000000005</v>
      </c>
      <c r="AP448" s="237">
        <f>-26.69-13.95</f>
        <v>-40.64</v>
      </c>
      <c r="AR448" s="237">
        <f>-33.96-1.16-6.72</f>
        <v>-41.839999999999996</v>
      </c>
      <c r="AT448" s="237">
        <f>-7.7-26.8</f>
        <v>-34.5</v>
      </c>
      <c r="AV448" s="237">
        <f>-26.3-6.4</f>
        <v>-32.700000000000003</v>
      </c>
      <c r="AX448" s="237">
        <f>-24.33-15.24</f>
        <v>-39.57</v>
      </c>
      <c r="BA448" s="237">
        <f>-34.43-5.12</f>
        <v>-39.549999999999997</v>
      </c>
      <c r="BC448" s="237">
        <f>-30.78-4.92</f>
        <v>-35.700000000000003</v>
      </c>
      <c r="BE448" s="237">
        <f>-29.55-8.33</f>
        <v>-37.880000000000003</v>
      </c>
      <c r="BG448" s="237">
        <f>-28.67-6.12</f>
        <v>-34.79</v>
      </c>
      <c r="BI448" s="237">
        <f>-26.4-5.2</f>
        <v>-31.599999999999998</v>
      </c>
      <c r="BK448" s="237">
        <f>-24.92-6.9</f>
        <v>-31.82</v>
      </c>
      <c r="BM448" s="237">
        <f>-27.45-6.6</f>
        <v>-34.049999999999997</v>
      </c>
      <c r="BO448" s="320">
        <f>-29.5-5.55</f>
        <v>-35.049999999999997</v>
      </c>
      <c r="BQ448" s="237">
        <f>-24.35-7.76</f>
        <v>-32.11</v>
      </c>
      <c r="BS448" s="237">
        <f>-25.37-4.8</f>
        <v>-30.17</v>
      </c>
      <c r="BU448" s="237">
        <f>-21.94-7.21</f>
        <v>-29.150000000000002</v>
      </c>
      <c r="BW448" s="237">
        <f>-21.62-10.6</f>
        <v>-32.22</v>
      </c>
      <c r="BY448" s="237">
        <f>-27.48-5.3</f>
        <v>-32.78</v>
      </c>
      <c r="CA448" s="237">
        <f>-23.22-5.4</f>
        <v>-28.619999999999997</v>
      </c>
      <c r="CC448" s="237">
        <f>-20.73-7.2</f>
        <v>-27.93</v>
      </c>
      <c r="CE448" s="237">
        <f>-20.62-6.51</f>
        <v>-27.130000000000003</v>
      </c>
      <c r="CG448" s="237">
        <v>-22.42</v>
      </c>
    </row>
    <row r="449" spans="1:87">
      <c r="C449" s="213" t="s">
        <v>8</v>
      </c>
      <c r="X449" s="214">
        <v>54.28</v>
      </c>
      <c r="Y449" s="222">
        <f>ABS(((X448+X449)/X448))</f>
        <v>7.6984126984127044E-2</v>
      </c>
      <c r="Z449" s="213">
        <v>46.98</v>
      </c>
      <c r="AA449" s="222">
        <f>ABS(((Z448+Z449)/Z448))</f>
        <v>0.43231707317073176</v>
      </c>
      <c r="AB449" s="213">
        <v>45.72</v>
      </c>
      <c r="AC449" s="222">
        <f>ABS(((AB448+AB449)/AB448))</f>
        <v>0.77278014734393174</v>
      </c>
      <c r="AD449" s="213">
        <v>44.46</v>
      </c>
      <c r="AE449" s="322">
        <f>ABS(((AD448+AD449)/AD448))</f>
        <v>4.4285714285714288</v>
      </c>
      <c r="AF449" s="213">
        <v>47.4</v>
      </c>
      <c r="AG449" s="222">
        <f>ABS(((AF448+AF449)/AF448))</f>
        <v>0.33033960145944441</v>
      </c>
      <c r="AH449" s="214">
        <v>47.15</v>
      </c>
      <c r="AI449" s="222">
        <f>ABS(((AH448+AH449)/AH448))</f>
        <v>0.47343749999999996</v>
      </c>
      <c r="AJ449" s="214">
        <v>48.99</v>
      </c>
      <c r="AK449" s="222">
        <f>ABS(((AJ448+AJ449)/AJ448))</f>
        <v>0.62272275587943027</v>
      </c>
      <c r="AL449" s="214">
        <v>48.57</v>
      </c>
      <c r="AM449" s="222">
        <f>ABS(((AL448+AL449)/AL448))</f>
        <v>5.7442266640791786E-2</v>
      </c>
      <c r="AN449" s="214">
        <v>47.76</v>
      </c>
      <c r="AO449" s="222">
        <f>ABS(((AN448+AN449)/AN448))</f>
        <v>0.21650534895567988</v>
      </c>
      <c r="AP449" s="214">
        <v>49.35</v>
      </c>
      <c r="AQ449" s="222">
        <f>ABS(((AP448+AP449)/AP448))</f>
        <v>0.21432086614173229</v>
      </c>
      <c r="AR449" s="214">
        <v>50.65</v>
      </c>
      <c r="AS449" s="222">
        <f>ABS(((AR448+AR449)/AR448))</f>
        <v>0.21056405353728497</v>
      </c>
      <c r="AT449" s="214">
        <v>42.54</v>
      </c>
      <c r="AU449" s="222">
        <f>AT450/AT449</f>
        <v>0.18899858956276444</v>
      </c>
      <c r="AV449" s="214">
        <v>42.47</v>
      </c>
      <c r="AW449" s="222">
        <f>AV450/AV449</f>
        <v>0.23004473746173762</v>
      </c>
      <c r="AX449" s="214">
        <v>50.04</v>
      </c>
      <c r="AY449" s="224">
        <f>AX450/AX449</f>
        <v>0.20923261390887288</v>
      </c>
      <c r="AZ449" s="225"/>
      <c r="BA449" s="214">
        <v>42.08</v>
      </c>
      <c r="BB449" s="222">
        <f>BA450/BA449</f>
        <v>6.012357414448672E-2</v>
      </c>
      <c r="BC449" s="214">
        <v>41.79</v>
      </c>
      <c r="BD449" s="222">
        <f>BC450/BC449</f>
        <v>0.14572864321608031</v>
      </c>
      <c r="BE449" s="214">
        <v>43.16</v>
      </c>
      <c r="BF449" s="222">
        <f>BE450/BE449</f>
        <v>0.1223354958294716</v>
      </c>
      <c r="BG449" s="214">
        <v>38.119999999999997</v>
      </c>
      <c r="BH449" s="222">
        <f>BG450/BG449</f>
        <v>8.735571878279115E-2</v>
      </c>
      <c r="BI449" s="214">
        <v>35.06</v>
      </c>
      <c r="BJ449" s="222">
        <f>BI450/BI449</f>
        <v>9.8687963491158132E-2</v>
      </c>
      <c r="BK449" s="214">
        <v>38.1</v>
      </c>
      <c r="BL449" s="222">
        <f>BK450/BK449</f>
        <v>0.16482939632545934</v>
      </c>
      <c r="BM449" s="214">
        <v>40.64</v>
      </c>
      <c r="BN449" s="222">
        <f>BM450/BM449</f>
        <v>0.16215551181102369</v>
      </c>
      <c r="BO449" s="321">
        <v>39.68</v>
      </c>
      <c r="BP449" s="222">
        <f>BO450/BO449</f>
        <v>0.11668346774193555</v>
      </c>
      <c r="BQ449" s="214">
        <v>37.950000000000003</v>
      </c>
      <c r="BR449" s="222">
        <f>BQ450/BQ449</f>
        <v>0.15388669301712787</v>
      </c>
      <c r="BS449" s="214">
        <v>34.950000000000003</v>
      </c>
      <c r="BT449" s="222">
        <f>BS450/BS449</f>
        <v>0.13676680972818314</v>
      </c>
      <c r="BU449" s="214">
        <v>34.19</v>
      </c>
      <c r="BV449" s="222">
        <f>BU450/BU449</f>
        <v>0.14741152383737924</v>
      </c>
      <c r="BW449" s="214">
        <v>38.270000000000003</v>
      </c>
      <c r="BX449" s="222">
        <f>BW450/BW449</f>
        <v>0.15808727462764577</v>
      </c>
      <c r="BY449" s="214">
        <v>36.86</v>
      </c>
      <c r="BZ449" s="222">
        <f>BY450/BY449</f>
        <v>0.1106890938686923</v>
      </c>
      <c r="CA449" s="214">
        <v>35.65</v>
      </c>
      <c r="CB449" s="222">
        <f>CA450/CA449</f>
        <v>0.19719495091164099</v>
      </c>
      <c r="CC449" s="214">
        <v>36.21</v>
      </c>
      <c r="CD449" s="222">
        <f>CC450/CC449</f>
        <v>0.2286661143330572</v>
      </c>
      <c r="CE449" s="214">
        <v>35.880000000000003</v>
      </c>
      <c r="CF449" s="222">
        <f>CE450/CE449</f>
        <v>0.24386845039018951</v>
      </c>
      <c r="CG449" s="214">
        <v>38.17</v>
      </c>
      <c r="CH449" s="222">
        <f>CG450/CG449</f>
        <v>0.41262771810322241</v>
      </c>
    </row>
    <row r="450" spans="1:87">
      <c r="C450" s="213" t="s">
        <v>9</v>
      </c>
      <c r="X450" s="214">
        <f>X448+X449</f>
        <v>3.8800000000000026</v>
      </c>
      <c r="Z450" s="214">
        <f>Z448+Z449</f>
        <v>14.18</v>
      </c>
      <c r="AB450" s="243">
        <f>AB448+AB449</f>
        <v>19.93</v>
      </c>
      <c r="AD450" s="243">
        <f>AD448+AD449</f>
        <v>36.270000000000003</v>
      </c>
      <c r="AF450" s="243">
        <f>AF448+AF449</f>
        <v>11.770000000000003</v>
      </c>
      <c r="AH450" s="243">
        <f>AH448+AH449</f>
        <v>15.149999999999999</v>
      </c>
      <c r="AJ450" s="243">
        <f>AJ448+AJ449</f>
        <v>18.8</v>
      </c>
      <c r="AL450" s="243">
        <f>AL448+AL449</f>
        <v>-2.9600000000000009</v>
      </c>
      <c r="AN450" s="243">
        <f>AN448+AN449</f>
        <v>8.4999999999999929</v>
      </c>
      <c r="AP450" s="214">
        <f>AP448+AP449</f>
        <v>8.7100000000000009</v>
      </c>
      <c r="AR450" s="214">
        <f>AR448+AR449</f>
        <v>8.8100000000000023</v>
      </c>
      <c r="AT450" s="214">
        <f>AT448+AT449</f>
        <v>8.0399999999999991</v>
      </c>
      <c r="AV450" s="214">
        <f>AV448+AV449</f>
        <v>9.769999999999996</v>
      </c>
      <c r="AX450" s="214">
        <f>AX448+AX449</f>
        <v>10.469999999999999</v>
      </c>
      <c r="BA450" s="214">
        <f>BA448+BA449</f>
        <v>2.5300000000000011</v>
      </c>
      <c r="BC450" s="214">
        <f>BC448+BC449</f>
        <v>6.0899999999999963</v>
      </c>
      <c r="BE450" s="214">
        <f>BE448+BE449</f>
        <v>5.279999999999994</v>
      </c>
      <c r="BG450" s="214">
        <f>BG448+BG449</f>
        <v>3.3299999999999983</v>
      </c>
      <c r="BI450" s="214">
        <f>BI448+BI449</f>
        <v>3.4600000000000044</v>
      </c>
      <c r="BK450" s="214">
        <f>BK448+BK449</f>
        <v>6.2800000000000011</v>
      </c>
      <c r="BM450" s="214">
        <f>BM448+BM449</f>
        <v>6.5900000000000034</v>
      </c>
      <c r="BO450" s="214">
        <f>BO448+BO449</f>
        <v>4.6300000000000026</v>
      </c>
      <c r="BQ450" s="214">
        <f>BQ448+BQ449</f>
        <v>5.8400000000000034</v>
      </c>
      <c r="BS450" s="214">
        <f>BS448+BS449</f>
        <v>4.7800000000000011</v>
      </c>
      <c r="BU450" s="214">
        <f>BU448+BU449</f>
        <v>5.0399999999999956</v>
      </c>
      <c r="BW450" s="214">
        <f>BW448+BW449</f>
        <v>6.0500000000000043</v>
      </c>
      <c r="BY450" s="214">
        <f>BY448+BY449</f>
        <v>4.0799999999999983</v>
      </c>
      <c r="CA450" s="214">
        <f>CA448+CA449</f>
        <v>7.0300000000000011</v>
      </c>
      <c r="CC450" s="214">
        <f>CC448+CC449</f>
        <v>8.2800000000000011</v>
      </c>
      <c r="CE450" s="214">
        <f>CE448+CE449</f>
        <v>8.75</v>
      </c>
      <c r="CG450" s="214">
        <f>CG448+CG449</f>
        <v>15.75</v>
      </c>
    </row>
    <row r="451" spans="1:87">
      <c r="A451" s="211">
        <v>137</v>
      </c>
      <c r="B451" s="279">
        <v>156331500</v>
      </c>
      <c r="C451" s="213" t="s">
        <v>169</v>
      </c>
      <c r="AP451" s="214"/>
      <c r="AT451" s="214"/>
    </row>
    <row r="452" spans="1:87">
      <c r="C452" s="253" t="s">
        <v>170</v>
      </c>
      <c r="T452" s="235">
        <v>45170</v>
      </c>
      <c r="U452" s="235"/>
      <c r="V452" s="235">
        <v>45200</v>
      </c>
      <c r="W452" s="235"/>
      <c r="X452" s="235">
        <v>45231</v>
      </c>
      <c r="Y452" s="235"/>
      <c r="Z452" s="235">
        <v>45261</v>
      </c>
      <c r="AA452" s="235"/>
      <c r="AB452" s="235">
        <v>45292</v>
      </c>
      <c r="AC452" s="235"/>
      <c r="AD452" s="235">
        <v>45323</v>
      </c>
      <c r="AE452" s="235"/>
      <c r="AF452" s="235">
        <v>45352</v>
      </c>
      <c r="AH452" s="235">
        <v>45383</v>
      </c>
      <c r="AJ452" s="235">
        <v>45413</v>
      </c>
      <c r="AL452" s="235">
        <v>45444</v>
      </c>
      <c r="AN452" s="235">
        <v>45474</v>
      </c>
      <c r="AP452" s="235">
        <v>45505</v>
      </c>
      <c r="AR452" s="236">
        <v>45536</v>
      </c>
      <c r="AT452" s="236">
        <v>45566</v>
      </c>
      <c r="AV452" s="235">
        <v>45597</v>
      </c>
      <c r="AX452" s="235">
        <v>45627</v>
      </c>
      <c r="BA452" s="235">
        <v>45658</v>
      </c>
      <c r="BC452" s="235">
        <v>45689</v>
      </c>
      <c r="BE452" s="235">
        <v>45717</v>
      </c>
      <c r="BG452" s="235">
        <v>45748</v>
      </c>
      <c r="BI452" s="235">
        <v>45778</v>
      </c>
      <c r="BK452" s="235">
        <v>45809</v>
      </c>
      <c r="BM452" s="235">
        <v>45839</v>
      </c>
      <c r="BO452" s="235">
        <v>45870</v>
      </c>
      <c r="BQ452" s="235">
        <v>45901</v>
      </c>
      <c r="BS452" s="235">
        <v>45931</v>
      </c>
      <c r="BU452" s="235">
        <v>45962</v>
      </c>
      <c r="BW452" s="235">
        <v>45992</v>
      </c>
      <c r="BY452" s="235">
        <v>46023</v>
      </c>
      <c r="CA452" s="235">
        <v>46054</v>
      </c>
      <c r="CC452" s="235">
        <v>46082</v>
      </c>
      <c r="CE452" s="235">
        <v>46113</v>
      </c>
      <c r="CG452" s="235">
        <v>46143</v>
      </c>
      <c r="CI452" s="341">
        <v>46174</v>
      </c>
    </row>
    <row r="453" spans="1:87">
      <c r="C453" s="213" t="s">
        <v>7</v>
      </c>
      <c r="V453" s="247"/>
      <c r="X453" s="238">
        <v>-174.94</v>
      </c>
      <c r="Z453" s="237">
        <v>-215.6</v>
      </c>
      <c r="AB453" s="237">
        <f>-121.94-141.56</f>
        <v>-263.5</v>
      </c>
      <c r="AD453" s="237">
        <f>-141.56-241.74</f>
        <v>-383.3</v>
      </c>
      <c r="AF453" s="237">
        <f>-156.46-211.4</f>
        <v>-367.86</v>
      </c>
      <c r="AH453" s="237">
        <f>-95.09-58.24-77.55-5.81</f>
        <v>-236.69</v>
      </c>
      <c r="AJ453" s="237">
        <f>-84.64-115.8</f>
        <v>-200.44</v>
      </c>
      <c r="AL453" s="237">
        <f>-57.88-68.8</f>
        <v>-126.68</v>
      </c>
      <c r="AN453" s="237">
        <f>-100.51-27.49</f>
        <v>-128</v>
      </c>
      <c r="AP453" s="237">
        <f>-43.63-84.4</f>
        <v>-128.03</v>
      </c>
      <c r="AR453" s="237">
        <f>-61.63-42.3-30.18</f>
        <v>-134.11000000000001</v>
      </c>
      <c r="AT453" s="237">
        <f>-45.24-85.92</f>
        <v>-131.16</v>
      </c>
      <c r="AV453" s="237">
        <f>-157.55-179.46</f>
        <v>-337.01</v>
      </c>
      <c r="AX453" s="237">
        <f>-222.11-119.72</f>
        <v>-341.83000000000004</v>
      </c>
      <c r="BA453" s="237">
        <f>-265.89-223.89</f>
        <v>-489.78</v>
      </c>
      <c r="BC453" s="237">
        <f>-130.8-210.79</f>
        <v>-341.59000000000003</v>
      </c>
      <c r="BE453" s="237">
        <f>-130.81-199.98</f>
        <v>-330.78999999999996</v>
      </c>
      <c r="BG453" s="237">
        <f>-111.11-176</f>
        <v>-287.11</v>
      </c>
      <c r="BI453" s="237">
        <f>-105.48-105.07</f>
        <v>-210.55</v>
      </c>
      <c r="BK453" s="237">
        <f>-55.3-168</f>
        <v>-223.3</v>
      </c>
      <c r="BM453" s="237">
        <f>-75.66-253.66</f>
        <v>-329.32</v>
      </c>
      <c r="BO453" s="320">
        <f>-196.18-148.4</f>
        <v>-344.58000000000004</v>
      </c>
      <c r="BQ453" s="237">
        <f>-95.37-155.82</f>
        <v>-251.19</v>
      </c>
      <c r="BS453" s="237">
        <f>-146.52-66.69</f>
        <v>-213.21</v>
      </c>
      <c r="BU453" s="237">
        <f>-73.42-152.19</f>
        <v>-225.61</v>
      </c>
      <c r="BW453" s="237">
        <f>-80.14-269.85</f>
        <v>-349.99</v>
      </c>
      <c r="BY453" s="237">
        <f>-179.83-212.33</f>
        <v>-392.16</v>
      </c>
      <c r="CA453" s="237">
        <f>-137.38-189.38</f>
        <v>-326.76</v>
      </c>
      <c r="CC453" s="237">
        <f>-111.32-151.68</f>
        <v>-263</v>
      </c>
      <c r="CE453" s="237">
        <f>-170.63-108.8</f>
        <v>-279.43</v>
      </c>
      <c r="CG453" s="237">
        <f>-71.6-118.6</f>
        <v>-190.2</v>
      </c>
      <c r="CI453" s="213">
        <v>-53.44</v>
      </c>
    </row>
    <row r="454" spans="1:87">
      <c r="C454" s="213" t="s">
        <v>8</v>
      </c>
      <c r="X454" s="213">
        <v>142.31</v>
      </c>
      <c r="Y454" s="222">
        <f>ABS(((X453+X454)/X453))</f>
        <v>0.18652109294615293</v>
      </c>
      <c r="Z454" s="214">
        <v>125.37</v>
      </c>
      <c r="AA454" s="222">
        <f>ABS(((Z453+Z454)/Z453))</f>
        <v>0.41850649350649349</v>
      </c>
      <c r="AB454" s="214">
        <v>446.76</v>
      </c>
      <c r="AC454" s="222">
        <f>ABS(((AB453+AB454)/AB453))</f>
        <v>0.69548387096774189</v>
      </c>
      <c r="AD454" s="214">
        <v>415.69</v>
      </c>
      <c r="AE454" s="322">
        <f>ABS(((AD453+AD454)/AD453))</f>
        <v>8.4503000260892219E-2</v>
      </c>
      <c r="AF454" s="214">
        <v>458.41</v>
      </c>
      <c r="AG454" s="222">
        <f>ABS(((AF453+AF454)/AF453))</f>
        <v>0.24615342793454034</v>
      </c>
      <c r="AH454" s="214">
        <v>241.01</v>
      </c>
      <c r="AI454" s="222">
        <f>ABS(((AH454+AH455)/AH454))</f>
        <v>1.0179245674453341</v>
      </c>
      <c r="AJ454" s="214">
        <v>256</v>
      </c>
      <c r="AK454" s="222">
        <f>ABS(((AJ453+AJ454)/AJ453))</f>
        <v>0.27719018160047898</v>
      </c>
      <c r="AL454" s="214">
        <v>137.88999999999999</v>
      </c>
      <c r="AM454" s="222">
        <f>ABS(((AL453+AL454)/AL453))</f>
        <v>8.8490685191032356E-2</v>
      </c>
      <c r="AN454" s="214">
        <v>155.46</v>
      </c>
      <c r="AO454" s="222">
        <f>ABS(((AN453+AN454)/AN453))</f>
        <v>0.21453125000000006</v>
      </c>
      <c r="AP454" s="214">
        <v>166.2</v>
      </c>
      <c r="AQ454" s="222">
        <f>ABS(((AP453+AP454)/AP453))</f>
        <v>0.29813325001952656</v>
      </c>
      <c r="AR454" s="214">
        <v>158.72</v>
      </c>
      <c r="AS454" s="222">
        <f>ABS(((AR453+AR454)/AR453))</f>
        <v>0.1835060771008872</v>
      </c>
      <c r="AT454" s="214">
        <v>223.74</v>
      </c>
      <c r="AU454" s="222">
        <f>AT455/AT454</f>
        <v>0.41378385626173242</v>
      </c>
      <c r="AV454" s="214">
        <v>301.56</v>
      </c>
      <c r="AW454" s="222">
        <f>AV455/AV454</f>
        <v>-0.11755537869743994</v>
      </c>
      <c r="AX454" s="214">
        <v>430.38</v>
      </c>
      <c r="AY454" s="224">
        <f>AX455/AX454</f>
        <v>0.20574840838328909</v>
      </c>
      <c r="AZ454" s="225"/>
      <c r="BA454" s="214">
        <v>420.47</v>
      </c>
      <c r="BB454" s="222">
        <f>BA455/BA454</f>
        <v>-0.16483934644564402</v>
      </c>
      <c r="BC454" s="214">
        <v>404.96</v>
      </c>
      <c r="BD454" s="222">
        <f>BC455/BC454</f>
        <v>0.15648459107072291</v>
      </c>
      <c r="BE454" s="214">
        <v>333.06</v>
      </c>
      <c r="BF454" s="222">
        <f>BE455/BE454</f>
        <v>6.8155887828020133E-3</v>
      </c>
      <c r="BG454" s="214">
        <v>307.48</v>
      </c>
      <c r="BH454" s="222">
        <f>BG455/BG454</f>
        <v>6.6248211265773391E-2</v>
      </c>
      <c r="BI454" s="214">
        <v>232.44</v>
      </c>
      <c r="BJ454" s="222">
        <f>BI455/BI454</f>
        <v>9.417484081913606E-2</v>
      </c>
      <c r="BK454" s="214">
        <v>218.21</v>
      </c>
      <c r="BL454" s="222">
        <f>BK455/BK454</f>
        <v>-2.3326153705146433E-2</v>
      </c>
      <c r="BM454" s="214">
        <v>435.8</v>
      </c>
      <c r="BN454" s="222">
        <f>BM455/BM454</f>
        <v>0.24433226250573661</v>
      </c>
      <c r="BO454" s="321">
        <v>442.83</v>
      </c>
      <c r="BP454" s="222">
        <f>BO455/BO454</f>
        <v>0.22186843709775747</v>
      </c>
      <c r="BQ454" s="214">
        <v>305.02999999999997</v>
      </c>
      <c r="BR454" s="222">
        <f>BQ455/BQ454</f>
        <v>0.17650722879716743</v>
      </c>
      <c r="BS454" s="214">
        <v>227.22</v>
      </c>
      <c r="BT454" s="222">
        <f>BS455/BS454</f>
        <v>6.1658304726696554E-2</v>
      </c>
      <c r="BU454" s="214">
        <v>278.33999999999997</v>
      </c>
      <c r="BV454" s="222">
        <f>BU455/BU454</f>
        <v>0.18944456420205491</v>
      </c>
      <c r="BW454" s="214">
        <v>366.25</v>
      </c>
      <c r="BX454" s="222">
        <f>BW455/BW454</f>
        <v>4.4395904436860041E-2</v>
      </c>
      <c r="BY454" s="214">
        <v>542.76</v>
      </c>
      <c r="BZ454" s="222">
        <f>BY455/BY454</f>
        <v>0.27747070528410339</v>
      </c>
      <c r="CA454" s="214">
        <v>352.01</v>
      </c>
      <c r="CB454" s="222">
        <f>CA455/CA454</f>
        <v>7.1730916735320019E-2</v>
      </c>
      <c r="CC454" s="214">
        <v>451.77</v>
      </c>
      <c r="CD454" s="222">
        <f>CC455/CC454</f>
        <v>0.41784536379130971</v>
      </c>
      <c r="CE454" s="214">
        <v>295.67</v>
      </c>
      <c r="CF454" s="222">
        <f>CE455/CE454</f>
        <v>5.4926100043967967E-2</v>
      </c>
      <c r="CG454" s="214">
        <v>231.83</v>
      </c>
      <c r="CH454" s="222">
        <f>CG455/CG454</f>
        <v>0.17957123754475271</v>
      </c>
    </row>
    <row r="455" spans="1:87">
      <c r="C455" s="213" t="s">
        <v>9</v>
      </c>
      <c r="X455" s="214">
        <f>X453+X454</f>
        <v>-32.629999999999995</v>
      </c>
      <c r="Z455" s="214">
        <f>Z453+Z454</f>
        <v>-90.22999999999999</v>
      </c>
      <c r="AB455" s="243">
        <f>AB453+AB454</f>
        <v>183.26</v>
      </c>
      <c r="AD455" s="243">
        <f>AD453+AD454</f>
        <v>32.389999999999986</v>
      </c>
      <c r="AF455" s="243">
        <f>AF453+AF454</f>
        <v>90.550000000000011</v>
      </c>
      <c r="AH455" s="243">
        <f>AH453+AH454</f>
        <v>4.3199999999999932</v>
      </c>
      <c r="AJ455" s="243">
        <f>AJ453+AJ454</f>
        <v>55.56</v>
      </c>
      <c r="AL455" s="242">
        <f>AL453+AL454</f>
        <v>11.20999999999998</v>
      </c>
      <c r="AN455" s="243">
        <f>AN453+AN454</f>
        <v>27.460000000000008</v>
      </c>
      <c r="AP455" s="214">
        <f>AP453+AP454</f>
        <v>38.169999999999987</v>
      </c>
      <c r="AR455" s="214">
        <f>AR453+AR454</f>
        <v>24.609999999999985</v>
      </c>
      <c r="AT455" s="214">
        <f>AT453+AT454</f>
        <v>92.580000000000013</v>
      </c>
      <c r="AV455" s="214">
        <f>AV453+AV454</f>
        <v>-35.449999999999989</v>
      </c>
      <c r="AX455" s="214">
        <f>AX453+AX454</f>
        <v>88.549999999999955</v>
      </c>
      <c r="BA455" s="214">
        <f>BA453+BA454</f>
        <v>-69.309999999999945</v>
      </c>
      <c r="BC455" s="214">
        <f>BC453+BC454</f>
        <v>63.369999999999948</v>
      </c>
      <c r="BE455" s="214">
        <f>BE453+BE454</f>
        <v>2.2700000000000387</v>
      </c>
      <c r="BG455" s="214">
        <f>BG453+BG454</f>
        <v>20.370000000000005</v>
      </c>
      <c r="BI455" s="214">
        <f>BI453+BI454</f>
        <v>21.889999999999986</v>
      </c>
      <c r="BK455" s="214">
        <f>BK453+BK454</f>
        <v>-5.0900000000000034</v>
      </c>
      <c r="BM455" s="214">
        <f>BM453+BM454</f>
        <v>106.48000000000002</v>
      </c>
      <c r="BO455" s="214">
        <f>BO453+BO454</f>
        <v>98.249999999999943</v>
      </c>
      <c r="BQ455" s="214">
        <f>BQ453+BQ454</f>
        <v>53.839999999999975</v>
      </c>
      <c r="BS455" s="214">
        <f>BS453+BS454</f>
        <v>14.009999999999991</v>
      </c>
      <c r="BU455" s="214">
        <f>BU453+BU454</f>
        <v>52.729999999999961</v>
      </c>
      <c r="BW455" s="214">
        <f>BW453+BW454</f>
        <v>16.259999999999991</v>
      </c>
      <c r="BY455" s="214">
        <f>BY453+BY454</f>
        <v>150.59999999999997</v>
      </c>
      <c r="CA455" s="214">
        <f>CA453+CA454</f>
        <v>25.25</v>
      </c>
      <c r="CC455" s="214">
        <f>CC453+CC454</f>
        <v>188.76999999999998</v>
      </c>
      <c r="CE455" s="214">
        <f>CE453+CE454</f>
        <v>16.240000000000009</v>
      </c>
      <c r="CG455" s="214">
        <f>CG453+CG454</f>
        <v>41.630000000000024</v>
      </c>
    </row>
    <row r="456" spans="1:87">
      <c r="A456" s="211">
        <v>138</v>
      </c>
      <c r="B456" s="279">
        <v>207273388</v>
      </c>
      <c r="C456" s="318" t="s">
        <v>665</v>
      </c>
      <c r="AP456" s="214"/>
      <c r="AT456" s="214"/>
    </row>
    <row r="457" spans="1:87">
      <c r="C457" s="253" t="s">
        <v>171</v>
      </c>
      <c r="T457" s="235">
        <v>45170</v>
      </c>
      <c r="U457" s="235"/>
      <c r="V457" s="235">
        <v>45200</v>
      </c>
      <c r="W457" s="235"/>
      <c r="X457" s="235">
        <v>45231</v>
      </c>
      <c r="Y457" s="235"/>
      <c r="Z457" s="235">
        <v>45261</v>
      </c>
      <c r="AA457" s="235"/>
      <c r="AB457" s="235">
        <v>45292</v>
      </c>
      <c r="AC457" s="235"/>
      <c r="AD457" s="235">
        <v>45323</v>
      </c>
      <c r="AE457" s="235"/>
      <c r="AF457" s="235">
        <v>45352</v>
      </c>
      <c r="AH457" s="235">
        <v>45383</v>
      </c>
      <c r="AJ457" s="235">
        <v>45413</v>
      </c>
      <c r="AL457" s="235">
        <v>45444</v>
      </c>
      <c r="AN457" s="235">
        <v>45474</v>
      </c>
      <c r="AP457" s="235">
        <v>45505</v>
      </c>
      <c r="AR457" s="236">
        <v>45536</v>
      </c>
      <c r="AT457" s="236">
        <v>45566</v>
      </c>
      <c r="AV457" s="235">
        <v>45597</v>
      </c>
      <c r="AX457" s="235">
        <v>45627</v>
      </c>
      <c r="BA457" s="235">
        <v>45658</v>
      </c>
      <c r="BC457" s="235">
        <v>45689</v>
      </c>
      <c r="BE457" s="235">
        <v>45717</v>
      </c>
      <c r="BG457" s="235">
        <v>45748</v>
      </c>
      <c r="BI457" s="235">
        <v>45778</v>
      </c>
      <c r="BK457" s="235">
        <v>45809</v>
      </c>
      <c r="BM457" s="235">
        <v>45839</v>
      </c>
      <c r="BO457" s="235">
        <v>45870</v>
      </c>
      <c r="BQ457" s="235">
        <v>45901</v>
      </c>
      <c r="BS457" s="235">
        <v>45931</v>
      </c>
      <c r="BU457" s="235">
        <v>45962</v>
      </c>
      <c r="BW457" s="235">
        <v>45992</v>
      </c>
      <c r="BY457" s="235">
        <v>46023</v>
      </c>
      <c r="CA457" s="235">
        <v>46054</v>
      </c>
      <c r="CC457" s="235">
        <v>46082</v>
      </c>
      <c r="CE457" s="235">
        <v>46113</v>
      </c>
      <c r="CG457" s="235">
        <v>46143</v>
      </c>
      <c r="CI457" s="341">
        <v>46174</v>
      </c>
    </row>
    <row r="458" spans="1:87">
      <c r="C458" s="213" t="s">
        <v>7</v>
      </c>
      <c r="Z458" s="237">
        <v>-141.1</v>
      </c>
      <c r="AA458" s="214"/>
      <c r="AB458" s="237">
        <f>-101.99-22.4</f>
        <v>-124.38999999999999</v>
      </c>
      <c r="AD458" s="237">
        <f>-70.33-24.08</f>
        <v>-94.41</v>
      </c>
      <c r="AF458" s="237">
        <f>-72.34-2.2</f>
        <v>-74.540000000000006</v>
      </c>
      <c r="AH458" s="237">
        <f>-5-1.84-17.57</f>
        <v>-24.41</v>
      </c>
      <c r="AJ458" s="237">
        <f>-15.48-65.55</f>
        <v>-81.03</v>
      </c>
      <c r="AL458" s="237">
        <f>-20.32-56.81</f>
        <v>-77.13</v>
      </c>
      <c r="AN458" s="237">
        <f>-55.78-24.93</f>
        <v>-80.710000000000008</v>
      </c>
      <c r="AP458" s="237">
        <f>-66.34-15.19</f>
        <v>-81.53</v>
      </c>
      <c r="AR458" s="237">
        <f>-47.77-2.37-14.04</f>
        <v>-64.180000000000007</v>
      </c>
      <c r="AT458" s="237">
        <f>-53.96-23.36</f>
        <v>-77.319999999999993</v>
      </c>
      <c r="AV458" s="237">
        <f>-70.15-18.4</f>
        <v>-88.550000000000011</v>
      </c>
      <c r="AX458" s="237">
        <f>-81.07-37.53</f>
        <v>-118.6</v>
      </c>
      <c r="BA458" s="237">
        <f>-108.43-18.7</f>
        <v>-127.13000000000001</v>
      </c>
      <c r="BC458" s="237">
        <f>-89.72-12.96</f>
        <v>-102.68</v>
      </c>
      <c r="BE458" s="237">
        <f>-74.43-20.44</f>
        <v>-94.87</v>
      </c>
      <c r="BG458" s="237">
        <f>-67.07-18.16</f>
        <v>-85.22999999999999</v>
      </c>
      <c r="BI458" s="237">
        <f>-50.07-16.83</f>
        <v>-66.900000000000006</v>
      </c>
      <c r="BK458" s="237">
        <v>-41.23</v>
      </c>
      <c r="BM458" s="237">
        <f>-18.08-0</f>
        <v>-18.079999999999998</v>
      </c>
      <c r="BO458" s="237">
        <f>-56.63-12.78</f>
        <v>-69.41</v>
      </c>
      <c r="BQ458" s="237">
        <f>-49.01-16.24</f>
        <v>-65.25</v>
      </c>
      <c r="BS458" s="237">
        <f>-53.32-21.52</f>
        <v>-74.84</v>
      </c>
      <c r="BU458" s="237">
        <f>-61.84-25.41</f>
        <v>-87.25</v>
      </c>
      <c r="BW458" s="237">
        <f>-79.84-40.41</f>
        <v>-120.25</v>
      </c>
      <c r="BY458" s="237">
        <f>-112.4-17.34</f>
        <v>-129.74</v>
      </c>
      <c r="CA458" s="237">
        <f>-63.62-20.16</f>
        <v>-83.78</v>
      </c>
      <c r="CC458" s="237">
        <f>-80.5-15.75</f>
        <v>-96.25</v>
      </c>
      <c r="CE458" s="237">
        <v>-49.43</v>
      </c>
      <c r="CG458" s="237">
        <f>-49.27-14.14</f>
        <v>-63.410000000000004</v>
      </c>
      <c r="CI458" s="213">
        <v>-44.53</v>
      </c>
    </row>
    <row r="459" spans="1:87">
      <c r="C459" s="213" t="s">
        <v>8</v>
      </c>
      <c r="Z459" s="214">
        <v>131.19</v>
      </c>
      <c r="AA459" s="214"/>
      <c r="AB459" s="214">
        <v>141.25</v>
      </c>
      <c r="AD459" s="213">
        <v>122.32</v>
      </c>
      <c r="AE459" s="322">
        <f>ABS(((AD458+AD459)/AD458))</f>
        <v>0.29562546340430035</v>
      </c>
      <c r="AF459" s="213">
        <v>122.25</v>
      </c>
      <c r="AG459" s="222">
        <f>ABS(((AF458+AF459)/AF458))</f>
        <v>0.64005902870941767</v>
      </c>
      <c r="AH459" s="214">
        <v>107.88</v>
      </c>
      <c r="AI459" s="222">
        <f>ABS(((AH458+AH459)/AH458))</f>
        <v>3.4195002048340841</v>
      </c>
      <c r="AJ459" s="214">
        <v>94.77</v>
      </c>
      <c r="AK459" s="222">
        <f>ABS(((AJ458+AJ459)/AJ458))</f>
        <v>0.1695668271010736</v>
      </c>
      <c r="AL459" s="214">
        <v>97.31</v>
      </c>
      <c r="AM459" s="222">
        <f>ABS(((AL458+AL459)/AL458))</f>
        <v>0.26163619862569698</v>
      </c>
      <c r="AN459" s="214">
        <v>97.9</v>
      </c>
      <c r="AO459" s="222">
        <f>ABS(((AN458+AN459)/AN458))</f>
        <v>0.21298476025275673</v>
      </c>
      <c r="AP459" s="214">
        <v>102.93</v>
      </c>
      <c r="AQ459" s="222">
        <f>ABS(((AP458+AP459)/AP458))</f>
        <v>0.26248006868637319</v>
      </c>
      <c r="AR459" s="214">
        <v>48.73</v>
      </c>
      <c r="AS459" s="222">
        <f>ABS(((AR458+AR459)/AR458))</f>
        <v>0.24072919912745416</v>
      </c>
      <c r="AT459" s="214">
        <v>84.93</v>
      </c>
      <c r="AU459" s="222">
        <f>AT460/AT459</f>
        <v>8.9603202637466309E-2</v>
      </c>
      <c r="AV459" s="214">
        <v>105.05</v>
      </c>
      <c r="AW459" s="222">
        <f>AV460/AV459</f>
        <v>0.15706806282722499</v>
      </c>
      <c r="AX459" s="214">
        <v>142.02000000000001</v>
      </c>
      <c r="AY459" s="224">
        <f>AX460/AX459</f>
        <v>0.1649063512181384</v>
      </c>
      <c r="AZ459" s="225"/>
      <c r="BA459" s="214">
        <v>136.43</v>
      </c>
      <c r="BB459" s="222">
        <f>BA460/BA459</f>
        <v>6.8166825478267218E-2</v>
      </c>
      <c r="BC459" s="214">
        <v>111.08</v>
      </c>
      <c r="BD459" s="222">
        <f>BC460/BC459</f>
        <v>7.5621173928699964E-2</v>
      </c>
      <c r="BE459" s="214">
        <v>101.82</v>
      </c>
      <c r="BF459" s="222">
        <f>BE460/BE459</f>
        <v>6.8257709683755538E-2</v>
      </c>
      <c r="BG459" s="214">
        <v>91.45</v>
      </c>
      <c r="BH459" s="222">
        <f>BG460/BG459</f>
        <v>6.8015308911973896E-2</v>
      </c>
      <c r="BI459" s="214">
        <v>67.48</v>
      </c>
      <c r="BJ459" s="222">
        <f>BI460/BI459</f>
        <v>8.5951393005334661E-3</v>
      </c>
      <c r="BK459" s="214">
        <v>65.13</v>
      </c>
      <c r="BL459" s="222">
        <f>BK460/BK459</f>
        <v>0.36695839091048671</v>
      </c>
      <c r="BM459" s="214">
        <v>74.38</v>
      </c>
      <c r="BN459" s="222">
        <f>BM460/BM459</f>
        <v>0.75692390427534284</v>
      </c>
      <c r="BO459" s="214">
        <v>81.66</v>
      </c>
      <c r="BP459" s="222">
        <f>BO460/BO459</f>
        <v>0.1500122458976243</v>
      </c>
      <c r="BQ459" s="214">
        <v>68.45</v>
      </c>
      <c r="BR459" s="222">
        <f>BQ460/BQ459</f>
        <v>4.6749452154857603E-2</v>
      </c>
      <c r="BS459" s="214">
        <v>81.239999999999995</v>
      </c>
      <c r="BT459" s="222">
        <f>BS460/BS459</f>
        <v>7.8778926637124463E-2</v>
      </c>
      <c r="BU459" s="214">
        <v>103.47</v>
      </c>
      <c r="BV459" s="222">
        <f>BU460/BU459</f>
        <v>0.15676041364646756</v>
      </c>
      <c r="BW459" s="214">
        <v>152.12</v>
      </c>
      <c r="BX459" s="222">
        <f>BW460/BW459</f>
        <v>0.20950565343150146</v>
      </c>
      <c r="BY459" s="214">
        <v>144.47</v>
      </c>
      <c r="BZ459" s="222">
        <f>BY460/BY459</f>
        <v>0.10195888419741116</v>
      </c>
      <c r="CA459" s="214">
        <v>92.16</v>
      </c>
      <c r="CB459" s="222">
        <f>CA460/CA459</f>
        <v>9.0928819444444392E-2</v>
      </c>
      <c r="CC459" s="214">
        <v>133.44</v>
      </c>
      <c r="CD459" s="222">
        <f>CC460/CC459</f>
        <v>0.27870203836930452</v>
      </c>
      <c r="CE459" s="214">
        <v>80.14</v>
      </c>
      <c r="CF459" s="222">
        <f>CE460/CE459</f>
        <v>0.38320439231345149</v>
      </c>
      <c r="CG459" s="214">
        <v>78.06</v>
      </c>
      <c r="CH459" s="222">
        <f>CG460/CG459</f>
        <v>0.18767614655393286</v>
      </c>
    </row>
    <row r="460" spans="1:87">
      <c r="C460" s="213" t="s">
        <v>9</v>
      </c>
      <c r="Z460" s="214">
        <f>Z458+Z459</f>
        <v>-9.9099999999999966</v>
      </c>
      <c r="AA460" s="214"/>
      <c r="AB460" s="243">
        <f>AB458+AB459</f>
        <v>16.860000000000014</v>
      </c>
      <c r="AD460" s="243">
        <f>AD458+AD459</f>
        <v>27.909999999999997</v>
      </c>
      <c r="AF460" s="243">
        <f>AF458+AF459</f>
        <v>47.709999999999994</v>
      </c>
      <c r="AH460" s="243">
        <f>AH458+AH459</f>
        <v>83.47</v>
      </c>
      <c r="AI460" s="222"/>
      <c r="AJ460" s="242">
        <f>AJ458+AJ459</f>
        <v>13.739999999999995</v>
      </c>
      <c r="AL460" s="243">
        <v>97.31</v>
      </c>
      <c r="AN460" s="243">
        <f>AN458+AN459</f>
        <v>17.189999999999998</v>
      </c>
      <c r="AP460" s="214">
        <f>AP458+AP459</f>
        <v>21.400000000000006</v>
      </c>
      <c r="AR460" s="214">
        <f>AR458+AR459</f>
        <v>-15.45000000000001</v>
      </c>
      <c r="AT460" s="214">
        <f>AT458+AT459</f>
        <v>7.6100000000000136</v>
      </c>
      <c r="AV460" s="214">
        <f>AV458+AV459</f>
        <v>16.499999999999986</v>
      </c>
      <c r="AX460" s="214">
        <f>AX458+AX459</f>
        <v>23.420000000000016</v>
      </c>
      <c r="BA460" s="214">
        <f>BA458+BA459</f>
        <v>9.2999999999999972</v>
      </c>
      <c r="BC460" s="214">
        <f>BC458+BC459</f>
        <v>8.3999999999999915</v>
      </c>
      <c r="BE460" s="214">
        <f>BE458+BE459</f>
        <v>6.9499999999999886</v>
      </c>
      <c r="BG460" s="214">
        <f>BG458+BG459</f>
        <v>6.2200000000000131</v>
      </c>
      <c r="BI460" s="214">
        <f>BI458+BI459</f>
        <v>0.57999999999999829</v>
      </c>
      <c r="BK460" s="214">
        <f>BK458+BK459</f>
        <v>23.9</v>
      </c>
      <c r="BM460" s="214">
        <f>BM458+BM459</f>
        <v>56.3</v>
      </c>
      <c r="BO460" s="214">
        <f>BO458+BO459</f>
        <v>12.25</v>
      </c>
      <c r="BQ460" s="214">
        <f>BQ458+BQ459</f>
        <v>3.2000000000000028</v>
      </c>
      <c r="BS460" s="214">
        <f>BS458+BS459</f>
        <v>6.3999999999999915</v>
      </c>
      <c r="BU460" s="214">
        <f>BU458+BU459</f>
        <v>16.22</v>
      </c>
      <c r="BW460" s="214">
        <f>BW458+BW459</f>
        <v>31.870000000000005</v>
      </c>
      <c r="BY460" s="214">
        <f>BY458+BY459</f>
        <v>14.72999999999999</v>
      </c>
      <c r="CA460" s="214">
        <f>CA458+CA459</f>
        <v>8.3799999999999955</v>
      </c>
      <c r="CC460" s="214">
        <f>CC458+CC459</f>
        <v>37.19</v>
      </c>
      <c r="CE460" s="214">
        <f>CE458+CE459</f>
        <v>30.71</v>
      </c>
      <c r="CG460" s="214">
        <f>CG458+CG459</f>
        <v>14.649999999999999</v>
      </c>
    </row>
    <row r="461" spans="1:87">
      <c r="A461" s="231">
        <v>139</v>
      </c>
      <c r="B461" s="279">
        <v>407083662</v>
      </c>
      <c r="C461" s="213" t="s">
        <v>172</v>
      </c>
      <c r="AP461" s="214"/>
      <c r="AT461" s="214"/>
    </row>
    <row r="462" spans="1:87">
      <c r="C462" s="253" t="s">
        <v>173</v>
      </c>
      <c r="T462" s="235">
        <v>45170</v>
      </c>
      <c r="U462" s="235"/>
      <c r="V462" s="235">
        <v>45200</v>
      </c>
      <c r="W462" s="235"/>
      <c r="X462" s="235">
        <v>45231</v>
      </c>
      <c r="Y462" s="235"/>
      <c r="Z462" s="235">
        <v>45261</v>
      </c>
      <c r="AA462" s="235"/>
      <c r="AB462" s="235">
        <v>45292</v>
      </c>
      <c r="AC462" s="235"/>
      <c r="AD462" s="235">
        <v>45323</v>
      </c>
      <c r="AE462" s="235"/>
      <c r="AF462" s="235">
        <v>45352</v>
      </c>
      <c r="AH462" s="235">
        <v>45383</v>
      </c>
      <c r="AJ462" s="235">
        <v>45413</v>
      </c>
      <c r="AL462" s="235">
        <v>45444</v>
      </c>
      <c r="AN462" s="235">
        <v>45474</v>
      </c>
      <c r="AP462" s="235">
        <v>45505</v>
      </c>
      <c r="AR462" s="236">
        <v>45536</v>
      </c>
      <c r="AT462" s="236">
        <v>45566</v>
      </c>
      <c r="AV462" s="235">
        <v>45597</v>
      </c>
      <c r="AX462" s="235">
        <v>45627</v>
      </c>
      <c r="BA462" s="235">
        <v>45658</v>
      </c>
      <c r="BC462" s="235">
        <v>45689</v>
      </c>
      <c r="BE462" s="235">
        <v>45717</v>
      </c>
      <c r="BG462" s="235">
        <v>45748</v>
      </c>
      <c r="BI462" s="235">
        <v>45778</v>
      </c>
      <c r="BK462" s="235">
        <v>45809</v>
      </c>
      <c r="BM462" s="235">
        <v>45839</v>
      </c>
      <c r="BO462" s="235">
        <v>45870</v>
      </c>
      <c r="BQ462" s="235">
        <v>45901</v>
      </c>
      <c r="BS462" s="235">
        <v>45931</v>
      </c>
      <c r="BU462" s="235">
        <v>45962</v>
      </c>
      <c r="BW462" s="235">
        <v>45992</v>
      </c>
      <c r="BY462" s="235">
        <v>46023</v>
      </c>
      <c r="CA462" s="235">
        <v>46054</v>
      </c>
      <c r="CC462" s="235">
        <v>46082</v>
      </c>
      <c r="CE462" s="235">
        <v>46113</v>
      </c>
      <c r="CG462" s="235">
        <v>46143</v>
      </c>
      <c r="CI462" s="341">
        <v>46174</v>
      </c>
    </row>
    <row r="463" spans="1:87">
      <c r="C463" s="213" t="s">
        <v>7</v>
      </c>
      <c r="Z463" s="237">
        <v>-97.19</v>
      </c>
      <c r="AB463" s="237">
        <f>-74.26-16.68</f>
        <v>-90.94</v>
      </c>
      <c r="AD463" s="237">
        <f>-58.38-23.73</f>
        <v>-82.11</v>
      </c>
      <c r="AF463" s="237">
        <f>-71.24-27</f>
        <v>-98.24</v>
      </c>
      <c r="AH463" s="237">
        <f>-59.58-5.93-16.5</f>
        <v>-82.009999999999991</v>
      </c>
      <c r="AJ463" s="237">
        <f>-63.18-25.29</f>
        <v>-88.47</v>
      </c>
      <c r="AL463" s="237">
        <f>-64.53-20.02</f>
        <v>-84.55</v>
      </c>
      <c r="AN463" s="237">
        <f>-65.66-18.8</f>
        <v>-84.46</v>
      </c>
      <c r="AP463" s="237">
        <f>-51.96-22.24</f>
        <v>-74.2</v>
      </c>
      <c r="AR463" s="237">
        <f>-61.09-2.73-16.1</f>
        <v>-79.92</v>
      </c>
      <c r="AT463" s="237">
        <f>-55.26-6.37</f>
        <v>-61.629999999999995</v>
      </c>
      <c r="AV463" s="237">
        <f>-22.65-5</f>
        <v>-27.65</v>
      </c>
      <c r="AX463" s="237">
        <f>-19.94-61.71</f>
        <v>-81.650000000000006</v>
      </c>
      <c r="BA463" s="237">
        <f>-151.42-12.2</f>
        <v>-163.61999999999998</v>
      </c>
      <c r="BC463" s="237">
        <f>-73.18-12.44</f>
        <v>-85.62</v>
      </c>
      <c r="BE463" s="237">
        <f>-74.6-19.88</f>
        <v>-94.47999999999999</v>
      </c>
      <c r="BG463" s="237">
        <f>-68.28-19.62</f>
        <v>-87.9</v>
      </c>
      <c r="BI463" s="237">
        <f>-84.92-17.2</f>
        <v>-102.12</v>
      </c>
      <c r="BK463" s="237">
        <f>-82.43-19.5</f>
        <v>-101.93</v>
      </c>
      <c r="BM463" s="237">
        <f>-77.88-24.5</f>
        <v>-102.38</v>
      </c>
      <c r="BO463" s="237">
        <v>-87.46</v>
      </c>
      <c r="BQ463" s="237">
        <f>-93.86-23.92</f>
        <v>-117.78</v>
      </c>
      <c r="BS463" s="237">
        <f>-77.74-16.5</f>
        <v>-94.24</v>
      </c>
      <c r="BU463" s="237">
        <f>-75.9-19.18</f>
        <v>-95.080000000000013</v>
      </c>
      <c r="BW463" s="237">
        <f>-57.56-26.9</f>
        <v>-84.460000000000008</v>
      </c>
      <c r="BY463" s="237">
        <f>-67.26-16.08</f>
        <v>-83.34</v>
      </c>
      <c r="CA463" s="237">
        <f>-58.92-14.1</f>
        <v>-73.02</v>
      </c>
      <c r="CC463" s="237">
        <f>-56.43-21.35</f>
        <v>-77.78</v>
      </c>
      <c r="CE463" s="237">
        <f>-70.12-22.33</f>
        <v>-92.45</v>
      </c>
      <c r="CG463" s="237">
        <v>-76.64</v>
      </c>
    </row>
    <row r="464" spans="1:87">
      <c r="C464" s="213" t="s">
        <v>8</v>
      </c>
      <c r="Z464" s="214">
        <v>98.83</v>
      </c>
      <c r="AB464" s="214">
        <v>136.33000000000001</v>
      </c>
      <c r="AD464" s="214">
        <v>112.69</v>
      </c>
      <c r="AE464" s="322">
        <f>ABS(((AD463+AD464)/AD463))</f>
        <v>0.37242723176227011</v>
      </c>
      <c r="AF464" s="214">
        <v>141.56</v>
      </c>
      <c r="AG464" s="222">
        <f>ABS(((AF463+AF464)/AF463))</f>
        <v>0.44096091205211735</v>
      </c>
      <c r="AH464" s="214">
        <v>115.02</v>
      </c>
      <c r="AI464" s="222">
        <f>ABS(((AH463+AH464)/AH463))</f>
        <v>0.40251188879404959</v>
      </c>
      <c r="AJ464" s="214">
        <v>122.64</v>
      </c>
      <c r="AK464" s="222">
        <f>ABS(((AJ463+AJ464)/AJ463))</f>
        <v>0.38623262122753477</v>
      </c>
      <c r="AL464" s="214">
        <v>106.36</v>
      </c>
      <c r="AM464" s="222">
        <f>ABS(((AL463+AL464)/AL463))</f>
        <v>0.25795387344766413</v>
      </c>
      <c r="AN464" s="214">
        <v>122.07</v>
      </c>
      <c r="AO464" s="222">
        <f>ABS(((AN463+AN464)/AN463))</f>
        <v>0.44529955008287947</v>
      </c>
      <c r="AP464" s="214">
        <v>106.57</v>
      </c>
      <c r="AQ464" s="222">
        <f>ABS(((AP463+AP464)/AP463))</f>
        <v>0.43625336927223707</v>
      </c>
      <c r="AR464" s="214">
        <v>108.42</v>
      </c>
      <c r="AS464" s="222">
        <f>ABS(((AR463+AR464)/AR463))</f>
        <v>0.35660660660660659</v>
      </c>
      <c r="AT464" s="214">
        <v>105.91</v>
      </c>
      <c r="AU464" s="222">
        <f>ABS(((AT463+AT464)/AT463))</f>
        <v>0.71848125912704863</v>
      </c>
      <c r="AV464" s="214">
        <v>40.21</v>
      </c>
      <c r="AW464" s="222">
        <f>ABS(((AV463+AV464)/AV463))</f>
        <v>0.45424954792043409</v>
      </c>
      <c r="AX464" s="214">
        <v>44</v>
      </c>
      <c r="AY464" s="224">
        <f>ABS(((AX463+AX464)/AX463))</f>
        <v>0.46111451316595226</v>
      </c>
      <c r="AZ464" s="225"/>
      <c r="BA464" s="214">
        <v>78.42</v>
      </c>
      <c r="BB464" s="222">
        <f>ABS(((BA463+BA464)/BA463))</f>
        <v>0.52071873854052064</v>
      </c>
      <c r="BC464" s="214">
        <v>106.42</v>
      </c>
      <c r="BD464" s="222">
        <f>ABS(((BC463+BC464)/BC463))</f>
        <v>0.24293389395001164</v>
      </c>
      <c r="BE464" s="214">
        <v>111.75</v>
      </c>
      <c r="BF464" s="222">
        <f>ABS(((BE463+BE464)/BE463))</f>
        <v>0.18279000846740065</v>
      </c>
      <c r="BG464" s="214">
        <v>101.32</v>
      </c>
      <c r="BH464" s="222">
        <f>ABS(((BG463+BG464)/BG463))</f>
        <v>0.15267349260523308</v>
      </c>
      <c r="BI464" s="214">
        <v>121.42</v>
      </c>
      <c r="BJ464" s="222">
        <f>ABS(((BI463+BI464)/BI463))</f>
        <v>0.18899334116725416</v>
      </c>
      <c r="BK464" s="214">
        <v>122.11</v>
      </c>
      <c r="BL464" s="222">
        <f>ABS(((BK463+BK464)/BK463))</f>
        <v>0.19797900519964673</v>
      </c>
      <c r="BM464" s="214">
        <v>123.55</v>
      </c>
      <c r="BN464" s="222">
        <f>ABS(((BM463+BM464)/BM463))</f>
        <v>0.20677866770853684</v>
      </c>
      <c r="BO464" s="214">
        <v>120.49</v>
      </c>
      <c r="BP464" s="222">
        <f>ABS(((BO463+BO464)/BO463))</f>
        <v>0.37765835810656306</v>
      </c>
      <c r="BQ464" s="214">
        <v>117.14</v>
      </c>
      <c r="BR464" s="222">
        <f>ABS(((BQ463+BQ464)/BQ463))</f>
        <v>5.4338597384955053E-3</v>
      </c>
      <c r="BS464" s="214">
        <v>117.57</v>
      </c>
      <c r="BT464" s="222">
        <f>ABS(((BS463+BS464)/BS463))</f>
        <v>0.24755942275042445</v>
      </c>
      <c r="BU464" s="214">
        <v>122.61</v>
      </c>
      <c r="BV464" s="222">
        <f>ABS(((BU463+BU464)/BU463))</f>
        <v>0.28954564577198133</v>
      </c>
      <c r="BW464" s="214">
        <v>101.75</v>
      </c>
      <c r="BX464" s="222">
        <f>ABS(((BW463+BW464)/BW463))</f>
        <v>0.2047122898413449</v>
      </c>
      <c r="BY464" s="214">
        <v>103.26</v>
      </c>
      <c r="BZ464" s="222">
        <f>BY465/BY464</f>
        <v>0.19291109819872168</v>
      </c>
      <c r="CA464" s="214">
        <v>108.54</v>
      </c>
      <c r="CB464" s="222">
        <f>CA465/CA464</f>
        <v>0.32725262576008851</v>
      </c>
      <c r="CC464" s="214">
        <v>110.57</v>
      </c>
      <c r="CD464" s="222">
        <f>CC465/CC464</f>
        <v>0.29655421904675766</v>
      </c>
      <c r="CE464" s="214">
        <v>126.11</v>
      </c>
      <c r="CF464" s="222">
        <f>CE465/CE464</f>
        <v>0.26690984061533579</v>
      </c>
      <c r="CG464" s="214">
        <v>142.31</v>
      </c>
      <c r="CH464" s="222">
        <f>CG465/CG464</f>
        <v>0.46145738177218748</v>
      </c>
    </row>
    <row r="465" spans="1:87">
      <c r="C465" s="213" t="s">
        <v>9</v>
      </c>
      <c r="Z465" s="214">
        <f>Z463+Z464</f>
        <v>1.6400000000000006</v>
      </c>
      <c r="AB465" s="243">
        <f>AB463+AB464</f>
        <v>45.390000000000015</v>
      </c>
      <c r="AD465" s="243">
        <f>AD463+AD464</f>
        <v>30.58</v>
      </c>
      <c r="AF465" s="243">
        <f>AF463+AF464</f>
        <v>43.320000000000007</v>
      </c>
      <c r="AH465" s="243">
        <f>AH463+AH464</f>
        <v>33.010000000000005</v>
      </c>
      <c r="AJ465" s="243">
        <f>AJ463+AJ464</f>
        <v>34.17</v>
      </c>
      <c r="AL465" s="242">
        <f>AL463+AL464</f>
        <v>21.810000000000002</v>
      </c>
      <c r="AN465" s="243">
        <f>AN463+AN464</f>
        <v>37.61</v>
      </c>
      <c r="AP465" s="214">
        <f>AP463+AP464</f>
        <v>32.36999999999999</v>
      </c>
      <c r="AR465" s="214">
        <f>AR463+AR464</f>
        <v>28.5</v>
      </c>
      <c r="AT465" s="214">
        <f>AT463+AT464</f>
        <v>44.28</v>
      </c>
      <c r="AV465" s="214">
        <f>AV463+AV464</f>
        <v>12.560000000000002</v>
      </c>
      <c r="AX465" s="214">
        <f>AX463+AX464</f>
        <v>-37.650000000000006</v>
      </c>
      <c r="BA465" s="214">
        <f>BA463+BA464</f>
        <v>-85.199999999999974</v>
      </c>
      <c r="BC465" s="214">
        <f>BC463+BC464</f>
        <v>20.799999999999997</v>
      </c>
      <c r="BE465" s="214">
        <f>BE463+BE464</f>
        <v>17.27000000000001</v>
      </c>
      <c r="BG465" s="214">
        <f>BG463+BG464</f>
        <v>13.419999999999987</v>
      </c>
      <c r="BI465" s="214">
        <f>BI463+BI464</f>
        <v>19.299999999999997</v>
      </c>
      <c r="BK465" s="214">
        <f>BK463+BK464</f>
        <v>20.179999999999993</v>
      </c>
      <c r="BM465" s="214">
        <f>BM463+BM464</f>
        <v>21.17</v>
      </c>
      <c r="BO465" s="214">
        <f>BO463+BO464</f>
        <v>33.03</v>
      </c>
      <c r="BQ465" s="214">
        <f>BQ463+BQ464</f>
        <v>-0.64000000000000057</v>
      </c>
      <c r="BS465" s="214">
        <f>BS463+BS464</f>
        <v>23.33</v>
      </c>
      <c r="BU465" s="214">
        <f>BU463+BU464</f>
        <v>27.529999999999987</v>
      </c>
      <c r="BW465" s="214">
        <f>BW463+BW464</f>
        <v>17.289999999999992</v>
      </c>
      <c r="BY465" s="214">
        <f>BY463+BY464</f>
        <v>19.920000000000002</v>
      </c>
      <c r="CA465" s="214">
        <f>CA463+CA464</f>
        <v>35.52000000000001</v>
      </c>
      <c r="CC465" s="214">
        <f>CC463+CC464</f>
        <v>32.789999999999992</v>
      </c>
      <c r="CE465" s="214">
        <f>CE463+CE464</f>
        <v>33.659999999999997</v>
      </c>
      <c r="CG465" s="214">
        <f>CG463+CG464</f>
        <v>65.67</v>
      </c>
    </row>
    <row r="466" spans="1:87">
      <c r="A466" s="211">
        <v>140</v>
      </c>
      <c r="B466" s="279">
        <v>136620218</v>
      </c>
      <c r="C466" s="213" t="s">
        <v>174</v>
      </c>
      <c r="AB466" s="214"/>
      <c r="AD466" s="214"/>
      <c r="AP466" s="214"/>
      <c r="AT466" s="214"/>
    </row>
    <row r="467" spans="1:87">
      <c r="C467" s="253" t="s">
        <v>175</v>
      </c>
      <c r="T467" s="235">
        <v>45170</v>
      </c>
      <c r="U467" s="235"/>
      <c r="V467" s="235">
        <v>45200</v>
      </c>
      <c r="W467" s="235"/>
      <c r="X467" s="235">
        <v>45231</v>
      </c>
      <c r="Y467" s="235"/>
      <c r="Z467" s="235">
        <v>45261</v>
      </c>
      <c r="AA467" s="235"/>
      <c r="AB467" s="235">
        <v>45292</v>
      </c>
      <c r="AC467" s="235"/>
      <c r="AD467" s="235">
        <v>45323</v>
      </c>
      <c r="AE467" s="235"/>
      <c r="AF467" s="235">
        <v>45352</v>
      </c>
      <c r="AH467" s="235">
        <v>45383</v>
      </c>
      <c r="AJ467" s="235">
        <v>45413</v>
      </c>
      <c r="AL467" s="235">
        <v>45444</v>
      </c>
      <c r="AN467" s="235">
        <v>45474</v>
      </c>
      <c r="AP467" s="235">
        <v>45505</v>
      </c>
      <c r="AR467" s="236">
        <v>45536</v>
      </c>
      <c r="AT467" s="236">
        <v>45566</v>
      </c>
      <c r="AV467" s="235">
        <v>45597</v>
      </c>
      <c r="AX467" s="235">
        <v>45627</v>
      </c>
      <c r="BA467" s="235">
        <v>45658</v>
      </c>
      <c r="BC467" s="235">
        <v>45689</v>
      </c>
      <c r="BE467" s="235">
        <v>45717</v>
      </c>
      <c r="BG467" s="235">
        <v>45748</v>
      </c>
      <c r="BI467" s="235">
        <v>45778</v>
      </c>
      <c r="BK467" s="235">
        <v>45809</v>
      </c>
      <c r="BM467" s="235">
        <v>45839</v>
      </c>
      <c r="BO467" s="235">
        <v>45870</v>
      </c>
      <c r="BQ467" s="235">
        <v>45901</v>
      </c>
      <c r="BS467" s="235">
        <v>45931</v>
      </c>
      <c r="BU467" s="235">
        <v>45962</v>
      </c>
      <c r="BW467" s="235">
        <v>45992</v>
      </c>
      <c r="BY467" s="235">
        <v>46023</v>
      </c>
      <c r="CA467" s="235">
        <v>46054</v>
      </c>
      <c r="CC467" s="235">
        <v>46082</v>
      </c>
      <c r="CE467" s="235">
        <v>46113</v>
      </c>
      <c r="CG467" s="235">
        <v>46143</v>
      </c>
      <c r="CI467" s="341">
        <v>46174</v>
      </c>
    </row>
    <row r="468" spans="1:87">
      <c r="C468" s="213" t="s">
        <v>7</v>
      </c>
      <c r="AB468" s="238">
        <v>-103.89</v>
      </c>
      <c r="AD468" s="237">
        <v>-503.78</v>
      </c>
      <c r="AF468" s="237">
        <v>-775.2</v>
      </c>
      <c r="AH468" s="237">
        <v>-746.24</v>
      </c>
      <c r="AJ468" s="237">
        <v>-910.44</v>
      </c>
      <c r="AL468" s="237">
        <v>-1132.46</v>
      </c>
      <c r="AN468" s="237">
        <f>-1083.46-588.5</f>
        <v>-1671.96</v>
      </c>
      <c r="AP468" s="237">
        <v>-1691.6</v>
      </c>
      <c r="AR468" s="237">
        <v>-1217.6199999999999</v>
      </c>
      <c r="AT468" s="237">
        <v>-1124.74</v>
      </c>
      <c r="AV468" s="237">
        <f>-778.99-245.69</f>
        <v>-1024.68</v>
      </c>
      <c r="AX468" s="237">
        <v>-181.43</v>
      </c>
      <c r="BA468" s="237">
        <v>-194.12</v>
      </c>
      <c r="BC468" s="237">
        <v>-410.69</v>
      </c>
      <c r="BE468" s="237">
        <v>-766.6</v>
      </c>
      <c r="BG468" s="237">
        <f>-9.11-781.06</f>
        <v>-790.17</v>
      </c>
      <c r="BI468" s="237">
        <v>-899.18</v>
      </c>
      <c r="BK468" s="237">
        <v>-994.8</v>
      </c>
      <c r="BM468" s="237">
        <f>-148.75-747.45</f>
        <v>-896.2</v>
      </c>
      <c r="BO468" s="237">
        <f>-148.75-855.98</f>
        <v>-1004.73</v>
      </c>
      <c r="BQ468" s="237">
        <f>-143.93-850.94</f>
        <v>-994.87000000000012</v>
      </c>
      <c r="BS468" s="237">
        <f>-148.75-758.48</f>
        <v>-907.23</v>
      </c>
      <c r="BU468" s="237">
        <f>-143.93-688.53</f>
        <v>-832.46</v>
      </c>
      <c r="BW468" s="237">
        <f>-148.75-712.88</f>
        <v>-861.63</v>
      </c>
      <c r="BY468" s="237">
        <f>-154.4-175.53</f>
        <v>-329.93</v>
      </c>
      <c r="CA468" s="237">
        <f>-139.45-161.37</f>
        <v>-300.82</v>
      </c>
      <c r="CC468" s="237">
        <v>-425.28</v>
      </c>
      <c r="CE468" s="237">
        <v>-149.41</v>
      </c>
      <c r="CG468" s="237">
        <v>-154.4</v>
      </c>
    </row>
    <row r="469" spans="1:87">
      <c r="C469" s="213" t="s">
        <v>8</v>
      </c>
      <c r="AB469" s="213">
        <v>134.06</v>
      </c>
      <c r="AD469" s="214">
        <v>810.31</v>
      </c>
      <c r="AE469" s="322">
        <f>ABS(((AD468+AD469)/AD468))</f>
        <v>0.60846004208186111</v>
      </c>
      <c r="AF469" s="214">
        <v>1298.77</v>
      </c>
      <c r="AG469" s="222">
        <f>ABS(((AF468+AF469)/AF468))</f>
        <v>0.67539989680082546</v>
      </c>
      <c r="AH469" s="214">
        <v>1542.25</v>
      </c>
      <c r="AI469" s="222">
        <f>ABS(((AH468+AH469)/AH468))</f>
        <v>1.0666943610634647</v>
      </c>
      <c r="AJ469" s="214">
        <v>1722.97</v>
      </c>
      <c r="AK469" s="222">
        <f>ABS(((AJ468+AJ469)/AJ468))</f>
        <v>0.89245859145028772</v>
      </c>
      <c r="AL469" s="214">
        <v>1631.23</v>
      </c>
      <c r="AM469" s="222">
        <f>ABS(((AL468+AL469)/AL468))</f>
        <v>0.4404305670840471</v>
      </c>
      <c r="AN469" s="214">
        <v>1468.85</v>
      </c>
      <c r="AO469" s="222">
        <f>ABS(((AN468+AN469)/AN468))</f>
        <v>0.12148017895164963</v>
      </c>
      <c r="AP469" s="214">
        <v>2411.23</v>
      </c>
      <c r="AQ469" s="222">
        <f>ABS(((AP468+AP469)/AP468))</f>
        <v>0.42541380941120843</v>
      </c>
      <c r="AR469" s="214">
        <v>1830.72</v>
      </c>
      <c r="AS469" s="222">
        <f>ABS(((AR468+AR469)/AR468))</f>
        <v>0.50352326670061287</v>
      </c>
      <c r="AT469" s="214">
        <v>1647.5</v>
      </c>
      <c r="AU469" s="222">
        <f>AT470/AT469</f>
        <v>0.31730500758725338</v>
      </c>
      <c r="AV469" s="214">
        <v>1116.8499999999999</v>
      </c>
      <c r="AW469" s="222">
        <f>AV470/AV469</f>
        <v>8.2526749339660518E-2</v>
      </c>
      <c r="AX469" s="214">
        <v>299.01</v>
      </c>
      <c r="AY469" s="224">
        <f>AX470/AX469</f>
        <v>0.39323099561887559</v>
      </c>
      <c r="AZ469" s="225"/>
      <c r="BA469" s="214">
        <v>279.7</v>
      </c>
      <c r="BB469" s="222">
        <f>BA470/BA469</f>
        <v>0.30597068287450835</v>
      </c>
      <c r="BC469" s="214">
        <v>556.32000000000005</v>
      </c>
      <c r="BD469" s="222">
        <f>BC470/BC469</f>
        <v>0.26177379925222899</v>
      </c>
      <c r="BE469" s="214">
        <v>1059.32</v>
      </c>
      <c r="BF469" s="222">
        <f>BE470/BE469</f>
        <v>0.27632821055016421</v>
      </c>
      <c r="BG469" s="214">
        <v>1129.73</v>
      </c>
      <c r="BH469" s="222">
        <f>BG470/BG469</f>
        <v>0.30056739220875789</v>
      </c>
      <c r="BI469" s="214">
        <v>1346.5</v>
      </c>
      <c r="BJ469" s="222">
        <f>BI470/BI469</f>
        <v>0.33220943186037882</v>
      </c>
      <c r="BK469" s="214">
        <v>1270.52</v>
      </c>
      <c r="BL469" s="222">
        <f>BK470/BK469</f>
        <v>0.21701350628089289</v>
      </c>
      <c r="BM469" s="214">
        <v>1606.67</v>
      </c>
      <c r="BN469" s="222">
        <f>BM470/BM469</f>
        <v>0.44220032738521287</v>
      </c>
      <c r="BO469" s="214">
        <v>1821.93</v>
      </c>
      <c r="BP469" s="222">
        <f>BO470/BO469</f>
        <v>0.44853534438754511</v>
      </c>
      <c r="BQ469" s="214">
        <v>1618.31</v>
      </c>
      <c r="BR469" s="222">
        <f>BQ470/BQ469</f>
        <v>0.38524139379970451</v>
      </c>
      <c r="BS469" s="214">
        <v>1377.08</v>
      </c>
      <c r="BT469" s="222">
        <f>BS470/BS469</f>
        <v>0.34119295901472674</v>
      </c>
      <c r="BU469" s="214">
        <v>1116.96</v>
      </c>
      <c r="BV469" s="222">
        <f>BU470/BU469</f>
        <v>0.2547092107147973</v>
      </c>
      <c r="BW469" s="214">
        <v>333.7</v>
      </c>
      <c r="BX469" s="222">
        <f>BW470/BW469</f>
        <v>-1.582049745280192</v>
      </c>
      <c r="BY469" s="214">
        <v>348.77</v>
      </c>
      <c r="BZ469" s="222">
        <f>BY470/BY469</f>
        <v>5.4018407546520562E-2</v>
      </c>
      <c r="CA469" s="214">
        <v>555.02</v>
      </c>
      <c r="CB469" s="222">
        <f>CA470/CA469</f>
        <v>0.45800151345897444</v>
      </c>
      <c r="CC469" s="214">
        <v>979.12</v>
      </c>
      <c r="CD469" s="222">
        <f>CC470/CC469</f>
        <v>0.56565078846310979</v>
      </c>
      <c r="CE469" s="214">
        <v>1157.1400000000001</v>
      </c>
      <c r="CF469" s="222">
        <f>CE470/CE469</f>
        <v>0.87087992809858794</v>
      </c>
      <c r="CG469" s="214">
        <v>1221.5899999999999</v>
      </c>
      <c r="CH469" s="222">
        <f>CG470/CG469</f>
        <v>0.87360734780081684</v>
      </c>
    </row>
    <row r="470" spans="1:87">
      <c r="C470" s="213" t="s">
        <v>9</v>
      </c>
      <c r="Z470" s="214">
        <f>Z468+Z469</f>
        <v>0</v>
      </c>
      <c r="AB470" s="243">
        <f>AB468+AB469</f>
        <v>30.17</v>
      </c>
      <c r="AD470" s="243">
        <f>AD468+AD469</f>
        <v>306.52999999999997</v>
      </c>
      <c r="AF470" s="243">
        <f>AF468+AF469</f>
        <v>523.56999999999994</v>
      </c>
      <c r="AH470" s="243">
        <f>AH468+AH469</f>
        <v>796.01</v>
      </c>
      <c r="AJ470" s="243">
        <f>AJ468+AJ469</f>
        <v>812.53</v>
      </c>
      <c r="AL470" s="243">
        <f>AL468+AL469</f>
        <v>498.77</v>
      </c>
      <c r="AN470" s="243">
        <f>AN468+AN469</f>
        <v>-203.11000000000013</v>
      </c>
      <c r="AP470" s="214">
        <f>AP468+AP469</f>
        <v>719.63000000000011</v>
      </c>
      <c r="AR470" s="214">
        <f>AR468+AR469</f>
        <v>613.10000000000014</v>
      </c>
      <c r="AT470" s="214">
        <f>AT468+AT469</f>
        <v>522.76</v>
      </c>
      <c r="AV470" s="214">
        <f>AV468+AV469</f>
        <v>92.169999999999845</v>
      </c>
      <c r="AX470" s="214">
        <f>AX468+AX469</f>
        <v>117.57999999999998</v>
      </c>
      <c r="BA470" s="214">
        <f>BA468+BA469</f>
        <v>85.579999999999984</v>
      </c>
      <c r="BC470" s="214">
        <f>BC468+BC469</f>
        <v>145.63000000000005</v>
      </c>
      <c r="BE470" s="214">
        <f>BE468+BE469</f>
        <v>292.71999999999991</v>
      </c>
      <c r="BG470" s="214">
        <f>BG468+BG469</f>
        <v>339.56000000000006</v>
      </c>
      <c r="BI470" s="214">
        <f>BI468+BI469</f>
        <v>447.32000000000005</v>
      </c>
      <c r="BK470" s="214">
        <f>BK468+BK469</f>
        <v>275.72000000000003</v>
      </c>
      <c r="BM470" s="214">
        <f>BM468+BM469</f>
        <v>710.47</v>
      </c>
      <c r="BO470" s="214">
        <f>BO468+BO469</f>
        <v>817.2</v>
      </c>
      <c r="BQ470" s="214">
        <f>BQ468+BQ469</f>
        <v>623.43999999999983</v>
      </c>
      <c r="BS470" s="214">
        <f>BS468+BS469</f>
        <v>469.84999999999991</v>
      </c>
      <c r="BU470" s="214">
        <f>BU468+BU469</f>
        <v>284.5</v>
      </c>
      <c r="BW470" s="214">
        <f>BW468+BW469</f>
        <v>-527.93000000000006</v>
      </c>
      <c r="BY470" s="214">
        <f>BY468+BY469</f>
        <v>18.839999999999975</v>
      </c>
      <c r="CA470" s="214">
        <f>CA468+CA469</f>
        <v>254.2</v>
      </c>
      <c r="CC470" s="214">
        <f>CC468+CC469</f>
        <v>553.84</v>
      </c>
      <c r="CE470" s="214">
        <f>CE468+CE469</f>
        <v>1007.7300000000001</v>
      </c>
      <c r="CG470" s="214">
        <f>CG468+CG469</f>
        <v>1067.1899999999998</v>
      </c>
    </row>
    <row r="471" spans="1:87">
      <c r="A471" s="211">
        <v>141</v>
      </c>
      <c r="B471" s="323"/>
      <c r="C471" s="213" t="s">
        <v>176</v>
      </c>
      <c r="AN471" s="247"/>
      <c r="AP471" s="214"/>
      <c r="AT471" s="214"/>
    </row>
    <row r="472" spans="1:87">
      <c r="C472" s="253" t="s">
        <v>177</v>
      </c>
      <c r="T472" s="235">
        <v>45170</v>
      </c>
      <c r="U472" s="235"/>
      <c r="V472" s="235">
        <v>45200</v>
      </c>
      <c r="W472" s="235"/>
      <c r="X472" s="235">
        <v>45231</v>
      </c>
      <c r="Y472" s="235"/>
      <c r="Z472" s="235">
        <v>45261</v>
      </c>
      <c r="AA472" s="235"/>
      <c r="AB472" s="235">
        <v>45292</v>
      </c>
      <c r="AC472" s="235"/>
      <c r="AD472" s="235">
        <v>45323</v>
      </c>
      <c r="AE472" s="235"/>
      <c r="AF472" s="235">
        <v>45352</v>
      </c>
      <c r="AH472" s="235">
        <v>45383</v>
      </c>
      <c r="AJ472" s="235">
        <v>45413</v>
      </c>
      <c r="AL472" s="235">
        <v>45444</v>
      </c>
      <c r="AN472" s="235">
        <v>45474</v>
      </c>
      <c r="AP472" s="235">
        <v>45505</v>
      </c>
      <c r="AR472" s="236">
        <v>45536</v>
      </c>
      <c r="AT472" s="236">
        <v>45566</v>
      </c>
      <c r="AV472" s="235">
        <v>45597</v>
      </c>
      <c r="AX472" s="235">
        <v>45627</v>
      </c>
      <c r="BA472" s="235">
        <v>45658</v>
      </c>
      <c r="BC472" s="235">
        <v>45689</v>
      </c>
      <c r="BE472" s="235">
        <v>45717</v>
      </c>
      <c r="BG472" s="235">
        <v>45748</v>
      </c>
      <c r="BI472" s="235">
        <v>45778</v>
      </c>
      <c r="BK472" s="235">
        <v>45809</v>
      </c>
      <c r="BM472" s="235">
        <v>45839</v>
      </c>
      <c r="BO472" s="235">
        <v>45870</v>
      </c>
      <c r="BQ472" s="235">
        <v>45901</v>
      </c>
      <c r="BS472" s="235">
        <v>45931</v>
      </c>
      <c r="BU472" s="235">
        <v>45962</v>
      </c>
      <c r="BW472" s="235">
        <v>45992</v>
      </c>
      <c r="BY472" s="235">
        <v>46023</v>
      </c>
      <c r="CA472" s="235">
        <v>46054</v>
      </c>
      <c r="CC472" s="235">
        <v>46082</v>
      </c>
      <c r="CE472" s="235">
        <v>46113</v>
      </c>
      <c r="CG472" s="235">
        <v>46143</v>
      </c>
      <c r="CI472" s="341">
        <v>46174</v>
      </c>
    </row>
    <row r="473" spans="1:87">
      <c r="C473" s="213" t="s">
        <v>7</v>
      </c>
      <c r="AB473" s="237">
        <v>-20.52</v>
      </c>
      <c r="AD473" s="237">
        <v>-343.18</v>
      </c>
      <c r="AF473" s="237">
        <v>-446.94</v>
      </c>
      <c r="AH473" s="237">
        <v>-409.38</v>
      </c>
      <c r="AJ473" s="237">
        <v>-486.34</v>
      </c>
      <c r="AL473" s="237">
        <v>-679.38</v>
      </c>
      <c r="AN473" s="237">
        <f>-446.3-453.59</f>
        <v>-899.89</v>
      </c>
      <c r="AP473" s="237">
        <v>-872.13</v>
      </c>
      <c r="AR473" s="237">
        <v>-649.54999999999995</v>
      </c>
      <c r="AT473" s="237">
        <v>-639.24</v>
      </c>
      <c r="AV473" s="237">
        <f>-359.66-258.84</f>
        <v>-618.5</v>
      </c>
      <c r="AX473" s="237">
        <v>-269.45</v>
      </c>
      <c r="BA473" s="214"/>
      <c r="BC473" s="237">
        <v>-350.75</v>
      </c>
      <c r="BE473" s="237">
        <v>-450.59</v>
      </c>
      <c r="BG473" s="237">
        <v>-339.6</v>
      </c>
      <c r="BI473" s="237">
        <v>-394.65</v>
      </c>
      <c r="BK473" s="237">
        <v>-346.91</v>
      </c>
      <c r="BM473" s="237">
        <v>-613.83000000000004</v>
      </c>
      <c r="BO473" s="237">
        <v>-409.73</v>
      </c>
      <c r="BQ473" s="237">
        <v>-325.36</v>
      </c>
      <c r="BS473" s="237">
        <v>-294.58999999999997</v>
      </c>
      <c r="BU473" s="237">
        <v>-219.05</v>
      </c>
      <c r="BW473" s="237">
        <v>-38.08</v>
      </c>
      <c r="BY473" s="237">
        <v>-38.74</v>
      </c>
      <c r="CA473" s="237">
        <v>-34.26</v>
      </c>
      <c r="CC473" s="237">
        <v>-31.98</v>
      </c>
      <c r="CE473" s="214"/>
      <c r="CG473" s="214"/>
    </row>
    <row r="474" spans="1:87">
      <c r="C474" s="213" t="s">
        <v>8</v>
      </c>
      <c r="AB474" s="214">
        <v>59.56</v>
      </c>
      <c r="AD474" s="214">
        <v>473.79</v>
      </c>
      <c r="AE474" s="322">
        <f>ABS(((AD473+AD474)/AD473))</f>
        <v>0.38058744682091034</v>
      </c>
      <c r="AF474" s="214">
        <v>653.78</v>
      </c>
      <c r="AG474" s="222">
        <f>ABS(((AF473+AF474)/AF473))</f>
        <v>0.46279142614221142</v>
      </c>
      <c r="AH474" s="214">
        <v>0</v>
      </c>
      <c r="AI474" s="222">
        <f>ABS(((AH473+AH474)/AH473))</f>
        <v>1</v>
      </c>
      <c r="AJ474" s="214">
        <v>685.92</v>
      </c>
      <c r="AK474" s="222">
        <f>ABS(((AJ473+AJ474)/AJ473))</f>
        <v>0.41037134514948387</v>
      </c>
      <c r="AL474" s="214">
        <v>915.43</v>
      </c>
      <c r="AM474" s="222">
        <f>ABS(((AL473+AL474)/AL473))</f>
        <v>0.34744914480850181</v>
      </c>
      <c r="AN474" s="214">
        <v>844.22</v>
      </c>
      <c r="AO474" s="222"/>
      <c r="AP474" s="214">
        <v>1286.31</v>
      </c>
      <c r="AQ474" s="222">
        <f>ABS(((AP473+AP474)/AP473))</f>
        <v>0.47490626397440744</v>
      </c>
      <c r="AR474" s="214">
        <v>832.62</v>
      </c>
      <c r="AS474" s="222">
        <f>ABS(((AR473+AR474)/AR473))</f>
        <v>0.28184127472865839</v>
      </c>
      <c r="AT474" s="214">
        <v>709.67</v>
      </c>
      <c r="AU474" s="222">
        <f>AT475/AT474</f>
        <v>9.9243310270970955E-2</v>
      </c>
      <c r="AV474" s="214">
        <v>674</v>
      </c>
      <c r="AW474" s="222">
        <f>AV475/AV474</f>
        <v>8.234421364985163E-2</v>
      </c>
      <c r="AX474" s="214">
        <v>187.96</v>
      </c>
      <c r="AY474" s="224">
        <f>AX475/AX474</f>
        <v>-0.43354969142370703</v>
      </c>
      <c r="AZ474" s="225"/>
      <c r="BA474" s="214">
        <v>50.51</v>
      </c>
      <c r="BB474" s="222">
        <f>BA475/BA474</f>
        <v>1</v>
      </c>
      <c r="BC474" s="214">
        <v>254.58</v>
      </c>
      <c r="BD474" s="222">
        <f>BC475/BC474</f>
        <v>-0.37775944693220198</v>
      </c>
      <c r="BE474" s="214">
        <v>428.02</v>
      </c>
      <c r="BF474" s="222">
        <f>BE475/BE474</f>
        <v>-5.2731180785944569E-2</v>
      </c>
      <c r="BG474" s="214">
        <v>545.38</v>
      </c>
      <c r="BH474" s="222">
        <f>BG475/BG474</f>
        <v>0.37731489970295934</v>
      </c>
      <c r="BI474" s="214">
        <v>451.39</v>
      </c>
      <c r="BJ474" s="222">
        <f>BI475/BI474</f>
        <v>0.12570061366002794</v>
      </c>
      <c r="BK474" s="214">
        <v>477.6</v>
      </c>
      <c r="BL474" s="222">
        <f>BK475/BK474</f>
        <v>0.27363902847571187</v>
      </c>
      <c r="BM474" s="214">
        <v>592.58000000000004</v>
      </c>
      <c r="BN474" s="222">
        <f>BM475/BM474</f>
        <v>-3.586013702791184E-2</v>
      </c>
      <c r="BO474" s="214">
        <v>755.78</v>
      </c>
      <c r="BP474" s="222">
        <f>BO475/BO474</f>
        <v>0.45787133822011694</v>
      </c>
      <c r="BQ474" s="214">
        <v>506.63</v>
      </c>
      <c r="BR474" s="222">
        <f>BQ475/BQ474</f>
        <v>0.357795629946904</v>
      </c>
      <c r="BS474" s="214">
        <v>348.96</v>
      </c>
      <c r="BT474" s="222">
        <f>BS475/BS474</f>
        <v>0.15580582301696472</v>
      </c>
      <c r="BU474" s="214">
        <v>225.98</v>
      </c>
      <c r="BV474" s="222">
        <f>BU475/BU474</f>
        <v>3.0666430657580224E-2</v>
      </c>
      <c r="BW474" s="214">
        <v>62.08</v>
      </c>
      <c r="BX474" s="222">
        <f>BW475/BW474</f>
        <v>0.38659793814432991</v>
      </c>
      <c r="BY474" s="214">
        <v>61.72</v>
      </c>
      <c r="BZ474" s="222">
        <f>BY475/BY474</f>
        <v>0.37232663642255343</v>
      </c>
      <c r="CA474" s="214">
        <v>60.42</v>
      </c>
      <c r="CB474" s="222">
        <f>CA475/CA474</f>
        <v>0.43296921549155915</v>
      </c>
      <c r="CC474" s="214"/>
      <c r="CD474" s="222" t="e">
        <f>CC475/CC474</f>
        <v>#DIV/0!</v>
      </c>
      <c r="CE474" s="214"/>
      <c r="CF474" s="222" t="e">
        <f>CE475/CE474</f>
        <v>#DIV/0!</v>
      </c>
      <c r="CG474" s="214"/>
      <c r="CH474" s="222" t="e">
        <f>CG475/CG474</f>
        <v>#DIV/0!</v>
      </c>
    </row>
    <row r="475" spans="1:87">
      <c r="C475" s="213" t="s">
        <v>9</v>
      </c>
      <c r="Z475" s="214">
        <f>Z473+Z474</f>
        <v>0</v>
      </c>
      <c r="AB475" s="243">
        <f>AB473+AB474</f>
        <v>39.040000000000006</v>
      </c>
      <c r="AD475" s="243">
        <f>AD473+AD474</f>
        <v>130.61000000000001</v>
      </c>
      <c r="AF475" s="243">
        <f>AF473+AF474</f>
        <v>206.83999999999997</v>
      </c>
      <c r="AH475" s="243">
        <f>AH473+AH474</f>
        <v>-409.38</v>
      </c>
      <c r="AJ475" s="243">
        <f>AJ473+AJ474</f>
        <v>199.57999999999998</v>
      </c>
      <c r="AL475" s="243">
        <f>AL473+AL474</f>
        <v>236.04999999999995</v>
      </c>
      <c r="AN475" s="243">
        <f>AN473+AN474</f>
        <v>-55.669999999999959</v>
      </c>
      <c r="AP475" s="214">
        <f>AP473+AP474</f>
        <v>414.17999999999995</v>
      </c>
      <c r="AR475" s="214">
        <f>AR473+AR474</f>
        <v>183.07000000000005</v>
      </c>
      <c r="AT475" s="214">
        <f>AT473+AT474</f>
        <v>70.42999999999995</v>
      </c>
      <c r="AV475" s="214">
        <f>AV473+AV474</f>
        <v>55.5</v>
      </c>
      <c r="AX475" s="214">
        <f>AX473+AX474</f>
        <v>-81.489999999999981</v>
      </c>
      <c r="BA475" s="214">
        <f>BA473+BA474</f>
        <v>50.51</v>
      </c>
      <c r="BC475" s="214">
        <f>BC473+BC474</f>
        <v>-96.169999999999987</v>
      </c>
      <c r="BE475" s="214">
        <f>BE473+BE474</f>
        <v>-22.569999999999993</v>
      </c>
      <c r="BG475" s="214">
        <f>BG473+BG474</f>
        <v>205.77999999999997</v>
      </c>
      <c r="BI475" s="214">
        <f>BI473+BI474</f>
        <v>56.740000000000009</v>
      </c>
      <c r="BK475" s="214">
        <f>BK473+BK474</f>
        <v>130.69</v>
      </c>
      <c r="BM475" s="214">
        <f>BM473+BM474</f>
        <v>-21.25</v>
      </c>
      <c r="BO475" s="214">
        <f>BO473+BO474</f>
        <v>346.04999999999995</v>
      </c>
      <c r="BQ475" s="214">
        <f>BQ473+BQ474</f>
        <v>181.26999999999998</v>
      </c>
      <c r="BS475" s="214">
        <f>BS473+BS474</f>
        <v>54.370000000000005</v>
      </c>
      <c r="BU475" s="214">
        <f>BU473+BU474</f>
        <v>6.9299999999999784</v>
      </c>
      <c r="BW475" s="214">
        <f>BW473+BW474</f>
        <v>24</v>
      </c>
      <c r="BY475" s="214">
        <f>BY473+BY474</f>
        <v>22.979999999999997</v>
      </c>
      <c r="CA475" s="214">
        <f>CA473+CA474</f>
        <v>26.160000000000004</v>
      </c>
      <c r="CC475" s="214">
        <f>CC473+CC474</f>
        <v>-31.98</v>
      </c>
      <c r="CE475" s="214">
        <f>CE473+CE474</f>
        <v>0</v>
      </c>
      <c r="CG475" s="214">
        <f>CG473+CG474</f>
        <v>0</v>
      </c>
    </row>
    <row r="476" spans="1:87">
      <c r="A476" s="231">
        <v>142</v>
      </c>
      <c r="B476" s="279">
        <v>233864532</v>
      </c>
      <c r="C476" s="213" t="s">
        <v>178</v>
      </c>
      <c r="AP476" s="214"/>
      <c r="AT476" s="214"/>
    </row>
    <row r="477" spans="1:87">
      <c r="C477" s="253" t="s">
        <v>179</v>
      </c>
      <c r="T477" s="235">
        <v>45170</v>
      </c>
      <c r="U477" s="235"/>
      <c r="V477" s="235">
        <v>45200</v>
      </c>
      <c r="W477" s="235"/>
      <c r="X477" s="235">
        <v>45231</v>
      </c>
      <c r="Y477" s="235"/>
      <c r="Z477" s="235">
        <v>45261</v>
      </c>
      <c r="AA477" s="235"/>
      <c r="AB477" s="235">
        <v>45292</v>
      </c>
      <c r="AC477" s="235"/>
      <c r="AD477" s="235">
        <v>45323</v>
      </c>
      <c r="AE477" s="235"/>
      <c r="AF477" s="235">
        <v>45352</v>
      </c>
      <c r="AH477" s="235">
        <v>45383</v>
      </c>
      <c r="AJ477" s="235">
        <v>45413</v>
      </c>
      <c r="AL477" s="235">
        <v>45444</v>
      </c>
      <c r="AN477" s="235">
        <v>45474</v>
      </c>
      <c r="AP477" s="235">
        <v>45505</v>
      </c>
      <c r="AR477" s="236">
        <v>45536</v>
      </c>
      <c r="AT477" s="236">
        <v>45566</v>
      </c>
      <c r="AV477" s="235">
        <v>45597</v>
      </c>
      <c r="AX477" s="235">
        <v>45627</v>
      </c>
      <c r="BA477" s="235">
        <v>45658</v>
      </c>
      <c r="BC477" s="235">
        <v>45689</v>
      </c>
      <c r="BE477" s="235">
        <v>45717</v>
      </c>
      <c r="BG477" s="235">
        <v>45748</v>
      </c>
      <c r="BI477" s="235">
        <v>45778</v>
      </c>
      <c r="BK477" s="235">
        <v>45809</v>
      </c>
      <c r="BM477" s="235">
        <v>45839</v>
      </c>
      <c r="BO477" s="235">
        <v>45870</v>
      </c>
      <c r="BQ477" s="235">
        <v>45901</v>
      </c>
      <c r="BS477" s="235">
        <v>45931</v>
      </c>
      <c r="BU477" s="235">
        <v>45962</v>
      </c>
      <c r="BW477" s="235">
        <v>45992</v>
      </c>
      <c r="BY477" s="235">
        <v>46023</v>
      </c>
      <c r="CA477" s="235">
        <v>46054</v>
      </c>
      <c r="CC477" s="235">
        <v>46082</v>
      </c>
      <c r="CE477" s="235">
        <v>46113</v>
      </c>
      <c r="CG477" s="235">
        <v>46143</v>
      </c>
      <c r="CI477" s="341">
        <v>46174</v>
      </c>
    </row>
    <row r="478" spans="1:87">
      <c r="C478" s="213" t="s">
        <v>7</v>
      </c>
      <c r="X478" s="214"/>
      <c r="Z478" s="237">
        <v>-145.16</v>
      </c>
      <c r="AB478" s="237">
        <f>-118.17-32.52</f>
        <v>-150.69</v>
      </c>
      <c r="AD478" s="237">
        <f>-113.79-35.56</f>
        <v>-149.35000000000002</v>
      </c>
      <c r="AF478" s="237">
        <f>-106.91-15.2</f>
        <v>-122.11</v>
      </c>
      <c r="AH478" s="237">
        <f>-136.82-21.72-12.11</f>
        <v>-170.64999999999998</v>
      </c>
      <c r="AJ478" s="238">
        <f>-87.16-53.63-14.4</f>
        <v>-155.19</v>
      </c>
      <c r="AL478" s="237">
        <f>-22.51-21.55-81.9</f>
        <v>-125.96000000000001</v>
      </c>
      <c r="AN478" s="237">
        <f>-109.12-28.98</f>
        <v>-138.1</v>
      </c>
      <c r="AP478" s="237">
        <f>-86.84-43.02</f>
        <v>-129.86000000000001</v>
      </c>
      <c r="AR478" s="237">
        <f>-105.19-10.54-30.18</f>
        <v>-145.91</v>
      </c>
      <c r="AT478" s="237">
        <f>-35.84-120.66</f>
        <v>-156.5</v>
      </c>
      <c r="AV478" s="237">
        <f>-122.76-27.65</f>
        <v>-150.41</v>
      </c>
      <c r="AX478" s="237">
        <f>-104.97-69.36</f>
        <v>-174.32999999999998</v>
      </c>
      <c r="BA478" s="237">
        <f>-150.32-34.85</f>
        <v>-185.17</v>
      </c>
      <c r="BC478" s="237">
        <f>-167.2-23.72</f>
        <v>-190.92</v>
      </c>
      <c r="BE478" s="237">
        <f>-142.2-34.09</f>
        <v>-176.29</v>
      </c>
      <c r="BG478" s="237">
        <f>-116.98-25.08</f>
        <v>-142.06</v>
      </c>
      <c r="BI478" s="237">
        <f>-112.7-19.2</f>
        <v>-131.9</v>
      </c>
      <c r="BK478" s="237">
        <f>-115.12-36.3</f>
        <v>-151.42000000000002</v>
      </c>
      <c r="BM478" s="237">
        <f>-145.12-39.48</f>
        <v>-184.6</v>
      </c>
      <c r="BO478" s="237">
        <f>-141.1-35.04</f>
        <v>-176.14</v>
      </c>
      <c r="BQ478" s="237">
        <f>-128.35-44.08</f>
        <v>-172.43</v>
      </c>
      <c r="BS478" s="237">
        <f>-143.36-28</f>
        <v>-171.36</v>
      </c>
      <c r="BU478" s="237">
        <f>-128.83-44.24</f>
        <v>-173.07000000000002</v>
      </c>
      <c r="BW478" s="237">
        <f>-132.84-58.7</f>
        <v>-191.54000000000002</v>
      </c>
      <c r="BY478" s="237">
        <f>-146.61-42.96</f>
        <v>-189.57000000000002</v>
      </c>
      <c r="CA478" s="237">
        <f>-157.57-31.86</f>
        <v>-189.43</v>
      </c>
      <c r="CC478" s="237">
        <f>-122.07-42.56</f>
        <v>-164.63</v>
      </c>
      <c r="CE478" s="237">
        <f>-122.37-34.44</f>
        <v>-156.81</v>
      </c>
      <c r="CG478" s="237">
        <v>-118.16</v>
      </c>
    </row>
    <row r="479" spans="1:87">
      <c r="C479" s="213" t="s">
        <v>8</v>
      </c>
      <c r="X479" s="214">
        <v>64.599999999999994</v>
      </c>
      <c r="Z479" s="214">
        <v>205.66</v>
      </c>
      <c r="AB479" s="214">
        <v>230.1</v>
      </c>
      <c r="AD479" s="214">
        <v>203.51</v>
      </c>
      <c r="AE479" s="322">
        <f>ABS(((AD478+AD479)/AD478))</f>
        <v>0.36263809842651462</v>
      </c>
      <c r="AF479" s="214">
        <v>217.37</v>
      </c>
      <c r="AG479" s="222">
        <f>ABS(((AF478+AF479)/AF478))</f>
        <v>0.7801162885922529</v>
      </c>
      <c r="AH479" s="214">
        <v>155.09</v>
      </c>
      <c r="AI479" s="222">
        <f>ABS(((AH478+AH479)/AH478))</f>
        <v>9.1180779372985507E-2</v>
      </c>
      <c r="AJ479" s="214">
        <v>100.12</v>
      </c>
      <c r="AK479" s="222">
        <f>ABS(((AJ478+AJ479)/AJ478))</f>
        <v>0.35485533861717888</v>
      </c>
      <c r="AL479" s="214">
        <v>173.21</v>
      </c>
      <c r="AM479" s="222">
        <f>ABS(((AL478+AL479)/AL478))</f>
        <v>0.37511908542394407</v>
      </c>
      <c r="AN479" s="214">
        <v>157.66</v>
      </c>
      <c r="AO479" s="222">
        <f>ABS(((AN478+AN479)/AN478))</f>
        <v>0.14163649529326577</v>
      </c>
      <c r="AP479" s="214">
        <v>147.15</v>
      </c>
      <c r="AQ479" s="222">
        <f>ABS(((AP478+AP479)/AP478))</f>
        <v>0.13314338518404428</v>
      </c>
      <c r="AR479" s="214">
        <v>151.18</v>
      </c>
      <c r="AS479" s="222">
        <f>ABS(((AR478+AR479)/AR478))</f>
        <v>3.6118155027071552E-2</v>
      </c>
      <c r="AT479" s="214">
        <v>159.82</v>
      </c>
      <c r="AU479" s="222">
        <f>AT480/AT479</f>
        <v>2.0773370041296417E-2</v>
      </c>
      <c r="AV479" s="214">
        <v>161.88</v>
      </c>
      <c r="AW479" s="222">
        <f>AV480/AV479</f>
        <v>7.0854954287126265E-2</v>
      </c>
      <c r="AX479" s="214">
        <v>148.77000000000001</v>
      </c>
      <c r="AY479" s="224">
        <f>AX480/AX479</f>
        <v>-0.17180883242589212</v>
      </c>
      <c r="AZ479" s="225"/>
      <c r="BA479" s="214">
        <v>216.01</v>
      </c>
      <c r="BB479" s="222">
        <f>BA480/BA479</f>
        <v>0.14277116800148143</v>
      </c>
      <c r="BC479" s="214">
        <v>207.39</v>
      </c>
      <c r="BD479" s="222">
        <f>BC480/BC479</f>
        <v>7.9415593808766088E-2</v>
      </c>
      <c r="BE479" s="214">
        <v>185.73</v>
      </c>
      <c r="BF479" s="222">
        <f>BE480/BE479</f>
        <v>5.0826468529585951E-2</v>
      </c>
      <c r="BG479" s="214">
        <v>146.94</v>
      </c>
      <c r="BH479" s="222">
        <f>BG480/BG479</f>
        <v>3.3210834354158128E-2</v>
      </c>
      <c r="BI479" s="214">
        <v>152.13999999999999</v>
      </c>
      <c r="BJ479" s="222">
        <f>BI480/BI479</f>
        <v>0.13303536216642556</v>
      </c>
      <c r="BK479" s="214">
        <v>182.77</v>
      </c>
      <c r="BL479" s="222">
        <f>BK480/BK479</f>
        <v>0.17152705586255945</v>
      </c>
      <c r="BM479" s="214">
        <v>203.28</v>
      </c>
      <c r="BN479" s="222">
        <f>BM480/BM479</f>
        <v>9.1892955529319198E-2</v>
      </c>
      <c r="BO479" s="214">
        <v>203.84</v>
      </c>
      <c r="BP479" s="222">
        <f>BO480/BO479</f>
        <v>0.13589089481946634</v>
      </c>
      <c r="BQ479" s="214">
        <v>201.63</v>
      </c>
      <c r="BR479" s="222">
        <f>BQ480/BQ479</f>
        <v>0.14481971928780435</v>
      </c>
      <c r="BS479" s="214">
        <v>194.15</v>
      </c>
      <c r="BT479" s="222">
        <f>BS480/BS479</f>
        <v>0.11738346639196492</v>
      </c>
      <c r="BU479" s="214">
        <v>205.71</v>
      </c>
      <c r="BV479" s="222">
        <f>BU480/BU479</f>
        <v>0.15866997229108931</v>
      </c>
      <c r="BW479" s="214">
        <v>200.64</v>
      </c>
      <c r="BX479" s="222">
        <f>BW480/BW479</f>
        <v>4.5354864433811634E-2</v>
      </c>
      <c r="BY479" s="214">
        <v>236.51</v>
      </c>
      <c r="BZ479" s="222">
        <f>BY480/BY479</f>
        <v>0.19846940932730106</v>
      </c>
      <c r="CA479" s="214">
        <v>216.77</v>
      </c>
      <c r="CB479" s="222">
        <f>CA480/CA479</f>
        <v>0.12612446371730407</v>
      </c>
      <c r="CC479" s="214">
        <v>219.42</v>
      </c>
      <c r="CD479" s="222">
        <f>CC480/CC479</f>
        <v>0.24970376446996626</v>
      </c>
      <c r="CE479" s="214">
        <v>216.73</v>
      </c>
      <c r="CF479" s="222">
        <f>CE480/CE479</f>
        <v>0.27647303096018083</v>
      </c>
      <c r="CG479" s="214">
        <v>195.58</v>
      </c>
      <c r="CH479" s="222">
        <f>CG480/CG479</f>
        <v>0.39584824624194709</v>
      </c>
    </row>
    <row r="480" spans="1:87">
      <c r="C480" s="213" t="s">
        <v>9</v>
      </c>
      <c r="X480" s="214"/>
      <c r="Z480" s="214">
        <v>60.5</v>
      </c>
      <c r="AB480" s="243">
        <v>111.93</v>
      </c>
      <c r="AD480" s="243">
        <f>AD478+AD479</f>
        <v>54.159999999999968</v>
      </c>
      <c r="AF480" s="243">
        <f>AF478+AF479</f>
        <v>95.26</v>
      </c>
      <c r="AH480" s="243">
        <f>AH478+AH479</f>
        <v>-15.559999999999974</v>
      </c>
      <c r="AJ480" s="243">
        <f>AJ478+AJ479</f>
        <v>-55.069999999999993</v>
      </c>
      <c r="AL480" s="243">
        <f>AL478+AL479</f>
        <v>47.25</v>
      </c>
      <c r="AN480" s="243">
        <f>AN478+AN479</f>
        <v>19.560000000000002</v>
      </c>
      <c r="AP480" s="214">
        <f>AP478+AP479</f>
        <v>17.289999999999992</v>
      </c>
      <c r="AR480" s="214">
        <f>AR478+AR479</f>
        <v>5.2700000000000102</v>
      </c>
      <c r="AT480" s="214">
        <f>AT478+AT479</f>
        <v>3.3199999999999932</v>
      </c>
      <c r="AV480" s="214">
        <f>AV478+AV479</f>
        <v>11.469999999999999</v>
      </c>
      <c r="AX480" s="214">
        <f>AX478+AX479</f>
        <v>-25.559999999999974</v>
      </c>
      <c r="BA480" s="214">
        <f>BA478+BA479</f>
        <v>30.840000000000003</v>
      </c>
      <c r="BC480" s="214">
        <f>BC478+BC479</f>
        <v>16.47</v>
      </c>
      <c r="BE480" s="214">
        <f>BE478+BE479</f>
        <v>9.4399999999999977</v>
      </c>
      <c r="BG480" s="214">
        <f>BG478+BG479</f>
        <v>4.8799999999999955</v>
      </c>
      <c r="BI480" s="214">
        <f>BI478+BI479</f>
        <v>20.239999999999981</v>
      </c>
      <c r="BK480" s="214">
        <f>BK478+BK479</f>
        <v>31.349999999999994</v>
      </c>
      <c r="BM480" s="214">
        <f>BM478+BM479</f>
        <v>18.680000000000007</v>
      </c>
      <c r="BO480" s="214">
        <f>BO478+BO479</f>
        <v>27.700000000000017</v>
      </c>
      <c r="BQ480" s="214">
        <f>BQ478+BQ479</f>
        <v>29.199999999999989</v>
      </c>
      <c r="BS480" s="214">
        <f>BS478+BS479</f>
        <v>22.789999999999992</v>
      </c>
      <c r="BU480" s="214">
        <f>BU478+BU479</f>
        <v>32.639999999999986</v>
      </c>
      <c r="BW480" s="214">
        <f>BW478+BW479</f>
        <v>9.0999999999999659</v>
      </c>
      <c r="BY480" s="214">
        <f>BY478+BY479</f>
        <v>46.939999999999969</v>
      </c>
      <c r="CA480" s="214">
        <f>CA478+CA479</f>
        <v>27.340000000000003</v>
      </c>
      <c r="CC480" s="214">
        <f>CC478+CC479</f>
        <v>54.789999999999992</v>
      </c>
      <c r="CE480" s="214">
        <f>CE478+CE479</f>
        <v>59.919999999999987</v>
      </c>
      <c r="CG480" s="214">
        <f>CG478+CG479</f>
        <v>77.420000000000016</v>
      </c>
    </row>
    <row r="481" spans="1:89">
      <c r="A481" s="231">
        <v>144</v>
      </c>
      <c r="B481" s="279">
        <v>530594493</v>
      </c>
      <c r="C481" s="213" t="s">
        <v>180</v>
      </c>
      <c r="AP481" s="214"/>
      <c r="AT481" s="214"/>
    </row>
    <row r="482" spans="1:89" ht="18">
      <c r="B482" s="324"/>
      <c r="C482" s="253" t="s">
        <v>181</v>
      </c>
      <c r="AD482" s="235">
        <v>45323</v>
      </c>
      <c r="AF482" s="235">
        <v>45352</v>
      </c>
      <c r="AH482" s="235">
        <v>45383</v>
      </c>
      <c r="AJ482" s="235">
        <v>45413</v>
      </c>
      <c r="AL482" s="235">
        <v>45444</v>
      </c>
      <c r="AN482" s="235">
        <v>45474</v>
      </c>
      <c r="AP482" s="235">
        <v>45505</v>
      </c>
      <c r="AR482" s="236">
        <v>45536</v>
      </c>
      <c r="AT482" s="236">
        <v>45566</v>
      </c>
      <c r="AV482" s="235">
        <v>45597</v>
      </c>
      <c r="AX482" s="235">
        <v>45627</v>
      </c>
      <c r="BA482" s="235">
        <v>45658</v>
      </c>
      <c r="BC482" s="235">
        <v>45689</v>
      </c>
      <c r="BE482" s="235">
        <v>45717</v>
      </c>
      <c r="BG482" s="235">
        <v>45748</v>
      </c>
      <c r="BI482" s="235">
        <v>45778</v>
      </c>
      <c r="BK482" s="235">
        <v>45809</v>
      </c>
      <c r="BM482" s="235">
        <v>45839</v>
      </c>
      <c r="BO482" s="235">
        <v>45870</v>
      </c>
      <c r="BQ482" s="235">
        <v>45901</v>
      </c>
      <c r="BS482" s="235">
        <v>45931</v>
      </c>
      <c r="BU482" s="235">
        <v>45962</v>
      </c>
      <c r="BW482" s="235">
        <v>45992</v>
      </c>
      <c r="BY482" s="235">
        <v>46023</v>
      </c>
      <c r="CA482" s="235">
        <v>46054</v>
      </c>
      <c r="CC482" s="235">
        <v>46082</v>
      </c>
      <c r="CE482" s="235">
        <v>46113</v>
      </c>
      <c r="CG482" s="235">
        <v>46143</v>
      </c>
      <c r="CI482" s="341">
        <v>46174</v>
      </c>
    </row>
    <row r="483" spans="1:89">
      <c r="B483" s="325"/>
      <c r="C483" s="213" t="s">
        <v>7</v>
      </c>
      <c r="AD483" s="237">
        <v>-411.21</v>
      </c>
      <c r="AF483" s="237">
        <v>-523.88</v>
      </c>
      <c r="AH483" s="237">
        <v>-475.26</v>
      </c>
      <c r="AJ483" s="237">
        <v>-482.04</v>
      </c>
      <c r="AL483" s="237">
        <v>-507.22</v>
      </c>
      <c r="AN483" s="237">
        <v>-513.6</v>
      </c>
      <c r="AP483" s="237">
        <v>-487.38</v>
      </c>
      <c r="AR483" s="237">
        <v>-496.5</v>
      </c>
      <c r="AT483" s="237">
        <v>-514.54</v>
      </c>
      <c r="AV483" s="237">
        <v>-523.14</v>
      </c>
      <c r="AX483" s="237">
        <f>-43.63-542.69</f>
        <v>-586.32000000000005</v>
      </c>
      <c r="BA483" s="237">
        <v>-542.35</v>
      </c>
      <c r="BC483" s="237">
        <v>-485.48</v>
      </c>
      <c r="BE483" s="237">
        <v>-505.73</v>
      </c>
      <c r="BG483" s="237">
        <v>-403.05</v>
      </c>
      <c r="BI483" s="237">
        <v>-401.51</v>
      </c>
      <c r="BK483" s="237">
        <v>-435.25</v>
      </c>
      <c r="BM483" s="237">
        <v>-487.91</v>
      </c>
      <c r="BO483" s="237">
        <v>-413.8</v>
      </c>
      <c r="BQ483" s="237">
        <v>-404.31</v>
      </c>
      <c r="BS483" s="237">
        <v>-413.59</v>
      </c>
      <c r="BU483" s="237">
        <v>-459.3</v>
      </c>
      <c r="BW483" s="237">
        <v>-474.28</v>
      </c>
      <c r="BY483" s="237">
        <v>-492.82</v>
      </c>
      <c r="CA483" s="237">
        <v>-444.64</v>
      </c>
      <c r="CC483" s="237">
        <v>-440.05</v>
      </c>
      <c r="CE483" s="237">
        <v>-356.47</v>
      </c>
      <c r="CG483" s="237">
        <v>-387.82</v>
      </c>
    </row>
    <row r="484" spans="1:89">
      <c r="B484" s="325"/>
      <c r="C484" s="213" t="s">
        <v>8</v>
      </c>
      <c r="AD484" s="214">
        <v>542.07000000000005</v>
      </c>
      <c r="AE484" s="322">
        <f>ABS(((AD483+AD484)/AD483))</f>
        <v>0.31823156051652457</v>
      </c>
      <c r="AF484" s="214">
        <v>638.71</v>
      </c>
      <c r="AG484" s="322">
        <f>ABS(((AF483+AF484)/AF483))</f>
        <v>0.21919141788195778</v>
      </c>
      <c r="AH484" s="214">
        <v>589.5</v>
      </c>
      <c r="AI484" s="222">
        <f>ABS(((AH483+AH484)/AH483))</f>
        <v>0.24037369019063251</v>
      </c>
      <c r="AJ484" s="214">
        <v>592.44000000000005</v>
      </c>
      <c r="AK484" s="222">
        <f>ABS(((AJ483+AJ484)/AJ483))</f>
        <v>0.22902663679362714</v>
      </c>
      <c r="AL484" s="214">
        <v>614.04</v>
      </c>
      <c r="AM484" s="222">
        <f>ABS(((AL483+AL484)/AL483))</f>
        <v>0.21059895114545943</v>
      </c>
      <c r="AN484" s="214">
        <v>632.44000000000005</v>
      </c>
      <c r="AO484" s="222">
        <f>ABS(((AN483+AN484)/AN483))</f>
        <v>0.23138629283489101</v>
      </c>
      <c r="AP484" s="214">
        <v>592.69000000000005</v>
      </c>
      <c r="AQ484" s="222">
        <f>ABS(((AP483+AP484)/AP483))</f>
        <v>0.21607370019286812</v>
      </c>
      <c r="AR484" s="214">
        <v>610.04</v>
      </c>
      <c r="AS484" s="222">
        <f>ABS(((AR483+AR484)/AR483))</f>
        <v>0.22868076535750245</v>
      </c>
      <c r="AT484" s="214">
        <v>632.66</v>
      </c>
      <c r="AU484" s="301">
        <v>-0.26300000000000001</v>
      </c>
      <c r="AV484" s="214">
        <v>637.17999999999995</v>
      </c>
      <c r="AW484" s="301">
        <v>-0.26300000000000001</v>
      </c>
      <c r="AX484" s="214">
        <v>207.37</v>
      </c>
      <c r="AY484" s="326">
        <v>-0.26300000000000001</v>
      </c>
      <c r="AZ484" s="327"/>
      <c r="BA484" s="214">
        <v>706.19</v>
      </c>
      <c r="BB484" s="222">
        <f>BA485/BA484</f>
        <v>0.23200555091405997</v>
      </c>
      <c r="BC484" s="214">
        <v>645.52</v>
      </c>
      <c r="BD484" s="222">
        <f>BC485/BC484</f>
        <v>0.24792415417028127</v>
      </c>
      <c r="BE484" s="214">
        <v>899.33</v>
      </c>
      <c r="BF484" s="222">
        <f>BE485/BE484</f>
        <v>0.43765914625332192</v>
      </c>
      <c r="BG484" s="214">
        <v>591.1</v>
      </c>
      <c r="BH484" s="222">
        <f>BG485/BG484</f>
        <v>0.31813567924209102</v>
      </c>
      <c r="BI484" s="214">
        <v>643.89</v>
      </c>
      <c r="BJ484" s="222">
        <f>BI485/BI484</f>
        <v>0.37643075680628679</v>
      </c>
      <c r="BK484" s="214">
        <v>696.92</v>
      </c>
      <c r="BL484" s="222">
        <f>BK485/BK484</f>
        <v>0.37546633759972448</v>
      </c>
      <c r="BM484" s="214">
        <v>731.73</v>
      </c>
      <c r="BN484" s="222">
        <f>BM485/BM484</f>
        <v>0.33321033714621512</v>
      </c>
      <c r="BO484" s="214">
        <v>688.65</v>
      </c>
      <c r="BP484" s="222">
        <f>BO485/BO484</f>
        <v>0.39911420895955851</v>
      </c>
      <c r="BQ484" s="214">
        <v>794.97</v>
      </c>
      <c r="BR484" s="222">
        <f>BQ485/BQ484</f>
        <v>0.49141477036869319</v>
      </c>
      <c r="BS484" s="214">
        <v>824.16</v>
      </c>
      <c r="BT484" s="222">
        <f>BS485/BS484</f>
        <v>0.49816783148903127</v>
      </c>
      <c r="BU484" s="214">
        <v>684.8</v>
      </c>
      <c r="BV484" s="222">
        <f>BU485/BU484</f>
        <v>0.32929322429906538</v>
      </c>
      <c r="BW484" s="214">
        <v>331.28</v>
      </c>
      <c r="BX484" s="301">
        <v>-0.26300000000000001</v>
      </c>
      <c r="BY484" s="214">
        <v>819.21</v>
      </c>
      <c r="BZ484" s="222">
        <f>BY485/BY484</f>
        <v>0.39842042943811723</v>
      </c>
      <c r="CA484" s="214">
        <v>753.83</v>
      </c>
      <c r="CB484" s="222">
        <f>CA485/CA484</f>
        <v>0.41015878911690967</v>
      </c>
      <c r="CC484" s="214">
        <v>1018.62</v>
      </c>
      <c r="CD484" s="222">
        <f>CC485/CC484</f>
        <v>0.5679939526025406</v>
      </c>
      <c r="CE484" s="214">
        <v>685.61</v>
      </c>
      <c r="CF484" s="222">
        <f>CE485/CE484</f>
        <v>0.48006884380332837</v>
      </c>
      <c r="CG484" s="214">
        <v>741.79</v>
      </c>
      <c r="CH484" s="222">
        <f>CG485/CG484</f>
        <v>0.47718356947384027</v>
      </c>
      <c r="CI484" s="213">
        <v>789.76</v>
      </c>
      <c r="CK484" s="213">
        <v>807.24</v>
      </c>
    </row>
    <row r="485" spans="1:89">
      <c r="B485" s="325"/>
      <c r="C485" s="213" t="s">
        <v>9</v>
      </c>
      <c r="AD485" s="243">
        <f>AD483+AD484</f>
        <v>130.86000000000007</v>
      </c>
      <c r="AF485" s="243">
        <f>AF483+AF484</f>
        <v>114.83000000000004</v>
      </c>
      <c r="AH485" s="243">
        <f>AH483+AH484</f>
        <v>114.24000000000001</v>
      </c>
      <c r="AJ485" s="243">
        <f>AJ483+AJ484</f>
        <v>110.40000000000003</v>
      </c>
      <c r="AL485" s="243">
        <f>AL483+AL484</f>
        <v>106.81999999999994</v>
      </c>
      <c r="AN485" s="243">
        <f>AN483+AN484</f>
        <v>118.84000000000003</v>
      </c>
      <c r="AP485" s="214">
        <f>AP483+AP484</f>
        <v>105.31000000000006</v>
      </c>
      <c r="AR485" s="214">
        <f>AR483+AR484</f>
        <v>113.53999999999996</v>
      </c>
      <c r="AT485" s="214">
        <f>AT483+AT484</f>
        <v>118.12</v>
      </c>
      <c r="AV485" s="214">
        <f>AV483+AV484</f>
        <v>114.03999999999996</v>
      </c>
      <c r="AX485" s="214">
        <f>AX483+AX484</f>
        <v>-378.95000000000005</v>
      </c>
      <c r="BA485" s="214">
        <f>BA483+BA484</f>
        <v>163.84000000000003</v>
      </c>
      <c r="BC485" s="214">
        <f>BC483+BC484</f>
        <v>160.03999999999996</v>
      </c>
      <c r="BE485" s="214">
        <f>BE483+BE484</f>
        <v>393.6</v>
      </c>
      <c r="BG485" s="214">
        <f>BG483+BG484</f>
        <v>188.05</v>
      </c>
      <c r="BI485" s="214">
        <f>BI483+BI484</f>
        <v>242.38</v>
      </c>
      <c r="BK485" s="214">
        <f>BK483+BK484</f>
        <v>261.66999999999996</v>
      </c>
      <c r="BM485" s="214">
        <f>BM483+BM484</f>
        <v>243.82</v>
      </c>
      <c r="BO485" s="214">
        <f>BO483+BO484</f>
        <v>274.84999999999997</v>
      </c>
      <c r="BQ485" s="214">
        <f>BQ483+BQ484</f>
        <v>390.66</v>
      </c>
      <c r="BS485" s="214">
        <f>BS483+BS484</f>
        <v>410.57</v>
      </c>
      <c r="BU485" s="214">
        <f>BU483+BU484</f>
        <v>225.49999999999994</v>
      </c>
      <c r="BW485" s="214">
        <f>BW483+BW484</f>
        <v>-143</v>
      </c>
      <c r="BY485" s="214">
        <f>BY483+BY484</f>
        <v>326.39000000000004</v>
      </c>
      <c r="CA485" s="214">
        <f>CA483+CA484</f>
        <v>309.19000000000005</v>
      </c>
      <c r="CC485" s="214">
        <f>CC483+CC484</f>
        <v>578.56999999999994</v>
      </c>
      <c r="CE485" s="214">
        <f>CE483+CE484</f>
        <v>329.14</v>
      </c>
      <c r="CG485" s="214">
        <f>CG483+CG484</f>
        <v>353.96999999999997</v>
      </c>
    </row>
    <row r="486" spans="1:89">
      <c r="A486" s="231">
        <v>145</v>
      </c>
      <c r="B486" s="279">
        <v>530647989</v>
      </c>
      <c r="C486" s="213" t="s">
        <v>182</v>
      </c>
      <c r="AP486" s="214"/>
      <c r="AT486" s="214"/>
    </row>
    <row r="487" spans="1:89">
      <c r="C487" s="253" t="s">
        <v>183</v>
      </c>
      <c r="AD487" s="235">
        <v>45323</v>
      </c>
      <c r="AF487" s="235">
        <v>45352</v>
      </c>
      <c r="AH487" s="235">
        <v>45383</v>
      </c>
      <c r="AJ487" s="235">
        <v>45413</v>
      </c>
      <c r="AL487" s="235">
        <v>45444</v>
      </c>
      <c r="AN487" s="235">
        <v>45474</v>
      </c>
      <c r="AP487" s="235">
        <v>45505</v>
      </c>
      <c r="AR487" s="236">
        <v>45536</v>
      </c>
      <c r="AT487" s="236">
        <v>45566</v>
      </c>
      <c r="AV487" s="235">
        <v>45597</v>
      </c>
      <c r="AX487" s="235">
        <v>45627</v>
      </c>
      <c r="BA487" s="235">
        <v>45658</v>
      </c>
      <c r="BC487" s="235">
        <v>45689</v>
      </c>
      <c r="BE487" s="235">
        <v>45717</v>
      </c>
      <c r="BG487" s="235">
        <v>45748</v>
      </c>
      <c r="BI487" s="235">
        <v>45778</v>
      </c>
      <c r="BK487" s="235">
        <v>45809</v>
      </c>
      <c r="BM487" s="235">
        <v>45839</v>
      </c>
      <c r="BO487" s="235">
        <v>45870</v>
      </c>
      <c r="BQ487" s="235">
        <v>45901</v>
      </c>
      <c r="BS487" s="235">
        <v>45931</v>
      </c>
      <c r="BU487" s="235">
        <v>45962</v>
      </c>
      <c r="BW487" s="235">
        <v>45992</v>
      </c>
      <c r="BY487" s="235">
        <v>46023</v>
      </c>
      <c r="CA487" s="235">
        <v>46054</v>
      </c>
      <c r="CC487" s="235">
        <v>46082</v>
      </c>
      <c r="CE487" s="235">
        <v>46113</v>
      </c>
      <c r="CG487" s="235">
        <v>46143</v>
      </c>
      <c r="CI487" s="341">
        <v>46174</v>
      </c>
    </row>
    <row r="488" spans="1:89">
      <c r="C488" s="213" t="s">
        <v>7</v>
      </c>
      <c r="AD488" s="237">
        <v>-103.08</v>
      </c>
      <c r="AF488" s="237">
        <v>-228.84</v>
      </c>
      <c r="AH488" s="237">
        <v>-209</v>
      </c>
      <c r="AJ488" s="237">
        <v>-215.65</v>
      </c>
      <c r="AL488" s="237">
        <v>-309.95</v>
      </c>
      <c r="AN488" s="237">
        <v>-434.44</v>
      </c>
      <c r="AP488" s="237">
        <v>-128.21</v>
      </c>
      <c r="AR488" s="237">
        <v>-353.04</v>
      </c>
      <c r="AT488" s="237">
        <v>-275.08</v>
      </c>
      <c r="AV488" s="237">
        <v>-236.56</v>
      </c>
      <c r="AX488" s="237">
        <v>-185.6</v>
      </c>
      <c r="BA488" s="237">
        <v>-222.6</v>
      </c>
      <c r="BC488" s="237">
        <v>-195.66</v>
      </c>
      <c r="BE488" s="237">
        <v>-254.41</v>
      </c>
      <c r="BG488" s="237">
        <v>-241.02</v>
      </c>
      <c r="BI488" s="237">
        <f>-165.35-90.59</f>
        <v>-255.94</v>
      </c>
      <c r="BK488" s="237">
        <v>-405.59</v>
      </c>
      <c r="BM488" s="237">
        <v>-492.58</v>
      </c>
      <c r="BO488" s="237">
        <v>-147.08000000000001</v>
      </c>
      <c r="BQ488" s="237">
        <v>-343.12</v>
      </c>
      <c r="BS488" s="237">
        <v>-238.84</v>
      </c>
      <c r="BU488" s="237">
        <v>-234.73</v>
      </c>
      <c r="BW488" s="237">
        <v>-215.38</v>
      </c>
      <c r="BY488" s="237">
        <v>-234.75</v>
      </c>
      <c r="CA488" s="237">
        <v>-214.22</v>
      </c>
      <c r="CC488" s="237">
        <v>-188.99</v>
      </c>
      <c r="CE488" s="237">
        <v>-175.86</v>
      </c>
      <c r="CG488" s="237">
        <v>-211.46</v>
      </c>
      <c r="CI488" s="341"/>
    </row>
    <row r="489" spans="1:89">
      <c r="C489" s="213" t="s">
        <v>8</v>
      </c>
      <c r="AD489" s="214">
        <v>191.99</v>
      </c>
      <c r="AE489" s="322">
        <f>ABS(((AD488+AD489)/AD488))</f>
        <v>0.8625339542103222</v>
      </c>
      <c r="AF489" s="214">
        <v>287.16000000000003</v>
      </c>
      <c r="AG489" s="322">
        <f>ABS(((AF488+AF489)/AF488))</f>
        <v>0.25485055060304151</v>
      </c>
      <c r="AH489" s="214">
        <v>266.19</v>
      </c>
      <c r="AI489" s="222">
        <f>ABS(((AH488+AH489)/AH488))</f>
        <v>0.27363636363636362</v>
      </c>
      <c r="AJ489" s="214">
        <v>274.97000000000003</v>
      </c>
      <c r="AK489" s="222">
        <f>ABS(((AJ488+AJ489)/AJ488))</f>
        <v>0.27507535358219348</v>
      </c>
      <c r="AL489" s="214">
        <v>387.96</v>
      </c>
      <c r="AM489" s="222">
        <f>ABS(((AL488+AL489)/AL488))</f>
        <v>0.2516857557670592</v>
      </c>
      <c r="AN489" s="214">
        <v>524.5</v>
      </c>
      <c r="AO489" s="222">
        <f>ABS(((AN488+AN489)/AN488))</f>
        <v>0.20730135346653164</v>
      </c>
      <c r="AP489" s="214">
        <v>166.78</v>
      </c>
      <c r="AQ489" s="222">
        <f>ABS(((AP488+AP489)/AP488))</f>
        <v>0.30083456828640504</v>
      </c>
      <c r="AR489" s="214">
        <v>444.46</v>
      </c>
      <c r="AS489" s="222">
        <f>ABS(((AR488+AR489)/AR488))</f>
        <v>0.25895082710174472</v>
      </c>
      <c r="AT489" s="214">
        <v>345.59</v>
      </c>
      <c r="AU489" s="301">
        <v>-0.26300000000000001</v>
      </c>
      <c r="AV489" s="222">
        <f t="shared" ref="AV489" si="4">AU490/AU489</f>
        <v>0</v>
      </c>
      <c r="AW489" s="301">
        <v>-0.26300000000000001</v>
      </c>
      <c r="AX489" s="214">
        <v>233.91</v>
      </c>
      <c r="AY489" s="326">
        <v>-0.26300000000000001</v>
      </c>
      <c r="AZ489" s="327"/>
      <c r="BA489" s="214">
        <v>294.11</v>
      </c>
      <c r="BB489" s="222">
        <f>BA490/BA489</f>
        <v>0.24314032164836291</v>
      </c>
      <c r="BC489" s="214">
        <v>270.48</v>
      </c>
      <c r="BD489" s="222">
        <f>BC490/BC489</f>
        <v>0.27661934338952976</v>
      </c>
      <c r="BE489" s="214">
        <v>383.23</v>
      </c>
      <c r="BF489" s="222">
        <f>BE490/BE489</f>
        <v>0.33614278631631139</v>
      </c>
      <c r="BG489" s="214">
        <v>290.33</v>
      </c>
      <c r="BH489" s="222">
        <f>BG490/BG489</f>
        <v>0.1698412151689456</v>
      </c>
      <c r="BI489" s="214">
        <v>336.88</v>
      </c>
      <c r="BJ489" s="222">
        <f>BI490/BI489</f>
        <v>0.24026359534552363</v>
      </c>
      <c r="BK489" s="214">
        <v>502.61</v>
      </c>
      <c r="BL489" s="222">
        <f>BK490/BK489</f>
        <v>0.19303237102325865</v>
      </c>
      <c r="BM489" s="214">
        <v>634.9</v>
      </c>
      <c r="BN489" s="222">
        <f>BM490/BM489</f>
        <v>0.22416128524177034</v>
      </c>
      <c r="BO489" s="214">
        <v>239.55</v>
      </c>
      <c r="BP489" s="222">
        <f>BO490/BO489</f>
        <v>0.38601544562721768</v>
      </c>
      <c r="BQ489" s="214">
        <v>628.5</v>
      </c>
      <c r="BR489" s="222">
        <f>BQ490/BQ489</f>
        <v>0.45406523468575971</v>
      </c>
      <c r="BS489" s="214">
        <v>440.92</v>
      </c>
      <c r="BT489" s="222">
        <f>BS490/BS489</f>
        <v>0.45831443345731654</v>
      </c>
      <c r="BU489" s="214">
        <v>411.49</v>
      </c>
      <c r="BV489" s="222">
        <f>BU490/BU489</f>
        <v>0.42956086417652922</v>
      </c>
      <c r="BW489" s="214">
        <v>407.39</v>
      </c>
      <c r="BX489" s="301">
        <v>-0.26300000000000001</v>
      </c>
      <c r="BY489" s="214">
        <v>420.96</v>
      </c>
      <c r="BZ489" s="222">
        <f>BY490/BY489</f>
        <v>0.44234606613454958</v>
      </c>
      <c r="CA489" s="214">
        <v>391.83</v>
      </c>
      <c r="CB489" s="222">
        <f>CA490/CA489</f>
        <v>0.45328331164025215</v>
      </c>
      <c r="CC489" s="214">
        <v>427.24</v>
      </c>
      <c r="CD489" s="222">
        <f>CC490/CC489</f>
        <v>0.55764909652654249</v>
      </c>
      <c r="CE489" s="214">
        <v>354.48</v>
      </c>
      <c r="CF489" s="222">
        <f>CE490/CE489</f>
        <v>0.50389302640487477</v>
      </c>
      <c r="CG489" s="214">
        <v>412.63</v>
      </c>
      <c r="CH489" s="222">
        <f>CG490/CG489</f>
        <v>0.48753120228776381</v>
      </c>
      <c r="CI489" s="213">
        <v>593.22</v>
      </c>
      <c r="CK489" s="213">
        <v>691.46</v>
      </c>
    </row>
    <row r="490" spans="1:89">
      <c r="C490" s="213" t="s">
        <v>9</v>
      </c>
      <c r="AD490" s="243">
        <f>AD488+AD489</f>
        <v>88.910000000000011</v>
      </c>
      <c r="AF490" s="243">
        <f>AF488+AF489</f>
        <v>58.320000000000022</v>
      </c>
      <c r="AH490" s="242">
        <f>AH488+AH489</f>
        <v>57.19</v>
      </c>
      <c r="AJ490" s="243">
        <f>AJ488+AJ489</f>
        <v>59.320000000000022</v>
      </c>
      <c r="AL490" s="243">
        <f>AL488+AL489</f>
        <v>78.009999999999991</v>
      </c>
      <c r="AN490" s="243">
        <f>AN488+AN489</f>
        <v>90.06</v>
      </c>
      <c r="AP490" s="214">
        <f>AP488+AP489</f>
        <v>38.569999999999993</v>
      </c>
      <c r="AR490" s="214">
        <f>AR488+AR489</f>
        <v>91.419999999999959</v>
      </c>
      <c r="AT490" s="214">
        <f>AT488+AT489</f>
        <v>70.509999999999991</v>
      </c>
      <c r="AV490" s="214">
        <f>AV488+AV489</f>
        <v>-236.56</v>
      </c>
      <c r="AX490" s="214">
        <f>AX488+AX489</f>
        <v>48.31</v>
      </c>
      <c r="BA490" s="214">
        <f>BA488+BA489</f>
        <v>71.510000000000019</v>
      </c>
      <c r="BC490" s="214">
        <f>BC488+BC489</f>
        <v>74.820000000000022</v>
      </c>
      <c r="BE490" s="214">
        <f>BE488+BE489</f>
        <v>128.82000000000002</v>
      </c>
      <c r="BG490" s="214">
        <f>BG488+BG489</f>
        <v>49.309999999999974</v>
      </c>
      <c r="BI490" s="214">
        <f>BI488+BI489</f>
        <v>80.94</v>
      </c>
      <c r="BK490" s="214">
        <f>BK488+BK489</f>
        <v>97.020000000000039</v>
      </c>
      <c r="BM490" s="214">
        <f>BM488+BM489</f>
        <v>142.32</v>
      </c>
      <c r="BO490" s="214">
        <f>BO488+BO489</f>
        <v>92.47</v>
      </c>
      <c r="BQ490" s="214">
        <f>BQ488+BQ489</f>
        <v>285.38</v>
      </c>
      <c r="BS490" s="214">
        <f>BS488+BS489</f>
        <v>202.08</v>
      </c>
      <c r="BU490" s="214">
        <f>BU488+BU489</f>
        <v>176.76000000000002</v>
      </c>
      <c r="BW490" s="214">
        <f>BW488+BW489</f>
        <v>192.01</v>
      </c>
      <c r="BY490" s="214">
        <f>BY488+BY489</f>
        <v>186.20999999999998</v>
      </c>
      <c r="CA490" s="214">
        <f>CA488+CA489</f>
        <v>177.60999999999999</v>
      </c>
      <c r="CC490" s="214">
        <f>CC488+CC489</f>
        <v>238.25</v>
      </c>
      <c r="CE490" s="214">
        <f>CE488+CE489</f>
        <v>178.62</v>
      </c>
      <c r="CG490" s="214">
        <f>CG488+CG489</f>
        <v>201.17</v>
      </c>
    </row>
    <row r="491" spans="1:89">
      <c r="A491" s="231">
        <v>146</v>
      </c>
      <c r="B491" s="279">
        <v>267857330</v>
      </c>
      <c r="C491" s="213" t="s">
        <v>237</v>
      </c>
      <c r="AP491" s="214"/>
      <c r="AT491" s="214"/>
    </row>
    <row r="492" spans="1:89">
      <c r="C492" s="253" t="s">
        <v>184</v>
      </c>
      <c r="AD492" s="235">
        <v>45323</v>
      </c>
      <c r="AF492" s="235">
        <v>45352</v>
      </c>
      <c r="AH492" s="235">
        <v>45383</v>
      </c>
      <c r="AJ492" s="235">
        <v>45413</v>
      </c>
      <c r="AL492" s="235">
        <v>45444</v>
      </c>
      <c r="AN492" s="235">
        <v>45474</v>
      </c>
      <c r="AP492" s="235">
        <v>45505</v>
      </c>
      <c r="AR492" s="236">
        <v>45536</v>
      </c>
      <c r="AT492" s="236">
        <v>45566</v>
      </c>
      <c r="AV492" s="235">
        <v>45597</v>
      </c>
      <c r="AX492" s="235">
        <v>45627</v>
      </c>
      <c r="BA492" s="235">
        <v>45658</v>
      </c>
      <c r="BC492" s="235">
        <v>45689</v>
      </c>
      <c r="BE492" s="235">
        <v>45717</v>
      </c>
      <c r="BG492" s="235">
        <v>45748</v>
      </c>
      <c r="BI492" s="235">
        <v>45778</v>
      </c>
      <c r="BK492" s="235">
        <v>45809</v>
      </c>
      <c r="BM492" s="235">
        <v>45839</v>
      </c>
      <c r="BO492" s="235">
        <v>45870</v>
      </c>
      <c r="BQ492" s="235">
        <v>45901</v>
      </c>
      <c r="BS492" s="235">
        <v>45931</v>
      </c>
      <c r="BU492" s="235">
        <v>45962</v>
      </c>
      <c r="BW492" s="235">
        <v>45992</v>
      </c>
      <c r="BY492" s="235">
        <v>46023</v>
      </c>
      <c r="CA492" s="235">
        <v>46054</v>
      </c>
      <c r="CC492" s="235">
        <v>46082</v>
      </c>
      <c r="CE492" s="235">
        <v>46113</v>
      </c>
      <c r="CG492" s="235">
        <v>46143</v>
      </c>
      <c r="CI492" s="341">
        <v>46174</v>
      </c>
    </row>
    <row r="493" spans="1:89">
      <c r="C493" s="213" t="s">
        <v>7</v>
      </c>
      <c r="AD493" s="237">
        <v>-258.23</v>
      </c>
      <c r="AF493" s="237">
        <v>-527.83000000000004</v>
      </c>
      <c r="AH493" s="237">
        <v>-484.5</v>
      </c>
      <c r="AJ493" s="237">
        <v>-464.72</v>
      </c>
      <c r="AL493" s="237">
        <v>-515.87</v>
      </c>
      <c r="AN493" s="237">
        <v>-518.39</v>
      </c>
      <c r="AP493" s="237">
        <v>-391.99</v>
      </c>
      <c r="AR493" s="237">
        <v>-479.08</v>
      </c>
      <c r="AT493" s="237">
        <v>-512.65</v>
      </c>
      <c r="AV493" s="237">
        <v>-497.55</v>
      </c>
      <c r="AX493" s="237">
        <v>-470.85</v>
      </c>
      <c r="BA493" s="237">
        <v>-485.23</v>
      </c>
      <c r="BC493" s="237">
        <v>-484.33</v>
      </c>
      <c r="BE493" s="237">
        <v>-603.39</v>
      </c>
      <c r="BG493" s="237">
        <v>-548.05999999999995</v>
      </c>
      <c r="BI493" s="237">
        <v>-589.96</v>
      </c>
      <c r="BK493" s="237">
        <f>-571.24-19.83</f>
        <v>-591.07000000000005</v>
      </c>
      <c r="BM493" s="237">
        <f>-594.81-16.86</f>
        <v>-611.66999999999996</v>
      </c>
      <c r="BO493" s="237">
        <f>-505.7-20.25</f>
        <v>-525.95000000000005</v>
      </c>
      <c r="BQ493" s="237">
        <f>-587.39-21.26</f>
        <v>-608.65</v>
      </c>
      <c r="BS493" s="237">
        <f>-425.38-144.86</f>
        <v>-570.24</v>
      </c>
      <c r="BU493" s="237">
        <v>-478.58</v>
      </c>
      <c r="BW493" s="237">
        <v>-448.24</v>
      </c>
      <c r="BY493" s="237">
        <v>-465.69</v>
      </c>
      <c r="CA493" s="237">
        <v>-467.7</v>
      </c>
      <c r="CC493" s="237">
        <v>-424.92</v>
      </c>
      <c r="CE493" s="237">
        <v>-372.09</v>
      </c>
      <c r="CG493" s="237">
        <v>-392.95</v>
      </c>
      <c r="CI493" s="341"/>
    </row>
    <row r="494" spans="1:89">
      <c r="C494" s="213" t="s">
        <v>8</v>
      </c>
      <c r="AD494" s="214">
        <v>407.91</v>
      </c>
      <c r="AE494" s="322">
        <f>ABS(((AD493+AD494)/AD493))</f>
        <v>0.57963830693567753</v>
      </c>
      <c r="AF494" s="214">
        <v>628.32000000000005</v>
      </c>
      <c r="AG494" s="322">
        <f>ABS(((AF493+AF494)/AF493))</f>
        <v>0.19038326733986322</v>
      </c>
      <c r="AH494" s="214">
        <v>605.54</v>
      </c>
      <c r="AI494" s="222">
        <f>ABS(((AH493+AH494)/AH493))</f>
        <v>0.2498245614035087</v>
      </c>
      <c r="AJ494" s="214">
        <v>576.39</v>
      </c>
      <c r="AK494" s="222">
        <f>ABS(((AJ493+AJ494)/AJ493))</f>
        <v>0.24029523153726964</v>
      </c>
      <c r="AL494" s="214">
        <v>627.98</v>
      </c>
      <c r="AM494" s="222">
        <f>ABS(((AL493+AL494)/AL493))</f>
        <v>0.21732219357590093</v>
      </c>
      <c r="AN494" s="214">
        <v>643.79</v>
      </c>
      <c r="AO494" s="222">
        <f>ABS(((AN493+AN494)/AN493))</f>
        <v>0.24190281448330403</v>
      </c>
      <c r="AP494" s="214">
        <v>476.53</v>
      </c>
      <c r="AQ494" s="222">
        <f>ABS(((AP493+AP494)/AP493))</f>
        <v>0.2156687670603841</v>
      </c>
      <c r="AR494" s="214">
        <v>592.29999999999995</v>
      </c>
      <c r="AS494" s="222">
        <f>ABS(((AR493+AR494)/AR493))</f>
        <v>0.23632796192702674</v>
      </c>
      <c r="AT494" s="214">
        <v>631.05999999999995</v>
      </c>
      <c r="AU494" s="301">
        <v>-0.26300000000000001</v>
      </c>
      <c r="AV494" s="214">
        <v>457.49</v>
      </c>
      <c r="AW494" s="301">
        <v>-0.26300000000000001</v>
      </c>
      <c r="AX494" s="214">
        <v>578.16</v>
      </c>
      <c r="AY494" s="326">
        <v>-0.26300000000000001</v>
      </c>
      <c r="AZ494" s="327"/>
      <c r="BA494" s="214">
        <v>596.33000000000004</v>
      </c>
      <c r="BB494" s="222">
        <f>BA495/BA494</f>
        <v>0.18630623983364919</v>
      </c>
      <c r="BC494" s="214">
        <v>602.79</v>
      </c>
      <c r="BD494" s="222">
        <f>BC495/BC494</f>
        <v>0.1965195175766021</v>
      </c>
      <c r="BE494" s="214">
        <v>791.23</v>
      </c>
      <c r="BF494" s="222">
        <f>BE495/BE494</f>
        <v>0.23740252518231111</v>
      </c>
      <c r="BG494" s="214">
        <v>624.49</v>
      </c>
      <c r="BH494" s="222">
        <f>BG495/BG494</f>
        <v>0.12238786850069668</v>
      </c>
      <c r="BI494" s="214">
        <v>601.33000000000004</v>
      </c>
      <c r="BJ494" s="222">
        <f>BI495/BI494</f>
        <v>1.8908087073653407E-2</v>
      </c>
      <c r="BK494" s="214">
        <v>711.31</v>
      </c>
      <c r="BL494" s="222">
        <f>BK495/BK494</f>
        <v>0.16904022156303145</v>
      </c>
      <c r="BM494" s="214">
        <v>738.16</v>
      </c>
      <c r="BN494" s="222">
        <f>BM495/BM494</f>
        <v>0.17135851305949931</v>
      </c>
      <c r="BO494" s="214">
        <v>605.42999999999995</v>
      </c>
      <c r="BP494" s="222">
        <f>BO495/BO494</f>
        <v>0.13127859537849118</v>
      </c>
      <c r="BQ494" s="214">
        <v>803.47</v>
      </c>
      <c r="BR494" s="222">
        <f>BQ495/BQ494</f>
        <v>0.242473272181911</v>
      </c>
      <c r="BS494" s="214">
        <v>816.36</v>
      </c>
      <c r="BT494" s="222">
        <f>BS495/BS494</f>
        <v>0.30148463912979567</v>
      </c>
      <c r="BU494" s="214">
        <v>572.69000000000005</v>
      </c>
      <c r="BV494" s="222">
        <f>BU495/BU494</f>
        <v>0.16432974209432688</v>
      </c>
      <c r="BW494" s="214">
        <v>690.5</v>
      </c>
      <c r="BX494" s="301">
        <v>-0.26300000000000001</v>
      </c>
      <c r="BY494" s="214">
        <v>712.22</v>
      </c>
      <c r="BZ494" s="222">
        <f>BY495/BY494</f>
        <v>0.34614304568813009</v>
      </c>
      <c r="CA494" s="214">
        <v>695.09</v>
      </c>
      <c r="CB494" s="222">
        <f>CA495/CA494</f>
        <v>0.32713749298651978</v>
      </c>
      <c r="CC494" s="214">
        <v>791.23</v>
      </c>
      <c r="CD494" s="222">
        <f>CC495/CC494</f>
        <v>0.46296272891573875</v>
      </c>
      <c r="CE494" s="214">
        <v>741.17</v>
      </c>
      <c r="CF494" s="222">
        <f>CE495/CE494</f>
        <v>0.49796942671721739</v>
      </c>
      <c r="CG494" s="214">
        <v>782.58</v>
      </c>
      <c r="CH494" s="222">
        <f>CG495/CG494</f>
        <v>0.49787881111196303</v>
      </c>
      <c r="CI494" s="213">
        <v>755.25</v>
      </c>
      <c r="CK494" s="213">
        <v>849.5</v>
      </c>
    </row>
    <row r="495" spans="1:89">
      <c r="C495" s="213" t="s">
        <v>9</v>
      </c>
      <c r="AD495" s="243">
        <f>AD493+AD494</f>
        <v>149.68</v>
      </c>
      <c r="AF495" s="243">
        <f>AF493+AF494</f>
        <v>100.49000000000001</v>
      </c>
      <c r="AH495" s="243">
        <f>AH493+AH494</f>
        <v>121.03999999999996</v>
      </c>
      <c r="AJ495" s="243">
        <f>AJ493+AJ494</f>
        <v>111.66999999999996</v>
      </c>
      <c r="AL495" s="243">
        <f>AL493+AL494</f>
        <v>112.11000000000001</v>
      </c>
      <c r="AN495" s="243">
        <f>AN493+AN494</f>
        <v>125.39999999999998</v>
      </c>
      <c r="AP495" s="214">
        <f>AP493+AP494</f>
        <v>84.539999999999964</v>
      </c>
      <c r="AR495" s="214">
        <f>AR493+AR494</f>
        <v>113.21999999999997</v>
      </c>
      <c r="AT495" s="214">
        <f>AT493+AT494</f>
        <v>118.40999999999997</v>
      </c>
      <c r="AV495" s="214">
        <f>AV493+AV494</f>
        <v>-40.06</v>
      </c>
      <c r="AX495" s="214">
        <f>AX493+AX494</f>
        <v>107.30999999999995</v>
      </c>
      <c r="BA495" s="214">
        <f>BA493+BA494</f>
        <v>111.10000000000002</v>
      </c>
      <c r="BC495" s="214">
        <f>BC493+BC494</f>
        <v>118.45999999999998</v>
      </c>
      <c r="BE495" s="214">
        <f>BE493+BE494</f>
        <v>187.84000000000003</v>
      </c>
      <c r="BG495" s="214">
        <f>BG493+BG494</f>
        <v>76.430000000000064</v>
      </c>
      <c r="BI495" s="214">
        <f>BI493+BI494</f>
        <v>11.370000000000005</v>
      </c>
      <c r="BK495" s="214">
        <f>BK493+BK494</f>
        <v>120.2399999999999</v>
      </c>
      <c r="BM495" s="214">
        <f>BM493+BM494</f>
        <v>126.49000000000001</v>
      </c>
      <c r="BO495" s="214">
        <f>BO493+BO494</f>
        <v>79.479999999999905</v>
      </c>
      <c r="BQ495" s="214">
        <f>BQ493+BQ494</f>
        <v>194.82000000000005</v>
      </c>
      <c r="BS495" s="214">
        <f>BS493+BS494</f>
        <v>246.12</v>
      </c>
      <c r="BU495" s="214">
        <f>BU493+BU494</f>
        <v>94.11000000000007</v>
      </c>
      <c r="BW495" s="214">
        <f>BW493+BW494</f>
        <v>242.26</v>
      </c>
      <c r="BY495" s="214">
        <f>BY493+BY494</f>
        <v>246.53000000000003</v>
      </c>
      <c r="CA495" s="214">
        <f>CA493+CA494</f>
        <v>227.39000000000004</v>
      </c>
      <c r="CC495" s="214">
        <f>CC493+CC494</f>
        <v>366.31</v>
      </c>
      <c r="CE495" s="214">
        <f>CE493+CE494</f>
        <v>369.08</v>
      </c>
      <c r="CG495" s="214">
        <f>CG493+CG494</f>
        <v>389.63000000000005</v>
      </c>
    </row>
    <row r="496" spans="1:89">
      <c r="A496" s="231">
        <v>147</v>
      </c>
      <c r="B496" s="279">
        <v>267857603</v>
      </c>
      <c r="C496" s="213" t="s">
        <v>236</v>
      </c>
      <c r="AP496" s="214"/>
      <c r="AT496" s="214"/>
    </row>
    <row r="497" spans="1:89">
      <c r="C497" s="253" t="s">
        <v>289</v>
      </c>
      <c r="AD497" s="235">
        <v>45323</v>
      </c>
      <c r="AF497" s="235">
        <v>45352</v>
      </c>
      <c r="AH497" s="235">
        <v>45383</v>
      </c>
      <c r="AJ497" s="235">
        <v>45413</v>
      </c>
      <c r="AL497" s="235">
        <v>45444</v>
      </c>
      <c r="AN497" s="235">
        <v>45474</v>
      </c>
      <c r="AP497" s="235">
        <v>45505</v>
      </c>
      <c r="AR497" s="236">
        <v>45536</v>
      </c>
      <c r="AT497" s="236">
        <v>45566</v>
      </c>
      <c r="AV497" s="235">
        <v>45597</v>
      </c>
      <c r="AX497" s="235">
        <v>45627</v>
      </c>
      <c r="BA497" s="235">
        <v>45658</v>
      </c>
      <c r="BC497" s="235">
        <v>45689</v>
      </c>
      <c r="BE497" s="235">
        <v>45717</v>
      </c>
      <c r="BG497" s="235">
        <v>45748</v>
      </c>
      <c r="BI497" s="235">
        <v>45778</v>
      </c>
      <c r="BK497" s="235">
        <v>45809</v>
      </c>
      <c r="BM497" s="235">
        <v>45839</v>
      </c>
      <c r="BO497" s="235">
        <v>45870</v>
      </c>
      <c r="BQ497" s="235">
        <v>45901</v>
      </c>
      <c r="BS497" s="235">
        <v>45931</v>
      </c>
      <c r="BU497" s="235">
        <v>45962</v>
      </c>
      <c r="BW497" s="235">
        <v>45992</v>
      </c>
      <c r="BY497" s="235">
        <v>46023</v>
      </c>
      <c r="CA497" s="235">
        <v>46054</v>
      </c>
      <c r="CC497" s="235">
        <v>46082</v>
      </c>
      <c r="CE497" s="235">
        <v>46113</v>
      </c>
      <c r="CG497" s="235">
        <v>46143</v>
      </c>
      <c r="CI497" s="341">
        <v>46174</v>
      </c>
    </row>
    <row r="498" spans="1:89">
      <c r="C498" s="213" t="s">
        <v>7</v>
      </c>
      <c r="AD498" s="237">
        <v>-1061.22</v>
      </c>
      <c r="AF498" s="237">
        <v>-1300.6300000000001</v>
      </c>
      <c r="AH498" s="237">
        <v>-1156.3699999999999</v>
      </c>
      <c r="AJ498" s="237">
        <v>-1332.08</v>
      </c>
      <c r="AL498" s="237">
        <v>-1715.08</v>
      </c>
      <c r="AN498" s="237">
        <v>-2012.86</v>
      </c>
      <c r="AP498" s="237">
        <v>-1529.04</v>
      </c>
      <c r="AR498" s="237">
        <v>-1696.88</v>
      </c>
      <c r="AT498" s="237">
        <v>-1462.77</v>
      </c>
      <c r="AV498" s="237">
        <v>-1309.3800000000001</v>
      </c>
      <c r="AX498" s="237">
        <v>-1419.23</v>
      </c>
      <c r="BA498" s="237">
        <v>-1621.28</v>
      </c>
      <c r="BC498" s="237">
        <v>-1568.39</v>
      </c>
      <c r="BE498" s="237">
        <v>-1567.64</v>
      </c>
      <c r="BG498" s="237">
        <v>-1276.48</v>
      </c>
      <c r="BI498" s="237">
        <v>-1456.14</v>
      </c>
      <c r="BK498" s="237">
        <v>-2056.23</v>
      </c>
      <c r="BM498" s="237">
        <f>-148.04-2049.86</f>
        <v>-2197.9</v>
      </c>
      <c r="BO498" s="237">
        <v>-1261.03</v>
      </c>
      <c r="BQ498" s="237">
        <v>-1512.96</v>
      </c>
      <c r="BS498" s="237">
        <v>-1272.8599999999999</v>
      </c>
      <c r="BU498" s="237">
        <v>-1260.93</v>
      </c>
      <c r="BW498" s="237">
        <v>-1327.42</v>
      </c>
      <c r="BY498" s="237">
        <v>-1593.9</v>
      </c>
      <c r="CA498" s="237">
        <v>-1346.81</v>
      </c>
      <c r="CC498" s="237">
        <v>-1333.99</v>
      </c>
      <c r="CE498" s="239">
        <v>-1043.8900000000001</v>
      </c>
      <c r="CG498" s="214">
        <v>-1119.94</v>
      </c>
    </row>
    <row r="499" spans="1:89">
      <c r="C499" s="213" t="s">
        <v>8</v>
      </c>
      <c r="AD499" s="214">
        <v>1448.95</v>
      </c>
      <c r="AE499" s="322">
        <f>ABS(((AD498+AD499)/AD498))</f>
        <v>0.36536250730291553</v>
      </c>
      <c r="AF499" s="214">
        <v>1632.15</v>
      </c>
      <c r="AG499" s="322">
        <f>ABS(((AF498+AF499)/AF498))</f>
        <v>0.25489186009856757</v>
      </c>
      <c r="AH499" s="214">
        <v>1470.59</v>
      </c>
      <c r="AI499" s="222">
        <f>ABS(((AH498+AH499)/AH498))</f>
        <v>0.27172963670797412</v>
      </c>
      <c r="AJ499" s="214">
        <v>1694.73</v>
      </c>
      <c r="AK499" s="222">
        <f>ABS(((AJ498+AJ499)/AJ498))</f>
        <v>0.27224340880427611</v>
      </c>
      <c r="AL499" s="214">
        <v>2141.2800000000002</v>
      </c>
      <c r="AM499" s="222">
        <f>ABS(((AL498+AL499)/AL498))</f>
        <v>0.24850152762553368</v>
      </c>
      <c r="AN499" s="214">
        <v>2572.9299999999998</v>
      </c>
      <c r="AO499" s="222">
        <f>ABS(((AN498+AN499)/AN498))</f>
        <v>0.2782458789980426</v>
      </c>
      <c r="AP499" s="214">
        <v>1904.39</v>
      </c>
      <c r="AQ499" s="222">
        <f>ABS(((AP498+AP499)/AP498))</f>
        <v>0.24548082456966472</v>
      </c>
      <c r="AR499" s="214">
        <v>2210.52</v>
      </c>
      <c r="AS499" s="222">
        <f>ABS(((AR498+AR499)/AR498))</f>
        <v>0.30269671396916686</v>
      </c>
      <c r="AT499" s="214">
        <v>1846.54</v>
      </c>
      <c r="AU499" s="222">
        <f>AT500/AT499</f>
        <v>0.20783194515147249</v>
      </c>
      <c r="AV499" s="214">
        <v>1915.38</v>
      </c>
      <c r="AW499" s="222">
        <f>AV500/AV499</f>
        <v>0.31638630454531214</v>
      </c>
      <c r="AX499" s="214">
        <v>1971.95</v>
      </c>
      <c r="AY499" s="224">
        <f>AX500/AX499</f>
        <v>0.28029108243109613</v>
      </c>
      <c r="AZ499" s="225"/>
      <c r="BA499" s="214">
        <v>1770.19</v>
      </c>
      <c r="BB499" s="222">
        <f>BA500/BA499</f>
        <v>8.412091357424914E-2</v>
      </c>
      <c r="BC499" s="214">
        <v>1616.68</v>
      </c>
      <c r="BD499" s="222">
        <f>BC500/BC499</f>
        <v>2.9869856743449514E-2</v>
      </c>
      <c r="BE499" s="214">
        <v>1873.09</v>
      </c>
      <c r="BF499" s="222">
        <f>BE500/BE499</f>
        <v>0.16307278347543355</v>
      </c>
      <c r="BG499" s="214">
        <v>1616.68</v>
      </c>
      <c r="BH499" s="222">
        <f>BG500/BG499</f>
        <v>0.36903406982210446</v>
      </c>
      <c r="BI499" s="214">
        <v>1778.35</v>
      </c>
      <c r="BJ499" s="222">
        <f>BI500/BI499</f>
        <v>0.18118480614052343</v>
      </c>
      <c r="BK499" s="214">
        <v>2330.7800000000002</v>
      </c>
      <c r="BL499" s="222">
        <f>BK500/BK499</f>
        <v>0.11779318511399624</v>
      </c>
      <c r="BM499" s="214">
        <v>2839.44</v>
      </c>
      <c r="BN499" s="222">
        <f>BM500/BM499</f>
        <v>0.22593891753303466</v>
      </c>
      <c r="BO499" s="214">
        <v>2087.56</v>
      </c>
      <c r="BP499" s="222">
        <f>BO500/BO499</f>
        <v>0.39593113491348753</v>
      </c>
      <c r="BQ499" s="214">
        <v>2386.12</v>
      </c>
      <c r="BR499" s="222">
        <f>BQ500/BQ499</f>
        <v>0.36593297906224326</v>
      </c>
      <c r="BS499" s="214">
        <v>1979.14</v>
      </c>
      <c r="BT499" s="222">
        <f>BS500/BS499</f>
        <v>0.35686207140475162</v>
      </c>
      <c r="BU499" s="214">
        <v>1948.04</v>
      </c>
      <c r="BV499" s="222">
        <f>BU500/BU499</f>
        <v>0.35271863000759734</v>
      </c>
      <c r="BW499" s="214">
        <v>2147.67</v>
      </c>
      <c r="BX499" s="222">
        <f>BW500/BW499</f>
        <v>0.38192552859610646</v>
      </c>
      <c r="BY499" s="214">
        <v>1776.11</v>
      </c>
      <c r="BZ499" s="222">
        <f>BY500/BY499</f>
        <v>0.10258936664958804</v>
      </c>
      <c r="CA499" s="214">
        <v>1794.03</v>
      </c>
      <c r="CB499" s="222">
        <f>CA500/CA499</f>
        <v>0.24928234198982183</v>
      </c>
      <c r="CC499" s="214">
        <v>1858.41</v>
      </c>
      <c r="CD499" s="222">
        <f>CC500/CC499</f>
        <v>0.28218746132446554</v>
      </c>
      <c r="CE499" s="214">
        <v>1951.43</v>
      </c>
      <c r="CF499" s="222">
        <f>CE500/CE499</f>
        <v>0.46506408121223919</v>
      </c>
      <c r="CG499" s="214">
        <v>2016.78</v>
      </c>
      <c r="CH499" s="222">
        <f>CG500/CG499</f>
        <v>0.44468905879669568</v>
      </c>
      <c r="CI499" s="214">
        <v>2373.33</v>
      </c>
      <c r="CK499" s="214">
        <v>2846.86</v>
      </c>
    </row>
    <row r="500" spans="1:89">
      <c r="C500" s="213" t="s">
        <v>9</v>
      </c>
      <c r="AD500" s="243">
        <f>AD498+AD499</f>
        <v>387.73</v>
      </c>
      <c r="AF500" s="243">
        <f>AF498+AF499</f>
        <v>331.52</v>
      </c>
      <c r="AH500" s="243">
        <f>AH498+AH499</f>
        <v>314.22000000000003</v>
      </c>
      <c r="AJ500" s="243">
        <f>AJ498+AJ499</f>
        <v>362.65000000000009</v>
      </c>
      <c r="AL500" s="243">
        <f>AL498+AL499</f>
        <v>426.20000000000027</v>
      </c>
      <c r="AN500" s="243">
        <f>AN498+AN499</f>
        <v>560.06999999999994</v>
      </c>
      <c r="AP500" s="214">
        <f>AP498+AP499</f>
        <v>375.35000000000014</v>
      </c>
      <c r="AR500" s="214">
        <f>AR498+AR499</f>
        <v>513.63999999999987</v>
      </c>
      <c r="AT500" s="214">
        <f>AT498+AT499</f>
        <v>383.77</v>
      </c>
      <c r="AV500" s="214">
        <f>AV498+AV499</f>
        <v>606</v>
      </c>
      <c r="AX500" s="214">
        <f>AX498+AX499</f>
        <v>552.72</v>
      </c>
      <c r="BA500" s="214">
        <f>BA498+BA499</f>
        <v>148.91000000000008</v>
      </c>
      <c r="BC500" s="214">
        <f>BC498+BC499</f>
        <v>48.289999999999964</v>
      </c>
      <c r="BE500" s="214">
        <f>BE498+BE499</f>
        <v>305.44999999999982</v>
      </c>
      <c r="BG500" s="214">
        <f>BG498+BE499</f>
        <v>596.6099999999999</v>
      </c>
      <c r="BI500" s="214">
        <f>BI498+BI499</f>
        <v>322.20999999999981</v>
      </c>
      <c r="BK500" s="214">
        <f>BK498+BK499</f>
        <v>274.55000000000018</v>
      </c>
      <c r="BM500" s="214">
        <f>BM498+BM499</f>
        <v>641.54</v>
      </c>
      <c r="BO500" s="214">
        <f>BO498+BO499</f>
        <v>826.53</v>
      </c>
      <c r="BQ500" s="214">
        <f>BQ498+BQ499</f>
        <v>873.15999999999985</v>
      </c>
      <c r="BS500" s="214">
        <f>BS498+BS499</f>
        <v>706.2800000000002</v>
      </c>
      <c r="BU500" s="214">
        <f>BU498+BU499</f>
        <v>687.1099999999999</v>
      </c>
      <c r="BW500" s="214">
        <f>BW498+BW499</f>
        <v>820.25</v>
      </c>
      <c r="BY500" s="214">
        <f>BY498+BY499</f>
        <v>182.20999999999981</v>
      </c>
      <c r="CA500" s="214">
        <f>CA498+CA499</f>
        <v>447.22</v>
      </c>
      <c r="CC500" s="214">
        <f>CC498+CC499</f>
        <v>524.42000000000007</v>
      </c>
      <c r="CE500" s="214">
        <f>CE498+CE499</f>
        <v>907.54</v>
      </c>
      <c r="CG500" s="214">
        <f>CG498+CG499</f>
        <v>896.83999999999992</v>
      </c>
    </row>
    <row r="501" spans="1:89">
      <c r="A501" s="231">
        <v>148</v>
      </c>
      <c r="B501" s="279">
        <v>536863696</v>
      </c>
      <c r="C501" s="213" t="s">
        <v>185</v>
      </c>
      <c r="AF501" s="214"/>
      <c r="AP501" s="214"/>
      <c r="AT501" s="214"/>
    </row>
    <row r="502" spans="1:89">
      <c r="C502" s="253" t="s">
        <v>186</v>
      </c>
      <c r="AD502" s="235">
        <v>45323</v>
      </c>
      <c r="AF502" s="235">
        <v>45352</v>
      </c>
      <c r="AH502" s="235">
        <v>45383</v>
      </c>
      <c r="AJ502" s="235">
        <v>45413</v>
      </c>
      <c r="AL502" s="235">
        <v>45444</v>
      </c>
      <c r="AN502" s="235">
        <v>45474</v>
      </c>
      <c r="AP502" s="235">
        <v>45505</v>
      </c>
      <c r="AR502" s="236">
        <v>45536</v>
      </c>
      <c r="AT502" s="236">
        <v>45566</v>
      </c>
      <c r="AV502" s="235">
        <v>45597</v>
      </c>
      <c r="AX502" s="235">
        <v>45627</v>
      </c>
      <c r="BA502" s="235">
        <v>45658</v>
      </c>
      <c r="BC502" s="235">
        <v>45689</v>
      </c>
      <c r="BE502" s="235">
        <v>45717</v>
      </c>
      <c r="BG502" s="235">
        <v>45748</v>
      </c>
      <c r="BI502" s="235">
        <v>45778</v>
      </c>
      <c r="BK502" s="235">
        <v>45809</v>
      </c>
      <c r="BM502" s="235">
        <v>45839</v>
      </c>
      <c r="BO502" s="235">
        <v>45870</v>
      </c>
      <c r="BQ502" s="235">
        <v>45901</v>
      </c>
      <c r="BS502" s="235">
        <v>45931</v>
      </c>
      <c r="BU502" s="235">
        <v>45962</v>
      </c>
      <c r="BW502" s="235">
        <v>45992</v>
      </c>
      <c r="BY502" s="235">
        <v>46023</v>
      </c>
      <c r="CA502" s="235">
        <v>46054</v>
      </c>
      <c r="CC502" s="235">
        <v>46082</v>
      </c>
      <c r="CE502" s="235">
        <v>46113</v>
      </c>
      <c r="CG502" s="235">
        <v>46143</v>
      </c>
      <c r="CI502" s="341">
        <v>46174</v>
      </c>
    </row>
    <row r="503" spans="1:89">
      <c r="C503" s="213" t="s">
        <v>7</v>
      </c>
      <c r="AD503" s="237">
        <f>-33.43-164.68-3.58</f>
        <v>-201.69000000000003</v>
      </c>
      <c r="AF503" s="328">
        <f>-171.6-64.52</f>
        <v>-236.12</v>
      </c>
      <c r="AH503" s="237">
        <f>-176.18-54.59</f>
        <v>-230.77</v>
      </c>
      <c r="AJ503" s="237">
        <f>-61.19-240.12</f>
        <v>-301.31</v>
      </c>
      <c r="AL503" s="237">
        <f>-94.01-250.74</f>
        <v>-344.75</v>
      </c>
      <c r="AN503" s="237">
        <f>-83.56-57.36</f>
        <v>-140.92000000000002</v>
      </c>
      <c r="AP503" s="237">
        <f>-19.15-54.97</f>
        <v>-74.12</v>
      </c>
      <c r="AR503" s="237">
        <f>-21.54-186.48</f>
        <v>-208.01999999999998</v>
      </c>
      <c r="AT503" s="237">
        <f>-71.07-211.37</f>
        <v>-282.44</v>
      </c>
      <c r="AV503" s="237">
        <f>-92.03-161.6</f>
        <v>-253.63</v>
      </c>
      <c r="AX503" s="237">
        <f>-64.62-179.01-17.43</f>
        <v>-261.06</v>
      </c>
      <c r="BA503" s="237">
        <f>-69.73-182.97</f>
        <v>-252.7</v>
      </c>
      <c r="BC503" s="237">
        <f>-125.23-114.75</f>
        <v>-239.98000000000002</v>
      </c>
      <c r="BE503" s="237">
        <f>-76.59-189.84</f>
        <v>-266.43</v>
      </c>
      <c r="BG503" s="237">
        <f>-72.22-196.24</f>
        <v>-268.46000000000004</v>
      </c>
      <c r="BI503" s="237">
        <f>-98.14-207.2</f>
        <v>-305.33999999999997</v>
      </c>
      <c r="BK503" s="237">
        <f>-93.24-318.15</f>
        <v>-411.39</v>
      </c>
      <c r="BM503" s="237">
        <f>-121.2-240.81</f>
        <v>-362.01</v>
      </c>
      <c r="BO503" s="237">
        <f>-135.94-166.32</f>
        <v>-302.26</v>
      </c>
      <c r="BQ503" s="237">
        <f>-73.79-288.2</f>
        <v>-361.99</v>
      </c>
      <c r="BS503" s="237">
        <f>-104.66-218.5</f>
        <v>-323.15999999999997</v>
      </c>
      <c r="BU503" s="237">
        <f>-94.96-161.2</f>
        <v>-256.15999999999997</v>
      </c>
      <c r="BW503" s="237">
        <f>-72.46-125.18</f>
        <v>-197.64</v>
      </c>
      <c r="BY503" s="237">
        <f>-68.35-182.59</f>
        <v>-250.94</v>
      </c>
      <c r="CA503" s="237">
        <f>-86.37-148.01</f>
        <v>-234.38</v>
      </c>
      <c r="CC503" s="237">
        <f>-70.04-178.86</f>
        <v>-248.90000000000003</v>
      </c>
      <c r="CE503" s="237">
        <f>-73.18-161.7</f>
        <v>-234.88</v>
      </c>
      <c r="CG503" s="237">
        <f>-83.6-228</f>
        <v>-311.60000000000002</v>
      </c>
      <c r="CI503" s="213">
        <v>-102.5</v>
      </c>
    </row>
    <row r="504" spans="1:89">
      <c r="C504" s="213" t="s">
        <v>8</v>
      </c>
      <c r="AD504" s="299">
        <v>237.47</v>
      </c>
      <c r="AE504" s="322">
        <f>ABS(((AD503+AD504)/AD503))</f>
        <v>0.17740096187217991</v>
      </c>
      <c r="AF504" s="299">
        <v>308.29000000000002</v>
      </c>
      <c r="AG504" s="222">
        <f>ABS(((AF503+AF504)/AF503))</f>
        <v>0.30564966965949525</v>
      </c>
      <c r="AH504" s="214">
        <v>319.68</v>
      </c>
      <c r="AI504" s="222">
        <f>ABS(((AH503+AH504)/AH503))</f>
        <v>0.38527538241539194</v>
      </c>
      <c r="AJ504" s="214">
        <v>374.42</v>
      </c>
      <c r="AK504" s="222">
        <f>ABS(((AJ503+AJ504)/AJ503))</f>
        <v>0.24264046994789423</v>
      </c>
      <c r="AL504" s="214">
        <v>484.01</v>
      </c>
      <c r="AM504" s="222">
        <f>ABS(((AL503+AL504)/AL503))</f>
        <v>0.40394488759970992</v>
      </c>
      <c r="AN504" s="214">
        <v>596.86</v>
      </c>
      <c r="AO504" s="222">
        <f>ABS(((AN503+AN504)/AN503))</f>
        <v>3.2354527391427759</v>
      </c>
      <c r="AP504" s="214">
        <v>83.05</v>
      </c>
      <c r="AQ504" s="222">
        <f>ABS(((AP503+AP504)/AP503))</f>
        <v>0.12048030221262807</v>
      </c>
      <c r="AR504" s="214">
        <v>475.95</v>
      </c>
      <c r="AS504" s="222">
        <f>ABS(((AR503+AR504)/AR503))</f>
        <v>1.2880011537352178</v>
      </c>
      <c r="AT504" s="214">
        <v>406.76</v>
      </c>
      <c r="AU504" s="222">
        <f>AT505/AT504</f>
        <v>0.30563477234733011</v>
      </c>
      <c r="AV504" s="214">
        <v>343.3</v>
      </c>
      <c r="AW504" s="222">
        <f>AV505/AV504</f>
        <v>0.26120011651616665</v>
      </c>
      <c r="AX504" s="214">
        <v>96.63</v>
      </c>
      <c r="AY504" s="224">
        <f>AX505/AX504</f>
        <v>-1.7016454517230675</v>
      </c>
      <c r="AZ504" s="225"/>
      <c r="BA504" s="214">
        <v>366.1</v>
      </c>
      <c r="BB504" s="222">
        <f>BA505/BA504</f>
        <v>0.30975143403441691</v>
      </c>
      <c r="BC504" s="214">
        <v>297.27</v>
      </c>
      <c r="BD504" s="222">
        <f>BC505/BC504</f>
        <v>0.19272042251152141</v>
      </c>
      <c r="BE504" s="214">
        <v>550.72</v>
      </c>
      <c r="BF504" s="222">
        <f>BE505/BE504</f>
        <v>0.51621513654851836</v>
      </c>
      <c r="BG504" s="214">
        <v>336.03</v>
      </c>
      <c r="BH504" s="222">
        <f>BG505/BG504</f>
        <v>0.20108323661577818</v>
      </c>
      <c r="BI504" s="214">
        <v>447.97</v>
      </c>
      <c r="BJ504" s="222">
        <f>BI505/BI504</f>
        <v>0.3183918565975401</v>
      </c>
      <c r="BK504" s="214">
        <v>561.17999999999995</v>
      </c>
      <c r="BL504" s="222">
        <f>BK505/BK504</f>
        <v>0.26691970490751626</v>
      </c>
      <c r="BM504" s="214">
        <v>730.65</v>
      </c>
      <c r="BN504" s="222">
        <f>BM505/BM504</f>
        <v>0.50453705604598642</v>
      </c>
      <c r="BO504" s="214">
        <v>150.52000000000001</v>
      </c>
      <c r="BP504" s="222">
        <f>BO505/BO504</f>
        <v>-1.0081052351846929</v>
      </c>
      <c r="BQ504" s="214">
        <v>509.1</v>
      </c>
      <c r="BR504" s="222">
        <f>BQ505/BQ504</f>
        <v>0.28896091141229624</v>
      </c>
      <c r="BS504" s="214">
        <v>629.22</v>
      </c>
      <c r="BT504" s="222">
        <f>BS505/BS504</f>
        <v>0.48641174787832564</v>
      </c>
      <c r="BU504" s="214">
        <v>493.34</v>
      </c>
      <c r="BV504" s="222">
        <f>BU505/BU504</f>
        <v>0.4807637734625208</v>
      </c>
      <c r="BW504" s="214">
        <v>161.11000000000001</v>
      </c>
      <c r="BX504" s="222">
        <f>BW505/BW504</f>
        <v>-0.22673949475513605</v>
      </c>
      <c r="BY504" s="214">
        <v>483.47</v>
      </c>
      <c r="BZ504" s="222">
        <f>BY505/BY504</f>
        <v>0.48096055598072274</v>
      </c>
      <c r="CA504" s="214">
        <v>414.15</v>
      </c>
      <c r="CB504" s="222">
        <f>CA505/CA504</f>
        <v>0.43406978148014003</v>
      </c>
      <c r="CC504" s="214">
        <v>628.47</v>
      </c>
      <c r="CD504" s="222">
        <f>CC505/CC504</f>
        <v>0.60395882062787398</v>
      </c>
      <c r="CE504" s="214">
        <v>414.83</v>
      </c>
      <c r="CF504" s="222">
        <f>CE505/CE504</f>
        <v>0.43379215582286718</v>
      </c>
      <c r="CG504" s="214">
        <v>530.54999999999995</v>
      </c>
      <c r="CH504" s="222">
        <f>CG505/CG504</f>
        <v>0.41268494958062379</v>
      </c>
      <c r="CI504" s="213">
        <v>626.66999999999996</v>
      </c>
      <c r="CK504" s="213">
        <v>792.81</v>
      </c>
    </row>
    <row r="505" spans="1:89">
      <c r="C505" s="213" t="s">
        <v>9</v>
      </c>
      <c r="AD505" s="243">
        <f>AD503+AD504</f>
        <v>35.779999999999973</v>
      </c>
      <c r="AF505" s="243">
        <f>AF503+AF504</f>
        <v>72.170000000000016</v>
      </c>
      <c r="AH505" s="243">
        <f>AH503+AH504</f>
        <v>88.91</v>
      </c>
      <c r="AJ505" s="243">
        <f>AJ503+AJ504</f>
        <v>73.110000000000014</v>
      </c>
      <c r="AL505" s="243">
        <f>AL503+AL504</f>
        <v>139.26</v>
      </c>
      <c r="AN505" s="243">
        <f>AN503+AN504</f>
        <v>455.94</v>
      </c>
      <c r="AP505" s="214">
        <f>AP503+AP504</f>
        <v>8.9299999999999926</v>
      </c>
      <c r="AR505" s="214">
        <f>AR503+AR504</f>
        <v>267.93</v>
      </c>
      <c r="AT505" s="214">
        <f>AT503+AT504</f>
        <v>124.32</v>
      </c>
      <c r="AV505" s="214">
        <f>AV503+AV504</f>
        <v>89.670000000000016</v>
      </c>
      <c r="AX505" s="214">
        <f>AX503+AX504</f>
        <v>-164.43</v>
      </c>
      <c r="BA505" s="214">
        <f>BA503+BA504</f>
        <v>113.40000000000003</v>
      </c>
      <c r="BC505" s="214">
        <f>BC503+BC504</f>
        <v>57.289999999999964</v>
      </c>
      <c r="BE505" s="214">
        <f>BE503+BE504</f>
        <v>284.29000000000002</v>
      </c>
      <c r="BG505" s="214">
        <f>BG503+BG504</f>
        <v>67.569999999999936</v>
      </c>
      <c r="BI505" s="214">
        <f>BI503+BI504</f>
        <v>142.63000000000005</v>
      </c>
      <c r="BK505" s="214">
        <f>BK503+BK504</f>
        <v>149.78999999999996</v>
      </c>
      <c r="BM505" s="214">
        <f>BM503+BM504</f>
        <v>368.64</v>
      </c>
      <c r="BO505" s="214">
        <f>BO503+BO504</f>
        <v>-151.73999999999998</v>
      </c>
      <c r="BQ505" s="214">
        <f>BQ503+BQ504</f>
        <v>147.11000000000001</v>
      </c>
      <c r="BS505" s="214">
        <f>BS503+BS504</f>
        <v>306.06000000000006</v>
      </c>
      <c r="BU505" s="214">
        <f>BU503+BU504</f>
        <v>237.18</v>
      </c>
      <c r="BW505" s="214">
        <f>BW503+BW504</f>
        <v>-36.529999999999973</v>
      </c>
      <c r="BY505" s="214">
        <f>BY503+BY504</f>
        <v>232.53000000000003</v>
      </c>
      <c r="CA505" s="214">
        <f>CA503+CA504</f>
        <v>179.76999999999998</v>
      </c>
      <c r="CC505" s="214">
        <f>CC503+CC504</f>
        <v>379.57</v>
      </c>
      <c r="CE505" s="214">
        <f>CE503+CE504</f>
        <v>179.95</v>
      </c>
      <c r="CG505" s="214">
        <f>CG503+CG504</f>
        <v>218.94999999999993</v>
      </c>
    </row>
    <row r="506" spans="1:89">
      <c r="A506" s="231">
        <v>149</v>
      </c>
      <c r="B506" s="279">
        <v>536863260</v>
      </c>
      <c r="C506" s="213" t="s">
        <v>187</v>
      </c>
      <c r="AP506" s="214"/>
      <c r="AT506" s="214"/>
    </row>
    <row r="507" spans="1:89">
      <c r="C507" s="253" t="s">
        <v>188</v>
      </c>
      <c r="AD507" s="235">
        <v>45323</v>
      </c>
      <c r="AF507" s="235">
        <v>45352</v>
      </c>
      <c r="AH507" s="235">
        <v>45383</v>
      </c>
      <c r="AJ507" s="235">
        <v>45413</v>
      </c>
      <c r="AL507" s="235">
        <v>45444</v>
      </c>
      <c r="AN507" s="235">
        <v>45474</v>
      </c>
      <c r="AP507" s="235">
        <v>45505</v>
      </c>
      <c r="AR507" s="236">
        <v>45536</v>
      </c>
      <c r="AT507" s="236">
        <v>45566</v>
      </c>
      <c r="AV507" s="235">
        <v>45597</v>
      </c>
      <c r="AX507" s="235">
        <v>45627</v>
      </c>
      <c r="BA507" s="235">
        <v>45658</v>
      </c>
      <c r="BC507" s="235">
        <v>45689</v>
      </c>
      <c r="BE507" s="235">
        <v>45717</v>
      </c>
      <c r="BG507" s="235">
        <v>45748</v>
      </c>
      <c r="BI507" s="235">
        <v>45778</v>
      </c>
      <c r="BK507" s="235">
        <v>45809</v>
      </c>
      <c r="BM507" s="235">
        <v>45839</v>
      </c>
      <c r="BO507" s="235">
        <v>45870</v>
      </c>
      <c r="BQ507" s="235">
        <v>45901</v>
      </c>
      <c r="BS507" s="235">
        <v>45931</v>
      </c>
      <c r="BU507" s="235">
        <v>45962</v>
      </c>
      <c r="BW507" s="235">
        <v>45992</v>
      </c>
      <c r="BY507" s="235">
        <v>46023</v>
      </c>
      <c r="CA507" s="235">
        <v>46054</v>
      </c>
      <c r="CC507" s="235">
        <v>46082</v>
      </c>
      <c r="CE507" s="235">
        <v>46113</v>
      </c>
      <c r="CG507" s="235">
        <v>46143</v>
      </c>
      <c r="CI507" s="341">
        <v>46174</v>
      </c>
    </row>
    <row r="508" spans="1:89">
      <c r="C508" s="213" t="s">
        <v>7</v>
      </c>
      <c r="AD508" s="237">
        <f>-22.07-3.46-147.66</f>
        <v>-173.19</v>
      </c>
      <c r="AF508" s="237">
        <f>-58.04-147.4</f>
        <v>-205.44</v>
      </c>
      <c r="AH508" s="237">
        <f>-46.74-126.04</f>
        <v>-172.78</v>
      </c>
      <c r="AJ508" s="237">
        <f>-43.99-132.66</f>
        <v>-176.65</v>
      </c>
      <c r="AL508" s="237">
        <f>-60.29-177.2</f>
        <v>-237.48999999999998</v>
      </c>
      <c r="AN508" s="237">
        <f>-142.37-57.36</f>
        <v>-199.73000000000002</v>
      </c>
      <c r="AP508" s="214">
        <f>-55.61-84.7</f>
        <v>-140.31</v>
      </c>
      <c r="AR508" s="237">
        <f>-38.37-129.2</f>
        <v>-167.57</v>
      </c>
      <c r="AT508" s="237">
        <f>-58.12-145.2</f>
        <v>-203.32</v>
      </c>
      <c r="AV508" s="237">
        <f>-72.5-108.6</f>
        <v>-181.1</v>
      </c>
      <c r="AX508" s="237">
        <f>-43.46-94.2-8.68</f>
        <v>-146.34</v>
      </c>
      <c r="BA508" s="238">
        <f>-52.09-130.53</f>
        <v>-182.62</v>
      </c>
      <c r="BC508" s="237">
        <f>-89.34-87.45</f>
        <v>-176.79000000000002</v>
      </c>
      <c r="BE508" s="237">
        <f>-58.25-128.52</f>
        <v>-186.77</v>
      </c>
      <c r="BG508" s="237">
        <f>-48.97-152.46</f>
        <v>-201.43</v>
      </c>
      <c r="BI508" s="237">
        <f>-76.23-141.6</f>
        <v>-217.82999999999998</v>
      </c>
      <c r="BK508" s="237">
        <f>-63.82-221.13</f>
        <v>-284.95</v>
      </c>
      <c r="BM508" s="237">
        <f>-84.21-181.01</f>
        <v>-265.21999999999997</v>
      </c>
      <c r="BO508" s="237">
        <f>-102.25-110.88</f>
        <v>-213.13</v>
      </c>
      <c r="BQ508" s="237">
        <f>-49.17-205.48</f>
        <v>-254.64999999999998</v>
      </c>
      <c r="BS508" s="237">
        <f>-74.61-173.19</f>
        <v>-247.8</v>
      </c>
      <c r="BU508" s="237">
        <f>-75.43-132.8</f>
        <v>-208.23000000000002</v>
      </c>
      <c r="BW508" s="237">
        <f>-59.78-108.46</f>
        <v>-168.24</v>
      </c>
      <c r="BY508" s="237">
        <f>-59.03-123.5</f>
        <v>-182.53</v>
      </c>
      <c r="CA508" s="237">
        <f>-58.36-117.04</f>
        <v>-175.4</v>
      </c>
      <c r="CC508" s="237">
        <f>-55.35-122.32</f>
        <v>-177.67</v>
      </c>
      <c r="CE508" s="237">
        <f>-50.02-109.2</f>
        <v>-159.22</v>
      </c>
      <c r="CG508" s="237">
        <f>-58.1-148.8</f>
        <v>-206.9</v>
      </c>
      <c r="CI508" s="213">
        <v>-66.89</v>
      </c>
    </row>
    <row r="509" spans="1:89">
      <c r="C509" s="213" t="s">
        <v>8</v>
      </c>
      <c r="AD509" s="299">
        <v>208.04</v>
      </c>
      <c r="AE509" s="322">
        <f>ABS(((AD508+AD509)/AD508))</f>
        <v>0.20122408915064377</v>
      </c>
      <c r="AF509" s="299">
        <v>266.23</v>
      </c>
      <c r="AG509" s="222">
        <f>ABS(((AF508+AF509)/AF508))</f>
        <v>0.29590147975077891</v>
      </c>
      <c r="AH509" s="299">
        <v>236.02</v>
      </c>
      <c r="AI509" s="222">
        <f>ABS(((AH508+AH509)/AH508))</f>
        <v>0.36601458502141454</v>
      </c>
      <c r="AJ509" s="214">
        <v>239.35</v>
      </c>
      <c r="AK509" s="222">
        <f>ABS(((AJ508+AJ509)/AJ508))</f>
        <v>0.35493914520237752</v>
      </c>
      <c r="AL509" s="214">
        <v>333.78</v>
      </c>
      <c r="AM509" s="222">
        <f>ABS(((AL508+AL509)/AL508))</f>
        <v>0.40544865046949347</v>
      </c>
      <c r="AN509" s="214">
        <v>415.74</v>
      </c>
      <c r="AO509" s="222">
        <f>ABS(((AN508+AN509)/AN508))</f>
        <v>1.0815100385520451</v>
      </c>
      <c r="AP509" s="214">
        <v>74.56</v>
      </c>
      <c r="AQ509" s="222">
        <f>ABS(((AP508+AP509)/AP508))</f>
        <v>0.46860523127360842</v>
      </c>
      <c r="AR509" s="214">
        <v>476.01</v>
      </c>
      <c r="AS509" s="222">
        <f>ABS(((AR508+AR509)/AR508))</f>
        <v>1.8406636032702752</v>
      </c>
      <c r="AT509" s="214">
        <v>271.81</v>
      </c>
      <c r="AU509" s="222">
        <f>AT510/AT509</f>
        <v>0.25197748427210187</v>
      </c>
      <c r="AV509" s="214">
        <v>226.03</v>
      </c>
      <c r="AW509" s="222">
        <f>AV510/AV509</f>
        <v>0.19877892315179405</v>
      </c>
      <c r="AX509" s="214">
        <v>89.27</v>
      </c>
      <c r="AY509" s="224">
        <f>AX510/AX509</f>
        <v>-0.63929651618684902</v>
      </c>
      <c r="AZ509" s="225"/>
      <c r="BA509" s="213">
        <v>255.19</v>
      </c>
      <c r="BB509" s="222">
        <f>BA510/BA509</f>
        <v>0.2843763470355421</v>
      </c>
      <c r="BC509" s="214">
        <v>235.4</v>
      </c>
      <c r="BD509" s="222">
        <f>BC510/BC509</f>
        <v>0.24898045879354283</v>
      </c>
      <c r="BE509" s="214">
        <v>326.16000000000003</v>
      </c>
      <c r="BF509" s="222">
        <f>BE510/BE509</f>
        <v>0.42736693647289675</v>
      </c>
      <c r="BG509" s="214">
        <v>278.72000000000003</v>
      </c>
      <c r="BH509" s="222">
        <f>BG510/BG509</f>
        <v>0.27730338691159589</v>
      </c>
      <c r="BI509" s="214">
        <v>320.56</v>
      </c>
      <c r="BJ509" s="222">
        <f>BI510/BI509</f>
        <v>0.32047042675318199</v>
      </c>
      <c r="BK509" s="214">
        <v>426.8</v>
      </c>
      <c r="BL509" s="222">
        <f>BK510/BK509</f>
        <v>0.332357075913777</v>
      </c>
      <c r="BM509" s="214">
        <v>531.02</v>
      </c>
      <c r="BN509" s="222">
        <f>BM510/BM509</f>
        <v>0.50054611879025279</v>
      </c>
      <c r="BO509" s="214">
        <v>140.54</v>
      </c>
      <c r="BP509" s="222">
        <f>BO510/BO509</f>
        <v>-0.51650775579906083</v>
      </c>
      <c r="BQ509" s="214">
        <v>601.54</v>
      </c>
      <c r="BR509" s="222">
        <f>BQ510/BQ509</f>
        <v>0.57666988063969149</v>
      </c>
      <c r="BS509" s="214">
        <v>454.14</v>
      </c>
      <c r="BT509" s="222">
        <f>BS510/BS509</f>
        <v>0.45435328312855061</v>
      </c>
      <c r="BU509" s="214">
        <v>343.72</v>
      </c>
      <c r="BV509" s="222">
        <f>BU510/BU509</f>
        <v>0.39418712905853603</v>
      </c>
      <c r="BW509" s="214">
        <v>154.49</v>
      </c>
      <c r="BX509" s="222">
        <f>BW510/BW509</f>
        <v>-8.9002524435238525E-2</v>
      </c>
      <c r="BY509" s="214">
        <v>325.36</v>
      </c>
      <c r="BZ509" s="222">
        <f>BY510/BY509</f>
        <v>0.43899065650356528</v>
      </c>
      <c r="CA509" s="214">
        <v>322.14999999999998</v>
      </c>
      <c r="CB509" s="222">
        <f>CA510/CA509</f>
        <v>0.45553313673754459</v>
      </c>
      <c r="CC509" s="214">
        <v>481.41</v>
      </c>
      <c r="CD509" s="222">
        <f>CC510/CC509</f>
        <v>0.63093828545314801</v>
      </c>
      <c r="CE509" s="214">
        <v>358.52</v>
      </c>
      <c r="CF509" s="222">
        <f>CE510/CE509</f>
        <v>0.55589646323775521</v>
      </c>
      <c r="CG509" s="214">
        <v>396.01</v>
      </c>
      <c r="CH509" s="222">
        <f>CG510/CG509</f>
        <v>0.47753844599883838</v>
      </c>
      <c r="CI509" s="213">
        <v>479.25</v>
      </c>
      <c r="CK509" s="213">
        <v>593.54</v>
      </c>
    </row>
    <row r="510" spans="1:89">
      <c r="C510" s="213" t="s">
        <v>9</v>
      </c>
      <c r="AD510" s="243">
        <f>AD508+AD509</f>
        <v>34.849999999999994</v>
      </c>
      <c r="AF510" s="243">
        <f>AF508+AF509</f>
        <v>60.79000000000002</v>
      </c>
      <c r="AH510" s="243">
        <f>AH508+AH509</f>
        <v>63.240000000000009</v>
      </c>
      <c r="AJ510" s="243">
        <f>AJ508+AJ509</f>
        <v>62.699999999999989</v>
      </c>
      <c r="AL510" s="243">
        <f>AL508+AL509</f>
        <v>96.289999999999992</v>
      </c>
      <c r="AN510" s="243">
        <f>AN508+AN509</f>
        <v>216.01</v>
      </c>
      <c r="AP510" s="214">
        <f>AP508+AP509</f>
        <v>-65.75</v>
      </c>
      <c r="AR510" s="214">
        <f>AR508+AR509</f>
        <v>308.44</v>
      </c>
      <c r="AT510" s="214">
        <f>AT508+AT509</f>
        <v>68.490000000000009</v>
      </c>
      <c r="AV510" s="214">
        <f>AV508+AV509</f>
        <v>44.930000000000007</v>
      </c>
      <c r="AX510" s="214">
        <f>AX508+AX509</f>
        <v>-57.070000000000007</v>
      </c>
      <c r="BA510" s="214">
        <f>BA508+BA509</f>
        <v>72.569999999999993</v>
      </c>
      <c r="BC510" s="214">
        <f>BC508+BC509</f>
        <v>58.609999999999985</v>
      </c>
      <c r="BE510" s="214">
        <f>BE508+BE509</f>
        <v>139.39000000000001</v>
      </c>
      <c r="BG510" s="214">
        <f>BG508+BG509</f>
        <v>77.29000000000002</v>
      </c>
      <c r="BI510" s="214">
        <f>BI508+BI509</f>
        <v>102.73000000000002</v>
      </c>
      <c r="BK510" s="214">
        <f>BK508+BK509</f>
        <v>141.85000000000002</v>
      </c>
      <c r="BM510" s="214">
        <f>BM508+BM509</f>
        <v>265.8</v>
      </c>
      <c r="BO510" s="214">
        <f>BO508+BO509</f>
        <v>-72.59</v>
      </c>
      <c r="BQ510" s="214">
        <f>BQ508+BQ509</f>
        <v>346.89</v>
      </c>
      <c r="BS510" s="214">
        <f>BS508+BS509</f>
        <v>206.33999999999997</v>
      </c>
      <c r="BU510" s="214">
        <f>BU508+BU509</f>
        <v>135.49</v>
      </c>
      <c r="BW510" s="214">
        <f>BW508+BW509</f>
        <v>-13.75</v>
      </c>
      <c r="BY510" s="214">
        <f>BY508+BY509</f>
        <v>142.83000000000001</v>
      </c>
      <c r="CA510" s="214">
        <f>CA508+CA509</f>
        <v>146.74999999999997</v>
      </c>
      <c r="CC510" s="214">
        <f>CC508+CC509</f>
        <v>303.74</v>
      </c>
      <c r="CE510" s="214">
        <f>CE508+CE509</f>
        <v>199.29999999999998</v>
      </c>
      <c r="CG510" s="214">
        <f>CG508+CG509</f>
        <v>189.10999999999999</v>
      </c>
    </row>
    <row r="511" spans="1:89">
      <c r="A511" s="231">
        <v>150</v>
      </c>
      <c r="B511" s="279">
        <v>536865085</v>
      </c>
      <c r="C511" s="213" t="s">
        <v>189</v>
      </c>
      <c r="AP511" s="214"/>
      <c r="AT511" s="214"/>
    </row>
    <row r="512" spans="1:89">
      <c r="C512" s="253" t="s">
        <v>190</v>
      </c>
      <c r="AD512" s="235">
        <v>45323</v>
      </c>
      <c r="AF512" s="235">
        <v>45352</v>
      </c>
      <c r="AH512" s="235">
        <v>45383</v>
      </c>
      <c r="AJ512" s="235">
        <v>45413</v>
      </c>
      <c r="AL512" s="235">
        <v>45444</v>
      </c>
      <c r="AN512" s="235">
        <v>45474</v>
      </c>
      <c r="AP512" s="235">
        <v>45505</v>
      </c>
      <c r="AR512" s="236">
        <v>45536</v>
      </c>
      <c r="AT512" s="236">
        <v>45566</v>
      </c>
      <c r="AV512" s="235">
        <v>45597</v>
      </c>
      <c r="AX512" s="235">
        <v>45627</v>
      </c>
      <c r="BA512" s="235">
        <v>45658</v>
      </c>
      <c r="BC512" s="235">
        <v>45689</v>
      </c>
      <c r="BE512" s="235">
        <v>45717</v>
      </c>
      <c r="BG512" s="235">
        <v>45748</v>
      </c>
      <c r="BI512" s="235">
        <v>45778</v>
      </c>
      <c r="BK512" s="235">
        <v>45809</v>
      </c>
      <c r="BM512" s="235">
        <v>45839</v>
      </c>
      <c r="BO512" s="235">
        <v>45870</v>
      </c>
      <c r="BQ512" s="235">
        <v>45901</v>
      </c>
      <c r="BS512" s="235">
        <v>45931</v>
      </c>
      <c r="BU512" s="235">
        <v>45962</v>
      </c>
      <c r="BW512" s="235">
        <v>45992</v>
      </c>
      <c r="BY512" s="235">
        <v>46023</v>
      </c>
      <c r="CA512" s="235">
        <v>46054</v>
      </c>
      <c r="CC512" s="235">
        <v>46082</v>
      </c>
      <c r="CE512" s="235">
        <v>46113</v>
      </c>
      <c r="CG512" s="235">
        <v>46143</v>
      </c>
      <c r="CI512" s="341">
        <v>46174</v>
      </c>
    </row>
    <row r="513" spans="1:89">
      <c r="C513" s="213" t="s">
        <v>7</v>
      </c>
      <c r="AD513" s="237">
        <f>-89.19-2.64</f>
        <v>-91.83</v>
      </c>
      <c r="AF513" s="237">
        <f>-34.9-78.1</f>
        <v>-113</v>
      </c>
      <c r="AH513" s="237">
        <f>-24.92-77.51</f>
        <v>-102.43</v>
      </c>
      <c r="AJ513" s="237">
        <f>-26.96-132.66</f>
        <v>-159.62</v>
      </c>
      <c r="AL513" s="237">
        <f>-60.29-166.6</f>
        <v>-226.89</v>
      </c>
      <c r="AN513" s="237">
        <f>-66.76-184.92</f>
        <v>-251.68</v>
      </c>
      <c r="AP513" s="237">
        <f>-72.35-120.12</f>
        <v>-192.47</v>
      </c>
      <c r="AR513" s="237">
        <f>-54.69-122.2</f>
        <v>-176.89</v>
      </c>
      <c r="AT513" s="237">
        <f>-55.08-109.78</f>
        <v>-164.86</v>
      </c>
      <c r="AV513" s="237">
        <f>-54.85-80.8</f>
        <v>-135.65</v>
      </c>
      <c r="AX513" s="237">
        <f>-32.31-88.66-16.83</f>
        <v>-137.80000000000001</v>
      </c>
      <c r="BA513" s="237">
        <f>-67.33-142.31</f>
        <v>-209.64</v>
      </c>
      <c r="BC513" s="237">
        <f>-97.21-78.45</f>
        <v>-175.66</v>
      </c>
      <c r="BE513" s="237">
        <f>-52.38-108.36</f>
        <v>-160.74</v>
      </c>
      <c r="BG513" s="237">
        <f>-41.22-77.88</f>
        <v>-119.1</v>
      </c>
      <c r="BI513" s="237">
        <f>-42.62-40.66</f>
        <v>-83.28</v>
      </c>
      <c r="BK513" s="237">
        <f>-21.44-70.8</f>
        <v>-92.24</v>
      </c>
      <c r="BM513" s="237">
        <f>-31.83-174.9</f>
        <v>-206.73000000000002</v>
      </c>
      <c r="BO513" s="237">
        <f>-103.18-92.52</f>
        <v>-195.7</v>
      </c>
      <c r="BQ513" s="237">
        <f>-41.23-163.02</f>
        <v>-204.25</v>
      </c>
      <c r="BS513" s="237">
        <f>-59.24-119.14</f>
        <v>-178.38</v>
      </c>
      <c r="BU513" s="237">
        <f>-51.87-129.4</f>
        <v>-181.27</v>
      </c>
      <c r="BW513" s="237">
        <f>-58.2-131.34</f>
        <v>-189.54000000000002</v>
      </c>
      <c r="BY513" s="237">
        <f>-71.72-150.48</f>
        <v>-222.2</v>
      </c>
      <c r="CA513" s="237">
        <f>-71.17-111.34</f>
        <v>-182.51</v>
      </c>
      <c r="CC513" s="237">
        <f>-52.76-112.2</f>
        <v>-164.96</v>
      </c>
      <c r="CE513" s="237">
        <f>-45.95-81.9</f>
        <v>-127.85000000000001</v>
      </c>
      <c r="CG513" s="237">
        <f>-42.4-118.8</f>
        <v>-161.19999999999999</v>
      </c>
      <c r="CI513" s="213">
        <v>-47.42</v>
      </c>
    </row>
    <row r="514" spans="1:89">
      <c r="C514" s="213" t="s">
        <v>8</v>
      </c>
      <c r="AD514" s="299">
        <v>120.12</v>
      </c>
      <c r="AF514" s="299">
        <v>140.51</v>
      </c>
      <c r="AG514" s="222">
        <f>ABS(((AF513+AF514)/AF513))</f>
        <v>0.24345132743362824</v>
      </c>
      <c r="AH514" s="214">
        <v>132.09</v>
      </c>
      <c r="AI514" s="222">
        <f>ABS(((AH513+AH514)/AH513))</f>
        <v>0.28956360441276963</v>
      </c>
      <c r="AJ514" s="214">
        <v>204.76</v>
      </c>
      <c r="AK514" s="222">
        <f>ABS(((AJ513+AJ514)/AJ513))</f>
        <v>0.28279664202480881</v>
      </c>
      <c r="AL514" s="214">
        <v>309.12</v>
      </c>
      <c r="AM514" s="222">
        <f>ABS(((AL513+AL514)/AL513))</f>
        <v>0.36242231918550849</v>
      </c>
      <c r="AN514" s="214">
        <v>463.91</v>
      </c>
      <c r="AO514" s="222">
        <f>ABS(((AN513+AN514)/AN513))</f>
        <v>0.84325333757151943</v>
      </c>
      <c r="AP514" s="214">
        <v>65.59</v>
      </c>
      <c r="AQ514" s="222">
        <f>ABS(((AP513+AP514)/AP513))</f>
        <v>0.65921961864186629</v>
      </c>
      <c r="AR514" s="214">
        <v>525.57000000000005</v>
      </c>
      <c r="AS514" s="222">
        <f>ABS(((AR513+AR514)/AR513))</f>
        <v>1.9711685228107869</v>
      </c>
      <c r="AT514" s="214">
        <v>224.26</v>
      </c>
      <c r="AU514" s="222">
        <f>AT515/AT514</f>
        <v>0.26487113172210819</v>
      </c>
      <c r="AV514" s="214">
        <v>161.25</v>
      </c>
      <c r="AW514" s="222">
        <f>AV515/AV514</f>
        <v>0.15875968992248057</v>
      </c>
      <c r="AX514" s="214">
        <v>81.459999999999994</v>
      </c>
      <c r="AY514" s="224">
        <f>AX515/AX514</f>
        <v>-0.69162779278173359</v>
      </c>
      <c r="AZ514" s="225"/>
      <c r="BA514" s="214">
        <v>350.18</v>
      </c>
      <c r="BB514" s="222">
        <f>BA515/BA514</f>
        <v>0.40133645553715236</v>
      </c>
      <c r="BC514" s="214">
        <v>255.5</v>
      </c>
      <c r="BD514" s="222">
        <f>BC515/BC514</f>
        <v>0.31248532289628184</v>
      </c>
      <c r="BE514" s="214">
        <v>220.07</v>
      </c>
      <c r="BF514" s="222">
        <f>BE515/BE514</f>
        <v>0.26959603762439216</v>
      </c>
      <c r="BG514" s="214">
        <v>176.29</v>
      </c>
      <c r="BH514" s="222">
        <f>BG515/BG514</f>
        <v>0.32440864484655962</v>
      </c>
      <c r="BI514" s="214">
        <v>288</v>
      </c>
      <c r="BJ514" s="222">
        <f>BI515/BI514</f>
        <v>0.71083333333333332</v>
      </c>
      <c r="BK514" s="214">
        <v>432.35</v>
      </c>
      <c r="BL514" s="222">
        <f>BK515/BK514</f>
        <v>0.78665433098184345</v>
      </c>
      <c r="BM514" s="214">
        <v>587.39</v>
      </c>
      <c r="BN514" s="222">
        <f>BM515/BM514</f>
        <v>0.6480532525238768</v>
      </c>
      <c r="BO514" s="214">
        <v>124.88</v>
      </c>
      <c r="BP514" s="222">
        <f>BO515/BO514</f>
        <v>-0.56710442024343366</v>
      </c>
      <c r="BQ514" s="214">
        <v>797.72</v>
      </c>
      <c r="BR514" s="222">
        <f>BQ515/BQ514</f>
        <v>0.74395777967206544</v>
      </c>
      <c r="BS514" s="214">
        <v>400.81</v>
      </c>
      <c r="BT514" s="222">
        <f>BS515/BS514</f>
        <v>0.55495122377186201</v>
      </c>
      <c r="BU514" s="214">
        <v>305.83999999999997</v>
      </c>
      <c r="BV514" s="222">
        <f>BU515/BU514</f>
        <v>0.4073044729270206</v>
      </c>
      <c r="BW514" s="214">
        <v>145.78</v>
      </c>
      <c r="BX514" s="222">
        <f>BW515/BW514</f>
        <v>-0.30017835093977241</v>
      </c>
      <c r="BY514" s="214">
        <v>470.99</v>
      </c>
      <c r="BZ514" s="222">
        <f>BY515/BY514</f>
        <v>0.52822777553663558</v>
      </c>
      <c r="CA514" s="214">
        <v>344.75</v>
      </c>
      <c r="CB514" s="222">
        <f>CA515/CA514</f>
        <v>0.47060188542422049</v>
      </c>
      <c r="CC514" s="214">
        <v>419.21</v>
      </c>
      <c r="CD514" s="222">
        <f>CC515/CC514</f>
        <v>0.60649793659502393</v>
      </c>
      <c r="CE514" s="214">
        <v>238.93</v>
      </c>
      <c r="CF514" s="222">
        <f>CE515/CE514</f>
        <v>0.46490603942577324</v>
      </c>
      <c r="CG514" s="214">
        <v>328.48</v>
      </c>
      <c r="CH514" s="222">
        <f>CG515/CG514</f>
        <v>0.50925474914758895</v>
      </c>
      <c r="CI514" s="213">
        <v>515.76</v>
      </c>
      <c r="CK514" s="213">
        <v>634.85</v>
      </c>
    </row>
    <row r="515" spans="1:89">
      <c r="C515" s="213" t="s">
        <v>9</v>
      </c>
      <c r="AD515" s="243">
        <f>AD513+AD514</f>
        <v>28.290000000000006</v>
      </c>
      <c r="AF515" s="243">
        <f>AF513+AF514</f>
        <v>27.509999999999991</v>
      </c>
      <c r="AH515" s="243">
        <f>AH513+AH514</f>
        <v>29.659999999999997</v>
      </c>
      <c r="AJ515" s="243">
        <f>AJ513+AJ514</f>
        <v>45.139999999999986</v>
      </c>
      <c r="AL515" s="243">
        <f>AL513+AL514</f>
        <v>82.230000000000018</v>
      </c>
      <c r="AN515" s="243">
        <f>AN513+AN514</f>
        <v>212.23000000000002</v>
      </c>
      <c r="AP515" s="214">
        <f>AP513+AP514</f>
        <v>-126.88</v>
      </c>
      <c r="AR515" s="214">
        <f>AR513+AR514</f>
        <v>348.68000000000006</v>
      </c>
      <c r="AT515" s="214">
        <f>AT513+AT514</f>
        <v>59.399999999999977</v>
      </c>
      <c r="AV515" s="214">
        <f>AV513+AV514</f>
        <v>25.599999999999994</v>
      </c>
      <c r="AX515" s="214">
        <f>AX513+AX514</f>
        <v>-56.340000000000018</v>
      </c>
      <c r="BA515" s="214">
        <f>BA513+BA514</f>
        <v>140.54000000000002</v>
      </c>
      <c r="BC515" s="214">
        <f>BC513+BC514</f>
        <v>79.84</v>
      </c>
      <c r="BE515" s="214">
        <f>BE513+BE514</f>
        <v>59.329999999999984</v>
      </c>
      <c r="BG515" s="214">
        <f>BG513+BG514</f>
        <v>57.19</v>
      </c>
      <c r="BI515" s="214">
        <f>BI513+BI514</f>
        <v>204.72</v>
      </c>
      <c r="BK515" s="214">
        <f>BK513+BK514</f>
        <v>340.11</v>
      </c>
      <c r="BM515" s="214">
        <f>BM513+BM514</f>
        <v>380.65999999999997</v>
      </c>
      <c r="BO515" s="214">
        <f>BO513+BO514</f>
        <v>-70.819999999999993</v>
      </c>
      <c r="BQ515" s="214">
        <f>BQ513+BQ514</f>
        <v>593.47</v>
      </c>
      <c r="BS515" s="214">
        <f>BS513+BS514</f>
        <v>222.43</v>
      </c>
      <c r="BU515" s="214">
        <f>BU513+BU514</f>
        <v>124.56999999999996</v>
      </c>
      <c r="BW515" s="214">
        <f>BW513+BW514</f>
        <v>-43.760000000000019</v>
      </c>
      <c r="BY515" s="214">
        <f>BY513+BY514</f>
        <v>248.79000000000002</v>
      </c>
      <c r="CA515" s="214">
        <f>CA513+CA514</f>
        <v>162.24</v>
      </c>
      <c r="CC515" s="214">
        <f>CC513+CC514</f>
        <v>254.24999999999997</v>
      </c>
      <c r="CE515" s="214">
        <f>CE513+CE514</f>
        <v>111.08</v>
      </c>
      <c r="CG515" s="214">
        <f>CG513+CG514</f>
        <v>167.28000000000003</v>
      </c>
    </row>
    <row r="516" spans="1:89">
      <c r="A516" s="231">
        <v>151</v>
      </c>
      <c r="B516" s="279">
        <v>268431048</v>
      </c>
      <c r="C516" s="213" t="s">
        <v>191</v>
      </c>
      <c r="AP516" s="214"/>
      <c r="AT516" s="214"/>
    </row>
    <row r="517" spans="1:89">
      <c r="C517" s="253" t="s">
        <v>192</v>
      </c>
      <c r="AD517" s="235">
        <v>45323</v>
      </c>
      <c r="AF517" s="235">
        <v>45352</v>
      </c>
      <c r="AH517" s="235">
        <v>45383</v>
      </c>
      <c r="AJ517" s="235">
        <v>45413</v>
      </c>
      <c r="AL517" s="235">
        <v>45444</v>
      </c>
      <c r="AN517" s="235">
        <v>45474</v>
      </c>
      <c r="AP517" s="235">
        <v>45505</v>
      </c>
      <c r="AR517" s="236">
        <v>45536</v>
      </c>
      <c r="AT517" s="236">
        <v>45566</v>
      </c>
      <c r="AV517" s="235">
        <v>45597</v>
      </c>
      <c r="AX517" s="235">
        <v>45627</v>
      </c>
      <c r="BA517" s="235">
        <v>45658</v>
      </c>
      <c r="BC517" s="235">
        <v>45689</v>
      </c>
      <c r="BE517" s="235">
        <v>45717</v>
      </c>
      <c r="BG517" s="235">
        <v>45748</v>
      </c>
      <c r="BI517" s="235">
        <v>45778</v>
      </c>
      <c r="BK517" s="235">
        <v>45809</v>
      </c>
      <c r="BM517" s="235">
        <v>45839</v>
      </c>
      <c r="BO517" s="235">
        <v>45870</v>
      </c>
      <c r="BQ517" s="235">
        <v>45901</v>
      </c>
      <c r="BS517" s="235">
        <v>45931</v>
      </c>
      <c r="BU517" s="235">
        <v>45962</v>
      </c>
      <c r="BW517" s="235">
        <v>45992</v>
      </c>
      <c r="BY517" s="235">
        <v>46023</v>
      </c>
      <c r="CA517" s="235">
        <v>46054</v>
      </c>
      <c r="CC517" s="235">
        <v>46082</v>
      </c>
      <c r="CE517" s="235">
        <v>46113</v>
      </c>
      <c r="CG517" s="235">
        <v>46143</v>
      </c>
      <c r="CI517" s="341">
        <v>46174</v>
      </c>
    </row>
    <row r="518" spans="1:89">
      <c r="C518" s="213" t="s">
        <v>7</v>
      </c>
      <c r="AD518" s="237">
        <v>-81.2</v>
      </c>
      <c r="AF518" s="237">
        <f>-40.7-85.58</f>
        <v>-126.28</v>
      </c>
      <c r="AH518" s="237">
        <f>-27.27-87.86</f>
        <v>-115.13</v>
      </c>
      <c r="AJ518" s="237">
        <f>-30.53-116.84</f>
        <v>-147.37</v>
      </c>
      <c r="AL518" s="237">
        <f>-45.75-142.17</f>
        <v>-187.92</v>
      </c>
      <c r="AN518" s="237">
        <f>-47.39-144.9</f>
        <v>-192.29000000000002</v>
      </c>
      <c r="AP518" s="237">
        <f>-57.01-75.21</f>
        <v>-132.22</v>
      </c>
      <c r="AR518" s="237">
        <f>-29.31-157.29</f>
        <v>-186.6</v>
      </c>
      <c r="AT518" s="237">
        <f>-59.92-126.27</f>
        <v>-186.19</v>
      </c>
      <c r="AV518" s="237">
        <f>-60.47-86.8</f>
        <v>-147.26999999999998</v>
      </c>
      <c r="AX518" s="237">
        <f>-39.1-75.46</f>
        <v>-114.56</v>
      </c>
      <c r="BA518" s="237">
        <f>-37.87-107.8</f>
        <v>-145.66999999999999</v>
      </c>
      <c r="BC518" s="237">
        <f>-64.65-60</f>
        <v>-124.65</v>
      </c>
      <c r="BE518" s="237">
        <f>-40.07-73.08</f>
        <v>-113.15</v>
      </c>
      <c r="BG518" s="237">
        <f>-27.97-94.07</f>
        <v>-122.03999999999999</v>
      </c>
      <c r="BI518" s="237">
        <f>BW520-41.04-65.99-72.05</f>
        <v>-67.789999999999992</v>
      </c>
      <c r="BK518" s="237">
        <f>-58.97-203.28</f>
        <v>-262.25</v>
      </c>
      <c r="BM518" s="237">
        <f>-50.84-118.8</f>
        <v>-169.64</v>
      </c>
      <c r="BO518" s="237">
        <f>-70.26-79.92</f>
        <v>-150.18</v>
      </c>
      <c r="BQ518" s="237">
        <f>-35.39-166.76</f>
        <v>-202.14999999999998</v>
      </c>
      <c r="BS518" s="237">
        <f>-60.54-129.95</f>
        <v>-190.48999999999998</v>
      </c>
      <c r="BU518" s="237">
        <f>-56.43-85.8</f>
        <v>-142.22999999999999</v>
      </c>
      <c r="BW518" s="237">
        <f>-38.64-77.22</f>
        <v>-115.86</v>
      </c>
      <c r="BY518" s="237">
        <f>-42.18-96.71</f>
        <v>-138.88999999999999</v>
      </c>
      <c r="CA518" s="237">
        <f>-45.89-68.02</f>
        <v>-113.91</v>
      </c>
      <c r="CC518" s="237">
        <f>-32.17-85.36</f>
        <v>-117.53</v>
      </c>
      <c r="CE518" s="237">
        <f>-35.05-76.02</f>
        <v>-111.07</v>
      </c>
      <c r="CG518" s="237">
        <f>-43.33-96.9</f>
        <v>-140.23000000000002</v>
      </c>
      <c r="CI518" s="213">
        <v>-40.83</v>
      </c>
    </row>
    <row r="519" spans="1:89">
      <c r="C519" s="213" t="s">
        <v>8</v>
      </c>
      <c r="AD519" s="299">
        <v>117.65</v>
      </c>
      <c r="AE519" s="222">
        <f>ABS(((AD518+AD519)/AD518))</f>
        <v>0.44889162561576357</v>
      </c>
      <c r="AF519" s="299">
        <v>154.94999999999999</v>
      </c>
      <c r="AG519" s="222">
        <f>ABS(((AF518+AF519)/AF518))</f>
        <v>0.22703515996198914</v>
      </c>
      <c r="AH519" s="214">
        <v>157.63</v>
      </c>
      <c r="AI519" s="222">
        <f>ABS(((AH518+AH519)/AH518))</f>
        <v>0.36914791974289934</v>
      </c>
      <c r="AJ519" s="214">
        <v>172.84</v>
      </c>
      <c r="AK519" s="222">
        <f>ABS(((AJ518+AJ519)/AJ518))</f>
        <v>0.17283029110402387</v>
      </c>
      <c r="AL519" s="214">
        <v>241.74</v>
      </c>
      <c r="AM519" s="222">
        <f>ABS(((AL518+AL519)/AL518))</f>
        <v>0.28639846743295033</v>
      </c>
      <c r="AN519" s="214">
        <v>344.55</v>
      </c>
      <c r="AO519" s="222">
        <f>ABS(((AN518+AN519)/AN518))</f>
        <v>0.79182484788600538</v>
      </c>
      <c r="AP519" s="214">
        <v>83.72</v>
      </c>
      <c r="AQ519" s="222">
        <f>ABS(((AP518+AP519)/AP518))</f>
        <v>0.3668128876115565</v>
      </c>
      <c r="AR519" s="214">
        <v>305.8</v>
      </c>
      <c r="AS519" s="222">
        <f>ABS(((AR518+AR519)/AR518))</f>
        <v>0.63879957127545561</v>
      </c>
      <c r="AT519" s="214">
        <v>236.32</v>
      </c>
      <c r="AU519" s="222">
        <f>AT520/AT519</f>
        <v>0.21212762356127285</v>
      </c>
      <c r="AV519" s="214">
        <v>150.05000000000001</v>
      </c>
      <c r="AW519" s="222">
        <f>AV520/AV519</f>
        <v>1.852715761412882E-2</v>
      </c>
      <c r="AX519" s="214">
        <v>147.38</v>
      </c>
      <c r="AY519" s="224">
        <f>AX520/AX519</f>
        <v>0.22268964581354317</v>
      </c>
      <c r="AZ519" s="225"/>
      <c r="BA519" s="214">
        <v>309.83</v>
      </c>
      <c r="BB519" s="222">
        <f>BA520/BA519</f>
        <v>0.52983894393699771</v>
      </c>
      <c r="BC519" s="214">
        <v>179.89</v>
      </c>
      <c r="BD519" s="222">
        <f>BC520/BC519</f>
        <v>0.30707654677858681</v>
      </c>
      <c r="BE519" s="214">
        <v>215.54</v>
      </c>
      <c r="BF519" s="222">
        <f>BE520/BE519</f>
        <v>0.47503943583557573</v>
      </c>
      <c r="BG519" s="214">
        <v>160.25</v>
      </c>
      <c r="BH519" s="222">
        <f>BG520/BG519</f>
        <v>0.23843993759750395</v>
      </c>
      <c r="BI519" s="214">
        <v>260.51</v>
      </c>
      <c r="BJ519" s="222">
        <f>BI520/BI519</f>
        <v>0.73977966296879205</v>
      </c>
      <c r="BK519" s="214">
        <v>306.43</v>
      </c>
      <c r="BL519" s="222">
        <f>BK520/BK519</f>
        <v>0.14417648402571551</v>
      </c>
      <c r="BM519" s="214">
        <v>426.14</v>
      </c>
      <c r="BN519" s="222">
        <f>BM520/BM519</f>
        <v>0.60191486365983016</v>
      </c>
      <c r="BO519" s="214">
        <v>159.78</v>
      </c>
      <c r="BP519" s="222">
        <f>BO520/BO519</f>
        <v>6.0082613593691291E-2</v>
      </c>
      <c r="BQ519" s="214">
        <v>400.29</v>
      </c>
      <c r="BR519" s="222">
        <f>BQ520/BQ519</f>
        <v>0.49499113142971352</v>
      </c>
      <c r="BS519" s="214">
        <v>367.06</v>
      </c>
      <c r="BT519" s="222">
        <f>BS520/BS519</f>
        <v>0.48103852231242855</v>
      </c>
      <c r="BU519" s="214">
        <v>251.63</v>
      </c>
      <c r="BV519" s="222">
        <f>BU520/BU519</f>
        <v>0.43476533004808648</v>
      </c>
      <c r="BW519" s="214">
        <v>227.15</v>
      </c>
      <c r="BX519" s="222">
        <f>BW520/BW519</f>
        <v>0.48994056790666962</v>
      </c>
      <c r="BY519" s="214">
        <v>407.51</v>
      </c>
      <c r="BZ519" s="222">
        <f>BY520/BY519</f>
        <v>0.65917400799980375</v>
      </c>
      <c r="CA519" s="214">
        <v>226.04</v>
      </c>
      <c r="CB519" s="222">
        <f>CA520/CA519</f>
        <v>0.49606264377986198</v>
      </c>
      <c r="CC519" s="214">
        <v>284.44</v>
      </c>
      <c r="CD519" s="222">
        <f>CC520/CC519</f>
        <v>0.58680213753339894</v>
      </c>
      <c r="CE519" s="214">
        <v>223.33</v>
      </c>
      <c r="CF519" s="222">
        <f>CE520/CE519</f>
        <v>0.50266421886893842</v>
      </c>
      <c r="CG519" s="214">
        <v>331</v>
      </c>
      <c r="CH519" s="222">
        <f>CG520/CG519</f>
        <v>0.57634441087613286</v>
      </c>
      <c r="CI519" s="213">
        <v>412.34</v>
      </c>
      <c r="CK519" s="213">
        <v>495.89</v>
      </c>
    </row>
    <row r="520" spans="1:89">
      <c r="C520" s="213" t="s">
        <v>9</v>
      </c>
      <c r="AD520" s="243">
        <f>AD518+AD519</f>
        <v>36.450000000000003</v>
      </c>
      <c r="AF520" s="243">
        <f>AF518+AF519</f>
        <v>28.669999999999987</v>
      </c>
      <c r="AH520" s="243">
        <f>AH518+AH519</f>
        <v>42.5</v>
      </c>
      <c r="AJ520" s="243">
        <f>AJ518+AJ519</f>
        <v>25.47</v>
      </c>
      <c r="AL520" s="243">
        <f>AL518+AL519</f>
        <v>53.820000000000022</v>
      </c>
      <c r="AN520" s="243">
        <f>AN518+AN519</f>
        <v>152.26</v>
      </c>
      <c r="AP520" s="214">
        <f>AP518+AP519</f>
        <v>-48.5</v>
      </c>
      <c r="AR520" s="214">
        <f>AR518+AR519</f>
        <v>119.20000000000002</v>
      </c>
      <c r="AT520" s="214">
        <f>AT518+AT519</f>
        <v>50.129999999999995</v>
      </c>
      <c r="AV520" s="214">
        <f>AV518+AV519</f>
        <v>2.7800000000000296</v>
      </c>
      <c r="AX520" s="214">
        <f>AX518+AX519</f>
        <v>32.819999999999993</v>
      </c>
      <c r="BA520" s="214">
        <f>BA518+BA519</f>
        <v>164.16</v>
      </c>
      <c r="BC520" s="214">
        <f>BC518+BC519</f>
        <v>55.239999999999981</v>
      </c>
      <c r="BE520" s="214">
        <f>BE518+BE519</f>
        <v>102.38999999999999</v>
      </c>
      <c r="BG520" s="214">
        <f>BG518+BG519</f>
        <v>38.210000000000008</v>
      </c>
      <c r="BI520" s="214">
        <f>BI518+BI519</f>
        <v>192.72</v>
      </c>
      <c r="BK520" s="214">
        <f>BK518+BK519</f>
        <v>44.180000000000007</v>
      </c>
      <c r="BM520" s="214">
        <f>BM518+BM519</f>
        <v>256.5</v>
      </c>
      <c r="BO520" s="214">
        <f>BO518+BO519</f>
        <v>9.5999999999999943</v>
      </c>
      <c r="BQ520" s="214">
        <f>BQ518+BQ519</f>
        <v>198.14000000000004</v>
      </c>
      <c r="BS520" s="214">
        <f>BS518+BS519</f>
        <v>176.57000000000002</v>
      </c>
      <c r="BU520" s="214">
        <f>BU518+BU519</f>
        <v>109.4</v>
      </c>
      <c r="BW520" s="214">
        <f>BW518+BW519</f>
        <v>111.29</v>
      </c>
      <c r="BY520" s="214">
        <f>BY518+BY519</f>
        <v>268.62</v>
      </c>
      <c r="CA520" s="214">
        <f>CA518+CA519</f>
        <v>112.13</v>
      </c>
      <c r="CC520" s="214">
        <f>CC518+CC519</f>
        <v>166.91</v>
      </c>
      <c r="CE520" s="214">
        <f>CE518+CE519</f>
        <v>112.26000000000002</v>
      </c>
      <c r="CG520" s="214">
        <f>CG518+CG519</f>
        <v>190.76999999999998</v>
      </c>
    </row>
    <row r="521" spans="1:89">
      <c r="A521" s="231">
        <v>152</v>
      </c>
      <c r="B521" s="279">
        <v>268432156</v>
      </c>
      <c r="C521" s="213" t="s">
        <v>193</v>
      </c>
      <c r="AP521" s="214"/>
      <c r="AT521" s="214"/>
    </row>
    <row r="522" spans="1:89">
      <c r="C522" s="253" t="s">
        <v>194</v>
      </c>
      <c r="AD522" s="235">
        <v>45323</v>
      </c>
      <c r="AF522" s="235">
        <v>45352</v>
      </c>
      <c r="AH522" s="235">
        <v>45383</v>
      </c>
      <c r="AJ522" s="235">
        <v>45413</v>
      </c>
      <c r="AL522" s="235">
        <v>45444</v>
      </c>
      <c r="AN522" s="235">
        <v>45474</v>
      </c>
      <c r="AP522" s="235">
        <v>45505</v>
      </c>
      <c r="AR522" s="236">
        <v>45536</v>
      </c>
      <c r="AT522" s="236">
        <v>45566</v>
      </c>
      <c r="AV522" s="235">
        <v>45597</v>
      </c>
      <c r="AX522" s="235">
        <v>45627</v>
      </c>
      <c r="BA522" s="235">
        <v>45658</v>
      </c>
      <c r="BC522" s="235">
        <v>45689</v>
      </c>
      <c r="BE522" s="235">
        <v>45717</v>
      </c>
      <c r="BG522" s="235">
        <v>45748</v>
      </c>
      <c r="BI522" s="235">
        <v>45778</v>
      </c>
      <c r="BK522" s="235">
        <v>45809</v>
      </c>
      <c r="BM522" s="235">
        <v>45839</v>
      </c>
      <c r="BO522" s="235">
        <v>45870</v>
      </c>
      <c r="BQ522" s="235">
        <v>45901</v>
      </c>
      <c r="BS522" s="235">
        <v>45931</v>
      </c>
      <c r="BU522" s="235">
        <v>45962</v>
      </c>
      <c r="BW522" s="235">
        <v>45992</v>
      </c>
      <c r="BY522" s="235">
        <v>46023</v>
      </c>
      <c r="CA522" s="235">
        <v>46054</v>
      </c>
      <c r="CC522" s="235">
        <v>46082</v>
      </c>
      <c r="CE522" s="235">
        <v>46113</v>
      </c>
      <c r="CG522" s="235">
        <v>46143</v>
      </c>
      <c r="CI522" s="341">
        <v>46174</v>
      </c>
    </row>
    <row r="523" spans="1:89">
      <c r="C523" s="213" t="s">
        <v>7</v>
      </c>
      <c r="AD523" s="237">
        <v>-99.32</v>
      </c>
      <c r="AE523" s="299"/>
      <c r="AF523" s="237">
        <f>-38.46-79.4</f>
        <v>-117.86000000000001</v>
      </c>
      <c r="AH523" s="237">
        <f>-31.79-73.7</f>
        <v>-105.49000000000001</v>
      </c>
      <c r="AJ523" s="237">
        <f>-177.45-30.02</f>
        <v>-207.47</v>
      </c>
      <c r="AL523" s="237">
        <f>-84.49-280.6</f>
        <v>-365.09000000000003</v>
      </c>
      <c r="AN523" s="237">
        <f>-112.19-247.02</f>
        <v>-359.21000000000004</v>
      </c>
      <c r="AP523" s="237">
        <f>-86.06-86.68</f>
        <v>-172.74</v>
      </c>
      <c r="AR523" s="237">
        <f>-39.3-183.2</f>
        <v>-222.5</v>
      </c>
      <c r="AT523" s="237">
        <f>-82.34-139.38</f>
        <v>-221.72</v>
      </c>
      <c r="AV523" s="237">
        <f>-117.8-66.71</f>
        <v>-184.51</v>
      </c>
      <c r="AX523" s="237">
        <f>-61.98-116.97</f>
        <v>-178.95</v>
      </c>
      <c r="BA523" s="237">
        <f>-66.9-95</f>
        <v>-161.9</v>
      </c>
      <c r="BC523" s="237">
        <f>-64.93-50.4</f>
        <v>-115.33000000000001</v>
      </c>
      <c r="BE523" s="237">
        <f>-33.62-80.01</f>
        <v>-113.63</v>
      </c>
      <c r="BG523" s="237">
        <f>-30.51-104.06</f>
        <v>-134.57</v>
      </c>
      <c r="BI523" s="237">
        <f>-51.96-178</f>
        <v>-229.96</v>
      </c>
      <c r="BK523" s="237">
        <f>-80.21-265.65</f>
        <v>-345.85999999999996</v>
      </c>
      <c r="BM523" s="237">
        <f>-113.96-164.34</f>
        <v>-278.3</v>
      </c>
      <c r="BO523" s="237">
        <f>-97.12-79.56</f>
        <v>-176.68</v>
      </c>
      <c r="BQ523" s="237">
        <f>-35.33-164.12</f>
        <v>-199.45</v>
      </c>
      <c r="BS523" s="237">
        <f>-59.69-119.37</f>
        <v>-179.06</v>
      </c>
      <c r="BU523" s="237">
        <f>-52.01-84.4</f>
        <v>-136.41</v>
      </c>
      <c r="BW523" s="237">
        <f>-37.85-69.3</f>
        <v>-107.15</v>
      </c>
      <c r="BY523" s="237">
        <f>-37.81-76.38</f>
        <v>-114.19</v>
      </c>
      <c r="CA523" s="237">
        <f>-36.14-70.11</f>
        <v>-106.25</v>
      </c>
      <c r="CC523" s="237">
        <f>-33.09-79.2</f>
        <v>-112.29</v>
      </c>
      <c r="CE523" s="237">
        <f>-32.37-84</f>
        <v>-116.37</v>
      </c>
      <c r="CG523" s="237">
        <f>-47.15-130.72</f>
        <v>-177.87</v>
      </c>
      <c r="CI523" s="213">
        <v>-55.06</v>
      </c>
    </row>
    <row r="524" spans="1:89">
      <c r="C524" s="213" t="s">
        <v>8</v>
      </c>
      <c r="AD524" s="299">
        <v>131.97</v>
      </c>
      <c r="AE524" s="322">
        <f>ABS(((AD523+AD524)/AD523))</f>
        <v>0.32873540072492963</v>
      </c>
      <c r="AF524" s="299">
        <v>175.7</v>
      </c>
      <c r="AG524" s="322">
        <f>ABS(((AF523+AF524)/AF523))</f>
        <v>0.49075173935177302</v>
      </c>
      <c r="AH524" s="214">
        <v>140.38</v>
      </c>
      <c r="AI524" s="222">
        <f>ABS(((AH523+AH524)/AH523))</f>
        <v>0.3307422504502795</v>
      </c>
      <c r="AJ524" s="214">
        <v>249.77</v>
      </c>
      <c r="AK524" s="222">
        <f>ABS(((AJ523+AJ524)/AJ523))</f>
        <v>0.20388489902154533</v>
      </c>
      <c r="AL524" s="214">
        <v>563.55999999999995</v>
      </c>
      <c r="AM524" s="222">
        <f>ABS(((AL523+AL524)/AL523))</f>
        <v>0.54361938152236411</v>
      </c>
      <c r="AN524" s="214">
        <v>613.44000000000005</v>
      </c>
      <c r="AO524" s="222">
        <f>ABS(((AN523+AN524)/AN523))</f>
        <v>0.70774755713927784</v>
      </c>
      <c r="AP524" s="214">
        <v>129.15</v>
      </c>
      <c r="AQ524" s="222">
        <f>ABS(((AP523+AP524)/AP523))</f>
        <v>0.25234456408475164</v>
      </c>
      <c r="AR524" s="214">
        <v>414.66</v>
      </c>
      <c r="AS524" s="222">
        <f>ABS(((AR523+AR524)/AR523))</f>
        <v>0.8636404494382024</v>
      </c>
      <c r="AT524" s="214">
        <v>321.32</v>
      </c>
      <c r="AU524" s="222">
        <f>AT525/AT524</f>
        <v>0.30997136810656045</v>
      </c>
      <c r="AV524" s="214">
        <v>157.29</v>
      </c>
      <c r="AW524" s="222">
        <f>AV525/AV524</f>
        <v>-0.17305613834318775</v>
      </c>
      <c r="AX524" s="214">
        <v>288.94</v>
      </c>
      <c r="AY524" s="224">
        <f>AX525/AX524</f>
        <v>0.38066726656053163</v>
      </c>
      <c r="AZ524" s="225"/>
      <c r="BA524" s="214">
        <v>324.99</v>
      </c>
      <c r="BB524" s="222">
        <f>BA525/BA524</f>
        <v>0.50183082556386349</v>
      </c>
      <c r="BC524" s="214">
        <v>146.44999999999999</v>
      </c>
      <c r="BD524" s="222">
        <f>BC525/BC524</f>
        <v>0.21249573233185373</v>
      </c>
      <c r="BE524" s="214">
        <v>188.09</v>
      </c>
      <c r="BF524" s="222">
        <f>BE525/BE524</f>
        <v>0.39587431548726676</v>
      </c>
      <c r="BG524" s="214">
        <v>222.69</v>
      </c>
      <c r="BH524" s="222">
        <f>BG525/BG524</f>
        <v>0.39570703668777224</v>
      </c>
      <c r="BI524" s="214">
        <v>265</v>
      </c>
      <c r="BJ524" s="222">
        <f>BI525/BI524</f>
        <v>0.13222641509433961</v>
      </c>
      <c r="BK524" s="214">
        <v>707.43</v>
      </c>
      <c r="BL524" s="222">
        <f>BK525/BK524</f>
        <v>0.51110357208487056</v>
      </c>
      <c r="BM524" s="214">
        <v>751.55</v>
      </c>
      <c r="BN524" s="222">
        <f>BM525/BM524</f>
        <v>0.62969862284611799</v>
      </c>
      <c r="BO524" s="214">
        <v>197.77</v>
      </c>
      <c r="BP524" s="222">
        <f>BO525/BO524</f>
        <v>0.10663902513020176</v>
      </c>
      <c r="BQ524" s="214">
        <v>463.8</v>
      </c>
      <c r="BR524" s="222">
        <f>BQ525/BQ524</f>
        <v>0.56996550237171195</v>
      </c>
      <c r="BS524" s="214">
        <v>459</v>
      </c>
      <c r="BT524" s="222">
        <f>BS525/BS524</f>
        <v>0.60989106753812639</v>
      </c>
      <c r="BU524" s="214">
        <v>314.14999999999998</v>
      </c>
      <c r="BV524" s="222">
        <f>BU525/BU524</f>
        <v>0.56578067802005405</v>
      </c>
      <c r="BW524" s="214">
        <v>396.96</v>
      </c>
      <c r="BX524" s="222">
        <f>BW525/BW524</f>
        <v>0.73007355904877058</v>
      </c>
      <c r="BY524" s="214">
        <v>445.36</v>
      </c>
      <c r="BZ524" s="222">
        <f>BY525/BY524</f>
        <v>0.7436006825938567</v>
      </c>
      <c r="CA524" s="214">
        <v>203.21</v>
      </c>
      <c r="CB524" s="222">
        <f>CA525/CA524</f>
        <v>0.47714187293932386</v>
      </c>
      <c r="CC524" s="214">
        <v>257.18</v>
      </c>
      <c r="CD524" s="222">
        <f>CC525/CC524</f>
        <v>0.56337973403841657</v>
      </c>
      <c r="CE524" s="214">
        <v>326.22000000000003</v>
      </c>
      <c r="CF524" s="222">
        <f>CE525/CE524</f>
        <v>0.64327754276255289</v>
      </c>
      <c r="CG524" s="214">
        <v>326.05</v>
      </c>
      <c r="CH524" s="222">
        <f>CG525/CG524</f>
        <v>0.45447017328630579</v>
      </c>
      <c r="CI524" s="213">
        <v>831.09</v>
      </c>
      <c r="CK524" s="213">
        <v>810.62</v>
      </c>
    </row>
    <row r="525" spans="1:89">
      <c r="C525" s="213" t="s">
        <v>9</v>
      </c>
      <c r="AD525" s="243">
        <f>AD523+AD524</f>
        <v>32.650000000000006</v>
      </c>
      <c r="AE525" s="299"/>
      <c r="AF525" s="243">
        <f>AF523+AF524</f>
        <v>57.839999999999975</v>
      </c>
      <c r="AH525" s="243">
        <f>AH523+AH524</f>
        <v>34.889999999999986</v>
      </c>
      <c r="AJ525" s="243">
        <f>AJ523+AJ524</f>
        <v>42.300000000000011</v>
      </c>
      <c r="AL525" s="243">
        <f>AL523+AL524</f>
        <v>198.46999999999991</v>
      </c>
      <c r="AN525" s="243">
        <f>AN523+AN524</f>
        <v>254.23000000000002</v>
      </c>
      <c r="AP525" s="214">
        <f>AP523+AP524</f>
        <v>-43.59</v>
      </c>
      <c r="AR525" s="214">
        <f>AR523+AR524</f>
        <v>192.16000000000003</v>
      </c>
      <c r="AT525" s="214">
        <f>AT523+AT524</f>
        <v>99.6</v>
      </c>
      <c r="AV525" s="214">
        <f>AV523+AV524</f>
        <v>-27.22</v>
      </c>
      <c r="AX525" s="214">
        <f>AX523+AX524</f>
        <v>109.99000000000001</v>
      </c>
      <c r="BA525" s="214">
        <f>BA523+BA524</f>
        <v>163.09</v>
      </c>
      <c r="BC525" s="214">
        <f>BC523+BC524</f>
        <v>31.119999999999976</v>
      </c>
      <c r="BE525" s="214">
        <f>BE523+BE524</f>
        <v>74.460000000000008</v>
      </c>
      <c r="BG525" s="214">
        <f>BG523+BG524</f>
        <v>88.12</v>
      </c>
      <c r="BI525" s="214">
        <f>BI523+BI524</f>
        <v>35.039999999999992</v>
      </c>
      <c r="BK525" s="214">
        <f>BK523+BK524</f>
        <v>361.57</v>
      </c>
      <c r="BM525" s="214">
        <f>BM523+BM524</f>
        <v>473.24999999999994</v>
      </c>
      <c r="BO525" s="214">
        <f>BO523+BO524</f>
        <v>21.090000000000003</v>
      </c>
      <c r="BQ525" s="214">
        <f>BQ523+BQ524</f>
        <v>264.35000000000002</v>
      </c>
      <c r="BS525" s="214">
        <f>BS523+BS524</f>
        <v>279.94</v>
      </c>
      <c r="BU525" s="214">
        <f>BU523+BU524</f>
        <v>177.73999999999998</v>
      </c>
      <c r="BW525" s="214">
        <f>BW523+BW524</f>
        <v>289.80999999999995</v>
      </c>
      <c r="BY525" s="214">
        <f>BY523+BY524</f>
        <v>331.17</v>
      </c>
      <c r="CA525" s="214">
        <f>CA523+CA524</f>
        <v>96.960000000000008</v>
      </c>
      <c r="CC525" s="214">
        <f>CC523+CC524</f>
        <v>144.88999999999999</v>
      </c>
      <c r="CE525" s="214">
        <f>CE523+CE524</f>
        <v>209.85000000000002</v>
      </c>
      <c r="CG525" s="214">
        <f>CG523+CG524</f>
        <v>148.18</v>
      </c>
    </row>
    <row r="526" spans="1:89">
      <c r="A526" s="231">
        <v>153</v>
      </c>
      <c r="B526" s="279">
        <v>268432028</v>
      </c>
      <c r="C526" s="213" t="s">
        <v>195</v>
      </c>
      <c r="AD526" s="299"/>
      <c r="AE526" s="299"/>
      <c r="AF526" s="299"/>
      <c r="AP526" s="214"/>
      <c r="AT526" s="214"/>
    </row>
    <row r="527" spans="1:89">
      <c r="C527" s="253" t="s">
        <v>196</v>
      </c>
      <c r="AD527" s="235">
        <v>45323</v>
      </c>
      <c r="AF527" s="235">
        <v>45352</v>
      </c>
      <c r="AH527" s="235">
        <v>45383</v>
      </c>
      <c r="AJ527" s="235">
        <v>45413</v>
      </c>
      <c r="AL527" s="235">
        <v>45444</v>
      </c>
      <c r="AN527" s="235">
        <v>45474</v>
      </c>
      <c r="AP527" s="235">
        <v>45505</v>
      </c>
      <c r="AR527" s="236">
        <v>45536</v>
      </c>
      <c r="AT527" s="236">
        <v>45566</v>
      </c>
      <c r="AV527" s="235">
        <v>45597</v>
      </c>
      <c r="AX527" s="235">
        <v>45627</v>
      </c>
      <c r="BA527" s="235">
        <v>45658</v>
      </c>
      <c r="BC527" s="235">
        <v>45689</v>
      </c>
      <c r="BE527" s="235">
        <v>45717</v>
      </c>
      <c r="BG527" s="235">
        <v>45748</v>
      </c>
      <c r="BI527" s="235">
        <v>45778</v>
      </c>
      <c r="BK527" s="235">
        <v>45809</v>
      </c>
      <c r="BM527" s="235">
        <v>45839</v>
      </c>
      <c r="BO527" s="235">
        <v>45870</v>
      </c>
      <c r="BQ527" s="235">
        <v>45901</v>
      </c>
      <c r="BS527" s="235">
        <v>45931</v>
      </c>
      <c r="BU527" s="235">
        <v>45962</v>
      </c>
      <c r="BW527" s="235">
        <v>45992</v>
      </c>
      <c r="BY527" s="235">
        <v>46023</v>
      </c>
      <c r="CA527" s="235">
        <v>46054</v>
      </c>
      <c r="CC527" s="235">
        <v>46082</v>
      </c>
      <c r="CE527" s="235">
        <v>46113</v>
      </c>
      <c r="CG527" s="235">
        <v>46143</v>
      </c>
      <c r="CI527" s="341">
        <v>46174</v>
      </c>
    </row>
    <row r="528" spans="1:89">
      <c r="C528" s="213" t="s">
        <v>7</v>
      </c>
      <c r="AD528" s="237">
        <v>-85</v>
      </c>
      <c r="AE528" s="299"/>
      <c r="AF528" s="237">
        <f>-33.85-59</f>
        <v>-92.85</v>
      </c>
      <c r="AH528" s="237">
        <f>-23.44-67.43</f>
        <v>-90.87</v>
      </c>
      <c r="AJ528" s="237">
        <f>-165.9-27.58</f>
        <v>-193.48000000000002</v>
      </c>
      <c r="AL528" s="237">
        <f>-79.11-192.4</f>
        <v>-271.51</v>
      </c>
      <c r="AN528" s="237">
        <f>-76.97-219.65</f>
        <v>-296.62</v>
      </c>
      <c r="AP528" s="237">
        <f>-76.53-82.8</f>
        <v>-159.32999999999998</v>
      </c>
      <c r="AR528" s="237">
        <f>-32.45-170.4</f>
        <v>-202.85000000000002</v>
      </c>
      <c r="AT528" s="237">
        <f>-76.54-105.21</f>
        <v>-181.75</v>
      </c>
      <c r="AV528" s="237">
        <f>-65.18-76.38</f>
        <v>-141.56</v>
      </c>
      <c r="AX528" s="237">
        <f>-40.18-85.89</f>
        <v>-126.07</v>
      </c>
      <c r="BA528" s="237">
        <f>-49.15-90.44</f>
        <v>-139.59</v>
      </c>
      <c r="BC528" s="237">
        <f>-61.8-52.05</f>
        <v>-113.85</v>
      </c>
      <c r="BE528" s="237">
        <f>-34.77-83.37</f>
        <v>-118.14000000000001</v>
      </c>
      <c r="BG528" s="237">
        <f>-31.89-102.96</f>
        <v>-134.85</v>
      </c>
      <c r="BI528" s="237">
        <f>-51.38-148.2</f>
        <v>-199.57999999999998</v>
      </c>
      <c r="BK528" s="237">
        <f>-66.83-191.73</f>
        <v>-258.56</v>
      </c>
      <c r="BM528" s="237">
        <f>-82.23-173.36</f>
        <v>-255.59000000000003</v>
      </c>
      <c r="BO528" s="237">
        <f>-102.36-88.2</f>
        <v>-190.56</v>
      </c>
      <c r="BQ528" s="237">
        <f>-39.27-207.68</f>
        <v>-246.95000000000002</v>
      </c>
      <c r="BS528" s="237">
        <f>-75.52-124.2</f>
        <v>-199.72</v>
      </c>
      <c r="BU528" s="237">
        <f>-54.03-95.2</f>
        <v>-149.23000000000002</v>
      </c>
      <c r="BW528" s="237">
        <f>-42.98-92.62</f>
        <v>-135.6</v>
      </c>
      <c r="BY528" s="237">
        <f>-50.52-135.85</f>
        <v>-186.37</v>
      </c>
      <c r="CA528" s="237">
        <f>-64.26-97.47</f>
        <v>-161.73000000000002</v>
      </c>
      <c r="CC528" s="237">
        <f>-46.25-115.5</f>
        <v>-161.75</v>
      </c>
      <c r="CE528" s="237">
        <f>-47.16-31.5</f>
        <v>-78.66</v>
      </c>
      <c r="CG528" s="237">
        <f>-19.2-134.71</f>
        <v>-153.91</v>
      </c>
      <c r="CI528" s="213">
        <v>-56.74</v>
      </c>
    </row>
    <row r="529" spans="1:89">
      <c r="C529" s="213" t="s">
        <v>8</v>
      </c>
      <c r="AD529" s="299">
        <v>128.93</v>
      </c>
      <c r="AE529" s="322">
        <f>ABS(((AD528+AD529)/AD528))</f>
        <v>0.51682352941176479</v>
      </c>
      <c r="AF529" s="299">
        <v>118.72</v>
      </c>
      <c r="AG529" s="322">
        <f>ABS(((AF528+AF529)/AF528))</f>
        <v>0.27862143241787835</v>
      </c>
      <c r="AH529" s="214">
        <v>118.56</v>
      </c>
      <c r="AI529" s="222">
        <f>ABS(((AH528+AH529)/AH528))</f>
        <v>0.30472103004291839</v>
      </c>
      <c r="AJ529" s="214">
        <v>267.17</v>
      </c>
      <c r="AK529" s="222">
        <f>ABS(((AJ528+AJ529)/AJ528))</f>
        <v>0.38086623940458958</v>
      </c>
      <c r="AL529" s="214">
        <v>393.11</v>
      </c>
      <c r="AM529" s="222">
        <f>ABS(((AL528+AL529)/AL528))</f>
        <v>0.44786564030790771</v>
      </c>
      <c r="AN529" s="214">
        <v>517.66999999999996</v>
      </c>
      <c r="AO529" s="222">
        <f>ABS(((AN528+AN529)/AN528))</f>
        <v>0.7452295866765557</v>
      </c>
      <c r="AP529" s="214">
        <v>116.36</v>
      </c>
      <c r="AQ529" s="222">
        <f>ABS(((AP528+AP529)/AP528))</f>
        <v>0.26969183455720824</v>
      </c>
      <c r="AR529" s="214">
        <v>383.22</v>
      </c>
      <c r="AS529" s="222">
        <f>ABS(((AR528+AR529)/AR528))</f>
        <v>0.88917919645057919</v>
      </c>
      <c r="AT529" s="214">
        <v>262.08</v>
      </c>
      <c r="AU529" s="222">
        <f>AT530/AT529</f>
        <v>0.30650946275946273</v>
      </c>
      <c r="AV529" s="214">
        <v>121.2</v>
      </c>
      <c r="AW529" s="222">
        <f>AV530/AV529</f>
        <v>-0.16798679867986799</v>
      </c>
      <c r="AX529" s="214">
        <v>172.03</v>
      </c>
      <c r="AY529" s="224">
        <f>AX530/AX529</f>
        <v>0.26716270417950361</v>
      </c>
      <c r="AZ529" s="225"/>
      <c r="BA529" s="214">
        <v>306.77999999999997</v>
      </c>
      <c r="BB529" s="222">
        <f>BA530/BA529</f>
        <v>0.54498337570897704</v>
      </c>
      <c r="BC529" s="214">
        <v>147.5</v>
      </c>
      <c r="BD529" s="222">
        <f>BC530/BC529</f>
        <v>0.22813559322033902</v>
      </c>
      <c r="BE529" s="214">
        <v>274.95</v>
      </c>
      <c r="BF529" s="222">
        <f>BE530/BE529</f>
        <v>0.57032187670485535</v>
      </c>
      <c r="BG529" s="214">
        <v>210.11</v>
      </c>
      <c r="BH529" s="222">
        <f>BG530/BG529</f>
        <v>0.35819332730474518</v>
      </c>
      <c r="BI529" s="214">
        <v>324.47000000000003</v>
      </c>
      <c r="BJ529" s="222">
        <f>BI530/BI529</f>
        <v>0.38490461367768986</v>
      </c>
      <c r="BK529" s="214">
        <v>465.83</v>
      </c>
      <c r="BL529" s="222">
        <f>BK530/BK529</f>
        <v>0.44494772771182617</v>
      </c>
      <c r="BM529" s="214">
        <v>689.59</v>
      </c>
      <c r="BN529" s="222">
        <f>BM530/BM529</f>
        <v>0.62935947447033747</v>
      </c>
      <c r="BO529" s="214">
        <v>185.35</v>
      </c>
      <c r="BP529" s="222">
        <f>BO530/BO529</f>
        <v>-2.810898300512548E-2</v>
      </c>
      <c r="BQ529" s="214">
        <v>431.22</v>
      </c>
      <c r="BR529" s="222">
        <f>BQ530/BQ529</f>
        <v>0.42732248040443394</v>
      </c>
      <c r="BS529" s="214">
        <v>422.69</v>
      </c>
      <c r="BT529" s="222">
        <f>BS530/BS529</f>
        <v>0.52750242494499511</v>
      </c>
      <c r="BU529" s="214">
        <v>212.38</v>
      </c>
      <c r="BV529" s="222">
        <f>BU530/BU529</f>
        <v>0.29734438271023628</v>
      </c>
      <c r="BW529" s="214">
        <v>230.78</v>
      </c>
      <c r="BX529" s="222">
        <f>BW530/BW529</f>
        <v>0.41242742005373084</v>
      </c>
      <c r="BY529" s="214">
        <v>404.38</v>
      </c>
      <c r="BZ529" s="222">
        <f>BY530/BY529</f>
        <v>0.53912161827983573</v>
      </c>
      <c r="CA529" s="214">
        <v>179.09</v>
      </c>
      <c r="CB529" s="222">
        <f>CA530/CA529</f>
        <v>9.6934502205594866E-2</v>
      </c>
      <c r="CC529" s="214">
        <v>279.02999999999997</v>
      </c>
      <c r="CD529" s="222">
        <f>CC530/CC529</f>
        <v>0.42031322796831877</v>
      </c>
      <c r="CE529" s="214">
        <v>335.3</v>
      </c>
      <c r="CF529" s="222">
        <f>CE530/CE529</f>
        <v>0.76540411571726807</v>
      </c>
      <c r="CG529" s="214">
        <v>399.89</v>
      </c>
      <c r="CH529" s="222">
        <f>CG530/CG529</f>
        <v>0.61511915776838633</v>
      </c>
      <c r="CI529" s="213">
        <v>554.96</v>
      </c>
      <c r="CK529" s="213">
        <v>733.27</v>
      </c>
    </row>
    <row r="530" spans="1:89">
      <c r="C530" s="213" t="s">
        <v>9</v>
      </c>
      <c r="AD530" s="243">
        <f>AD528+AD529</f>
        <v>43.930000000000007</v>
      </c>
      <c r="AE530" s="299"/>
      <c r="AF530" s="243">
        <f>AF528+AF529</f>
        <v>25.870000000000005</v>
      </c>
      <c r="AH530" s="243">
        <f>AH528+AH529</f>
        <v>27.689999999999998</v>
      </c>
      <c r="AJ530" s="243">
        <f>AJ528+AJ529</f>
        <v>73.69</v>
      </c>
      <c r="AL530" s="243">
        <f>AL528+AL529</f>
        <v>121.60000000000002</v>
      </c>
      <c r="AN530" s="243">
        <f>AN528+AN529</f>
        <v>221.04999999999995</v>
      </c>
      <c r="AP530" s="214">
        <f>AP528+AP529</f>
        <v>-42.969999999999985</v>
      </c>
      <c r="AR530" s="214">
        <f>AR528+AR529</f>
        <v>180.37</v>
      </c>
      <c r="AT530" s="214">
        <f>AT528+AT529</f>
        <v>80.329999999999984</v>
      </c>
      <c r="AV530" s="214">
        <f>AV528+AV529</f>
        <v>-20.36</v>
      </c>
      <c r="AX530" s="214">
        <f>AX528+AX529</f>
        <v>45.960000000000008</v>
      </c>
      <c r="BA530" s="214">
        <f>BA528+BA529</f>
        <v>167.18999999999997</v>
      </c>
      <c r="BC530" s="214">
        <f>BC528+BC529</f>
        <v>33.650000000000006</v>
      </c>
      <c r="BE530" s="214">
        <f>BE528+BE529</f>
        <v>156.80999999999997</v>
      </c>
      <c r="BG530" s="214">
        <f>BG528+BG529</f>
        <v>75.260000000000019</v>
      </c>
      <c r="BI530" s="214">
        <f>BI528+BI529</f>
        <v>124.89000000000004</v>
      </c>
      <c r="BK530" s="214">
        <f>BK528+BK529</f>
        <v>207.26999999999998</v>
      </c>
      <c r="BM530" s="214">
        <f>BM528+BM529</f>
        <v>434</v>
      </c>
      <c r="BO530" s="214">
        <f>BO528+BO529</f>
        <v>-5.210000000000008</v>
      </c>
      <c r="BQ530" s="214">
        <f>BQ528+BQ529</f>
        <v>184.27</v>
      </c>
      <c r="BS530" s="214">
        <f>BS528+BS529</f>
        <v>222.97</v>
      </c>
      <c r="BU530" s="214">
        <f>BU528+BU529</f>
        <v>63.149999999999977</v>
      </c>
      <c r="BW530" s="214">
        <f>BW528+BW529</f>
        <v>95.18</v>
      </c>
      <c r="BY530" s="214">
        <f>BY528+BY529</f>
        <v>218.01</v>
      </c>
      <c r="CA530" s="214">
        <f>CA528+CA529</f>
        <v>17.359999999999985</v>
      </c>
      <c r="CC530" s="214">
        <f>CC528+CC529</f>
        <v>117.27999999999997</v>
      </c>
      <c r="CE530" s="214">
        <f>CE528+CE529</f>
        <v>256.64</v>
      </c>
      <c r="CG530" s="214">
        <f>CG528+CG529</f>
        <v>245.98</v>
      </c>
    </row>
    <row r="531" spans="1:89">
      <c r="A531" s="231">
        <v>154</v>
      </c>
      <c r="B531" s="279">
        <v>268431942</v>
      </c>
      <c r="C531" s="213" t="s">
        <v>197</v>
      </c>
      <c r="AD531" s="299"/>
      <c r="AE531" s="299"/>
      <c r="AF531" s="299"/>
      <c r="AP531" s="214"/>
      <c r="AT531" s="214"/>
    </row>
    <row r="532" spans="1:89">
      <c r="C532" s="253" t="s">
        <v>198</v>
      </c>
      <c r="AD532" s="235">
        <v>45323</v>
      </c>
      <c r="AF532" s="235">
        <v>45352</v>
      </c>
      <c r="AH532" s="235">
        <v>45383</v>
      </c>
      <c r="AJ532" s="235">
        <v>45413</v>
      </c>
      <c r="AL532" s="235">
        <v>45444</v>
      </c>
      <c r="AN532" s="235">
        <v>45474</v>
      </c>
      <c r="AP532" s="235">
        <v>45505</v>
      </c>
      <c r="AR532" s="236">
        <v>45536</v>
      </c>
      <c r="AT532" s="236">
        <v>45566</v>
      </c>
      <c r="AV532" s="235">
        <v>45597</v>
      </c>
      <c r="AX532" s="235">
        <v>45627</v>
      </c>
      <c r="BA532" s="235">
        <v>45658</v>
      </c>
      <c r="BC532" s="235">
        <v>45689</v>
      </c>
      <c r="BE532" s="235">
        <v>45717</v>
      </c>
      <c r="BG532" s="235">
        <v>45748</v>
      </c>
      <c r="BI532" s="235">
        <v>45778</v>
      </c>
      <c r="BK532" s="235">
        <v>45809</v>
      </c>
      <c r="BM532" s="235">
        <v>45839</v>
      </c>
      <c r="BO532" s="235">
        <v>45870</v>
      </c>
      <c r="BQ532" s="235">
        <v>45901</v>
      </c>
      <c r="BS532" s="235">
        <v>45931</v>
      </c>
      <c r="BU532" s="235">
        <v>45962</v>
      </c>
      <c r="BW532" s="235">
        <v>45992</v>
      </c>
      <c r="BY532" s="235">
        <v>46023</v>
      </c>
      <c r="CA532" s="235">
        <v>46054</v>
      </c>
      <c r="CC532" s="235">
        <v>46082</v>
      </c>
      <c r="CE532" s="235">
        <v>46113</v>
      </c>
      <c r="CG532" s="235">
        <v>46143</v>
      </c>
      <c r="CI532" s="341">
        <v>46174</v>
      </c>
    </row>
    <row r="533" spans="1:89">
      <c r="C533" s="213" t="s">
        <v>7</v>
      </c>
      <c r="AD533" s="237">
        <v>-130.5</v>
      </c>
      <c r="AE533" s="299"/>
      <c r="AF533" s="237">
        <f>-52.28-214.8</f>
        <v>-267.08000000000004</v>
      </c>
      <c r="AH533" s="237">
        <f>-85.98-219.56</f>
        <v>-305.54000000000002</v>
      </c>
      <c r="AJ533" s="237">
        <f>-393.54-89.86</f>
        <v>-483.40000000000003</v>
      </c>
      <c r="AL533" s="237">
        <f>-187.48-370.5</f>
        <v>-557.98</v>
      </c>
      <c r="AN533" s="237">
        <f>-175.36-362.02</f>
        <v>-537.38</v>
      </c>
      <c r="AP533" s="237">
        <f>-125.8-168.96</f>
        <v>-294.76</v>
      </c>
      <c r="AR533" s="237">
        <f>-76.82-291.6</f>
        <v>-368.42</v>
      </c>
      <c r="AT533" s="237">
        <f>-131.1-205.85</f>
        <v>-336.95</v>
      </c>
      <c r="AV533" s="237">
        <f>-87.4-98.4</f>
        <v>-185.8</v>
      </c>
      <c r="AX533" s="237">
        <f>-45.94-108.36</f>
        <v>-154.30000000000001</v>
      </c>
      <c r="BA533" s="237">
        <f>-62.04-69.35</f>
        <v>-131.38999999999999</v>
      </c>
      <c r="BC533" s="237">
        <f>-47.39-53.55</f>
        <v>-100.94</v>
      </c>
      <c r="BE533" s="237">
        <f>-35.78-90.3</f>
        <v>-126.08</v>
      </c>
      <c r="BG533" s="237">
        <f>-34.33-118.36</f>
        <v>-152.69</v>
      </c>
      <c r="BI533" s="237">
        <f>-59.32-166.6</f>
        <v>-225.92</v>
      </c>
      <c r="BK533" s="237">
        <f>-74.99-274.05</f>
        <v>-349.04</v>
      </c>
      <c r="BM533" s="237">
        <f>-117-196.68</f>
        <v>-313.68</v>
      </c>
      <c r="BO533" s="237">
        <f>-116.07-90</f>
        <v>-206.07</v>
      </c>
      <c r="BQ533" s="237">
        <f>-40.11-188.98</f>
        <v>-229.08999999999997</v>
      </c>
      <c r="BS533" s="237">
        <f>-68.65-136.16</f>
        <v>-204.81</v>
      </c>
      <c r="BU533" s="237">
        <f>-59.26-78</f>
        <v>-137.26</v>
      </c>
      <c r="BW533" s="237">
        <f>-35.17-69.96</f>
        <v>-105.13</v>
      </c>
      <c r="BY533" s="237">
        <f>-38.14-76.19</f>
        <v>-114.33</v>
      </c>
      <c r="CA533" s="237">
        <f>-36.19-60.23</f>
        <v>-96.419999999999987</v>
      </c>
      <c r="CC533" s="237">
        <f>-28.55-60.72</f>
        <v>-89.27</v>
      </c>
      <c r="CE533" s="237">
        <f>-24.97-70.98</f>
        <v>-95.95</v>
      </c>
      <c r="CG533" s="237">
        <f>-40.44-147.25</f>
        <v>-187.69</v>
      </c>
      <c r="CI533" s="213">
        <v>-62.01</v>
      </c>
    </row>
    <row r="534" spans="1:89">
      <c r="C534" s="213" t="s">
        <v>8</v>
      </c>
      <c r="AD534" s="299">
        <v>214.13</v>
      </c>
      <c r="AE534" s="322">
        <f>ABS(((AD533+AD534)/AD533))</f>
        <v>0.64084291187739462</v>
      </c>
      <c r="AF534" s="299">
        <v>381.87</v>
      </c>
      <c r="AG534" s="322">
        <f>ABS(((AF533+AF534)/AF533))</f>
        <v>0.4297963157106483</v>
      </c>
      <c r="AH534" s="214">
        <v>427.5</v>
      </c>
      <c r="AI534" s="222">
        <f>ABS(((AH533+AH534)/AH533))</f>
        <v>0.39916213916344823</v>
      </c>
      <c r="AJ534" s="214">
        <v>653.22</v>
      </c>
      <c r="AK534" s="222">
        <f>ABS(((AJ533+AJ534)/AJ533))</f>
        <v>0.35130326851468757</v>
      </c>
      <c r="AL534" s="214">
        <v>887.29</v>
      </c>
      <c r="AM534" s="222">
        <f>ABS(((AL533+AL534)/AL533))</f>
        <v>0.59018244381519036</v>
      </c>
      <c r="AN534" s="214">
        <v>894.73</v>
      </c>
      <c r="AO534" s="222">
        <f>ABS(((AN533+AN534)/AN533))</f>
        <v>0.66498567121962116</v>
      </c>
      <c r="AP534" s="214">
        <v>245.93</v>
      </c>
      <c r="AQ534" s="222">
        <f>ABS(((AP533+AP534)/AP533))</f>
        <v>0.16566019812728994</v>
      </c>
      <c r="AR534" s="214">
        <v>687.96</v>
      </c>
      <c r="AS534" s="222">
        <f>ABS(((AR533+AR534)/AR533))</f>
        <v>0.86732533521524346</v>
      </c>
      <c r="AT534" s="214">
        <v>441.89</v>
      </c>
      <c r="AU534" s="222">
        <f>AT535/AT534</f>
        <v>0.23747991581615335</v>
      </c>
      <c r="AV534" s="214">
        <v>187.07</v>
      </c>
      <c r="AW534" s="222">
        <f>AV535/AV534</f>
        <v>6.7889025498475532E-3</v>
      </c>
      <c r="AX534" s="214">
        <v>217.29</v>
      </c>
      <c r="AY534" s="224">
        <f>AX535/AX534</f>
        <v>0.28988908831515481</v>
      </c>
      <c r="AZ534" s="225"/>
      <c r="BA534" s="214">
        <v>283.11</v>
      </c>
      <c r="BB534" s="222">
        <f>BA535/BA534</f>
        <v>0.53590477199675046</v>
      </c>
      <c r="BC534" s="214">
        <v>138.49</v>
      </c>
      <c r="BD534" s="222">
        <f>BC535/BC534</f>
        <v>0.27113871037620052</v>
      </c>
      <c r="BE534" s="214">
        <v>197.62</v>
      </c>
      <c r="BF534" s="222">
        <f>BE535/BE534</f>
        <v>0.36200789393786054</v>
      </c>
      <c r="BG534" s="214">
        <v>250.04</v>
      </c>
      <c r="BH534" s="222">
        <f>BG535/BG534</f>
        <v>0.38933770596704526</v>
      </c>
      <c r="BI534" s="214">
        <v>744.1</v>
      </c>
      <c r="BJ534" s="222">
        <f>BI535/BI534</f>
        <v>0.696384894503427</v>
      </c>
      <c r="BK534" s="214">
        <v>931.59</v>
      </c>
      <c r="BL534" s="222">
        <f>BK535/BK534</f>
        <v>0.62532873903755937</v>
      </c>
      <c r="BM534" s="214">
        <v>1092.52</v>
      </c>
      <c r="BN534" s="222">
        <f>BM535/BM534</f>
        <v>0.71288397466407927</v>
      </c>
      <c r="BO534" s="214">
        <v>332.21</v>
      </c>
      <c r="BP534" s="222">
        <f>BO535/BO534</f>
        <v>0.37969958761024653</v>
      </c>
      <c r="BQ534" s="214">
        <v>932.2</v>
      </c>
      <c r="BR534" s="222">
        <f>BQ535/BQ534</f>
        <v>0.754248015447329</v>
      </c>
      <c r="BS534" s="214">
        <v>666.06</v>
      </c>
      <c r="BT534" s="222">
        <f>BS535/BS534</f>
        <v>0.69250517971353931</v>
      </c>
      <c r="BU534" s="214">
        <v>321.43</v>
      </c>
      <c r="BV534" s="222">
        <f>BU535/BU534</f>
        <v>0.57297078679650315</v>
      </c>
      <c r="BW534" s="214">
        <v>288.36</v>
      </c>
      <c r="BX534" s="222">
        <f>BW535/BW534</f>
        <v>0.63542100152587044</v>
      </c>
      <c r="BY534" s="214">
        <v>379.98</v>
      </c>
      <c r="BZ534" s="222">
        <f>BY535/BY534</f>
        <v>0.69911574293383871</v>
      </c>
      <c r="CA534" s="214">
        <v>198.37</v>
      </c>
      <c r="CB534" s="222">
        <f>CA535/CA534</f>
        <v>0.51393859958663113</v>
      </c>
      <c r="CC534" s="214">
        <v>261.60000000000002</v>
      </c>
      <c r="CD534" s="222">
        <f>CC535/CC534</f>
        <v>0.65875382262996951</v>
      </c>
      <c r="CE534" s="214">
        <v>373.68</v>
      </c>
      <c r="CF534" s="222">
        <f>CE535/CE534</f>
        <v>0.7432295011774781</v>
      </c>
      <c r="CG534" s="214">
        <v>781.27</v>
      </c>
      <c r="CH534" s="222">
        <f>CG535/CG534</f>
        <v>0.75976295006847816</v>
      </c>
      <c r="CI534" s="214">
        <v>1006.41</v>
      </c>
      <c r="CK534" s="214">
        <v>1152.54</v>
      </c>
    </row>
    <row r="535" spans="1:89">
      <c r="C535" s="213" t="s">
        <v>9</v>
      </c>
      <c r="AD535" s="243">
        <f>AD533+AD534</f>
        <v>83.63</v>
      </c>
      <c r="AE535" s="299"/>
      <c r="AF535" s="243">
        <f>AF533+AF534</f>
        <v>114.78999999999996</v>
      </c>
      <c r="AH535" s="243">
        <f>AH533+AH534</f>
        <v>121.95999999999998</v>
      </c>
      <c r="AI535" s="222"/>
      <c r="AJ535" s="243">
        <f>AJ533+AJ534</f>
        <v>169.82</v>
      </c>
      <c r="AL535" s="243">
        <f>AL533+AL534</f>
        <v>329.30999999999995</v>
      </c>
      <c r="AN535" s="243">
        <f>AN533+AN534</f>
        <v>357.35</v>
      </c>
      <c r="AP535" s="214">
        <f>AP533+AP534</f>
        <v>-48.829999999999984</v>
      </c>
      <c r="AR535" s="214">
        <f>AR533+AR534</f>
        <v>319.54000000000002</v>
      </c>
      <c r="AT535" s="214">
        <f>AT533+AT534</f>
        <v>104.94</v>
      </c>
      <c r="AV535" s="214">
        <f>AV533+AV534</f>
        <v>1.2699999999999818</v>
      </c>
      <c r="AX535" s="214">
        <f>AX533+AX534</f>
        <v>62.989999999999981</v>
      </c>
      <c r="BA535" s="214">
        <f>BA533+BA534</f>
        <v>151.72000000000003</v>
      </c>
      <c r="BC535" s="214">
        <f>BC533+BC534</f>
        <v>37.550000000000011</v>
      </c>
      <c r="BE535" s="214">
        <f>BE533+BE534</f>
        <v>71.540000000000006</v>
      </c>
      <c r="BG535" s="214">
        <f>BG533+BG534</f>
        <v>97.35</v>
      </c>
      <c r="BI535" s="214">
        <f>BI533+BI534</f>
        <v>518.18000000000006</v>
      </c>
      <c r="BK535" s="214">
        <f>BK533+BK534</f>
        <v>582.54999999999995</v>
      </c>
      <c r="BM535" s="214">
        <f>BM533+BM534</f>
        <v>778.83999999999992</v>
      </c>
      <c r="BO535" s="214">
        <f>BO533+BO534</f>
        <v>126.13999999999999</v>
      </c>
      <c r="BQ535" s="214">
        <f>BQ533+BQ534</f>
        <v>703.11000000000013</v>
      </c>
      <c r="BS535" s="214">
        <f>BS533+BS534</f>
        <v>461.24999999999994</v>
      </c>
      <c r="BU535" s="214">
        <f>BU533+BU534</f>
        <v>184.17000000000002</v>
      </c>
      <c r="BW535" s="214">
        <f>BW533+BW534</f>
        <v>183.23000000000002</v>
      </c>
      <c r="BY535" s="214">
        <f>BY533+BY534</f>
        <v>265.65000000000003</v>
      </c>
      <c r="CA535" s="214">
        <f>CA533+CA534</f>
        <v>101.95000000000002</v>
      </c>
      <c r="CC535" s="214">
        <f>CC533+CC534</f>
        <v>172.33000000000004</v>
      </c>
      <c r="CE535" s="214">
        <f>CE533+CE534</f>
        <v>277.73</v>
      </c>
      <c r="CG535" s="214">
        <f>CG533+CG534</f>
        <v>593.57999999999993</v>
      </c>
    </row>
    <row r="536" spans="1:89">
      <c r="A536" s="231">
        <v>155</v>
      </c>
      <c r="B536" s="279">
        <v>268431656</v>
      </c>
      <c r="C536" s="213" t="s">
        <v>199</v>
      </c>
      <c r="AD536" s="299"/>
      <c r="AE536" s="299"/>
      <c r="AF536" s="299"/>
      <c r="AP536" s="214"/>
      <c r="AT536" s="214"/>
    </row>
    <row r="537" spans="1:89">
      <c r="C537" s="253" t="s">
        <v>200</v>
      </c>
      <c r="AD537" s="235">
        <v>45323</v>
      </c>
      <c r="AF537" s="235">
        <v>45352</v>
      </c>
      <c r="AH537" s="235">
        <v>45383</v>
      </c>
      <c r="AJ537" s="235">
        <v>45413</v>
      </c>
      <c r="AL537" s="235">
        <v>45444</v>
      </c>
      <c r="AN537" s="235">
        <v>45474</v>
      </c>
      <c r="AP537" s="235">
        <v>45505</v>
      </c>
      <c r="AR537" s="236">
        <v>45536</v>
      </c>
      <c r="AT537" s="236">
        <v>45566</v>
      </c>
      <c r="AV537" s="235">
        <v>45597</v>
      </c>
      <c r="AX537" s="235">
        <v>45627</v>
      </c>
      <c r="BA537" s="235">
        <v>45658</v>
      </c>
      <c r="BC537" s="235">
        <v>45689</v>
      </c>
      <c r="BE537" s="235">
        <v>45717</v>
      </c>
      <c r="BG537" s="235">
        <v>45748</v>
      </c>
      <c r="BI537" s="235">
        <v>45778</v>
      </c>
      <c r="BK537" s="235">
        <v>45809</v>
      </c>
      <c r="BM537" s="235">
        <v>45839</v>
      </c>
      <c r="BO537" s="235">
        <v>45870</v>
      </c>
      <c r="BQ537" s="235">
        <v>45901</v>
      </c>
      <c r="BS537" s="235">
        <v>45931</v>
      </c>
      <c r="BU537" s="235">
        <v>45962</v>
      </c>
      <c r="BW537" s="235">
        <v>45992</v>
      </c>
      <c r="BY537" s="235">
        <v>46023</v>
      </c>
      <c r="CA537" s="235">
        <v>46054</v>
      </c>
      <c r="CC537" s="235">
        <v>46082</v>
      </c>
      <c r="CE537" s="235">
        <v>46113</v>
      </c>
      <c r="CG537" s="235">
        <v>46143</v>
      </c>
      <c r="CI537" s="341">
        <v>46174</v>
      </c>
    </row>
    <row r="538" spans="1:89">
      <c r="C538" s="213" t="s">
        <v>7</v>
      </c>
      <c r="AD538" s="237">
        <v>-73.44</v>
      </c>
      <c r="AE538" s="299"/>
      <c r="AF538" s="237">
        <f>-36.75-72.03</f>
        <v>-108.78</v>
      </c>
      <c r="AH538" s="237">
        <f>-27.32-64.9</f>
        <v>-92.22</v>
      </c>
      <c r="AJ538" s="237">
        <f>-26.66-88.62</f>
        <v>-115.28</v>
      </c>
      <c r="AL538" s="237">
        <f>-42.05-129.4</f>
        <v>-171.45</v>
      </c>
      <c r="AN538" s="237">
        <f>-51.63-149.96</f>
        <v>-201.59</v>
      </c>
      <c r="AP538" s="237">
        <f>-52.14-63.8</f>
        <v>-115.94</v>
      </c>
      <c r="AR538" s="237">
        <f>-28.91-100.4</f>
        <v>-129.31</v>
      </c>
      <c r="AT538" s="237">
        <f>-46.11-67.39</f>
        <v>-113.5</v>
      </c>
      <c r="AV538" s="237">
        <f>-48.64-32.22</f>
        <v>-80.86</v>
      </c>
      <c r="AX538" s="237">
        <f>-25.72-56.91</f>
        <v>-82.63</v>
      </c>
      <c r="BA538" s="237">
        <f>-32.51-69.16</f>
        <v>-101.66999999999999</v>
      </c>
      <c r="BC538" s="237">
        <f>-47.45-45.9</f>
        <v>-93.35</v>
      </c>
      <c r="BE538" s="237">
        <f>-30.72-75.39</f>
        <v>-106.11</v>
      </c>
      <c r="BG538" s="237">
        <f>-28.69-69.52</f>
        <v>-98.21</v>
      </c>
      <c r="BI538" s="237">
        <f>-34.66-118.2</f>
        <v>-152.86000000000001</v>
      </c>
      <c r="BK538" s="237">
        <f>-53.24-155.6</f>
        <v>-208.84</v>
      </c>
      <c r="BM538" s="237">
        <f>-66.68-122.76</f>
        <v>-189.44</v>
      </c>
      <c r="BO538" s="237">
        <f>-72.61-70.38</f>
        <v>-142.99</v>
      </c>
      <c r="BQ538" s="238">
        <f>-31.24-150.7</f>
        <v>-181.94</v>
      </c>
      <c r="BS538" s="237">
        <f>-54.82-112.93</f>
        <v>-167.75</v>
      </c>
      <c r="BU538" s="237">
        <f>-49.23-64</f>
        <v>-113.22999999999999</v>
      </c>
      <c r="BW538" s="238">
        <f>-69.26-64.68</f>
        <v>-133.94</v>
      </c>
      <c r="BY538" s="237">
        <f>-35.31-96.71</f>
        <v>-132.01999999999998</v>
      </c>
      <c r="CA538" s="237">
        <f>-45.92-69.92</f>
        <v>-115.84</v>
      </c>
      <c r="CC538" s="237">
        <f>-32.99-61.6</f>
        <v>-94.59</v>
      </c>
      <c r="CE538" s="237">
        <f>-25.08-54.39</f>
        <v>-79.47</v>
      </c>
      <c r="CG538" s="237">
        <f>-31.05-113.05</f>
        <v>-144.1</v>
      </c>
      <c r="CI538" s="213">
        <v>-47.57</v>
      </c>
    </row>
    <row r="539" spans="1:89">
      <c r="C539" s="213" t="s">
        <v>8</v>
      </c>
      <c r="AD539" s="299">
        <v>118.64</v>
      </c>
      <c r="AE539" s="322">
        <f>ABS(((AD538+AD539)/AD538))</f>
        <v>0.61546840958605675</v>
      </c>
      <c r="AF539" s="299">
        <v>137.07</v>
      </c>
      <c r="AG539" s="322">
        <f>ABS(((AF538+AF539)/AF538))</f>
        <v>0.26006618863761716</v>
      </c>
      <c r="AH539" s="214">
        <v>122.94</v>
      </c>
      <c r="AI539" s="222">
        <f>ABS(((AH538+AH539)/AH538))</f>
        <v>0.33311646063760569</v>
      </c>
      <c r="AJ539" s="214">
        <v>140.82</v>
      </c>
      <c r="AK539" s="222">
        <f>ABS(((AJ538+AJ539)/AJ538))</f>
        <v>0.22154753643303254</v>
      </c>
      <c r="AL539" s="214">
        <v>270.45</v>
      </c>
      <c r="AM539" s="222">
        <f>ABS(((AL538+AL539)/AL538))</f>
        <v>0.57742782152230976</v>
      </c>
      <c r="AN539" s="214">
        <v>336.39</v>
      </c>
      <c r="AO539" s="222">
        <f>ABS(((AN538+AN539)/AN538))</f>
        <v>0.66868396249813966</v>
      </c>
      <c r="AP539" s="214">
        <v>81.430000000000007</v>
      </c>
      <c r="AQ539" s="222">
        <f>ABS(((AP538+AP539)/AP538))</f>
        <v>0.29765395894428143</v>
      </c>
      <c r="AR539" s="214">
        <v>284.3</v>
      </c>
      <c r="AS539" s="222">
        <f>ABS(((AR538+AR539)/AR538))</f>
        <v>1.198592529580079</v>
      </c>
      <c r="AT539" s="214">
        <v>148.82</v>
      </c>
      <c r="AU539" s="222">
        <f>AT540/AT539</f>
        <v>0.23733369170810373</v>
      </c>
      <c r="AV539" s="214">
        <v>75.56</v>
      </c>
      <c r="AW539" s="222">
        <f>AV540/AV539</f>
        <v>-7.0142932768660626E-2</v>
      </c>
      <c r="AX539" s="214">
        <v>118.58</v>
      </c>
      <c r="AY539" s="224">
        <f>AX540/AX539</f>
        <v>0.30317085511890707</v>
      </c>
      <c r="AZ539" s="225"/>
      <c r="BA539" s="214">
        <v>203.88</v>
      </c>
      <c r="BB539" s="222">
        <f>BA540/BA539</f>
        <v>0.50132430841671571</v>
      </c>
      <c r="BC539" s="214">
        <v>136.04</v>
      </c>
      <c r="BD539" s="222">
        <f>BC540/BC539</f>
        <v>0.31380476330491031</v>
      </c>
      <c r="BE539" s="214">
        <v>170.89</v>
      </c>
      <c r="BF539" s="222">
        <f>BE540/BE539</f>
        <v>0.37907425829480951</v>
      </c>
      <c r="BG539" s="214">
        <v>134.15</v>
      </c>
      <c r="BH539" s="222">
        <f>BG540/BG539</f>
        <v>0.26790905702571755</v>
      </c>
      <c r="BI539" s="214">
        <v>180.3</v>
      </c>
      <c r="BJ539" s="222">
        <f>BI540/BI539</f>
        <v>0.15219079312257347</v>
      </c>
      <c r="BK539" s="214">
        <v>336.39</v>
      </c>
      <c r="BL539" s="222">
        <f>BK540/BK539</f>
        <v>0.37917298373911229</v>
      </c>
      <c r="BM539" s="214">
        <v>449.28</v>
      </c>
      <c r="BN539" s="222">
        <f>BM540/BM539</f>
        <v>0.57834757834757833</v>
      </c>
      <c r="BO539" s="214">
        <v>156.25</v>
      </c>
      <c r="BP539" s="222">
        <f>BO540/BO539</f>
        <v>8.4863999999999939E-2</v>
      </c>
      <c r="BQ539" s="213">
        <v>400.19</v>
      </c>
      <c r="BR539" s="222">
        <f>BQ540/BQ539</f>
        <v>0.54536595117319275</v>
      </c>
      <c r="BS539" s="214">
        <v>288.7</v>
      </c>
      <c r="BT539" s="222">
        <f>BS540/BS539</f>
        <v>0.41894700381018357</v>
      </c>
      <c r="BU539" s="214">
        <v>140.9</v>
      </c>
      <c r="BV539" s="222">
        <f>BU540/BU539</f>
        <v>0.19638041163946071</v>
      </c>
      <c r="BW539" s="214">
        <v>199.58</v>
      </c>
      <c r="BX539" s="222">
        <f>BW540/BW539</f>
        <v>0.32889067040785658</v>
      </c>
      <c r="BY539" s="214">
        <v>275.87</v>
      </c>
      <c r="BZ539" s="222">
        <f>BY540/BY539</f>
        <v>0.5214412585638164</v>
      </c>
      <c r="CA539" s="214">
        <v>183.44</v>
      </c>
      <c r="CB539" s="222">
        <f>CA540/CA539</f>
        <v>0.36851286524204097</v>
      </c>
      <c r="CC539" s="214">
        <v>235.21</v>
      </c>
      <c r="CD539" s="222">
        <f>CC540/CC539</f>
        <v>0.59784873092130442</v>
      </c>
      <c r="CE539" s="214">
        <v>196.84</v>
      </c>
      <c r="CF539" s="222">
        <f>CE540/CE539</f>
        <v>0.59627108311318844</v>
      </c>
      <c r="CG539" s="214">
        <v>228.97</v>
      </c>
      <c r="CH539" s="222">
        <f>CG540/CG539</f>
        <v>0.37065991177883567</v>
      </c>
      <c r="CI539" s="213">
        <v>421.01</v>
      </c>
      <c r="CK539" s="213">
        <v>504.37</v>
      </c>
    </row>
    <row r="540" spans="1:89">
      <c r="C540" s="213" t="s">
        <v>9</v>
      </c>
      <c r="AD540" s="243">
        <f>AD538+AD539</f>
        <v>45.2</v>
      </c>
      <c r="AE540" s="299"/>
      <c r="AF540" s="243">
        <f>AF538+AF539</f>
        <v>28.289999999999992</v>
      </c>
      <c r="AH540" s="243">
        <f>AH538+AH539</f>
        <v>30.72</v>
      </c>
      <c r="AI540" s="222"/>
      <c r="AJ540" s="243">
        <f>AJ538+AJ539</f>
        <v>25.539999999999992</v>
      </c>
      <c r="AL540" s="243">
        <f>AL538+AL539</f>
        <v>99</v>
      </c>
      <c r="AN540" s="243">
        <f>AN538+AN539</f>
        <v>134.79999999999998</v>
      </c>
      <c r="AP540" s="214">
        <f>AP538+AP539</f>
        <v>-34.509999999999991</v>
      </c>
      <c r="AR540" s="214">
        <f>AR538+AR539</f>
        <v>154.99</v>
      </c>
      <c r="AT540" s="214">
        <f>AT538+AT539</f>
        <v>35.319999999999993</v>
      </c>
      <c r="AV540" s="214">
        <f>AV538+AV539</f>
        <v>-5.2999999999999972</v>
      </c>
      <c r="AX540" s="214">
        <f>AX538+AX539</f>
        <v>35.950000000000003</v>
      </c>
      <c r="BA540" s="214">
        <f>BA538+BA539</f>
        <v>102.21000000000001</v>
      </c>
      <c r="BC540" s="214">
        <f>BC538+BC539</f>
        <v>42.69</v>
      </c>
      <c r="BE540" s="214">
        <f>BE538+BE539</f>
        <v>64.779999999999987</v>
      </c>
      <c r="BG540" s="214">
        <f>BG538+BG539</f>
        <v>35.940000000000012</v>
      </c>
      <c r="BI540" s="214">
        <f>BI538+BI539</f>
        <v>27.439999999999998</v>
      </c>
      <c r="BK540" s="214">
        <f>BK538+BK539</f>
        <v>127.54999999999998</v>
      </c>
      <c r="BM540" s="214">
        <f>BM538+BM539</f>
        <v>259.83999999999997</v>
      </c>
      <c r="BO540" s="214">
        <f>BO538+BO539</f>
        <v>13.259999999999991</v>
      </c>
      <c r="BQ540" s="214">
        <f>BQ538+BQ539</f>
        <v>218.25</v>
      </c>
      <c r="BS540" s="214">
        <f>BS538+BS539</f>
        <v>120.94999999999999</v>
      </c>
      <c r="BU540" s="214">
        <f>BU538+BU539</f>
        <v>27.670000000000016</v>
      </c>
      <c r="BW540" s="214">
        <f>BW538+BW539</f>
        <v>65.640000000000015</v>
      </c>
      <c r="BY540" s="214">
        <f>BY538+BY539</f>
        <v>143.85000000000002</v>
      </c>
      <c r="CA540" s="214">
        <f>CA538+CA539</f>
        <v>67.599999999999994</v>
      </c>
      <c r="CC540" s="214">
        <f>CC538+CC539</f>
        <v>140.62</v>
      </c>
      <c r="CE540" s="214">
        <f>CE538+CE539</f>
        <v>117.37</v>
      </c>
      <c r="CG540" s="214">
        <f>CG538+CG539</f>
        <v>84.87</v>
      </c>
    </row>
    <row r="541" spans="1:89">
      <c r="A541" s="231">
        <v>156</v>
      </c>
      <c r="B541" s="279">
        <v>268431802</v>
      </c>
      <c r="C541" s="213" t="s">
        <v>201</v>
      </c>
      <c r="AD541" s="299"/>
      <c r="AE541" s="299"/>
      <c r="AF541" s="299"/>
      <c r="AP541" s="214"/>
      <c r="AT541" s="214"/>
    </row>
    <row r="542" spans="1:89">
      <c r="C542" s="253" t="s">
        <v>202</v>
      </c>
      <c r="AD542" s="235">
        <v>45323</v>
      </c>
      <c r="AF542" s="235">
        <v>45352</v>
      </c>
      <c r="AH542" s="235">
        <v>45383</v>
      </c>
      <c r="AJ542" s="235">
        <v>45413</v>
      </c>
      <c r="AL542" s="235">
        <v>45444</v>
      </c>
      <c r="AN542" s="235">
        <v>45474</v>
      </c>
      <c r="AP542" s="235">
        <v>45505</v>
      </c>
      <c r="AR542" s="236">
        <v>45536</v>
      </c>
      <c r="AT542" s="236">
        <v>45566</v>
      </c>
      <c r="AV542" s="235">
        <v>45597</v>
      </c>
      <c r="AX542" s="235">
        <v>45627</v>
      </c>
      <c r="BA542" s="235">
        <v>45658</v>
      </c>
      <c r="BC542" s="235">
        <v>45689</v>
      </c>
      <c r="BE542" s="235">
        <v>45717</v>
      </c>
      <c r="BG542" s="235">
        <v>45748</v>
      </c>
      <c r="BI542" s="235">
        <v>45778</v>
      </c>
      <c r="BK542" s="235">
        <v>45809</v>
      </c>
      <c r="BM542" s="235">
        <v>45839</v>
      </c>
      <c r="BO542" s="235">
        <v>45870</v>
      </c>
      <c r="BQ542" s="235">
        <v>45901</v>
      </c>
      <c r="BS542" s="235">
        <v>45931</v>
      </c>
      <c r="BU542" s="235">
        <v>45962</v>
      </c>
      <c r="BW542" s="235">
        <v>45992</v>
      </c>
      <c r="BY542" s="235">
        <v>46023</v>
      </c>
      <c r="CA542" s="235">
        <v>46054</v>
      </c>
      <c r="CC542" s="235">
        <v>46082</v>
      </c>
      <c r="CE542" s="235">
        <v>46113</v>
      </c>
      <c r="CG542" s="235">
        <v>46143</v>
      </c>
      <c r="CI542" s="341">
        <v>46174</v>
      </c>
    </row>
    <row r="543" spans="1:89">
      <c r="C543" s="213" t="s">
        <v>7</v>
      </c>
      <c r="AD543" s="237">
        <v>-88.92</v>
      </c>
      <c r="AE543" s="299"/>
      <c r="AF543" s="237">
        <f>-34.25-97.4</f>
        <v>-131.65</v>
      </c>
      <c r="AH543" s="237">
        <f>-38.76-99.88</f>
        <v>-138.63999999999999</v>
      </c>
      <c r="AJ543" s="237">
        <f>-194.04-40.98</f>
        <v>-235.01999999999998</v>
      </c>
      <c r="AL543" s="237">
        <f>-92.55-207.2</f>
        <v>-299.75</v>
      </c>
      <c r="AN543" s="237">
        <f>-82.89-268.64</f>
        <v>-351.53</v>
      </c>
      <c r="AP543" s="237">
        <f>-93.49-80.08</f>
        <v>-173.57</v>
      </c>
      <c r="AR543" s="237">
        <f>-36.38-159.4</f>
        <v>-195.78</v>
      </c>
      <c r="AT543" s="237">
        <f>-71.81-124.2</f>
        <v>-196.01</v>
      </c>
      <c r="AV543" s="237">
        <f>-93.86-59.35</f>
        <v>-153.21</v>
      </c>
      <c r="AX543" s="237">
        <f>-49.46-85.26</f>
        <v>-134.72</v>
      </c>
      <c r="BA543" s="237">
        <f>-48.78-102.79</f>
        <v>-151.57</v>
      </c>
      <c r="BC543" s="237">
        <f>-70.28-78.75</f>
        <v>-149.03</v>
      </c>
      <c r="BE543" s="237">
        <f>-52.5-125.79</f>
        <v>-178.29000000000002</v>
      </c>
      <c r="BG543" s="237">
        <f>-47.88-157.08</f>
        <v>-204.96</v>
      </c>
      <c r="BI543" s="237">
        <f>-78.58-297</f>
        <v>-375.58</v>
      </c>
      <c r="BK543" s="237">
        <f>-133.65-119.7</f>
        <v>-253.35000000000002</v>
      </c>
      <c r="BM543" s="237">
        <f>-51.22-260.48</f>
        <v>-311.70000000000005</v>
      </c>
      <c r="BO543" s="237">
        <f>-153.85-142.38</f>
        <v>-296.23</v>
      </c>
      <c r="BQ543" s="237">
        <f>-63.2-337.26</f>
        <v>-400.46</v>
      </c>
      <c r="BS543" s="237">
        <f>-122.56-207.92</f>
        <v>-330.48</v>
      </c>
      <c r="BU543" s="237">
        <f>-90.48-126.6</f>
        <v>-217.07999999999998</v>
      </c>
      <c r="BW543" s="237">
        <f>-57.01-106.7</f>
        <v>-163.71</v>
      </c>
      <c r="BY543" s="237">
        <f>-58.3-98.8</f>
        <v>-157.1</v>
      </c>
      <c r="CA543" s="237">
        <f>-46.81-88.92</f>
        <v>-135.73000000000002</v>
      </c>
      <c r="CC543" s="237">
        <f>-41.98-93.72</f>
        <v>-135.69999999999999</v>
      </c>
      <c r="CE543" s="237">
        <f>-38.46-102.9</f>
        <v>-141.36000000000001</v>
      </c>
      <c r="CG543" s="237">
        <f>-58.1-248.9</f>
        <v>-307</v>
      </c>
      <c r="CI543" s="213">
        <v>-104.86</v>
      </c>
    </row>
    <row r="544" spans="1:89">
      <c r="C544" s="213" t="s">
        <v>8</v>
      </c>
      <c r="AD544" s="299">
        <v>139.24</v>
      </c>
      <c r="AE544" s="322">
        <f>ABS(((AD543+AD544)/AD543))</f>
        <v>0.56590193432298708</v>
      </c>
      <c r="AF544" s="299">
        <v>172.79</v>
      </c>
      <c r="AG544" s="322">
        <f>ABS(((AF543+AF544)/AF543))</f>
        <v>0.31249525256361554</v>
      </c>
      <c r="AH544" s="214">
        <v>191.28</v>
      </c>
      <c r="AI544" s="222">
        <f>ABS(((AH543+AH544)/AH543))</f>
        <v>0.37968840161569545</v>
      </c>
      <c r="AJ544" s="214">
        <v>317.56</v>
      </c>
      <c r="AK544" s="222">
        <f>ABS(((AJ543+AJ544)/AJ543))</f>
        <v>0.35120415283805645</v>
      </c>
      <c r="AL544" s="214">
        <v>458.18</v>
      </c>
      <c r="AM544" s="222">
        <f>ABS(((AL543+AL544)/AL543))</f>
        <v>0.52854045037531283</v>
      </c>
      <c r="AN544" s="214">
        <v>599.48</v>
      </c>
      <c r="AO544" s="222">
        <f>ABS(((AN543+AN544)/AN543))</f>
        <v>0.70534520524564071</v>
      </c>
      <c r="AP544" s="214">
        <v>131.26</v>
      </c>
      <c r="AQ544" s="222">
        <f>ABS(((AP543+AP544)/AP543))</f>
        <v>0.24376332315492311</v>
      </c>
      <c r="AR544" s="214">
        <v>351.56</v>
      </c>
      <c r="AS544" s="222">
        <f>ABS(((AR543+AR544)/AR543))</f>
        <v>0.7956890387169272</v>
      </c>
      <c r="AT544" s="214">
        <v>291.41000000000003</v>
      </c>
      <c r="AU544" s="222">
        <f>AT545/AT544</f>
        <v>0.32737380323255905</v>
      </c>
      <c r="AV544" s="214">
        <v>91.91</v>
      </c>
      <c r="AW544" s="222">
        <f>AV545/AV544</f>
        <v>-0.66695680557066706</v>
      </c>
      <c r="AX544" s="214">
        <v>204.36</v>
      </c>
      <c r="AY544" s="224">
        <f>AX545/AX544</f>
        <v>0.34077118809943241</v>
      </c>
      <c r="AZ544" s="225"/>
      <c r="BA544" s="214">
        <v>310.75</v>
      </c>
      <c r="BB544" s="222">
        <f>BA545/BA544</f>
        <v>0.51224456958970233</v>
      </c>
      <c r="BC544" s="214">
        <v>217.72</v>
      </c>
      <c r="BD544" s="222">
        <f>BC545/BC544</f>
        <v>0.31549696858350174</v>
      </c>
      <c r="BE544" s="214">
        <v>306.87</v>
      </c>
      <c r="BF544" s="222">
        <f>BE545/BE544</f>
        <v>0.41900479030208226</v>
      </c>
      <c r="BG544" s="214">
        <v>291.35000000000002</v>
      </c>
      <c r="BH544" s="222">
        <f>BG545/BG544</f>
        <v>0.29651621760768837</v>
      </c>
      <c r="BI544" s="214">
        <v>364.19</v>
      </c>
      <c r="BJ544" s="222">
        <f>BI545/BI544</f>
        <v>-3.127488398912652E-2</v>
      </c>
      <c r="BK544" s="214">
        <v>441.27</v>
      </c>
      <c r="BL544" s="222">
        <f>BK545/BK544</f>
        <v>0.42586171731592892</v>
      </c>
      <c r="BM544" s="214">
        <v>732.97</v>
      </c>
      <c r="BN544" s="222">
        <f>BM545/BM544</f>
        <v>0.57474385036222486</v>
      </c>
      <c r="BO544" s="214">
        <v>195.9</v>
      </c>
      <c r="BP544" s="222">
        <f>BO545/BO544</f>
        <v>-0.51214905564063307</v>
      </c>
      <c r="BQ544" s="214">
        <v>470.37</v>
      </c>
      <c r="BR544" s="222">
        <f>BQ545/BQ544</f>
        <v>0.14862767608478436</v>
      </c>
      <c r="BS544" s="214">
        <v>451.6</v>
      </c>
      <c r="BT544" s="222">
        <f>BS545/BS544</f>
        <v>0.26820194862710361</v>
      </c>
      <c r="BU544" s="214">
        <v>151.38</v>
      </c>
      <c r="BV544" s="222">
        <f>BU545/BU544</f>
        <v>-0.43400713436385252</v>
      </c>
      <c r="BW544" s="214">
        <v>276.74</v>
      </c>
      <c r="BX544" s="222">
        <f>BW545/BW544</f>
        <v>0.40843390908433908</v>
      </c>
      <c r="BY544" s="214">
        <v>408.3</v>
      </c>
      <c r="BZ544" s="222">
        <f>BY545/BY544</f>
        <v>0.61523389664462402</v>
      </c>
      <c r="CA544" s="214">
        <v>311.42</v>
      </c>
      <c r="CB544" s="222">
        <f>CA545/CA544</f>
        <v>0.56415772911181039</v>
      </c>
      <c r="CC544" s="214">
        <v>374.1</v>
      </c>
      <c r="CD544" s="222">
        <f>CC545/CC544</f>
        <v>0.63726276396685388</v>
      </c>
      <c r="CE544" s="214">
        <v>377.08</v>
      </c>
      <c r="CF544" s="222">
        <f>CE545/CE544</f>
        <v>0.62511933807149667</v>
      </c>
      <c r="CG544" s="214">
        <v>445.88</v>
      </c>
      <c r="CH544" s="222">
        <f>CG545/CG544</f>
        <v>0.31147393917646005</v>
      </c>
      <c r="CI544" s="213">
        <v>605.9</v>
      </c>
      <c r="CK544" s="213">
        <v>751.13</v>
      </c>
    </row>
    <row r="545" spans="1:89">
      <c r="C545" s="213" t="s">
        <v>9</v>
      </c>
      <c r="AD545" s="243">
        <f>AD543+AD544</f>
        <v>50.320000000000007</v>
      </c>
      <c r="AE545" s="299"/>
      <c r="AF545" s="243">
        <f>AF543+AF544</f>
        <v>41.139999999999986</v>
      </c>
      <c r="AH545" s="243">
        <f>AH543+AH544</f>
        <v>52.640000000000015</v>
      </c>
      <c r="AJ545" s="243">
        <f>AJ543+AJ544</f>
        <v>82.54000000000002</v>
      </c>
      <c r="AL545" s="243">
        <f>AL543+AL544</f>
        <v>158.43</v>
      </c>
      <c r="AN545" s="214">
        <f>AN543+AN544</f>
        <v>247.95000000000005</v>
      </c>
      <c r="AP545" s="214">
        <f>AP543+AP544</f>
        <v>-42.31</v>
      </c>
      <c r="AR545" s="214">
        <f>AR543+AR544</f>
        <v>155.78</v>
      </c>
      <c r="AT545" s="214">
        <f>AT543+AT544</f>
        <v>95.400000000000034</v>
      </c>
      <c r="AV545" s="214">
        <f>AV543+AV544</f>
        <v>-61.300000000000011</v>
      </c>
      <c r="AX545" s="214">
        <f>AX543+AX544</f>
        <v>69.640000000000015</v>
      </c>
      <c r="BA545" s="214">
        <f>BA543+BA544</f>
        <v>159.18</v>
      </c>
      <c r="BC545" s="214">
        <f>BC543+BC544</f>
        <v>68.69</v>
      </c>
      <c r="BE545" s="214">
        <f>BE543+BE544</f>
        <v>128.57999999999998</v>
      </c>
      <c r="BG545" s="214">
        <f>BG543+BG544</f>
        <v>86.390000000000015</v>
      </c>
      <c r="BI545" s="214">
        <f>BI543+BI544</f>
        <v>-11.389999999999986</v>
      </c>
      <c r="BK545" s="214">
        <f>BK543+BK544</f>
        <v>187.91999999999996</v>
      </c>
      <c r="BM545" s="214">
        <f>BM543+BM544</f>
        <v>421.27</v>
      </c>
      <c r="BO545" s="214">
        <f>BO543+BO544</f>
        <v>-100.33000000000001</v>
      </c>
      <c r="BQ545" s="214">
        <f>BQ543+BQ544</f>
        <v>69.910000000000025</v>
      </c>
      <c r="BS545" s="214">
        <f>BS543+BS544</f>
        <v>121.12</v>
      </c>
      <c r="BU545" s="214">
        <f>BU543+BU544</f>
        <v>-65.699999999999989</v>
      </c>
      <c r="BW545" s="214">
        <f>BW543+BW544</f>
        <v>113.03</v>
      </c>
      <c r="BY545" s="214">
        <f>BY543+BY544</f>
        <v>251.20000000000002</v>
      </c>
      <c r="CA545" s="214">
        <f>CA543+CA544</f>
        <v>175.69</v>
      </c>
      <c r="CC545" s="214">
        <f>CC543+CC544</f>
        <v>238.40000000000003</v>
      </c>
      <c r="CE545" s="214">
        <f>CE543+CE544</f>
        <v>235.71999999999997</v>
      </c>
      <c r="CG545" s="214">
        <f>CG543+CG544</f>
        <v>138.88</v>
      </c>
    </row>
    <row r="546" spans="1:89">
      <c r="A546" s="231">
        <v>157</v>
      </c>
      <c r="B546" s="279">
        <v>268431541</v>
      </c>
      <c r="C546" s="213" t="s">
        <v>443</v>
      </c>
      <c r="AD546" s="299"/>
      <c r="AE546" s="299"/>
      <c r="AF546" s="299"/>
      <c r="AP546" s="214"/>
      <c r="AT546" s="214"/>
    </row>
    <row r="547" spans="1:89">
      <c r="C547" s="253" t="s">
        <v>203</v>
      </c>
      <c r="AD547" s="235">
        <v>45323</v>
      </c>
      <c r="AF547" s="235">
        <v>45352</v>
      </c>
      <c r="AH547" s="235">
        <v>45383</v>
      </c>
      <c r="AJ547" s="235">
        <v>45413</v>
      </c>
      <c r="AL547" s="235">
        <v>45444</v>
      </c>
      <c r="AN547" s="235">
        <v>45474</v>
      </c>
      <c r="AP547" s="235">
        <v>45505</v>
      </c>
      <c r="AR547" s="236">
        <v>45536</v>
      </c>
      <c r="AT547" s="236">
        <v>45566</v>
      </c>
      <c r="AV547" s="235">
        <v>45597</v>
      </c>
      <c r="AX547" s="235">
        <v>45627</v>
      </c>
      <c r="BA547" s="235">
        <v>45658</v>
      </c>
      <c r="BC547" s="235">
        <v>45689</v>
      </c>
      <c r="BE547" s="235">
        <v>45717</v>
      </c>
      <c r="BG547" s="235">
        <v>45748</v>
      </c>
      <c r="BI547" s="235">
        <v>45778</v>
      </c>
      <c r="BK547" s="235">
        <v>45809</v>
      </c>
      <c r="BM547" s="235">
        <v>45839</v>
      </c>
      <c r="BO547" s="235">
        <v>45870</v>
      </c>
      <c r="BQ547" s="235">
        <v>45901</v>
      </c>
      <c r="BS547" s="235">
        <v>45931</v>
      </c>
      <c r="BU547" s="235">
        <v>45962</v>
      </c>
      <c r="BW547" s="235">
        <v>45992</v>
      </c>
      <c r="BY547" s="235">
        <v>46023</v>
      </c>
      <c r="CA547" s="235">
        <v>46054</v>
      </c>
      <c r="CC547" s="235">
        <v>46082</v>
      </c>
      <c r="CE547" s="235">
        <v>46113</v>
      </c>
      <c r="CG547" s="235">
        <v>46143</v>
      </c>
      <c r="CI547" s="341">
        <v>46174</v>
      </c>
    </row>
    <row r="548" spans="1:89">
      <c r="C548" s="213" t="s">
        <v>7</v>
      </c>
      <c r="AD548" s="237">
        <v>-109.62</v>
      </c>
      <c r="AE548" s="299"/>
      <c r="AF548" s="237">
        <f>-36.6-74.34</f>
        <v>-110.94</v>
      </c>
      <c r="AH548" s="237">
        <f>-28.46-67.55</f>
        <v>-96.009999999999991</v>
      </c>
      <c r="AJ548" s="237">
        <f>-27.63-153.08</f>
        <v>-180.71</v>
      </c>
      <c r="AL548" s="237">
        <f>-72.89-212.2</f>
        <v>-285.08999999999997</v>
      </c>
      <c r="AN548" s="237">
        <f>-84.84-192.28</f>
        <v>-277.12</v>
      </c>
      <c r="AP548" s="237">
        <f>-66.84-72.6</f>
        <v>-139.44</v>
      </c>
      <c r="AR548" s="237">
        <f>-32.97-129.4</f>
        <v>-162.37</v>
      </c>
      <c r="AT548" s="237">
        <f>-58.24-83.49</f>
        <v>-141.72999999999999</v>
      </c>
      <c r="AV548" s="237">
        <f>-39.86-90.82</f>
        <v>-130.68</v>
      </c>
      <c r="AX548" s="237">
        <f>-56.91-102.48</f>
        <v>-159.38999999999999</v>
      </c>
      <c r="BA548" s="237">
        <f>-32.51-128.44</f>
        <v>-160.94999999999999</v>
      </c>
      <c r="BC548" s="237">
        <f>-87.94-88.35</f>
        <v>-176.29</v>
      </c>
      <c r="BE548" s="237">
        <f>-58.97-112.77</f>
        <v>-171.74</v>
      </c>
      <c r="BG548" s="237">
        <f>-42.87-68.2</f>
        <v>-111.07</v>
      </c>
      <c r="BI548" s="237">
        <f>-33.96-149.2</f>
        <v>-183.16</v>
      </c>
      <c r="BK548" s="237">
        <f>-67.23-245.49</f>
        <v>-312.72000000000003</v>
      </c>
      <c r="BM548" s="237">
        <f>-105.2-188.98</f>
        <v>-294.18</v>
      </c>
      <c r="BO548" s="237">
        <f>-111.61-98.28</f>
        <v>-209.89</v>
      </c>
      <c r="BQ548" s="237">
        <f>-43.58-221.32</f>
        <v>-264.89999999999998</v>
      </c>
      <c r="BS548" s="237">
        <f>-80.47-118.91</f>
        <v>-199.38</v>
      </c>
      <c r="BU548" s="237">
        <f>-51.77-121</f>
        <v>-172.77</v>
      </c>
      <c r="BW548" s="237">
        <f>-54.49-96.8</f>
        <v>-151.29</v>
      </c>
      <c r="BY548" s="237">
        <f>-52.86-145.73</f>
        <v>-198.58999999999997</v>
      </c>
      <c r="CA548" s="237">
        <f>-68.89-117.99</f>
        <v>-186.88</v>
      </c>
      <c r="CC548" s="237">
        <f>-55.75-102.74</f>
        <v>-158.49</v>
      </c>
      <c r="CE548" s="237">
        <f>-42.03-52.5</f>
        <v>-94.53</v>
      </c>
      <c r="CG548" s="237">
        <f>-29.1-133.95</f>
        <v>-163.04999999999998</v>
      </c>
      <c r="CI548" s="213">
        <v>-56.36</v>
      </c>
    </row>
    <row r="549" spans="1:89">
      <c r="C549" s="213" t="s">
        <v>8</v>
      </c>
      <c r="AD549" s="299">
        <v>169.4</v>
      </c>
      <c r="AE549" s="322">
        <f>ABS(((AD548+AD549)/AD548))</f>
        <v>0.545338441890166</v>
      </c>
      <c r="AF549" s="299">
        <v>148.47999999999999</v>
      </c>
      <c r="AG549" s="322">
        <f>ABS(((AF548+AF549)/AF548))</f>
        <v>0.33838110690463308</v>
      </c>
      <c r="AH549" s="214">
        <v>125.14</v>
      </c>
      <c r="AI549" s="222">
        <f>ABS(((AH548+AH549)/AH548))</f>
        <v>0.3034058952192481</v>
      </c>
      <c r="AJ549" s="214">
        <v>234.41</v>
      </c>
      <c r="AK549" s="222">
        <f>ABS(((AJ548+AJ549)/AJ548))</f>
        <v>0.29716119749875486</v>
      </c>
      <c r="AL549" s="214">
        <v>439.45</v>
      </c>
      <c r="AM549" s="222">
        <f>ABS(((AL548+AL549)/AL548))</f>
        <v>0.54144305307096019</v>
      </c>
      <c r="AN549" s="214">
        <v>484.79</v>
      </c>
      <c r="AO549" s="222">
        <f>ABS(((AN548+AN549)/AN548))</f>
        <v>0.74938654734411092</v>
      </c>
      <c r="AP549" s="214">
        <v>81.349999999999994</v>
      </c>
      <c r="AQ549" s="222">
        <f>ABS(((AP548+AP549)/AP548))</f>
        <v>0.41659495123350548</v>
      </c>
      <c r="AR549" s="214">
        <v>294.95999999999998</v>
      </c>
      <c r="AS549" s="222">
        <f>ABS(((AR548+AR549)/AR548))</f>
        <v>0.81659173492640247</v>
      </c>
      <c r="AT549" s="214">
        <v>198.46</v>
      </c>
      <c r="AU549" s="222">
        <f>AT550/AT549</f>
        <v>0.28585105310893894</v>
      </c>
      <c r="AV549" s="214">
        <v>113.63</v>
      </c>
      <c r="AW549" s="222">
        <f>AV550/AV549</f>
        <v>-0.15004840271055189</v>
      </c>
      <c r="AX549" s="214">
        <v>231.68</v>
      </c>
      <c r="AY549" s="224">
        <f>AX550/AX549</f>
        <v>0.31202520718232052</v>
      </c>
      <c r="AZ549" s="225"/>
      <c r="BA549" s="214">
        <v>371.63</v>
      </c>
      <c r="BB549" s="222">
        <f>BA550/BA549</f>
        <v>0.56690794607539763</v>
      </c>
      <c r="BC549" s="214">
        <v>237.6</v>
      </c>
      <c r="BD549" s="222">
        <f>BC550/BC549</f>
        <v>0.25803872053872057</v>
      </c>
      <c r="BE549" s="214">
        <v>308.14</v>
      </c>
      <c r="BF549" s="222">
        <f>BE550/BE549</f>
        <v>0.44265593561368205</v>
      </c>
      <c r="BG549" s="214">
        <v>136.79</v>
      </c>
      <c r="BH549" s="222">
        <f>BG550/BG549</f>
        <v>0.1880254404561737</v>
      </c>
      <c r="BI549" s="214">
        <v>294.93</v>
      </c>
      <c r="BJ549" s="222">
        <f>BI550/BI549</f>
        <v>0.37897128132099145</v>
      </c>
      <c r="BK549" s="214">
        <v>486.63</v>
      </c>
      <c r="BL549" s="222">
        <f>BK550/BK549</f>
        <v>0.35737624067566726</v>
      </c>
      <c r="BM549" s="214">
        <v>612.83000000000004</v>
      </c>
      <c r="BN549" s="222">
        <f>BM550/BM549</f>
        <v>0.51996475368372963</v>
      </c>
      <c r="BO549" s="214">
        <v>217.22</v>
      </c>
      <c r="BP549" s="222">
        <f>BO550/BO549</f>
        <v>3.3744590737501211E-2</v>
      </c>
      <c r="BQ549" s="214">
        <v>401.69</v>
      </c>
      <c r="BR549" s="222">
        <f>BQ550/BQ549</f>
        <v>0.34053623440961939</v>
      </c>
      <c r="BS549" s="214">
        <v>315.86</v>
      </c>
      <c r="BT549" s="222">
        <f>BS550/BS549</f>
        <v>0.36877097448236562</v>
      </c>
      <c r="BU549" s="214">
        <v>176.23</v>
      </c>
      <c r="BV549" s="222">
        <f>BU550/BU549</f>
        <v>1.9633433581115474E-2</v>
      </c>
      <c r="BW549" s="214">
        <v>301.3</v>
      </c>
      <c r="BX549" s="222">
        <f>BW550/BW549</f>
        <v>0.49787587122469307</v>
      </c>
      <c r="BY549" s="214">
        <v>493.61</v>
      </c>
      <c r="BZ549" s="222">
        <f>BY550/BY549</f>
        <v>0.59767832904519769</v>
      </c>
      <c r="CA549" s="214">
        <v>351.14</v>
      </c>
      <c r="CB549" s="222">
        <f>CA550/CA549</f>
        <v>0.46779062482200828</v>
      </c>
      <c r="CC549" s="214">
        <v>370.64</v>
      </c>
      <c r="CD549" s="222">
        <f>CC550/CC549</f>
        <v>0.57238830131664142</v>
      </c>
      <c r="CE549" s="214">
        <v>199.58</v>
      </c>
      <c r="CF549" s="222">
        <f>CE550/CE549</f>
        <v>0.52635534622707691</v>
      </c>
      <c r="CG549" s="214">
        <v>385.36</v>
      </c>
      <c r="CH549" s="222">
        <f>CG550/CG549</f>
        <v>0.576889142619888</v>
      </c>
      <c r="CI549" s="213">
        <v>568</v>
      </c>
      <c r="CK549" s="213">
        <v>631.04</v>
      </c>
    </row>
    <row r="550" spans="1:89">
      <c r="C550" s="213" t="s">
        <v>9</v>
      </c>
      <c r="AD550" s="243">
        <f>AD548+AD549</f>
        <v>59.78</v>
      </c>
      <c r="AE550" s="299"/>
      <c r="AF550" s="243">
        <f>AF548+AF549</f>
        <v>37.539999999999992</v>
      </c>
      <c r="AH550" s="243">
        <f>AH548+AH549</f>
        <v>29.13000000000001</v>
      </c>
      <c r="AI550" s="222"/>
      <c r="AJ550" s="243">
        <f>AJ548+AJ549</f>
        <v>53.699999999999989</v>
      </c>
      <c r="AL550" s="243">
        <f>AL548+AL549</f>
        <v>154.36000000000001</v>
      </c>
      <c r="AN550" s="243">
        <f>AN548+AN549</f>
        <v>207.67000000000002</v>
      </c>
      <c r="AP550" s="214">
        <f>AP548+AP549</f>
        <v>-58.09</v>
      </c>
      <c r="AR550" s="214">
        <f>AR548+AR549</f>
        <v>132.58999999999997</v>
      </c>
      <c r="AT550" s="214">
        <f>AT548+AT549</f>
        <v>56.730000000000018</v>
      </c>
      <c r="AV550" s="214">
        <f>AV548+AV549</f>
        <v>-17.050000000000011</v>
      </c>
      <c r="AX550" s="214">
        <f>AX548+AX549</f>
        <v>72.29000000000002</v>
      </c>
      <c r="BA550" s="214">
        <f>BA548+BA549</f>
        <v>210.68</v>
      </c>
      <c r="BC550" s="214">
        <f>BC548+BC549</f>
        <v>61.31</v>
      </c>
      <c r="BE550" s="214">
        <f>BE548+BE549</f>
        <v>136.39999999999998</v>
      </c>
      <c r="BG550" s="214">
        <f>BG548+BG549</f>
        <v>25.72</v>
      </c>
      <c r="BI550" s="214">
        <f>BI548+BI549</f>
        <v>111.77000000000001</v>
      </c>
      <c r="BK550" s="214">
        <f>BK548+BK549</f>
        <v>173.90999999999997</v>
      </c>
      <c r="BM550" s="214">
        <f>BM548+BM549</f>
        <v>318.65000000000003</v>
      </c>
      <c r="BO550" s="214">
        <f>BO548+BO549</f>
        <v>7.3300000000000125</v>
      </c>
      <c r="BQ550" s="214">
        <f>BQ548+BQ549</f>
        <v>136.79000000000002</v>
      </c>
      <c r="BS550" s="214">
        <f>BS548+BS549</f>
        <v>116.48000000000002</v>
      </c>
      <c r="BU550" s="214">
        <f>BU548+BU549</f>
        <v>3.4599999999999795</v>
      </c>
      <c r="BW550" s="214">
        <f>BW548+BW549</f>
        <v>150.01000000000002</v>
      </c>
      <c r="BY550" s="214">
        <f>BY548+BY549</f>
        <v>295.02000000000004</v>
      </c>
      <c r="CA550" s="214">
        <f>CA548+CA549</f>
        <v>164.26</v>
      </c>
      <c r="CC550" s="214">
        <f>CC548+CC549</f>
        <v>212.14999999999998</v>
      </c>
      <c r="CE550" s="214">
        <f>CE548+CE549</f>
        <v>105.05000000000001</v>
      </c>
      <c r="CG550" s="214">
        <f>CG548+CG549</f>
        <v>222.31000000000003</v>
      </c>
    </row>
    <row r="551" spans="1:89" ht="18">
      <c r="A551" s="231">
        <v>158</v>
      </c>
      <c r="B551" s="279">
        <v>268431450</v>
      </c>
      <c r="C551" s="213" t="s">
        <v>204</v>
      </c>
      <c r="Z551" s="329"/>
      <c r="AD551" s="299"/>
      <c r="AE551" s="299"/>
      <c r="AF551" s="299"/>
      <c r="AP551" s="214"/>
      <c r="AT551" s="214"/>
    </row>
    <row r="552" spans="1:89">
      <c r="C552" s="253" t="s">
        <v>205</v>
      </c>
      <c r="AD552" s="235">
        <v>45323</v>
      </c>
      <c r="AF552" s="235">
        <v>45352</v>
      </c>
      <c r="AH552" s="235">
        <v>45383</v>
      </c>
      <c r="AJ552" s="235">
        <v>45413</v>
      </c>
      <c r="AL552" s="235">
        <v>45444</v>
      </c>
      <c r="AN552" s="235">
        <v>45474</v>
      </c>
      <c r="AP552" s="235">
        <v>45505</v>
      </c>
      <c r="AR552" s="236">
        <v>45536</v>
      </c>
      <c r="AT552" s="236">
        <v>45566</v>
      </c>
      <c r="AV552" s="235">
        <v>45597</v>
      </c>
      <c r="AX552" s="235">
        <v>45627</v>
      </c>
      <c r="BA552" s="235">
        <v>45658</v>
      </c>
      <c r="BC552" s="235">
        <v>45689</v>
      </c>
      <c r="BE552" s="235">
        <v>45717</v>
      </c>
      <c r="BG552" s="235">
        <v>45748</v>
      </c>
      <c r="BI552" s="235">
        <v>45778</v>
      </c>
      <c r="BK552" s="235">
        <v>45809</v>
      </c>
      <c r="BM552" s="235">
        <v>45839</v>
      </c>
      <c r="BO552" s="235">
        <v>45870</v>
      </c>
      <c r="BQ552" s="235">
        <v>45901</v>
      </c>
      <c r="BS552" s="235">
        <v>45931</v>
      </c>
      <c r="BU552" s="235">
        <v>45962</v>
      </c>
      <c r="BW552" s="235">
        <v>45992</v>
      </c>
      <c r="BY552" s="235">
        <v>46023</v>
      </c>
      <c r="CA552" s="235">
        <v>46054</v>
      </c>
      <c r="CC552" s="235">
        <v>46082</v>
      </c>
      <c r="CE552" s="235">
        <v>46113</v>
      </c>
      <c r="CG552" s="235">
        <v>46143</v>
      </c>
      <c r="CI552" s="341">
        <v>46174</v>
      </c>
    </row>
    <row r="553" spans="1:89">
      <c r="C553" s="213" t="s">
        <v>7</v>
      </c>
      <c r="AD553" s="237">
        <v>-117.52</v>
      </c>
      <c r="AE553" s="299"/>
      <c r="AF553" s="237">
        <f>-44.91-106.93</f>
        <v>-151.84</v>
      </c>
      <c r="AH553" s="237">
        <f>-48.12-130.9</f>
        <v>-179.02</v>
      </c>
      <c r="AJ553" s="237">
        <f>-53.65-201.8</f>
        <v>-255.45000000000002</v>
      </c>
      <c r="AL553" s="237">
        <f>-208.6-110.91</f>
        <v>-319.51</v>
      </c>
      <c r="AN553" s="237">
        <f>-83.31-186.07</f>
        <v>-269.38</v>
      </c>
      <c r="AP553" s="237">
        <f>-64.73-77.66</f>
        <v>-142.38999999999999</v>
      </c>
      <c r="AR553" s="237">
        <f>-35.17-215.8</f>
        <v>-250.97000000000003</v>
      </c>
      <c r="AT553" s="237">
        <f>-97.24-200.56</f>
        <v>-297.8</v>
      </c>
      <c r="AV553" s="237">
        <f>-86.45-95.98</f>
        <v>-182.43</v>
      </c>
      <c r="AX553" s="237">
        <f>-45.53-73.92</f>
        <v>-119.45</v>
      </c>
      <c r="BA553" s="237">
        <f>-42.09-122.17</f>
        <v>-164.26</v>
      </c>
      <c r="BC553" s="237">
        <f>-83.46-74.7</f>
        <v>-158.16</v>
      </c>
      <c r="BE553" s="237">
        <f>-49.85-75.39</f>
        <v>-125.24000000000001</v>
      </c>
      <c r="BG553" s="237">
        <f>-28.84-91.96</f>
        <v>-120.8</v>
      </c>
      <c r="BI553" s="237">
        <f>-45.9-162.6</f>
        <v>-208.5</v>
      </c>
      <c r="BK553" s="237">
        <f>-73.11-230.37</f>
        <v>-303.48</v>
      </c>
      <c r="BM553" s="237">
        <f>-98.81-175.78</f>
        <v>-274.59000000000003</v>
      </c>
      <c r="BO553" s="237">
        <f>-103.98-97.74</f>
        <v>-201.72</v>
      </c>
      <c r="BQ553" s="237">
        <f>-43.42-220.22</f>
        <v>-263.64</v>
      </c>
      <c r="BS553" s="237">
        <f>-80.02-134.09</f>
        <v>-214.11</v>
      </c>
      <c r="BU553" s="237">
        <f>-58.4-78.2</f>
        <v>-136.6</v>
      </c>
      <c r="BW553" s="237">
        <f>-35.1-92.4</f>
        <v>-127.5</v>
      </c>
      <c r="BY553" s="237">
        <f>-50.42-116.85</f>
        <v>-167.26999999999998</v>
      </c>
      <c r="CA553" s="237">
        <f>-55.21-80.37</f>
        <v>-135.58000000000001</v>
      </c>
      <c r="CC553" s="237">
        <f>-37.96-91.08</f>
        <v>-129.04</v>
      </c>
      <c r="CE553" s="237">
        <f>-37.15-102.06</f>
        <v>-139.21</v>
      </c>
      <c r="CG553" s="237">
        <f>-58.34-163.4</f>
        <v>-221.74</v>
      </c>
      <c r="CI553" s="213">
        <v>-68.760000000000005</v>
      </c>
    </row>
    <row r="554" spans="1:89">
      <c r="C554" s="213" t="s">
        <v>8</v>
      </c>
      <c r="AD554" s="299">
        <v>189.85</v>
      </c>
      <c r="AE554" s="322">
        <f>ABS(((AD553+AD554)/AD553))</f>
        <v>0.61546970728386663</v>
      </c>
      <c r="AF554" s="299">
        <v>208.143</v>
      </c>
      <c r="AG554" s="322">
        <f>ABS(((AF553+AF554)/AF553))</f>
        <v>0.37080479452054793</v>
      </c>
      <c r="AH554" s="214">
        <v>252.44</v>
      </c>
      <c r="AI554" s="222">
        <f>ABS(((AH553+AH554)/AH553))</f>
        <v>0.41012177410345202</v>
      </c>
      <c r="AJ554" s="214">
        <v>331.58</v>
      </c>
      <c r="AK554" s="222">
        <f>ABS(((AJ553+AJ554)/AJ553))</f>
        <v>0.29802309649637881</v>
      </c>
      <c r="AL554" s="214">
        <v>504.43</v>
      </c>
      <c r="AM554" s="222">
        <f>ABS(((AL553+AL554)/AL553))</f>
        <v>0.57876122813057496</v>
      </c>
      <c r="AN554" s="214">
        <v>456.1</v>
      </c>
      <c r="AO554" s="222">
        <f>ABS(((AN553+AN554)/AN553))</f>
        <v>0.69314722696562492</v>
      </c>
      <c r="AP554" s="214">
        <v>70.849999999999994</v>
      </c>
      <c r="AQ554" s="222">
        <f>ABS(((AP553+AP554)/AP553))</f>
        <v>0.50242292295807289</v>
      </c>
      <c r="AR554" s="214">
        <v>461.09</v>
      </c>
      <c r="AS554" s="222">
        <f>ABS(((AR553+AR554)/AR553))</f>
        <v>0.83723154161851987</v>
      </c>
      <c r="AT554" s="214">
        <v>390.05</v>
      </c>
      <c r="AU554" s="222">
        <f>AT555/AT554</f>
        <v>0.23650813998205358</v>
      </c>
      <c r="AV554" s="214">
        <v>203.51</v>
      </c>
      <c r="AW554" s="222">
        <f>AV555/AV554</f>
        <v>0.10358213355609054</v>
      </c>
      <c r="AX554" s="214">
        <v>157.71</v>
      </c>
      <c r="AY554" s="224">
        <f>AX555/AX554</f>
        <v>0.24259717202460213</v>
      </c>
      <c r="AZ554" s="225"/>
      <c r="BA554" s="214">
        <v>400.04</v>
      </c>
      <c r="BB554" s="222">
        <f>BA555/BA554</f>
        <v>0.58939106089391069</v>
      </c>
      <c r="BC554" s="214">
        <v>185.84</v>
      </c>
      <c r="BD554" s="222">
        <f>BC555/BC554</f>
        <v>0.14894532931554028</v>
      </c>
      <c r="BE554" s="214">
        <v>207.08</v>
      </c>
      <c r="BF554" s="222">
        <f>BE555/BE554</f>
        <v>0.39520958083832336</v>
      </c>
      <c r="BG554" s="214">
        <v>182.22</v>
      </c>
      <c r="BH554" s="222">
        <f>BG555/BG554</f>
        <v>0.3370650861595873</v>
      </c>
      <c r="BI554" s="214">
        <v>366.9</v>
      </c>
      <c r="BJ554" s="222">
        <f>BI555/BI554</f>
        <v>0.4317252657399836</v>
      </c>
      <c r="BK554" s="214">
        <v>544.70000000000005</v>
      </c>
      <c r="BL554" s="222">
        <f>BK555/BK554</f>
        <v>0.44284927483018177</v>
      </c>
      <c r="BM554" s="214">
        <v>598.91999999999996</v>
      </c>
      <c r="BN554" s="222">
        <f>BM555/BM554</f>
        <v>0.54152474454017219</v>
      </c>
      <c r="BO554" s="214">
        <v>141.27000000000001</v>
      </c>
      <c r="BP554" s="222">
        <f>BO555/BO554</f>
        <v>-0.42790401359099584</v>
      </c>
      <c r="BQ554" s="214">
        <v>579.27</v>
      </c>
      <c r="BR554" s="222">
        <f>BQ555/BQ554</f>
        <v>0.544875446682894</v>
      </c>
      <c r="BS554" s="214">
        <v>547.92999999999995</v>
      </c>
      <c r="BT554" s="222">
        <f>BS555/BS554</f>
        <v>0.60923840636577664</v>
      </c>
      <c r="BU554" s="214">
        <v>337.79</v>
      </c>
      <c r="BV554" s="222">
        <f>BU555/BU554</f>
        <v>0.59560673791408869</v>
      </c>
      <c r="BW554" s="214">
        <v>234.78</v>
      </c>
      <c r="BX554" s="222">
        <f>BW555/BW554</f>
        <v>0.45693841042678252</v>
      </c>
      <c r="BY554" s="214">
        <v>522.69000000000005</v>
      </c>
      <c r="BZ554" s="222">
        <f>BY555/BY554</f>
        <v>0.67998239874495403</v>
      </c>
      <c r="CA554" s="214">
        <v>293.39</v>
      </c>
      <c r="CB554" s="222">
        <f>CA555/CA554</f>
        <v>0.53788472681413813</v>
      </c>
      <c r="CC554" s="214">
        <v>270.98</v>
      </c>
      <c r="CD554" s="222">
        <f>CC555/CC554</f>
        <v>0.5238024946490516</v>
      </c>
      <c r="CE554" s="214">
        <v>258.82</v>
      </c>
      <c r="CF554" s="222">
        <f>CE555/CE554</f>
        <v>0.46213584730700868</v>
      </c>
      <c r="CG554" s="214">
        <v>430.5</v>
      </c>
      <c r="CH554" s="222">
        <f>CG555/CG554</f>
        <v>0.48492450638792101</v>
      </c>
      <c r="CI554" s="213">
        <v>629.67999999999995</v>
      </c>
      <c r="CK554" s="213">
        <v>688.42</v>
      </c>
    </row>
    <row r="555" spans="1:89">
      <c r="C555" s="213" t="s">
        <v>9</v>
      </c>
      <c r="AD555" s="243">
        <f>AD553+AD554</f>
        <v>72.33</v>
      </c>
      <c r="AE555" s="299"/>
      <c r="AF555" s="243">
        <f>AF553+AF554</f>
        <v>56.302999999999997</v>
      </c>
      <c r="AH555" s="243">
        <f>AH553+AH554</f>
        <v>73.419999999999987</v>
      </c>
      <c r="AI555" s="222"/>
      <c r="AJ555" s="243">
        <f>AJ553+AJ554</f>
        <v>76.129999999999967</v>
      </c>
      <c r="AL555" s="243">
        <f>AL553+AL554</f>
        <v>184.92000000000002</v>
      </c>
      <c r="AN555" s="243">
        <f>AN553+AN554</f>
        <v>186.72000000000003</v>
      </c>
      <c r="AP555" s="214">
        <f>AP553+AP554</f>
        <v>-71.539999999999992</v>
      </c>
      <c r="AR555" s="214">
        <f>AR553+AR554</f>
        <v>210.11999999999995</v>
      </c>
      <c r="AT555" s="214">
        <f>AT553+AT554</f>
        <v>92.25</v>
      </c>
      <c r="AV555" s="214">
        <f>AV553+AV554</f>
        <v>21.079999999999984</v>
      </c>
      <c r="AX555" s="214">
        <f>AX553+AX554</f>
        <v>38.260000000000005</v>
      </c>
      <c r="BA555" s="214">
        <f>BA553+BA554</f>
        <v>235.78000000000003</v>
      </c>
      <c r="BC555" s="214">
        <f>BC553+BC554</f>
        <v>27.680000000000007</v>
      </c>
      <c r="BE555" s="214">
        <f>BE553+BE554</f>
        <v>81.84</v>
      </c>
      <c r="BG555" s="214">
        <f>BG553+BG554</f>
        <v>61.42</v>
      </c>
      <c r="BI555" s="214">
        <f>BI553+BI554</f>
        <v>158.39999999999998</v>
      </c>
      <c r="BK555" s="214">
        <f>BK553+BK554</f>
        <v>241.22000000000003</v>
      </c>
      <c r="BM555" s="214">
        <f>BM553+BM554</f>
        <v>324.32999999999993</v>
      </c>
      <c r="BO555" s="214">
        <f>BO553+BO554</f>
        <v>-60.449999999999989</v>
      </c>
      <c r="BQ555" s="214">
        <f>BQ553+BQ554</f>
        <v>315.63</v>
      </c>
      <c r="BS555" s="214">
        <f>BS553+BS554</f>
        <v>333.81999999999994</v>
      </c>
      <c r="BU555" s="214">
        <f>BU553+BU554</f>
        <v>201.19000000000003</v>
      </c>
      <c r="BW555" s="214">
        <f>BW553+BW554</f>
        <v>107.28</v>
      </c>
      <c r="BY555" s="214">
        <f>BY553+BY554</f>
        <v>355.42000000000007</v>
      </c>
      <c r="CA555" s="214">
        <f>CA553+CA554</f>
        <v>157.80999999999997</v>
      </c>
      <c r="CC555" s="214">
        <f>CC553+CC554</f>
        <v>141.94000000000003</v>
      </c>
      <c r="CE555" s="214">
        <f>CE553+CE554</f>
        <v>119.60999999999999</v>
      </c>
      <c r="CG555" s="214">
        <f>CG553+CG554</f>
        <v>208.76</v>
      </c>
    </row>
    <row r="556" spans="1:89">
      <c r="A556" s="231">
        <v>159</v>
      </c>
      <c r="B556" s="279">
        <v>268431267</v>
      </c>
      <c r="C556" s="213" t="s">
        <v>206</v>
      </c>
      <c r="AD556" s="299"/>
      <c r="AE556" s="299"/>
      <c r="AF556" s="299"/>
      <c r="AP556" s="214"/>
      <c r="AT556" s="214"/>
    </row>
    <row r="557" spans="1:89">
      <c r="C557" s="253" t="s">
        <v>207</v>
      </c>
      <c r="AD557" s="235">
        <v>45323</v>
      </c>
      <c r="AF557" s="235">
        <v>45352</v>
      </c>
      <c r="AH557" s="235">
        <v>45383</v>
      </c>
      <c r="AJ557" s="235">
        <v>45413</v>
      </c>
      <c r="AL557" s="235">
        <v>45444</v>
      </c>
      <c r="AN557" s="235">
        <v>45474</v>
      </c>
      <c r="AP557" s="235">
        <v>45505</v>
      </c>
      <c r="AR557" s="236">
        <v>45536</v>
      </c>
      <c r="AT557" s="236">
        <v>45566</v>
      </c>
      <c r="AV557" s="235">
        <v>45597</v>
      </c>
      <c r="AX557" s="235">
        <v>45627</v>
      </c>
      <c r="BA557" s="235">
        <v>45658</v>
      </c>
      <c r="BC557" s="235">
        <v>45689</v>
      </c>
      <c r="BE557" s="235">
        <v>45717</v>
      </c>
      <c r="BG557" s="235">
        <v>45748</v>
      </c>
      <c r="BI557" s="235">
        <v>45778</v>
      </c>
      <c r="BK557" s="235">
        <v>45809</v>
      </c>
      <c r="BM557" s="235">
        <v>45839</v>
      </c>
      <c r="BO557" s="235">
        <v>45870</v>
      </c>
      <c r="BQ557" s="235">
        <v>45901</v>
      </c>
      <c r="BS557" s="235">
        <v>45931</v>
      </c>
      <c r="BU557" s="235">
        <v>45962</v>
      </c>
      <c r="BW557" s="235">
        <v>45992</v>
      </c>
      <c r="BY557" s="235">
        <v>46023</v>
      </c>
      <c r="CA557" s="235">
        <v>46054</v>
      </c>
      <c r="CC557" s="235">
        <v>46082</v>
      </c>
      <c r="CE557" s="235">
        <v>46113</v>
      </c>
      <c r="CG557" s="235">
        <v>46143</v>
      </c>
      <c r="CI557" s="341">
        <v>46174</v>
      </c>
    </row>
    <row r="558" spans="1:89">
      <c r="C558" s="213" t="s">
        <v>7</v>
      </c>
      <c r="AD558" s="237">
        <v>-185.12</v>
      </c>
      <c r="AF558" s="237">
        <f>-71.28-98</f>
        <v>-169.28</v>
      </c>
      <c r="AH558" s="237">
        <f>-39.47-69.3</f>
        <v>-108.77</v>
      </c>
      <c r="AJ558" s="237">
        <f>-28.5-148.2</f>
        <v>-176.7</v>
      </c>
      <c r="AL558" s="237">
        <f>-219.2-81.54</f>
        <v>-300.74</v>
      </c>
      <c r="AN558" s="237">
        <f>-87.68-229.08</f>
        <v>-316.76</v>
      </c>
      <c r="AP558" s="237">
        <f>-79.65-110.17</f>
        <v>-189.82</v>
      </c>
      <c r="AR558" s="237">
        <f>-43.05-205.4</f>
        <v>-248.45</v>
      </c>
      <c r="AT558" s="237">
        <f>-92.5-143.98</f>
        <v>-236.48</v>
      </c>
      <c r="AV558" s="237">
        <f>-68.91-78.28</f>
        <v>-147.19</v>
      </c>
      <c r="AX558" s="237">
        <f>-41.29-57.12</f>
        <v>-98.41</v>
      </c>
      <c r="BA558" s="237">
        <f>-32.8-61.94</f>
        <v>-94.74</v>
      </c>
      <c r="BC558" s="237">
        <f>-42.37-62.25</f>
        <v>-104.62</v>
      </c>
      <c r="BE558" s="237">
        <f>-41.62-86.31</f>
        <v>-127.93</v>
      </c>
      <c r="BG558" s="237">
        <f>-33.01-103.84</f>
        <v>-136.85</v>
      </c>
      <c r="BI558" s="237">
        <f>-52.03-171</f>
        <v>-223.03</v>
      </c>
      <c r="BK558" s="237">
        <f>-77.01-237.72</f>
        <v>-314.73</v>
      </c>
      <c r="BM558" s="237">
        <f>-101.79-131.34</f>
        <v>-233.13</v>
      </c>
      <c r="BO558" s="237">
        <f>-77.58-97.02</f>
        <v>-174.6</v>
      </c>
      <c r="BQ558" s="237">
        <f>-43.01-202.18</f>
        <v>-245.19</v>
      </c>
      <c r="BS558" s="237">
        <f>-73.62-158.47</f>
        <v>-232.09</v>
      </c>
      <c r="BU558" s="237">
        <f>-68.8-109</f>
        <v>-177.8</v>
      </c>
      <c r="BW558" s="237">
        <f>-49.03-87.56</f>
        <v>-136.59</v>
      </c>
      <c r="BY558" s="237">
        <f>-47.6-145.16</f>
        <v>-192.76</v>
      </c>
      <c r="CA558" s="237">
        <f>-68.74-80.37</f>
        <v>-149.11000000000001</v>
      </c>
      <c r="CC558" s="237">
        <v>-146.08000000000001</v>
      </c>
      <c r="CE558" s="237">
        <f>-59.76-94.92</f>
        <v>-154.68</v>
      </c>
      <c r="CG558" s="237">
        <f>-54.38-131.29</f>
        <v>-185.67</v>
      </c>
      <c r="CI558" s="213">
        <v>-55.34</v>
      </c>
    </row>
    <row r="559" spans="1:89">
      <c r="C559" s="213" t="s">
        <v>8</v>
      </c>
      <c r="AD559" s="299">
        <v>297.27</v>
      </c>
      <c r="AE559" s="322">
        <f>ABS(((AD558+AD559)/AD558))</f>
        <v>0.60582324978392377</v>
      </c>
      <c r="AF559" s="299">
        <v>219.07</v>
      </c>
      <c r="AG559" s="322">
        <f>ABS(((AF558+AF559)/AF558))</f>
        <v>0.29412807183364836</v>
      </c>
      <c r="AH559" s="214">
        <v>133.47</v>
      </c>
      <c r="AI559" s="322">
        <f>ABS(((AH558+AH559)/AH558))</f>
        <v>0.22708467408292732</v>
      </c>
      <c r="AJ559" s="214">
        <v>217.72</v>
      </c>
      <c r="AK559" s="222">
        <f>ABS(((AJ558+AJ559)/AJ558))</f>
        <v>0.23214487832484443</v>
      </c>
      <c r="AL559" s="214">
        <v>460.45</v>
      </c>
      <c r="AM559" s="222">
        <f>ABS(((AL558+AL559)/AL558))</f>
        <v>0.53105672674070614</v>
      </c>
      <c r="AN559" s="214">
        <v>580.04</v>
      </c>
      <c r="AO559" s="222">
        <f>ABS(((AN558+AN559)/AN558))</f>
        <v>0.83116555120596025</v>
      </c>
      <c r="AP559" s="214">
        <v>117.43</v>
      </c>
      <c r="AQ559" s="222">
        <f>ABS(((AP558+AP559)/AP558))</f>
        <v>0.38136128964281946</v>
      </c>
      <c r="AR559" s="214">
        <v>454.13</v>
      </c>
      <c r="AS559" s="222">
        <f>ABS(((AR558+AR559)/AR558))</f>
        <v>0.82785268665727518</v>
      </c>
      <c r="AT559" s="214">
        <v>326.20999999999998</v>
      </c>
      <c r="AU559" s="222">
        <f>AT560/AT559</f>
        <v>0.27506820759633366</v>
      </c>
      <c r="AV559" s="214">
        <v>152.61000000000001</v>
      </c>
      <c r="AW559" s="222">
        <f>AV560/AV559</f>
        <v>3.551536596553316E-2</v>
      </c>
      <c r="AX559" s="214">
        <v>137.38</v>
      </c>
      <c r="AY559" s="224">
        <f>AX560/AX559</f>
        <v>0.28366574464987626</v>
      </c>
      <c r="AZ559" s="225"/>
      <c r="BA559" s="214">
        <v>187.81</v>
      </c>
      <c r="BB559" s="222">
        <f>BA560/BA559</f>
        <v>0.49555401735796817</v>
      </c>
      <c r="BC559" s="214">
        <v>132.88999999999999</v>
      </c>
      <c r="BD559" s="222">
        <f>BC560/BC559</f>
        <v>0.21273233501392116</v>
      </c>
      <c r="BE559" s="214">
        <v>313.61</v>
      </c>
      <c r="BF559" s="222">
        <f>BE560/BE559</f>
        <v>0.59207295685724304</v>
      </c>
      <c r="BG559" s="214">
        <v>215.16</v>
      </c>
      <c r="BH559" s="222">
        <f>BG560/BG559</f>
        <v>0.36396170291875812</v>
      </c>
      <c r="BI559" s="214">
        <v>269.14999999999998</v>
      </c>
      <c r="BJ559" s="222">
        <f>BI560/BI559</f>
        <v>0.17135426342188365</v>
      </c>
      <c r="BK559" s="214">
        <v>495.68</v>
      </c>
      <c r="BL559" s="222">
        <f>BK560/BK559</f>
        <v>0.36505406714009037</v>
      </c>
      <c r="BM559" s="214">
        <v>728.02</v>
      </c>
      <c r="BN559" s="222">
        <f>BM560/BM559</f>
        <v>0.6797752808988764</v>
      </c>
      <c r="BO559" s="214">
        <v>183.77</v>
      </c>
      <c r="BP559" s="222">
        <f>BO560/BO559</f>
        <v>4.9899330685095583E-2</v>
      </c>
      <c r="BQ559" s="214">
        <v>589.03</v>
      </c>
      <c r="BR559" s="222">
        <f>BQ560/BQ559</f>
        <v>0.58373936811367844</v>
      </c>
      <c r="BS559" s="214">
        <v>485.74</v>
      </c>
      <c r="BT559" s="222">
        <f>BS560/BS559</f>
        <v>0.52219294272656158</v>
      </c>
      <c r="BU559" s="214">
        <v>287.82</v>
      </c>
      <c r="BV559" s="222">
        <f>BU560/BU559</f>
        <v>0.38225279688694319</v>
      </c>
      <c r="BW559" s="214">
        <v>216.49</v>
      </c>
      <c r="BX559" s="222">
        <f>BW560/BW559</f>
        <v>0.36907016490369071</v>
      </c>
      <c r="BY559" s="214">
        <v>254.71</v>
      </c>
      <c r="BZ559" s="222">
        <f>BY560/BY559</f>
        <v>0.24321777707981632</v>
      </c>
      <c r="CA559" s="214">
        <v>210.38</v>
      </c>
      <c r="CB559" s="222">
        <f>CA560/CA559</f>
        <v>0.29123490826124149</v>
      </c>
      <c r="CC559" s="214">
        <v>406.57</v>
      </c>
      <c r="CD559" s="222">
        <f>CC560/CC559</f>
        <v>0.64070147822023271</v>
      </c>
      <c r="CE559" s="214">
        <v>301.14</v>
      </c>
      <c r="CF559" s="222">
        <f>CE560/CE559</f>
        <v>0.48635186292090055</v>
      </c>
      <c r="CG559" s="214">
        <v>344.21</v>
      </c>
      <c r="CH559" s="222">
        <f>CG560/CG559</f>
        <v>0.46059091833473753</v>
      </c>
      <c r="CI559" s="213">
        <v>598.55999999999995</v>
      </c>
      <c r="CK559" s="213">
        <v>776.99</v>
      </c>
    </row>
    <row r="560" spans="1:89">
      <c r="C560" s="213" t="s">
        <v>9</v>
      </c>
      <c r="AD560" s="243">
        <f>AD558+AD559</f>
        <v>112.14999999999998</v>
      </c>
      <c r="AF560" s="243">
        <f>AF558+AF559</f>
        <v>49.789999999999992</v>
      </c>
      <c r="AH560" s="243">
        <f>AH558+AH559</f>
        <v>24.700000000000003</v>
      </c>
      <c r="AI560" s="222"/>
      <c r="AJ560" s="243">
        <f>AJ558+AJ559</f>
        <v>41.02000000000001</v>
      </c>
      <c r="AL560" s="243">
        <f>AL558+AL559</f>
        <v>159.70999999999998</v>
      </c>
      <c r="AN560" s="243">
        <f>AN558+AN559</f>
        <v>263.27999999999997</v>
      </c>
      <c r="AP560" s="214">
        <f>AP558+AP559</f>
        <v>-72.389999999999986</v>
      </c>
      <c r="AR560" s="214">
        <f>AR558+AR559</f>
        <v>205.68</v>
      </c>
      <c r="AT560" s="214">
        <f>AT558+AT559</f>
        <v>89.72999999999999</v>
      </c>
      <c r="AV560" s="214">
        <f>AV558+AV559</f>
        <v>5.4200000000000159</v>
      </c>
      <c r="AX560" s="214">
        <f>AX558+AX559</f>
        <v>38.97</v>
      </c>
      <c r="BA560" s="214">
        <f>BA558+BA559</f>
        <v>93.070000000000007</v>
      </c>
      <c r="BC560" s="214">
        <f>BC558+BC559</f>
        <v>28.269999999999982</v>
      </c>
      <c r="BE560" s="214">
        <f>BE558+BE559</f>
        <v>185.68</v>
      </c>
      <c r="BG560" s="214">
        <f>BG558+BG559</f>
        <v>78.31</v>
      </c>
      <c r="BI560" s="214">
        <f>BI558+BI559</f>
        <v>46.119999999999976</v>
      </c>
      <c r="BK560" s="214">
        <f>BK558+BK559</f>
        <v>180.95</v>
      </c>
      <c r="BM560" s="214">
        <f>BM558+BM559</f>
        <v>494.89</v>
      </c>
      <c r="BO560" s="214">
        <f>BO558+BO559</f>
        <v>9.1700000000000159</v>
      </c>
      <c r="BQ560" s="214">
        <f>BQ558+BQ559</f>
        <v>343.84</v>
      </c>
      <c r="BS560" s="214">
        <f>BS558+BS559</f>
        <v>253.65</v>
      </c>
      <c r="BU560" s="214">
        <f>BU558+BU559</f>
        <v>110.01999999999998</v>
      </c>
      <c r="BW560" s="214">
        <f>BW558+BW559</f>
        <v>79.900000000000006</v>
      </c>
      <c r="BY560" s="214">
        <f>BY558+BY559</f>
        <v>61.950000000000017</v>
      </c>
      <c r="CA560" s="214">
        <f>CA558+CA559</f>
        <v>61.269999999999982</v>
      </c>
      <c r="CC560" s="214">
        <f>CC558+CC559</f>
        <v>260.49</v>
      </c>
      <c r="CE560" s="214">
        <f>CE558+CE559</f>
        <v>146.45999999999998</v>
      </c>
      <c r="CG560" s="214">
        <f>CG558+CG559</f>
        <v>158.54</v>
      </c>
    </row>
    <row r="561" spans="1:89">
      <c r="A561" s="211">
        <v>161</v>
      </c>
      <c r="B561" s="279"/>
      <c r="C561" s="330" t="s">
        <v>208</v>
      </c>
      <c r="AD561" s="214"/>
      <c r="AF561" s="299"/>
      <c r="AI561" s="222"/>
      <c r="AP561" s="214"/>
      <c r="AT561" s="214"/>
    </row>
    <row r="562" spans="1:89">
      <c r="C562" s="253" t="s">
        <v>209</v>
      </c>
      <c r="AD562" s="235">
        <v>45323</v>
      </c>
      <c r="AF562" s="235">
        <v>45352</v>
      </c>
      <c r="AH562" s="235">
        <v>45383</v>
      </c>
      <c r="AJ562" s="235">
        <v>45413</v>
      </c>
      <c r="AL562" s="235">
        <v>45444</v>
      </c>
      <c r="AN562" s="235">
        <v>45474</v>
      </c>
      <c r="AP562" s="235">
        <v>45505</v>
      </c>
      <c r="AR562" s="236">
        <v>45536</v>
      </c>
      <c r="AT562" s="236">
        <v>45566</v>
      </c>
      <c r="AV562" s="235">
        <v>45597</v>
      </c>
      <c r="AX562" s="235">
        <v>45627</v>
      </c>
      <c r="BA562" s="235">
        <v>45658</v>
      </c>
      <c r="BC562" s="235">
        <v>45689</v>
      </c>
      <c r="BE562" s="235">
        <v>45717</v>
      </c>
      <c r="BG562" s="235">
        <v>45748</v>
      </c>
      <c r="BI562" s="235">
        <v>45778</v>
      </c>
      <c r="BK562" s="235">
        <v>45809</v>
      </c>
      <c r="BM562" s="235">
        <v>45839</v>
      </c>
      <c r="BO562" s="235">
        <v>45870</v>
      </c>
      <c r="BQ562" s="235">
        <v>45901</v>
      </c>
      <c r="BS562" s="235">
        <v>45931</v>
      </c>
      <c r="BU562" s="235">
        <v>45962</v>
      </c>
      <c r="BW562" s="235">
        <v>45992</v>
      </c>
      <c r="BY562" s="235">
        <v>46023</v>
      </c>
      <c r="CA562" s="235">
        <v>46054</v>
      </c>
      <c r="CC562" s="235">
        <v>46082</v>
      </c>
      <c r="CE562" s="235">
        <v>46113</v>
      </c>
      <c r="CG562" s="235">
        <v>46143</v>
      </c>
      <c r="CI562" s="341">
        <v>46174</v>
      </c>
    </row>
    <row r="563" spans="1:89">
      <c r="C563" s="213" t="s">
        <v>7</v>
      </c>
      <c r="AD563" s="299">
        <v>0</v>
      </c>
      <c r="AF563" s="328">
        <v>-53.04</v>
      </c>
      <c r="AH563" s="237">
        <f>-24.97-45.54</f>
        <v>-70.509999999999991</v>
      </c>
      <c r="AJ563" s="237">
        <f>-15.92-57.42</f>
        <v>-73.34</v>
      </c>
      <c r="AL563" s="237">
        <f>-25.96-76.2</f>
        <v>-102.16</v>
      </c>
      <c r="AN563" s="237">
        <f>-34.34-83.26</f>
        <v>-117.60000000000001</v>
      </c>
      <c r="AP563" s="237">
        <f>-25.22-41.4</f>
        <v>-66.62</v>
      </c>
      <c r="AR563" s="237">
        <f>-16.1-30.24</f>
        <v>-46.34</v>
      </c>
      <c r="AT563" s="237">
        <f>-11.59-38.87</f>
        <v>-50.459999999999994</v>
      </c>
      <c r="AV563" s="237">
        <f>-13.53-48.18</f>
        <v>-61.71</v>
      </c>
      <c r="AX563" s="237">
        <v>-19.79</v>
      </c>
      <c r="BA563" s="237">
        <f>-32.87-25.42</f>
        <v>-58.29</v>
      </c>
      <c r="BC563" s="237">
        <f>-22.62-26.25</f>
        <v>-48.870000000000005</v>
      </c>
      <c r="BE563" s="237">
        <f>-17.54-39.27</f>
        <v>-56.81</v>
      </c>
      <c r="BG563" s="237">
        <f>-14.82-39.38</f>
        <v>-54.2</v>
      </c>
      <c r="BI563" s="237">
        <f>-59.4-19.72</f>
        <v>-79.12</v>
      </c>
      <c r="BK563" s="237">
        <f>-26.68-109.83</f>
        <v>-136.51</v>
      </c>
      <c r="BM563" s="237">
        <f>-41.87-96.14</f>
        <v>-138.01</v>
      </c>
      <c r="BO563" s="237">
        <f>-68.22-54.21</f>
        <v>-122.43</v>
      </c>
      <c r="BQ563" s="237">
        <f>-30.43-79.2</f>
        <v>-109.63</v>
      </c>
      <c r="BS563" s="237">
        <f>-28.79-68.77</f>
        <v>-97.56</v>
      </c>
      <c r="BU563" s="237">
        <f>-29.87-57.2</f>
        <v>-87.070000000000007</v>
      </c>
      <c r="BW563" s="237">
        <f>-28.52-39.27</f>
        <v>-67.790000000000006</v>
      </c>
      <c r="BY563" s="237">
        <f>-24.23-28.98</f>
        <v>-53.21</v>
      </c>
      <c r="CA563" s="237">
        <f>-14.51-34.01</f>
        <v>-48.519999999999996</v>
      </c>
      <c r="CC563" s="237">
        <v>-48.18</v>
      </c>
      <c r="CE563" s="237">
        <f>-19.78-37.18</f>
        <v>-56.96</v>
      </c>
      <c r="CG563" s="237">
        <f>-19.72-75.4</f>
        <v>-95.12</v>
      </c>
      <c r="CI563" s="213">
        <v>-30.15</v>
      </c>
    </row>
    <row r="564" spans="1:89">
      <c r="C564" s="213" t="s">
        <v>8</v>
      </c>
      <c r="AD564" s="214"/>
      <c r="AF564" s="299">
        <v>95.91</v>
      </c>
      <c r="AG564" s="222">
        <f>ABS(((AF563+AF564)/AF563))</f>
        <v>0.80825791855203621</v>
      </c>
      <c r="AH564" s="214">
        <v>89.28</v>
      </c>
      <c r="AI564" s="222">
        <f>ABS(((AH563+AH564)/AH563))</f>
        <v>0.26620337540774375</v>
      </c>
      <c r="AJ564" s="214">
        <v>95.88</v>
      </c>
      <c r="AK564" s="222">
        <f>ABS(((AJ563+AJ564)/AJ563))</f>
        <v>0.30733569675484035</v>
      </c>
      <c r="AL564" s="214">
        <v>137.5</v>
      </c>
      <c r="AM564" s="222">
        <f>ABS(((AL563+AL564)/AL563))</f>
        <v>0.34592795614722011</v>
      </c>
      <c r="AN564" s="214">
        <v>194.51</v>
      </c>
      <c r="AO564" s="222">
        <f>ABS(((AN563+AN564)/AN563))</f>
        <v>0.65399659863945558</v>
      </c>
      <c r="AP564" s="214">
        <v>58.81</v>
      </c>
      <c r="AQ564" s="222">
        <f>ABS(((AP563+AP564)/AP563))</f>
        <v>0.11723206244371062</v>
      </c>
      <c r="AR564" s="214">
        <v>67.44</v>
      </c>
      <c r="AS564" s="222">
        <f>ABS(((AR563+AR564)/AR563))</f>
        <v>0.45533016832110473</v>
      </c>
      <c r="AT564" s="214">
        <v>61.66</v>
      </c>
      <c r="AU564" s="222">
        <f>AT565/AT564</f>
        <v>0.18164125851443405</v>
      </c>
      <c r="AV564" s="214">
        <v>79.87</v>
      </c>
      <c r="AW564" s="222">
        <f>AV565/AV564</f>
        <v>0.227369475397521</v>
      </c>
      <c r="AX564" s="214">
        <v>102.06</v>
      </c>
      <c r="AY564" s="224">
        <f>AX565/AX564</f>
        <v>0.80609445424260251</v>
      </c>
      <c r="AZ564" s="225"/>
      <c r="BA564" s="214">
        <v>111.26</v>
      </c>
      <c r="BB564" s="222">
        <f>BA565/BA564</f>
        <v>0.47609203667086109</v>
      </c>
      <c r="BC564" s="214">
        <v>80.8</v>
      </c>
      <c r="BD564" s="222">
        <f>BC565/BC564</f>
        <v>0.39517326732673258</v>
      </c>
      <c r="BE564" s="214">
        <v>75.86</v>
      </c>
      <c r="BF564" s="222">
        <f>BE565/BE564</f>
        <v>0.25112048510413915</v>
      </c>
      <c r="BG564" s="214">
        <v>81.52</v>
      </c>
      <c r="BH564" s="222">
        <f>BG565/BG564</f>
        <v>0.3351324828263002</v>
      </c>
      <c r="BI564" s="214">
        <v>157.99</v>
      </c>
      <c r="BJ564" s="222">
        <f>BI565/BI564</f>
        <v>0.49920881068422052</v>
      </c>
      <c r="BK564" s="214">
        <v>208.05</v>
      </c>
      <c r="BL564" s="222">
        <f>BK565/BK564</f>
        <v>0.34385964912280709</v>
      </c>
      <c r="BM564" s="214">
        <v>297.41000000000003</v>
      </c>
      <c r="BN564" s="222">
        <f>BM565/BM564</f>
        <v>0.53596045862613906</v>
      </c>
      <c r="BO564" s="214">
        <v>129.65</v>
      </c>
      <c r="BP564" s="222">
        <f>BO565/BO564</f>
        <v>5.5688391824141911E-2</v>
      </c>
      <c r="BQ564" s="214">
        <v>121.37</v>
      </c>
      <c r="BR564" s="222">
        <f>BQ565/BQ564</f>
        <v>9.6729010463870876E-2</v>
      </c>
      <c r="BS564" s="214">
        <v>92.8</v>
      </c>
      <c r="BT564" s="222">
        <f>BS565/BS564</f>
        <v>-5.1293103448275916E-2</v>
      </c>
      <c r="BU564" s="214">
        <v>112.13</v>
      </c>
      <c r="BV564" s="222">
        <f>BU565/BU564</f>
        <v>0.22349059127798082</v>
      </c>
      <c r="BW564" s="214">
        <v>162.63999999999999</v>
      </c>
      <c r="BX564" s="222">
        <f>BW565/BW564</f>
        <v>0.5831898671913428</v>
      </c>
      <c r="BY564" s="214">
        <v>180.67</v>
      </c>
      <c r="BZ564" s="222">
        <f>BY565/BY564</f>
        <v>0.70548513865057838</v>
      </c>
      <c r="CA564" s="214">
        <v>121.41</v>
      </c>
      <c r="CB564" s="222">
        <f>CA565/CA564</f>
        <v>0.60036240836833876</v>
      </c>
      <c r="CC564" s="214">
        <v>100.24</v>
      </c>
      <c r="CD564" s="222">
        <f>CC565/CC564</f>
        <v>0.51935355147645645</v>
      </c>
      <c r="CE564" s="214">
        <v>111.48</v>
      </c>
      <c r="CF564" s="222">
        <f>CE565/CE564</f>
        <v>0.48905633297452461</v>
      </c>
      <c r="CG564" s="214">
        <v>197.3</v>
      </c>
      <c r="CH564" s="222">
        <f>CG565/CG564</f>
        <v>0.51789153573238722</v>
      </c>
      <c r="CI564" s="213">
        <v>292.70999999999998</v>
      </c>
      <c r="CK564" s="213">
        <v>352</v>
      </c>
    </row>
    <row r="565" spans="1:89">
      <c r="C565" s="213" t="s">
        <v>9</v>
      </c>
      <c r="AD565" s="214"/>
      <c r="AF565" s="243">
        <f>AF563+AF564</f>
        <v>42.87</v>
      </c>
      <c r="AH565" s="243">
        <f>AH563+AH564</f>
        <v>18.77000000000001</v>
      </c>
      <c r="AI565" s="222"/>
      <c r="AJ565" s="243">
        <f>AJ563+AJ564</f>
        <v>22.539999999999992</v>
      </c>
      <c r="AL565" s="243">
        <f>AL563+AL564</f>
        <v>35.340000000000003</v>
      </c>
      <c r="AN565" s="243">
        <f>AN563+AN564</f>
        <v>76.909999999999982</v>
      </c>
      <c r="AP565" s="214">
        <f>AP563+AP564</f>
        <v>-7.8100000000000023</v>
      </c>
      <c r="AR565" s="214">
        <f>AR563+AR564</f>
        <v>21.099999999999994</v>
      </c>
      <c r="AT565" s="214">
        <f>AT563+AT564</f>
        <v>11.200000000000003</v>
      </c>
      <c r="AV565" s="214">
        <f>AV563+AV564</f>
        <v>18.160000000000004</v>
      </c>
      <c r="AX565" s="214">
        <f>AX563+AX564</f>
        <v>82.27000000000001</v>
      </c>
      <c r="BA565" s="214">
        <f>BA563+BA564</f>
        <v>52.970000000000006</v>
      </c>
      <c r="BC565" s="214">
        <f>BC563+BC564</f>
        <v>31.929999999999993</v>
      </c>
      <c r="BE565" s="214">
        <f>BE563+BE564</f>
        <v>19.049999999999997</v>
      </c>
      <c r="BG565" s="214">
        <f>BG563+BG564</f>
        <v>27.319999999999993</v>
      </c>
      <c r="BI565" s="214">
        <f>BI563+BI564</f>
        <v>78.87</v>
      </c>
      <c r="BK565" s="214">
        <f>BK563+BK564</f>
        <v>71.54000000000002</v>
      </c>
      <c r="BM565" s="214">
        <f>BM563+BM564</f>
        <v>159.40000000000003</v>
      </c>
      <c r="BO565" s="214">
        <f>BO563+BO564</f>
        <v>7.2199999999999989</v>
      </c>
      <c r="BQ565" s="214">
        <f>BQ563+BQ564</f>
        <v>11.740000000000009</v>
      </c>
      <c r="BS565" s="214">
        <f>BS563+BS564</f>
        <v>-4.7600000000000051</v>
      </c>
      <c r="BU565" s="214">
        <f>BU563+BU564</f>
        <v>25.059999999999988</v>
      </c>
      <c r="BW565" s="214">
        <f>BW563+BW564</f>
        <v>94.84999999999998</v>
      </c>
      <c r="BY565" s="214">
        <f>BY563+BY564</f>
        <v>127.45999999999998</v>
      </c>
      <c r="CA565" s="214">
        <f>CA563+CA564</f>
        <v>72.89</v>
      </c>
      <c r="CC565" s="214">
        <f>CC563+CC564</f>
        <v>52.059999999999995</v>
      </c>
      <c r="CE565" s="214">
        <f>CE563+CE564</f>
        <v>54.52</v>
      </c>
      <c r="CG565" s="214">
        <f>CG563+CG564</f>
        <v>102.18</v>
      </c>
    </row>
    <row r="566" spans="1:89">
      <c r="A566" s="211">
        <v>162</v>
      </c>
      <c r="B566" s="279">
        <v>461855781</v>
      </c>
      <c r="C566" s="330" t="s">
        <v>210</v>
      </c>
      <c r="AD566" s="214"/>
      <c r="AP566" s="214"/>
      <c r="AT566" s="214"/>
    </row>
    <row r="567" spans="1:89">
      <c r="C567" s="253" t="s">
        <v>211</v>
      </c>
      <c r="AD567" s="235">
        <v>45323</v>
      </c>
      <c r="AF567" s="235">
        <v>45352</v>
      </c>
      <c r="AH567" s="235">
        <v>45383</v>
      </c>
      <c r="AJ567" s="235">
        <v>45413</v>
      </c>
      <c r="AL567" s="235">
        <v>45444</v>
      </c>
      <c r="AN567" s="235">
        <v>45474</v>
      </c>
      <c r="AP567" s="235">
        <v>45505</v>
      </c>
      <c r="AR567" s="236">
        <v>45536</v>
      </c>
      <c r="AT567" s="236">
        <v>45566</v>
      </c>
      <c r="AV567" s="235">
        <v>45597</v>
      </c>
      <c r="AX567" s="235">
        <v>45627</v>
      </c>
      <c r="BA567" s="235">
        <v>45658</v>
      </c>
      <c r="BC567" s="235">
        <v>45689</v>
      </c>
      <c r="BE567" s="235">
        <v>45717</v>
      </c>
      <c r="BG567" s="235">
        <v>45748</v>
      </c>
      <c r="BI567" s="235">
        <v>45778</v>
      </c>
      <c r="BK567" s="235">
        <v>45809</v>
      </c>
      <c r="BM567" s="235">
        <v>45839</v>
      </c>
      <c r="BO567" s="235">
        <v>45870</v>
      </c>
      <c r="BQ567" s="235">
        <v>45901</v>
      </c>
      <c r="BS567" s="235">
        <v>45931</v>
      </c>
      <c r="BU567" s="235">
        <v>45962</v>
      </c>
      <c r="BW567" s="235">
        <v>45992</v>
      </c>
      <c r="BY567" s="235">
        <v>46023</v>
      </c>
      <c r="CA567" s="235">
        <v>46054</v>
      </c>
      <c r="CC567" s="235">
        <v>46082</v>
      </c>
      <c r="CE567" s="235">
        <v>46113</v>
      </c>
      <c r="CG567" s="235">
        <v>46143</v>
      </c>
      <c r="CI567" s="341">
        <v>46174</v>
      </c>
    </row>
    <row r="568" spans="1:89">
      <c r="C568" s="213" t="s">
        <v>7</v>
      </c>
      <c r="AD568" s="299">
        <v>0</v>
      </c>
      <c r="AF568" s="238">
        <v>-31.45</v>
      </c>
      <c r="AH568" s="237">
        <f>-14.7-41.86</f>
        <v>-56.56</v>
      </c>
      <c r="AJ568" s="237">
        <f>-14.65-71.28</f>
        <v>-85.93</v>
      </c>
      <c r="AL568" s="237">
        <f>-32.4-62.8</f>
        <v>-95.199999999999989</v>
      </c>
      <c r="AN568" s="238">
        <f>-25.19-69.12</f>
        <v>-94.31</v>
      </c>
      <c r="AP568" s="237">
        <f>-20.19-41.17</f>
        <v>-61.36</v>
      </c>
      <c r="AR568" s="237">
        <f>-16.16-34.86</f>
        <v>-51.019999999999996</v>
      </c>
      <c r="AT568" s="237">
        <f>-13.29-34.5</f>
        <v>-47.79</v>
      </c>
      <c r="AV568" s="237">
        <f>-12-37.18</f>
        <v>-49.18</v>
      </c>
      <c r="AX568" s="237">
        <f>-15.11-41.58</f>
        <v>-56.69</v>
      </c>
      <c r="BA568" s="237">
        <f>-22.62-72.18</f>
        <v>-94.800000000000011</v>
      </c>
      <c r="BC568" s="237">
        <f>-52.16-47.85</f>
        <v>-100.00999999999999</v>
      </c>
      <c r="BE568" s="237">
        <f>-32-69.93</f>
        <v>-101.93</v>
      </c>
      <c r="BG568" s="237">
        <f>-26.6-55.22</f>
        <v>-81.819999999999993</v>
      </c>
      <c r="BI568" s="237">
        <f>-27.67-60.8</f>
        <v>-88.47</v>
      </c>
      <c r="BK568" s="237">
        <f>-27.38-98.49</f>
        <v>-125.86999999999999</v>
      </c>
      <c r="BM568" s="237">
        <f>-42.23-84.41</f>
        <v>-126.63999999999999</v>
      </c>
      <c r="BO568" s="237">
        <f>-58.55-42.15</f>
        <v>-100.69999999999999</v>
      </c>
      <c r="BQ568" s="237">
        <f>-22.54-89.76</f>
        <v>-112.30000000000001</v>
      </c>
      <c r="BS568" s="237">
        <f>-32.63-82.57</f>
        <v>-115.19999999999999</v>
      </c>
      <c r="BU568" s="237">
        <f>-35.77-90</f>
        <v>-125.77000000000001</v>
      </c>
      <c r="BW568" s="237">
        <f>-45.1-47.46</f>
        <v>-92.56</v>
      </c>
      <c r="BY568" s="237">
        <f>-29.22-35.64</f>
        <v>-64.86</v>
      </c>
      <c r="CA568" s="237">
        <f>-17.89-40.28</f>
        <v>-58.17</v>
      </c>
      <c r="CC568" s="237">
        <f>-19.17-36.96</f>
        <v>-56.13</v>
      </c>
      <c r="CE568" s="237">
        <f>-15.15-38.85</f>
        <v>-54</v>
      </c>
      <c r="CG568" s="237">
        <f>-20.46-65.6</f>
        <v>-86.06</v>
      </c>
      <c r="CI568" s="213">
        <v>-26.21</v>
      </c>
    </row>
    <row r="569" spans="1:89">
      <c r="C569" s="213" t="s">
        <v>8</v>
      </c>
      <c r="AD569" s="214"/>
      <c r="AF569" s="299">
        <v>64.98</v>
      </c>
      <c r="AG569" s="222">
        <f>ABS(((AF568+AF569)/AF568))</f>
        <v>1.0661367249602545</v>
      </c>
      <c r="AH569" s="214">
        <v>59.98</v>
      </c>
      <c r="AI569" s="222">
        <f>ABS(((AH568+AH569)/AH568))</f>
        <v>6.0466760961810369E-2</v>
      </c>
      <c r="AJ569" s="214">
        <v>120.51</v>
      </c>
      <c r="AK569" s="222">
        <f>ABS(((AJ568+AJ569)/AJ568))</f>
        <v>0.40242057488653549</v>
      </c>
      <c r="AL569" s="214">
        <v>143.27000000000001</v>
      </c>
      <c r="AM569" s="222">
        <f>ABS(((AL568+AL569)/AL568))</f>
        <v>0.50493697478991628</v>
      </c>
      <c r="AN569" s="214">
        <v>133.96</v>
      </c>
      <c r="AO569" s="222">
        <f>ABS(((AN568+AN569)/AN568))</f>
        <v>0.42042201251192879</v>
      </c>
      <c r="AP569" s="214">
        <v>65.52</v>
      </c>
      <c r="AQ569" s="222">
        <f>ABS(((AP568+AP569)/AP568))</f>
        <v>6.779661016949147E-2</v>
      </c>
      <c r="AR569" s="214">
        <v>71.87</v>
      </c>
      <c r="AS569" s="222">
        <f>ABS(((AR568+AR569)/AR568))</f>
        <v>0.40866326930615465</v>
      </c>
      <c r="AT569" s="214">
        <v>55.94</v>
      </c>
      <c r="AU569" s="222">
        <f>AT570/AT569</f>
        <v>0.14569181265641756</v>
      </c>
      <c r="AV569" s="214">
        <v>53.16</v>
      </c>
      <c r="AW569" s="222">
        <f>AV570/AV569</f>
        <v>7.4868322046651559E-2</v>
      </c>
      <c r="AX569" s="214">
        <v>61.47</v>
      </c>
      <c r="AY569" s="224">
        <f>AX570/AX569</f>
        <v>7.776150967951849E-2</v>
      </c>
      <c r="AZ569" s="225"/>
      <c r="BA569" s="214">
        <v>184.62</v>
      </c>
      <c r="BB569" s="222">
        <f>BA570/BA569</f>
        <v>0.48651283717907046</v>
      </c>
      <c r="BC569" s="214">
        <v>150.04</v>
      </c>
      <c r="BD569" s="222">
        <f>BC570/BC569</f>
        <v>0.33344441482271397</v>
      </c>
      <c r="BE569" s="214">
        <v>156.61000000000001</v>
      </c>
      <c r="BF569" s="222">
        <f>BE570/BE569</f>
        <v>0.34914756401251518</v>
      </c>
      <c r="BG569" s="214">
        <v>109.92</v>
      </c>
      <c r="BH569" s="222">
        <f>BG570/BG569</f>
        <v>0.25564046579330429</v>
      </c>
      <c r="BI569" s="214">
        <v>180.04</v>
      </c>
      <c r="BJ569" s="222">
        <f>BI570/BI569</f>
        <v>0.50860919795600978</v>
      </c>
      <c r="BK569" s="214">
        <v>246.09</v>
      </c>
      <c r="BL569" s="222">
        <f>BK570/BK569</f>
        <v>0.4885204599943111</v>
      </c>
      <c r="BM569" s="214">
        <v>222.37</v>
      </c>
      <c r="BN569" s="222">
        <f>BM570/BM569</f>
        <v>0.43049871835229581</v>
      </c>
      <c r="BO569" s="214">
        <v>157.77000000000001</v>
      </c>
      <c r="BP569" s="222">
        <f>BO570/BO569</f>
        <v>0.36172909932179764</v>
      </c>
      <c r="BQ569" s="214">
        <v>126.65</v>
      </c>
      <c r="BR569" s="222">
        <f>BQ570/BQ569</f>
        <v>0.11330438215554674</v>
      </c>
      <c r="BS569" s="214">
        <v>87.15</v>
      </c>
      <c r="BT569" s="222">
        <f>BS570/BS569</f>
        <v>-0.32185886402753849</v>
      </c>
      <c r="BU569" s="214">
        <v>107.92</v>
      </c>
      <c r="BV569" s="222">
        <f>BU570/BU569</f>
        <v>-0.16540029651593779</v>
      </c>
      <c r="BW569" s="214">
        <v>148.16999999999999</v>
      </c>
      <c r="BX569" s="222">
        <f>BW570/BW569</f>
        <v>0.37531214145913472</v>
      </c>
      <c r="BY569" s="214">
        <v>256.16000000000003</v>
      </c>
      <c r="BZ569" s="222">
        <f>BY570/BY569</f>
        <v>0.74679887570268577</v>
      </c>
      <c r="CA569" s="214">
        <v>210.92</v>
      </c>
      <c r="CB569" s="222">
        <f>CA570/CA569</f>
        <v>0.72420823060876161</v>
      </c>
      <c r="CC569" s="214">
        <v>222.79</v>
      </c>
      <c r="CD569" s="222">
        <f>CC570/CC569</f>
        <v>0.74805870999596036</v>
      </c>
      <c r="CE569" s="214">
        <v>139.1</v>
      </c>
      <c r="CF569" s="222">
        <f>CE570/CE569</f>
        <v>0.61179007907979865</v>
      </c>
      <c r="CG569" s="214">
        <v>224.93</v>
      </c>
      <c r="CH569" s="222">
        <f>CG570/CG569</f>
        <v>0.61739207753523317</v>
      </c>
      <c r="CI569" s="213">
        <v>455.83</v>
      </c>
      <c r="CK569" s="213">
        <v>297.25</v>
      </c>
    </row>
    <row r="570" spans="1:89">
      <c r="C570" s="213" t="s">
        <v>9</v>
      </c>
      <c r="AD570" s="214"/>
      <c r="AF570" s="243">
        <f>AF568+AF569</f>
        <v>33.53</v>
      </c>
      <c r="AH570" s="243">
        <f>AH568+AH569</f>
        <v>3.4199999999999946</v>
      </c>
      <c r="AJ570" s="243">
        <f>AJ568+AJ569</f>
        <v>34.58</v>
      </c>
      <c r="AL570" s="243">
        <f>AL568+AL569</f>
        <v>48.070000000000022</v>
      </c>
      <c r="AN570" s="243">
        <f>AN568+AN569</f>
        <v>39.650000000000006</v>
      </c>
      <c r="AP570" s="214">
        <f>AP568+AP569</f>
        <v>4.1599999999999966</v>
      </c>
      <c r="AR570" s="214">
        <f>AR568+AR569</f>
        <v>20.850000000000009</v>
      </c>
      <c r="AT570" s="214">
        <f>AT568+AT569</f>
        <v>8.1499999999999986</v>
      </c>
      <c r="AV570" s="214">
        <f>AV568+AV569</f>
        <v>3.9799999999999969</v>
      </c>
      <c r="AX570" s="214">
        <f>AX568+AX569</f>
        <v>4.7800000000000011</v>
      </c>
      <c r="BA570" s="214">
        <f>BA568+BA569</f>
        <v>89.82</v>
      </c>
      <c r="BC570" s="214">
        <f>BC568+BC569</f>
        <v>50.03</v>
      </c>
      <c r="BE570" s="214">
        <f>BE568+BE569</f>
        <v>54.680000000000007</v>
      </c>
      <c r="BG570" s="214">
        <f>BG568+BG569</f>
        <v>28.100000000000009</v>
      </c>
      <c r="BI570" s="214">
        <f>BI568+BI569</f>
        <v>91.57</v>
      </c>
      <c r="BK570" s="214">
        <f>BK568+BK569</f>
        <v>120.22000000000001</v>
      </c>
      <c r="BM570" s="214">
        <f>BM568+BM569</f>
        <v>95.730000000000018</v>
      </c>
      <c r="BO570" s="214">
        <f>BO568+BO569</f>
        <v>57.070000000000022</v>
      </c>
      <c r="BQ570" s="214">
        <f>BQ568+BQ569</f>
        <v>14.349999999999994</v>
      </c>
      <c r="BS570" s="214">
        <f>BS568+BS569</f>
        <v>-28.049999999999983</v>
      </c>
      <c r="BU570" s="214">
        <f>BU568+BU569</f>
        <v>-17.850000000000009</v>
      </c>
      <c r="BW570" s="214">
        <f>BW568+BW569</f>
        <v>55.609999999999985</v>
      </c>
      <c r="BY570" s="214">
        <f>BY568+BY569</f>
        <v>191.3</v>
      </c>
      <c r="CA570" s="214">
        <f>CA568+CA569</f>
        <v>152.75</v>
      </c>
      <c r="CC570" s="214">
        <f>CC568+CC569</f>
        <v>166.66</v>
      </c>
      <c r="CE570" s="214">
        <f>CE568+CE569</f>
        <v>85.1</v>
      </c>
      <c r="CG570" s="214">
        <f>CG568+CG569</f>
        <v>138.87</v>
      </c>
    </row>
    <row r="571" spans="1:89">
      <c r="A571" s="231">
        <v>163</v>
      </c>
      <c r="B571" s="279">
        <v>165183615</v>
      </c>
      <c r="C571" s="330" t="s">
        <v>212</v>
      </c>
      <c r="AD571" s="214"/>
      <c r="AP571" s="214"/>
      <c r="AT571" s="214"/>
    </row>
    <row r="572" spans="1:89">
      <c r="C572" s="253" t="s">
        <v>213</v>
      </c>
      <c r="AD572" s="235">
        <v>45323</v>
      </c>
      <c r="AF572" s="235">
        <v>45352</v>
      </c>
      <c r="AH572" s="235">
        <v>45383</v>
      </c>
      <c r="AJ572" s="235">
        <v>45413</v>
      </c>
      <c r="AL572" s="235">
        <v>45444</v>
      </c>
      <c r="AN572" s="235">
        <v>45474</v>
      </c>
      <c r="AP572" s="235">
        <v>45505</v>
      </c>
      <c r="AR572" s="236">
        <v>45536</v>
      </c>
      <c r="AT572" s="236">
        <v>45566</v>
      </c>
      <c r="AV572" s="235">
        <v>45597</v>
      </c>
      <c r="AX572" s="235">
        <v>45627</v>
      </c>
      <c r="BA572" s="235">
        <v>45658</v>
      </c>
      <c r="BC572" s="235">
        <v>45689</v>
      </c>
      <c r="BE572" s="235">
        <v>45717</v>
      </c>
      <c r="BG572" s="235">
        <v>45748</v>
      </c>
      <c r="BI572" s="235">
        <v>90</v>
      </c>
      <c r="BK572" s="235">
        <v>45809</v>
      </c>
      <c r="BM572" s="235">
        <v>45839</v>
      </c>
      <c r="BO572" s="235">
        <v>45870</v>
      </c>
      <c r="BQ572" s="235">
        <v>45901</v>
      </c>
      <c r="BS572" s="235">
        <v>45931</v>
      </c>
      <c r="BU572" s="235">
        <v>45962</v>
      </c>
      <c r="BW572" s="235">
        <v>45992</v>
      </c>
      <c r="BY572" s="235">
        <v>46023</v>
      </c>
      <c r="CA572" s="235">
        <v>46054</v>
      </c>
      <c r="CC572" s="235">
        <v>46082</v>
      </c>
      <c r="CE572" s="235">
        <v>46113</v>
      </c>
      <c r="CG572" s="235">
        <v>46143</v>
      </c>
      <c r="CI572" s="341">
        <v>46174</v>
      </c>
    </row>
    <row r="573" spans="1:89">
      <c r="C573" s="213" t="s">
        <v>7</v>
      </c>
      <c r="AD573" s="237">
        <v>-179.38</v>
      </c>
      <c r="AF573" s="238">
        <v>-389.6</v>
      </c>
      <c r="AH573" s="237">
        <v>-428.86</v>
      </c>
      <c r="AJ573" s="237">
        <v>-529.63</v>
      </c>
      <c r="AL573" s="237">
        <v>-561.88</v>
      </c>
      <c r="AN573" s="237">
        <v>-561.95000000000005</v>
      </c>
      <c r="AP573" s="237">
        <v>-692.89</v>
      </c>
      <c r="AR573" s="237">
        <v>-427.78</v>
      </c>
      <c r="AT573" s="237">
        <v>-416.59</v>
      </c>
      <c r="AV573" s="237">
        <v>-392.15</v>
      </c>
      <c r="AX573" s="237">
        <f>-109.4-344.98</f>
        <v>-454.38</v>
      </c>
      <c r="BA573" s="237">
        <v>-599.33000000000004</v>
      </c>
      <c r="BC573" s="237">
        <f>-106.33-408.22</f>
        <v>-514.55000000000007</v>
      </c>
      <c r="BE573" s="237">
        <v>-442.09</v>
      </c>
      <c r="BG573" s="237">
        <v>-438.09</v>
      </c>
      <c r="BI573" s="237">
        <f>-77.51-358.87</f>
        <v>-436.38</v>
      </c>
      <c r="BK573" s="237">
        <v>-421.83</v>
      </c>
      <c r="BM573" s="237">
        <f>-523.03-15.63</f>
        <v>-538.66</v>
      </c>
      <c r="BO573" s="237">
        <f>-469.05-15.06</f>
        <v>-484.11</v>
      </c>
      <c r="BQ573" s="237">
        <f>-436.81-12.74</f>
        <v>-449.55</v>
      </c>
      <c r="BS573" s="237">
        <f>-382.31-12.52</f>
        <v>-394.83</v>
      </c>
      <c r="BU573" s="237">
        <f>-363.05-10.37</f>
        <v>-373.42</v>
      </c>
      <c r="BW573" s="237">
        <f>-311.2-13.94</f>
        <v>-325.14</v>
      </c>
      <c r="BY573" s="237">
        <f>-418.28-1.42</f>
        <v>-419.7</v>
      </c>
      <c r="CA573" s="237">
        <f>-398.38-10.93</f>
        <v>-409.31</v>
      </c>
      <c r="CC573" s="237">
        <f>-328.03-10.42</f>
        <v>-338.45</v>
      </c>
      <c r="CE573" s="237">
        <f>-302.3-11.77</f>
        <v>-314.07</v>
      </c>
      <c r="CG573" s="237">
        <v>-353.2</v>
      </c>
    </row>
    <row r="574" spans="1:89">
      <c r="C574" s="213" t="s">
        <v>8</v>
      </c>
      <c r="AD574" s="299">
        <v>369.65</v>
      </c>
      <c r="AF574" s="299">
        <v>405.69</v>
      </c>
      <c r="AG574" s="222">
        <f>ABS(((AF573+AF574)/AF573))</f>
        <v>4.1298767967145725E-2</v>
      </c>
      <c r="AH574" s="214">
        <v>448.71</v>
      </c>
      <c r="AI574" s="222">
        <f>ABS(((AH573+AH574)/AH573))</f>
        <v>4.6285501095928661E-2</v>
      </c>
      <c r="AJ574" s="214">
        <v>821.03</v>
      </c>
      <c r="AK574" s="222">
        <f>ABS(((AJ573+AJ574)/AJ573))</f>
        <v>0.5501954194437626</v>
      </c>
      <c r="AL574" s="214">
        <v>482.71</v>
      </c>
      <c r="AM574" s="222">
        <f>ABS(((AL573+AL574)/AL573))</f>
        <v>0.14090197195130635</v>
      </c>
      <c r="AN574" s="214">
        <v>603.54</v>
      </c>
      <c r="AO574" s="222">
        <f>ABS(((AN573+AN574)/AN573))</f>
        <v>7.4010143251178773E-2</v>
      </c>
      <c r="AP574" s="214">
        <v>655.43</v>
      </c>
      <c r="AQ574" s="222">
        <f>ABS(((AP573+AP574)/AP573))</f>
        <v>5.4063415549365751E-2</v>
      </c>
      <c r="AR574" s="214">
        <v>506.31</v>
      </c>
      <c r="AS574" s="222">
        <f>ABS(((AR573+AR574)/AR573))</f>
        <v>0.18357566973678066</v>
      </c>
      <c r="AT574" s="214">
        <v>465.23</v>
      </c>
      <c r="AU574" s="222">
        <f>AT575/AT574</f>
        <v>0.10455043741805138</v>
      </c>
      <c r="AV574" s="214">
        <v>409.29</v>
      </c>
      <c r="AW574" s="222">
        <f>AV575/AV574</f>
        <v>4.1877397444354959E-2</v>
      </c>
      <c r="AX574" s="214">
        <v>548.46</v>
      </c>
      <c r="AY574" s="224">
        <f>AX575/AX574</f>
        <v>0.17153484301498748</v>
      </c>
      <c r="AZ574" s="225"/>
      <c r="BA574" s="214">
        <v>492.1</v>
      </c>
      <c r="BB574" s="222">
        <f>BA575/BA574</f>
        <v>-0.21790286527128636</v>
      </c>
      <c r="BC574" s="214">
        <v>491.6</v>
      </c>
      <c r="BD574" s="222">
        <f>BC575/BC574</f>
        <v>-4.6684296175752732E-2</v>
      </c>
      <c r="BE574" s="214">
        <v>623.9</v>
      </c>
      <c r="BF574" s="222">
        <f>BE575/BE574</f>
        <v>0.29140887962814555</v>
      </c>
      <c r="BG574" s="214">
        <v>695.32</v>
      </c>
      <c r="BH574" s="222">
        <f>BG575/BG574</f>
        <v>0.36994477362940814</v>
      </c>
      <c r="BI574" s="214">
        <v>685.39</v>
      </c>
      <c r="BJ574" s="222">
        <f>BI575/BI574</f>
        <v>0.36331139934927559</v>
      </c>
      <c r="BK574" s="214">
        <v>604.64</v>
      </c>
      <c r="BL574" s="222">
        <f>BK575/BK574</f>
        <v>0.30234519714210112</v>
      </c>
      <c r="BM574" s="214">
        <v>607.41</v>
      </c>
      <c r="BN574" s="222">
        <f>BM575/BM574</f>
        <v>0.11318549250094664</v>
      </c>
      <c r="BO574" s="214">
        <v>743.97</v>
      </c>
      <c r="BP574" s="222">
        <f>BO575/BO574</f>
        <v>0.3492882777531352</v>
      </c>
      <c r="BQ574" s="214">
        <v>563.07000000000005</v>
      </c>
      <c r="BR574" s="222">
        <f>BQ575/BQ574</f>
        <v>0.20160903617667436</v>
      </c>
      <c r="BS574" s="214">
        <v>543.73</v>
      </c>
      <c r="BT574" s="222">
        <f>BS575/BS574</f>
        <v>0.27384915307229696</v>
      </c>
      <c r="BU574" s="214">
        <v>537.26</v>
      </c>
      <c r="BV574" s="222">
        <f>BU575/BU574</f>
        <v>0.30495477050217767</v>
      </c>
      <c r="BW574" s="214">
        <v>451.19</v>
      </c>
      <c r="BX574" s="222">
        <f>BW575/BW574</f>
        <v>0.27937232651432881</v>
      </c>
      <c r="BY574" s="214">
        <v>441.06</v>
      </c>
      <c r="BZ574" s="222">
        <f>BY575/BY574</f>
        <v>4.8428785199292647E-2</v>
      </c>
      <c r="CA574" s="214">
        <v>574.27</v>
      </c>
      <c r="CB574" s="222">
        <f>CA575/CA574</f>
        <v>0.28725164121406305</v>
      </c>
      <c r="CC574" s="214">
        <v>531.25</v>
      </c>
      <c r="CD574" s="222">
        <f>CC575/CC574</f>
        <v>0.36291764705882357</v>
      </c>
      <c r="CE574" s="214">
        <v>552.85</v>
      </c>
      <c r="CF574" s="222">
        <f>CE575/CE574</f>
        <v>0.43190738898435382</v>
      </c>
      <c r="CG574" s="214">
        <v>562.65</v>
      </c>
      <c r="CH574" s="222">
        <f>CG575/CG574</f>
        <v>0.37225628721229892</v>
      </c>
    </row>
    <row r="575" spans="1:89">
      <c r="C575" s="213" t="s">
        <v>9</v>
      </c>
      <c r="AD575" s="243">
        <f>AD573+AD574</f>
        <v>190.26999999999998</v>
      </c>
      <c r="AF575" s="243">
        <f>AF573+AF574</f>
        <v>16.089999999999975</v>
      </c>
      <c r="AH575" s="243">
        <f>AH573+AH574</f>
        <v>19.849999999999966</v>
      </c>
      <c r="AJ575" s="243">
        <f>AJ573+AJ574</f>
        <v>291.39999999999998</v>
      </c>
      <c r="AL575" s="243">
        <f>AL573+AL574</f>
        <v>-79.170000000000016</v>
      </c>
      <c r="AN575" s="243">
        <f>AN573+AN574</f>
        <v>41.589999999999918</v>
      </c>
      <c r="AP575" s="214">
        <f>AP573+AP574</f>
        <v>-37.460000000000036</v>
      </c>
      <c r="AR575" s="214">
        <f>AR573+AR574</f>
        <v>78.53000000000003</v>
      </c>
      <c r="AT575" s="214">
        <f>AT573+AT574</f>
        <v>48.640000000000043</v>
      </c>
      <c r="AV575" s="214">
        <f>AV573+AV574</f>
        <v>17.140000000000043</v>
      </c>
      <c r="AX575" s="214">
        <f>AX573+AX574</f>
        <v>94.080000000000041</v>
      </c>
      <c r="BA575" s="214">
        <f>BA573+BA574</f>
        <v>-107.23000000000002</v>
      </c>
      <c r="BC575" s="214">
        <f>BC573+BC574</f>
        <v>-22.950000000000045</v>
      </c>
      <c r="BE575" s="214">
        <f>BE573+BE574</f>
        <v>181.81</v>
      </c>
      <c r="BG575" s="214">
        <f>BG573+BG574</f>
        <v>257.23000000000008</v>
      </c>
      <c r="BI575" s="214">
        <f>BI573+BI574</f>
        <v>249.01</v>
      </c>
      <c r="BK575" s="214">
        <f>BK573+BK574</f>
        <v>182.81</v>
      </c>
      <c r="BM575" s="214">
        <f>BM573+BM574</f>
        <v>68.75</v>
      </c>
      <c r="BO575" s="214">
        <f>BO573+BO574</f>
        <v>259.86</v>
      </c>
      <c r="BQ575" s="214">
        <f>BQ573+BQ574</f>
        <v>113.52000000000004</v>
      </c>
      <c r="BS575" s="214">
        <f>BS573+BS574</f>
        <v>148.90000000000003</v>
      </c>
      <c r="BU575" s="214">
        <f>BU573+BU574</f>
        <v>163.83999999999997</v>
      </c>
      <c r="BW575" s="214">
        <f>BW573+BW574</f>
        <v>126.05000000000001</v>
      </c>
      <c r="BY575" s="214">
        <f>BY573+BY574</f>
        <v>21.360000000000014</v>
      </c>
      <c r="CA575" s="214">
        <f>CA573+CA574</f>
        <v>164.95999999999998</v>
      </c>
      <c r="CC575" s="214">
        <f>CC573+CC574</f>
        <v>192.8</v>
      </c>
      <c r="CE575" s="214">
        <f>CE573+CE574</f>
        <v>238.78000000000003</v>
      </c>
      <c r="CG575" s="214">
        <f>CG573+CG574</f>
        <v>209.45</v>
      </c>
    </row>
    <row r="576" spans="1:89">
      <c r="A576" s="231">
        <v>164</v>
      </c>
      <c r="B576" s="279">
        <v>105158288</v>
      </c>
      <c r="C576" s="330" t="s">
        <v>214</v>
      </c>
      <c r="AP576" s="214"/>
      <c r="AT576" s="214"/>
    </row>
    <row r="577" spans="1:87">
      <c r="C577" s="253" t="s">
        <v>215</v>
      </c>
      <c r="AD577" s="235">
        <v>45323</v>
      </c>
      <c r="AF577" s="235">
        <v>45352</v>
      </c>
      <c r="AH577" s="235">
        <v>45383</v>
      </c>
      <c r="AJ577" s="235">
        <v>45413</v>
      </c>
      <c r="AL577" s="235">
        <v>45444</v>
      </c>
      <c r="AN577" s="235">
        <v>45474</v>
      </c>
      <c r="AP577" s="235">
        <v>45505</v>
      </c>
      <c r="AR577" s="236">
        <v>45536</v>
      </c>
      <c r="AT577" s="236">
        <v>45566</v>
      </c>
      <c r="AV577" s="235">
        <v>45597</v>
      </c>
      <c r="AX577" s="235">
        <v>45627</v>
      </c>
      <c r="BA577" s="235">
        <v>45658</v>
      </c>
      <c r="BC577" s="235">
        <v>45689</v>
      </c>
      <c r="BE577" s="235">
        <v>45717</v>
      </c>
      <c r="BG577" s="235">
        <v>45748</v>
      </c>
      <c r="BI577" s="235">
        <v>45778</v>
      </c>
      <c r="BK577" s="235">
        <v>45809</v>
      </c>
      <c r="BM577" s="235">
        <v>45839</v>
      </c>
      <c r="BO577" s="235">
        <v>45870</v>
      </c>
      <c r="BQ577" s="235">
        <v>45901</v>
      </c>
      <c r="BS577" s="235">
        <v>45931</v>
      </c>
      <c r="BU577" s="235">
        <v>45962</v>
      </c>
      <c r="BW577" s="235">
        <v>45992</v>
      </c>
      <c r="BY577" s="235">
        <v>46023</v>
      </c>
      <c r="CA577" s="235">
        <v>46054</v>
      </c>
      <c r="CC577" s="235">
        <v>46082</v>
      </c>
      <c r="CE577" s="235">
        <v>46113</v>
      </c>
      <c r="CG577" s="235">
        <v>46143</v>
      </c>
      <c r="CI577" s="341">
        <v>46174</v>
      </c>
    </row>
    <row r="578" spans="1:87">
      <c r="C578" s="213" t="s">
        <v>7</v>
      </c>
      <c r="AD578" s="237">
        <v>-13.7</v>
      </c>
      <c r="AF578" s="237">
        <v>-17.48</v>
      </c>
      <c r="AH578" s="237">
        <f>-136.05-7.71</f>
        <v>-143.76000000000002</v>
      </c>
      <c r="AI578" s="222"/>
      <c r="AJ578" s="237">
        <v>-39.659999999999997</v>
      </c>
      <c r="AL578" s="237">
        <v>-38.950000000000003</v>
      </c>
      <c r="AN578" s="237">
        <v>-36.89</v>
      </c>
      <c r="AP578" s="237">
        <f>-55.87-29.57</f>
        <v>-85.44</v>
      </c>
      <c r="AR578" s="237">
        <v>-53.8</v>
      </c>
      <c r="AT578" s="237">
        <f>-27.89-9.99-38.27</f>
        <v>-76.150000000000006</v>
      </c>
      <c r="AV578" s="237">
        <v>-33.130000000000003</v>
      </c>
      <c r="AX578" s="237">
        <v>-37.700000000000003</v>
      </c>
      <c r="BA578" s="237">
        <v>-54.91</v>
      </c>
      <c r="BC578" s="237">
        <v>-38.44</v>
      </c>
      <c r="BE578" s="237">
        <v>-59.19</v>
      </c>
      <c r="BG578" s="237">
        <v>-37.590000000000003</v>
      </c>
      <c r="BI578" s="237">
        <v>-38.869999999999997</v>
      </c>
      <c r="BK578" s="237">
        <v>-37.590000000000003</v>
      </c>
      <c r="BM578" s="237">
        <v>-56.08</v>
      </c>
      <c r="BO578" s="237">
        <v>-88.67</v>
      </c>
      <c r="BQ578" s="237">
        <v>-61.56</v>
      </c>
      <c r="BS578" s="237">
        <v>-44.93</v>
      </c>
      <c r="BU578" s="237">
        <v>-37.590000000000003</v>
      </c>
      <c r="BW578" s="237">
        <v>-46.98</v>
      </c>
      <c r="BY578" s="237">
        <v>-71.680000000000007</v>
      </c>
      <c r="CA578" s="237">
        <v>-35.78</v>
      </c>
      <c r="CC578" s="237">
        <v>-34.46</v>
      </c>
      <c r="CE578" s="237">
        <v>-33.36</v>
      </c>
      <c r="CG578" s="237">
        <v>-39.6</v>
      </c>
    </row>
    <row r="579" spans="1:87">
      <c r="C579" s="213" t="s">
        <v>8</v>
      </c>
      <c r="AD579" s="299">
        <v>12.49</v>
      </c>
      <c r="AF579" s="299">
        <v>27.44</v>
      </c>
      <c r="AG579" s="222">
        <f>ABS(((AF578+AF579)/AF578))</f>
        <v>0.56979405034324948</v>
      </c>
      <c r="AH579" s="214">
        <v>51.38</v>
      </c>
      <c r="AI579" s="222">
        <f>ABS(((AH578+AH579)/AH578))</f>
        <v>0.64259877573734014</v>
      </c>
      <c r="AJ579" s="214">
        <v>31.61</v>
      </c>
      <c r="AK579" s="222">
        <f>ABS(((AJ578+AJ579)/AJ578))</f>
        <v>0.20297528996469991</v>
      </c>
      <c r="AL579" s="214">
        <v>23.27</v>
      </c>
      <c r="AM579" s="222"/>
      <c r="AN579" s="214">
        <v>56.01</v>
      </c>
      <c r="AO579" s="222">
        <f>ABS(((AN578+AN579)/AN578))</f>
        <v>0.51829764163729997</v>
      </c>
      <c r="AP579" s="214">
        <v>162.32</v>
      </c>
      <c r="AQ579" s="222">
        <f>ABS(((AP578+AP579)/AP578))</f>
        <v>0.89981273408239693</v>
      </c>
      <c r="AR579" s="214">
        <v>69.87</v>
      </c>
      <c r="AS579" s="222">
        <f>ABS(((AR578+AR579)/AR578))</f>
        <v>0.29869888475836448</v>
      </c>
      <c r="AT579" s="214">
        <v>59.25</v>
      </c>
      <c r="AU579" s="222">
        <f>AT580/AT579</f>
        <v>-0.28523206751054864</v>
      </c>
      <c r="AV579" s="214">
        <v>50.62</v>
      </c>
      <c r="AW579" s="222">
        <f>AV580/AV579</f>
        <v>0.34551560647965224</v>
      </c>
      <c r="AX579" s="214">
        <v>56.57</v>
      </c>
      <c r="AY579" s="224">
        <f>AX580/AX579</f>
        <v>0.33356902952094747</v>
      </c>
      <c r="AZ579" s="225"/>
      <c r="BA579" s="214">
        <v>122.87</v>
      </c>
      <c r="BB579" s="222">
        <f>BA580/BA579</f>
        <v>0.55310490762594622</v>
      </c>
      <c r="BC579" s="214">
        <v>94.82</v>
      </c>
      <c r="BD579" s="222">
        <f>BC580/BC579</f>
        <v>0.59460029529635094</v>
      </c>
      <c r="BE579" s="214">
        <v>119.53</v>
      </c>
      <c r="BF579" s="222">
        <f>BE580/BE579</f>
        <v>0.50481050782230408</v>
      </c>
      <c r="BG579" s="214">
        <v>89.44</v>
      </c>
      <c r="BH579" s="222">
        <f>BG580/BG579</f>
        <v>0.57971824686940965</v>
      </c>
      <c r="BI579" s="214">
        <v>82.16</v>
      </c>
      <c r="BJ579" s="222">
        <f>BI580/BI579</f>
        <v>0.52689873417721522</v>
      </c>
      <c r="BK579" s="214">
        <v>89.44</v>
      </c>
      <c r="BL579" s="222">
        <f>BK580/BK579</f>
        <v>0.57971824686940965</v>
      </c>
      <c r="BM579" s="214">
        <v>126.13</v>
      </c>
      <c r="BN579" s="222">
        <f>BM580/BM579</f>
        <v>0.55537937049076347</v>
      </c>
      <c r="BO579" s="214">
        <v>165.89</v>
      </c>
      <c r="BP579" s="222">
        <f>BO580/BO579</f>
        <v>0.46548917957682795</v>
      </c>
      <c r="BQ579" s="214">
        <v>128.02000000000001</v>
      </c>
      <c r="BR579" s="222">
        <f>BQ580/BQ579</f>
        <v>0.5191376347445712</v>
      </c>
      <c r="BS579" s="214">
        <v>99.7</v>
      </c>
      <c r="BT579" s="222">
        <f>BS580/BS579</f>
        <v>0.54934804413239724</v>
      </c>
      <c r="BU579" s="214">
        <v>77.5</v>
      </c>
      <c r="BV579" s="222">
        <f>BU580/BU579</f>
        <v>0.51496774193548378</v>
      </c>
      <c r="BW579" s="214">
        <v>91.83</v>
      </c>
      <c r="BX579" s="222">
        <f>BW580/BW579</f>
        <v>0.48840248284874227</v>
      </c>
      <c r="BY579" s="214">
        <v>109.87</v>
      </c>
      <c r="BZ579" s="222">
        <f>BY580/BY579</f>
        <v>0.34759260944752884</v>
      </c>
      <c r="CA579" s="214">
        <v>70.48</v>
      </c>
      <c r="CB579" s="222">
        <f>CA580/CA579</f>
        <v>0.49233825198637915</v>
      </c>
      <c r="CC579" s="214">
        <v>69.86</v>
      </c>
      <c r="CD579" s="222">
        <f>CC580/CC579</f>
        <v>0.50672774119667907</v>
      </c>
      <c r="CE579" s="214">
        <v>66.62</v>
      </c>
      <c r="CF579" s="222">
        <f>CE580/CE579</f>
        <v>0.49924947463224262</v>
      </c>
      <c r="CG579" s="214">
        <v>61.32</v>
      </c>
      <c r="CH579" s="222">
        <f>CG580/CG579</f>
        <v>0.3542074363992172</v>
      </c>
    </row>
    <row r="580" spans="1:87">
      <c r="C580" s="213" t="s">
        <v>9</v>
      </c>
      <c r="AD580" s="242">
        <f>AD578+AD579</f>
        <v>-1.2099999999999991</v>
      </c>
      <c r="AF580" s="242">
        <f>AF578+AF579</f>
        <v>9.9600000000000009</v>
      </c>
      <c r="AH580" s="243">
        <f>AH578+AH579</f>
        <v>-92.380000000000024</v>
      </c>
      <c r="AJ580" s="243">
        <f>AJ578+AJ579</f>
        <v>-8.0499999999999972</v>
      </c>
      <c r="AL580" s="243">
        <f>AL578+AL579</f>
        <v>-15.680000000000003</v>
      </c>
      <c r="AN580" s="243">
        <f>AN578+AN579</f>
        <v>19.119999999999997</v>
      </c>
      <c r="AP580" s="214">
        <f>AP578+AP579</f>
        <v>76.88</v>
      </c>
      <c r="AR580" s="214">
        <f>AR578+AR579</f>
        <v>16.070000000000007</v>
      </c>
      <c r="AT580" s="214">
        <f>AT578+AT579</f>
        <v>-16.900000000000006</v>
      </c>
      <c r="AV580" s="214">
        <f>AV578+AV579</f>
        <v>17.489999999999995</v>
      </c>
      <c r="AX580" s="214">
        <f>AX578+AX579</f>
        <v>18.869999999999997</v>
      </c>
      <c r="BA580" s="214">
        <f>BA578+BA579</f>
        <v>67.960000000000008</v>
      </c>
      <c r="BC580" s="214">
        <f>BC578+BC579</f>
        <v>56.379999999999995</v>
      </c>
      <c r="BE580" s="214">
        <f>BE578+BE579</f>
        <v>60.34</v>
      </c>
      <c r="BG580" s="214">
        <f>BG578+BG579</f>
        <v>51.849999999999994</v>
      </c>
      <c r="BI580" s="214">
        <f>BI578+BI579</f>
        <v>43.29</v>
      </c>
      <c r="BK580" s="214">
        <f>BK578+BK579</f>
        <v>51.849999999999994</v>
      </c>
      <c r="BM580" s="214">
        <f>BM578+BM579</f>
        <v>70.05</v>
      </c>
      <c r="BO580" s="214">
        <f>BO578+BO579</f>
        <v>77.219999999999985</v>
      </c>
      <c r="BQ580" s="214">
        <f>BQ578+BQ579</f>
        <v>66.460000000000008</v>
      </c>
      <c r="BS580" s="214">
        <f>BS578+BS579</f>
        <v>54.77</v>
      </c>
      <c r="BU580" s="214">
        <f>BU578+BU579</f>
        <v>39.909999999999997</v>
      </c>
      <c r="BW580" s="214">
        <f>BW578+BW579</f>
        <v>44.85</v>
      </c>
      <c r="BY580" s="214">
        <f>BY578+BY579</f>
        <v>38.19</v>
      </c>
      <c r="CA580" s="214">
        <f>CA578+CA579</f>
        <v>34.700000000000003</v>
      </c>
      <c r="CC580" s="214">
        <f>CC578+CC579</f>
        <v>35.4</v>
      </c>
      <c r="CE580" s="214">
        <f>CE578+CE579</f>
        <v>33.260000000000005</v>
      </c>
      <c r="CG580" s="214">
        <f>CG578+CG579</f>
        <v>21.72</v>
      </c>
    </row>
    <row r="581" spans="1:87">
      <c r="A581" s="211">
        <v>165</v>
      </c>
      <c r="B581" s="279">
        <v>685435568</v>
      </c>
      <c r="C581" s="330" t="s">
        <v>216</v>
      </c>
      <c r="AP581" s="214"/>
      <c r="AT581" s="214"/>
    </row>
    <row r="582" spans="1:87">
      <c r="C582" s="253" t="s">
        <v>217</v>
      </c>
      <c r="AD582" s="235">
        <v>45323</v>
      </c>
      <c r="AF582" s="235">
        <v>45352</v>
      </c>
      <c r="AH582" s="235">
        <v>45383</v>
      </c>
      <c r="AJ582" s="235">
        <v>45413</v>
      </c>
      <c r="AL582" s="235">
        <v>45444</v>
      </c>
      <c r="AN582" s="235">
        <v>45474</v>
      </c>
      <c r="AP582" s="235">
        <v>45505</v>
      </c>
      <c r="AR582" s="236">
        <v>45536</v>
      </c>
      <c r="AT582" s="236">
        <v>45566</v>
      </c>
      <c r="AV582" s="235">
        <v>45597</v>
      </c>
      <c r="AX582" s="235">
        <v>45627</v>
      </c>
      <c r="BA582" s="235">
        <v>45658</v>
      </c>
      <c r="BC582" s="235">
        <v>45689</v>
      </c>
      <c r="BE582" s="235">
        <v>45717</v>
      </c>
      <c r="BG582" s="235">
        <v>45748</v>
      </c>
      <c r="BI582" s="235">
        <v>45778</v>
      </c>
      <c r="BK582" s="235">
        <v>45809</v>
      </c>
      <c r="BM582" s="235">
        <v>45839</v>
      </c>
      <c r="BO582" s="235">
        <v>45870</v>
      </c>
      <c r="BQ582" s="235">
        <v>45901</v>
      </c>
      <c r="BS582" s="235">
        <v>45931</v>
      </c>
      <c r="BU582" s="235">
        <v>45962</v>
      </c>
      <c r="BW582" s="235">
        <v>45992</v>
      </c>
      <c r="BY582" s="235">
        <v>46023</v>
      </c>
      <c r="CA582" s="235">
        <v>46054</v>
      </c>
      <c r="CC582" s="235">
        <v>46082</v>
      </c>
      <c r="CE582" s="235">
        <v>46113</v>
      </c>
      <c r="CG582" s="235">
        <v>46143</v>
      </c>
      <c r="CI582" s="341">
        <v>46174</v>
      </c>
    </row>
    <row r="583" spans="1:87">
      <c r="C583" s="213" t="s">
        <v>7</v>
      </c>
      <c r="AD583" s="237">
        <f>-23.6-22.84</f>
        <v>-46.44</v>
      </c>
      <c r="AF583" s="237">
        <f>-36.8-108.57</f>
        <v>-145.37</v>
      </c>
      <c r="AH583" s="237">
        <f>-77.47-33.6-29.31</f>
        <v>-140.38</v>
      </c>
      <c r="AJ583" s="237">
        <f>-124.2-19.9</f>
        <v>-144.1</v>
      </c>
      <c r="AL583" s="237">
        <f>-95.59-28.21</f>
        <v>-123.80000000000001</v>
      </c>
      <c r="AN583" s="237">
        <f>-92.54-35.92</f>
        <v>-128.46</v>
      </c>
      <c r="AP583" s="237">
        <f>-112.36-20.1</f>
        <v>-132.46</v>
      </c>
      <c r="AR583" s="237">
        <f>-100.37-21.15</f>
        <v>-121.52000000000001</v>
      </c>
      <c r="AT583" s="237">
        <f>-4.25-30.31-96.82</f>
        <v>-131.38</v>
      </c>
      <c r="AV583" s="237">
        <f>-108.36-19.8</f>
        <v>-128.16</v>
      </c>
      <c r="AX583" s="237">
        <f>-123.74-33.36</f>
        <v>-157.1</v>
      </c>
      <c r="BA583" s="237">
        <f>-150.12-22.8</f>
        <v>-172.92000000000002</v>
      </c>
      <c r="BC583" s="237">
        <f>-142.56-13.86</f>
        <v>-156.42000000000002</v>
      </c>
      <c r="BE583" s="237">
        <f>-110.79-30.45</f>
        <v>-141.24</v>
      </c>
      <c r="BG583" s="237">
        <f>-100.01-33.95</f>
        <v>-133.96</v>
      </c>
      <c r="BI583" s="237">
        <f>-121.29-25.26</f>
        <v>-146.55000000000001</v>
      </c>
      <c r="BK583" s="237">
        <f>-96.88-27.3</f>
        <v>-124.17999999999999</v>
      </c>
      <c r="BM583" s="237">
        <f>-93.59-22.92</f>
        <v>-116.51</v>
      </c>
      <c r="BO583" s="237">
        <f>-103.26-20.5</f>
        <v>-123.76</v>
      </c>
      <c r="BQ583" s="237">
        <f>-98.42-23.94</f>
        <v>-122.36</v>
      </c>
      <c r="BS583" s="237">
        <f>-103.79-20.9</f>
        <v>-124.69</v>
      </c>
      <c r="BU583" s="237">
        <f>-100.4-27.6</f>
        <v>-128</v>
      </c>
      <c r="BW583" s="237">
        <f>-115.1-24.36</f>
        <v>-139.45999999999998</v>
      </c>
      <c r="BY583" s="237">
        <f>-105.62-21.55</f>
        <v>-127.17</v>
      </c>
      <c r="CA583" s="237">
        <f>-99.21-17.95</f>
        <v>-117.16</v>
      </c>
      <c r="CC583" s="237">
        <f>-89.64-20.4</f>
        <v>-110.03999999999999</v>
      </c>
      <c r="CE583" s="237">
        <f>-78.18-22.82</f>
        <v>-101</v>
      </c>
      <c r="CG583" s="237">
        <v>-81.55</v>
      </c>
    </row>
    <row r="584" spans="1:87">
      <c r="C584" s="213" t="s">
        <v>8</v>
      </c>
      <c r="AD584" s="214">
        <v>88.28</v>
      </c>
      <c r="AF584" s="214">
        <v>212.82</v>
      </c>
      <c r="AG584" s="222">
        <f>ABS(((AF583+AF584)/AF583))</f>
        <v>0.46398844328265793</v>
      </c>
      <c r="AH584" s="214">
        <v>206.6</v>
      </c>
      <c r="AI584" s="222">
        <f>ABS(((AH583+AH584)/AH583))</f>
        <v>0.47171961817922781</v>
      </c>
      <c r="AJ584" s="214">
        <v>212.24</v>
      </c>
      <c r="AK584" s="222">
        <f>ABS(((AJ583+AJ584)/AJ583))</f>
        <v>0.47286606523247759</v>
      </c>
      <c r="AL584" s="214">
        <v>176.72</v>
      </c>
      <c r="AM584" s="222">
        <f>ABS(((AL583+AL584)/AL583))</f>
        <v>0.42746365105008066</v>
      </c>
      <c r="AN584" s="214">
        <v>184.83</v>
      </c>
      <c r="AO584" s="222">
        <f>ABS(((AN583+AN584)/AN583))</f>
        <v>0.43881363848668847</v>
      </c>
      <c r="AP584" s="214">
        <v>197.77</v>
      </c>
      <c r="AQ584" s="222">
        <f>ABS(((AP583+AP584)/AP583))</f>
        <v>0.49305450702098746</v>
      </c>
      <c r="AR584" s="214">
        <v>165.54</v>
      </c>
      <c r="AS584" s="222">
        <f>ABS(((AR583+AR584)/AR583))</f>
        <v>0.36224489795918352</v>
      </c>
      <c r="AT584" s="214">
        <v>186.86</v>
      </c>
      <c r="AU584" s="222">
        <f>AT585/AT584</f>
        <v>0.29690677512576269</v>
      </c>
      <c r="AV584" s="214">
        <v>184.76</v>
      </c>
      <c r="AW584" s="222">
        <f>AV585/AV584</f>
        <v>0.30634336436458104</v>
      </c>
      <c r="AX584" s="214">
        <v>215.14</v>
      </c>
      <c r="AY584" s="224">
        <f>AX585/AX584</f>
        <v>0.26977781909454307</v>
      </c>
      <c r="AZ584" s="225"/>
      <c r="BA584" s="214">
        <v>206.1</v>
      </c>
      <c r="BB584" s="222">
        <f>BA585/BA584</f>
        <v>0.16098981077147007</v>
      </c>
      <c r="BC584" s="214">
        <v>192.19</v>
      </c>
      <c r="BD584" s="222">
        <f>BC585/BC584</f>
        <v>0.18611790415734419</v>
      </c>
      <c r="BE584" s="214">
        <v>155.91</v>
      </c>
      <c r="BF584" s="222">
        <f>BE585/BE584</f>
        <v>9.4092745814893131E-2</v>
      </c>
      <c r="BG584" s="214">
        <v>167.56</v>
      </c>
      <c r="BH584" s="222">
        <f>BG585/BG584</f>
        <v>0.20052518500835517</v>
      </c>
      <c r="BI584" s="214">
        <v>174.33</v>
      </c>
      <c r="BJ584" s="222">
        <f>BI585/BI584</f>
        <v>0.15935295129926003</v>
      </c>
      <c r="BK584" s="214">
        <v>150.57</v>
      </c>
      <c r="BL584" s="222">
        <f>BK585/BK584</f>
        <v>0.17526731752673178</v>
      </c>
      <c r="BM584" s="214">
        <v>148.99</v>
      </c>
      <c r="BN584" s="222">
        <f>BM585/BM584</f>
        <v>0.21800120813477417</v>
      </c>
      <c r="BO584" s="214">
        <v>144.96</v>
      </c>
      <c r="BP584" s="222">
        <f>BO585/BO584</f>
        <v>0.14624724061810157</v>
      </c>
      <c r="BQ584" s="214">
        <v>154.25</v>
      </c>
      <c r="BR584" s="222">
        <f>BQ585/BQ584</f>
        <v>0.20674230145867098</v>
      </c>
      <c r="BS584" s="214">
        <v>153.25</v>
      </c>
      <c r="BT584" s="222">
        <f>BS585/BS584</f>
        <v>0.18636215334420883</v>
      </c>
      <c r="BU584" s="214">
        <v>160.47</v>
      </c>
      <c r="BV584" s="222">
        <f>BU585/BU584</f>
        <v>0.20234311709353772</v>
      </c>
      <c r="BW584" s="214">
        <v>170.32</v>
      </c>
      <c r="BX584" s="222">
        <f>BW585/BW584</f>
        <v>0.18118835133865674</v>
      </c>
      <c r="BY584" s="214">
        <v>166.19</v>
      </c>
      <c r="BZ584" s="222">
        <f>BY585/BY584</f>
        <v>0.23479150370058366</v>
      </c>
      <c r="CA584" s="214">
        <v>155.93</v>
      </c>
      <c r="CB584" s="222">
        <f>CA585/CA584</f>
        <v>0.24863720900404032</v>
      </c>
      <c r="CC584" s="214">
        <v>150.37</v>
      </c>
      <c r="CD584" s="222">
        <f>CC585/CC584</f>
        <v>0.26820509410121707</v>
      </c>
      <c r="CE584" s="214">
        <v>139.41</v>
      </c>
      <c r="CF584" s="222">
        <f>CE585/CE584</f>
        <v>0.27551825550534392</v>
      </c>
      <c r="CG584" s="214">
        <v>138.53</v>
      </c>
      <c r="CH584" s="222">
        <f>CG585/CG584</f>
        <v>0.41131884790298134</v>
      </c>
    </row>
    <row r="585" spans="1:87">
      <c r="C585" s="213" t="s">
        <v>9</v>
      </c>
      <c r="AD585" s="243">
        <f>AD583+AD584</f>
        <v>41.84</v>
      </c>
      <c r="AF585" s="243">
        <f>AF583+AF584</f>
        <v>67.449999999999989</v>
      </c>
      <c r="AH585" s="243">
        <f>AH583+AH584</f>
        <v>66.22</v>
      </c>
      <c r="AJ585" s="243">
        <f>AJ583+AJ584</f>
        <v>68.140000000000015</v>
      </c>
      <c r="AL585" s="243">
        <f>AL583+AL584</f>
        <v>52.919999999999987</v>
      </c>
      <c r="AN585" s="243">
        <f>AN583+AN584</f>
        <v>56.370000000000005</v>
      </c>
      <c r="AP585" s="214">
        <f>AP583+AP584</f>
        <v>65.31</v>
      </c>
      <c r="AR585" s="214">
        <f>AR583+AR584</f>
        <v>44.019999999999982</v>
      </c>
      <c r="AT585" s="214">
        <f>AT583+AT584</f>
        <v>55.480000000000018</v>
      </c>
      <c r="AV585" s="214">
        <f>AV583+AV584</f>
        <v>56.599999999999994</v>
      </c>
      <c r="AX585" s="214">
        <f>AX583+AX584</f>
        <v>58.039999999999992</v>
      </c>
      <c r="BA585" s="214">
        <f>BA583+BA584</f>
        <v>33.179999999999978</v>
      </c>
      <c r="BC585" s="214">
        <f>BC583+BC584</f>
        <v>35.769999999999982</v>
      </c>
      <c r="BE585" s="214">
        <f>BE583+BE584</f>
        <v>14.669999999999987</v>
      </c>
      <c r="BG585" s="214">
        <f>BG583+BG584</f>
        <v>33.599999999999994</v>
      </c>
      <c r="BI585" s="214">
        <f>BI583+BI584</f>
        <v>27.78</v>
      </c>
      <c r="BK585" s="214">
        <f>BK583+BK584</f>
        <v>26.39</v>
      </c>
      <c r="BM585" s="214">
        <f>BM583+BM584</f>
        <v>32.480000000000004</v>
      </c>
      <c r="BO585" s="214">
        <f>BO583+BO584</f>
        <v>21.200000000000003</v>
      </c>
      <c r="BQ585" s="214">
        <f>BQ583+BQ584</f>
        <v>31.89</v>
      </c>
      <c r="BS585" s="214">
        <f>BS583+BS584</f>
        <v>28.560000000000002</v>
      </c>
      <c r="BU585" s="214">
        <f>BU583+BU584</f>
        <v>32.47</v>
      </c>
      <c r="BW585" s="214">
        <f>BW583+BW584</f>
        <v>30.860000000000014</v>
      </c>
      <c r="BY585" s="214">
        <f>BY583+BY584</f>
        <v>39.019999999999996</v>
      </c>
      <c r="CA585" s="214">
        <f>CA583+CA584</f>
        <v>38.77000000000001</v>
      </c>
      <c r="CC585" s="214">
        <f>CC583+CC584</f>
        <v>40.330000000000013</v>
      </c>
      <c r="CE585" s="214">
        <f>CE583+CE584</f>
        <v>38.409999999999997</v>
      </c>
      <c r="CG585" s="214">
        <f>CG583+CG584</f>
        <v>56.980000000000004</v>
      </c>
    </row>
    <row r="586" spans="1:87">
      <c r="A586" s="211">
        <v>166</v>
      </c>
      <c r="B586" s="279">
        <v>227149129</v>
      </c>
      <c r="C586" s="213" t="s">
        <v>218</v>
      </c>
      <c r="AP586" s="214"/>
      <c r="AT586" s="214"/>
    </row>
    <row r="587" spans="1:87">
      <c r="C587" s="253" t="s">
        <v>219</v>
      </c>
      <c r="AD587" s="235">
        <v>45323</v>
      </c>
      <c r="AF587" s="235">
        <v>45352</v>
      </c>
      <c r="AH587" s="235">
        <v>45383</v>
      </c>
      <c r="AJ587" s="235">
        <v>45413</v>
      </c>
      <c r="AL587" s="235">
        <v>45444</v>
      </c>
      <c r="AN587" s="235">
        <v>45474</v>
      </c>
      <c r="AP587" s="235">
        <v>45505</v>
      </c>
      <c r="AR587" s="236">
        <v>45536</v>
      </c>
      <c r="AT587" s="236">
        <v>45566</v>
      </c>
      <c r="AV587" s="235">
        <v>45597</v>
      </c>
      <c r="AX587" s="235">
        <v>45627</v>
      </c>
      <c r="BA587" s="235">
        <v>45658</v>
      </c>
      <c r="BC587" s="235">
        <v>45689</v>
      </c>
      <c r="BE587" s="235">
        <v>45717</v>
      </c>
      <c r="BG587" s="235">
        <v>45748</v>
      </c>
      <c r="BI587" s="235">
        <v>45778</v>
      </c>
      <c r="BK587" s="235">
        <v>45809</v>
      </c>
      <c r="BM587" s="235">
        <v>45839</v>
      </c>
      <c r="BO587" s="235">
        <v>45870</v>
      </c>
      <c r="BQ587" s="235">
        <v>45901</v>
      </c>
      <c r="BS587" s="235">
        <v>45931</v>
      </c>
      <c r="BU587" s="235">
        <v>45962</v>
      </c>
      <c r="BW587" s="235">
        <v>45992</v>
      </c>
      <c r="BY587" s="235">
        <v>46023</v>
      </c>
      <c r="CA587" s="235">
        <v>46054</v>
      </c>
      <c r="CC587" s="235">
        <v>46082</v>
      </c>
      <c r="CE587" s="235">
        <v>46113</v>
      </c>
      <c r="CG587" s="235">
        <v>46143</v>
      </c>
      <c r="CI587" s="341">
        <v>46174</v>
      </c>
    </row>
    <row r="588" spans="1:87">
      <c r="C588" s="213" t="s">
        <v>7</v>
      </c>
      <c r="AF588" s="237">
        <v>-23.78</v>
      </c>
      <c r="AH588" s="237">
        <f>-15.43-13.71</f>
        <v>-29.14</v>
      </c>
      <c r="AJ588" s="237">
        <v>-27.2</v>
      </c>
      <c r="AL588" s="237">
        <v>-29.78</v>
      </c>
      <c r="AN588" s="237">
        <v>-59.6</v>
      </c>
      <c r="AP588" s="237">
        <f>-58.61-37.92</f>
        <v>-96.53</v>
      </c>
      <c r="AR588" s="237">
        <f>-107.74-13.81</f>
        <v>-121.55</v>
      </c>
      <c r="AT588" s="237">
        <v>-77.680000000000007</v>
      </c>
      <c r="AV588" s="237">
        <f>-89.31-0.76</f>
        <v>-90.070000000000007</v>
      </c>
      <c r="AX588" s="237">
        <v>-77.63</v>
      </c>
      <c r="BA588" s="237">
        <v>-54.64</v>
      </c>
      <c r="BC588" s="237">
        <v>-36.35</v>
      </c>
      <c r="BE588" s="237">
        <v>-31.92</v>
      </c>
      <c r="BG588" s="237">
        <v>-20.22</v>
      </c>
      <c r="BI588" s="237">
        <v>-20.97</v>
      </c>
      <c r="BK588" s="237">
        <v>-20.22</v>
      </c>
      <c r="BM588" s="237">
        <v>-399.64</v>
      </c>
      <c r="BO588" s="237">
        <v>-66.930000000000007</v>
      </c>
      <c r="BQ588" s="237">
        <v>-20.22</v>
      </c>
      <c r="BS588" s="237">
        <v>-20.91</v>
      </c>
      <c r="BU588" s="237">
        <v>-20.22</v>
      </c>
      <c r="BW588" s="237">
        <v>-20.91</v>
      </c>
      <c r="BY588" s="237">
        <v>-21.65</v>
      </c>
      <c r="CA588" s="237">
        <v>-19.57</v>
      </c>
      <c r="CC588" s="237">
        <v>-41.18</v>
      </c>
      <c r="CE588" s="237">
        <v>-21.26</v>
      </c>
      <c r="CG588" s="237">
        <v>-21.65</v>
      </c>
    </row>
    <row r="589" spans="1:87">
      <c r="C589" s="213" t="s">
        <v>8</v>
      </c>
      <c r="AF589" s="214">
        <v>63.35</v>
      </c>
      <c r="AG589" s="222">
        <f>ABS(((AF588+AF589)/AF588))</f>
        <v>1.6640033641715726</v>
      </c>
      <c r="AH589" s="214">
        <v>78.819999999999993</v>
      </c>
      <c r="AI589" s="222">
        <f>ABS(((AH588+AH589)/AH588))</f>
        <v>1.7048730267673298</v>
      </c>
      <c r="AJ589" s="214">
        <v>72.78</v>
      </c>
      <c r="AK589" s="222">
        <f>ABS(((AJ588+AJ589)/AJ588))</f>
        <v>1.6757352941176471</v>
      </c>
      <c r="AL589" s="214">
        <v>51.52</v>
      </c>
      <c r="AM589" s="222">
        <f>ABS(((AL588+AL589)/AL588))</f>
        <v>0.73002014775016799</v>
      </c>
      <c r="AN589" s="214">
        <v>151.82</v>
      </c>
      <c r="AO589" s="222">
        <f>ABS(((AN588+AN589)/AN588))</f>
        <v>1.5473154362416106</v>
      </c>
      <c r="AP589" s="214">
        <v>199.06</v>
      </c>
      <c r="AQ589" s="222">
        <f>ABS(((AP588+AP589)/AP588))</f>
        <v>1.0621568424324044</v>
      </c>
      <c r="AR589" s="214">
        <v>183.84</v>
      </c>
      <c r="AS589" s="222">
        <f>ABS(((AR588+AR589)/AR588))</f>
        <v>0.5124640065816537</v>
      </c>
      <c r="AT589" s="214">
        <v>178.12</v>
      </c>
      <c r="AU589" s="222">
        <f>AT590/AT589</f>
        <v>0.56388951268807541</v>
      </c>
      <c r="AV589" s="214">
        <v>184.03</v>
      </c>
      <c r="AW589" s="222">
        <f>AV590/AV589</f>
        <v>0.51056892897897077</v>
      </c>
      <c r="AX589" s="214">
        <v>163.02000000000001</v>
      </c>
      <c r="AY589" s="224">
        <f>AX590/AX589</f>
        <v>0.52380076064286596</v>
      </c>
      <c r="AZ589" s="225"/>
      <c r="BA589" s="214">
        <v>136.55000000000001</v>
      </c>
      <c r="BB589" s="222">
        <f>BA590/BA589</f>
        <v>0.59985353350421089</v>
      </c>
      <c r="BC589" s="214">
        <v>104.41</v>
      </c>
      <c r="BD589" s="222">
        <f>BC590/BC589</f>
        <v>0.65185327075950583</v>
      </c>
      <c r="BE589" s="214">
        <v>98.7</v>
      </c>
      <c r="BF589" s="222">
        <f>BE590/BE589</f>
        <v>0.67659574468085104</v>
      </c>
      <c r="BG589" s="214">
        <v>40.049999999999997</v>
      </c>
      <c r="BH589" s="222">
        <f>BG590/BG589</f>
        <v>0.4951310861423221</v>
      </c>
      <c r="BI589" s="214">
        <v>67.349999999999994</v>
      </c>
      <c r="BJ589" s="222">
        <f>BI590/BI589</f>
        <v>0.68864142538975504</v>
      </c>
      <c r="BK589" s="214">
        <v>65.709999999999994</v>
      </c>
      <c r="BL589" s="222">
        <f>BK590/BK589</f>
        <v>0.69228427940952675</v>
      </c>
      <c r="BM589" s="214">
        <v>361.06</v>
      </c>
      <c r="BN589" s="222">
        <f>BM590/BM589</f>
        <v>-0.10685204675123244</v>
      </c>
      <c r="BO589" s="214">
        <v>201.13</v>
      </c>
      <c r="BP589" s="222">
        <f>BO590/BO589</f>
        <v>0.66723014965445226</v>
      </c>
      <c r="BQ589" s="214">
        <v>85.6</v>
      </c>
      <c r="BR589" s="222">
        <f>BQ590/BQ589</f>
        <v>0.76378504672897196</v>
      </c>
      <c r="BS589" s="214">
        <v>63.93</v>
      </c>
      <c r="BT589" s="222">
        <f>BS590/BS589</f>
        <v>0.67292351008915996</v>
      </c>
      <c r="BU589" s="214">
        <v>60.72</v>
      </c>
      <c r="BV589" s="222">
        <f>BU590/BU589</f>
        <v>0.66699604743083007</v>
      </c>
      <c r="BW589" s="214">
        <v>51.57</v>
      </c>
      <c r="BX589" s="222">
        <f>BW590/BW589</f>
        <v>0.59453170447934844</v>
      </c>
      <c r="BY589" s="214">
        <v>43.55</v>
      </c>
      <c r="BZ589" s="222">
        <f>BY590/BY589</f>
        <v>0.50287026406429391</v>
      </c>
      <c r="CA589" s="214">
        <v>40.369999999999997</v>
      </c>
      <c r="CB589" s="222">
        <f>CA590/CA589</f>
        <v>0.51523408471637355</v>
      </c>
      <c r="CC589" s="214">
        <v>82.31</v>
      </c>
      <c r="CD589" s="222">
        <f>CC590/CC589</f>
        <v>0.49969627019803187</v>
      </c>
      <c r="CE589" s="214">
        <v>38.53</v>
      </c>
      <c r="CF589" s="222">
        <f>CE590/CE589</f>
        <v>0.44822216454710612</v>
      </c>
      <c r="CG589" s="214">
        <v>39.81</v>
      </c>
      <c r="CH589" s="222">
        <f>CG590/CG589</f>
        <v>0.45616679226325052</v>
      </c>
    </row>
    <row r="590" spans="1:87">
      <c r="C590" s="213" t="s">
        <v>9</v>
      </c>
      <c r="AF590" s="243">
        <f>AF588+AF589</f>
        <v>39.57</v>
      </c>
      <c r="AH590" s="243">
        <f>AH588+AH589</f>
        <v>49.679999999999993</v>
      </c>
      <c r="AJ590" s="243">
        <f>AJ588+AJ589</f>
        <v>45.58</v>
      </c>
      <c r="AL590" s="243">
        <f>AL588+AL589</f>
        <v>21.740000000000002</v>
      </c>
      <c r="AN590" s="243">
        <f>AN588+AN589</f>
        <v>92.22</v>
      </c>
      <c r="AP590" s="214">
        <f>AP588+AP589</f>
        <v>102.53</v>
      </c>
      <c r="AR590" s="214">
        <f>AR588+AR589</f>
        <v>62.290000000000006</v>
      </c>
      <c r="AT590" s="214">
        <f>AT588+AT589</f>
        <v>100.44</v>
      </c>
      <c r="AV590" s="214">
        <f>AV588+AV589</f>
        <v>93.96</v>
      </c>
      <c r="AX590" s="214">
        <f>AX588+AX589</f>
        <v>85.390000000000015</v>
      </c>
      <c r="BA590" s="214">
        <f>BA588+BA589</f>
        <v>81.910000000000011</v>
      </c>
      <c r="BC590" s="214">
        <f>BC588+BC589</f>
        <v>68.06</v>
      </c>
      <c r="BE590" s="214">
        <f>BE588+BE589</f>
        <v>66.78</v>
      </c>
      <c r="BG590" s="214">
        <f>BG588+BG589</f>
        <v>19.829999999999998</v>
      </c>
      <c r="BI590" s="214">
        <f>BI588+BI589</f>
        <v>46.379999999999995</v>
      </c>
      <c r="BK590" s="214">
        <f>BK588+BK589</f>
        <v>45.489999999999995</v>
      </c>
      <c r="BM590" s="214">
        <f>BM588+BM589</f>
        <v>-38.579999999999984</v>
      </c>
      <c r="BO590" s="214">
        <f>BO588+BO589</f>
        <v>134.19999999999999</v>
      </c>
      <c r="BQ590" s="214">
        <f>BQ588+BQ589</f>
        <v>65.38</v>
      </c>
      <c r="BS590" s="214">
        <f>BS588+BS589</f>
        <v>43.019999999999996</v>
      </c>
      <c r="BU590" s="214">
        <f>BU588+BU589</f>
        <v>40.5</v>
      </c>
      <c r="BW590" s="214">
        <f>BW588+BW589</f>
        <v>30.66</v>
      </c>
      <c r="BY590" s="214">
        <f>BY588+BY589</f>
        <v>21.9</v>
      </c>
      <c r="CA590" s="214">
        <f>CA588+CA589</f>
        <v>20.799999999999997</v>
      </c>
      <c r="CC590" s="214">
        <f>CC588+CC589</f>
        <v>41.13</v>
      </c>
      <c r="CE590" s="214">
        <f>CE588+CE589</f>
        <v>17.27</v>
      </c>
      <c r="CG590" s="214">
        <f>CG588+CG589</f>
        <v>18.160000000000004</v>
      </c>
    </row>
    <row r="591" spans="1:87">
      <c r="A591" s="211">
        <v>167</v>
      </c>
      <c r="B591" s="279">
        <v>158474624</v>
      </c>
      <c r="C591" s="213" t="s">
        <v>220</v>
      </c>
      <c r="AP591" s="214"/>
      <c r="AT591" s="214"/>
    </row>
    <row r="592" spans="1:87">
      <c r="C592" s="253" t="s">
        <v>221</v>
      </c>
      <c r="AD592" s="235">
        <v>45323</v>
      </c>
      <c r="AF592" s="235">
        <v>45352</v>
      </c>
      <c r="AH592" s="235">
        <v>45383</v>
      </c>
      <c r="AJ592" s="235">
        <v>45413</v>
      </c>
      <c r="AL592" s="235">
        <v>45444</v>
      </c>
      <c r="AN592" s="235">
        <v>45474</v>
      </c>
      <c r="AP592" s="235">
        <v>45505</v>
      </c>
      <c r="AR592" s="236">
        <v>45536</v>
      </c>
      <c r="AT592" s="236">
        <v>45566</v>
      </c>
      <c r="AV592" s="235">
        <v>45597</v>
      </c>
      <c r="AX592" s="235">
        <v>45627</v>
      </c>
      <c r="BA592" s="235">
        <v>45658</v>
      </c>
      <c r="BC592" s="235">
        <v>45689</v>
      </c>
      <c r="BE592" s="235">
        <v>45717</v>
      </c>
      <c r="BG592" s="235">
        <v>45748</v>
      </c>
      <c r="BI592" s="235">
        <v>45778</v>
      </c>
      <c r="BK592" s="235">
        <v>45809</v>
      </c>
      <c r="BM592" s="235">
        <v>45839</v>
      </c>
      <c r="BO592" s="235">
        <v>45870</v>
      </c>
      <c r="BQ592" s="235">
        <v>45901</v>
      </c>
      <c r="BS592" s="235">
        <v>45931</v>
      </c>
      <c r="BU592" s="235">
        <v>45962</v>
      </c>
      <c r="BW592" s="235">
        <v>45992</v>
      </c>
      <c r="BY592" s="235">
        <v>46023</v>
      </c>
      <c r="CA592" s="235">
        <v>46054</v>
      </c>
      <c r="CC592" s="235">
        <v>46082</v>
      </c>
      <c r="CE592" s="235">
        <v>46113</v>
      </c>
      <c r="CG592" s="235">
        <v>46143</v>
      </c>
      <c r="CI592" s="341">
        <v>46174</v>
      </c>
    </row>
    <row r="593" spans="1:87">
      <c r="C593" s="213" t="s">
        <v>7</v>
      </c>
      <c r="AH593" s="237">
        <v>-12.6</v>
      </c>
      <c r="AJ593" s="237">
        <f>-34.42-21.12</f>
        <v>-55.540000000000006</v>
      </c>
      <c r="AL593" s="237">
        <f>-29.98-31.36</f>
        <v>-61.34</v>
      </c>
      <c r="AN593" s="237">
        <f>-31.37-48.11</f>
        <v>-79.48</v>
      </c>
      <c r="AP593" s="237">
        <f>-51.06-28.92</f>
        <v>-79.98</v>
      </c>
      <c r="AR593" s="237">
        <f>-10.8-40.96</f>
        <v>-51.760000000000005</v>
      </c>
      <c r="AT593" s="237">
        <f>-31.52-26.96</f>
        <v>-58.480000000000004</v>
      </c>
      <c r="AV593" s="237">
        <f>-33.39-25.74</f>
        <v>-59.129999999999995</v>
      </c>
      <c r="AX593" s="237">
        <f>-29.57-38.72</f>
        <v>-68.289999999999992</v>
      </c>
      <c r="BA593" s="237">
        <f>-46.13-30.84</f>
        <v>-76.97</v>
      </c>
      <c r="BC593" s="237">
        <f>-48.87-22.77</f>
        <v>-71.64</v>
      </c>
      <c r="BE593" s="237">
        <f>-47.98-24.53</f>
        <v>-72.509999999999991</v>
      </c>
      <c r="BG593" s="237">
        <f>-46.91-18.45</f>
        <v>-65.36</v>
      </c>
      <c r="BI593" s="237">
        <f>-23-42.99</f>
        <v>-65.990000000000009</v>
      </c>
      <c r="BK593" s="237">
        <f>-39.18-37.18</f>
        <v>-76.36</v>
      </c>
      <c r="BM593" s="237">
        <f>-42.85-39.2</f>
        <v>-82.050000000000011</v>
      </c>
      <c r="BO593" s="237">
        <f>-51.62-29</f>
        <v>-80.62</v>
      </c>
      <c r="BQ593" s="237">
        <f>-49.41-24.57</f>
        <v>-73.97999999999999</v>
      </c>
      <c r="BS593" s="237">
        <f>-26.44-36</f>
        <v>-62.44</v>
      </c>
      <c r="BU593" s="237">
        <f>-31.94-31.07</f>
        <v>-63.010000000000005</v>
      </c>
      <c r="BW593" s="237">
        <f>-35.96-40</f>
        <v>-75.960000000000008</v>
      </c>
      <c r="BY593" s="237">
        <f>-47.47-30.6</f>
        <v>-78.069999999999993</v>
      </c>
      <c r="CA593" s="237">
        <f>-38.38-31.59</f>
        <v>-69.97</v>
      </c>
      <c r="CC593" s="237">
        <f>-41.34-25.76</f>
        <v>-67.100000000000009</v>
      </c>
      <c r="CE593" s="237">
        <f>-34.96-19.14</f>
        <v>-54.1</v>
      </c>
      <c r="CG593" s="237">
        <f>-29.63-28.14</f>
        <v>-57.769999999999996</v>
      </c>
      <c r="CI593" s="238">
        <v>-30.25</v>
      </c>
    </row>
    <row r="594" spans="1:87">
      <c r="C594" s="213" t="s">
        <v>8</v>
      </c>
      <c r="AG594" s="222" t="e">
        <f>ABS(((AF593+AF594)/AF593))</f>
        <v>#DIV/0!</v>
      </c>
      <c r="AH594" s="214">
        <v>12.32</v>
      </c>
      <c r="AI594" s="222">
        <f>ABS(((AH593+AH594)/AH593))</f>
        <v>2.2222222222222171E-2</v>
      </c>
      <c r="AJ594" s="214">
        <v>54.51</v>
      </c>
      <c r="AK594" s="222">
        <f>ABS(((AJ593+AJ594)/AJ593))</f>
        <v>1.8545192653943249E-2</v>
      </c>
      <c r="AL594" s="214">
        <v>66.569999999999993</v>
      </c>
      <c r="AM594" s="222">
        <f>ABS(((AL593+AL594)/AL593))</f>
        <v>8.5262471470492165E-2</v>
      </c>
      <c r="AN594" s="214">
        <v>93.74</v>
      </c>
      <c r="AO594" s="222">
        <f>ABS(((AN593+AN594)/AN593))</f>
        <v>0.17941620533467526</v>
      </c>
      <c r="AP594" s="214">
        <v>94.75</v>
      </c>
      <c r="AQ594" s="222">
        <f>ABS(((AP593+AP594)/AP593))</f>
        <v>0.18467116779194792</v>
      </c>
      <c r="AR594" s="214">
        <v>81.64</v>
      </c>
      <c r="AS594" s="222">
        <f>ABS(((AR593+AR594)/AR593))</f>
        <v>0.57727975270479115</v>
      </c>
      <c r="AT594" s="214">
        <v>57.83</v>
      </c>
      <c r="AU594" s="222">
        <f>AT595/AT594</f>
        <v>-1.1239840913021023E-2</v>
      </c>
      <c r="AV594" s="214">
        <v>62.52</v>
      </c>
      <c r="AW594" s="222">
        <f>AV595/AV594</f>
        <v>5.4222648752399349E-2</v>
      </c>
      <c r="AX594" s="214">
        <v>72</v>
      </c>
      <c r="AY594" s="224">
        <f>AX595/AX594</f>
        <v>5.1527777777777888E-2</v>
      </c>
      <c r="AZ594" s="225"/>
      <c r="BA594" s="214">
        <v>81.8</v>
      </c>
      <c r="BB594" s="222">
        <f>BA595/BA594</f>
        <v>5.9046454767726145E-2</v>
      </c>
      <c r="BC594" s="214">
        <v>81.180000000000007</v>
      </c>
      <c r="BD594" s="222">
        <f>BC595/BC594</f>
        <v>0.11751662971175172</v>
      </c>
      <c r="BE594" s="214">
        <v>88.03</v>
      </c>
      <c r="BF594" s="222">
        <f>BE595/BE594</f>
        <v>0.17630353288651607</v>
      </c>
      <c r="BG594" s="214">
        <v>63.63</v>
      </c>
      <c r="BH594" s="222">
        <f>BG595/BG594</f>
        <v>-2.7188433129027138E-2</v>
      </c>
      <c r="BI594" s="214">
        <v>70.36</v>
      </c>
      <c r="BJ594" s="222">
        <f>BI595/BI594</f>
        <v>6.2109152927799748E-2</v>
      </c>
      <c r="BK594" s="214">
        <v>87.11</v>
      </c>
      <c r="BL594" s="222">
        <f>BK595/BK594</f>
        <v>0.123407186316152</v>
      </c>
      <c r="BM594" s="214">
        <v>95.4</v>
      </c>
      <c r="BN594" s="222">
        <f>BM595/BM594</f>
        <v>0.13993710691823893</v>
      </c>
      <c r="BO594" s="214">
        <v>84.55</v>
      </c>
      <c r="BP594" s="222">
        <f>BO595/BO594</f>
        <v>4.6481371969248876E-2</v>
      </c>
      <c r="BQ594" s="214">
        <v>84.1</v>
      </c>
      <c r="BR594" s="222">
        <f>BQ595/BQ594</f>
        <v>0.12033293697978603</v>
      </c>
      <c r="BS594" s="214">
        <v>63.57</v>
      </c>
      <c r="BT594" s="222">
        <f>BS595/BS594</f>
        <v>1.7775680352367509E-2</v>
      </c>
      <c r="BU594" s="214">
        <v>71.209999999999994</v>
      </c>
      <c r="BV594" s="222">
        <f>BU595/BU594</f>
        <v>0.11515236624069639</v>
      </c>
      <c r="BW594" s="214">
        <v>91.1</v>
      </c>
      <c r="BX594" s="222">
        <f>BW595/BW594</f>
        <v>0.16619099890230501</v>
      </c>
      <c r="BY594" s="214">
        <v>85.86</v>
      </c>
      <c r="BZ594" s="222">
        <f>BY595/BY594</f>
        <v>9.0729093873748029E-2</v>
      </c>
      <c r="CA594" s="214">
        <v>76.72</v>
      </c>
      <c r="CB594" s="222">
        <f>CA595/CA594</f>
        <v>8.7982273201251307E-2</v>
      </c>
      <c r="CC594" s="214">
        <v>83.36</v>
      </c>
      <c r="CD594" s="222">
        <f>CC595/CC594</f>
        <v>0.19505758157389624</v>
      </c>
      <c r="CE594" s="214">
        <v>65.63</v>
      </c>
      <c r="CF594" s="222">
        <f>CE595/CE594</f>
        <v>0.17568185281121432</v>
      </c>
      <c r="CG594" s="214">
        <v>66.7</v>
      </c>
      <c r="CH594" s="222">
        <f>CG595/CG594</f>
        <v>0.1338830584707647</v>
      </c>
    </row>
    <row r="595" spans="1:87">
      <c r="C595" s="213" t="s">
        <v>9</v>
      </c>
      <c r="AH595" s="243">
        <f>AH593+AH594</f>
        <v>-0.27999999999999936</v>
      </c>
      <c r="AJ595" s="243">
        <f>AJ593+AJ594</f>
        <v>-1.0300000000000082</v>
      </c>
      <c r="AL595" s="243">
        <f>AL593+AL594</f>
        <v>5.2299999999999898</v>
      </c>
      <c r="AN595" s="243">
        <f>AN593+AN594</f>
        <v>14.259999999999991</v>
      </c>
      <c r="AP595" s="214">
        <f>AP593+AP594</f>
        <v>14.769999999999996</v>
      </c>
      <c r="AR595" s="214">
        <f>AR593+AR594</f>
        <v>29.879999999999995</v>
      </c>
      <c r="AT595" s="214">
        <f>AT593+AT594</f>
        <v>-0.65000000000000568</v>
      </c>
      <c r="AV595" s="214">
        <f>AV593+AV594</f>
        <v>3.3900000000000077</v>
      </c>
      <c r="AX595" s="214">
        <f>AX593+AX594</f>
        <v>3.710000000000008</v>
      </c>
      <c r="BA595" s="214">
        <f>BA593+BA594</f>
        <v>4.8299999999999983</v>
      </c>
      <c r="BC595" s="214">
        <f>BC593+BC594</f>
        <v>9.5400000000000063</v>
      </c>
      <c r="BE595" s="214">
        <f>BE593+BE594</f>
        <v>15.52000000000001</v>
      </c>
      <c r="BG595" s="214">
        <f>BG593+BG594</f>
        <v>-1.7299999999999969</v>
      </c>
      <c r="BI595" s="214">
        <f>BI593+BI594</f>
        <v>4.3699999999999903</v>
      </c>
      <c r="BK595" s="214">
        <f>BK593+BK594</f>
        <v>10.75</v>
      </c>
      <c r="BM595" s="214">
        <f>BM593+BM594</f>
        <v>13.349999999999994</v>
      </c>
      <c r="BO595" s="214">
        <f>BO593+BO594</f>
        <v>3.9299999999999926</v>
      </c>
      <c r="BQ595" s="214">
        <f>BQ593+BQ594</f>
        <v>10.120000000000005</v>
      </c>
      <c r="BS595" s="214">
        <f>BS593+BS594</f>
        <v>1.1300000000000026</v>
      </c>
      <c r="BU595" s="214">
        <f>BU593+BU594</f>
        <v>8.1999999999999886</v>
      </c>
      <c r="BW595" s="214">
        <f>BW593+BW594</f>
        <v>15.139999999999986</v>
      </c>
      <c r="BY595" s="214">
        <f>BY593+BY594</f>
        <v>7.7900000000000063</v>
      </c>
      <c r="CA595" s="214">
        <f>CA593+CA594</f>
        <v>6.75</v>
      </c>
      <c r="CC595" s="214">
        <f>CC593+CC594</f>
        <v>16.259999999999991</v>
      </c>
      <c r="CE595" s="214">
        <f>CE593+CE594</f>
        <v>11.529999999999994</v>
      </c>
      <c r="CG595" s="214">
        <f>CG593+CG594</f>
        <v>8.9300000000000068</v>
      </c>
    </row>
    <row r="596" spans="1:87">
      <c r="A596" s="211">
        <v>169</v>
      </c>
      <c r="B596" s="279">
        <v>662804880</v>
      </c>
      <c r="C596" s="213" t="s">
        <v>222</v>
      </c>
      <c r="AP596" s="214"/>
      <c r="AT596" s="214"/>
    </row>
    <row r="597" spans="1:87">
      <c r="C597" s="253" t="s">
        <v>223</v>
      </c>
      <c r="AD597" s="235">
        <v>45323</v>
      </c>
      <c r="AF597" s="235">
        <v>45352</v>
      </c>
      <c r="AH597" s="235">
        <v>45383</v>
      </c>
      <c r="AJ597" s="235">
        <v>45413</v>
      </c>
      <c r="AL597" s="235">
        <v>45444</v>
      </c>
      <c r="AN597" s="235">
        <v>45474</v>
      </c>
      <c r="AP597" s="235">
        <v>45505</v>
      </c>
      <c r="AR597" s="236">
        <v>45536</v>
      </c>
      <c r="AT597" s="236">
        <v>45566</v>
      </c>
      <c r="AV597" s="235">
        <v>45597</v>
      </c>
      <c r="AX597" s="235">
        <v>45627</v>
      </c>
      <c r="BA597" s="235">
        <v>45658</v>
      </c>
      <c r="BC597" s="235">
        <v>45689</v>
      </c>
      <c r="BE597" s="235">
        <v>45717</v>
      </c>
      <c r="BG597" s="235">
        <v>45748</v>
      </c>
      <c r="BI597" s="235">
        <v>45778</v>
      </c>
      <c r="BK597" s="235">
        <v>45809</v>
      </c>
      <c r="BM597" s="235">
        <v>45839</v>
      </c>
      <c r="BO597" s="235">
        <v>45870</v>
      </c>
      <c r="BQ597" s="235">
        <v>45901</v>
      </c>
      <c r="BS597" s="235">
        <v>45931</v>
      </c>
      <c r="BU597" s="235">
        <v>45962</v>
      </c>
      <c r="BW597" s="235">
        <v>45992</v>
      </c>
      <c r="BY597" s="235">
        <v>46023</v>
      </c>
      <c r="CA597" s="235">
        <v>46054</v>
      </c>
      <c r="CC597" s="235">
        <v>46082</v>
      </c>
      <c r="CE597" s="235">
        <v>46113</v>
      </c>
      <c r="CG597" s="235">
        <v>46143</v>
      </c>
      <c r="CI597" s="341">
        <v>46174</v>
      </c>
    </row>
    <row r="598" spans="1:87">
      <c r="C598" s="213" t="s">
        <v>7</v>
      </c>
      <c r="AJ598" s="237">
        <v>-22.69</v>
      </c>
      <c r="AL598" s="237">
        <f>-78.61-26.48</f>
        <v>-105.09</v>
      </c>
      <c r="AN598" s="237">
        <f>-75.99-11.97</f>
        <v>-87.96</v>
      </c>
      <c r="AP598" s="237">
        <f>-37.54-21.33</f>
        <v>-58.87</v>
      </c>
      <c r="AR598" s="237">
        <f>-52-54.74</f>
        <v>-106.74000000000001</v>
      </c>
      <c r="AT598" s="237">
        <f>-21.49-19.6</f>
        <v>-41.09</v>
      </c>
      <c r="AV598" s="237">
        <f>-67.28-27.9</f>
        <v>-95.18</v>
      </c>
      <c r="AX598" s="237">
        <f>-39.36-88.32</f>
        <v>-127.67999999999999</v>
      </c>
      <c r="BA598" s="237">
        <f>-32.72-75.2-20</f>
        <v>-127.92</v>
      </c>
      <c r="BC598" s="237">
        <f>-95.88-13.24</f>
        <v>-109.11999999999999</v>
      </c>
      <c r="BE598" s="237">
        <f>-79.54-12.42</f>
        <v>-91.960000000000008</v>
      </c>
      <c r="BG598" s="237">
        <f>-51.6-6.2</f>
        <v>-57.800000000000004</v>
      </c>
      <c r="BI598" s="237">
        <f>-33-16.6</f>
        <v>-49.6</v>
      </c>
      <c r="BK598" s="237">
        <f>-103.84-17.58</f>
        <v>-121.42</v>
      </c>
      <c r="BM598" s="237">
        <v>-79.17</v>
      </c>
      <c r="BO598" s="237">
        <f>-36.07-10.15</f>
        <v>-46.22</v>
      </c>
      <c r="BQ598" s="237">
        <f>-68.14-14.84</f>
        <v>-82.98</v>
      </c>
      <c r="BS598" s="237">
        <f>-59.37-7.86</f>
        <v>-67.23</v>
      </c>
      <c r="BU598" s="237">
        <f>-60.32-25.27</f>
        <v>-85.59</v>
      </c>
      <c r="BW598" s="237">
        <f>-75.72-37.7</f>
        <v>-113.42</v>
      </c>
      <c r="BY598" s="237">
        <f>-94.19-21.3</f>
        <v>-115.49</v>
      </c>
      <c r="CA598" s="237">
        <f>-78.04-17.1</f>
        <v>-95.140000000000015</v>
      </c>
      <c r="CC598" s="237">
        <f>-65.54-15.84</f>
        <v>-81.38000000000001</v>
      </c>
      <c r="CE598" s="237">
        <f>-45.49-13.79</f>
        <v>-59.28</v>
      </c>
      <c r="CG598" s="237">
        <v>-47.17</v>
      </c>
    </row>
    <row r="599" spans="1:87">
      <c r="C599" s="213" t="s">
        <v>8</v>
      </c>
      <c r="AG599" s="222" t="e">
        <f>ABS(((AF598+AF599)/AF598))</f>
        <v>#DIV/0!</v>
      </c>
      <c r="AI599" s="222" t="e">
        <f>ABS(((AH598+AH599)/AH598))</f>
        <v>#DIV/0!</v>
      </c>
      <c r="AJ599" s="214">
        <v>66.63</v>
      </c>
      <c r="AK599" s="222">
        <f>ABS(((AJ598+AJ599)/AJ598))</f>
        <v>1.9365359189070073</v>
      </c>
      <c r="AL599" s="214">
        <v>93.92</v>
      </c>
      <c r="AM599" s="222">
        <f>ABS(((AL598+AL599)/AL598))</f>
        <v>0.1062898467979827</v>
      </c>
      <c r="AN599" s="214">
        <v>111.78</v>
      </c>
      <c r="AO599" s="222">
        <f>ABS(((AN598+AN599)/AN598))</f>
        <v>0.2708049113233289</v>
      </c>
      <c r="AP599" s="214">
        <v>62.62</v>
      </c>
      <c r="AQ599" s="222">
        <f>ABS(((AP598+AP599)/AP598))</f>
        <v>6.3699677254968584E-2</v>
      </c>
      <c r="AR599" s="214">
        <v>93.25</v>
      </c>
      <c r="AS599" s="222">
        <f>ABS(((AR598+AR599)/AR598))</f>
        <v>0.12638186246955227</v>
      </c>
      <c r="AT599" s="214">
        <v>75.63</v>
      </c>
      <c r="AU599" s="222">
        <f>AT600/AT599</f>
        <v>0.45669707787914843</v>
      </c>
      <c r="AV599" s="214">
        <v>83.34</v>
      </c>
      <c r="AW599" s="222">
        <f>AV600/AV599</f>
        <v>-0.14206863450923929</v>
      </c>
      <c r="AX599" s="214">
        <v>97.49</v>
      </c>
      <c r="AY599" s="224">
        <f>AX600/AX599</f>
        <v>-0.30967278695250794</v>
      </c>
      <c r="AZ599" s="225"/>
      <c r="BA599" s="214">
        <v>129.18</v>
      </c>
      <c r="BB599" s="222">
        <f>BA600/BA599</f>
        <v>9.753831862517456E-3</v>
      </c>
      <c r="BC599" s="214">
        <v>107.97</v>
      </c>
      <c r="BD599" s="222">
        <f>BC600/BC599</f>
        <v>-1.065110678892277E-2</v>
      </c>
      <c r="BE599" s="214">
        <v>105.04</v>
      </c>
      <c r="BF599" s="222">
        <f>BE600/BE599</f>
        <v>0.1245239908606245</v>
      </c>
      <c r="BG599" s="214">
        <v>55.97</v>
      </c>
      <c r="BH599" s="222">
        <f>BG600/BG599</f>
        <v>-3.2696087189565938E-2</v>
      </c>
      <c r="BI599" s="214">
        <v>56.25</v>
      </c>
      <c r="BJ599" s="222">
        <f>BI600/BI599</f>
        <v>0.1182222222222222</v>
      </c>
      <c r="BK599" s="214">
        <v>89.68</v>
      </c>
      <c r="BL599" s="222">
        <f>BK600/BK599</f>
        <v>-0.35392506690454945</v>
      </c>
      <c r="BM599" s="214">
        <v>100.19</v>
      </c>
      <c r="BN599" s="222">
        <f>BM600/BM599</f>
        <v>0.2098013773829723</v>
      </c>
      <c r="BO599" s="214">
        <v>39.78</v>
      </c>
      <c r="BP599" s="222">
        <f>BO600/BO599</f>
        <v>-0.16189039718451476</v>
      </c>
      <c r="BQ599" s="214">
        <v>69.760000000000005</v>
      </c>
      <c r="BR599" s="222">
        <f>BQ600/BQ599</f>
        <v>-0.18950688073394492</v>
      </c>
      <c r="BS599" s="214">
        <v>69.62</v>
      </c>
      <c r="BT599" s="222">
        <f>BS600/BS599</f>
        <v>3.4329215742602705E-2</v>
      </c>
      <c r="BU599" s="214">
        <v>111.11</v>
      </c>
      <c r="BV599" s="222">
        <f>BU600/BU599</f>
        <v>0.2296822968229682</v>
      </c>
      <c r="BW599" s="214">
        <v>102.09</v>
      </c>
      <c r="BX599" s="222">
        <f>BW600/BW599</f>
        <v>-0.11098050739543538</v>
      </c>
      <c r="BY599" s="214">
        <v>147.16</v>
      </c>
      <c r="BZ599" s="222">
        <f>BY600/BY599</f>
        <v>0.21520793693938572</v>
      </c>
      <c r="CA599" s="214">
        <v>95.96</v>
      </c>
      <c r="CB599" s="222">
        <f>CA600/CA599</f>
        <v>8.5452271779906108E-3</v>
      </c>
      <c r="CC599" s="214">
        <v>119.62</v>
      </c>
      <c r="CD599" s="222">
        <f>CC600/CC599</f>
        <v>0.31967898344758394</v>
      </c>
      <c r="CE599" s="214">
        <v>69.069999999999993</v>
      </c>
      <c r="CF599" s="222">
        <f>CE600/CE599</f>
        <v>0.14174026350079619</v>
      </c>
      <c r="CG599" s="214">
        <v>74.84</v>
      </c>
      <c r="CH599" s="222">
        <f>CG600/CG599</f>
        <v>0.369722073757349</v>
      </c>
    </row>
    <row r="600" spans="1:87">
      <c r="C600" s="213" t="s">
        <v>9</v>
      </c>
      <c r="AH600" s="214">
        <f>AH598+AH599</f>
        <v>0</v>
      </c>
      <c r="AJ600" s="243">
        <f>AJ598+AJ599</f>
        <v>43.94</v>
      </c>
      <c r="AL600" s="243">
        <f>AL598+AL599</f>
        <v>-11.170000000000002</v>
      </c>
      <c r="AN600" s="243">
        <f>AN598+AN599</f>
        <v>23.820000000000007</v>
      </c>
      <c r="AP600" s="214">
        <f>AP598+AP599</f>
        <v>3.75</v>
      </c>
      <c r="AR600" s="214">
        <f>AR598+AR599</f>
        <v>-13.490000000000009</v>
      </c>
      <c r="AT600" s="214">
        <f>AT598+AT599</f>
        <v>34.539999999999992</v>
      </c>
      <c r="AV600" s="214">
        <f>AV598+AV599</f>
        <v>-11.840000000000003</v>
      </c>
      <c r="AX600" s="214">
        <f>AX598+AX599</f>
        <v>-30.189999999999998</v>
      </c>
      <c r="BA600" s="214">
        <f>BA598+BA599</f>
        <v>1.2600000000000051</v>
      </c>
      <c r="BC600" s="214">
        <f>BC598+BC599</f>
        <v>-1.1499999999999915</v>
      </c>
      <c r="BE600" s="214">
        <f>BE598+BE599</f>
        <v>13.079999999999998</v>
      </c>
      <c r="BG600" s="214">
        <f>BG598+BG599</f>
        <v>-1.8300000000000054</v>
      </c>
      <c r="BI600" s="214">
        <f>BI598+BI599</f>
        <v>6.6499999999999986</v>
      </c>
      <c r="BK600" s="214">
        <f>BK598+BK599</f>
        <v>-31.739999999999995</v>
      </c>
      <c r="BM600" s="214">
        <f>BM598+BM599</f>
        <v>21.019999999999996</v>
      </c>
      <c r="BO600" s="214">
        <f>BO598+BO599</f>
        <v>-6.4399999999999977</v>
      </c>
      <c r="BQ600" s="214">
        <f>BQ598+BQ599</f>
        <v>-13.219999999999999</v>
      </c>
      <c r="BS600" s="214">
        <f>BS598+BS599</f>
        <v>2.3900000000000006</v>
      </c>
      <c r="BU600" s="214">
        <f>BU598+BU599</f>
        <v>25.519999999999996</v>
      </c>
      <c r="BW600" s="214">
        <f>BW598+BW599</f>
        <v>-11.329999999999998</v>
      </c>
      <c r="BY600" s="214">
        <f>BY598+BY599</f>
        <v>31.67</v>
      </c>
      <c r="CA600" s="214">
        <f>CA598+CA599</f>
        <v>0.81999999999997897</v>
      </c>
      <c r="CC600" s="214">
        <f>CC598+CC599</f>
        <v>38.239999999999995</v>
      </c>
      <c r="CE600" s="214">
        <f>CE598+CE599</f>
        <v>9.789999999999992</v>
      </c>
      <c r="CG600" s="214">
        <f>CG598+CG599</f>
        <v>27.67</v>
      </c>
    </row>
    <row r="601" spans="1:87">
      <c r="A601" s="211">
        <v>171</v>
      </c>
      <c r="B601" s="279">
        <v>124071399</v>
      </c>
      <c r="C601" s="213" t="s">
        <v>617</v>
      </c>
      <c r="AP601" s="214"/>
      <c r="AT601" s="214"/>
    </row>
    <row r="602" spans="1:87">
      <c r="C602" s="253" t="s">
        <v>444</v>
      </c>
      <c r="AD602" s="235">
        <v>45323</v>
      </c>
      <c r="AF602" s="235">
        <v>45352</v>
      </c>
      <c r="AH602" s="235">
        <v>45383</v>
      </c>
      <c r="AJ602" s="235">
        <v>45413</v>
      </c>
      <c r="AL602" s="235">
        <v>45444</v>
      </c>
      <c r="AN602" s="235">
        <v>45474</v>
      </c>
      <c r="AP602" s="235">
        <v>45505</v>
      </c>
      <c r="AR602" s="236">
        <v>45536</v>
      </c>
      <c r="AT602" s="236">
        <v>45566</v>
      </c>
      <c r="AV602" s="235">
        <v>45597</v>
      </c>
      <c r="AX602" s="235">
        <v>45627</v>
      </c>
      <c r="BA602" s="235">
        <v>45658</v>
      </c>
      <c r="BC602" s="235">
        <v>45689</v>
      </c>
      <c r="BE602" s="235">
        <v>45717</v>
      </c>
      <c r="BG602" s="235">
        <v>45748</v>
      </c>
      <c r="BI602" s="235">
        <v>45778</v>
      </c>
      <c r="BK602" s="235">
        <v>45809</v>
      </c>
      <c r="BM602" s="235">
        <v>45839</v>
      </c>
      <c r="BO602" s="235">
        <v>45870</v>
      </c>
      <c r="BQ602" s="235">
        <v>45901</v>
      </c>
      <c r="BS602" s="235">
        <v>45931</v>
      </c>
      <c r="BU602" s="235">
        <v>45962</v>
      </c>
      <c r="BW602" s="235">
        <v>45992</v>
      </c>
      <c r="BY602" s="235">
        <v>46023</v>
      </c>
      <c r="CA602" s="235">
        <v>46054</v>
      </c>
      <c r="CC602" s="235">
        <v>46082</v>
      </c>
      <c r="CE602" s="235">
        <v>46113</v>
      </c>
      <c r="CG602" s="235">
        <v>46143</v>
      </c>
      <c r="CI602" s="341">
        <v>46174</v>
      </c>
    </row>
    <row r="603" spans="1:87">
      <c r="C603" s="213" t="s">
        <v>7</v>
      </c>
      <c r="AH603" s="237">
        <v>-6.16</v>
      </c>
      <c r="AJ603" s="237">
        <f>-6.96-20.16</f>
        <v>-27.12</v>
      </c>
      <c r="AL603" s="237">
        <f>-6.4-20.01</f>
        <v>-26.410000000000004</v>
      </c>
      <c r="AN603" s="237">
        <f>-18.46-6.4</f>
        <v>-24.86</v>
      </c>
      <c r="AP603" s="237">
        <f>-17.61-6.08</f>
        <v>-23.689999999999998</v>
      </c>
      <c r="AR603" s="237">
        <f>-16.82-5.52</f>
        <v>-22.34</v>
      </c>
      <c r="AT603" s="237">
        <f>-22.11-6.44</f>
        <v>-28.55</v>
      </c>
      <c r="AV603" s="237">
        <f>-22.09-6.06</f>
        <v>-28.15</v>
      </c>
      <c r="AX603" s="237">
        <f>-19.27-13.08</f>
        <v>-32.35</v>
      </c>
      <c r="BA603" s="237">
        <f>-28.5-5.2</f>
        <v>-33.700000000000003</v>
      </c>
      <c r="BC603" s="237">
        <f>-25.09-4.4</f>
        <v>-29.490000000000002</v>
      </c>
      <c r="BE603" s="237">
        <f>-26.46-6.6</f>
        <v>-33.06</v>
      </c>
      <c r="BG603" s="237">
        <f>-26.43-6.72</f>
        <v>-33.15</v>
      </c>
      <c r="BI603" s="237">
        <f>-30.28-4.2</f>
        <v>-34.480000000000004</v>
      </c>
      <c r="BK603" s="237">
        <v>-25.06</v>
      </c>
      <c r="BM603" s="237">
        <f>-36.36-25.86</f>
        <v>-62.22</v>
      </c>
      <c r="BO603" s="238">
        <f>-107.6-15.78-6.84</f>
        <v>-130.22</v>
      </c>
      <c r="BQ603" s="237">
        <f>-60.45-16.06-21.21</f>
        <v>-97.72</v>
      </c>
      <c r="BS603" s="237">
        <f>-78.82-19.6</f>
        <v>-98.419999999999987</v>
      </c>
      <c r="BU603" s="237">
        <f>-90.2-45.29</f>
        <v>-135.49</v>
      </c>
      <c r="BW603" s="237">
        <f>-135.91-89.8</f>
        <v>-225.70999999999998</v>
      </c>
      <c r="BY603" s="237">
        <f>-224.38-37.98</f>
        <v>-262.36</v>
      </c>
      <c r="CA603" s="237">
        <f>-139.13-33.48</f>
        <v>-172.60999999999999</v>
      </c>
      <c r="CC603" s="237">
        <f>-128.48-37.84</f>
        <v>-166.32</v>
      </c>
      <c r="CE603" s="237">
        <f>-108.92-22.96</f>
        <v>-131.88</v>
      </c>
      <c r="CG603" s="237">
        <v>-78.64</v>
      </c>
    </row>
    <row r="604" spans="1:87">
      <c r="C604" s="213" t="s">
        <v>8</v>
      </c>
      <c r="AH604" s="214">
        <v>6.48</v>
      </c>
      <c r="AI604" s="222">
        <f>ABS(((AH603+AH604)/AH603))</f>
        <v>5.1948051948051993E-2</v>
      </c>
      <c r="AJ604" s="214">
        <v>11.16</v>
      </c>
      <c r="AK604" s="222">
        <f>ABS(((AJ603+AJ604)/AJ603))</f>
        <v>0.58849557522123896</v>
      </c>
      <c r="AL604" s="214">
        <v>10.54</v>
      </c>
      <c r="AM604" s="222">
        <f>ABS(((AL603+AL604)/AL603))</f>
        <v>0.60090874668686112</v>
      </c>
      <c r="AN604" s="214">
        <v>26.68</v>
      </c>
      <c r="AO604" s="222">
        <f>ABS(((AN603+AN604)/AN603))</f>
        <v>7.3209975864843138E-2</v>
      </c>
      <c r="AP604" s="214">
        <v>26.6</v>
      </c>
      <c r="AQ604" s="222">
        <f>ABS(((AP603+AP604)/AP603))</f>
        <v>0.12283663993246112</v>
      </c>
      <c r="AR604" s="214">
        <v>28.22</v>
      </c>
      <c r="AS604" s="222">
        <f>ABS(((AR603+AR604)/AR603))</f>
        <v>0.26320501342882718</v>
      </c>
      <c r="AT604" s="214">
        <v>26.66</v>
      </c>
      <c r="AU604" s="222">
        <f>AT605/AT604</f>
        <v>-7.0892723180795217E-2</v>
      </c>
      <c r="AV604" s="214">
        <v>26.6</v>
      </c>
      <c r="AW604" s="222">
        <f>AV605/AV604</f>
        <v>-5.8270676691729216E-2</v>
      </c>
      <c r="AX604" s="214">
        <v>29.15</v>
      </c>
      <c r="AY604" s="224">
        <f>AX605/AX604</f>
        <v>-0.10977701543739291</v>
      </c>
      <c r="AZ604" s="225"/>
      <c r="BA604" s="214">
        <v>36.42</v>
      </c>
      <c r="BB604" s="222">
        <f>BA605/BA604</f>
        <v>7.4684239428885191E-2</v>
      </c>
      <c r="BC604" s="214">
        <v>36.51</v>
      </c>
      <c r="BD604" s="222">
        <f>BC605/BC604</f>
        <v>0.1922760887428101</v>
      </c>
      <c r="BE604" s="214">
        <v>36.86</v>
      </c>
      <c r="BF604" s="222">
        <f>BE605/BE604</f>
        <v>0.10309278350515456</v>
      </c>
      <c r="BG604" s="214">
        <v>36.549999999999997</v>
      </c>
      <c r="BH604" s="222">
        <f>BG605/BG604</f>
        <v>9.3023255813953459E-2</v>
      </c>
      <c r="BI604" s="214">
        <v>37.619999999999997</v>
      </c>
      <c r="BJ604" s="222">
        <f>BI605/BI604</f>
        <v>8.3466241360978036E-2</v>
      </c>
      <c r="BK604" s="214">
        <v>36.78</v>
      </c>
      <c r="BL604" s="222">
        <f>BK605/BK604</f>
        <v>0.31865144100054382</v>
      </c>
      <c r="BM604" s="214">
        <v>61.16</v>
      </c>
      <c r="BN604" s="222">
        <f>BM605/BM604</f>
        <v>-1.7331589274035355E-2</v>
      </c>
      <c r="BO604" s="214">
        <v>172.56</v>
      </c>
      <c r="BP604" s="222">
        <f>BO605/BO604</f>
        <v>0.24536393138618454</v>
      </c>
      <c r="BQ604" s="214">
        <v>91.08</v>
      </c>
      <c r="BR604" s="222">
        <f>BQ605/BQ604</f>
        <v>-7.290294246815987E-2</v>
      </c>
      <c r="BS604" s="214">
        <v>116.98</v>
      </c>
      <c r="BT604" s="222">
        <f>BS605/BS604</f>
        <v>0.15865959993161238</v>
      </c>
      <c r="BU604" s="214">
        <v>165.78</v>
      </c>
      <c r="BV604" s="222">
        <f>BU605/BU604</f>
        <v>0.1827120279889009</v>
      </c>
      <c r="BW604" s="214">
        <v>271.07</v>
      </c>
      <c r="BX604" s="222">
        <f>BW605/BW604</f>
        <v>0.16733685026008047</v>
      </c>
      <c r="BY604" s="214">
        <v>337.13</v>
      </c>
      <c r="BZ604" s="222">
        <f>BY605/BY604</f>
        <v>0.2217838815887046</v>
      </c>
      <c r="CA604" s="214">
        <v>194.75</v>
      </c>
      <c r="CB604" s="222">
        <f>CA605/CA604</f>
        <v>0.11368421052631586</v>
      </c>
      <c r="CC604" s="214">
        <v>255.79</v>
      </c>
      <c r="CD604" s="222">
        <f>CC605/CC604</f>
        <v>0.34977911568083192</v>
      </c>
      <c r="CE604" s="214">
        <v>156.66999999999999</v>
      </c>
      <c r="CF604" s="222">
        <f>CE605/CE604</f>
        <v>0.158230675943065</v>
      </c>
      <c r="CG604" s="214">
        <v>149.82</v>
      </c>
      <c r="CH604" s="222">
        <f>CG605/CG604</f>
        <v>0.47510345748231209</v>
      </c>
    </row>
    <row r="605" spans="1:87">
      <c r="C605" s="213" t="s">
        <v>9</v>
      </c>
      <c r="AH605" s="243">
        <f>AH603+AH604</f>
        <v>0.32000000000000028</v>
      </c>
      <c r="AJ605" s="243">
        <f>AJ603+AJ604</f>
        <v>-15.96</v>
      </c>
      <c r="AL605" s="243">
        <f>AL603+AL604</f>
        <v>-15.870000000000005</v>
      </c>
      <c r="AN605" s="243">
        <f>AN603+AN604</f>
        <v>1.8200000000000003</v>
      </c>
      <c r="AP605" s="214">
        <f>AP603+AP604</f>
        <v>2.9100000000000037</v>
      </c>
      <c r="AR605" s="214">
        <f>AR603+AR604</f>
        <v>5.879999999999999</v>
      </c>
      <c r="AT605" s="214">
        <f>AT603+AT604</f>
        <v>-1.8900000000000006</v>
      </c>
      <c r="AV605" s="214">
        <f>AV603+AV604</f>
        <v>-1.5499999999999972</v>
      </c>
      <c r="AX605" s="214">
        <f>AX603+AX604</f>
        <v>-3.2000000000000028</v>
      </c>
      <c r="BA605" s="214">
        <f>BA603+BA604</f>
        <v>2.7199999999999989</v>
      </c>
      <c r="BC605" s="214">
        <f>BC603+BC604</f>
        <v>7.019999999999996</v>
      </c>
      <c r="BE605" s="214">
        <f>BE603+BE604</f>
        <v>3.7999999999999972</v>
      </c>
      <c r="BG605" s="214">
        <f>BG603+BG604</f>
        <v>3.3999999999999986</v>
      </c>
      <c r="BI605" s="214">
        <f>BI603+BI604</f>
        <v>3.1399999999999935</v>
      </c>
      <c r="BK605" s="214">
        <f>BK603+BK604</f>
        <v>11.720000000000002</v>
      </c>
      <c r="BM605" s="214">
        <f>BM603+BM604</f>
        <v>-1.0600000000000023</v>
      </c>
      <c r="BO605" s="214">
        <f>BO603+BO604</f>
        <v>42.34</v>
      </c>
      <c r="BQ605" s="214">
        <f>BQ603+BQ604</f>
        <v>-6.6400000000000006</v>
      </c>
      <c r="BS605" s="214">
        <f>BS603+BS604</f>
        <v>18.560000000000016</v>
      </c>
      <c r="BU605" s="214">
        <f>BU603+BU604</f>
        <v>30.289999999999992</v>
      </c>
      <c r="BW605" s="214">
        <f>BW603+BW604</f>
        <v>45.360000000000014</v>
      </c>
      <c r="BY605" s="214">
        <f>BY603+BY604</f>
        <v>74.769999999999982</v>
      </c>
      <c r="CA605" s="214">
        <f>CA603+CA604</f>
        <v>22.140000000000015</v>
      </c>
      <c r="CC605" s="214">
        <f>CC603+CC604</f>
        <v>89.47</v>
      </c>
      <c r="CE605" s="214">
        <f>CE603+CE604</f>
        <v>24.789999999999992</v>
      </c>
      <c r="CG605" s="214">
        <f>CG603+CG604</f>
        <v>71.179999999999993</v>
      </c>
    </row>
    <row r="606" spans="1:87">
      <c r="A606" s="211">
        <v>181</v>
      </c>
      <c r="B606" s="279">
        <v>653582869</v>
      </c>
      <c r="C606" s="213" t="s">
        <v>240</v>
      </c>
      <c r="AP606" s="214"/>
      <c r="AT606" s="214"/>
    </row>
    <row r="607" spans="1:87">
      <c r="C607" s="253" t="s">
        <v>225</v>
      </c>
      <c r="AD607" s="235">
        <v>45323</v>
      </c>
      <c r="AF607" s="235">
        <v>45352</v>
      </c>
      <c r="AH607" s="235">
        <v>45383</v>
      </c>
      <c r="AJ607" s="235">
        <v>45413</v>
      </c>
      <c r="AL607" s="235">
        <v>45444</v>
      </c>
      <c r="AN607" s="235">
        <v>45474</v>
      </c>
      <c r="AP607" s="235">
        <v>45505</v>
      </c>
      <c r="AR607" s="236">
        <v>45536</v>
      </c>
      <c r="AT607" s="236">
        <v>45566</v>
      </c>
      <c r="AV607" s="235">
        <v>45597</v>
      </c>
      <c r="AX607" s="235">
        <v>45627</v>
      </c>
      <c r="BA607" s="235">
        <v>45658</v>
      </c>
      <c r="BC607" s="235">
        <v>45689</v>
      </c>
      <c r="BE607" s="235">
        <v>45717</v>
      </c>
      <c r="BG607" s="235">
        <v>45748</v>
      </c>
      <c r="BI607" s="235">
        <v>45778</v>
      </c>
      <c r="BK607" s="235">
        <v>45809</v>
      </c>
      <c r="BM607" s="235">
        <v>45839</v>
      </c>
      <c r="BO607" s="235">
        <v>45870</v>
      </c>
      <c r="BQ607" s="235">
        <v>45901</v>
      </c>
      <c r="BS607" s="235">
        <v>45931</v>
      </c>
      <c r="BU607" s="235">
        <v>45962</v>
      </c>
      <c r="BW607" s="235">
        <v>45992</v>
      </c>
      <c r="BY607" s="235">
        <v>46023</v>
      </c>
      <c r="CA607" s="235">
        <v>46054</v>
      </c>
      <c r="CC607" s="235">
        <v>46082</v>
      </c>
      <c r="CE607" s="235">
        <v>46113</v>
      </c>
      <c r="CG607" s="235">
        <v>46143</v>
      </c>
      <c r="CI607" s="341">
        <v>46174</v>
      </c>
    </row>
    <row r="608" spans="1:87">
      <c r="C608" s="213" t="s">
        <v>7</v>
      </c>
      <c r="AJ608" s="237">
        <f>-796.5</f>
        <v>-796.5</v>
      </c>
      <c r="AL608" s="237">
        <v>-1327.49</v>
      </c>
      <c r="AN608" s="237">
        <v>-1687.07</v>
      </c>
      <c r="AP608" s="237">
        <v>-1833.49</v>
      </c>
      <c r="AR608" s="237">
        <v>-1260.5999999999999</v>
      </c>
      <c r="AT608" s="237">
        <v>-1059.8399999999999</v>
      </c>
      <c r="AV608" s="237">
        <f>-387.41-41.03</f>
        <v>-428.44000000000005</v>
      </c>
      <c r="AX608" s="237">
        <v>-1767.7</v>
      </c>
      <c r="BA608" s="214">
        <v>-939.34</v>
      </c>
      <c r="BC608" s="237">
        <v>-1050.43</v>
      </c>
      <c r="BE608" s="237">
        <v>-1002.55</v>
      </c>
      <c r="BG608" s="237">
        <f>-9.22-1015.61</f>
        <v>-1024.83</v>
      </c>
      <c r="BI608" s="237">
        <v>-1054.6199999999999</v>
      </c>
      <c r="BK608" s="237">
        <v>-1340</v>
      </c>
      <c r="BM608" s="237">
        <v>-1813.16</v>
      </c>
      <c r="BO608" s="237">
        <v>-1624.22</v>
      </c>
      <c r="BQ608" s="237">
        <v>-1275.58</v>
      </c>
      <c r="BS608" s="237">
        <v>-1031.26</v>
      </c>
      <c r="BU608" s="237">
        <v>-1027.51</v>
      </c>
      <c r="BW608" s="237">
        <v>-1145.23</v>
      </c>
      <c r="BY608" s="237">
        <v>-1093.05</v>
      </c>
      <c r="CA608" s="237">
        <v>-1022.96</v>
      </c>
      <c r="CC608" s="237">
        <v>-1005.12</v>
      </c>
      <c r="CE608" s="214">
        <v>-924.56</v>
      </c>
      <c r="CG608" s="214">
        <v>-987.87</v>
      </c>
    </row>
    <row r="609" spans="1:87">
      <c r="C609" s="213" t="s">
        <v>8</v>
      </c>
      <c r="AJ609" s="214"/>
      <c r="AK609" s="222">
        <f>ABS(((AJ608+AJ609)/AJ608))</f>
        <v>1</v>
      </c>
      <c r="AL609" s="214">
        <v>3014.35</v>
      </c>
      <c r="AM609" s="222">
        <f>ABS(((AL608+AL609)/AL608))</f>
        <v>1.2707139036828903</v>
      </c>
      <c r="AN609" s="214">
        <v>1823.2</v>
      </c>
      <c r="AO609" s="222">
        <f>ABS(((AN608+AN609)/AN608))</f>
        <v>8.0690190685626634E-2</v>
      </c>
      <c r="AP609" s="214">
        <v>2200.79</v>
      </c>
      <c r="AQ609" s="222">
        <f>ABS(((AP608+AP609)/AP608))</f>
        <v>0.20032833557859597</v>
      </c>
      <c r="AR609" s="214">
        <v>1506.86</v>
      </c>
      <c r="AS609" s="222">
        <f>ABS(((AR608+AR609)/AR608))</f>
        <v>0.1953514199587498</v>
      </c>
      <c r="AT609" s="214">
        <v>1294.73</v>
      </c>
      <c r="AU609" s="222">
        <f>AT610/AT609</f>
        <v>0.18142006441497463</v>
      </c>
      <c r="AV609" s="214">
        <v>701.24</v>
      </c>
      <c r="AW609" s="222">
        <f>AV610/AV609</f>
        <v>0.38902515543893668</v>
      </c>
      <c r="AX609" s="214">
        <v>2057.58</v>
      </c>
      <c r="AY609" s="224">
        <f>AX610/AX609</f>
        <v>0.14088395104929086</v>
      </c>
      <c r="AZ609" s="225"/>
      <c r="BA609" s="214">
        <v>704.65</v>
      </c>
      <c r="BB609" s="222">
        <f>BA610/BA609</f>
        <v>-0.33305896544383745</v>
      </c>
      <c r="BC609" s="214">
        <v>1131.33</v>
      </c>
      <c r="BD609" s="222">
        <f>BC610/BC609</f>
        <v>7.1508755181953862E-2</v>
      </c>
      <c r="BE609" s="214">
        <v>1195.22</v>
      </c>
      <c r="BF609" s="222">
        <f>BE610/BE609</f>
        <v>0.16120044845300452</v>
      </c>
      <c r="BG609" s="214">
        <v>1397.39</v>
      </c>
      <c r="BH609" s="222">
        <f>BG610/BG609</f>
        <v>0.26661132539949489</v>
      </c>
      <c r="BI609" s="214">
        <v>1489.78</v>
      </c>
      <c r="BJ609" s="222">
        <f>BI610/BI609</f>
        <v>0.29209681966464851</v>
      </c>
      <c r="BK609" s="214">
        <v>1604.92</v>
      </c>
      <c r="BL609" s="222">
        <f>BK610/BK609</f>
        <v>0.16506741769060143</v>
      </c>
      <c r="BM609" s="214">
        <v>2264.6799999999998</v>
      </c>
      <c r="BN609" s="222">
        <f>BM610/BM609</f>
        <v>0.19937474610099432</v>
      </c>
      <c r="BO609" s="214">
        <v>2392.2199999999998</v>
      </c>
      <c r="BP609" s="222">
        <f>BO610/BO609</f>
        <v>0.32104070695839004</v>
      </c>
      <c r="BQ609" s="214">
        <v>1906.5</v>
      </c>
      <c r="BR609" s="222">
        <f>BQ610/BQ609</f>
        <v>0.33093102543928671</v>
      </c>
      <c r="BS609" s="214">
        <v>1541.7</v>
      </c>
      <c r="BT609" s="222">
        <f>BS610/BS609</f>
        <v>0.33108905753389117</v>
      </c>
      <c r="BU609" s="214">
        <v>1553.06</v>
      </c>
      <c r="BV609" s="222">
        <f>BU610/BU609</f>
        <v>0.33839645602874324</v>
      </c>
      <c r="BW609" s="214">
        <v>1623.98</v>
      </c>
      <c r="BX609" s="222">
        <f>BW610/BW609</f>
        <v>0.29480042857670663</v>
      </c>
      <c r="BY609" s="214">
        <v>1669.87</v>
      </c>
      <c r="BZ609" s="222">
        <f>BY610/BY609</f>
        <v>0.34542808721637014</v>
      </c>
      <c r="CA609" s="214">
        <v>1287.26</v>
      </c>
      <c r="CB609" s="222">
        <f>CA610/CA609</f>
        <v>0.20531982660845513</v>
      </c>
      <c r="CC609" s="214">
        <v>1560.23</v>
      </c>
      <c r="CD609" s="222">
        <f>CC610/CC609</f>
        <v>0.35578728777167468</v>
      </c>
      <c r="CE609" s="214">
        <v>1696.52</v>
      </c>
      <c r="CF609" s="222">
        <f>CE610/CE609</f>
        <v>0.45502558177917152</v>
      </c>
      <c r="CG609" s="214">
        <v>1398.99</v>
      </c>
      <c r="CH609" s="222">
        <f>CG610/CG609</f>
        <v>0.29386914845710121</v>
      </c>
      <c r="CI609" s="214">
        <v>1699.39</v>
      </c>
    </row>
    <row r="610" spans="1:87">
      <c r="C610" s="213" t="s">
        <v>9</v>
      </c>
      <c r="AJ610" s="214"/>
      <c r="AL610" s="243">
        <f>AL608+AL609</f>
        <v>1686.86</v>
      </c>
      <c r="AN610" s="242">
        <f>AN608+AN609</f>
        <v>136.13000000000011</v>
      </c>
      <c r="AP610" s="214">
        <f>AP608+AP609</f>
        <v>367.29999999999995</v>
      </c>
      <c r="AR610" s="214">
        <f>AR608+AR609</f>
        <v>246.26</v>
      </c>
      <c r="AT610" s="214">
        <f>AT608+AT609</f>
        <v>234.8900000000001</v>
      </c>
      <c r="AV610" s="214">
        <f>AV608+AV609</f>
        <v>272.79999999999995</v>
      </c>
      <c r="AX610" s="214">
        <f>AX608+AX609</f>
        <v>289.87999999999988</v>
      </c>
      <c r="BA610" s="214">
        <f>BA608+BA609</f>
        <v>-234.69000000000005</v>
      </c>
      <c r="BC610" s="214">
        <f>BC608+BC609</f>
        <v>80.899999999999864</v>
      </c>
      <c r="BE610" s="214">
        <f>BE608+BE609</f>
        <v>192.67000000000007</v>
      </c>
      <c r="BG610" s="214">
        <f>BG608+BG609</f>
        <v>372.56000000000017</v>
      </c>
      <c r="BI610" s="214">
        <f>BI608+BI609</f>
        <v>435.16000000000008</v>
      </c>
      <c r="BK610" s="214">
        <f>BK608+BK609</f>
        <v>264.92000000000007</v>
      </c>
      <c r="BM610" s="214">
        <f>BM608+BM609</f>
        <v>451.51999999999975</v>
      </c>
      <c r="BO610" s="214">
        <f>BO608+BO609</f>
        <v>767.99999999999977</v>
      </c>
      <c r="BQ610" s="214">
        <f>BQ608+BQ609</f>
        <v>630.92000000000007</v>
      </c>
      <c r="BS610" s="214">
        <f>BS608+BS609</f>
        <v>510.44000000000005</v>
      </c>
      <c r="BU610" s="214">
        <f>BU608+BU609</f>
        <v>525.54999999999995</v>
      </c>
      <c r="BW610" s="214">
        <f>BW608+BW609</f>
        <v>478.75</v>
      </c>
      <c r="BY610" s="214">
        <f>BY608+BY609</f>
        <v>576.81999999999994</v>
      </c>
      <c r="CA610" s="214">
        <f>CA608+CA609</f>
        <v>264.29999999999995</v>
      </c>
      <c r="CC610" s="214">
        <f>CC608+CC609</f>
        <v>555.11</v>
      </c>
      <c r="CE610" s="214">
        <f>CE608+CE609</f>
        <v>771.96</v>
      </c>
      <c r="CG610" s="214">
        <f>CG608+CG609</f>
        <v>411.12</v>
      </c>
    </row>
    <row r="611" spans="1:87">
      <c r="A611" s="211">
        <v>182</v>
      </c>
      <c r="B611" s="279">
        <v>257246265</v>
      </c>
      <c r="C611" s="213" t="s">
        <v>226</v>
      </c>
      <c r="AP611" s="214"/>
      <c r="AT611" s="214"/>
    </row>
    <row r="612" spans="1:87">
      <c r="C612" s="253" t="s">
        <v>227</v>
      </c>
      <c r="AD612" s="235">
        <v>45323</v>
      </c>
      <c r="AF612" s="235">
        <v>45352</v>
      </c>
      <c r="AH612" s="235">
        <v>45383</v>
      </c>
      <c r="AJ612" s="235">
        <v>45413</v>
      </c>
      <c r="AL612" s="235">
        <v>45444</v>
      </c>
      <c r="AN612" s="235">
        <v>45474</v>
      </c>
      <c r="AP612" s="235">
        <v>45505</v>
      </c>
      <c r="AR612" s="236">
        <v>45536</v>
      </c>
      <c r="AT612" s="236">
        <v>45566</v>
      </c>
      <c r="AV612" s="235">
        <v>45597</v>
      </c>
      <c r="AX612" s="235">
        <v>45627</v>
      </c>
      <c r="BA612" s="235">
        <v>45658</v>
      </c>
      <c r="BC612" s="235">
        <v>45689</v>
      </c>
      <c r="BE612" s="235">
        <v>45717</v>
      </c>
      <c r="BG612" s="235">
        <v>45748</v>
      </c>
      <c r="BI612" s="235">
        <v>45778</v>
      </c>
      <c r="BK612" s="235">
        <v>45809</v>
      </c>
      <c r="BM612" s="235">
        <v>45839</v>
      </c>
      <c r="BO612" s="235">
        <v>45870</v>
      </c>
      <c r="BQ612" s="235">
        <v>45901</v>
      </c>
      <c r="BS612" s="235">
        <v>45931</v>
      </c>
      <c r="BU612" s="235">
        <v>45962</v>
      </c>
      <c r="BW612" s="235">
        <v>45992</v>
      </c>
      <c r="BY612" s="235">
        <v>46023</v>
      </c>
      <c r="CA612" s="235">
        <v>46054</v>
      </c>
      <c r="CC612" s="235">
        <v>46082</v>
      </c>
      <c r="CE612" s="235">
        <v>46113</v>
      </c>
      <c r="CG612" s="235">
        <v>46143</v>
      </c>
      <c r="CI612" s="341">
        <v>46174</v>
      </c>
    </row>
    <row r="613" spans="1:87">
      <c r="C613" s="213" t="s">
        <v>7</v>
      </c>
      <c r="AJ613" s="237">
        <f>-64.6-22.69</f>
        <v>-87.289999999999992</v>
      </c>
      <c r="AL613" s="237">
        <v>-142.56</v>
      </c>
      <c r="AN613" s="237">
        <v>-163.37</v>
      </c>
      <c r="AP613" s="237">
        <v>-203.39</v>
      </c>
      <c r="AR613" s="237">
        <v>-182.38</v>
      </c>
      <c r="AT613" s="237">
        <v>-193.37</v>
      </c>
      <c r="AV613" s="237">
        <f>-153.55-63.67</f>
        <v>-217.22000000000003</v>
      </c>
      <c r="AX613" s="237">
        <v>-274.2</v>
      </c>
      <c r="BA613" s="237">
        <v>-264.70999999999998</v>
      </c>
      <c r="BC613" s="237">
        <v>-180.28</v>
      </c>
      <c r="BE613" s="237">
        <v>-201.61</v>
      </c>
      <c r="BG613" s="237">
        <f>-43.05-82.28</f>
        <v>-125.33</v>
      </c>
      <c r="BI613" s="237">
        <f>-97.11-15.48</f>
        <v>-112.59</v>
      </c>
      <c r="BK613" s="237">
        <f>-92.78-24.06</f>
        <v>-116.84</v>
      </c>
      <c r="BM613" s="237">
        <f>-96.18-28.63</f>
        <v>-124.81</v>
      </c>
      <c r="BO613" s="237">
        <f>-106.29-19.85</f>
        <v>-126.14000000000001</v>
      </c>
      <c r="BQ613" s="237">
        <f>-87.37-31.04</f>
        <v>-118.41</v>
      </c>
      <c r="BS613" s="237">
        <f>-100.98-18.05</f>
        <v>-119.03</v>
      </c>
      <c r="BU613" s="237">
        <f>-82.95-31.43</f>
        <v>-114.38</v>
      </c>
      <c r="BW613" s="237">
        <f>-94.3-43.2</f>
        <v>-137.5</v>
      </c>
      <c r="BY613" s="237">
        <f>-108-25.68</f>
        <v>-133.68</v>
      </c>
      <c r="CA613" s="237">
        <f>-94.06-22.44</f>
        <v>-116.5</v>
      </c>
      <c r="CC613" s="237">
        <f>-86.05-26.8</f>
        <v>-112.85</v>
      </c>
      <c r="CE613" s="237">
        <f>-77.13-22.19</f>
        <v>-99.32</v>
      </c>
      <c r="CG613" s="237">
        <v>-76.099999999999994</v>
      </c>
    </row>
    <row r="614" spans="1:87">
      <c r="C614" s="213" t="s">
        <v>8</v>
      </c>
      <c r="AJ614" s="214"/>
      <c r="AK614" s="222">
        <f>ABS(((AJ613+AJ614)/AJ613))</f>
        <v>1</v>
      </c>
      <c r="AL614" s="214">
        <v>205.79</v>
      </c>
      <c r="AM614" s="222">
        <f>ABS(((AL613+AL614)/AL613))</f>
        <v>0.4435325476992143</v>
      </c>
      <c r="AN614" s="214">
        <v>268.08999999999997</v>
      </c>
      <c r="AO614" s="222">
        <f>ABS(((AN613+AN614)/AN613))</f>
        <v>0.64099895941727347</v>
      </c>
      <c r="AP614" s="214">
        <v>269.22000000000003</v>
      </c>
      <c r="AQ614" s="222">
        <f>ABS(((AP613+AP614)/AP613))</f>
        <v>0.32366389694675279</v>
      </c>
      <c r="AR614" s="214">
        <v>256.08999999999997</v>
      </c>
      <c r="AS614" s="222">
        <f>ABS(((AR613+AR614)/AR613))</f>
        <v>0.40415615747340705</v>
      </c>
      <c r="AT614" s="214">
        <v>168.67</v>
      </c>
      <c r="AU614" s="222">
        <f>AT615/AT614</f>
        <v>-0.1464397936799669</v>
      </c>
      <c r="AV614" s="214">
        <v>102.51</v>
      </c>
      <c r="AW614" s="222">
        <f>AV615/AV614</f>
        <v>-1.1190127792410498</v>
      </c>
      <c r="AX614" s="214">
        <v>166.14</v>
      </c>
      <c r="AY614" s="224">
        <f>AX615/AX614</f>
        <v>-0.65041531238714345</v>
      </c>
      <c r="AZ614" s="225"/>
      <c r="BA614" s="214">
        <v>286.41000000000003</v>
      </c>
      <c r="BB614" s="222">
        <f>BA615/BA614</f>
        <v>7.5765510980761994E-2</v>
      </c>
      <c r="BC614" s="214">
        <v>255.81</v>
      </c>
      <c r="BD614" s="222">
        <f>BC615/BC614</f>
        <v>0.2952581994449005</v>
      </c>
      <c r="BE614" s="214">
        <v>270.08</v>
      </c>
      <c r="BF614" s="222">
        <f>BE615/BE614</f>
        <v>0.25351747630331745</v>
      </c>
      <c r="BG614" s="214">
        <v>126.32</v>
      </c>
      <c r="BH614" s="222">
        <f>BG615/BG614</f>
        <v>7.8372387587080025E-3</v>
      </c>
      <c r="BI614" s="214">
        <v>130.05000000000001</v>
      </c>
      <c r="BJ614" s="222">
        <f>BI615/BI614</f>
        <v>0.13425605536332186</v>
      </c>
      <c r="BK614" s="214">
        <v>134.12</v>
      </c>
      <c r="BL614" s="222">
        <f>BK615/BK614</f>
        <v>0.1288398449150015</v>
      </c>
      <c r="BM614" s="214">
        <v>142.37</v>
      </c>
      <c r="BN614" s="222">
        <f>BM615/BM614</f>
        <v>0.12334059141673107</v>
      </c>
      <c r="BO614" s="214">
        <v>140.97</v>
      </c>
      <c r="BP614" s="222">
        <f>BO615/BO614</f>
        <v>0.10519968787685312</v>
      </c>
      <c r="BQ614" s="214">
        <v>138.65</v>
      </c>
      <c r="BR614" s="222">
        <f>BQ615/BQ614</f>
        <v>0.14597908402452223</v>
      </c>
      <c r="BS614" s="214">
        <v>130.9</v>
      </c>
      <c r="BT614" s="222">
        <f>BS615/BS614</f>
        <v>9.0679908326967179E-2</v>
      </c>
      <c r="BU614" s="214">
        <v>139.12</v>
      </c>
      <c r="BV614" s="222">
        <f>BU615/BU614</f>
        <v>0.17783208740655554</v>
      </c>
      <c r="BW614" s="214">
        <v>154.28</v>
      </c>
      <c r="BX614" s="222">
        <f>BW615/BW614</f>
        <v>0.10876328752916775</v>
      </c>
      <c r="BY614" s="214">
        <v>149.43</v>
      </c>
      <c r="BZ614" s="222">
        <f>BY615/BY614</f>
        <v>0.10540052198353744</v>
      </c>
      <c r="CA614" s="214">
        <v>138.69999999999999</v>
      </c>
      <c r="CB614" s="222">
        <f>CA615/CA614</f>
        <v>0.16005767844268198</v>
      </c>
      <c r="CC614" s="214">
        <v>147.47</v>
      </c>
      <c r="CD614" s="222">
        <f>CC615/CC614</f>
        <v>0.23475961212449994</v>
      </c>
      <c r="CE614" s="214">
        <v>127.42</v>
      </c>
      <c r="CF614" s="222">
        <f>CE615/CE614</f>
        <v>0.22053052895934711</v>
      </c>
      <c r="CG614" s="214">
        <v>123.99</v>
      </c>
      <c r="CH614" s="222">
        <f>CG615/CG614</f>
        <v>0.38624082587305431</v>
      </c>
    </row>
    <row r="615" spans="1:87">
      <c r="C615" s="213" t="s">
        <v>9</v>
      </c>
      <c r="AJ615" s="214"/>
      <c r="AL615" s="242">
        <f>AL613+AL614</f>
        <v>63.22999999999999</v>
      </c>
      <c r="AN615" s="242">
        <f>AN613+AN614</f>
        <v>104.71999999999997</v>
      </c>
      <c r="AP615" s="214">
        <f>AP613+AP614</f>
        <v>65.830000000000041</v>
      </c>
      <c r="AR615" s="214">
        <f>AR613+AR614</f>
        <v>73.70999999999998</v>
      </c>
      <c r="AT615" s="214">
        <f>AT613+AT614</f>
        <v>-24.700000000000017</v>
      </c>
      <c r="AV615" s="214">
        <f>AV613+AV614</f>
        <v>-114.71000000000002</v>
      </c>
      <c r="AX615" s="214">
        <f>AX613+AX614</f>
        <v>-108.06</v>
      </c>
      <c r="BA615" s="214">
        <f>BA613+BA614</f>
        <v>21.700000000000045</v>
      </c>
      <c r="BC615" s="214">
        <f>BC613+BC614</f>
        <v>75.53</v>
      </c>
      <c r="BE615" s="214">
        <f>BE613+BE614</f>
        <v>68.46999999999997</v>
      </c>
      <c r="BG615" s="214">
        <f>BG613+BG614</f>
        <v>0.98999999999999488</v>
      </c>
      <c r="BI615" s="214">
        <f>BI613+BI614</f>
        <v>17.460000000000008</v>
      </c>
      <c r="BK615" s="214">
        <f>BK613+BK614</f>
        <v>17.28</v>
      </c>
      <c r="BM615" s="214">
        <f>BM613+BM614</f>
        <v>17.560000000000002</v>
      </c>
      <c r="BO615" s="214">
        <f>BO613+BO614</f>
        <v>14.829999999999984</v>
      </c>
      <c r="BQ615" s="214">
        <f>BQ613+BQ614</f>
        <v>20.240000000000009</v>
      </c>
      <c r="BS615" s="214">
        <f>BS613+BS614</f>
        <v>11.870000000000005</v>
      </c>
      <c r="BU615" s="214">
        <f>BU613+BU614</f>
        <v>24.740000000000009</v>
      </c>
      <c r="BW615" s="214">
        <f>BW613+BW614</f>
        <v>16.78</v>
      </c>
      <c r="BY615" s="214">
        <f>BY613+BY614</f>
        <v>15.75</v>
      </c>
      <c r="CA615" s="214">
        <f>CA613+CA614</f>
        <v>22.199999999999989</v>
      </c>
      <c r="CC615" s="214">
        <f>CC613+CC614</f>
        <v>34.620000000000005</v>
      </c>
      <c r="CE615" s="214">
        <f>CE613+CE614</f>
        <v>28.100000000000009</v>
      </c>
      <c r="CG615" s="214">
        <f>CG613+CG614</f>
        <v>47.89</v>
      </c>
    </row>
    <row r="616" spans="1:87">
      <c r="A616" s="231">
        <v>183</v>
      </c>
      <c r="B616" s="279">
        <v>721931352</v>
      </c>
      <c r="C616" s="213" t="s">
        <v>590</v>
      </c>
      <c r="AP616" s="214"/>
      <c r="AT616" s="214"/>
    </row>
    <row r="617" spans="1:87">
      <c r="C617" s="253" t="s">
        <v>228</v>
      </c>
      <c r="AD617" s="235">
        <v>45323</v>
      </c>
      <c r="AF617" s="235">
        <v>45352</v>
      </c>
      <c r="AH617" s="235">
        <v>45383</v>
      </c>
      <c r="AJ617" s="235">
        <v>45413</v>
      </c>
      <c r="AL617" s="235">
        <v>45444</v>
      </c>
      <c r="AN617" s="235">
        <v>45474</v>
      </c>
      <c r="AP617" s="235">
        <v>45505</v>
      </c>
      <c r="AR617" s="236">
        <v>45536</v>
      </c>
      <c r="AT617" s="236">
        <v>45566</v>
      </c>
      <c r="AV617" s="235">
        <v>45597</v>
      </c>
      <c r="AX617" s="235">
        <v>45627</v>
      </c>
      <c r="BA617" s="235">
        <v>45658</v>
      </c>
      <c r="BC617" s="235">
        <v>45689</v>
      </c>
      <c r="BE617" s="235">
        <v>45717</v>
      </c>
      <c r="BG617" s="235">
        <v>45748</v>
      </c>
      <c r="BI617" s="235">
        <v>45778</v>
      </c>
      <c r="BK617" s="235">
        <v>45809</v>
      </c>
      <c r="BM617" s="235">
        <v>45839</v>
      </c>
      <c r="BO617" s="235">
        <v>45870</v>
      </c>
      <c r="BQ617" s="235">
        <v>45901</v>
      </c>
      <c r="BS617" s="235">
        <v>45931</v>
      </c>
      <c r="BU617" s="235">
        <v>45962</v>
      </c>
      <c r="BW617" s="235">
        <v>45992</v>
      </c>
      <c r="BY617" s="235">
        <v>46023</v>
      </c>
      <c r="CA617" s="235">
        <v>46054</v>
      </c>
      <c r="CC617" s="235">
        <v>46082</v>
      </c>
      <c r="CE617" s="235">
        <v>46113</v>
      </c>
      <c r="CG617" s="235">
        <v>46143</v>
      </c>
      <c r="CI617" s="341">
        <v>46174</v>
      </c>
    </row>
    <row r="618" spans="1:87">
      <c r="C618" s="213" t="s">
        <v>7</v>
      </c>
      <c r="AJ618" s="237">
        <f>-38.87-167.8</f>
        <v>-206.67000000000002</v>
      </c>
      <c r="AL618" s="237">
        <f>-410.18-161.44</f>
        <v>-571.62</v>
      </c>
      <c r="AN618" s="237">
        <f>-40.35-472.93-174.8</f>
        <v>-688.07999999999993</v>
      </c>
      <c r="AP618" s="237">
        <f>-458.94-171.4</f>
        <v>-630.34</v>
      </c>
      <c r="AR618" s="237">
        <f>-377-117.76</f>
        <v>-494.76</v>
      </c>
      <c r="AT618" s="237">
        <f>-338.48-109.6</f>
        <v>-448.08000000000004</v>
      </c>
      <c r="AV618" s="237">
        <f>-315.04-96.25</f>
        <v>-411.29</v>
      </c>
      <c r="AX618" s="237">
        <f>-247.5-201.89</f>
        <v>-449.39</v>
      </c>
      <c r="BA618" s="237">
        <f>-372.79-87.06</f>
        <v>-459.85</v>
      </c>
      <c r="BC618" s="237">
        <f>-333.67-71</f>
        <v>-404.67</v>
      </c>
      <c r="BE618" s="237">
        <f>-326.66-118.64</f>
        <v>-445.3</v>
      </c>
      <c r="BG618" s="237">
        <f>-341.08-109.13</f>
        <v>-450.21</v>
      </c>
      <c r="BI618" s="237">
        <f>-389.71-109.68</f>
        <v>-499.39</v>
      </c>
      <c r="BK618" s="237">
        <f>-420.49-42.73-83.28</f>
        <v>-546.5</v>
      </c>
      <c r="BM618" s="237">
        <f>-499.67-152.67</f>
        <v>-652.34</v>
      </c>
      <c r="BO618" s="237">
        <v>-545.29</v>
      </c>
      <c r="BQ618" s="237">
        <f>-115.8-130.96</f>
        <v>-246.76</v>
      </c>
      <c r="BS618" s="237">
        <f>-425.59-49.75</f>
        <v>-475.34</v>
      </c>
      <c r="BU618" s="237">
        <f>-228.88-100.24</f>
        <v>-329.12</v>
      </c>
      <c r="BW618" s="237">
        <f>-300.65-149.1</f>
        <v>-449.75</v>
      </c>
      <c r="BY618" s="237">
        <f>-372.87-86.58</f>
        <v>-459.45</v>
      </c>
      <c r="CA618" s="237">
        <f>-317.54-80.7</f>
        <v>-398.24</v>
      </c>
      <c r="CC618" s="237">
        <f>-322.85-98.49</f>
        <v>-421.34000000000003</v>
      </c>
      <c r="CE618" s="237">
        <f>-323.64-102.06</f>
        <v>-425.7</v>
      </c>
      <c r="CG618" s="237">
        <v>-349.85</v>
      </c>
    </row>
    <row r="619" spans="1:87">
      <c r="C619" s="213" t="s">
        <v>8</v>
      </c>
      <c r="AJ619" s="214">
        <v>234.15</v>
      </c>
      <c r="AK619" s="222">
        <f>ABS(((AJ618+AJ619)/AJ618))</f>
        <v>0.13296559732907529</v>
      </c>
      <c r="AL619" s="214">
        <v>618.11</v>
      </c>
      <c r="AM619" s="222">
        <f>ABS(((AL618+AL619)/AL618))</f>
        <v>8.1330254364787816E-2</v>
      </c>
      <c r="AN619" s="214">
        <v>759.26</v>
      </c>
      <c r="AO619" s="222">
        <f>ABS(((AN618+AN619)/AN618))</f>
        <v>0.10344727357284048</v>
      </c>
      <c r="AP619" s="214">
        <v>705.43</v>
      </c>
      <c r="AQ619" s="222">
        <f>ABS(((AP618+AP619)/AP618))</f>
        <v>0.11912618586794414</v>
      </c>
      <c r="AR619" s="214">
        <v>530.15</v>
      </c>
      <c r="AS619" s="222">
        <f>ABS(((AR618+AR619)/AR618))</f>
        <v>7.1529630527932708E-2</v>
      </c>
      <c r="AT619" s="214">
        <v>477.43</v>
      </c>
      <c r="AU619" s="222">
        <f>AT620/AT619</f>
        <v>6.1474980625431927E-2</v>
      </c>
      <c r="AV619" s="214">
        <v>441.83</v>
      </c>
      <c r="AW619" s="222">
        <f>AV620/AV619</f>
        <v>6.9121607858225936E-2</v>
      </c>
      <c r="AX619" s="214">
        <v>472.01</v>
      </c>
      <c r="AY619" s="224">
        <f>AX620/AX619</f>
        <v>4.7922713501832602E-2</v>
      </c>
      <c r="AZ619" s="225"/>
      <c r="BA619" s="214">
        <v>503.36</v>
      </c>
      <c r="BB619" s="222">
        <f>BA620/BA619</f>
        <v>8.6439129052765393E-2</v>
      </c>
      <c r="BC619" s="214">
        <v>466.83</v>
      </c>
      <c r="BD619" s="222">
        <f>BC620/BC619</f>
        <v>0.13315339631129097</v>
      </c>
      <c r="BE619" s="214">
        <v>481.18</v>
      </c>
      <c r="BF619" s="222">
        <f>BE620/BE619</f>
        <v>7.4566690219876122E-2</v>
      </c>
      <c r="BG619" s="214">
        <v>489.48</v>
      </c>
      <c r="BH619" s="222">
        <f>BG620/BG619</f>
        <v>8.0227997058102546E-2</v>
      </c>
      <c r="BI619" s="214">
        <v>592.34</v>
      </c>
      <c r="BJ619" s="222">
        <f>BI620/BI619</f>
        <v>0.15692001215518123</v>
      </c>
      <c r="BK619" s="214">
        <v>625.63</v>
      </c>
      <c r="BL619" s="222">
        <f>BK620/BK619</f>
        <v>0.12648050764829052</v>
      </c>
      <c r="BM619" s="214">
        <v>845.21</v>
      </c>
      <c r="BN619" s="222">
        <f>BM620/BM619</f>
        <v>0.22819181031932892</v>
      </c>
      <c r="BO619" s="214">
        <v>899.39</v>
      </c>
      <c r="BP619" s="222">
        <f>BO620/BO619</f>
        <v>0.39371129320984227</v>
      </c>
      <c r="BQ619" s="214">
        <v>680.04</v>
      </c>
      <c r="BR619" s="222">
        <f>BQ620/BQ619</f>
        <v>0.63713899182401035</v>
      </c>
      <c r="BS619" s="214">
        <v>634.71</v>
      </c>
      <c r="BT619" s="222">
        <f>BS620/BS619</f>
        <v>0.25109104945565702</v>
      </c>
      <c r="BU619" s="214">
        <v>389.81</v>
      </c>
      <c r="BV619" s="222">
        <f>BU620/BU619</f>
        <v>0.15569123419101613</v>
      </c>
      <c r="BW619" s="214">
        <v>573.86</v>
      </c>
      <c r="BX619" s="222">
        <f>BW620/BW619</f>
        <v>0.21627226152720178</v>
      </c>
      <c r="BY619" s="214">
        <v>534.41999999999996</v>
      </c>
      <c r="BZ619" s="222">
        <f>BY620/BY619</f>
        <v>0.14028292354328051</v>
      </c>
      <c r="CA619" s="214">
        <v>577.47</v>
      </c>
      <c r="CB619" s="222">
        <f>CA620/CA619</f>
        <v>0.31037110152908376</v>
      </c>
      <c r="CC619" s="214">
        <v>498.89</v>
      </c>
      <c r="CD619" s="222">
        <f>CC620/CC619</f>
        <v>0.15544508809557209</v>
      </c>
      <c r="CE619" s="214">
        <v>592.71</v>
      </c>
      <c r="CF619" s="222">
        <f>CE620/CE619</f>
        <v>0.2817735486156806</v>
      </c>
      <c r="CG619" s="214">
        <v>616.28</v>
      </c>
      <c r="CH619" s="222">
        <f>CG620/CG619</f>
        <v>0.43231972480041531</v>
      </c>
    </row>
    <row r="620" spans="1:87">
      <c r="C620" s="213" t="s">
        <v>9</v>
      </c>
      <c r="AJ620" s="214">
        <f>AJ618+AJ619</f>
        <v>27.47999999999999</v>
      </c>
      <c r="AL620" s="243">
        <f>AL618+AL619</f>
        <v>46.490000000000009</v>
      </c>
      <c r="AN620" s="243">
        <f>AN618+AN619</f>
        <v>71.180000000000064</v>
      </c>
      <c r="AP620" s="214">
        <f>AP618+AP619</f>
        <v>75.089999999999918</v>
      </c>
      <c r="AR620" s="214">
        <f>AR618+AR619</f>
        <v>35.389999999999986</v>
      </c>
      <c r="AT620" s="214">
        <f>AT618+AT619</f>
        <v>29.349999999999966</v>
      </c>
      <c r="AV620" s="214">
        <f>AV618+AV619</f>
        <v>30.539999999999964</v>
      </c>
      <c r="AX620" s="214">
        <f>AX618+AX619</f>
        <v>22.620000000000005</v>
      </c>
      <c r="BA620" s="214">
        <f>BA618+BA619</f>
        <v>43.509999999999991</v>
      </c>
      <c r="BC620" s="214">
        <f>BC618+BC619</f>
        <v>62.159999999999968</v>
      </c>
      <c r="BE620" s="214">
        <f>BE618+BE619</f>
        <v>35.879999999999995</v>
      </c>
      <c r="BG620" s="214">
        <f>BG618+BG619</f>
        <v>39.270000000000039</v>
      </c>
      <c r="BI620" s="214">
        <f>BI618+BI619</f>
        <v>92.950000000000045</v>
      </c>
      <c r="BK620" s="214">
        <f>BK618+BK619</f>
        <v>79.13</v>
      </c>
      <c r="BM620" s="214">
        <f>BM618+BM619</f>
        <v>192.87</v>
      </c>
      <c r="BO620" s="214">
        <f>BO618+BO619</f>
        <v>354.1</v>
      </c>
      <c r="BQ620" s="214">
        <f>BQ618+BQ619</f>
        <v>433.28</v>
      </c>
      <c r="BS620" s="214">
        <f>BS618+BS619</f>
        <v>159.37000000000006</v>
      </c>
      <c r="BU620" s="214">
        <f>BU618+BU619</f>
        <v>60.69</v>
      </c>
      <c r="BW620" s="214">
        <f>BW618+BW619</f>
        <v>124.11000000000001</v>
      </c>
      <c r="BY620" s="214">
        <f>BY618+BY619</f>
        <v>74.96999999999997</v>
      </c>
      <c r="CA620" s="214">
        <f>CA618+CA619</f>
        <v>179.23000000000002</v>
      </c>
      <c r="CC620" s="214">
        <f>CC618+CC619</f>
        <v>77.549999999999955</v>
      </c>
      <c r="CE620" s="214">
        <f>CE618+CE619</f>
        <v>167.01000000000005</v>
      </c>
      <c r="CG620" s="214">
        <f>CG618+CG619</f>
        <v>266.42999999999995</v>
      </c>
    </row>
    <row r="621" spans="1:87">
      <c r="A621" s="231">
        <v>186</v>
      </c>
      <c r="B621" s="279">
        <v>656916795</v>
      </c>
      <c r="C621" s="213" t="s">
        <v>229</v>
      </c>
      <c r="AP621" s="214"/>
      <c r="AT621" s="214"/>
    </row>
    <row r="622" spans="1:87">
      <c r="C622" s="253" t="s">
        <v>230</v>
      </c>
      <c r="AD622" s="235">
        <v>45323</v>
      </c>
      <c r="AF622" s="235">
        <v>45352</v>
      </c>
      <c r="AH622" s="235">
        <v>45383</v>
      </c>
      <c r="AJ622" s="235">
        <v>45413</v>
      </c>
      <c r="AL622" s="235">
        <v>45444</v>
      </c>
      <c r="AN622" s="235">
        <v>45474</v>
      </c>
      <c r="AP622" s="235">
        <v>45505</v>
      </c>
      <c r="AR622" s="236">
        <v>45536</v>
      </c>
      <c r="AT622" s="236">
        <v>45566</v>
      </c>
      <c r="AV622" s="235">
        <v>45597</v>
      </c>
      <c r="AX622" s="235">
        <v>45627</v>
      </c>
      <c r="BA622" s="235">
        <v>45658</v>
      </c>
      <c r="BC622" s="235">
        <v>45689</v>
      </c>
      <c r="BE622" s="235">
        <v>45717</v>
      </c>
      <c r="BG622" s="235">
        <v>45748</v>
      </c>
      <c r="BI622" s="235">
        <v>45778</v>
      </c>
      <c r="BK622" s="235">
        <v>45809</v>
      </c>
      <c r="BM622" s="235">
        <v>45839</v>
      </c>
      <c r="BO622" s="235">
        <v>45870</v>
      </c>
      <c r="BQ622" s="235">
        <v>45901</v>
      </c>
      <c r="BS622" s="235">
        <v>45931</v>
      </c>
      <c r="BU622" s="235">
        <v>45962</v>
      </c>
      <c r="BW622" s="235">
        <v>45992</v>
      </c>
      <c r="BY622" s="235">
        <v>46023</v>
      </c>
      <c r="CA622" s="235">
        <v>46054</v>
      </c>
      <c r="CC622" s="235">
        <v>46082</v>
      </c>
      <c r="CE622" s="235">
        <v>46113</v>
      </c>
      <c r="CG622" s="235">
        <v>46143</v>
      </c>
      <c r="CI622" s="341">
        <v>46174</v>
      </c>
    </row>
    <row r="623" spans="1:87">
      <c r="C623" s="213" t="s">
        <v>7</v>
      </c>
      <c r="AJ623" s="238">
        <f>-2.44-19.84</f>
        <v>-22.28</v>
      </c>
      <c r="AL623" s="238">
        <f>-57.12-25.6</f>
        <v>-82.72</v>
      </c>
      <c r="AN623" s="237">
        <f>-73.55-30.4</f>
        <v>-103.94999999999999</v>
      </c>
      <c r="AP623" s="237">
        <f>-83.45-28.4</f>
        <v>-111.85</v>
      </c>
      <c r="AR623" s="237">
        <f>-74.54-5.6-21</f>
        <v>-101.14</v>
      </c>
      <c r="AT623" s="237">
        <f>-14.91-50.44-13.55</f>
        <v>-78.899999999999991</v>
      </c>
      <c r="AV623" s="237">
        <f>-51.17-7.4</f>
        <v>-58.57</v>
      </c>
      <c r="AX623" s="237">
        <f>-29.69-24.84</f>
        <v>-54.53</v>
      </c>
      <c r="BA623" s="237">
        <f>-51.91-2.82</f>
        <v>-54.73</v>
      </c>
      <c r="BC623" s="237">
        <f>-11.3-2.84-7.4</f>
        <v>-21.54</v>
      </c>
      <c r="BE623" s="237">
        <f>-17.05-3.99-44.35-12.25</f>
        <v>-77.64</v>
      </c>
      <c r="BG623" s="237">
        <f>-15.83-7.14-41.92-9.48</f>
        <v>-74.37</v>
      </c>
      <c r="BI623" s="237">
        <f>-30.95-14.25-40.97-0.6</f>
        <v>-86.77</v>
      </c>
      <c r="BK623" s="237">
        <f>-68.28-3-22.86</f>
        <v>-94.14</v>
      </c>
      <c r="BM623" s="237">
        <f>-91.38-4.62-45.36</f>
        <v>-141.36000000000001</v>
      </c>
      <c r="BO623" s="237">
        <f>-16.48-159.11-36.54</f>
        <v>-212.13</v>
      </c>
      <c r="BQ623" s="237">
        <f>-133.96-34.08</f>
        <v>-168.04000000000002</v>
      </c>
      <c r="BS623" s="237">
        <f>-106.35-16.38</f>
        <v>-122.72999999999999</v>
      </c>
      <c r="BU623" s="237">
        <f>-60.06-18.8</f>
        <v>-78.86</v>
      </c>
      <c r="BW623" s="237">
        <f>-23.51-21.68-20.3</f>
        <v>-65.489999999999995</v>
      </c>
      <c r="BY623" s="237">
        <f>-50.74-14.04</f>
        <v>-64.78</v>
      </c>
      <c r="CA623" s="237">
        <f>-51.51-12.42</f>
        <v>-63.93</v>
      </c>
      <c r="CC623" s="237">
        <f>-47.68-17.68</f>
        <v>-65.36</v>
      </c>
      <c r="CE623" s="237">
        <f>-50.77-18.13</f>
        <v>-68.900000000000006</v>
      </c>
      <c r="CG623" s="237">
        <v>-62.05</v>
      </c>
    </row>
    <row r="624" spans="1:87">
      <c r="C624" s="213" t="s">
        <v>8</v>
      </c>
      <c r="AJ624" s="213">
        <v>64</v>
      </c>
      <c r="AK624" s="222">
        <f>ABS(((AJ623+AJ624)/AJ623))</f>
        <v>1.8725314183123876</v>
      </c>
      <c r="AL624" s="213">
        <v>96</v>
      </c>
      <c r="AM624" s="222">
        <f>ABS(((AL623+AL624)/AL623))</f>
        <v>0.16054158607350097</v>
      </c>
      <c r="AN624" s="214">
        <v>66.930000000000007</v>
      </c>
      <c r="AO624" s="222"/>
      <c r="AP624" s="214">
        <v>146.44999999999999</v>
      </c>
      <c r="AQ624" s="222">
        <f>ABS(((AP623+AP624)/AP623))</f>
        <v>0.30934286991506477</v>
      </c>
      <c r="AR624" s="214">
        <v>60.9</v>
      </c>
      <c r="AS624" s="222">
        <f>ABS(((AR623+AR624)/AR623))</f>
        <v>0.3978643464504647</v>
      </c>
      <c r="AT624" s="214">
        <v>216.28</v>
      </c>
      <c r="AU624" s="222">
        <f>AT625/AT624</f>
        <v>0.63519511744035506</v>
      </c>
      <c r="AV624" s="214">
        <v>66.239999999999995</v>
      </c>
      <c r="AW624" s="222">
        <f>AV625/AV624</f>
        <v>0.1157910628019323</v>
      </c>
      <c r="AX624" s="214">
        <f>29.39+189.08</f>
        <v>218.47000000000003</v>
      </c>
      <c r="AY624" s="224">
        <f>AX625/AX624</f>
        <v>0.7504005126562</v>
      </c>
      <c r="AZ624" s="225"/>
      <c r="BA624" s="214">
        <v>169.93</v>
      </c>
      <c r="BB624" s="222">
        <f>BA625/BA624</f>
        <v>0.67792620490790334</v>
      </c>
      <c r="BC624" s="214">
        <v>191.55</v>
      </c>
      <c r="BD624" s="222">
        <f>BC625/BC624</f>
        <v>0.88754894283476904</v>
      </c>
      <c r="BE624" s="214">
        <v>221.36</v>
      </c>
      <c r="BF624" s="222">
        <f>BE625/BE624</f>
        <v>0.6492591254065776</v>
      </c>
      <c r="BG624" s="214">
        <v>234.94</v>
      </c>
      <c r="BH624" s="222">
        <f>BG625/BG624</f>
        <v>0.68345109389631398</v>
      </c>
      <c r="BI624" s="214">
        <v>265.22000000000003</v>
      </c>
      <c r="BJ624" s="222">
        <f>BI625/BI624</f>
        <v>0.67283764421989301</v>
      </c>
      <c r="BK624" s="214">
        <v>343.29</v>
      </c>
      <c r="BL624" s="222">
        <f>BK625/BK624</f>
        <v>0.72577121384252385</v>
      </c>
      <c r="BM624" s="214">
        <v>393.21</v>
      </c>
      <c r="BN624" s="222">
        <f>BM625/BM624</f>
        <v>0.64049744411383225</v>
      </c>
      <c r="BO624" s="214">
        <v>387.14</v>
      </c>
      <c r="BP624" s="222">
        <f>BO625/BO624</f>
        <v>0.45205868677997624</v>
      </c>
      <c r="BQ624" s="214">
        <v>358.22</v>
      </c>
      <c r="BR624" s="222">
        <f>BQ625/BQ624</f>
        <v>0.5309027971637541</v>
      </c>
      <c r="BS624" s="214">
        <v>152.65</v>
      </c>
      <c r="BT624" s="222">
        <f>BS625/BS624</f>
        <v>0.1960039305601049</v>
      </c>
      <c r="BU624" s="214">
        <v>104.05</v>
      </c>
      <c r="BV624" s="222">
        <f>BU625/BU624</f>
        <v>0.24209514656415185</v>
      </c>
      <c r="BW624" s="214">
        <v>150.66</v>
      </c>
      <c r="BX624" s="222">
        <f>BW625/BW624</f>
        <v>0.56531262445240937</v>
      </c>
      <c r="BY624" s="214">
        <v>140.94</v>
      </c>
      <c r="BZ624" s="222">
        <f>BY625/BY624</f>
        <v>0.54037178941393504</v>
      </c>
      <c r="CA624" s="214">
        <v>128.72999999999999</v>
      </c>
      <c r="CB624" s="222">
        <f>CA625/CA624</f>
        <v>0.50337916569564189</v>
      </c>
      <c r="CC624" s="214">
        <v>117.78</v>
      </c>
      <c r="CD624" s="222">
        <f>CC625/CC624</f>
        <v>0.44506707420614705</v>
      </c>
      <c r="CE624" s="214">
        <v>131.96</v>
      </c>
      <c r="CF624" s="222">
        <f>CE625/CE624</f>
        <v>0.47787208244922702</v>
      </c>
      <c r="CG624" s="214">
        <v>195.44</v>
      </c>
      <c r="CH624" s="222">
        <f>CG625/CG624</f>
        <v>0.68251125665165768</v>
      </c>
    </row>
    <row r="625" spans="1:87">
      <c r="C625" s="213" t="s">
        <v>9</v>
      </c>
      <c r="AJ625" s="243">
        <f>AJ623+AJ624</f>
        <v>41.72</v>
      </c>
      <c r="AL625" s="243">
        <f>AL623+AL624</f>
        <v>13.280000000000001</v>
      </c>
      <c r="AN625" s="243">
        <f>AN623+AN624</f>
        <v>-37.019999999999982</v>
      </c>
      <c r="AP625" s="214">
        <f>AP623+AP624</f>
        <v>34.599999999999994</v>
      </c>
      <c r="AR625" s="214">
        <f>AR623+AR624</f>
        <v>-40.24</v>
      </c>
      <c r="AT625" s="214">
        <f>AT623+AT624</f>
        <v>137.38</v>
      </c>
      <c r="AV625" s="214">
        <f>AV623+AV624</f>
        <v>7.6699999999999946</v>
      </c>
      <c r="AX625" s="214">
        <f>AX623+AX624</f>
        <v>163.94000000000003</v>
      </c>
      <c r="BA625" s="214">
        <f>BA623+BA624</f>
        <v>115.20000000000002</v>
      </c>
      <c r="BC625" s="214">
        <f>BC623+BC624</f>
        <v>170.01000000000002</v>
      </c>
      <c r="BE625" s="214">
        <f>BE623+BE624</f>
        <v>143.72000000000003</v>
      </c>
      <c r="BG625" s="214">
        <f>BG623+BG624</f>
        <v>160.57</v>
      </c>
      <c r="BI625" s="214">
        <f>BI623+BI624</f>
        <v>178.45000000000005</v>
      </c>
      <c r="BK625" s="214">
        <f>BK623+BK624</f>
        <v>249.15000000000003</v>
      </c>
      <c r="BM625" s="214">
        <f>BM623+BM624</f>
        <v>251.84999999999997</v>
      </c>
      <c r="BO625" s="214">
        <f>BO623+BO624</f>
        <v>175.01</v>
      </c>
      <c r="BQ625" s="214">
        <f>BQ623+BQ624</f>
        <v>190.18</v>
      </c>
      <c r="BS625" s="214">
        <f>BS623+BS624</f>
        <v>29.920000000000016</v>
      </c>
      <c r="BU625" s="214">
        <f>BU623+BU624</f>
        <v>25.189999999999998</v>
      </c>
      <c r="BW625" s="214">
        <f>BW623+BW624</f>
        <v>85.17</v>
      </c>
      <c r="BY625" s="214">
        <f>BY623+BY624</f>
        <v>76.16</v>
      </c>
      <c r="CA625" s="214">
        <f>CA623+CA624</f>
        <v>64.799999999999983</v>
      </c>
      <c r="CC625" s="214">
        <f>CC623+CC624</f>
        <v>52.42</v>
      </c>
      <c r="CE625" s="214">
        <f>CE623+CE624</f>
        <v>63.06</v>
      </c>
      <c r="CG625" s="214">
        <f>CG623+CG624</f>
        <v>133.38999999999999</v>
      </c>
    </row>
    <row r="626" spans="1:87">
      <c r="A626" s="211">
        <v>187</v>
      </c>
      <c r="B626" s="279">
        <v>829539682</v>
      </c>
      <c r="C626" s="213" t="s">
        <v>231</v>
      </c>
      <c r="AP626" s="214"/>
      <c r="AT626" s="214"/>
    </row>
    <row r="627" spans="1:87">
      <c r="C627" s="253" t="s">
        <v>235</v>
      </c>
      <c r="AD627" s="235">
        <v>45323</v>
      </c>
      <c r="AF627" s="235">
        <v>45352</v>
      </c>
      <c r="AH627" s="235">
        <v>45383</v>
      </c>
      <c r="AJ627" s="235">
        <v>45413</v>
      </c>
      <c r="AL627" s="235">
        <v>45444</v>
      </c>
      <c r="AN627" s="235">
        <v>45474</v>
      </c>
      <c r="AP627" s="235">
        <v>45505</v>
      </c>
      <c r="AR627" s="236">
        <v>45536</v>
      </c>
      <c r="AT627" s="236">
        <v>45566</v>
      </c>
      <c r="AV627" s="235">
        <v>45597</v>
      </c>
      <c r="AX627" s="235">
        <v>45627</v>
      </c>
      <c r="BA627" s="235">
        <v>45658</v>
      </c>
      <c r="BC627" s="235">
        <v>45689</v>
      </c>
      <c r="BE627" s="235">
        <v>45717</v>
      </c>
      <c r="BG627" s="235">
        <v>45748</v>
      </c>
      <c r="BI627" s="235">
        <v>45778</v>
      </c>
      <c r="BK627" s="235">
        <v>45809</v>
      </c>
      <c r="BM627" s="235">
        <v>45839</v>
      </c>
      <c r="BO627" s="235">
        <v>45870</v>
      </c>
      <c r="BQ627" s="235">
        <v>45901</v>
      </c>
      <c r="BS627" s="235">
        <v>45931</v>
      </c>
      <c r="BU627" s="235">
        <v>45962</v>
      </c>
      <c r="BW627" s="235">
        <v>45992</v>
      </c>
      <c r="BY627" s="235">
        <v>46023</v>
      </c>
      <c r="CA627" s="235">
        <v>46054</v>
      </c>
      <c r="CC627" s="235">
        <v>46082</v>
      </c>
      <c r="CE627" s="235">
        <v>46113</v>
      </c>
      <c r="CG627" s="235">
        <v>46143</v>
      </c>
      <c r="CI627" s="341">
        <v>46174</v>
      </c>
    </row>
    <row r="628" spans="1:87">
      <c r="C628" s="213" t="s">
        <v>7</v>
      </c>
      <c r="AN628" s="237">
        <v>-266.01</v>
      </c>
      <c r="AP628" s="237">
        <v>-601.41999999999996</v>
      </c>
      <c r="AR628" s="237">
        <f>-110.3-272.78</f>
        <v>-383.08</v>
      </c>
      <c r="AT628" s="237">
        <v>-334.54</v>
      </c>
      <c r="AV628" s="237">
        <f>-370.07-146.83</f>
        <v>-516.9</v>
      </c>
      <c r="AX628" s="237">
        <v>-882.61</v>
      </c>
      <c r="BA628" s="237">
        <v>-732.33</v>
      </c>
      <c r="BC628" s="237">
        <v>-544.37</v>
      </c>
      <c r="BE628" s="237">
        <v>-563.86</v>
      </c>
      <c r="BG628" s="237">
        <v>-301.29000000000002</v>
      </c>
      <c r="BI628" s="237">
        <v>-227.65</v>
      </c>
      <c r="BK628" s="237">
        <v>-234.35</v>
      </c>
      <c r="BM628" s="237">
        <v>-456.78</v>
      </c>
      <c r="BO628" s="237">
        <v>-368.24</v>
      </c>
      <c r="BQ628" s="237">
        <v>-284.27999999999997</v>
      </c>
      <c r="BS628" s="237">
        <v>-293.69</v>
      </c>
      <c r="BU628" s="237">
        <v>-449.67</v>
      </c>
      <c r="BW628" s="237">
        <v>-632.62</v>
      </c>
      <c r="BY628" s="237">
        <v>-617.11</v>
      </c>
      <c r="CA628" s="237">
        <v>-408.29</v>
      </c>
      <c r="CC628" s="237">
        <v>-460.15</v>
      </c>
      <c r="CE628" s="237">
        <v>-224.09</v>
      </c>
      <c r="CG628" s="237">
        <v>-179.61</v>
      </c>
    </row>
    <row r="629" spans="1:87">
      <c r="C629" s="213" t="s">
        <v>8</v>
      </c>
      <c r="AK629" s="222" t="e">
        <f>ABS(((AJ628+AJ629)/AJ628))</f>
        <v>#DIV/0!</v>
      </c>
      <c r="AM629" s="222" t="e">
        <f>ABS(((AL628+AL629)/AL628))</f>
        <v>#DIV/0!</v>
      </c>
      <c r="AN629" s="214">
        <v>359</v>
      </c>
      <c r="AO629" s="222">
        <f>ABS(((AN628+AN629)/AN628))</f>
        <v>0.34957332431111615</v>
      </c>
      <c r="AP629" s="214">
        <v>684</v>
      </c>
      <c r="AQ629" s="222">
        <f>ABS(((AP628+AP629)/AP628))</f>
        <v>0.13730837019054912</v>
      </c>
      <c r="AR629" s="214">
        <v>504.63</v>
      </c>
      <c r="AS629" s="222">
        <f>ABS(((AR628+AR629)/AR628))</f>
        <v>0.31729664821969306</v>
      </c>
      <c r="AT629" s="214">
        <v>495.2</v>
      </c>
      <c r="AU629" s="222">
        <f>AT630/AT629</f>
        <v>0.32443457189014535</v>
      </c>
      <c r="AV629" s="214">
        <v>615.4</v>
      </c>
      <c r="AW629" s="222">
        <f>AV630/AV629</f>
        <v>0.16005849853753656</v>
      </c>
      <c r="AX629" s="214">
        <v>932.48</v>
      </c>
      <c r="AY629" s="224">
        <f>AX630/AX629</f>
        <v>5.3481039807824302E-2</v>
      </c>
      <c r="AZ629" s="225"/>
      <c r="BA629" s="214">
        <v>853.3</v>
      </c>
      <c r="BB629" s="222">
        <f>BA630/BA629</f>
        <v>0.14176725653345826</v>
      </c>
      <c r="BC629" s="214">
        <v>734.18</v>
      </c>
      <c r="BD629" s="222">
        <f>BC630/BC629</f>
        <v>0.25853332970116316</v>
      </c>
      <c r="BE629" s="214">
        <v>890.6</v>
      </c>
      <c r="BF629" s="222">
        <f>BE630/BE629</f>
        <v>0.36687626319335281</v>
      </c>
      <c r="BG629" s="214">
        <v>616.77</v>
      </c>
      <c r="BH629" s="222">
        <f>BG630/BG629</f>
        <v>0.51150347779561256</v>
      </c>
      <c r="BI629" s="214">
        <v>412.22</v>
      </c>
      <c r="BJ629" s="222">
        <f>BI630/BI629</f>
        <v>0.44774634903692206</v>
      </c>
      <c r="BK629" s="214">
        <v>490.79</v>
      </c>
      <c r="BL629" s="222">
        <f>BK630/BK629</f>
        <v>0.52250453350720272</v>
      </c>
      <c r="BM629" s="214">
        <v>630.26</v>
      </c>
      <c r="BN629" s="222">
        <f>BM630/BM629</f>
        <v>0.27525148351473999</v>
      </c>
      <c r="BO629" s="214">
        <v>602.20000000000005</v>
      </c>
      <c r="BP629" s="222">
        <f>BO630/BO629</f>
        <v>0.38850880106276986</v>
      </c>
      <c r="BQ629" s="214">
        <v>484.8</v>
      </c>
      <c r="BR629" s="222">
        <f>BQ630/BQ629</f>
        <v>0.4136138613861387</v>
      </c>
      <c r="BS629" s="214">
        <v>460.05</v>
      </c>
      <c r="BT629" s="222">
        <f>BS630/BS629</f>
        <v>0.36161286816650368</v>
      </c>
      <c r="BU629" s="214">
        <v>639.86</v>
      </c>
      <c r="BV629" s="222">
        <f>BU630/BU629</f>
        <v>0.2972368955709061</v>
      </c>
      <c r="BW629" s="214">
        <v>814.18</v>
      </c>
      <c r="BX629" s="222">
        <f>BW630/BW629</f>
        <v>0.22299737158859215</v>
      </c>
      <c r="BY629" s="214">
        <v>866.3</v>
      </c>
      <c r="BZ629" s="222">
        <f>BY630/BY629</f>
        <v>0.28764862057024121</v>
      </c>
      <c r="CA629" s="214">
        <v>766.65</v>
      </c>
      <c r="CB629" s="222">
        <f>CA630/CA629</f>
        <v>0.46743624861410027</v>
      </c>
      <c r="CC629" s="214">
        <v>747.83</v>
      </c>
      <c r="CD629" s="222">
        <f>CC630/CC629</f>
        <v>0.38468635919928335</v>
      </c>
      <c r="CE629" s="214">
        <v>532.64</v>
      </c>
      <c r="CF629" s="222">
        <f>CE630/CE629</f>
        <v>0.57928431961550009</v>
      </c>
      <c r="CG629" s="214">
        <v>308.79000000000002</v>
      </c>
      <c r="CH629" s="222">
        <f>CG630/CG629</f>
        <v>0.41834256290682986</v>
      </c>
    </row>
    <row r="630" spans="1:87">
      <c r="C630" s="213" t="s">
        <v>9</v>
      </c>
      <c r="AN630" s="242">
        <f>AN628+AN629</f>
        <v>92.990000000000009</v>
      </c>
      <c r="AP630" s="214">
        <f>AP628+AP629</f>
        <v>82.580000000000041</v>
      </c>
      <c r="AR630" s="214">
        <f>AR628+AR629</f>
        <v>121.55000000000001</v>
      </c>
      <c r="AT630" s="214">
        <f>AT628+AT629</f>
        <v>160.65999999999997</v>
      </c>
      <c r="AV630" s="214">
        <f>AV628+AV629</f>
        <v>98.5</v>
      </c>
      <c r="AX630" s="214">
        <f>AX628+AX629</f>
        <v>49.870000000000005</v>
      </c>
      <c r="BA630" s="214">
        <f>BA628+BA629</f>
        <v>120.96999999999991</v>
      </c>
      <c r="BC630" s="214">
        <f>BC628+BC629</f>
        <v>189.80999999999995</v>
      </c>
      <c r="BE630" s="214">
        <f>BE628+BE629</f>
        <v>326.74</v>
      </c>
      <c r="BG630" s="214">
        <f>BG628+BG629</f>
        <v>315.47999999999996</v>
      </c>
      <c r="BI630" s="214">
        <f>BI628+BI629</f>
        <v>184.57000000000002</v>
      </c>
      <c r="BK630" s="214">
        <f>BK628+BK629</f>
        <v>256.44000000000005</v>
      </c>
      <c r="BM630" s="214">
        <f>BM628+BM629</f>
        <v>173.48000000000002</v>
      </c>
      <c r="BO630" s="214">
        <f>BO628+BO629</f>
        <v>233.96000000000004</v>
      </c>
      <c r="BQ630" s="214">
        <f>BQ628+BQ629</f>
        <v>200.52000000000004</v>
      </c>
      <c r="BS630" s="214">
        <f>BS628+BS629</f>
        <v>166.36</v>
      </c>
      <c r="BU630" s="214">
        <f>BU628+BU629</f>
        <v>190.19</v>
      </c>
      <c r="BW630" s="214">
        <f>BW628+BW629</f>
        <v>181.55999999999995</v>
      </c>
      <c r="BY630" s="214">
        <f>BY628+BY629</f>
        <v>249.18999999999994</v>
      </c>
      <c r="CA630" s="214">
        <f>CA628+CA629</f>
        <v>358.35999999999996</v>
      </c>
      <c r="CC630" s="214">
        <f>CC628+CC629</f>
        <v>287.68000000000006</v>
      </c>
      <c r="CE630" s="214">
        <f>CE628+CE629</f>
        <v>308.54999999999995</v>
      </c>
      <c r="CG630" s="214">
        <f>CG628+CG629</f>
        <v>129.18</v>
      </c>
    </row>
    <row r="631" spans="1:87">
      <c r="A631" s="231">
        <v>188</v>
      </c>
      <c r="B631" s="279">
        <v>612249827</v>
      </c>
      <c r="C631" s="213" t="s">
        <v>232</v>
      </c>
      <c r="AP631" s="214"/>
      <c r="AT631" s="214"/>
    </row>
    <row r="632" spans="1:87">
      <c r="C632" s="253" t="s">
        <v>233</v>
      </c>
      <c r="AD632" s="235">
        <v>45323</v>
      </c>
      <c r="AF632" s="235">
        <v>45352</v>
      </c>
      <c r="AH632" s="235">
        <v>45383</v>
      </c>
      <c r="AJ632" s="235">
        <v>45413</v>
      </c>
      <c r="AL632" s="235">
        <v>45444</v>
      </c>
      <c r="AN632" s="235">
        <v>45474</v>
      </c>
      <c r="AP632" s="235">
        <v>45505</v>
      </c>
      <c r="AR632" s="236">
        <v>45536</v>
      </c>
      <c r="AT632" s="236">
        <v>45566</v>
      </c>
      <c r="AV632" s="235">
        <v>45597</v>
      </c>
      <c r="AX632" s="235">
        <v>45627</v>
      </c>
      <c r="BA632" s="235">
        <v>45658</v>
      </c>
      <c r="BC632" s="235">
        <v>45689</v>
      </c>
      <c r="BE632" s="235">
        <v>45717</v>
      </c>
      <c r="BG632" s="235">
        <v>45748</v>
      </c>
      <c r="BI632" s="235">
        <v>45778</v>
      </c>
      <c r="BK632" s="235">
        <v>45809</v>
      </c>
      <c r="BM632" s="235">
        <v>45839</v>
      </c>
      <c r="BO632" s="235">
        <v>45870</v>
      </c>
      <c r="BQ632" s="235">
        <v>45901</v>
      </c>
      <c r="BS632" s="235">
        <v>45931</v>
      </c>
      <c r="BU632" s="235">
        <v>45962</v>
      </c>
      <c r="BW632" s="235">
        <v>45992</v>
      </c>
      <c r="BY632" s="235">
        <v>46023</v>
      </c>
      <c r="CA632" s="235">
        <v>46054</v>
      </c>
      <c r="CC632" s="235">
        <v>46082</v>
      </c>
      <c r="CE632" s="235">
        <v>46113</v>
      </c>
      <c r="CG632" s="235">
        <v>46143</v>
      </c>
      <c r="CI632" s="341">
        <v>46174</v>
      </c>
    </row>
    <row r="633" spans="1:87">
      <c r="C633" s="213" t="s">
        <v>7</v>
      </c>
      <c r="AL633" s="238">
        <v>-25.8</v>
      </c>
      <c r="AN633" s="237">
        <f>-123.89-50.2</f>
        <v>-174.09</v>
      </c>
      <c r="AP633" s="237">
        <f>-45.23-160.16</f>
        <v>-205.39</v>
      </c>
      <c r="AR633" s="237">
        <f>-167.4-36.64</f>
        <v>-204.04000000000002</v>
      </c>
      <c r="AT633" s="237">
        <f>-31.92-0-109.77</f>
        <v>-141.69</v>
      </c>
      <c r="AV633" s="237">
        <f>-109.56-40.62</f>
        <v>-150.18</v>
      </c>
      <c r="AX633" s="237">
        <f>-128.51-69.6</f>
        <v>-198.10999999999999</v>
      </c>
      <c r="BA633" s="237">
        <f>-150.93-29.15</f>
        <v>-180.08</v>
      </c>
      <c r="BC633" s="237">
        <f>-139.89-22.36</f>
        <v>-162.25</v>
      </c>
      <c r="BE633" s="237">
        <f>-134.07-36.19</f>
        <v>-170.26</v>
      </c>
      <c r="BG633" s="237">
        <f>-124.1-28.56</f>
        <v>-152.66</v>
      </c>
      <c r="BI633" s="237">
        <f>-123.74-29.6</f>
        <v>-153.34</v>
      </c>
      <c r="BK633" s="237">
        <f>-142.12-35.7</f>
        <v>-177.82</v>
      </c>
      <c r="BM633" s="237">
        <f>-142.92-37.98</f>
        <v>-180.89999999999998</v>
      </c>
      <c r="BO633" s="237">
        <f>-164.62-38.1</f>
        <v>-202.72</v>
      </c>
      <c r="BQ633" s="237">
        <f>-139.6-40.08</f>
        <v>-179.68</v>
      </c>
      <c r="BS633" s="237">
        <f>-130.36-25.5</f>
        <v>-155.86000000000001</v>
      </c>
      <c r="BU633" s="237">
        <f>-117.4-36.68</f>
        <v>-154.08000000000001</v>
      </c>
      <c r="BW633" s="237">
        <f>-110.14-52.3</f>
        <v>-162.44</v>
      </c>
      <c r="BY633" s="237">
        <f>-130.75-34.32</f>
        <v>-165.07</v>
      </c>
      <c r="CA633" s="237">
        <f>-125.84-26.58</f>
        <v>-152.42000000000002</v>
      </c>
      <c r="CC633" s="237">
        <f>-101.79-28.08</f>
        <v>-129.87</v>
      </c>
      <c r="CE633" s="237">
        <f>-80.72-21.42</f>
        <v>-102.14</v>
      </c>
      <c r="CG633" s="237">
        <v>-73.36</v>
      </c>
    </row>
    <row r="634" spans="1:87">
      <c r="C634" s="213" t="s">
        <v>8</v>
      </c>
      <c r="AK634" s="222" t="e">
        <f>ABS(((AJ633+AJ634)/AJ633))</f>
        <v>#DIV/0!</v>
      </c>
      <c r="AM634" s="222">
        <f>ABS(((AL633+AL634)/AL633))</f>
        <v>1</v>
      </c>
      <c r="AN634" s="214">
        <v>216.57</v>
      </c>
      <c r="AO634" s="222">
        <f>ABS(((AN633+AN634)/AN633))</f>
        <v>0.24401171807685673</v>
      </c>
      <c r="AP634" s="214">
        <v>346.3</v>
      </c>
      <c r="AQ634" s="222">
        <f>ABS(((AP633+AP634)/AP633))</f>
        <v>0.68606066507619667</v>
      </c>
      <c r="AR634" s="214">
        <v>238.54</v>
      </c>
      <c r="AS634" s="222">
        <f>ABS(((AR633+AR634)/AR633))</f>
        <v>0.16908449323662011</v>
      </c>
      <c r="AT634" s="214">
        <v>203.01</v>
      </c>
      <c r="AU634" s="222">
        <f>AT635/AT634</f>
        <v>0.30205408600561545</v>
      </c>
      <c r="AV634" s="214">
        <v>209.1</v>
      </c>
      <c r="AW634" s="222">
        <f>AV635/AV634</f>
        <v>0.28177905308464846</v>
      </c>
      <c r="AX634" s="214">
        <v>233.52</v>
      </c>
      <c r="AY634" s="224">
        <f>AX635/AX634</f>
        <v>0.15163583418979112</v>
      </c>
      <c r="AZ634" s="225"/>
      <c r="BA634" s="214">
        <v>240.65</v>
      </c>
      <c r="BB634" s="222">
        <f>BA635/BA634</f>
        <v>0.25169333056305837</v>
      </c>
      <c r="BC634" s="214">
        <v>227.96</v>
      </c>
      <c r="BD634" s="222">
        <f>BC635/BC634</f>
        <v>0.28825232496929287</v>
      </c>
      <c r="BE634" s="214">
        <v>229.76</v>
      </c>
      <c r="BF634" s="222">
        <f>BE635/BE634</f>
        <v>0.25896587743732591</v>
      </c>
      <c r="BG634" s="214">
        <v>204.73</v>
      </c>
      <c r="BH634" s="222">
        <f>BG635/BG634</f>
        <v>0.25433497777560687</v>
      </c>
      <c r="BI634" s="214">
        <v>225.29</v>
      </c>
      <c r="BJ634" s="222">
        <f>BI635/BI634</f>
        <v>0.31936615029517507</v>
      </c>
      <c r="BK634" s="214">
        <v>292.39999999999998</v>
      </c>
      <c r="BL634" s="222">
        <f>BK635/BK634</f>
        <v>0.39186046511627903</v>
      </c>
      <c r="BM634" s="214">
        <v>270.36</v>
      </c>
      <c r="BN634" s="222">
        <f>BM635/BM634</f>
        <v>0.33089214380825577</v>
      </c>
      <c r="BO634" s="214">
        <v>317.95</v>
      </c>
      <c r="BP634" s="222">
        <f>BO635/BO634</f>
        <v>0.36241547413115266</v>
      </c>
      <c r="BQ634" s="214">
        <v>212.6</v>
      </c>
      <c r="BR634" s="222">
        <f>BQ635/BQ634</f>
        <v>0.15484477892756343</v>
      </c>
      <c r="BS634" s="214">
        <v>196.67</v>
      </c>
      <c r="BT634" s="222">
        <f>BS635/BS634</f>
        <v>0.20750495754309237</v>
      </c>
      <c r="BU634" s="214">
        <v>196.26</v>
      </c>
      <c r="BV634" s="222">
        <f>BU635/BU634</f>
        <v>0.2149189850198715</v>
      </c>
      <c r="BW634" s="214">
        <v>203.46</v>
      </c>
      <c r="BX634" s="222">
        <f>BW635/BW634</f>
        <v>0.20161211048854816</v>
      </c>
      <c r="BY634" s="214">
        <v>195.74</v>
      </c>
      <c r="BZ634" s="222">
        <f>BY635/BY634</f>
        <v>0.15668744252579961</v>
      </c>
      <c r="CA634" s="214">
        <v>205.66</v>
      </c>
      <c r="CB634" s="222">
        <f>CA635/CA634</f>
        <v>0.2588738694933384</v>
      </c>
      <c r="CC634" s="214">
        <v>191.2</v>
      </c>
      <c r="CD634" s="222">
        <f>CC635/CC634</f>
        <v>0.32076359832635976</v>
      </c>
      <c r="CE634" s="214">
        <v>136.83000000000001</v>
      </c>
      <c r="CF634" s="222">
        <f>CE635/CE634</f>
        <v>0.25352627347803852</v>
      </c>
      <c r="CG634" s="214">
        <v>123.94</v>
      </c>
      <c r="CH634" s="222">
        <f>CG635/CG634</f>
        <v>0.4081006938841375</v>
      </c>
    </row>
    <row r="635" spans="1:87">
      <c r="C635" s="213" t="s">
        <v>9</v>
      </c>
      <c r="AN635" s="243">
        <f>AN633+AN634</f>
        <v>42.47999999999999</v>
      </c>
      <c r="AP635" s="214">
        <f>AP633+AP634</f>
        <v>140.91000000000003</v>
      </c>
      <c r="AR635" s="214">
        <f>AR633+AR634</f>
        <v>34.499999999999972</v>
      </c>
      <c r="AT635" s="214">
        <f>AT633+AT634</f>
        <v>61.319999999999993</v>
      </c>
      <c r="AV635" s="214">
        <f>AV633+AV634</f>
        <v>58.919999999999987</v>
      </c>
      <c r="AX635" s="214">
        <f>AX633+AX634</f>
        <v>35.410000000000025</v>
      </c>
      <c r="BA635" s="214">
        <f>BA633+BA634</f>
        <v>60.569999999999993</v>
      </c>
      <c r="BC635" s="214">
        <f>BC633+BC634</f>
        <v>65.710000000000008</v>
      </c>
      <c r="BE635" s="214">
        <f>BE633+BE634</f>
        <v>59.5</v>
      </c>
      <c r="BG635" s="214">
        <f>BG633+BG634</f>
        <v>52.069999999999993</v>
      </c>
      <c r="BI635" s="214">
        <f>BI633+BI634</f>
        <v>71.949999999999989</v>
      </c>
      <c r="BK635" s="214">
        <f>BK633+BK634</f>
        <v>114.57999999999998</v>
      </c>
      <c r="BM635" s="214">
        <f>BM633+BM634</f>
        <v>89.460000000000036</v>
      </c>
      <c r="BO635" s="214">
        <f>BO633+BO634</f>
        <v>115.22999999999999</v>
      </c>
      <c r="BQ635" s="214">
        <f>BQ633+BQ634</f>
        <v>32.919999999999987</v>
      </c>
      <c r="BS635" s="214">
        <f>BS633+BS634</f>
        <v>40.809999999999974</v>
      </c>
      <c r="BU635" s="214">
        <f>BU633+BU634</f>
        <v>42.179999999999978</v>
      </c>
      <c r="BW635" s="214">
        <f>BW633+BW634</f>
        <v>41.02000000000001</v>
      </c>
      <c r="BY635" s="214">
        <f>BY633+BY634</f>
        <v>30.670000000000016</v>
      </c>
      <c r="CA635" s="214">
        <f>CA633+CA634</f>
        <v>53.239999999999981</v>
      </c>
      <c r="CC635" s="214">
        <f>CC633+CC634</f>
        <v>61.329999999999984</v>
      </c>
      <c r="CE635" s="214">
        <f>CE633+CE634</f>
        <v>34.690000000000012</v>
      </c>
      <c r="CG635" s="214">
        <f>CG633+CG634</f>
        <v>50.58</v>
      </c>
    </row>
    <row r="636" spans="1:87">
      <c r="A636" s="231">
        <v>190</v>
      </c>
      <c r="B636" s="279">
        <v>124049072</v>
      </c>
      <c r="C636" s="213" t="s">
        <v>330</v>
      </c>
      <c r="AP636" s="214"/>
      <c r="AT636" s="214"/>
    </row>
    <row r="637" spans="1:87">
      <c r="C637" s="253" t="s">
        <v>234</v>
      </c>
      <c r="AD637" s="235">
        <v>45323</v>
      </c>
      <c r="AF637" s="235">
        <v>45352</v>
      </c>
      <c r="AH637" s="235">
        <v>45383</v>
      </c>
      <c r="AJ637" s="235">
        <v>45413</v>
      </c>
      <c r="AL637" s="235">
        <v>45444</v>
      </c>
      <c r="AN637" s="235">
        <v>45474</v>
      </c>
      <c r="AP637" s="235">
        <v>45505</v>
      </c>
      <c r="AR637" s="236">
        <v>45536</v>
      </c>
      <c r="AT637" s="236">
        <v>45566</v>
      </c>
      <c r="AV637" s="235">
        <v>45597</v>
      </c>
      <c r="AX637" s="235">
        <v>45627</v>
      </c>
      <c r="BA637" s="235">
        <v>45658</v>
      </c>
      <c r="BC637" s="235">
        <v>45689</v>
      </c>
      <c r="BE637" s="235">
        <v>45717</v>
      </c>
      <c r="BG637" s="235">
        <v>45748</v>
      </c>
      <c r="BI637" s="235">
        <v>45778</v>
      </c>
      <c r="BK637" s="235">
        <v>45809</v>
      </c>
      <c r="BM637" s="235">
        <v>45839</v>
      </c>
      <c r="BO637" s="235">
        <v>45870</v>
      </c>
      <c r="BQ637" s="235">
        <v>45901</v>
      </c>
      <c r="BS637" s="235">
        <v>45931</v>
      </c>
      <c r="BU637" s="235">
        <v>45962</v>
      </c>
      <c r="BW637" s="235">
        <v>45992</v>
      </c>
      <c r="BY637" s="235">
        <v>46023</v>
      </c>
      <c r="CA637" s="235">
        <v>46054</v>
      </c>
      <c r="CC637" s="235">
        <v>46082</v>
      </c>
      <c r="CE637" s="235">
        <v>46113</v>
      </c>
      <c r="CG637" s="235">
        <v>46143</v>
      </c>
      <c r="CI637" s="341">
        <v>46174</v>
      </c>
    </row>
    <row r="638" spans="1:87">
      <c r="C638" s="213" t="s">
        <v>7</v>
      </c>
      <c r="AN638" s="214">
        <v>0</v>
      </c>
      <c r="AP638" s="237">
        <f>-69.89-10.2</f>
        <v>-80.09</v>
      </c>
      <c r="AR638" s="237">
        <f>-37.51-13.44</f>
        <v>-50.949999999999996</v>
      </c>
      <c r="AT638" s="237">
        <f>-40.34-13.2</f>
        <v>-53.540000000000006</v>
      </c>
      <c r="AV638" s="237">
        <f>-37.83-12.18</f>
        <v>-50.01</v>
      </c>
      <c r="AX638" s="237">
        <f>-34.85-25.41</f>
        <v>-60.260000000000005</v>
      </c>
      <c r="BA638" s="237">
        <f>-57.92-9.55</f>
        <v>-67.47</v>
      </c>
      <c r="BC638" s="237">
        <f>-47.8-8</f>
        <v>-55.8</v>
      </c>
      <c r="BE638" s="237">
        <f>-45.87-14.96</f>
        <v>-60.83</v>
      </c>
      <c r="BG638" s="237">
        <f>-46.86-18.05</f>
        <v>-64.91</v>
      </c>
      <c r="BI638" s="237">
        <f>-90.33-11.52</f>
        <v>-101.85</v>
      </c>
      <c r="BK638" s="237">
        <f>-42.24-23.52</f>
        <v>-65.760000000000005</v>
      </c>
      <c r="BM638" s="237">
        <f>-76.43-20.3</f>
        <v>-96.73</v>
      </c>
      <c r="BO638" s="237">
        <f>-97.54-22.16-7.56</f>
        <v>-127.26</v>
      </c>
      <c r="BQ638" s="237">
        <f>-55.46-20.08</f>
        <v>-75.539999999999992</v>
      </c>
      <c r="BS638" s="237">
        <f>-65.19-13.45</f>
        <v>-78.64</v>
      </c>
      <c r="BU638" s="237">
        <f>-64.69-18.3</f>
        <v>-82.99</v>
      </c>
      <c r="BW638" s="237">
        <f>-64.15-43.1</f>
        <v>-107.25</v>
      </c>
      <c r="BY638" s="237">
        <f>-107.7-21.36</f>
        <v>-129.06</v>
      </c>
      <c r="CA638" s="237">
        <f>-78.26-17.76</f>
        <v>-96.02000000000001</v>
      </c>
      <c r="CC638" s="237">
        <f>-68.13-23.36</f>
        <v>-91.49</v>
      </c>
      <c r="CE638" s="237">
        <f>-67.15-20.02</f>
        <v>-87.17</v>
      </c>
      <c r="CG638" s="237">
        <v>-68.510000000000005</v>
      </c>
    </row>
    <row r="639" spans="1:87">
      <c r="C639" s="213" t="s">
        <v>8</v>
      </c>
      <c r="AK639" s="222" t="e">
        <f>ABS(((AJ638+AJ639)/AJ638))</f>
        <v>#DIV/0!</v>
      </c>
      <c r="AM639" s="222" t="e">
        <f>ABS(((AL638+AL639)/AL638))</f>
        <v>#DIV/0!</v>
      </c>
      <c r="AN639" s="214">
        <v>29.13</v>
      </c>
      <c r="AO639" s="222" t="e">
        <f>ABS(((AN638+AN639)/AN638))</f>
        <v>#DIV/0!</v>
      </c>
      <c r="AP639" s="214">
        <v>109.81</v>
      </c>
      <c r="AQ639" s="222">
        <f>ABS(((AP638+AP639)/AP638))</f>
        <v>0.37108253215132975</v>
      </c>
      <c r="AR639" s="214">
        <v>62.47</v>
      </c>
      <c r="AS639" s="222">
        <f>ABS(((AR638+AR639)/AR638))</f>
        <v>0.22610402355250253</v>
      </c>
      <c r="AT639" s="214">
        <v>63.24</v>
      </c>
      <c r="AU639" s="222">
        <f>AT640/AT639</f>
        <v>0.15338393421884874</v>
      </c>
      <c r="AV639" s="214">
        <v>60.24</v>
      </c>
      <c r="AW639" s="222">
        <f>AV640/AV639</f>
        <v>0.16982071713147417</v>
      </c>
      <c r="AX639" s="214">
        <v>90.85</v>
      </c>
      <c r="AY639" s="224">
        <f>AX640/AX639</f>
        <v>0.33670886075949358</v>
      </c>
      <c r="AZ639" s="225"/>
      <c r="BA639" s="214">
        <v>78.64</v>
      </c>
      <c r="BB639" s="222">
        <f>BA640/BA639</f>
        <v>0.14203967446592067</v>
      </c>
      <c r="BC639" s="214">
        <v>71.53</v>
      </c>
      <c r="BD639" s="222">
        <f>BC640/BC639</f>
        <v>0.21990773102194888</v>
      </c>
      <c r="BE639" s="214">
        <v>77.84</v>
      </c>
      <c r="BF639" s="222">
        <f>BE640/BE639</f>
        <v>0.21852517985611516</v>
      </c>
      <c r="BG639" s="214">
        <v>70.64</v>
      </c>
      <c r="BH639" s="222">
        <f>BG640/BG639</f>
        <v>8.1115515288788284E-2</v>
      </c>
      <c r="BI639" s="214">
        <v>74.510000000000005</v>
      </c>
      <c r="BJ639" s="222">
        <f>BI640/BI639</f>
        <v>-0.36693061334049104</v>
      </c>
      <c r="BK639" s="214">
        <v>82.44</v>
      </c>
      <c r="BL639" s="222">
        <f>BK640/BK639</f>
        <v>0.20232896652110618</v>
      </c>
      <c r="BM639" s="214">
        <v>111.84</v>
      </c>
      <c r="BN639" s="222">
        <f>BM640/BM639</f>
        <v>0.13510371959942774</v>
      </c>
      <c r="BO639" s="214">
        <v>53.2</v>
      </c>
      <c r="BP639" s="222">
        <f>BO640/BO639</f>
        <v>-1.3921052631578947</v>
      </c>
      <c r="BQ639" s="214">
        <v>85.94</v>
      </c>
      <c r="BR639" s="222">
        <f>BQ640/BQ639</f>
        <v>0.12101466139166868</v>
      </c>
      <c r="BS639" s="214">
        <v>90.83</v>
      </c>
      <c r="BT639" s="222">
        <f>BS640/BS639</f>
        <v>0.13420675988109654</v>
      </c>
      <c r="BU639" s="214">
        <v>99.05</v>
      </c>
      <c r="BV639" s="222">
        <f>BU640/BU639</f>
        <v>0.16214033316506818</v>
      </c>
      <c r="BW639" s="214">
        <v>148.05000000000001</v>
      </c>
      <c r="BX639" s="222">
        <f>BW640/BW639</f>
        <v>0.27558257345491394</v>
      </c>
      <c r="BY639" s="214">
        <v>133.76</v>
      </c>
      <c r="BZ639" s="222">
        <f>BY640/BY639</f>
        <v>3.5137559808612356E-2</v>
      </c>
      <c r="CA639" s="214">
        <v>117.86</v>
      </c>
      <c r="CB639" s="222">
        <f>CA640/CA639</f>
        <v>0.18530459867639562</v>
      </c>
      <c r="CC639" s="214">
        <v>122.54</v>
      </c>
      <c r="CD639" s="222">
        <f>CC640/CC639</f>
        <v>0.25338664925738541</v>
      </c>
      <c r="CE639" s="214">
        <v>112.09</v>
      </c>
      <c r="CF639" s="222">
        <f>CE640/CE639</f>
        <v>0.2223213489160496</v>
      </c>
      <c r="CG639" s="214">
        <v>116.31</v>
      </c>
      <c r="CH639" s="222">
        <f>CG640/CG639</f>
        <v>0.41097068179864155</v>
      </c>
    </row>
    <row r="640" spans="1:87">
      <c r="C640" s="213" t="s">
        <v>9</v>
      </c>
      <c r="AN640" s="242">
        <f>AN638+AN639</f>
        <v>29.13</v>
      </c>
      <c r="AP640" s="214">
        <f>AP638+AP639</f>
        <v>29.72</v>
      </c>
      <c r="AR640" s="214">
        <f>AR638+AR639</f>
        <v>11.520000000000003</v>
      </c>
      <c r="AT640" s="214">
        <f>AT638+AT639</f>
        <v>9.6999999999999957</v>
      </c>
      <c r="AV640" s="214">
        <f>AV638+AV639</f>
        <v>10.230000000000004</v>
      </c>
      <c r="AX640" s="214">
        <f>AX638+AX639</f>
        <v>30.589999999999989</v>
      </c>
      <c r="BA640" s="214">
        <f>BA638+BA639</f>
        <v>11.170000000000002</v>
      </c>
      <c r="BC640" s="214">
        <f>BC638+BC639</f>
        <v>15.730000000000004</v>
      </c>
      <c r="BE640" s="214">
        <f>BE638+BE639</f>
        <v>17.010000000000005</v>
      </c>
      <c r="BG640" s="214">
        <f>BG638+BG639</f>
        <v>5.730000000000004</v>
      </c>
      <c r="BI640" s="214">
        <f>BI638+BI639</f>
        <v>-27.339999999999989</v>
      </c>
      <c r="BK640" s="214">
        <f>BK638+BK639</f>
        <v>16.679999999999993</v>
      </c>
      <c r="BM640" s="214">
        <f>BM638+BM639</f>
        <v>15.11</v>
      </c>
      <c r="BO640" s="214">
        <f>BO638+BO639</f>
        <v>-74.06</v>
      </c>
      <c r="BQ640" s="214">
        <f>BQ638+BQ639</f>
        <v>10.400000000000006</v>
      </c>
      <c r="BS640" s="214">
        <f>BS638+BS639</f>
        <v>12.189999999999998</v>
      </c>
      <c r="BU640" s="214">
        <f>BU638+BU639</f>
        <v>16.060000000000002</v>
      </c>
      <c r="BW640" s="214">
        <f>BW638+BW639</f>
        <v>40.800000000000011</v>
      </c>
      <c r="BY640" s="214">
        <f>BY638+BY639</f>
        <v>4.6999999999999886</v>
      </c>
      <c r="CA640" s="214">
        <f>CA638+CA639</f>
        <v>21.839999999999989</v>
      </c>
      <c r="CC640" s="214">
        <f>CC638+CC639</f>
        <v>31.050000000000011</v>
      </c>
      <c r="CE640" s="214">
        <f>CE638+CE639</f>
        <v>24.92</v>
      </c>
      <c r="CG640" s="214">
        <f>CG638+CG639</f>
        <v>47.8</v>
      </c>
    </row>
    <row r="641" spans="1:87">
      <c r="A641" s="231">
        <v>192</v>
      </c>
      <c r="B641" s="279">
        <v>334849371</v>
      </c>
      <c r="C641" s="213" t="s">
        <v>246</v>
      </c>
      <c r="AP641" s="214"/>
      <c r="AT641" s="236"/>
    </row>
    <row r="642" spans="1:87">
      <c r="C642" s="253" t="s">
        <v>247</v>
      </c>
      <c r="AP642" s="214"/>
      <c r="AT642" s="236">
        <v>45566</v>
      </c>
      <c r="AV642" s="235">
        <v>45597</v>
      </c>
      <c r="AX642" s="235">
        <v>45627</v>
      </c>
      <c r="BA642" s="235">
        <v>45658</v>
      </c>
      <c r="BC642" s="235">
        <v>45689</v>
      </c>
      <c r="BE642" s="235">
        <v>45717</v>
      </c>
      <c r="BG642" s="235">
        <v>45748</v>
      </c>
      <c r="BI642" s="235">
        <v>45778</v>
      </c>
      <c r="BK642" s="235">
        <v>45809</v>
      </c>
      <c r="BM642" s="235">
        <v>45839</v>
      </c>
      <c r="BO642" s="235">
        <v>45870</v>
      </c>
      <c r="BQ642" s="235">
        <v>45901</v>
      </c>
      <c r="BS642" s="235">
        <v>45931</v>
      </c>
      <c r="BU642" s="235">
        <v>45962</v>
      </c>
      <c r="BW642" s="235">
        <v>45992</v>
      </c>
      <c r="BY642" s="235">
        <v>46023</v>
      </c>
      <c r="CA642" s="235">
        <v>46054</v>
      </c>
      <c r="CC642" s="235">
        <v>46082</v>
      </c>
      <c r="CE642" s="235">
        <v>46113</v>
      </c>
      <c r="CG642" s="235">
        <v>46143</v>
      </c>
      <c r="CI642" s="341">
        <v>46174</v>
      </c>
    </row>
    <row r="643" spans="1:87">
      <c r="C643" s="213" t="s">
        <v>7</v>
      </c>
      <c r="AP643" s="214"/>
      <c r="AT643" s="237">
        <v>-93.87</v>
      </c>
      <c r="AV643" s="237">
        <f>-31.27-115</f>
        <v>-146.27000000000001</v>
      </c>
      <c r="AX643" s="237">
        <f>-20.05-136.35</f>
        <v>-156.4</v>
      </c>
      <c r="BA643" s="237">
        <f>-40.48-140.76</f>
        <v>-181.23999999999998</v>
      </c>
      <c r="BC643" s="238">
        <f>-73.43-91.2</f>
        <v>-164.63</v>
      </c>
      <c r="BE643" s="237">
        <f>-51.24-128.26</f>
        <v>-179.5</v>
      </c>
      <c r="BG643" s="237">
        <f>-40.79-121.9</f>
        <v>-162.69</v>
      </c>
      <c r="BI643" s="237">
        <f>-42.5-122.13</f>
        <v>-164.63</v>
      </c>
      <c r="BK643" s="237">
        <f>-42.47-122.98</f>
        <v>-165.45</v>
      </c>
      <c r="BM643" s="237">
        <f>-33.5-120.25</f>
        <v>-153.75</v>
      </c>
      <c r="BO643" s="237">
        <f>-52.83-55.3-41.43</f>
        <v>-149.56</v>
      </c>
      <c r="BQ643" s="237">
        <f>-22.15-123.93</f>
        <v>-146.08000000000001</v>
      </c>
      <c r="BS643" s="237">
        <f>-23.07-106.75</f>
        <v>-129.82</v>
      </c>
      <c r="BU643" s="237">
        <f>-25.75-112.8</f>
        <v>-138.55000000000001</v>
      </c>
      <c r="BW643" s="237">
        <f>-14.08-123.48</f>
        <v>-137.56</v>
      </c>
      <c r="BY643" s="237">
        <f>-35.42-137.77</f>
        <v>-173.19</v>
      </c>
      <c r="CA643" s="237">
        <f>-30.06-139.84</f>
        <v>-169.9</v>
      </c>
      <c r="CC643" s="237">
        <f>-30.38-73.76</f>
        <v>-104.14</v>
      </c>
      <c r="CE643" s="237">
        <f>-78.22-98.21</f>
        <v>-176.43</v>
      </c>
      <c r="CG643" s="237">
        <f>-29.81-132.96</f>
        <v>-162.77000000000001</v>
      </c>
      <c r="CI643" s="213">
        <v>-22.13</v>
      </c>
    </row>
    <row r="644" spans="1:87">
      <c r="C644" s="213" t="s">
        <v>8</v>
      </c>
      <c r="AP644" s="214"/>
      <c r="AT644" s="214">
        <v>116.71</v>
      </c>
      <c r="AU644" s="222">
        <f>AT645/AT644</f>
        <v>0.19569874046782615</v>
      </c>
      <c r="AV644" s="214">
        <v>170.05</v>
      </c>
      <c r="AW644" s="222">
        <f>AV645/AV644</f>
        <v>0.13984122316965597</v>
      </c>
      <c r="AX644" s="214">
        <v>168.73</v>
      </c>
      <c r="AY644" s="224">
        <f>AX645/AX644</f>
        <v>7.3075327446215754E-2</v>
      </c>
      <c r="AZ644" s="225"/>
      <c r="BA644" s="214">
        <v>118.61</v>
      </c>
      <c r="BB644" s="222">
        <f>BA645/BA644</f>
        <v>-0.5280330494899248</v>
      </c>
      <c r="BC644" s="213">
        <v>186.34</v>
      </c>
      <c r="BD644" s="222">
        <f>BC645/BC644</f>
        <v>0.11650745948266614</v>
      </c>
      <c r="BE644" s="214">
        <v>195.33</v>
      </c>
      <c r="BF644" s="222">
        <f>BE645/BE644</f>
        <v>8.1042338606460915E-2</v>
      </c>
      <c r="BG644" s="214">
        <v>194.4</v>
      </c>
      <c r="BH644" s="222">
        <f>BG645/BG644</f>
        <v>0.16311728395061731</v>
      </c>
      <c r="BI644" s="214">
        <v>190.42</v>
      </c>
      <c r="BJ644" s="222">
        <f>BI645/BI644</f>
        <v>0.13543745404894442</v>
      </c>
      <c r="BK644" s="214">
        <v>197.38</v>
      </c>
      <c r="BL644" s="222">
        <f>BK645/BK644</f>
        <v>0.16176917620832915</v>
      </c>
      <c r="BM644" s="214">
        <v>207.01</v>
      </c>
      <c r="BN644" s="222">
        <f>BM645/BM644</f>
        <v>0.25728225689580209</v>
      </c>
      <c r="BO644" s="214">
        <v>124.2</v>
      </c>
      <c r="BP644" s="222">
        <f>BO645/BO644</f>
        <v>-0.2041867954911433</v>
      </c>
      <c r="BQ644" s="214">
        <v>170.23</v>
      </c>
      <c r="BR644" s="222">
        <f>BQ645/BQ644</f>
        <v>0.14186688597779462</v>
      </c>
      <c r="BS644" s="214">
        <v>155.31</v>
      </c>
      <c r="BT644" s="222">
        <f>BS645/BS644</f>
        <v>0.16412336617088411</v>
      </c>
      <c r="BU644" s="214">
        <v>174.39</v>
      </c>
      <c r="BV644" s="222">
        <f>BU645/BU644</f>
        <v>0.20551637135156819</v>
      </c>
      <c r="BW644" s="214">
        <v>170.93</v>
      </c>
      <c r="BX644" s="222">
        <f>BW645/BW644</f>
        <v>0.19522611595389927</v>
      </c>
      <c r="BY644" s="214">
        <v>188.23</v>
      </c>
      <c r="BZ644" s="222">
        <f>BY645/BY644</f>
        <v>7.9902247250703884E-2</v>
      </c>
      <c r="CA644" s="214">
        <v>198.75</v>
      </c>
      <c r="CB644" s="222">
        <f>CA645/CA644</f>
        <v>0.14515723270440248</v>
      </c>
      <c r="CC644" s="214">
        <v>200.47</v>
      </c>
      <c r="CD644" s="222">
        <f>CC645/CC644</f>
        <v>0.48052077617598643</v>
      </c>
      <c r="CE644" s="214">
        <v>184.55</v>
      </c>
      <c r="CF644" s="222">
        <f>CE645/CE644</f>
        <v>4.3998916282850201E-2</v>
      </c>
      <c r="CG644" s="214">
        <v>165.53</v>
      </c>
      <c r="CH644" s="222">
        <f>CG645/CG644</f>
        <v>1.667371473448916E-2</v>
      </c>
    </row>
    <row r="645" spans="1:87">
      <c r="C645" s="213" t="s">
        <v>9</v>
      </c>
      <c r="AP645" s="214"/>
      <c r="AT645" s="214">
        <f>AT643+AT644</f>
        <v>22.839999999999989</v>
      </c>
      <c r="AV645" s="214">
        <f>AV643+AV644</f>
        <v>23.78</v>
      </c>
      <c r="AX645" s="214">
        <f>AX643+AX644</f>
        <v>12.329999999999984</v>
      </c>
      <c r="BA645" s="214">
        <f>BA643+BA644</f>
        <v>-62.629999999999981</v>
      </c>
      <c r="BC645" s="214">
        <f>BC643+BC644</f>
        <v>21.710000000000008</v>
      </c>
      <c r="BE645" s="214">
        <f>BE643+BE644</f>
        <v>15.830000000000013</v>
      </c>
      <c r="BG645" s="214">
        <f>BG643+BG644</f>
        <v>31.710000000000008</v>
      </c>
      <c r="BI645" s="214">
        <f>BI643+BI644</f>
        <v>25.789999999999992</v>
      </c>
      <c r="BK645" s="214">
        <f>BK643+BK644</f>
        <v>31.930000000000007</v>
      </c>
      <c r="BM645" s="214">
        <f>BM643+BM644</f>
        <v>53.259999999999991</v>
      </c>
      <c r="BO645" s="214">
        <f>BO643+BO644</f>
        <v>-25.36</v>
      </c>
      <c r="BQ645" s="214">
        <f>BQ643+BQ644</f>
        <v>24.149999999999977</v>
      </c>
      <c r="BS645" s="214">
        <f>BS643+BS644</f>
        <v>25.490000000000009</v>
      </c>
      <c r="BU645" s="214">
        <f>BU643+BU644</f>
        <v>35.839999999999975</v>
      </c>
      <c r="BW645" s="214">
        <f>BW643+BW644</f>
        <v>33.370000000000005</v>
      </c>
      <c r="BY645" s="214">
        <f>BY643+BY644</f>
        <v>15.039999999999992</v>
      </c>
      <c r="CA645" s="214">
        <f>CA643+CA644</f>
        <v>28.849999999999994</v>
      </c>
      <c r="CC645" s="214">
        <f>CC643+CC644</f>
        <v>96.33</v>
      </c>
      <c r="CE645" s="214">
        <f>CE643+CE644</f>
        <v>8.1200000000000045</v>
      </c>
      <c r="CG645" s="214">
        <f>CG643+CG644</f>
        <v>2.7599999999999909</v>
      </c>
    </row>
    <row r="646" spans="1:87">
      <c r="A646" s="211">
        <v>193</v>
      </c>
      <c r="B646" s="279">
        <v>566366198</v>
      </c>
      <c r="C646" s="331" t="s">
        <v>595</v>
      </c>
      <c r="AP646" s="214"/>
    </row>
    <row r="647" spans="1:87">
      <c r="C647" s="253" t="s">
        <v>244</v>
      </c>
      <c r="AP647" s="214"/>
      <c r="AT647" s="236">
        <v>45566</v>
      </c>
      <c r="AV647" s="235">
        <v>45597</v>
      </c>
      <c r="AX647" s="235">
        <v>45627</v>
      </c>
      <c r="BA647" s="235">
        <v>45658</v>
      </c>
      <c r="BC647" s="235">
        <v>45689</v>
      </c>
      <c r="BE647" s="235">
        <v>45717</v>
      </c>
      <c r="BG647" s="235">
        <v>45748</v>
      </c>
      <c r="BI647" s="235">
        <v>45778</v>
      </c>
      <c r="BK647" s="235">
        <v>45809</v>
      </c>
      <c r="BM647" s="235">
        <v>45839</v>
      </c>
      <c r="BO647" s="235">
        <v>45870</v>
      </c>
      <c r="BQ647" s="235">
        <v>45901</v>
      </c>
      <c r="BS647" s="235">
        <v>45931</v>
      </c>
      <c r="BU647" s="235">
        <v>45962</v>
      </c>
      <c r="BW647" s="235">
        <v>45992</v>
      </c>
      <c r="BY647" s="235">
        <v>46023</v>
      </c>
      <c r="CA647" s="235">
        <v>46054</v>
      </c>
      <c r="CC647" s="235">
        <v>46082</v>
      </c>
      <c r="CE647" s="235">
        <v>46113</v>
      </c>
      <c r="CG647" s="235">
        <v>46143</v>
      </c>
      <c r="CI647" s="341">
        <v>46174</v>
      </c>
    </row>
    <row r="648" spans="1:87">
      <c r="C648" s="213" t="s">
        <v>7</v>
      </c>
      <c r="AP648" s="214"/>
      <c r="AT648" s="237">
        <f>-52.39-9.15</f>
        <v>-61.54</v>
      </c>
      <c r="AV648" s="237">
        <f>-79.42-8.32</f>
        <v>-87.740000000000009</v>
      </c>
      <c r="AX648" s="237">
        <f>-56.27-16.08</f>
        <v>-72.349999999999994</v>
      </c>
      <c r="BA648" s="237">
        <f>-116.58-6.68</f>
        <v>-123.25999999999999</v>
      </c>
      <c r="BC648" s="237">
        <f>-86.88-6.72</f>
        <v>-93.6</v>
      </c>
      <c r="BE648" s="237">
        <f>-87.44-16.45</f>
        <v>-103.89</v>
      </c>
      <c r="BG648" s="237">
        <f>-78.9-19.02</f>
        <v>-97.92</v>
      </c>
      <c r="BI648" s="237">
        <f>-82.54-16.85</f>
        <v>-99.390000000000015</v>
      </c>
      <c r="BK648" s="237">
        <f>-80.76-21.6</f>
        <v>-102.36000000000001</v>
      </c>
      <c r="BM648" s="237">
        <f>-100.66-10.71</f>
        <v>-111.37</v>
      </c>
      <c r="BO648" s="237">
        <f>-92.77-17.1</f>
        <v>-109.87</v>
      </c>
      <c r="BQ648" s="237">
        <f>BU614+BT407-95.64-6.66</f>
        <v>36.820000000000007</v>
      </c>
      <c r="BS648" s="237">
        <f>-93.2-10.26</f>
        <v>-103.46000000000001</v>
      </c>
      <c r="BU648" s="237">
        <f>-89.03-13.56</f>
        <v>-102.59</v>
      </c>
      <c r="BW648" s="237">
        <f>-88.12-16.9</f>
        <v>-105.02000000000001</v>
      </c>
      <c r="BY648" s="237">
        <f>-94.58-10.29</f>
        <v>-104.87</v>
      </c>
      <c r="CA648" s="237">
        <f>-82.24-13.28</f>
        <v>-95.52</v>
      </c>
      <c r="CC648" s="237">
        <f>-86.25-16</f>
        <v>-102.25</v>
      </c>
      <c r="CE648" s="237">
        <f>-89.71-6.44</f>
        <v>-96.149999999999991</v>
      </c>
      <c r="CG648" s="237">
        <v>-83.73</v>
      </c>
    </row>
    <row r="649" spans="1:87">
      <c r="C649" s="213" t="s">
        <v>8</v>
      </c>
      <c r="AP649" s="214"/>
      <c r="AT649" s="214">
        <v>78.98</v>
      </c>
      <c r="AU649" s="222">
        <f>AT650/AT649</f>
        <v>0.22081539630286154</v>
      </c>
      <c r="AV649" s="214">
        <v>113.19</v>
      </c>
      <c r="AW649" s="222">
        <f>AV650/AV649</f>
        <v>0.22484318402685741</v>
      </c>
      <c r="AX649" s="214">
        <v>79.760000000000005</v>
      </c>
      <c r="AY649" s="224">
        <f>AX650/AX649</f>
        <v>9.2903711133400332E-2</v>
      </c>
      <c r="AZ649" s="225"/>
      <c r="BA649" s="214"/>
      <c r="BB649" s="222" t="e">
        <f>BA650/BA649</f>
        <v>#DIV/0!</v>
      </c>
      <c r="BC649" s="214">
        <v>106.75</v>
      </c>
      <c r="BD649" s="222">
        <f>BC650/BC649</f>
        <v>0.12318501170960193</v>
      </c>
      <c r="BE649" s="214">
        <v>110.42</v>
      </c>
      <c r="BF649" s="222">
        <f>BE650/BE649</f>
        <v>5.9137837348306473E-2</v>
      </c>
      <c r="BG649" s="214">
        <v>107.17</v>
      </c>
      <c r="BH649" s="222">
        <f>BG650/BG649</f>
        <v>8.6311467761500421E-2</v>
      </c>
      <c r="BI649" s="214">
        <v>108.67</v>
      </c>
      <c r="BJ649" s="222">
        <f>BI650/BI649</f>
        <v>8.5396153492224042E-2</v>
      </c>
      <c r="BK649" s="214">
        <v>115.29</v>
      </c>
      <c r="BL649" s="222">
        <f>BK650/BK649</f>
        <v>0.11215196461098094</v>
      </c>
      <c r="BM649" s="214">
        <v>125.24</v>
      </c>
      <c r="BN649" s="222">
        <f>BM650/BM649</f>
        <v>0.11074736505908649</v>
      </c>
      <c r="BO649" s="214">
        <v>121.65</v>
      </c>
      <c r="BP649" s="222">
        <f>BO650/BO649</f>
        <v>9.6835182901767375E-2</v>
      </c>
      <c r="BQ649" s="214">
        <v>115.45</v>
      </c>
      <c r="BR649" s="222">
        <f>BQ650/BQ649</f>
        <v>1.3189259419662192</v>
      </c>
      <c r="BS649" s="214">
        <v>114.33</v>
      </c>
      <c r="BT649" s="222">
        <f>BS650/BS649</f>
        <v>9.5075658182454212E-2</v>
      </c>
      <c r="BU649" s="214">
        <v>113.88</v>
      </c>
      <c r="BV649" s="222">
        <f>BU650/BU649</f>
        <v>9.9139445029855916E-2</v>
      </c>
      <c r="BW649" s="214">
        <v>114.88</v>
      </c>
      <c r="BX649" s="222">
        <f>BW650/BW649</f>
        <v>8.5828690807799313E-2</v>
      </c>
      <c r="BY649" s="214">
        <v>113.73</v>
      </c>
      <c r="BZ649" s="222">
        <f>BY650/BY649</f>
        <v>7.7903807262815428E-2</v>
      </c>
      <c r="CA649" s="214">
        <v>110.72</v>
      </c>
      <c r="CB649" s="222">
        <f>CA650/CA649</f>
        <v>0.13728323699421968</v>
      </c>
      <c r="CC649" s="214">
        <v>116.43</v>
      </c>
      <c r="CD649" s="222">
        <f>CC650/CC649</f>
        <v>0.12178991668813885</v>
      </c>
      <c r="CE649" s="214">
        <v>112.87</v>
      </c>
      <c r="CF649" s="222">
        <f>CE650/CE649</f>
        <v>0.148135022592363</v>
      </c>
      <c r="CG649" s="214">
        <v>112.6</v>
      </c>
      <c r="CH649" s="222">
        <f>CG650/CG649</f>
        <v>0.25639431616341024</v>
      </c>
    </row>
    <row r="650" spans="1:87">
      <c r="C650" s="213" t="s">
        <v>9</v>
      </c>
      <c r="AP650" s="214"/>
      <c r="AT650" s="214">
        <f>AT648+AT649</f>
        <v>17.440000000000005</v>
      </c>
      <c r="AV650" s="214">
        <f>AV648+AV649</f>
        <v>25.449999999999989</v>
      </c>
      <c r="AX650" s="214">
        <f>AX648+AX649</f>
        <v>7.4100000000000108</v>
      </c>
      <c r="BA650" s="214">
        <f>BA648+BA649</f>
        <v>-123.25999999999999</v>
      </c>
      <c r="BC650" s="214">
        <f>BC648+BC649</f>
        <v>13.150000000000006</v>
      </c>
      <c r="BE650" s="214">
        <f>BE648+BE649</f>
        <v>6.5300000000000011</v>
      </c>
      <c r="BG650" s="214">
        <f>BG648+BG649</f>
        <v>9.25</v>
      </c>
      <c r="BI650" s="214">
        <f>BI648+BI649</f>
        <v>9.2799999999999869</v>
      </c>
      <c r="BK650" s="214">
        <f>BK648+BK649</f>
        <v>12.929999999999993</v>
      </c>
      <c r="BM650" s="214">
        <f>BM648+BM649</f>
        <v>13.86999999999999</v>
      </c>
      <c r="BO650" s="214">
        <f>BO648+BO649</f>
        <v>11.780000000000001</v>
      </c>
      <c r="BQ650" s="214">
        <f>BQ648+BQ649</f>
        <v>152.27000000000001</v>
      </c>
      <c r="BS650" s="214">
        <f>BS648+BS649</f>
        <v>10.86999999999999</v>
      </c>
      <c r="BU650" s="214">
        <f>BU648+BU649</f>
        <v>11.289999999999992</v>
      </c>
      <c r="BW650" s="214">
        <f>BW648+BW649</f>
        <v>9.8599999999999852</v>
      </c>
      <c r="BY650" s="214">
        <f>BY648+BY649</f>
        <v>8.86</v>
      </c>
      <c r="CA650" s="214">
        <f>CA648+CA649</f>
        <v>15.200000000000003</v>
      </c>
      <c r="CC650" s="214">
        <f>CC648+CC649</f>
        <v>14.180000000000007</v>
      </c>
      <c r="CE650" s="214">
        <f>CE648+CE649</f>
        <v>16.720000000000013</v>
      </c>
      <c r="CG650" s="214">
        <f>CG648+CG649</f>
        <v>28.86999999999999</v>
      </c>
    </row>
    <row r="651" spans="1:87">
      <c r="A651" s="211">
        <v>195</v>
      </c>
      <c r="B651" s="279">
        <v>105194657</v>
      </c>
      <c r="C651" s="213" t="s">
        <v>248</v>
      </c>
      <c r="AP651" s="214"/>
    </row>
    <row r="652" spans="1:87">
      <c r="C652" s="253" t="s">
        <v>249</v>
      </c>
      <c r="AP652" s="214"/>
      <c r="AT652" s="235">
        <v>45566</v>
      </c>
      <c r="AV652" s="235">
        <v>45597</v>
      </c>
      <c r="AX652" s="235">
        <v>45627</v>
      </c>
      <c r="BA652" s="235">
        <v>45658</v>
      </c>
      <c r="BC652" s="235">
        <v>45689</v>
      </c>
      <c r="BE652" s="235">
        <v>45717</v>
      </c>
      <c r="BG652" s="235">
        <v>45748</v>
      </c>
      <c r="BI652" s="235">
        <v>45778</v>
      </c>
      <c r="BK652" s="235">
        <v>45809</v>
      </c>
      <c r="BM652" s="235">
        <v>45839</v>
      </c>
      <c r="BO652" s="235">
        <v>45870</v>
      </c>
      <c r="BQ652" s="235">
        <v>45901</v>
      </c>
      <c r="BS652" s="235">
        <v>45931</v>
      </c>
      <c r="BU652" s="235">
        <v>45962</v>
      </c>
      <c r="BW652" s="235">
        <v>45992</v>
      </c>
      <c r="BY652" s="235">
        <v>46023</v>
      </c>
      <c r="CA652" s="235">
        <v>46054</v>
      </c>
      <c r="CC652" s="235">
        <v>46082</v>
      </c>
      <c r="CE652" s="235">
        <v>46113</v>
      </c>
      <c r="CG652" s="235">
        <v>46143</v>
      </c>
      <c r="CI652" s="341">
        <v>46174</v>
      </c>
    </row>
    <row r="653" spans="1:87">
      <c r="C653" s="213" t="s">
        <v>7</v>
      </c>
      <c r="AP653" s="214"/>
      <c r="AT653" s="237">
        <f>-61.47-37.12</f>
        <v>-98.59</v>
      </c>
      <c r="AV653" s="237">
        <f>-111.37-36.06</f>
        <v>-147.43</v>
      </c>
      <c r="AX653" s="237">
        <f>-144.21-44.52</f>
        <v>-188.73000000000002</v>
      </c>
      <c r="BA653" s="214">
        <f>-165.23-46.75</f>
        <v>-211.98</v>
      </c>
      <c r="BC653" s="237">
        <f>-224.46-26.24</f>
        <v>-250.70000000000002</v>
      </c>
      <c r="BE653" s="237">
        <f>-131.3-25.78</f>
        <v>-157.08000000000001</v>
      </c>
      <c r="BG653" s="214"/>
      <c r="BI653" s="237">
        <f>-85.38-45.12</f>
        <v>-130.5</v>
      </c>
      <c r="BK653" s="237">
        <f>-118.5-60.39</f>
        <v>-178.89</v>
      </c>
      <c r="BM653" s="237">
        <f>-154.77-42.88</f>
        <v>-197.65</v>
      </c>
      <c r="BO653" s="237">
        <f>-128.54-41.58</f>
        <v>-170.12</v>
      </c>
      <c r="BQ653" s="237">
        <f>-136.6-37.59</f>
        <v>-174.19</v>
      </c>
      <c r="BS653" s="237">
        <f>-128.79-36.68</f>
        <v>-165.47</v>
      </c>
      <c r="BU653" s="237">
        <f>-115.33-50.64</f>
        <v>-165.97</v>
      </c>
      <c r="BW653" s="237">
        <f>-139.28-55.26</f>
        <v>-194.54</v>
      </c>
      <c r="BY653" s="237">
        <f>-147.35-38.99</f>
        <v>-186.34</v>
      </c>
      <c r="CA653" s="237">
        <f>-116.97-34.16</f>
        <v>-151.13</v>
      </c>
      <c r="CC653" s="237">
        <f>-117.02-32.2</f>
        <v>-149.22</v>
      </c>
      <c r="CE653" s="237">
        <f>-96.67-44.91</f>
        <v>-141.57999999999998</v>
      </c>
      <c r="CG653" s="237">
        <f>-114.75-53.44</f>
        <v>-168.19</v>
      </c>
      <c r="CI653" s="238">
        <v>-140.38999999999999</v>
      </c>
    </row>
    <row r="654" spans="1:87">
      <c r="C654" s="213" t="s">
        <v>8</v>
      </c>
      <c r="AP654" s="214"/>
      <c r="AT654" s="214">
        <v>157.35</v>
      </c>
      <c r="AU654" s="222">
        <f>AT655/AT654</f>
        <v>0.37343501747696212</v>
      </c>
      <c r="AV654" s="214">
        <v>202.32</v>
      </c>
      <c r="AW654" s="222">
        <f>AV655/AV654</f>
        <v>0.2713028865164096</v>
      </c>
      <c r="AX654" s="214">
        <v>251</v>
      </c>
      <c r="AY654" s="224">
        <f>AX655/AX654</f>
        <v>0.24808764940239036</v>
      </c>
      <c r="AZ654" s="225"/>
      <c r="BA654" s="214">
        <v>262.5</v>
      </c>
      <c r="BB654" s="222">
        <f>BA655/BA654</f>
        <v>0.19245714285714291</v>
      </c>
      <c r="BC654" s="214">
        <v>322.05</v>
      </c>
      <c r="BD654" s="222">
        <f>BC655/BC654</f>
        <v>0.22154944884334729</v>
      </c>
      <c r="BE654" s="214">
        <v>74.03</v>
      </c>
      <c r="BF654" s="222">
        <f>BE655/BE654</f>
        <v>-1.12184249628529</v>
      </c>
      <c r="BG654" s="214">
        <v>69.09</v>
      </c>
      <c r="BH654" s="222">
        <f>BG655/BG654</f>
        <v>1</v>
      </c>
      <c r="BI654" s="214">
        <v>165.5</v>
      </c>
      <c r="BJ654" s="222">
        <f>BI655/BI654</f>
        <v>0.21148036253776434</v>
      </c>
      <c r="BK654" s="214">
        <v>307.39999999999998</v>
      </c>
      <c r="BL654" s="222">
        <f>BK655/BK654</f>
        <v>0.41805465191932334</v>
      </c>
      <c r="BM654" s="214">
        <v>232.77</v>
      </c>
      <c r="BN654" s="222">
        <f>BM655/BM654</f>
        <v>0.15087854964127681</v>
      </c>
      <c r="BO654" s="214">
        <v>198.14</v>
      </c>
      <c r="BP654" s="222">
        <f>BO655/BO654</f>
        <v>0.14141516099727458</v>
      </c>
      <c r="BQ654" s="214">
        <v>205.54</v>
      </c>
      <c r="BR654" s="222">
        <f>BQ655/BQ654</f>
        <v>0.15252505595017998</v>
      </c>
      <c r="BS654" s="214">
        <v>195.55</v>
      </c>
      <c r="BT654" s="222">
        <f>BS655/BS654</f>
        <v>0.15382255177703918</v>
      </c>
      <c r="BU654" s="214">
        <v>187</v>
      </c>
      <c r="BV654" s="222">
        <f>BU655/BU654</f>
        <v>0.11245989304812835</v>
      </c>
      <c r="BW654" s="214">
        <v>216.06</v>
      </c>
      <c r="BX654" s="222">
        <f>BW655/BW654</f>
        <v>9.960196241784694E-2</v>
      </c>
      <c r="BY654" s="214">
        <v>229.4</v>
      </c>
      <c r="BZ654" s="222">
        <f>BY655/BY654</f>
        <v>0.18770706190061029</v>
      </c>
      <c r="CA654" s="214">
        <v>179.13</v>
      </c>
      <c r="CB654" s="222">
        <f>CA655/CA654</f>
        <v>0.15631105900742479</v>
      </c>
      <c r="CC654" s="214">
        <v>187.13</v>
      </c>
      <c r="CD654" s="222">
        <f>CC655/CC654</f>
        <v>0.20258643723614597</v>
      </c>
      <c r="CE654" s="214">
        <v>164.73</v>
      </c>
      <c r="CF654" s="222">
        <f>CE655/CE654</f>
        <v>0.14053299338311181</v>
      </c>
      <c r="CG654" s="214">
        <v>187.67</v>
      </c>
      <c r="CH654" s="222">
        <f>CG655/CG654</f>
        <v>0.10379922203868487</v>
      </c>
    </row>
    <row r="655" spans="1:87">
      <c r="C655" s="213" t="s">
        <v>9</v>
      </c>
      <c r="AP655" s="214"/>
      <c r="AT655" s="214">
        <f>AT653+AT654</f>
        <v>58.759999999999991</v>
      </c>
      <c r="AV655" s="214">
        <f>AV653+AV654</f>
        <v>54.889999999999986</v>
      </c>
      <c r="AX655" s="214">
        <f>AX653+AX654</f>
        <v>62.269999999999982</v>
      </c>
      <c r="BA655" s="214">
        <f>BA653+BA654</f>
        <v>50.52000000000001</v>
      </c>
      <c r="BC655" s="214">
        <f>BC653+BC654</f>
        <v>71.349999999999994</v>
      </c>
      <c r="BE655" s="214">
        <f>BE653+BE654</f>
        <v>-83.050000000000011</v>
      </c>
      <c r="BG655" s="214">
        <f>BG653+BG654</f>
        <v>69.09</v>
      </c>
      <c r="BI655" s="214">
        <f>BI653+BI654</f>
        <v>35</v>
      </c>
      <c r="BK655" s="214">
        <f>BK653+BK654</f>
        <v>128.51</v>
      </c>
      <c r="BM655" s="214">
        <f>BM653+BM654</f>
        <v>35.120000000000005</v>
      </c>
      <c r="BO655" s="214">
        <f>BO653+BO654</f>
        <v>28.019999999999982</v>
      </c>
      <c r="BQ655" s="214">
        <f>BQ653+BQ654</f>
        <v>31.349999999999994</v>
      </c>
      <c r="BS655" s="214">
        <f>BS653+BS654</f>
        <v>30.080000000000013</v>
      </c>
      <c r="BU655" s="214">
        <f>BU653+BU654</f>
        <v>21.03</v>
      </c>
      <c r="BW655" s="214">
        <f>BW653+BW654</f>
        <v>21.52000000000001</v>
      </c>
      <c r="BY655" s="214">
        <f>BY653+BY654</f>
        <v>43.06</v>
      </c>
      <c r="CA655" s="214">
        <f>CA653+CA654</f>
        <v>28</v>
      </c>
      <c r="CC655" s="214">
        <f>CC653+CC654</f>
        <v>37.909999999999997</v>
      </c>
      <c r="CE655" s="214">
        <f>CE653+CE654</f>
        <v>23.150000000000006</v>
      </c>
      <c r="CG655" s="214">
        <f>CG653+CG654</f>
        <v>19.47999999999999</v>
      </c>
    </row>
    <row r="656" spans="1:87">
      <c r="A656" s="211">
        <v>196</v>
      </c>
      <c r="B656" s="279">
        <v>130812997</v>
      </c>
      <c r="C656" s="213" t="s">
        <v>262</v>
      </c>
      <c r="AP656" s="214"/>
    </row>
    <row r="657" spans="1:87">
      <c r="C657" s="213" t="s">
        <v>263</v>
      </c>
      <c r="AP657" s="214"/>
      <c r="AT657" s="235">
        <v>45566</v>
      </c>
      <c r="AV657" s="235">
        <v>45597</v>
      </c>
      <c r="AX657" s="235">
        <v>45627</v>
      </c>
      <c r="BA657" s="235">
        <v>45658</v>
      </c>
      <c r="BC657" s="235">
        <v>45689</v>
      </c>
      <c r="BE657" s="235">
        <v>45717</v>
      </c>
      <c r="BG657" s="235">
        <v>45748</v>
      </c>
      <c r="BI657" s="235">
        <v>45778</v>
      </c>
      <c r="BK657" s="235">
        <v>45809</v>
      </c>
      <c r="BM657" s="235">
        <v>45839</v>
      </c>
      <c r="BO657" s="235">
        <v>45870</v>
      </c>
      <c r="BQ657" s="235">
        <v>45901</v>
      </c>
      <c r="BS657" s="235">
        <v>45931</v>
      </c>
      <c r="BU657" s="235">
        <v>45962</v>
      </c>
      <c r="BW657" s="235">
        <v>45992</v>
      </c>
      <c r="BY657" s="235">
        <v>46023</v>
      </c>
      <c r="CA657" s="235">
        <v>46054</v>
      </c>
      <c r="CC657" s="235">
        <v>46082</v>
      </c>
      <c r="CE657" s="235">
        <v>46113</v>
      </c>
      <c r="CG657" s="235">
        <v>46143</v>
      </c>
      <c r="CI657" s="341">
        <v>46174</v>
      </c>
    </row>
    <row r="658" spans="1:87">
      <c r="C658" s="213" t="s">
        <v>7</v>
      </c>
      <c r="AP658" s="214"/>
      <c r="AT658" s="238">
        <v>-32.67</v>
      </c>
      <c r="AV658" s="237">
        <f>-97.99-11.94</f>
        <v>-109.92999999999999</v>
      </c>
      <c r="AX658" s="237">
        <f>-103.52-22.75</f>
        <v>-126.27</v>
      </c>
      <c r="BA658" s="237">
        <f>-127.25-14.31</f>
        <v>-141.56</v>
      </c>
      <c r="BC658" s="237">
        <f>-119.26-13.98</f>
        <v>-133.24</v>
      </c>
      <c r="BE658" s="237">
        <f>-116.41-22.98</f>
        <v>-139.38999999999999</v>
      </c>
      <c r="BG658" s="237">
        <f>-92.05-18.96</f>
        <v>-111.00999999999999</v>
      </c>
      <c r="BI658" s="237">
        <f>-82.18-17.25</f>
        <v>-99.43</v>
      </c>
      <c r="BK658" s="237">
        <f>-82.88-21.12</f>
        <v>-104</v>
      </c>
      <c r="BM658" s="237">
        <f>-94.97-15</f>
        <v>-109.97</v>
      </c>
      <c r="BO658" s="237">
        <f>-97.43-18.75</f>
        <v>-116.18</v>
      </c>
      <c r="BQ658" s="237">
        <f>-93.83-17.05</f>
        <v>-110.88</v>
      </c>
      <c r="BS658" s="237">
        <f>-92.06-14.88</f>
        <v>-106.94</v>
      </c>
      <c r="BU658" s="237">
        <f>-92.93-30.73</f>
        <v>-123.66000000000001</v>
      </c>
      <c r="BW658" s="237">
        <v>-100.85</v>
      </c>
      <c r="BY658" s="237">
        <f>-158.59-19.88</f>
        <v>-178.47</v>
      </c>
      <c r="CA658" s="237">
        <f>-119.19-16.8</f>
        <v>-135.99</v>
      </c>
      <c r="CC658" s="237">
        <f>-109.23-17.25</f>
        <v>-126.48</v>
      </c>
      <c r="CE658" s="237">
        <f>-93.28-10.08</f>
        <v>-103.36</v>
      </c>
      <c r="CG658" s="237">
        <v>-87.26</v>
      </c>
    </row>
    <row r="659" spans="1:87">
      <c r="C659" s="213" t="s">
        <v>8</v>
      </c>
      <c r="AP659" s="214"/>
      <c r="AT659" s="213">
        <v>45.12</v>
      </c>
      <c r="AU659" s="222">
        <f>AT660/AT659</f>
        <v>0.2759308510638297</v>
      </c>
      <c r="AV659" s="214">
        <v>129.58000000000001</v>
      </c>
      <c r="AW659" s="222">
        <f>AV660/AV659</f>
        <v>0.15164377218706604</v>
      </c>
      <c r="AX659" s="214">
        <v>160.41</v>
      </c>
      <c r="AY659" s="224">
        <f>AX660/AX659</f>
        <v>0.2128296240882738</v>
      </c>
      <c r="AZ659" s="225"/>
      <c r="BA659" s="214">
        <v>174.27</v>
      </c>
      <c r="BB659" s="222">
        <f>BA660/BA659</f>
        <v>0.18769725139151894</v>
      </c>
      <c r="BC659" s="214">
        <v>164.69</v>
      </c>
      <c r="BD659" s="222">
        <f>BC660/BC659</f>
        <v>0.19096484303843578</v>
      </c>
      <c r="BE659" s="214">
        <v>161.76</v>
      </c>
      <c r="BF659" s="222">
        <f>BE660/BE659</f>
        <v>0.13829129574678539</v>
      </c>
      <c r="BG659" s="214">
        <v>128.31</v>
      </c>
      <c r="BH659" s="222">
        <f>BG660/BG659</f>
        <v>0.1348297092977945</v>
      </c>
      <c r="BI659" s="214">
        <v>120</v>
      </c>
      <c r="BJ659" s="222">
        <f>BI660/BI659</f>
        <v>0.17141666666666661</v>
      </c>
      <c r="BK659" s="214">
        <v>126.96</v>
      </c>
      <c r="BL659" s="222">
        <f>BK660/BK659</f>
        <v>0.18084436042848137</v>
      </c>
      <c r="BM659" s="214">
        <v>134.21</v>
      </c>
      <c r="BN659" s="222">
        <f>BM660/BM659</f>
        <v>0.1806124729900902</v>
      </c>
      <c r="BO659" s="214">
        <v>139.08000000000001</v>
      </c>
      <c r="BP659" s="222">
        <f>BO660/BO659</f>
        <v>0.16465343687086573</v>
      </c>
      <c r="BQ659" s="214">
        <v>136.55000000000001</v>
      </c>
      <c r="BR659" s="222">
        <f>BQ660/BQ659</f>
        <v>0.18798974734529486</v>
      </c>
      <c r="BS659" s="214">
        <v>129.81</v>
      </c>
      <c r="BT659" s="222">
        <f>BS660/BS659</f>
        <v>0.17618057160465297</v>
      </c>
      <c r="BU659" s="214">
        <v>139.27000000000001</v>
      </c>
      <c r="BV659" s="222">
        <f>BU660/BU659</f>
        <v>0.11208444029582823</v>
      </c>
      <c r="BW659" s="214">
        <v>163.85</v>
      </c>
      <c r="BX659" s="222">
        <f>BW660/BW659</f>
        <v>0.38449801647848642</v>
      </c>
      <c r="BY659" s="214">
        <v>193.42</v>
      </c>
      <c r="BZ659" s="222">
        <f>BY660/BY659</f>
        <v>7.7292937648640217E-2</v>
      </c>
      <c r="CA659" s="214">
        <v>171.43</v>
      </c>
      <c r="CB659" s="222">
        <f>CA660/CA659</f>
        <v>0.20673161056991191</v>
      </c>
      <c r="CC659" s="214">
        <v>162.35</v>
      </c>
      <c r="CD659" s="222">
        <f>CC660/CC659</f>
        <v>0.2209424083769633</v>
      </c>
      <c r="CE659" s="214">
        <v>124.56</v>
      </c>
      <c r="CF659" s="222">
        <f>CE660/CE659</f>
        <v>0.170199100834939</v>
      </c>
      <c r="CG659" s="214">
        <v>130.69999999999999</v>
      </c>
      <c r="CH659" s="222">
        <f>CG660/CG659</f>
        <v>0.33236419280795704</v>
      </c>
    </row>
    <row r="660" spans="1:87">
      <c r="C660" s="213" t="s">
        <v>9</v>
      </c>
      <c r="AP660" s="214"/>
      <c r="AT660" s="214">
        <f>AT658+AT659</f>
        <v>12.449999999999996</v>
      </c>
      <c r="AV660" s="214">
        <f>AV658+AV659</f>
        <v>19.65000000000002</v>
      </c>
      <c r="AX660" s="214">
        <f>AX658+AX659</f>
        <v>34.14</v>
      </c>
      <c r="BA660" s="214">
        <f>BA658+BA659</f>
        <v>32.710000000000008</v>
      </c>
      <c r="BC660" s="214">
        <f>BC658+BC659</f>
        <v>31.449999999999989</v>
      </c>
      <c r="BE660" s="214">
        <f>BE658+BE659</f>
        <v>22.370000000000005</v>
      </c>
      <c r="BG660" s="214">
        <f>BG658+BG659</f>
        <v>17.300000000000011</v>
      </c>
      <c r="BI660" s="214">
        <f>BI658+BI659</f>
        <v>20.569999999999993</v>
      </c>
      <c r="BK660" s="214">
        <f>BK658+BK659</f>
        <v>22.959999999999994</v>
      </c>
      <c r="BM660" s="214">
        <f>BM658+BM659</f>
        <v>24.240000000000009</v>
      </c>
      <c r="BO660" s="214">
        <f>BO658+BO659</f>
        <v>22.900000000000006</v>
      </c>
      <c r="BQ660" s="214">
        <f>BQ658+BQ659</f>
        <v>25.670000000000016</v>
      </c>
      <c r="BS660" s="214">
        <f>BS658+BS659</f>
        <v>22.870000000000005</v>
      </c>
      <c r="BU660" s="214">
        <f>BU658+BU659</f>
        <v>15.61</v>
      </c>
      <c r="BW660" s="214">
        <f>BW658+BW659</f>
        <v>63</v>
      </c>
      <c r="BY660" s="214">
        <f>BY658+BY659</f>
        <v>14.949999999999989</v>
      </c>
      <c r="CA660" s="214">
        <f>CA658+CA659</f>
        <v>35.44</v>
      </c>
      <c r="CC660" s="214">
        <f>CC658+CC659</f>
        <v>35.86999999999999</v>
      </c>
      <c r="CE660" s="214">
        <f>CE658+CE659</f>
        <v>21.200000000000003</v>
      </c>
      <c r="CG660" s="214">
        <f>CG658+CG659</f>
        <v>43.439999999999984</v>
      </c>
    </row>
    <row r="661" spans="1:87" hidden="1">
      <c r="A661" s="211">
        <v>198</v>
      </c>
      <c r="B661" s="332" t="s">
        <v>30</v>
      </c>
      <c r="C661" s="213" t="s">
        <v>265</v>
      </c>
      <c r="AP661" s="214"/>
    </row>
    <row r="662" spans="1:87" hidden="1">
      <c r="C662" s="213" t="s">
        <v>266</v>
      </c>
      <c r="AP662" s="214"/>
      <c r="AT662" s="235">
        <v>45566</v>
      </c>
      <c r="AV662" s="235">
        <v>45597</v>
      </c>
      <c r="AX662" s="235">
        <v>45627</v>
      </c>
      <c r="BA662" s="235">
        <v>45658</v>
      </c>
      <c r="BC662" s="235">
        <v>45689</v>
      </c>
      <c r="BE662" s="235">
        <v>45717</v>
      </c>
      <c r="BG662" s="235">
        <v>45748</v>
      </c>
      <c r="BI662" s="235">
        <v>45778</v>
      </c>
      <c r="BK662" s="235">
        <v>45809</v>
      </c>
      <c r="BM662" s="235">
        <v>45839</v>
      </c>
      <c r="BO662" s="235">
        <v>45870</v>
      </c>
      <c r="BQ662" s="235">
        <v>45901</v>
      </c>
      <c r="BS662" s="235">
        <v>45931</v>
      </c>
      <c r="BU662" s="235">
        <v>45962</v>
      </c>
      <c r="BW662" s="235">
        <v>45992</v>
      </c>
    </row>
    <row r="663" spans="1:87" hidden="1">
      <c r="C663" s="213" t="s">
        <v>7</v>
      </c>
      <c r="AP663" s="214"/>
      <c r="AT663" s="238">
        <v>-42.84</v>
      </c>
      <c r="AV663" s="238">
        <v>-142.80000000000001</v>
      </c>
      <c r="AX663" s="238">
        <f>-19.02-120.69</f>
        <v>-139.71</v>
      </c>
      <c r="BA663" s="237">
        <f>-35.87-115.92</f>
        <v>-151.79</v>
      </c>
      <c r="BC663" s="237">
        <f>-20.05-119.76</f>
        <v>-139.81</v>
      </c>
      <c r="BE663" s="237">
        <f>-25-122.25</f>
        <v>-147.25</v>
      </c>
      <c r="BG663" s="237">
        <f>-19.43-122.04</f>
        <v>-141.47</v>
      </c>
      <c r="BI663" s="237">
        <f>-31.56-106.08</f>
        <v>-137.63999999999999</v>
      </c>
      <c r="BK663" s="237">
        <f>-17.81-119.6</f>
        <v>-137.41</v>
      </c>
      <c r="BM663" s="237">
        <f>-27.44-109.2</f>
        <v>-136.64000000000001</v>
      </c>
      <c r="BO663" s="237">
        <f>-22.7-128.52</f>
        <v>-151.22</v>
      </c>
      <c r="BQ663" s="237">
        <f>-14.2-127.44</f>
        <v>-141.63999999999999</v>
      </c>
      <c r="BS663" s="237">
        <f>-23.64-113.5</f>
        <v>-137.13999999999999</v>
      </c>
      <c r="BU663" s="214"/>
      <c r="BW663" s="214"/>
    </row>
    <row r="664" spans="1:87" hidden="1">
      <c r="C664" s="213" t="s">
        <v>8</v>
      </c>
      <c r="AP664" s="214"/>
      <c r="AT664" s="214">
        <v>62.93</v>
      </c>
      <c r="AV664" s="214">
        <v>182.4</v>
      </c>
      <c r="AX664" s="214">
        <v>181.84</v>
      </c>
      <c r="BA664" s="214">
        <v>184.28</v>
      </c>
      <c r="BC664" s="214">
        <v>170.27</v>
      </c>
      <c r="BE664" s="214">
        <v>185.88</v>
      </c>
      <c r="BG664" s="214">
        <v>162.68</v>
      </c>
      <c r="BI664" s="214">
        <v>156.19</v>
      </c>
      <c r="BK664" s="214">
        <v>161.61000000000001</v>
      </c>
      <c r="BM664" s="214">
        <v>164.52</v>
      </c>
      <c r="BO664" s="214">
        <v>173.91</v>
      </c>
      <c r="BQ664" s="214">
        <v>178.07</v>
      </c>
      <c r="BS664" s="214">
        <v>103.18</v>
      </c>
      <c r="BU664" s="214"/>
      <c r="BW664" s="214"/>
    </row>
    <row r="665" spans="1:87" hidden="1">
      <c r="C665" s="213" t="s">
        <v>9</v>
      </c>
      <c r="AP665" s="214"/>
      <c r="AT665" s="214">
        <f>AT663+AT664</f>
        <v>20.089999999999996</v>
      </c>
      <c r="AV665" s="214">
        <f>AV663+AV664</f>
        <v>39.599999999999994</v>
      </c>
      <c r="AX665" s="214">
        <f>AX663+AX664</f>
        <v>42.129999999999995</v>
      </c>
      <c r="BA665" s="214">
        <f>BA663+BA664</f>
        <v>32.490000000000009</v>
      </c>
      <c r="BC665" s="214">
        <f>BC663+BC664</f>
        <v>30.460000000000008</v>
      </c>
      <c r="BE665" s="214">
        <f>BE663+BE664</f>
        <v>38.629999999999995</v>
      </c>
      <c r="BG665" s="214">
        <f>BG663+BG664</f>
        <v>21.210000000000008</v>
      </c>
      <c r="BI665" s="214">
        <f>BI663+BI664</f>
        <v>18.550000000000011</v>
      </c>
      <c r="BK665" s="214">
        <f>BK663+BK664</f>
        <v>24.200000000000017</v>
      </c>
      <c r="BM665" s="214">
        <f>BM663+BM664</f>
        <v>27.879999999999995</v>
      </c>
      <c r="BO665" s="214">
        <f>BO663+BO664</f>
        <v>22.689999999999998</v>
      </c>
      <c r="BQ665" s="214">
        <f>BQ663+BQ664</f>
        <v>36.430000000000007</v>
      </c>
      <c r="BS665" s="214">
        <f>BS663+BS664</f>
        <v>-33.95999999999998</v>
      </c>
      <c r="BU665" s="214">
        <f>BU663+BU664</f>
        <v>0</v>
      </c>
      <c r="BW665" s="214"/>
    </row>
    <row r="666" spans="1:87">
      <c r="A666" s="211">
        <v>200</v>
      </c>
      <c r="C666" s="213" t="s">
        <v>267</v>
      </c>
      <c r="AP666" s="214"/>
    </row>
    <row r="667" spans="1:87">
      <c r="C667" s="213" t="s">
        <v>677</v>
      </c>
      <c r="AP667" s="214"/>
      <c r="AT667" s="235">
        <v>45566</v>
      </c>
      <c r="AV667" s="235">
        <v>45597</v>
      </c>
      <c r="AX667" s="235">
        <v>45627</v>
      </c>
      <c r="BA667" s="235">
        <v>45658</v>
      </c>
      <c r="BC667" s="235">
        <v>45689</v>
      </c>
      <c r="BE667" s="235">
        <v>45717</v>
      </c>
      <c r="BG667" s="235">
        <v>45748</v>
      </c>
      <c r="BI667" s="235">
        <v>45778</v>
      </c>
      <c r="BK667" s="235">
        <v>45809</v>
      </c>
      <c r="BM667" s="235">
        <v>45839</v>
      </c>
      <c r="BO667" s="235">
        <v>45870</v>
      </c>
      <c r="BQ667" s="235">
        <v>45901</v>
      </c>
      <c r="BS667" s="235">
        <v>45931</v>
      </c>
      <c r="BU667" s="235">
        <v>45962</v>
      </c>
      <c r="BW667" s="235">
        <v>45992</v>
      </c>
      <c r="BY667" s="235">
        <v>46023</v>
      </c>
      <c r="CA667" s="235">
        <v>46054</v>
      </c>
      <c r="CC667" s="235">
        <v>46082</v>
      </c>
      <c r="CE667" s="235">
        <v>46113</v>
      </c>
      <c r="CG667" s="235">
        <v>46143</v>
      </c>
      <c r="CI667" s="341">
        <v>46174</v>
      </c>
    </row>
    <row r="668" spans="1:87">
      <c r="C668" s="213" t="s">
        <v>7</v>
      </c>
      <c r="AP668" s="214"/>
      <c r="AT668" s="237">
        <f>-12.54-2.77</f>
        <v>-15.309999999999999</v>
      </c>
      <c r="AU668" s="214"/>
      <c r="AV668" s="237">
        <f>-66.39-18.48</f>
        <v>-84.87</v>
      </c>
      <c r="AW668" s="214"/>
      <c r="AX668" s="237">
        <f>-64.71-28.9</f>
        <v>-93.609999999999985</v>
      </c>
      <c r="AY668" s="214"/>
      <c r="AZ668" s="333"/>
      <c r="BA668" s="238">
        <f>-78.09-12.16</f>
        <v>-90.25</v>
      </c>
      <c r="BB668" s="214"/>
      <c r="BC668" s="237">
        <f>-72.92-11.92</f>
        <v>-84.84</v>
      </c>
      <c r="BD668" s="214"/>
      <c r="BE668" s="237">
        <f>-17.88-74.6</f>
        <v>-92.47999999999999</v>
      </c>
      <c r="BF668" s="214"/>
      <c r="BG668" s="237">
        <f>-77.59-12</f>
        <v>-89.59</v>
      </c>
      <c r="BH668" s="214"/>
      <c r="BI668" s="237">
        <f>-78.05-15.55</f>
        <v>-93.6</v>
      </c>
      <c r="BJ668" s="214"/>
      <c r="BK668" s="237">
        <f>-77.7-15.3</f>
        <v>-93</v>
      </c>
      <c r="BL668" s="214"/>
      <c r="BM668" s="237">
        <f>-79.56-14.95</f>
        <v>-94.51</v>
      </c>
      <c r="BN668" s="214"/>
      <c r="BO668" s="237">
        <f>-77.68-15.15</f>
        <v>-92.830000000000013</v>
      </c>
      <c r="BP668" s="214"/>
      <c r="BQ668" s="237">
        <f>-66.78-25.12</f>
        <v>-91.9</v>
      </c>
      <c r="BR668" s="214"/>
      <c r="BS668" s="237">
        <f>-81.76-15.7</f>
        <v>-97.460000000000008</v>
      </c>
      <c r="BT668" s="214"/>
      <c r="BU668" s="237">
        <f>-72.3-21.28</f>
        <v>-93.58</v>
      </c>
      <c r="BV668" s="214"/>
      <c r="BW668" s="237">
        <f>-66.78-27.54</f>
        <v>-94.32</v>
      </c>
      <c r="BX668" s="214"/>
      <c r="BY668" s="237">
        <f>-76.58-18.54</f>
        <v>-95.12</v>
      </c>
      <c r="CA668" s="237">
        <f>-67.98-15.9</f>
        <v>-83.88000000000001</v>
      </c>
      <c r="CC668" s="237">
        <f>-61.01-21.28</f>
        <v>-82.289999999999992</v>
      </c>
      <c r="CE668" s="237">
        <f>-66.42-13.1</f>
        <v>-79.52</v>
      </c>
      <c r="CG668" s="237">
        <v>-62.83</v>
      </c>
    </row>
    <row r="669" spans="1:87">
      <c r="C669" s="213" t="s">
        <v>8</v>
      </c>
      <c r="AP669" s="214"/>
      <c r="AT669" s="214">
        <v>15.26</v>
      </c>
      <c r="AU669" s="222">
        <f>AT670/AT669</f>
        <v>-3.2765399737876102E-3</v>
      </c>
      <c r="AV669" s="214">
        <v>110.6</v>
      </c>
      <c r="AW669" s="222">
        <f>AV670/AV669</f>
        <v>0.23264014466546104</v>
      </c>
      <c r="AX669" s="214">
        <v>106.02</v>
      </c>
      <c r="AY669" s="224">
        <f>AX670/AX669</f>
        <v>0.11705338615355604</v>
      </c>
      <c r="AZ669" s="225"/>
      <c r="BA669" s="213">
        <v>100.09</v>
      </c>
      <c r="BB669" s="222">
        <f>BA670/BA669</f>
        <v>9.8311519632330938E-2</v>
      </c>
      <c r="BC669" s="214">
        <v>98.91</v>
      </c>
      <c r="BD669" s="222">
        <f>BC670/BC669</f>
        <v>0.14225053078556257</v>
      </c>
      <c r="BE669" s="214">
        <v>99.51</v>
      </c>
      <c r="BF669" s="222">
        <f>BE670/BE669</f>
        <v>7.0646166214450953E-2</v>
      </c>
      <c r="BG669" s="214">
        <v>99.45</v>
      </c>
      <c r="BH669" s="222">
        <f>BG670/BG669</f>
        <v>9.914529914529914E-2</v>
      </c>
      <c r="BI669" s="214">
        <v>104.57</v>
      </c>
      <c r="BJ669" s="222">
        <f>BI670/BI669</f>
        <v>0.10490580472410825</v>
      </c>
      <c r="BK669" s="214">
        <v>101.77</v>
      </c>
      <c r="BL669" s="222">
        <f>BK670/BK669</f>
        <v>8.6174707674167197E-2</v>
      </c>
      <c r="BM669" s="214">
        <v>103.83</v>
      </c>
      <c r="BN669" s="222">
        <f>BM670/BM669</f>
        <v>8.9762111143214807E-2</v>
      </c>
      <c r="BO669" s="214">
        <v>100.1</v>
      </c>
      <c r="BP669" s="222">
        <f>BO670/BO669</f>
        <v>7.2627372627372455E-2</v>
      </c>
      <c r="BQ669" s="214">
        <v>104.82</v>
      </c>
      <c r="BR669" s="222">
        <f>BQ670/BQ669</f>
        <v>0.12325892005342481</v>
      </c>
      <c r="BS669" s="214">
        <v>107.04</v>
      </c>
      <c r="BT669" s="222">
        <f>BS670/BS669</f>
        <v>8.949925261584453E-2</v>
      </c>
      <c r="BU669" s="214">
        <v>104.23</v>
      </c>
      <c r="BV669" s="222">
        <f>BU670/BU669</f>
        <v>0.10217787585148234</v>
      </c>
      <c r="BW669" s="214">
        <v>99.38</v>
      </c>
      <c r="BX669" s="222">
        <f>BW670/BW669</f>
        <v>5.0915677198631541E-2</v>
      </c>
      <c r="BY669" s="214">
        <v>71.680000000000007</v>
      </c>
      <c r="BZ669" s="222">
        <f>BY670/BY669</f>
        <v>-0.32700892857142849</v>
      </c>
      <c r="CA669" s="214">
        <v>98.7</v>
      </c>
      <c r="CB669" s="222">
        <f>CA670/CA669</f>
        <v>0.15015197568389049</v>
      </c>
      <c r="CC669" s="214">
        <v>101.55</v>
      </c>
      <c r="CD669" s="222">
        <f>CC670/CC669</f>
        <v>0.18966026587887747</v>
      </c>
      <c r="CE669" s="214">
        <v>99.92</v>
      </c>
      <c r="CF669" s="222">
        <f>CE670/CE669</f>
        <v>0.20416333066453168</v>
      </c>
      <c r="CG669" s="214">
        <v>101.1</v>
      </c>
      <c r="CH669" s="222">
        <f>CG670/CG669</f>
        <v>0.37853610286844708</v>
      </c>
    </row>
    <row r="670" spans="1:87">
      <c r="C670" s="213" t="s">
        <v>9</v>
      </c>
      <c r="AP670" s="214"/>
      <c r="AT670" s="214">
        <f>AT668+AT669</f>
        <v>-4.9999999999998934E-2</v>
      </c>
      <c r="AU670" s="214"/>
      <c r="AV670" s="214">
        <f>AV668+AV669</f>
        <v>25.72999999999999</v>
      </c>
      <c r="AW670" s="214"/>
      <c r="AX670" s="214">
        <f>AX668+AX669</f>
        <v>12.410000000000011</v>
      </c>
      <c r="AY670" s="214"/>
      <c r="AZ670" s="333"/>
      <c r="BA670" s="214">
        <f>BA668+BA669</f>
        <v>9.8400000000000034</v>
      </c>
      <c r="BB670" s="214"/>
      <c r="BC670" s="214">
        <f>BC668+BC669</f>
        <v>14.069999999999993</v>
      </c>
      <c r="BD670" s="214"/>
      <c r="BE670" s="214">
        <f>BE668+BE669</f>
        <v>7.0300000000000153</v>
      </c>
      <c r="BF670" s="214"/>
      <c r="BG670" s="214">
        <f>BG668+BG669</f>
        <v>9.86</v>
      </c>
      <c r="BH670" s="214"/>
      <c r="BI670" s="214">
        <f>BI668+BI669</f>
        <v>10.969999999999999</v>
      </c>
      <c r="BJ670" s="214"/>
      <c r="BK670" s="214">
        <f>BK668+BK669</f>
        <v>8.769999999999996</v>
      </c>
      <c r="BL670" s="214"/>
      <c r="BM670" s="214">
        <f>BM668+BM669</f>
        <v>9.3199999999999932</v>
      </c>
      <c r="BN670" s="214"/>
      <c r="BO670" s="214">
        <f>BO668+BO669</f>
        <v>7.2699999999999818</v>
      </c>
      <c r="BP670" s="214"/>
      <c r="BQ670" s="214">
        <f>BQ668+BQ669</f>
        <v>12.919999999999987</v>
      </c>
      <c r="BR670" s="214"/>
      <c r="BS670" s="214">
        <f>BS668+BS669</f>
        <v>9.5799999999999983</v>
      </c>
      <c r="BT670" s="214"/>
      <c r="BU670" s="214">
        <f>BU668+BU669</f>
        <v>10.650000000000006</v>
      </c>
      <c r="BV670" s="214"/>
      <c r="BW670" s="214">
        <f>BW668+BW669</f>
        <v>5.0600000000000023</v>
      </c>
      <c r="BX670" s="214"/>
      <c r="BY670" s="214">
        <f>BY668+BY669</f>
        <v>-23.439999999999998</v>
      </c>
      <c r="CA670" s="214">
        <f>CA668+CA669</f>
        <v>14.819999999999993</v>
      </c>
      <c r="CC670" s="214">
        <f>CC668+CC669</f>
        <v>19.260000000000005</v>
      </c>
      <c r="CE670" s="214">
        <f>CE668+CE669</f>
        <v>20.400000000000006</v>
      </c>
      <c r="CG670" s="214">
        <f>CG668+CG669</f>
        <v>38.269999999999996</v>
      </c>
    </row>
    <row r="671" spans="1:87">
      <c r="A671" s="211">
        <v>201</v>
      </c>
      <c r="C671" s="213" t="s">
        <v>268</v>
      </c>
      <c r="AP671" s="214"/>
    </row>
    <row r="672" spans="1:87">
      <c r="C672" s="213" t="s">
        <v>269</v>
      </c>
      <c r="AP672" s="214"/>
      <c r="AT672" s="235">
        <v>45566</v>
      </c>
      <c r="AV672" s="235">
        <v>45597</v>
      </c>
      <c r="AX672" s="235">
        <v>45627</v>
      </c>
      <c r="BA672" s="235">
        <v>45658</v>
      </c>
      <c r="BC672" s="235">
        <v>45689</v>
      </c>
      <c r="BE672" s="235">
        <v>45717</v>
      </c>
      <c r="BG672" s="235">
        <v>45748</v>
      </c>
      <c r="BI672" s="235">
        <v>45778</v>
      </c>
      <c r="BK672" s="235">
        <v>45809</v>
      </c>
      <c r="BM672" s="235">
        <v>45839</v>
      </c>
      <c r="BO672" s="235">
        <v>45870</v>
      </c>
      <c r="BQ672" s="235">
        <v>45901</v>
      </c>
      <c r="BS672" s="235">
        <v>45931</v>
      </c>
      <c r="BU672" s="235">
        <v>45962</v>
      </c>
      <c r="BW672" s="235">
        <v>45992</v>
      </c>
      <c r="BY672" s="235">
        <v>46023</v>
      </c>
      <c r="CA672" s="235">
        <v>46054</v>
      </c>
      <c r="CC672" s="235">
        <v>46082</v>
      </c>
      <c r="CE672" s="235">
        <v>46113</v>
      </c>
      <c r="CG672" s="235">
        <v>46143</v>
      </c>
      <c r="CI672" s="341">
        <v>46174</v>
      </c>
    </row>
    <row r="673" spans="1:87">
      <c r="C673" s="213" t="s">
        <v>7</v>
      </c>
      <c r="AP673" s="214"/>
      <c r="AT673" s="237">
        <f>-9.21-1.9</f>
        <v>-11.110000000000001</v>
      </c>
      <c r="AU673" s="214"/>
      <c r="AV673" s="237">
        <f>-45.69-11.7</f>
        <v>-57.39</v>
      </c>
      <c r="AW673" s="214"/>
      <c r="AX673" s="237">
        <f>-42.96-15.93</f>
        <v>-58.89</v>
      </c>
      <c r="AY673" s="214"/>
      <c r="AZ673" s="333"/>
      <c r="BA673" s="237">
        <f>-45.99-9.8</f>
        <v>-55.790000000000006</v>
      </c>
      <c r="BB673" s="214"/>
      <c r="BC673" s="237">
        <f>-46.92-7.08</f>
        <v>-54</v>
      </c>
      <c r="BD673" s="214"/>
      <c r="BE673" s="237">
        <f>-42.51-12.18</f>
        <v>-54.69</v>
      </c>
      <c r="BF673" s="214"/>
      <c r="BG673" s="237">
        <f>-41.86-10.56</f>
        <v>-52.42</v>
      </c>
      <c r="BH673" s="214"/>
      <c r="BI673" s="237">
        <f>-45.62-7.75</f>
        <v>-53.37</v>
      </c>
      <c r="BJ673" s="214"/>
      <c r="BK673" s="237">
        <f>-37.24-8.64</f>
        <v>-45.88</v>
      </c>
      <c r="BL673" s="214"/>
      <c r="BM673" s="237">
        <f>-34.44-9.87</f>
        <v>-44.309999999999995</v>
      </c>
      <c r="BN673" s="214"/>
      <c r="BO673" s="237">
        <f>-36.56-8.9</f>
        <v>-45.46</v>
      </c>
      <c r="BP673" s="214"/>
      <c r="BQ673" s="237">
        <f>-39.06-15.36</f>
        <v>-54.42</v>
      </c>
      <c r="BR673" s="214"/>
      <c r="BS673" s="237">
        <f>-49.87-9.4</f>
        <v>-59.269999999999996</v>
      </c>
      <c r="BT673" s="214"/>
      <c r="BU673" s="237">
        <f>-45.23-11.58</f>
        <v>-56.809999999999995</v>
      </c>
      <c r="BV673" s="214"/>
      <c r="BW673" s="237">
        <f>-42.33-18.45</f>
        <v>-60.78</v>
      </c>
      <c r="BX673" s="214"/>
      <c r="BY673" s="237">
        <f>-53.24-9.45</f>
        <v>-62.69</v>
      </c>
      <c r="CA673" s="237">
        <f>-41.6-10.56</f>
        <v>-52.160000000000004</v>
      </c>
      <c r="CC673" s="237">
        <f>-42.24-11.06</f>
        <v>-53.300000000000004</v>
      </c>
      <c r="CE673" s="237">
        <f>-41.14-6.48</f>
        <v>-47.620000000000005</v>
      </c>
      <c r="CG673" s="237">
        <v>-38.840000000000003</v>
      </c>
    </row>
    <row r="674" spans="1:87">
      <c r="C674" s="213" t="s">
        <v>8</v>
      </c>
      <c r="AP674" s="214"/>
      <c r="AT674" s="214"/>
      <c r="AU674" s="222" t="e">
        <f>AT675/AT674</f>
        <v>#DIV/0!</v>
      </c>
      <c r="AV674" s="214">
        <v>83.83</v>
      </c>
      <c r="AW674" s="222">
        <f>AV675/AV674</f>
        <v>0.31540021472026719</v>
      </c>
      <c r="AX674" s="214">
        <v>80.63</v>
      </c>
      <c r="AY674" s="224">
        <f>AX675/AX674</f>
        <v>0.26962668981768567</v>
      </c>
      <c r="AZ674" s="225"/>
      <c r="BA674" s="214">
        <v>70.33</v>
      </c>
      <c r="BB674" s="222">
        <f>BA675/BA674</f>
        <v>0.20673965590786283</v>
      </c>
      <c r="BC674" s="214">
        <v>67.3</v>
      </c>
      <c r="BD674" s="222">
        <f>BC675/BC674</f>
        <v>0.19762258543833577</v>
      </c>
      <c r="BE674" s="214">
        <v>63.11</v>
      </c>
      <c r="BF674" s="222">
        <f>BE675/BE674</f>
        <v>0.13341784186341313</v>
      </c>
      <c r="BG674" s="214">
        <v>60.68</v>
      </c>
      <c r="BH674" s="222">
        <f>BG675/BG674</f>
        <v>0.13612392880685562</v>
      </c>
      <c r="BI674" s="214">
        <v>63.63</v>
      </c>
      <c r="BJ674" s="222">
        <f>BI675/BI674</f>
        <v>0.16124469589816132</v>
      </c>
      <c r="BK674" s="214">
        <v>52.73</v>
      </c>
      <c r="BL674" s="222">
        <f>BK675/BK674</f>
        <v>0.12990707377204616</v>
      </c>
      <c r="BM674" s="214">
        <v>50.47</v>
      </c>
      <c r="BN674" s="222">
        <f>BM675/BM674</f>
        <v>0.12205270457697649</v>
      </c>
      <c r="BO674" s="214">
        <v>52.05</v>
      </c>
      <c r="BP674" s="222">
        <f>BO675/BO674</f>
        <v>0.12660902977905852</v>
      </c>
      <c r="BQ674" s="214">
        <v>68.31</v>
      </c>
      <c r="BR674" s="222">
        <f>BQ675/BQ674</f>
        <v>0.20333772507685552</v>
      </c>
      <c r="BS674" s="214">
        <v>67.14</v>
      </c>
      <c r="BT674" s="222">
        <f>BS675/BS674</f>
        <v>0.11721775394697653</v>
      </c>
      <c r="BU674" s="214">
        <v>68.78</v>
      </c>
      <c r="BV674" s="222">
        <f>BU675/BU674</f>
        <v>0.1740331491712708</v>
      </c>
      <c r="BW674" s="214">
        <v>70.819999999999993</v>
      </c>
      <c r="BX674" s="222">
        <f>BW675/BW674</f>
        <v>0.1417678621858231</v>
      </c>
      <c r="BY674" s="214">
        <v>73.53</v>
      </c>
      <c r="BZ674" s="222">
        <f>BY675/BY674</f>
        <v>0.14742282061743511</v>
      </c>
      <c r="CA674" s="214">
        <v>62.06</v>
      </c>
      <c r="CB674" s="222">
        <f>CA675/CA674</f>
        <v>0.15952304221720912</v>
      </c>
      <c r="CC674" s="214">
        <v>73.12</v>
      </c>
      <c r="CD674" s="222">
        <f>CC675/CC674</f>
        <v>0.27106126914660827</v>
      </c>
      <c r="CE674" s="214">
        <v>62.21</v>
      </c>
      <c r="CF674" s="222">
        <f>CE675/CE674</f>
        <v>0.23452821089856929</v>
      </c>
      <c r="CG674" s="214">
        <v>67.05</v>
      </c>
      <c r="CH674" s="222">
        <f>CG675/CG674</f>
        <v>0.4207307979120059</v>
      </c>
    </row>
    <row r="675" spans="1:87">
      <c r="C675" s="213" t="s">
        <v>9</v>
      </c>
      <c r="AP675" s="214"/>
      <c r="AT675" s="214">
        <f>AT673+AT674</f>
        <v>-11.110000000000001</v>
      </c>
      <c r="AU675" s="214"/>
      <c r="AV675" s="214">
        <f>AV673+AV674</f>
        <v>26.439999999999998</v>
      </c>
      <c r="AW675" s="214"/>
      <c r="AX675" s="214">
        <f>AX673+AX674</f>
        <v>21.739999999999995</v>
      </c>
      <c r="AY675" s="214"/>
      <c r="AZ675" s="333"/>
      <c r="BA675" s="214">
        <f>BA673+BA674</f>
        <v>14.539999999999992</v>
      </c>
      <c r="BB675" s="214"/>
      <c r="BC675" s="214">
        <f>BC673+BC674</f>
        <v>13.299999999999997</v>
      </c>
      <c r="BD675" s="214"/>
      <c r="BE675" s="214">
        <f>BE673+BE674</f>
        <v>8.4200000000000017</v>
      </c>
      <c r="BF675" s="214"/>
      <c r="BG675" s="214">
        <f>BG673+BG674</f>
        <v>8.259999999999998</v>
      </c>
      <c r="BH675" s="214"/>
      <c r="BI675" s="214">
        <f>BI673+BI674</f>
        <v>10.260000000000005</v>
      </c>
      <c r="BJ675" s="214"/>
      <c r="BK675" s="214">
        <f>BK673+BK674</f>
        <v>6.8499999999999943</v>
      </c>
      <c r="BL675" s="214"/>
      <c r="BM675" s="214">
        <f>BM673+BM674</f>
        <v>6.1600000000000037</v>
      </c>
      <c r="BN675" s="214"/>
      <c r="BO675" s="214">
        <f>BO673+BO674</f>
        <v>6.5899999999999963</v>
      </c>
      <c r="BP675" s="214"/>
      <c r="BQ675" s="214">
        <f>BQ673+BQ674</f>
        <v>13.89</v>
      </c>
      <c r="BR675" s="214"/>
      <c r="BS675" s="214">
        <f>BS673+BS674</f>
        <v>7.8700000000000045</v>
      </c>
      <c r="BT675" s="214"/>
      <c r="BU675" s="214">
        <f>BU673+BU674</f>
        <v>11.970000000000006</v>
      </c>
      <c r="BV675" s="214"/>
      <c r="BW675" s="214">
        <f>BW673+BW674</f>
        <v>10.039999999999992</v>
      </c>
      <c r="BX675" s="214"/>
      <c r="BY675" s="214">
        <f>BY673+BY674</f>
        <v>10.840000000000003</v>
      </c>
      <c r="CA675" s="214">
        <f>CA673+CA674</f>
        <v>9.8999999999999986</v>
      </c>
      <c r="CC675" s="214">
        <f>CC673+CC674</f>
        <v>19.82</v>
      </c>
      <c r="CE675" s="214">
        <f>CE673+CE674</f>
        <v>14.589999999999996</v>
      </c>
      <c r="CG675" s="214">
        <f>CG673+CG674</f>
        <v>28.209999999999994</v>
      </c>
    </row>
    <row r="676" spans="1:87">
      <c r="A676" s="211">
        <v>202</v>
      </c>
      <c r="C676" s="213" t="s">
        <v>270</v>
      </c>
      <c r="AP676" s="214"/>
    </row>
    <row r="677" spans="1:87">
      <c r="C677" s="213" t="s">
        <v>271</v>
      </c>
      <c r="AP677" s="214"/>
      <c r="AT677" s="235">
        <v>45566</v>
      </c>
      <c r="AV677" s="235">
        <v>45597</v>
      </c>
      <c r="AX677" s="235">
        <v>45627</v>
      </c>
      <c r="BA677" s="235">
        <v>45658</v>
      </c>
      <c r="BC677" s="235">
        <v>45689</v>
      </c>
      <c r="BE677" s="235">
        <v>45717</v>
      </c>
      <c r="BG677" s="235">
        <v>45748</v>
      </c>
      <c r="BI677" s="235">
        <v>45778</v>
      </c>
      <c r="BK677" s="235">
        <v>45809</v>
      </c>
      <c r="BM677" s="235">
        <v>45839</v>
      </c>
      <c r="BO677" s="235">
        <v>45870</v>
      </c>
      <c r="BQ677" s="235">
        <v>45901</v>
      </c>
      <c r="BS677" s="235">
        <v>45931</v>
      </c>
      <c r="BU677" s="235">
        <v>45962</v>
      </c>
      <c r="BW677" s="235">
        <v>45992</v>
      </c>
      <c r="BY677" s="235">
        <v>46023</v>
      </c>
      <c r="CA677" s="235">
        <v>46054</v>
      </c>
      <c r="CC677" s="235">
        <v>46082</v>
      </c>
      <c r="CE677" s="235">
        <v>46113</v>
      </c>
      <c r="CG677" s="235">
        <v>46143</v>
      </c>
      <c r="CI677" s="341">
        <v>46174</v>
      </c>
    </row>
    <row r="678" spans="1:87">
      <c r="C678" s="213" t="s">
        <v>7</v>
      </c>
      <c r="AP678" s="214"/>
      <c r="AT678" s="214"/>
      <c r="AU678" s="214"/>
      <c r="AV678" s="237">
        <v>-70.8</v>
      </c>
      <c r="AW678" s="214"/>
      <c r="AX678" s="237">
        <f>-106.16-115.65</f>
        <v>-221.81</v>
      </c>
      <c r="AY678" s="214"/>
      <c r="AZ678" s="333"/>
      <c r="BA678" s="237">
        <f>-146.5-100.92</f>
        <v>-247.42000000000002</v>
      </c>
      <c r="BB678" s="214"/>
      <c r="BC678" s="237">
        <f>-159.9-73.62</f>
        <v>-233.52</v>
      </c>
      <c r="BD678" s="214"/>
      <c r="BE678" s="237">
        <f>-220.81-94.51</f>
        <v>-315.32</v>
      </c>
      <c r="BF678" s="214"/>
      <c r="BG678" s="237">
        <f>-145.29-69.9</f>
        <v>-215.19</v>
      </c>
      <c r="BH678" s="214"/>
      <c r="BI678" s="237">
        <f>-73.59-139.74</f>
        <v>-213.33</v>
      </c>
      <c r="BJ678" s="214"/>
      <c r="BK678" s="237">
        <f>-113.85-85.8</f>
        <v>-199.64999999999998</v>
      </c>
      <c r="BL678" s="214"/>
      <c r="BM678" s="237">
        <f>-92.51-119.85</f>
        <v>-212.36</v>
      </c>
      <c r="BN678" s="214"/>
      <c r="BO678" s="237">
        <f>-140.88-77.33</f>
        <v>-218.20999999999998</v>
      </c>
      <c r="BP678" s="214"/>
      <c r="BQ678" s="237">
        <f>-112.43-96.6</f>
        <v>-209.03</v>
      </c>
      <c r="BR678" s="214"/>
      <c r="BS678" s="237">
        <f>-96.71-120.87</f>
        <v>-217.57999999999998</v>
      </c>
      <c r="BT678" s="214"/>
      <c r="BU678" s="237">
        <f>-113.71-124.6</f>
        <v>-238.31</v>
      </c>
      <c r="BV678" s="214"/>
      <c r="BW678" s="237">
        <f>-133.43-126.24</f>
        <v>-259.67</v>
      </c>
      <c r="BX678" s="214"/>
      <c r="BY678" s="237">
        <f>-149.89-107.28</f>
        <v>-257.16999999999996</v>
      </c>
      <c r="CA678" s="237">
        <f>-133.97-105.56</f>
        <v>-239.53</v>
      </c>
      <c r="CC678" s="237">
        <f>-146.17-89.57</f>
        <v>-235.73999999999998</v>
      </c>
      <c r="CE678" s="237">
        <f>-123.89-79.2</f>
        <v>-203.09</v>
      </c>
      <c r="CG678" s="237">
        <f>-112.34-94.08</f>
        <v>-206.42000000000002</v>
      </c>
      <c r="CI678" s="213">
        <v>-107.58</v>
      </c>
    </row>
    <row r="679" spans="1:87">
      <c r="C679" s="213" t="s">
        <v>8</v>
      </c>
      <c r="AP679" s="214"/>
      <c r="AT679" s="214"/>
      <c r="AU679" s="222" t="e">
        <f>AT680/AT679</f>
        <v>#DIV/0!</v>
      </c>
      <c r="AV679" s="214">
        <v>159.96</v>
      </c>
      <c r="AW679" s="222">
        <f>AV680/AV679</f>
        <v>0.55738934733683421</v>
      </c>
      <c r="AX679" s="214">
        <v>291.29000000000002</v>
      </c>
      <c r="AY679" s="224">
        <f>AX680/AX679</f>
        <v>0.23852518109100901</v>
      </c>
      <c r="AZ679" s="225"/>
      <c r="BA679" s="214">
        <v>263.01</v>
      </c>
      <c r="BB679" s="222">
        <f>BA680/BA679</f>
        <v>5.9275312725751782E-2</v>
      </c>
      <c r="BC679" s="214">
        <v>251.19</v>
      </c>
      <c r="BD679" s="222">
        <f>BC680/BC679</f>
        <v>7.0345157052430385E-2</v>
      </c>
      <c r="BE679" s="214">
        <v>252.38</v>
      </c>
      <c r="BF679" s="222">
        <f>BE680/BE679</f>
        <v>-0.24938584673904429</v>
      </c>
      <c r="BG679" s="214">
        <v>227.87</v>
      </c>
      <c r="BH679" s="222">
        <f>BG680/BG679</f>
        <v>5.564576293500683E-2</v>
      </c>
      <c r="BI679" s="214">
        <v>228.44</v>
      </c>
      <c r="BJ679" s="222">
        <f>BI680/BI679</f>
        <v>6.6144282962703485E-2</v>
      </c>
      <c r="BK679" s="214">
        <v>232.7</v>
      </c>
      <c r="BL679" s="222">
        <f>BK680/BK679</f>
        <v>0.14202836269875382</v>
      </c>
      <c r="BM679" s="214">
        <v>244.28</v>
      </c>
      <c r="BN679" s="222">
        <f>BM680/BM679</f>
        <v>0.1306697232683805</v>
      </c>
      <c r="BO679" s="214">
        <v>246.86</v>
      </c>
      <c r="BP679" s="222">
        <f>BO680/BO679</f>
        <v>0.11605768451754044</v>
      </c>
      <c r="BQ679" s="214">
        <v>247.52</v>
      </c>
      <c r="BR679" s="222">
        <f>BQ680/BQ679</f>
        <v>0.1555025856496445</v>
      </c>
      <c r="BS679" s="214">
        <v>251.77</v>
      </c>
      <c r="BT679" s="222">
        <f>BS680/BS679</f>
        <v>0.13579854629225097</v>
      </c>
      <c r="BU679" s="214">
        <v>279.60000000000002</v>
      </c>
      <c r="BV679" s="222">
        <f>BU680/BU679</f>
        <v>0.14767525035765386</v>
      </c>
      <c r="BW679" s="214">
        <v>284.70999999999998</v>
      </c>
      <c r="BX679" s="222">
        <f>BW680/BW679</f>
        <v>8.7949141231428343E-2</v>
      </c>
      <c r="BY679" s="214">
        <v>319.57</v>
      </c>
      <c r="BZ679" s="222">
        <f>BY680/BY679</f>
        <v>0.19526238382826935</v>
      </c>
      <c r="CA679" s="214">
        <v>270.39</v>
      </c>
      <c r="CB679" s="222">
        <f>CA680/CA679</f>
        <v>0.11413143977218088</v>
      </c>
      <c r="CC679" s="214">
        <v>283.02999999999997</v>
      </c>
      <c r="CD679" s="222">
        <f>CC680/CC679</f>
        <v>0.1670847613327209</v>
      </c>
      <c r="CE679" s="214">
        <v>245.19</v>
      </c>
      <c r="CF679" s="222">
        <f>CE680/CE679</f>
        <v>0.17170357681797788</v>
      </c>
      <c r="CG679" s="214">
        <v>236.1</v>
      </c>
      <c r="CH679" s="222">
        <f>CG680/CG679</f>
        <v>0.12570944515035992</v>
      </c>
    </row>
    <row r="680" spans="1:87">
      <c r="C680" s="213" t="s">
        <v>9</v>
      </c>
      <c r="AP680" s="214"/>
      <c r="AT680" s="214">
        <f>AT678+AT679</f>
        <v>0</v>
      </c>
      <c r="AU680" s="214"/>
      <c r="AV680" s="214">
        <f>AV678+AV679</f>
        <v>89.160000000000011</v>
      </c>
      <c r="AW680" s="214"/>
      <c r="AX680" s="214">
        <f>AX678+AX679</f>
        <v>69.480000000000018</v>
      </c>
      <c r="AY680" s="214"/>
      <c r="AZ680" s="333"/>
      <c r="BA680" s="214">
        <f>BA678+BA679</f>
        <v>15.589999999999975</v>
      </c>
      <c r="BB680" s="214"/>
      <c r="BC680" s="214">
        <f>BC678+BC679</f>
        <v>17.669999999999987</v>
      </c>
      <c r="BD680" s="214"/>
      <c r="BE680" s="214">
        <f>BE678+BE679</f>
        <v>-62.94</v>
      </c>
      <c r="BF680" s="214"/>
      <c r="BG680" s="214">
        <f>BG678+BG679</f>
        <v>12.680000000000007</v>
      </c>
      <c r="BH680" s="214"/>
      <c r="BI680" s="214">
        <f>BI678+BI679</f>
        <v>15.109999999999985</v>
      </c>
      <c r="BJ680" s="214"/>
      <c r="BK680" s="214">
        <f>BK678+BK679</f>
        <v>33.050000000000011</v>
      </c>
      <c r="BL680" s="214"/>
      <c r="BM680" s="214">
        <f>BM678+BM679</f>
        <v>31.919999999999987</v>
      </c>
      <c r="BN680" s="214"/>
      <c r="BO680" s="214">
        <f>BO678+BO679</f>
        <v>28.650000000000034</v>
      </c>
      <c r="BP680" s="214"/>
      <c r="BQ680" s="214">
        <f>BQ678+BQ679</f>
        <v>38.490000000000009</v>
      </c>
      <c r="BR680" s="214"/>
      <c r="BS680" s="214">
        <f>BS678+BS679</f>
        <v>34.190000000000026</v>
      </c>
      <c r="BT680" s="214"/>
      <c r="BU680" s="214">
        <f>BU678+BU679</f>
        <v>41.29000000000002</v>
      </c>
      <c r="BV680" s="214"/>
      <c r="BW680" s="214">
        <f>BW678+BW679</f>
        <v>25.039999999999964</v>
      </c>
      <c r="BX680" s="214"/>
      <c r="BY680" s="214">
        <f>BY678+BY679</f>
        <v>62.400000000000034</v>
      </c>
      <c r="CA680" s="214">
        <f>CA678+CA679</f>
        <v>30.859999999999985</v>
      </c>
      <c r="CC680" s="214">
        <f>CC678+CC679</f>
        <v>47.289999999999992</v>
      </c>
      <c r="CE680" s="214">
        <f>CE678+CE679</f>
        <v>42.099999999999994</v>
      </c>
      <c r="CG680" s="214">
        <f>CG678+CG679</f>
        <v>29.679999999999978</v>
      </c>
    </row>
    <row r="681" spans="1:87">
      <c r="A681" s="211">
        <v>203</v>
      </c>
      <c r="C681" s="213" t="s">
        <v>272</v>
      </c>
      <c r="AP681" s="214"/>
      <c r="AV681" s="235"/>
    </row>
    <row r="682" spans="1:87">
      <c r="C682" s="213" t="s">
        <v>273</v>
      </c>
      <c r="AP682" s="214"/>
      <c r="AT682" s="235">
        <v>45566</v>
      </c>
      <c r="AV682" s="235">
        <v>45597</v>
      </c>
      <c r="AX682" s="235">
        <v>45627</v>
      </c>
      <c r="BA682" s="235">
        <v>45658</v>
      </c>
      <c r="BC682" s="235">
        <v>45689</v>
      </c>
      <c r="BE682" s="235">
        <v>45717</v>
      </c>
      <c r="BG682" s="235">
        <v>45748</v>
      </c>
      <c r="BI682" s="235">
        <v>45778</v>
      </c>
      <c r="BK682" s="235">
        <v>45809</v>
      </c>
      <c r="BM682" s="235">
        <v>45839</v>
      </c>
      <c r="BO682" s="235">
        <v>45870</v>
      </c>
      <c r="BQ682" s="235">
        <v>45901</v>
      </c>
      <c r="BS682" s="235">
        <v>45931</v>
      </c>
      <c r="BU682" s="235">
        <v>45962</v>
      </c>
      <c r="BW682" s="235">
        <v>45992</v>
      </c>
      <c r="BY682" s="235">
        <v>46023</v>
      </c>
      <c r="CA682" s="235">
        <v>46054</v>
      </c>
      <c r="CC682" s="235">
        <v>46082</v>
      </c>
      <c r="CE682" s="235">
        <v>46113</v>
      </c>
      <c r="CG682" s="235">
        <v>46143</v>
      </c>
      <c r="CI682" s="341">
        <v>46174</v>
      </c>
    </row>
    <row r="683" spans="1:87">
      <c r="C683" s="213" t="s">
        <v>7</v>
      </c>
      <c r="AP683" s="214"/>
      <c r="AT683" s="214"/>
      <c r="AU683" s="214"/>
      <c r="AV683" s="237">
        <f>-13.73-62.37</f>
        <v>-76.099999999999994</v>
      </c>
      <c r="AW683" s="214"/>
      <c r="AX683" s="237">
        <f>-26.63-69.3</f>
        <v>-95.929999999999993</v>
      </c>
      <c r="AY683" s="214"/>
      <c r="AZ683" s="333"/>
      <c r="BA683" s="238">
        <f>-25.09-81.65</f>
        <v>-106.74000000000001</v>
      </c>
      <c r="BB683" s="214"/>
      <c r="BC683" s="237">
        <f>-35.56-60.66</f>
        <v>-96.22</v>
      </c>
      <c r="BD683" s="214"/>
      <c r="BE683" s="237">
        <f>-20.17-11.98</f>
        <v>-32.150000000000006</v>
      </c>
      <c r="BF683" s="214"/>
      <c r="BG683" s="237">
        <v>-79.75</v>
      </c>
      <c r="BH683" s="214"/>
      <c r="BI683" s="237">
        <f>-22.4-79.92</f>
        <v>-102.32</v>
      </c>
      <c r="BJ683" s="214"/>
      <c r="BK683" s="237">
        <f>-23.22-75.67</f>
        <v>-98.89</v>
      </c>
      <c r="BL683" s="214"/>
      <c r="BM683" s="237">
        <f>-16.5-77.22</f>
        <v>-93.72</v>
      </c>
      <c r="BN683" s="214"/>
      <c r="BO683" s="237">
        <f>-14.92-75.4</f>
        <v>-90.320000000000007</v>
      </c>
      <c r="BP683" s="214"/>
      <c r="BQ683" s="237">
        <f>-8.62-81.81</f>
        <v>-90.43</v>
      </c>
      <c r="BR683" s="214"/>
      <c r="BS683" s="237">
        <f>-15.3-83.98</f>
        <v>-99.28</v>
      </c>
      <c r="BT683" s="214"/>
      <c r="BU683" s="237">
        <f>-16.3-78.5</f>
        <v>-94.8</v>
      </c>
      <c r="BV683" s="214"/>
      <c r="BW683" s="237">
        <f>-22.01-72</f>
        <v>-94.01</v>
      </c>
      <c r="BX683" s="214"/>
      <c r="BY683" s="237">
        <f>-27.05-78.89</f>
        <v>-105.94</v>
      </c>
      <c r="CA683" s="237">
        <f>-24.15-68.25</f>
        <v>-92.4</v>
      </c>
      <c r="CC683" s="237">
        <f>-22.66-78.48</f>
        <v>-101.14</v>
      </c>
      <c r="CE683" s="237">
        <f>-16.42-87.75</f>
        <v>-104.17</v>
      </c>
      <c r="CG683" s="237">
        <f>-17.54-108.94</f>
        <v>-126.47999999999999</v>
      </c>
      <c r="CI683" s="213">
        <v>-12.67</v>
      </c>
    </row>
    <row r="684" spans="1:87">
      <c r="C684" s="213" t="s">
        <v>8</v>
      </c>
      <c r="AP684" s="214"/>
      <c r="AT684" s="214"/>
      <c r="AU684" s="222" t="e">
        <f>AT685/AT684</f>
        <v>#DIV/0!</v>
      </c>
      <c r="AV684" s="214">
        <v>111.81</v>
      </c>
      <c r="AW684" s="222">
        <f>AV685/AV684</f>
        <v>0.31938109292549866</v>
      </c>
      <c r="AX684" s="214">
        <v>128.1</v>
      </c>
      <c r="AY684" s="224">
        <f>AX685/AX684</f>
        <v>0.25113192818110852</v>
      </c>
      <c r="AZ684" s="225"/>
      <c r="BA684" s="213">
        <v>147.49</v>
      </c>
      <c r="BB684" s="222">
        <f>BA685/BA684</f>
        <v>0.2762899179605397</v>
      </c>
      <c r="BC684" s="214">
        <v>113.51</v>
      </c>
      <c r="BD684" s="222">
        <f>BC685/BC684</f>
        <v>0.15232138137609025</v>
      </c>
      <c r="BE684" s="214">
        <v>105.14</v>
      </c>
      <c r="BF684" s="222">
        <f>BE685/BE684</f>
        <v>0.69421723416397174</v>
      </c>
      <c r="BG684" s="214">
        <v>107.82</v>
      </c>
      <c r="BH684" s="222">
        <f>BG685/BG684</f>
        <v>0.26034130959005747</v>
      </c>
      <c r="BI684" s="214">
        <v>119.97</v>
      </c>
      <c r="BJ684" s="222">
        <f>BI685/BI684</f>
        <v>0.1471201133616738</v>
      </c>
      <c r="BK684" s="214">
        <v>126.43</v>
      </c>
      <c r="BL684" s="222">
        <f>BK685/BK684</f>
        <v>0.2178280471407103</v>
      </c>
      <c r="BM684" s="214">
        <v>114.25</v>
      </c>
      <c r="BN684" s="222">
        <f>BM685/BM684</f>
        <v>0.17969365426695844</v>
      </c>
      <c r="BO684" s="214">
        <v>114.48</v>
      </c>
      <c r="BP684" s="222">
        <f>BO685/BO684</f>
        <v>0.21104122990915439</v>
      </c>
      <c r="BQ684" s="214">
        <v>117.88</v>
      </c>
      <c r="BR684" s="222">
        <f>BQ685/BQ684</f>
        <v>0.23286392941974882</v>
      </c>
      <c r="BS684" s="214">
        <v>122.79</v>
      </c>
      <c r="BT684" s="222">
        <f>BS685/BS684</f>
        <v>0.19146510302141873</v>
      </c>
      <c r="BU684" s="214">
        <v>120.69</v>
      </c>
      <c r="BV684" s="222">
        <f>BU685/BU684</f>
        <v>0.21451652995277157</v>
      </c>
      <c r="BW684" s="214">
        <v>113.62</v>
      </c>
      <c r="BX684" s="222">
        <f>BW685/BW684</f>
        <v>0.1725928533708854</v>
      </c>
      <c r="BY684" s="214">
        <v>123.51</v>
      </c>
      <c r="BZ684" s="222">
        <f>BY685/BY684</f>
        <v>0.14225568779855888</v>
      </c>
      <c r="CA684" s="214">
        <v>119</v>
      </c>
      <c r="CB684" s="222">
        <f>CA685/CA684</f>
        <v>0.22352941176470584</v>
      </c>
      <c r="CC684" s="214">
        <v>118.81</v>
      </c>
      <c r="CD684" s="222">
        <f>CC685/CC684</f>
        <v>0.14872485481020117</v>
      </c>
      <c r="CE684" s="214">
        <v>122.48</v>
      </c>
      <c r="CF684" s="222">
        <f>CE685/CE684</f>
        <v>0.14949379490529066</v>
      </c>
      <c r="CG684" s="214">
        <v>122.83</v>
      </c>
      <c r="CH684" s="222">
        <f>CG685/CG684</f>
        <v>-2.9715867459089731E-2</v>
      </c>
    </row>
    <row r="685" spans="1:87">
      <c r="C685" s="213" t="s">
        <v>9</v>
      </c>
      <c r="AP685" s="214"/>
      <c r="AT685" s="214">
        <f>AT683+AT684</f>
        <v>0</v>
      </c>
      <c r="AU685" s="214"/>
      <c r="AV685" s="214">
        <f>AV683+AV684</f>
        <v>35.710000000000008</v>
      </c>
      <c r="AW685" s="214"/>
      <c r="AX685" s="214">
        <f>AX683+AX684</f>
        <v>32.17</v>
      </c>
      <c r="AY685" s="214"/>
      <c r="AZ685" s="333"/>
      <c r="BA685" s="214">
        <f>BA683+BA684</f>
        <v>40.75</v>
      </c>
      <c r="BB685" s="214"/>
      <c r="BC685" s="214">
        <f>BC683+BC684</f>
        <v>17.290000000000006</v>
      </c>
      <c r="BD685" s="214"/>
      <c r="BE685" s="214">
        <f>BE683+BE684</f>
        <v>72.989999999999995</v>
      </c>
      <c r="BF685" s="214"/>
      <c r="BG685" s="214">
        <f>BG683+BG684</f>
        <v>28.069999999999993</v>
      </c>
      <c r="BH685" s="214"/>
      <c r="BI685" s="214">
        <f>BI683+BI684</f>
        <v>17.650000000000006</v>
      </c>
      <c r="BJ685" s="214"/>
      <c r="BK685" s="214">
        <f>BK683+BK684</f>
        <v>27.540000000000006</v>
      </c>
      <c r="BL685" s="214"/>
      <c r="BM685" s="214">
        <f>BM683+BM684</f>
        <v>20.53</v>
      </c>
      <c r="BN685" s="214"/>
      <c r="BO685" s="214">
        <f>BO683+BO684</f>
        <v>24.159999999999997</v>
      </c>
      <c r="BP685" s="214"/>
      <c r="BQ685" s="214">
        <f>BQ683+BQ684</f>
        <v>27.449999999999989</v>
      </c>
      <c r="BR685" s="214"/>
      <c r="BS685" s="214">
        <f>BS683+BS684</f>
        <v>23.510000000000005</v>
      </c>
      <c r="BT685" s="214"/>
      <c r="BU685" s="214">
        <f>BU683+BU684</f>
        <v>25.89</v>
      </c>
      <c r="BV685" s="214"/>
      <c r="BW685" s="214">
        <f>BW683+BW684</f>
        <v>19.61</v>
      </c>
      <c r="BX685" s="214"/>
      <c r="BY685" s="214">
        <f>BY683+BY684</f>
        <v>17.570000000000007</v>
      </c>
      <c r="CA685" s="214">
        <f>CA683+CA684</f>
        <v>26.599999999999994</v>
      </c>
      <c r="CC685" s="214">
        <f>CC683+CC684</f>
        <v>17.670000000000002</v>
      </c>
      <c r="CE685" s="214">
        <f>CE683+CE684</f>
        <v>18.310000000000002</v>
      </c>
      <c r="CG685" s="214">
        <f>CG683+CG684</f>
        <v>-3.6499999999999915</v>
      </c>
    </row>
    <row r="686" spans="1:87">
      <c r="A686" s="211">
        <v>204</v>
      </c>
      <c r="C686" s="213" t="s">
        <v>274</v>
      </c>
      <c r="AP686" s="214"/>
    </row>
    <row r="687" spans="1:87">
      <c r="C687" s="213" t="s">
        <v>275</v>
      </c>
      <c r="AP687" s="214"/>
      <c r="AV687" s="235">
        <v>45597</v>
      </c>
      <c r="AX687" s="235">
        <v>45627</v>
      </c>
      <c r="BA687" s="235">
        <v>45658</v>
      </c>
      <c r="BC687" s="235">
        <v>45689</v>
      </c>
      <c r="BE687" s="235">
        <v>45717</v>
      </c>
      <c r="BG687" s="235">
        <v>45748</v>
      </c>
      <c r="BI687" s="235">
        <v>45778</v>
      </c>
      <c r="BK687" s="235">
        <v>45809</v>
      </c>
      <c r="BM687" s="235">
        <v>45839</v>
      </c>
      <c r="BO687" s="235">
        <v>45870</v>
      </c>
      <c r="BQ687" s="235">
        <v>45901</v>
      </c>
      <c r="BS687" s="235">
        <v>45931</v>
      </c>
      <c r="BU687" s="235">
        <v>45962</v>
      </c>
      <c r="BW687" s="235">
        <v>45992</v>
      </c>
      <c r="BY687" s="235">
        <v>46023</v>
      </c>
      <c r="CA687" s="235">
        <v>46054</v>
      </c>
      <c r="CC687" s="235">
        <v>46082</v>
      </c>
      <c r="CE687" s="235">
        <v>46113</v>
      </c>
      <c r="CG687" s="235">
        <v>46143</v>
      </c>
      <c r="CI687" s="341">
        <v>46174</v>
      </c>
    </row>
    <row r="688" spans="1:87">
      <c r="C688" s="213" t="s">
        <v>7</v>
      </c>
      <c r="AP688" s="214"/>
      <c r="AV688" s="237">
        <v>-166.9</v>
      </c>
      <c r="AX688" s="237">
        <v>-194.27</v>
      </c>
      <c r="BA688" s="237">
        <f>-229.54-4.67</f>
        <v>-234.20999999999998</v>
      </c>
      <c r="BC688" s="237">
        <v>-209.25</v>
      </c>
      <c r="BE688" s="237">
        <v>-215.95</v>
      </c>
      <c r="BG688" s="237">
        <v>-182.33</v>
      </c>
      <c r="BI688" s="237">
        <v>-190.18</v>
      </c>
      <c r="BK688" s="237">
        <v>-210.07</v>
      </c>
      <c r="BM688" s="237">
        <v>-268.83</v>
      </c>
      <c r="BO688" s="237">
        <v>-265.64</v>
      </c>
      <c r="BQ688" s="237">
        <v>-270.86</v>
      </c>
      <c r="BS688" s="237">
        <v>-238.31</v>
      </c>
      <c r="BU688" s="237">
        <v>-249.32</v>
      </c>
      <c r="BW688" s="237">
        <v>-256.69</v>
      </c>
      <c r="BY688" s="237">
        <v>-258.83999999999997</v>
      </c>
      <c r="CA688" s="237">
        <v>-207.61</v>
      </c>
      <c r="CC688" s="237">
        <v>-202.37</v>
      </c>
      <c r="CE688" s="237">
        <v>-171.95</v>
      </c>
      <c r="CG688" s="237">
        <v>-180.52</v>
      </c>
    </row>
    <row r="689" spans="1:87">
      <c r="C689" s="213" t="s">
        <v>8</v>
      </c>
      <c r="AP689" s="214"/>
      <c r="AU689" s="222" t="e">
        <f>AT690/AT689</f>
        <v>#DIV/0!</v>
      </c>
      <c r="AV689" s="214">
        <v>262.87</v>
      </c>
      <c r="AW689" s="222">
        <f>AV690/AV689</f>
        <v>0.36508540343135387</v>
      </c>
      <c r="AX689" s="214">
        <v>272.44</v>
      </c>
      <c r="AY689" s="224">
        <f>AX690/AX689</f>
        <v>0.28692556159154303</v>
      </c>
      <c r="AZ689" s="225"/>
      <c r="BA689" s="214">
        <v>322.45</v>
      </c>
      <c r="BB689" s="222">
        <f>BA690/BA689</f>
        <v>0.27365483020623355</v>
      </c>
      <c r="BC689" s="214">
        <v>279.82</v>
      </c>
      <c r="BD689" s="222">
        <f>BC690/BC689</f>
        <v>0.25219784146951613</v>
      </c>
      <c r="BE689" s="214">
        <v>300.62</v>
      </c>
      <c r="BF689" s="222">
        <f>BE690/BE689</f>
        <v>0.28165125407491187</v>
      </c>
      <c r="BG689" s="214">
        <v>288.22000000000003</v>
      </c>
      <c r="BH689" s="222">
        <f>BG690/BG689</f>
        <v>0.3673929637082784</v>
      </c>
      <c r="BI689" s="214">
        <v>286.45999999999998</v>
      </c>
      <c r="BJ689" s="222">
        <f>BI690/BI689</f>
        <v>0.33610277176569148</v>
      </c>
      <c r="BK689" s="214">
        <v>299.16000000000003</v>
      </c>
      <c r="BL689" s="222">
        <f>BK690/BK689</f>
        <v>0.29780050808931685</v>
      </c>
      <c r="BM689" s="214">
        <v>319.89</v>
      </c>
      <c r="BN689" s="222">
        <f>BM690/BM689</f>
        <v>0.15961736847041172</v>
      </c>
      <c r="BO689" s="214">
        <v>367.14</v>
      </c>
      <c r="BP689" s="222">
        <f>BO690/BO689</f>
        <v>0.2764612954186414</v>
      </c>
      <c r="BQ689" s="214">
        <v>403.18</v>
      </c>
      <c r="BR689" s="222">
        <f>BQ690/BQ689</f>
        <v>0.32819088248425021</v>
      </c>
      <c r="BS689" s="214">
        <v>340.89</v>
      </c>
      <c r="BT689" s="222">
        <f>BS690/BS689</f>
        <v>0.30091818475167942</v>
      </c>
      <c r="BU689" s="214">
        <v>356.84</v>
      </c>
      <c r="BV689" s="222">
        <f>BU690/BU689</f>
        <v>0.30131151216231361</v>
      </c>
      <c r="BW689" s="214">
        <v>348.94</v>
      </c>
      <c r="BX689" s="222">
        <f>BW690/BW689</f>
        <v>0.26437209835501807</v>
      </c>
      <c r="BY689" s="214">
        <v>345.34</v>
      </c>
      <c r="BZ689" s="222">
        <f>BY690/BY689</f>
        <v>0.25047779000405401</v>
      </c>
      <c r="CA689" s="214">
        <v>292.45999999999998</v>
      </c>
      <c r="CB689" s="222">
        <f>CA690/CA689</f>
        <v>0.2901251453190179</v>
      </c>
      <c r="CC689" s="214">
        <v>297.24</v>
      </c>
      <c r="CD689" s="222">
        <f>CC690/CC689</f>
        <v>0.31916969452294441</v>
      </c>
      <c r="CE689" s="214">
        <v>246.51</v>
      </c>
      <c r="CF689" s="222">
        <f>CE690/CE689</f>
        <v>0.30246237475153137</v>
      </c>
      <c r="CG689" s="214">
        <v>267.24</v>
      </c>
      <c r="CH689" s="222">
        <f>CG690/CG689</f>
        <v>0.32450232001197427</v>
      </c>
    </row>
    <row r="690" spans="1:87">
      <c r="C690" s="213" t="s">
        <v>9</v>
      </c>
      <c r="AP690" s="214"/>
      <c r="AV690" s="214">
        <f>AV688+AV689</f>
        <v>95.97</v>
      </c>
      <c r="AX690" s="214">
        <f>AX688+AX689</f>
        <v>78.169999999999987</v>
      </c>
      <c r="BA690" s="214">
        <f>BA688+BA689</f>
        <v>88.240000000000009</v>
      </c>
      <c r="BC690" s="214">
        <f>BC688+BC689</f>
        <v>70.569999999999993</v>
      </c>
      <c r="BE690" s="214">
        <f>BE688+BE689</f>
        <v>84.670000000000016</v>
      </c>
      <c r="BG690" s="214">
        <f>BG688+BG689</f>
        <v>105.89000000000001</v>
      </c>
      <c r="BI690" s="214">
        <f>BI688+BI689</f>
        <v>96.279999999999973</v>
      </c>
      <c r="BK690" s="214">
        <f>BK688+BK689</f>
        <v>89.090000000000032</v>
      </c>
      <c r="BM690" s="214">
        <f>BM688+BM689</f>
        <v>51.06</v>
      </c>
      <c r="BO690" s="214">
        <f>BO688+BO689</f>
        <v>101.5</v>
      </c>
      <c r="BQ690" s="214">
        <f>BQ688+BQ689</f>
        <v>132.32</v>
      </c>
      <c r="BS690" s="214">
        <f>BS688+BS689</f>
        <v>102.57999999999998</v>
      </c>
      <c r="BU690" s="214">
        <f>BU688+BU689</f>
        <v>107.51999999999998</v>
      </c>
      <c r="BW690" s="214">
        <f>BW688+BW689</f>
        <v>92.25</v>
      </c>
      <c r="BY690" s="214">
        <f>BY688+BY689</f>
        <v>86.5</v>
      </c>
      <c r="CA690" s="214">
        <f>CA688+CA689</f>
        <v>84.849999999999966</v>
      </c>
      <c r="CC690" s="214">
        <f>CC688+CC689</f>
        <v>94.87</v>
      </c>
      <c r="CE690" s="214">
        <f>CE688+CE689</f>
        <v>74.56</v>
      </c>
      <c r="CG690" s="214">
        <f>CG688+CG689</f>
        <v>86.72</v>
      </c>
    </row>
    <row r="691" spans="1:87">
      <c r="A691" s="211">
        <v>205</v>
      </c>
      <c r="C691" s="213" t="s">
        <v>276</v>
      </c>
      <c r="AP691" s="214"/>
    </row>
    <row r="692" spans="1:87">
      <c r="C692" s="213" t="s">
        <v>277</v>
      </c>
      <c r="AP692" s="214"/>
      <c r="AV692" s="235">
        <v>45597</v>
      </c>
      <c r="AX692" s="235">
        <v>45627</v>
      </c>
      <c r="BA692" s="235">
        <v>45658</v>
      </c>
      <c r="BC692" s="235">
        <v>45689</v>
      </c>
      <c r="BE692" s="235">
        <v>45717</v>
      </c>
      <c r="BG692" s="235">
        <v>45748</v>
      </c>
      <c r="BI692" s="235">
        <v>45778</v>
      </c>
      <c r="BK692" s="235">
        <v>45809</v>
      </c>
      <c r="BM692" s="235">
        <v>45839</v>
      </c>
      <c r="BO692" s="235">
        <v>45870</v>
      </c>
      <c r="BQ692" s="235">
        <v>45901</v>
      </c>
      <c r="BS692" s="235">
        <v>45931</v>
      </c>
      <c r="BU692" s="235">
        <v>45962</v>
      </c>
      <c r="BW692" s="235">
        <v>45992</v>
      </c>
      <c r="BY692" s="235">
        <v>46023</v>
      </c>
      <c r="CA692" s="235">
        <v>46054</v>
      </c>
      <c r="CC692" s="235">
        <v>46082</v>
      </c>
      <c r="CE692" s="235">
        <v>46113</v>
      </c>
      <c r="CG692" s="235">
        <v>46143</v>
      </c>
      <c r="CI692" s="341">
        <v>46174</v>
      </c>
    </row>
    <row r="693" spans="1:87">
      <c r="C693" s="213" t="s">
        <v>7</v>
      </c>
      <c r="AP693" s="214"/>
      <c r="AV693" s="237">
        <f>-43.68-129.28</f>
        <v>-172.96</v>
      </c>
      <c r="AX693" s="237">
        <f>-152.84-79.9</f>
        <v>-232.74</v>
      </c>
      <c r="BA693" s="237">
        <f>-215.86-25.3</f>
        <v>-241.16000000000003</v>
      </c>
      <c r="BC693" s="237">
        <f>-210.72-24.81</f>
        <v>-235.53</v>
      </c>
      <c r="BE693" s="237">
        <f>-206.78-49.02</f>
        <v>-255.8</v>
      </c>
      <c r="BG693" s="237">
        <f>-204.15-35.35</f>
        <v>-239.5</v>
      </c>
      <c r="BI693" s="237">
        <f>-183.96-38.6</f>
        <v>-222.56</v>
      </c>
      <c r="BK693" s="237">
        <f>-169.94-76.32</f>
        <v>-246.26</v>
      </c>
      <c r="BM693" s="237">
        <f>-238.43-53.7</f>
        <v>-292.13</v>
      </c>
      <c r="BO693" s="237">
        <f>-232.61-38.95</f>
        <v>-271.56</v>
      </c>
      <c r="BQ693" s="237">
        <f>-171.41-54.64</f>
        <v>-226.05</v>
      </c>
      <c r="BS693" s="237">
        <f>-184.5-27.32</f>
        <v>-211.82</v>
      </c>
      <c r="BU693" s="237">
        <f>-163.82-41.88</f>
        <v>-205.7</v>
      </c>
      <c r="BW693" s="237">
        <f>-153.61-62.82</f>
        <v>-216.43</v>
      </c>
      <c r="BY693" s="237">
        <f>-181.37-34.65</f>
        <v>-216.02</v>
      </c>
      <c r="CA693" s="237">
        <f>-159.48-29.7</f>
        <v>-189.17999999999998</v>
      </c>
      <c r="CC693" s="237">
        <f>-136.59-47.2</f>
        <v>-183.79000000000002</v>
      </c>
      <c r="CE693" s="237">
        <f>-147.62-29.25</f>
        <v>-176.87</v>
      </c>
      <c r="CG693" s="237">
        <v>-140.29</v>
      </c>
    </row>
    <row r="694" spans="1:87">
      <c r="C694" s="213" t="s">
        <v>8</v>
      </c>
      <c r="AP694" s="214"/>
      <c r="AU694" s="222" t="e">
        <f>AT695/AT694</f>
        <v>#DIV/0!</v>
      </c>
      <c r="AV694" s="214">
        <v>235.91</v>
      </c>
      <c r="AW694" s="222">
        <f>AV695/AV694</f>
        <v>0.2668390487897927</v>
      </c>
      <c r="AX694" s="214">
        <v>325.79000000000002</v>
      </c>
      <c r="AY694" s="224">
        <f>AX695/AX694</f>
        <v>0.28561343196537647</v>
      </c>
      <c r="AZ694" s="225"/>
      <c r="BA694" s="214">
        <v>267.89999999999998</v>
      </c>
      <c r="BB694" s="222">
        <f>BA695/BA694</f>
        <v>9.9813363195221924E-2</v>
      </c>
      <c r="BC694" s="214">
        <v>198.36</v>
      </c>
      <c r="BD694" s="222">
        <f>BC695/BC694</f>
        <v>-0.18738656987295818</v>
      </c>
      <c r="BE694" s="214">
        <v>254.85</v>
      </c>
      <c r="BF694" s="222">
        <f>BE695/BE694</f>
        <v>-3.7276829507554132E-3</v>
      </c>
      <c r="BG694" s="214">
        <v>231.36</v>
      </c>
      <c r="BH694" s="222">
        <f>BG695/BG694</f>
        <v>-3.5183264177040048E-2</v>
      </c>
      <c r="BI694" s="214">
        <v>239.65</v>
      </c>
      <c r="BJ694" s="222">
        <f>BI695/BI694</f>
        <v>7.131233048195286E-2</v>
      </c>
      <c r="BK694" s="214">
        <v>291.06</v>
      </c>
      <c r="BL694" s="222">
        <f>BK695/BK694</f>
        <v>0.15392015392015396</v>
      </c>
      <c r="BM694" s="214">
        <v>364.84</v>
      </c>
      <c r="BN694" s="222">
        <f>BM695/BM694</f>
        <v>0.19929284069729192</v>
      </c>
      <c r="BO694" s="214">
        <v>271.85000000000002</v>
      </c>
      <c r="BP694" s="222">
        <f>BO695/BO694</f>
        <v>1.0667647599780041E-3</v>
      </c>
      <c r="BQ694" s="214">
        <v>271.66000000000003</v>
      </c>
      <c r="BR694" s="222">
        <f>BQ695/BQ694</f>
        <v>0.1678936906427152</v>
      </c>
      <c r="BS694" s="214">
        <v>259.88</v>
      </c>
      <c r="BT694" s="222">
        <f>BS695/BS694</f>
        <v>0.18493150684931509</v>
      </c>
      <c r="BU694" s="214">
        <v>222.71</v>
      </c>
      <c r="BV694" s="222">
        <f>BU695/BU694</f>
        <v>7.6377351712990066E-2</v>
      </c>
      <c r="BW694" s="214">
        <v>201.22</v>
      </c>
      <c r="BX694" s="222">
        <f>BW695/BW694</f>
        <v>-7.5588907663254185E-2</v>
      </c>
      <c r="BY694" s="214">
        <v>211.89</v>
      </c>
      <c r="BZ694" s="222">
        <f>BY695/BY694</f>
        <v>-1.9491245457548843E-2</v>
      </c>
      <c r="CA694" s="214">
        <v>229.56</v>
      </c>
      <c r="CB694" s="222">
        <f>CA695/CA694</f>
        <v>0.17590172503920554</v>
      </c>
      <c r="CC694" s="214">
        <v>248.2</v>
      </c>
      <c r="CD694" s="222">
        <f>CC695/CC694</f>
        <v>0.2595084609186139</v>
      </c>
      <c r="CE694" s="214">
        <v>235.98</v>
      </c>
      <c r="CF694" s="222">
        <f>CE695/CE694</f>
        <v>0.25048732943469781</v>
      </c>
      <c r="CG694" s="214">
        <v>240.07</v>
      </c>
      <c r="CH694" s="222">
        <f>CG695/CG694</f>
        <v>0.41562877494064232</v>
      </c>
    </row>
    <row r="695" spans="1:87">
      <c r="C695" s="213" t="s">
        <v>9</v>
      </c>
      <c r="AP695" s="214"/>
      <c r="AV695" s="214">
        <f>AV693+AV694</f>
        <v>62.949999999999989</v>
      </c>
      <c r="AX695" s="214">
        <f>AX693+AX694</f>
        <v>93.050000000000011</v>
      </c>
      <c r="BA695" s="214">
        <f>BA693+BA694</f>
        <v>26.739999999999952</v>
      </c>
      <c r="BC695" s="214">
        <f>BC693+BC694</f>
        <v>-37.169999999999987</v>
      </c>
      <c r="BE695" s="214">
        <f>BE693+BE694</f>
        <v>-0.95000000000001705</v>
      </c>
      <c r="BG695" s="214">
        <f>BG693+BG694</f>
        <v>-8.1399999999999864</v>
      </c>
      <c r="BI695" s="214">
        <f>BI693+BI694</f>
        <v>17.090000000000003</v>
      </c>
      <c r="BK695" s="214">
        <f>BK693+BK694</f>
        <v>44.800000000000011</v>
      </c>
      <c r="BM695" s="214">
        <f>BM693+BM694</f>
        <v>72.70999999999998</v>
      </c>
      <c r="BO695" s="214">
        <f>BO693+BO694</f>
        <v>0.29000000000002046</v>
      </c>
      <c r="BQ695" s="214">
        <f>BQ693+BQ694</f>
        <v>45.610000000000014</v>
      </c>
      <c r="BS695" s="214">
        <f>BS693+BS694</f>
        <v>48.06</v>
      </c>
      <c r="BU695" s="214">
        <f>BU693+BU694</f>
        <v>17.010000000000019</v>
      </c>
      <c r="BW695" s="214">
        <f>BW693+BW694</f>
        <v>-15.210000000000008</v>
      </c>
      <c r="BY695" s="214">
        <f>BY693+BY694</f>
        <v>-4.1300000000000239</v>
      </c>
      <c r="CA695" s="214">
        <f>CA693+CA694</f>
        <v>40.380000000000024</v>
      </c>
      <c r="CC695" s="214">
        <f>CC693+CC694</f>
        <v>64.409999999999968</v>
      </c>
      <c r="CE695" s="214">
        <f>CE693+CE694</f>
        <v>59.109999999999985</v>
      </c>
      <c r="CG695" s="214">
        <f>CG693+CG694</f>
        <v>99.78</v>
      </c>
    </row>
    <row r="696" spans="1:87">
      <c r="A696" s="211">
        <v>206</v>
      </c>
      <c r="C696" s="213" t="s">
        <v>278</v>
      </c>
      <c r="AP696" s="214"/>
    </row>
    <row r="697" spans="1:87">
      <c r="C697" s="213" t="s">
        <v>279</v>
      </c>
      <c r="AP697" s="214"/>
      <c r="AV697" s="235">
        <v>45597</v>
      </c>
      <c r="AX697" s="235">
        <v>45627</v>
      </c>
      <c r="BA697" s="235">
        <v>45658</v>
      </c>
      <c r="BC697" s="235">
        <v>45689</v>
      </c>
      <c r="BE697" s="235">
        <v>45717</v>
      </c>
      <c r="BG697" s="235">
        <v>45748</v>
      </c>
      <c r="BI697" s="235">
        <v>45778</v>
      </c>
      <c r="BK697" s="235">
        <v>45809</v>
      </c>
      <c r="BM697" s="235">
        <v>45839</v>
      </c>
      <c r="BO697" s="235">
        <v>45870</v>
      </c>
      <c r="BQ697" s="235">
        <v>45901</v>
      </c>
      <c r="BS697" s="235">
        <v>45931</v>
      </c>
      <c r="BU697" s="235">
        <v>45962</v>
      </c>
      <c r="BW697" s="235">
        <v>45992</v>
      </c>
      <c r="BY697" s="235">
        <v>46023</v>
      </c>
      <c r="CA697" s="235">
        <v>46054</v>
      </c>
      <c r="CC697" s="235">
        <v>46082</v>
      </c>
      <c r="CE697" s="235">
        <v>46113</v>
      </c>
      <c r="CG697" s="235">
        <v>46143</v>
      </c>
      <c r="CI697" s="341">
        <v>46174</v>
      </c>
    </row>
    <row r="698" spans="1:87">
      <c r="C698" s="213" t="s">
        <v>7</v>
      </c>
      <c r="AP698" s="214"/>
      <c r="AV698" s="237">
        <f>-12.18-38.61</f>
        <v>-50.79</v>
      </c>
      <c r="AX698" s="237">
        <f>-38.49-26.28</f>
        <v>-64.77000000000001</v>
      </c>
      <c r="BA698" s="237">
        <f>-56.79-12.32</f>
        <v>-69.11</v>
      </c>
      <c r="BC698" s="237">
        <f>-73.82-17.12</f>
        <v>-90.94</v>
      </c>
      <c r="BE698" s="237">
        <f>-102.78-23.66</f>
        <v>-126.44</v>
      </c>
      <c r="BG698" s="237">
        <f>-81.19-20.16</f>
        <v>-101.35</v>
      </c>
      <c r="BI698" s="237">
        <f>-87.35-16.55</f>
        <v>-103.89999999999999</v>
      </c>
      <c r="BK698" s="237">
        <f>-79.57-31.68</f>
        <v>-111.25</v>
      </c>
      <c r="BM698" s="237">
        <f>-126.84-25.76</f>
        <v>-152.6</v>
      </c>
      <c r="BO698" s="237">
        <f>-91.86-20.94</f>
        <v>-112.8</v>
      </c>
      <c r="BQ698" s="237">
        <f>-76.89-31.44</f>
        <v>-108.33</v>
      </c>
      <c r="BS698" s="237">
        <f>-102.16-27</f>
        <v>-129.16</v>
      </c>
      <c r="BU698" s="237">
        <f>-129.49-33.06</f>
        <v>-162.55000000000001</v>
      </c>
      <c r="BW698" s="237">
        <f>-115.83-63.7</f>
        <v>-179.53</v>
      </c>
      <c r="BY698" s="237">
        <f>-159.13-45.84</f>
        <v>-204.97</v>
      </c>
      <c r="CA698" s="237">
        <f>-168.14-43.92</f>
        <v>-212.06</v>
      </c>
      <c r="CC698" s="237">
        <f>-168.28-42.32</f>
        <v>-210.6</v>
      </c>
      <c r="CE698" s="237">
        <f>-127.09-30.3</f>
        <v>-157.39000000000001</v>
      </c>
      <c r="CG698" s="237">
        <v>-121.17</v>
      </c>
    </row>
    <row r="699" spans="1:87">
      <c r="C699" s="213" t="s">
        <v>8</v>
      </c>
      <c r="AP699" s="214"/>
      <c r="AU699" s="222" t="e">
        <f>AT700/AT699</f>
        <v>#DIV/0!</v>
      </c>
      <c r="AV699" s="214">
        <v>71.89</v>
      </c>
      <c r="AW699" s="222">
        <f>AV700/AV699</f>
        <v>0.29350396439004034</v>
      </c>
      <c r="AX699" s="214">
        <v>71.62</v>
      </c>
      <c r="AY699" s="224">
        <f>AX700/AX699</f>
        <v>9.564367495113088E-2</v>
      </c>
      <c r="AZ699" s="225"/>
      <c r="BA699" s="214">
        <v>69.66</v>
      </c>
      <c r="BB699" s="222">
        <f>BA700/BA699</f>
        <v>7.8954923916163822E-3</v>
      </c>
      <c r="BC699" s="214">
        <v>106.32</v>
      </c>
      <c r="BD699" s="222">
        <f>BC700/BC699</f>
        <v>0.14465763732129416</v>
      </c>
      <c r="BE699" s="214">
        <v>132.15</v>
      </c>
      <c r="BF699" s="222">
        <f>BE700/BE699</f>
        <v>4.3208475217555865E-2</v>
      </c>
      <c r="BG699" s="214">
        <v>104.25</v>
      </c>
      <c r="BH699" s="222">
        <f>BG700/BG699</f>
        <v>2.7817745803357368E-2</v>
      </c>
      <c r="BI699" s="214">
        <v>112.92</v>
      </c>
      <c r="BJ699" s="222">
        <f>BI700/BI699</f>
        <v>7.9879560750974229E-2</v>
      </c>
      <c r="BK699" s="214">
        <v>72.56</v>
      </c>
      <c r="BL699" s="222">
        <f>BK700/BK699</f>
        <v>-0.53321389195148838</v>
      </c>
      <c r="BM699" s="214">
        <v>197.55</v>
      </c>
      <c r="BN699" s="222">
        <f>BM700/BM699</f>
        <v>0.22753733232093148</v>
      </c>
      <c r="BO699" s="214">
        <v>122.87</v>
      </c>
      <c r="BP699" s="222">
        <f>BO700/BO699</f>
        <v>8.1956539431919967E-2</v>
      </c>
      <c r="BQ699" s="214">
        <v>114.03</v>
      </c>
      <c r="BR699" s="222">
        <f>BQ700/BQ699</f>
        <v>4.9986845566956088E-2</v>
      </c>
      <c r="BS699" s="214">
        <v>153.88999999999999</v>
      </c>
      <c r="BT699" s="222">
        <f>BS700/BS699</f>
        <v>0.16069920072779253</v>
      </c>
      <c r="BU699" s="214">
        <v>189.22</v>
      </c>
      <c r="BV699" s="222">
        <f>BU700/BU699</f>
        <v>0.1409470457668322</v>
      </c>
      <c r="BW699" s="214">
        <v>196.66</v>
      </c>
      <c r="BX699" s="222">
        <f>BW700/BW699</f>
        <v>8.7104647615173378E-2</v>
      </c>
      <c r="BY699" s="214">
        <v>258.7</v>
      </c>
      <c r="BZ699" s="222">
        <f>BY700/BY699</f>
        <v>0.20769230769230765</v>
      </c>
      <c r="CA699" s="214">
        <v>306.55</v>
      </c>
      <c r="CB699" s="222">
        <f>CA700/CA699</f>
        <v>0.30823682922851087</v>
      </c>
      <c r="CC699" s="214">
        <v>254.83</v>
      </c>
      <c r="CD699" s="222">
        <f>CC700/CC699</f>
        <v>0.17356669151983681</v>
      </c>
      <c r="CE699" s="214">
        <v>179.48</v>
      </c>
      <c r="CF699" s="222">
        <f>CE700/CE699</f>
        <v>0.12307778025406717</v>
      </c>
      <c r="CG699" s="214">
        <v>189.89</v>
      </c>
      <c r="CH699" s="222">
        <f>CG700/CG699</f>
        <v>0.36189372794775915</v>
      </c>
    </row>
    <row r="700" spans="1:87">
      <c r="C700" s="213" t="s">
        <v>9</v>
      </c>
      <c r="AP700" s="214"/>
      <c r="AV700" s="214">
        <f>AV698+AV699</f>
        <v>21.1</v>
      </c>
      <c r="AX700" s="214">
        <f>AX698+AX699</f>
        <v>6.8499999999999943</v>
      </c>
      <c r="BA700" s="214">
        <f>BA698+BA699</f>
        <v>0.54999999999999716</v>
      </c>
      <c r="BC700" s="214">
        <f>BC698+BC699</f>
        <v>15.379999999999995</v>
      </c>
      <c r="BE700" s="214">
        <f>BE698+BE699</f>
        <v>5.710000000000008</v>
      </c>
      <c r="BG700" s="214">
        <f>BG698+BG699</f>
        <v>2.9000000000000057</v>
      </c>
      <c r="BI700" s="214">
        <f>BI698+BI699</f>
        <v>9.0200000000000102</v>
      </c>
      <c r="BK700" s="214">
        <f>BK698+BK699</f>
        <v>-38.69</v>
      </c>
      <c r="BM700" s="214">
        <f>BM698+BM699</f>
        <v>44.950000000000017</v>
      </c>
      <c r="BO700" s="214">
        <f>BO698+BO699</f>
        <v>10.070000000000007</v>
      </c>
      <c r="BQ700" s="214">
        <f>BQ698+BQ699</f>
        <v>5.7000000000000028</v>
      </c>
      <c r="BS700" s="214">
        <f>BS698+BS699</f>
        <v>24.72999999999999</v>
      </c>
      <c r="BU700" s="214">
        <f>BU698+BU699</f>
        <v>26.669999999999987</v>
      </c>
      <c r="BW700" s="214">
        <f>BW698+BW699</f>
        <v>17.129999999999995</v>
      </c>
      <c r="BY700" s="214">
        <f>BY698+BY699</f>
        <v>53.72999999999999</v>
      </c>
      <c r="CA700" s="214">
        <f>CA698+CA699</f>
        <v>94.490000000000009</v>
      </c>
      <c r="CC700" s="214">
        <f>CC698+CC699</f>
        <v>44.230000000000018</v>
      </c>
      <c r="CE700" s="214">
        <f>CE698+CE699</f>
        <v>22.089999999999975</v>
      </c>
      <c r="CG700" s="214">
        <f>CG698+CG699</f>
        <v>68.719999999999985</v>
      </c>
    </row>
    <row r="701" spans="1:87">
      <c r="A701" s="211">
        <v>207</v>
      </c>
      <c r="C701" s="213" t="s">
        <v>280</v>
      </c>
      <c r="AP701" s="214"/>
    </row>
    <row r="702" spans="1:87">
      <c r="C702" s="213" t="s">
        <v>281</v>
      </c>
      <c r="AP702" s="214"/>
      <c r="AV702" s="235">
        <v>45597</v>
      </c>
      <c r="AX702" s="235">
        <v>45627</v>
      </c>
      <c r="BA702" s="235">
        <v>45658</v>
      </c>
      <c r="BC702" s="235">
        <v>45689</v>
      </c>
      <c r="BE702" s="235">
        <v>45717</v>
      </c>
      <c r="BG702" s="235">
        <v>45748</v>
      </c>
      <c r="BI702" s="235">
        <v>45778</v>
      </c>
      <c r="BK702" s="235">
        <v>45809</v>
      </c>
      <c r="BM702" s="235">
        <v>45839</v>
      </c>
      <c r="BO702" s="235">
        <v>45870</v>
      </c>
      <c r="BQ702" s="235">
        <v>45901</v>
      </c>
      <c r="BS702" s="235">
        <v>45931</v>
      </c>
      <c r="BU702" s="235">
        <v>45962</v>
      </c>
      <c r="BW702" s="235">
        <v>45992</v>
      </c>
      <c r="BY702" s="235">
        <v>46023</v>
      </c>
      <c r="CA702" s="235">
        <v>46054</v>
      </c>
      <c r="CC702" s="235">
        <v>46082</v>
      </c>
      <c r="CE702" s="235">
        <v>46113</v>
      </c>
      <c r="CG702" s="235">
        <v>46143</v>
      </c>
      <c r="CI702" s="341">
        <v>46174</v>
      </c>
    </row>
    <row r="703" spans="1:87">
      <c r="C703" s="213" t="s">
        <v>7</v>
      </c>
      <c r="AP703" s="214"/>
      <c r="AV703" s="237">
        <f>-21.96-20.64</f>
        <v>-42.6</v>
      </c>
      <c r="AX703" s="237">
        <f>-68.67-30.58</f>
        <v>-99.25</v>
      </c>
      <c r="BA703" s="237">
        <f>-75.1-12.84</f>
        <v>-87.94</v>
      </c>
      <c r="BC703" s="237">
        <f>-80.38-10.11</f>
        <v>-90.49</v>
      </c>
      <c r="BE703" s="237">
        <f>-74.19-26.91</f>
        <v>-101.1</v>
      </c>
      <c r="BG703" s="237">
        <f>-74.67-15.75</f>
        <v>-90.42</v>
      </c>
      <c r="BI703" s="237">
        <f>-72.31-29.6</f>
        <v>-101.91</v>
      </c>
      <c r="BK703" s="237">
        <f>-92.66-19.85</f>
        <v>-112.50999999999999</v>
      </c>
      <c r="BM703" s="237">
        <f>-87.21-32.85</f>
        <v>-120.06</v>
      </c>
      <c r="BO703" s="237">
        <f>-94.99-18.85</f>
        <v>-113.84</v>
      </c>
      <c r="BQ703" s="237">
        <f>-75.36-35.2</f>
        <v>-110.56</v>
      </c>
      <c r="BS703" s="237">
        <f>-95.02-13.76</f>
        <v>-108.78</v>
      </c>
      <c r="BU703" s="237">
        <f>-82.56-26.95</f>
        <v>-109.51</v>
      </c>
      <c r="BW703" s="237">
        <f>-80.82-30.96</f>
        <v>-111.78</v>
      </c>
      <c r="BY703" s="237">
        <f>-89.56-18</f>
        <v>-107.56</v>
      </c>
      <c r="CA703" s="237">
        <f>-82.83-15.95</f>
        <v>-98.78</v>
      </c>
      <c r="CC703" s="237">
        <f>-73.39-24.4</f>
        <v>-97.789999999999992</v>
      </c>
      <c r="CE703" s="237">
        <f>-70.23-22.26</f>
        <v>-92.490000000000009</v>
      </c>
      <c r="CG703" s="237">
        <v>-76.319999999999993</v>
      </c>
    </row>
    <row r="704" spans="1:87">
      <c r="C704" s="213" t="s">
        <v>8</v>
      </c>
      <c r="AP704" s="214"/>
      <c r="AU704" s="222" t="e">
        <f>AT705/AT704</f>
        <v>#DIV/0!</v>
      </c>
      <c r="AV704" s="214">
        <v>87.65</v>
      </c>
      <c r="AW704" s="222">
        <f>AV705/AV704</f>
        <v>0.51397604107244721</v>
      </c>
      <c r="AX704" s="214">
        <v>116.69</v>
      </c>
      <c r="AY704" s="224">
        <f>AX705/AX704</f>
        <v>0.14945582312109004</v>
      </c>
      <c r="AZ704" s="225"/>
      <c r="BA704" s="214">
        <v>86</v>
      </c>
      <c r="BB704" s="222">
        <f>BA705/BA704</f>
        <v>-2.2558139534883694E-2</v>
      </c>
      <c r="BC704" s="214">
        <v>97.98</v>
      </c>
      <c r="BD704" s="222">
        <f>BC705/BC704</f>
        <v>7.6444172280057246E-2</v>
      </c>
      <c r="BE704" s="214">
        <v>80.87</v>
      </c>
      <c r="BF704" s="222">
        <f>BE705/BE704</f>
        <v>-0.2501545690614565</v>
      </c>
      <c r="BG704" s="214">
        <v>103.54</v>
      </c>
      <c r="BH704" s="222">
        <f>BG705/BG704</f>
        <v>0.12671431330886618</v>
      </c>
      <c r="BI704" s="214">
        <v>98.65</v>
      </c>
      <c r="BJ704" s="222">
        <f>BI705/BI704</f>
        <v>-3.3046122655853938E-2</v>
      </c>
      <c r="BK704" s="214">
        <v>121.66</v>
      </c>
      <c r="BL704" s="222">
        <f>BK705/BK704</f>
        <v>7.5209600526056269E-2</v>
      </c>
      <c r="BM704" s="214">
        <v>128.72</v>
      </c>
      <c r="BN704" s="222">
        <f>BM705/BM704</f>
        <v>6.7277812305779963E-2</v>
      </c>
      <c r="BO704" s="214">
        <v>128.41999999999999</v>
      </c>
      <c r="BP704" s="222">
        <f>BO705/BO704</f>
        <v>0.11353371748948751</v>
      </c>
      <c r="BQ704" s="214">
        <v>116.61</v>
      </c>
      <c r="BR704" s="222">
        <f>BQ705/BQ704</f>
        <v>5.1882342852242497E-2</v>
      </c>
      <c r="BS704" s="214">
        <v>117.9</v>
      </c>
      <c r="BT704" s="222">
        <f>BS705/BS704</f>
        <v>7.7353689567430065E-2</v>
      </c>
      <c r="BU704" s="214">
        <v>91.67</v>
      </c>
      <c r="BV704" s="222">
        <f>BU705/BU704</f>
        <v>-0.19461110505072546</v>
      </c>
      <c r="BW704" s="214">
        <v>130.46</v>
      </c>
      <c r="BX704" s="222">
        <f>BW705/BW704</f>
        <v>0.14318565077418371</v>
      </c>
      <c r="BY704" s="214">
        <v>68.22</v>
      </c>
      <c r="BZ704" s="222">
        <f>BY705/BY704</f>
        <v>-0.57666373497508072</v>
      </c>
      <c r="CA704" s="214">
        <v>99.96</v>
      </c>
      <c r="CB704" s="222">
        <f>CA705/CA704</f>
        <v>1.1804721888755429E-2</v>
      </c>
      <c r="CC704" s="214">
        <v>132.22999999999999</v>
      </c>
      <c r="CD704" s="222">
        <f>CC705/CC704</f>
        <v>0.26045526733721547</v>
      </c>
      <c r="CE704" s="214">
        <v>126.21</v>
      </c>
      <c r="CF704" s="222">
        <f>CE705/CE704</f>
        <v>0.26717375802234361</v>
      </c>
      <c r="CG704" s="214">
        <v>125.83</v>
      </c>
      <c r="CH704" s="222">
        <f>CG705/CG704</f>
        <v>0.39346737661924824</v>
      </c>
    </row>
    <row r="705" spans="1:87">
      <c r="C705" s="213" t="s">
        <v>9</v>
      </c>
      <c r="AP705" s="214"/>
      <c r="AV705" s="214">
        <f>AV703+AV704</f>
        <v>45.050000000000004</v>
      </c>
      <c r="AX705" s="214">
        <f>AX703+AX704</f>
        <v>17.439999999999998</v>
      </c>
      <c r="BA705" s="214">
        <f>BA703+BA704</f>
        <v>-1.9399999999999977</v>
      </c>
      <c r="BC705" s="214">
        <f>BC703+BC704</f>
        <v>7.4900000000000091</v>
      </c>
      <c r="BE705" s="214">
        <f>BE703+BE704</f>
        <v>-20.22999999999999</v>
      </c>
      <c r="BG705" s="214">
        <f>BG703+BG704</f>
        <v>13.120000000000005</v>
      </c>
      <c r="BI705" s="214">
        <f>BI703+BI704</f>
        <v>-3.2599999999999909</v>
      </c>
      <c r="BK705" s="214">
        <f>BK703+BK704</f>
        <v>9.1500000000000057</v>
      </c>
      <c r="BM705" s="214">
        <f>BM703+BM704</f>
        <v>8.6599999999999966</v>
      </c>
      <c r="BO705" s="214">
        <f>BO703+BO704</f>
        <v>14.579999999999984</v>
      </c>
      <c r="BQ705" s="214">
        <f>BQ703+BQ704</f>
        <v>6.0499999999999972</v>
      </c>
      <c r="BS705" s="214">
        <f>BS703+BS704</f>
        <v>9.1200000000000045</v>
      </c>
      <c r="BU705" s="214">
        <f>BU703+BU704</f>
        <v>-17.840000000000003</v>
      </c>
      <c r="BW705" s="214">
        <f>BW703+BW704</f>
        <v>18.680000000000007</v>
      </c>
      <c r="BY705" s="214">
        <f>BY703+BY704</f>
        <v>-39.340000000000003</v>
      </c>
      <c r="CA705" s="214">
        <f>CA703+CA704</f>
        <v>1.1799999999999926</v>
      </c>
      <c r="CC705" s="214">
        <f>CC703+CC704</f>
        <v>34.44</v>
      </c>
      <c r="CE705" s="214">
        <f>CE703+CE704</f>
        <v>33.719999999999985</v>
      </c>
      <c r="CG705" s="214">
        <f>CG703+CG704</f>
        <v>49.510000000000005</v>
      </c>
    </row>
    <row r="706" spans="1:87" hidden="1">
      <c r="A706" s="211">
        <v>208</v>
      </c>
      <c r="B706" s="212" t="s">
        <v>30</v>
      </c>
      <c r="C706" s="213" t="s">
        <v>282</v>
      </c>
      <c r="AP706" s="214"/>
    </row>
    <row r="707" spans="1:87" hidden="1">
      <c r="C707" s="213" t="s">
        <v>283</v>
      </c>
      <c r="AP707" s="214"/>
      <c r="AV707" s="235">
        <v>45597</v>
      </c>
      <c r="AX707" s="235">
        <v>45627</v>
      </c>
      <c r="BA707" s="235">
        <v>45658</v>
      </c>
      <c r="BC707" s="235">
        <v>45689</v>
      </c>
      <c r="BE707" s="235">
        <v>45717</v>
      </c>
      <c r="BG707" s="235">
        <v>45748</v>
      </c>
      <c r="BI707" s="235">
        <v>45778</v>
      </c>
      <c r="BK707" s="235">
        <v>45809</v>
      </c>
      <c r="BM707" s="235">
        <v>45839</v>
      </c>
      <c r="BO707" s="235">
        <v>45870</v>
      </c>
      <c r="BQ707" s="235">
        <v>45901</v>
      </c>
      <c r="BS707" s="235">
        <v>45931</v>
      </c>
      <c r="BU707" s="235">
        <v>45962</v>
      </c>
      <c r="BW707" s="235">
        <v>45992</v>
      </c>
      <c r="BY707" s="235">
        <v>46023</v>
      </c>
      <c r="CA707" s="235">
        <v>46054</v>
      </c>
      <c r="CC707" s="235">
        <v>46082</v>
      </c>
    </row>
    <row r="708" spans="1:87" hidden="1">
      <c r="C708" s="213" t="s">
        <v>7</v>
      </c>
      <c r="AP708" s="214"/>
      <c r="AV708" s="237">
        <v>-354.05</v>
      </c>
      <c r="AX708" s="237">
        <v>-1171.05</v>
      </c>
      <c r="BA708" s="237">
        <v>-544.61</v>
      </c>
      <c r="BC708" s="237">
        <v>-378.88</v>
      </c>
      <c r="BE708" s="237">
        <v>-901.24</v>
      </c>
      <c r="BG708" s="237">
        <f>-9.58-851.8</f>
        <v>-861.38</v>
      </c>
      <c r="BI708" s="237">
        <v>-968.12</v>
      </c>
      <c r="BK708" s="237">
        <v>-1112.4100000000001</v>
      </c>
      <c r="BM708" s="237">
        <v>-1437.43</v>
      </c>
      <c r="BO708" s="237">
        <v>-1293.3699999999999</v>
      </c>
      <c r="BQ708" s="237">
        <v>-1117.75</v>
      </c>
      <c r="BS708" s="237">
        <v>-983.42</v>
      </c>
      <c r="BU708" s="237">
        <v>-423.19</v>
      </c>
      <c r="BW708" s="214"/>
      <c r="BY708" s="214"/>
      <c r="CA708" s="214"/>
      <c r="CC708" s="214"/>
    </row>
    <row r="709" spans="1:87" hidden="1">
      <c r="C709" s="213" t="s">
        <v>8</v>
      </c>
      <c r="AP709" s="214"/>
      <c r="AU709" s="222" t="e">
        <f>AT710/AT709</f>
        <v>#DIV/0!</v>
      </c>
      <c r="AV709" s="214">
        <v>456.72</v>
      </c>
      <c r="AW709" s="222">
        <f>AV710/AV709</f>
        <v>0.22479856367139606</v>
      </c>
      <c r="AX709" s="214">
        <v>912.79</v>
      </c>
      <c r="AY709" s="224">
        <f>AX710/AX709</f>
        <v>-0.28293473854884477</v>
      </c>
      <c r="AZ709" s="225"/>
      <c r="BA709" s="214">
        <v>457.11</v>
      </c>
      <c r="BB709" s="222">
        <f>BA710/BA709</f>
        <v>-0.19142000831309749</v>
      </c>
      <c r="BC709" s="214">
        <v>197.62</v>
      </c>
      <c r="BD709" s="222">
        <f>BC710/BC709</f>
        <v>-0.91721485679587078</v>
      </c>
      <c r="BE709" s="214">
        <v>1301.45</v>
      </c>
      <c r="BF709" s="222">
        <f>BE710/BE709</f>
        <v>0.30751085327903493</v>
      </c>
      <c r="BG709" s="214">
        <v>1281.73</v>
      </c>
      <c r="BH709" s="222">
        <f>BG710/BG709</f>
        <v>0.3279551855695037</v>
      </c>
      <c r="BI709" s="214">
        <v>1193.9100000000001</v>
      </c>
      <c r="BJ709" s="222">
        <f>BI710/BI709</f>
        <v>0.18911810773006346</v>
      </c>
      <c r="BK709" s="214">
        <v>1290.57</v>
      </c>
      <c r="BL709" s="222">
        <f>BK710/BK709</f>
        <v>0.13804752938624007</v>
      </c>
      <c r="BM709" s="214">
        <v>1778.94</v>
      </c>
      <c r="BN709" s="222">
        <f>BM710/BM709</f>
        <v>0.19197387208112696</v>
      </c>
      <c r="BO709" s="214">
        <v>2140.31</v>
      </c>
      <c r="BP709" s="222">
        <f>BO710/BO709</f>
        <v>0.39570903280365932</v>
      </c>
      <c r="BQ709" s="214">
        <v>1707.47</v>
      </c>
      <c r="BR709" s="222">
        <f>BQ710/BQ709</f>
        <v>0.34537649270558196</v>
      </c>
      <c r="BS709" s="214">
        <v>1058.99</v>
      </c>
      <c r="BT709" s="222">
        <f>BS710/BS709</f>
        <v>7.1360447218576234E-2</v>
      </c>
      <c r="BU709" s="214">
        <v>444.82</v>
      </c>
      <c r="BV709" s="222">
        <f>BU710/BU709</f>
        <v>4.8626410682972881E-2</v>
      </c>
      <c r="BW709" s="214"/>
      <c r="BX709" s="222" t="e">
        <f>BW710/BW709</f>
        <v>#DIV/0!</v>
      </c>
      <c r="BY709" s="214"/>
      <c r="BZ709" s="222" t="e">
        <f>BY710/BY709</f>
        <v>#DIV/0!</v>
      </c>
      <c r="CA709" s="214"/>
      <c r="CB709" s="222" t="e">
        <f>CA710/CA709</f>
        <v>#DIV/0!</v>
      </c>
      <c r="CC709" s="214"/>
      <c r="CD709" s="222" t="e">
        <f>CC710/CC709</f>
        <v>#DIV/0!</v>
      </c>
    </row>
    <row r="710" spans="1:87" hidden="1">
      <c r="C710" s="213" t="s">
        <v>9</v>
      </c>
      <c r="AP710" s="214"/>
      <c r="AV710" s="214">
        <f>AV708+AV709</f>
        <v>102.67000000000002</v>
      </c>
      <c r="AX710" s="214">
        <f>AX708+AX709</f>
        <v>-258.26</v>
      </c>
      <c r="BA710" s="214">
        <f>BA708+BA709</f>
        <v>-87.5</v>
      </c>
      <c r="BC710" s="214">
        <f>BC708+BC709</f>
        <v>-181.26</v>
      </c>
      <c r="BE710" s="214">
        <f>BE708+BE709</f>
        <v>400.21000000000004</v>
      </c>
      <c r="BG710" s="214">
        <f>BG708+BG709</f>
        <v>420.35</v>
      </c>
      <c r="BI710" s="214">
        <f>BI708+BI709</f>
        <v>225.79000000000008</v>
      </c>
      <c r="BK710" s="214">
        <f>BK708+BK709</f>
        <v>178.15999999999985</v>
      </c>
      <c r="BM710" s="214">
        <f>BM708+BM709</f>
        <v>341.51</v>
      </c>
      <c r="BO710" s="214">
        <f>BO708+BO709</f>
        <v>846.94</v>
      </c>
      <c r="BQ710" s="214">
        <f>BQ708+BQ709</f>
        <v>589.72</v>
      </c>
      <c r="BS710" s="214">
        <f>BS708+BS709</f>
        <v>75.57000000000005</v>
      </c>
      <c r="BU710" s="214">
        <f>BU708+BU709</f>
        <v>21.629999999999995</v>
      </c>
      <c r="BW710" s="214">
        <f>BW708+BW709</f>
        <v>0</v>
      </c>
      <c r="BY710" s="214">
        <f>BY708+BY709</f>
        <v>0</v>
      </c>
      <c r="CA710" s="214">
        <f>CA708+CA709</f>
        <v>0</v>
      </c>
      <c r="CC710" s="214">
        <f>CC708+CC709</f>
        <v>0</v>
      </c>
    </row>
    <row r="711" spans="1:87">
      <c r="A711" s="211">
        <v>209</v>
      </c>
      <c r="C711" s="213" t="s">
        <v>284</v>
      </c>
      <c r="AP711" s="214"/>
    </row>
    <row r="712" spans="1:87">
      <c r="C712" s="213" t="s">
        <v>285</v>
      </c>
      <c r="AP712" s="214"/>
      <c r="AV712" s="235">
        <v>45597</v>
      </c>
      <c r="AX712" s="235">
        <v>45627</v>
      </c>
      <c r="BA712" s="235">
        <v>45658</v>
      </c>
      <c r="BC712" s="235">
        <v>45689</v>
      </c>
      <c r="BE712" s="235">
        <v>45717</v>
      </c>
      <c r="BG712" s="235">
        <v>45748</v>
      </c>
      <c r="BI712" s="235">
        <v>45778</v>
      </c>
      <c r="BK712" s="235">
        <v>45809</v>
      </c>
      <c r="BM712" s="235">
        <v>45839</v>
      </c>
      <c r="BO712" s="235">
        <v>45870</v>
      </c>
      <c r="BQ712" s="235">
        <v>45901</v>
      </c>
      <c r="BS712" s="235">
        <v>45931</v>
      </c>
      <c r="BU712" s="235">
        <v>45962</v>
      </c>
      <c r="BW712" s="235">
        <v>45992</v>
      </c>
      <c r="BY712" s="235">
        <v>46023</v>
      </c>
      <c r="CA712" s="235">
        <v>46054</v>
      </c>
      <c r="CC712" s="235">
        <v>46082</v>
      </c>
      <c r="CE712" s="235">
        <v>46113</v>
      </c>
      <c r="CG712" s="235">
        <v>46143</v>
      </c>
      <c r="CI712" s="341">
        <v>46174</v>
      </c>
    </row>
    <row r="713" spans="1:87">
      <c r="C713" s="213" t="s">
        <v>7</v>
      </c>
      <c r="AP713" s="214"/>
      <c r="AV713" s="237">
        <v>-1153.69</v>
      </c>
      <c r="AX713" s="237">
        <v>-1600.03</v>
      </c>
      <c r="BA713" s="237">
        <f>-6.16-1215.02</f>
        <v>-1221.18</v>
      </c>
      <c r="BC713" s="237">
        <v>-1084.8499999999999</v>
      </c>
      <c r="BE713" s="237">
        <v>-1130.26</v>
      </c>
      <c r="BG713" s="237">
        <v>-978.56</v>
      </c>
      <c r="BI713" s="237">
        <v>-1128.3599999999999</v>
      </c>
      <c r="BK713" s="237">
        <v>-1531.98</v>
      </c>
      <c r="BM713" s="237">
        <v>-2256.06</v>
      </c>
      <c r="BO713" s="237">
        <v>-1961.48</v>
      </c>
      <c r="BQ713" s="237">
        <v>-1566.85</v>
      </c>
      <c r="BS713" s="237">
        <v>-1349.66</v>
      </c>
      <c r="BU713" s="237">
        <v>-1412.88</v>
      </c>
      <c r="BW713" s="237">
        <v>-1739.8</v>
      </c>
      <c r="BY713" s="237">
        <v>-1968.21</v>
      </c>
      <c r="CA713" s="237">
        <v>-1636.83</v>
      </c>
      <c r="CC713" s="237">
        <v>-1395.07</v>
      </c>
      <c r="CE713" s="214">
        <v>-1175.7</v>
      </c>
      <c r="CG713" s="214">
        <v>-1333.5</v>
      </c>
    </row>
    <row r="714" spans="1:87">
      <c r="C714" s="213" t="s">
        <v>8</v>
      </c>
      <c r="AP714" s="214"/>
      <c r="AU714" s="222" t="e">
        <f>AT715/AT714</f>
        <v>#DIV/0!</v>
      </c>
      <c r="AV714" s="214">
        <v>1197.18</v>
      </c>
      <c r="AW714" s="222">
        <f>AV715/AV714</f>
        <v>3.6327035199385224E-2</v>
      </c>
      <c r="AX714" s="214">
        <v>1865.97</v>
      </c>
      <c r="AY714" s="224">
        <f>AX715/AX714</f>
        <v>0.14252104803399843</v>
      </c>
      <c r="AZ714" s="225"/>
      <c r="BA714" s="214">
        <v>1723.16</v>
      </c>
      <c r="BB714" s="222">
        <f>BA715/BA714</f>
        <v>0.29131363309269015</v>
      </c>
      <c r="BC714" s="214">
        <v>1570.31</v>
      </c>
      <c r="BD714" s="222">
        <f>BC715/BC714</f>
        <v>0.30914914889416745</v>
      </c>
      <c r="BE714" s="214">
        <v>1432.73</v>
      </c>
      <c r="BF714" s="222">
        <f>BE715/BE714</f>
        <v>0.2111144458481361</v>
      </c>
      <c r="BG714" s="214">
        <v>1817.32</v>
      </c>
      <c r="BH714" s="222">
        <f>BG715/BG714</f>
        <v>0.46153676842823499</v>
      </c>
      <c r="BI714" s="214">
        <v>1955.83</v>
      </c>
      <c r="BJ714" s="222">
        <f>BI715/BI714</f>
        <v>0.42307869293343492</v>
      </c>
      <c r="BK714" s="214">
        <v>2235.4699999999998</v>
      </c>
      <c r="BL714" s="222">
        <f>BK715/BK714</f>
        <v>0.31469444904203581</v>
      </c>
      <c r="BM714" s="214">
        <v>2825.24</v>
      </c>
      <c r="BN714" s="222">
        <f>BM715/BM714</f>
        <v>0.20146253061686792</v>
      </c>
      <c r="BO714" s="214">
        <v>3443.22</v>
      </c>
      <c r="BP714" s="222">
        <f>BO715/BO714</f>
        <v>0.4303355579951324</v>
      </c>
      <c r="BQ714" s="214">
        <v>3178.08</v>
      </c>
      <c r="BR714" s="222">
        <f>BQ715/BQ714</f>
        <v>0.50698220309117459</v>
      </c>
      <c r="BS714" s="214">
        <v>2134.16</v>
      </c>
      <c r="BT714" s="222">
        <f>BS715/BS714</f>
        <v>0.36759193312591365</v>
      </c>
      <c r="BU714" s="214">
        <v>1883.16</v>
      </c>
      <c r="BV714" s="222">
        <f>BU715/BU714</f>
        <v>0.24972917861466892</v>
      </c>
      <c r="BW714" s="214">
        <v>1916.12</v>
      </c>
      <c r="BX714" s="222">
        <f>BW715/BW714</f>
        <v>9.2019288979813346E-2</v>
      </c>
      <c r="BY714" s="214">
        <v>1372.39</v>
      </c>
      <c r="BZ714" s="222">
        <f>BY715/BY714</f>
        <v>-0.43414772768673621</v>
      </c>
      <c r="CA714" s="214">
        <v>2844.42</v>
      </c>
      <c r="CB714" s="222">
        <f>CA715/CA714</f>
        <v>0.42454700782584853</v>
      </c>
      <c r="CC714" s="214">
        <v>2594.23</v>
      </c>
      <c r="CD714" s="222">
        <f>CC715/CC714</f>
        <v>0.4622412045192601</v>
      </c>
      <c r="CE714" s="214">
        <v>2436.29</v>
      </c>
      <c r="CF714" s="222">
        <f>CE715/CE714</f>
        <v>0.51742198178377774</v>
      </c>
      <c r="CG714" s="214">
        <v>2434.85</v>
      </c>
      <c r="CH714" s="222">
        <f>CG715/CG714</f>
        <v>0.45232765878801567</v>
      </c>
    </row>
    <row r="715" spans="1:87">
      <c r="C715" s="213" t="s">
        <v>9</v>
      </c>
      <c r="AP715" s="214"/>
      <c r="AV715" s="214">
        <f>AV713+AV714</f>
        <v>43.490000000000009</v>
      </c>
      <c r="AX715" s="214">
        <f>AX713+AX714</f>
        <v>265.94000000000005</v>
      </c>
      <c r="BA715" s="214">
        <f>BA713+BA714</f>
        <v>501.98</v>
      </c>
      <c r="BC715" s="214">
        <f>BC713+BC714</f>
        <v>485.46000000000004</v>
      </c>
      <c r="BE715" s="214">
        <f>BE713+BE714</f>
        <v>302.47000000000003</v>
      </c>
      <c r="BG715" s="214">
        <f>BG713+BG714</f>
        <v>838.76</v>
      </c>
      <c r="BI715" s="214">
        <f>BI713+BI714</f>
        <v>827.47</v>
      </c>
      <c r="BK715" s="214">
        <f>BK713+BK714</f>
        <v>703.48999999999978</v>
      </c>
      <c r="BM715" s="214">
        <f>BM713+BM714</f>
        <v>569.17999999999984</v>
      </c>
      <c r="BO715" s="214">
        <f>BO713+BO714</f>
        <v>1481.7399999999998</v>
      </c>
      <c r="BQ715" s="214">
        <f>BQ713+BQ714</f>
        <v>1611.23</v>
      </c>
      <c r="BS715" s="214">
        <f>BS713+BS714</f>
        <v>784.49999999999977</v>
      </c>
      <c r="BU715" s="214">
        <f>BU713+BU714</f>
        <v>470.28</v>
      </c>
      <c r="BW715" s="214">
        <f>BW713+BW714</f>
        <v>176.31999999999994</v>
      </c>
      <c r="BY715" s="214">
        <f>BY713+BY714</f>
        <v>-595.81999999999994</v>
      </c>
      <c r="CA715" s="214">
        <f>CA713+CA714</f>
        <v>1207.5900000000001</v>
      </c>
      <c r="CC715" s="214">
        <f>CC713+CC714</f>
        <v>1199.1600000000001</v>
      </c>
      <c r="CE715" s="214">
        <f>CE713+CE714</f>
        <v>1260.5899999999999</v>
      </c>
      <c r="CG715" s="214">
        <f>CG713+CG714</f>
        <v>1101.3499999999999</v>
      </c>
    </row>
    <row r="716" spans="1:87">
      <c r="A716" s="211">
        <v>212</v>
      </c>
      <c r="C716" s="213" t="s">
        <v>292</v>
      </c>
      <c r="AP716" s="214"/>
    </row>
    <row r="717" spans="1:87">
      <c r="C717" s="213" t="s">
        <v>352</v>
      </c>
      <c r="AP717" s="214"/>
      <c r="BA717" s="235">
        <v>45658</v>
      </c>
      <c r="BC717" s="235">
        <v>45689</v>
      </c>
      <c r="BE717" s="235">
        <v>45717</v>
      </c>
      <c r="BG717" s="235">
        <v>45748</v>
      </c>
      <c r="BI717" s="235">
        <v>45778</v>
      </c>
      <c r="BK717" s="235">
        <v>45809</v>
      </c>
      <c r="BM717" s="235">
        <v>45839</v>
      </c>
      <c r="BO717" s="235">
        <v>45870</v>
      </c>
      <c r="BQ717" s="235">
        <v>45901</v>
      </c>
      <c r="BS717" s="235">
        <v>45931</v>
      </c>
      <c r="BU717" s="235">
        <v>45962</v>
      </c>
      <c r="BW717" s="235">
        <v>45992</v>
      </c>
      <c r="BY717" s="235">
        <v>46023</v>
      </c>
      <c r="CA717" s="235">
        <v>46054</v>
      </c>
      <c r="CC717" s="235">
        <v>46082</v>
      </c>
      <c r="CE717" s="235">
        <v>46113</v>
      </c>
      <c r="CG717" s="235">
        <v>46143</v>
      </c>
      <c r="CI717" s="341">
        <v>46174</v>
      </c>
    </row>
    <row r="718" spans="1:87">
      <c r="C718" s="213" t="s">
        <v>7</v>
      </c>
      <c r="AP718" s="214"/>
      <c r="AV718" s="238">
        <v>-20.91</v>
      </c>
      <c r="AX718" s="238">
        <v>-216.03</v>
      </c>
      <c r="BA718" s="237">
        <v>-245.87</v>
      </c>
      <c r="BC718" s="237">
        <v>-293.8</v>
      </c>
      <c r="BE718" s="237">
        <v>-173.5</v>
      </c>
      <c r="BG718" s="237">
        <v>-321.02999999999997</v>
      </c>
      <c r="BI718" s="237">
        <v>-138.36000000000001</v>
      </c>
      <c r="BK718" s="237">
        <v>-154.82</v>
      </c>
      <c r="BM718" s="237">
        <v>-152.27000000000001</v>
      </c>
      <c r="BO718" s="237">
        <v>-149.59</v>
      </c>
      <c r="BQ718" s="237">
        <v>-127.09</v>
      </c>
      <c r="BS718" s="237">
        <v>-248.21</v>
      </c>
      <c r="BU718" s="237">
        <v>-211.6</v>
      </c>
      <c r="BW718" s="237">
        <v>-220.75</v>
      </c>
      <c r="BY718" s="237">
        <v>-281.52999999999997</v>
      </c>
      <c r="CA718" s="237">
        <v>-286.67</v>
      </c>
      <c r="CC718" s="237">
        <v>-209.69</v>
      </c>
      <c r="CE718" s="237">
        <v>-228.21</v>
      </c>
      <c r="CG718" s="237">
        <v>-192.11</v>
      </c>
    </row>
    <row r="719" spans="1:87">
      <c r="C719" s="213" t="s">
        <v>8</v>
      </c>
      <c r="AP719" s="214"/>
      <c r="AU719" s="222" t="e">
        <f>AT720/AT719</f>
        <v>#DIV/0!</v>
      </c>
      <c r="AW719" s="222" t="e">
        <f>AV720/AV719</f>
        <v>#DIV/0!</v>
      </c>
      <c r="AY719" s="224" t="e">
        <f>AX720/AX719</f>
        <v>#DIV/0!</v>
      </c>
      <c r="AZ719" s="225"/>
      <c r="BA719" s="214">
        <v>290.27999999999997</v>
      </c>
      <c r="BB719" s="222">
        <f>BA720/BA719</f>
        <v>0.1529902163428413</v>
      </c>
      <c r="BC719" s="214">
        <v>348.68</v>
      </c>
      <c r="BD719" s="222">
        <f>BC720/BC719</f>
        <v>0.15739359871515429</v>
      </c>
      <c r="BE719" s="214">
        <v>213.78</v>
      </c>
      <c r="BF719" s="222">
        <f>BE720/BE719</f>
        <v>0.18841799981289176</v>
      </c>
      <c r="BG719" s="214">
        <v>381.28</v>
      </c>
      <c r="BH719" s="222">
        <f>BG720/BG719</f>
        <v>0.15802035249685273</v>
      </c>
      <c r="BI719" s="214">
        <v>154.46</v>
      </c>
      <c r="BJ719" s="222">
        <f>BI720/BI719</f>
        <v>0.10423410591738957</v>
      </c>
      <c r="BK719" s="214">
        <v>183.94</v>
      </c>
      <c r="BL719" s="222">
        <f>BK720/BK719</f>
        <v>0.15831249320430577</v>
      </c>
      <c r="BM719" s="214">
        <v>173.54</v>
      </c>
      <c r="BN719" s="222">
        <f>BM720/BM719</f>
        <v>0.12256540278898227</v>
      </c>
      <c r="BO719" s="214">
        <v>152.07</v>
      </c>
      <c r="BP719" s="222">
        <f>BO720/BO719</f>
        <v>1.6308279082001644E-2</v>
      </c>
      <c r="BQ719" s="214">
        <v>145.29</v>
      </c>
      <c r="BR719" s="222">
        <f>BQ720/BQ719</f>
        <v>0.12526670796338352</v>
      </c>
      <c r="BS719" s="214">
        <v>309.38</v>
      </c>
      <c r="BT719" s="222">
        <f>BS720/BS719</f>
        <v>0.19771801667851829</v>
      </c>
      <c r="BU719" s="214">
        <v>252.27</v>
      </c>
      <c r="BV719" s="222">
        <f>BU720/BU719</f>
        <v>0.16121615729179059</v>
      </c>
      <c r="BW719" s="214">
        <v>260.75</v>
      </c>
      <c r="BX719" s="222">
        <f>BW720/BW719</f>
        <v>0.15340364333652926</v>
      </c>
      <c r="BY719" s="214">
        <v>329.95</v>
      </c>
      <c r="BZ719" s="222">
        <f>BY720/BY719</f>
        <v>0.14674950750113658</v>
      </c>
      <c r="CA719" s="214">
        <v>377.93</v>
      </c>
      <c r="CB719" s="222">
        <f>CA720/CA719</f>
        <v>0.24147328870425738</v>
      </c>
      <c r="CC719" s="214">
        <v>278.16000000000003</v>
      </c>
      <c r="CD719" s="222">
        <f>CC720/CC719</f>
        <v>0.24615329306873748</v>
      </c>
      <c r="CE719" s="214">
        <v>304.64</v>
      </c>
      <c r="CF719" s="222">
        <f>CE720/CE719</f>
        <v>0.25088629201680668</v>
      </c>
      <c r="CG719" s="214">
        <v>214.29</v>
      </c>
      <c r="CH719" s="222">
        <f>CG720/CG719</f>
        <v>0.10350459657473507</v>
      </c>
    </row>
    <row r="720" spans="1:87">
      <c r="C720" s="213" t="s">
        <v>9</v>
      </c>
      <c r="AP720" s="214"/>
      <c r="BA720" s="214">
        <f>BA718+BA719</f>
        <v>44.409999999999968</v>
      </c>
      <c r="BC720" s="214">
        <f>BC718+BC719</f>
        <v>54.879999999999995</v>
      </c>
      <c r="BE720" s="214">
        <f>BE718+BE719</f>
        <v>40.28</v>
      </c>
      <c r="BG720" s="214">
        <f>BG718+BG719</f>
        <v>60.25</v>
      </c>
      <c r="BI720" s="214">
        <f>BI718+BI719</f>
        <v>16.099999999999994</v>
      </c>
      <c r="BK720" s="214">
        <f>BK718+BK719</f>
        <v>29.120000000000005</v>
      </c>
      <c r="BM720" s="214">
        <f>BM718+BM719</f>
        <v>21.269999999999982</v>
      </c>
      <c r="BO720" s="214">
        <f>BO718+BO719</f>
        <v>2.4799999999999898</v>
      </c>
      <c r="BQ720" s="214">
        <f>BQ718+BQ719</f>
        <v>18.199999999999989</v>
      </c>
      <c r="BS720" s="214">
        <f>BS718+BS719</f>
        <v>61.169999999999987</v>
      </c>
      <c r="BU720" s="214">
        <f>BU718+BU719</f>
        <v>40.670000000000016</v>
      </c>
      <c r="BW720" s="214">
        <f>BW718+BW719</f>
        <v>40</v>
      </c>
      <c r="BY720" s="214">
        <f>BY718+BY719</f>
        <v>48.420000000000016</v>
      </c>
      <c r="CA720" s="214">
        <f>CA718+CA719</f>
        <v>91.259999999999991</v>
      </c>
      <c r="CC720" s="214">
        <f>CC718+CC719</f>
        <v>68.470000000000027</v>
      </c>
      <c r="CE720" s="214">
        <f>CE718+CE719</f>
        <v>76.429999999999978</v>
      </c>
      <c r="CG720" s="214">
        <f>CG718+CG719</f>
        <v>22.179999999999978</v>
      </c>
    </row>
    <row r="721" spans="1:87">
      <c r="A721" s="211">
        <v>213</v>
      </c>
      <c r="C721" s="213" t="s">
        <v>329</v>
      </c>
      <c r="AP721" s="214"/>
    </row>
    <row r="722" spans="1:87">
      <c r="C722" s="213" t="s">
        <v>347</v>
      </c>
      <c r="AP722" s="214"/>
      <c r="BA722" s="235">
        <v>45658</v>
      </c>
      <c r="BC722" s="235">
        <v>45689</v>
      </c>
      <c r="BE722" s="235">
        <v>45717</v>
      </c>
      <c r="BG722" s="235">
        <v>45748</v>
      </c>
      <c r="BI722" s="235">
        <v>45778</v>
      </c>
      <c r="BK722" s="235">
        <v>45809</v>
      </c>
      <c r="BM722" s="235">
        <v>45839</v>
      </c>
      <c r="BO722" s="235">
        <v>45870</v>
      </c>
      <c r="BQ722" s="235">
        <v>45901</v>
      </c>
      <c r="BS722" s="235">
        <v>45931</v>
      </c>
      <c r="BU722" s="235">
        <v>45962</v>
      </c>
      <c r="BW722" s="235">
        <v>45992</v>
      </c>
      <c r="BY722" s="235">
        <v>46023</v>
      </c>
      <c r="CA722" s="235">
        <v>46054</v>
      </c>
      <c r="CC722" s="235">
        <v>46082</v>
      </c>
      <c r="CE722" s="235">
        <v>46113</v>
      </c>
      <c r="CG722" s="235">
        <v>46143</v>
      </c>
      <c r="CI722" s="341">
        <v>46174</v>
      </c>
    </row>
    <row r="723" spans="1:87">
      <c r="C723" s="213" t="s">
        <v>7</v>
      </c>
      <c r="AP723" s="214"/>
      <c r="BC723" s="237">
        <f>-68.14-10.65</f>
        <v>-78.790000000000006</v>
      </c>
      <c r="BE723" s="237">
        <f>-85.28-20.51</f>
        <v>-105.79</v>
      </c>
      <c r="BG723" s="237">
        <f>-70.28-15.72</f>
        <v>-86</v>
      </c>
      <c r="BI723" s="237">
        <f>-68.12-12.55</f>
        <v>-80.67</v>
      </c>
      <c r="BK723" s="237">
        <f>-60.26-14.82</f>
        <v>-75.08</v>
      </c>
      <c r="BM723" s="237">
        <f>-52-25.2</f>
        <v>-77.2</v>
      </c>
      <c r="BO723" s="237">
        <f>-65.49-12.4</f>
        <v>-77.89</v>
      </c>
      <c r="BQ723" s="237">
        <f>-54.69-19.76</f>
        <v>-74.45</v>
      </c>
      <c r="BS723" s="237">
        <f>-66.59-10.76</f>
        <v>-77.350000000000009</v>
      </c>
      <c r="BU723" s="237">
        <f>-64.59-20.1</f>
        <v>-84.69</v>
      </c>
      <c r="BW723" s="237">
        <f>-73.83-33.57</f>
        <v>-107.4</v>
      </c>
      <c r="BY723" s="237">
        <f>-96.87-17.9</f>
        <v>-114.77000000000001</v>
      </c>
      <c r="CA723" s="237">
        <f>-78.67-17.52</f>
        <v>-96.19</v>
      </c>
      <c r="CC723" s="237">
        <f>-67.13-20.32</f>
        <v>-87.449999999999989</v>
      </c>
      <c r="CE723" s="237">
        <f>-58.4-16.31</f>
        <v>-74.709999999999994</v>
      </c>
      <c r="CG723" s="237">
        <v>-51.2</v>
      </c>
    </row>
    <row r="724" spans="1:87">
      <c r="C724" s="213" t="s">
        <v>8</v>
      </c>
      <c r="AP724" s="214"/>
      <c r="AU724" s="222" t="e">
        <f>AT725/AT724</f>
        <v>#DIV/0!</v>
      </c>
      <c r="AW724" s="222" t="e">
        <f>AV725/AV724</f>
        <v>#DIV/0!</v>
      </c>
      <c r="AY724" s="224" t="e">
        <f>AX725/AX724</f>
        <v>#DIV/0!</v>
      </c>
      <c r="AZ724" s="225"/>
      <c r="BB724" s="222" t="e">
        <f>BA725/BA724</f>
        <v>#DIV/0!</v>
      </c>
      <c r="BC724" s="214">
        <v>73.010000000000005</v>
      </c>
      <c r="BD724" s="222">
        <f>BC725/BC724</f>
        <v>-7.9167237364744569E-2</v>
      </c>
      <c r="BE724" s="214">
        <v>129.72</v>
      </c>
      <c r="BF724" s="222">
        <f>BE725/BE724</f>
        <v>0.18447425223558428</v>
      </c>
      <c r="BG724" s="214">
        <v>102.98</v>
      </c>
      <c r="BH724" s="222">
        <f>BG725/BG724</f>
        <v>0.16488638570596237</v>
      </c>
      <c r="BI724" s="214">
        <v>97.4</v>
      </c>
      <c r="BJ724" s="222">
        <f>BI725/BI724</f>
        <v>0.17176591375770023</v>
      </c>
      <c r="BK724" s="214">
        <v>97</v>
      </c>
      <c r="BL724" s="222">
        <f>BK725/BK724</f>
        <v>0.22597938144329899</v>
      </c>
      <c r="BM724" s="214">
        <v>96.1</v>
      </c>
      <c r="BN724" s="222">
        <f>BM725/BM724</f>
        <v>0.19667013527575433</v>
      </c>
      <c r="BO724" s="214">
        <v>96.19</v>
      </c>
      <c r="BP724" s="222">
        <f>BO725/BO724</f>
        <v>0.19024846657656719</v>
      </c>
      <c r="BQ724" s="214">
        <v>97.04</v>
      </c>
      <c r="BR724" s="222">
        <f>BQ725/BQ724</f>
        <v>0.23279060181368511</v>
      </c>
      <c r="BS724" s="214">
        <v>96.13</v>
      </c>
      <c r="BT724" s="222">
        <f>BS725/BS724</f>
        <v>0.19536044939144895</v>
      </c>
      <c r="BU724" s="214">
        <v>108.57</v>
      </c>
      <c r="BV724" s="222">
        <f>BU725/BU724</f>
        <v>0.21995026250345395</v>
      </c>
      <c r="BW724" s="214">
        <v>134.46</v>
      </c>
      <c r="BX724" s="222">
        <f>BW725/BW724</f>
        <v>0.20124944221329763</v>
      </c>
      <c r="BY724" s="214">
        <v>145.93</v>
      </c>
      <c r="BZ724" s="222">
        <f>BY725/BY724</f>
        <v>0.2135270335092167</v>
      </c>
      <c r="CA724" s="214">
        <v>125.54</v>
      </c>
      <c r="CB724" s="222">
        <f>CA725/CA724</f>
        <v>0.23379002708300148</v>
      </c>
      <c r="CC724" s="214">
        <v>131.01</v>
      </c>
      <c r="CD724" s="222">
        <f>CC725/CC724</f>
        <v>0.33249370277078089</v>
      </c>
      <c r="CE724" s="214">
        <v>105.89</v>
      </c>
      <c r="CF724" s="222">
        <f>CE725/CE724</f>
        <v>0.29445651147417135</v>
      </c>
      <c r="CG724" s="214">
        <v>100.17</v>
      </c>
      <c r="CH724" s="222">
        <f>CG725/CG724</f>
        <v>0.48886892283118694</v>
      </c>
    </row>
    <row r="725" spans="1:87">
      <c r="C725" s="213" t="s">
        <v>9</v>
      </c>
      <c r="AP725" s="214"/>
      <c r="BC725" s="214">
        <f>BC723+BC724</f>
        <v>-5.7800000000000011</v>
      </c>
      <c r="BE725" s="214">
        <f>BE723+BE724</f>
        <v>23.929999999999993</v>
      </c>
      <c r="BG725" s="214">
        <f>BG723+BG724</f>
        <v>16.980000000000004</v>
      </c>
      <c r="BI725" s="214">
        <f>BI723+BI724</f>
        <v>16.730000000000004</v>
      </c>
      <c r="BK725" s="214">
        <f>BK723+BK724</f>
        <v>21.92</v>
      </c>
      <c r="BM725" s="214">
        <f>BM723+BM724</f>
        <v>18.899999999999991</v>
      </c>
      <c r="BO725" s="214">
        <f>BO723+BO724</f>
        <v>18.299999999999997</v>
      </c>
      <c r="BQ725" s="214">
        <f>BQ723+BQ724</f>
        <v>22.590000000000003</v>
      </c>
      <c r="BS725" s="214">
        <f>BS723+BS724</f>
        <v>18.779999999999987</v>
      </c>
      <c r="BU725" s="214">
        <f>BU723+BU724</f>
        <v>23.879999999999995</v>
      </c>
      <c r="BW725" s="214">
        <f>BW723+BW724</f>
        <v>27.060000000000002</v>
      </c>
      <c r="BY725" s="214">
        <f>BY723+BY724</f>
        <v>31.159999999999997</v>
      </c>
      <c r="CA725" s="214">
        <f>CA723+CA724</f>
        <v>29.350000000000009</v>
      </c>
      <c r="CC725" s="214">
        <f>CC723+CC724</f>
        <v>43.56</v>
      </c>
      <c r="CE725" s="214">
        <f>CE723+CE724</f>
        <v>31.180000000000007</v>
      </c>
      <c r="CG725" s="214">
        <f>CG723+CG724</f>
        <v>48.97</v>
      </c>
    </row>
    <row r="726" spans="1:87" hidden="1">
      <c r="A726" s="211">
        <v>214</v>
      </c>
      <c r="B726" s="334" t="s">
        <v>30</v>
      </c>
      <c r="C726" s="213" t="s">
        <v>341</v>
      </c>
      <c r="AP726" s="214"/>
    </row>
    <row r="727" spans="1:87" hidden="1">
      <c r="C727" s="213" t="s">
        <v>346</v>
      </c>
      <c r="AP727" s="214"/>
      <c r="BA727" s="235">
        <v>45658</v>
      </c>
      <c r="BC727" s="235">
        <v>45689</v>
      </c>
      <c r="BE727" s="235">
        <v>45717</v>
      </c>
      <c r="BG727" s="235">
        <v>45748</v>
      </c>
      <c r="BI727" s="235">
        <v>45778</v>
      </c>
      <c r="BK727" s="235">
        <v>45809</v>
      </c>
      <c r="BM727" s="235">
        <v>45839</v>
      </c>
      <c r="BO727" s="235">
        <v>45870</v>
      </c>
      <c r="BQ727" s="235">
        <v>45901</v>
      </c>
      <c r="BS727" s="235">
        <v>45931</v>
      </c>
      <c r="BU727" s="235">
        <v>45962</v>
      </c>
      <c r="BW727" s="235">
        <v>45992</v>
      </c>
    </row>
    <row r="728" spans="1:87" hidden="1">
      <c r="C728" s="213" t="s">
        <v>7</v>
      </c>
      <c r="AP728" s="214"/>
      <c r="BA728" s="238">
        <v>-160.16</v>
      </c>
      <c r="BC728" s="237">
        <f>-234.07-60.27-81.05</f>
        <v>-375.39</v>
      </c>
      <c r="BE728" s="237">
        <f>-275.48-172.65</f>
        <v>-448.13</v>
      </c>
      <c r="BG728" s="237">
        <f>-110.99-41.9-73.42</f>
        <v>-226.31</v>
      </c>
      <c r="BI728" s="237">
        <f>-83.75-44.11</f>
        <v>-127.86</v>
      </c>
      <c r="BK728" s="237">
        <f>-68.13-67.08</f>
        <v>-135.20999999999998</v>
      </c>
      <c r="BM728" s="237">
        <f>-77.48-76.16</f>
        <v>-153.63999999999999</v>
      </c>
      <c r="BO728" s="237">
        <f>-95.27-59.18</f>
        <v>-154.44999999999999</v>
      </c>
      <c r="BQ728" s="237">
        <v>-64.5</v>
      </c>
      <c r="BS728" s="214"/>
      <c r="BU728" s="214"/>
      <c r="BW728" s="214"/>
    </row>
    <row r="729" spans="1:87" hidden="1">
      <c r="C729" s="213" t="s">
        <v>8</v>
      </c>
      <c r="AP729" s="214"/>
      <c r="BC729" s="214">
        <v>201.18</v>
      </c>
      <c r="BE729" s="214">
        <v>531.82000000000005</v>
      </c>
      <c r="BG729" s="214">
        <v>185.66</v>
      </c>
      <c r="BI729" s="214">
        <v>156.44</v>
      </c>
      <c r="BK729" s="214">
        <v>176.87</v>
      </c>
      <c r="BM729" s="214">
        <v>181.13</v>
      </c>
      <c r="BO729" s="214">
        <v>196.47</v>
      </c>
      <c r="BQ729" s="214">
        <v>71.84</v>
      </c>
      <c r="BS729" s="214"/>
      <c r="BU729" s="214"/>
      <c r="BW729" s="214"/>
    </row>
    <row r="730" spans="1:87" hidden="1">
      <c r="C730" s="213" t="s">
        <v>245</v>
      </c>
      <c r="AP730" s="214"/>
      <c r="BC730" s="214">
        <f>BC728+BC729</f>
        <v>-174.20999999999998</v>
      </c>
      <c r="BE730" s="214">
        <f>BE728+BE729</f>
        <v>83.690000000000055</v>
      </c>
      <c r="BG730" s="214">
        <f>BG728+BG729</f>
        <v>-40.650000000000006</v>
      </c>
      <c r="BI730" s="214">
        <f>BI728+BI729</f>
        <v>28.58</v>
      </c>
      <c r="BK730" s="214">
        <f>BK728+BK729</f>
        <v>41.660000000000025</v>
      </c>
      <c r="BM730" s="214">
        <f>BM728+BM729</f>
        <v>27.490000000000009</v>
      </c>
      <c r="BO730" s="214">
        <f>BO728+BO729</f>
        <v>42.02000000000001</v>
      </c>
      <c r="BQ730" s="214">
        <f>BQ728+BQ729</f>
        <v>7.3400000000000034</v>
      </c>
      <c r="BS730" s="214">
        <f>BS728+BS729</f>
        <v>0</v>
      </c>
      <c r="BU730" s="214"/>
      <c r="BW730" s="214"/>
    </row>
    <row r="731" spans="1:87" hidden="1">
      <c r="A731" s="211">
        <v>215</v>
      </c>
      <c r="B731" s="335" t="s">
        <v>30</v>
      </c>
      <c r="C731" s="213" t="s">
        <v>342</v>
      </c>
      <c r="AP731" s="214"/>
    </row>
    <row r="732" spans="1:87" hidden="1">
      <c r="C732" s="213" t="s">
        <v>345</v>
      </c>
      <c r="AP732" s="214"/>
      <c r="BC732" s="235">
        <v>45689</v>
      </c>
      <c r="BE732" s="235">
        <v>45717</v>
      </c>
      <c r="BG732" s="235">
        <v>45748</v>
      </c>
      <c r="BI732" s="235">
        <v>45778</v>
      </c>
      <c r="BK732" s="235">
        <v>45809</v>
      </c>
      <c r="BM732" s="235">
        <v>45839</v>
      </c>
      <c r="BO732" s="235">
        <v>45870</v>
      </c>
      <c r="BQ732" s="235">
        <v>45901</v>
      </c>
      <c r="BS732" s="235">
        <v>45931</v>
      </c>
      <c r="BU732" s="235">
        <v>45962</v>
      </c>
      <c r="BW732" s="235">
        <v>45992</v>
      </c>
    </row>
    <row r="733" spans="1:87" hidden="1">
      <c r="C733" s="213" t="s">
        <v>7</v>
      </c>
      <c r="AP733" s="214"/>
      <c r="BC733" s="237">
        <v>-34.85</v>
      </c>
      <c r="BE733" s="237">
        <f>-62.02-26.07</f>
        <v>-88.09</v>
      </c>
      <c r="BG733" s="237">
        <f>-47.52-22.3</f>
        <v>-69.820000000000007</v>
      </c>
      <c r="BI733" s="237">
        <f>-44.67-27.61</f>
        <v>-72.28</v>
      </c>
      <c r="BK733" s="237">
        <f>-42.67-38.22</f>
        <v>-80.89</v>
      </c>
      <c r="BM733" s="237">
        <f>-41.2-47.09</f>
        <v>-88.29</v>
      </c>
      <c r="BO733" s="237">
        <f>-102.33-34.21</f>
        <v>-136.54</v>
      </c>
      <c r="BQ733" s="237">
        <v>-37.43</v>
      </c>
      <c r="BS733" s="214"/>
      <c r="BU733" s="214"/>
    </row>
    <row r="734" spans="1:87" hidden="1">
      <c r="C734" s="213" t="s">
        <v>8</v>
      </c>
      <c r="AP734" s="214"/>
      <c r="BC734" s="214">
        <v>23.54</v>
      </c>
      <c r="BE734" s="214">
        <v>81.83</v>
      </c>
      <c r="BG734" s="214">
        <v>81.3</v>
      </c>
      <c r="BI734" s="214">
        <v>82.43</v>
      </c>
      <c r="BK734" s="214">
        <v>101.61</v>
      </c>
      <c r="BM734" s="214">
        <v>109.59</v>
      </c>
      <c r="BO734" s="214">
        <v>104.26</v>
      </c>
      <c r="BQ734" s="214">
        <v>62.45</v>
      </c>
      <c r="BS734" s="214">
        <v>61.19</v>
      </c>
      <c r="BU734" s="214"/>
    </row>
    <row r="735" spans="1:87" hidden="1">
      <c r="C735" s="213" t="s">
        <v>9</v>
      </c>
      <c r="AP735" s="214"/>
      <c r="BC735" s="214">
        <f>BC733+BC734</f>
        <v>-11.310000000000002</v>
      </c>
      <c r="BE735" s="214">
        <f>BE733+BE734</f>
        <v>-6.2600000000000051</v>
      </c>
      <c r="BG735" s="214">
        <f>BG733+BG734</f>
        <v>11.47999999999999</v>
      </c>
      <c r="BI735" s="214">
        <f>BI733+BI734</f>
        <v>10.150000000000006</v>
      </c>
      <c r="BK735" s="214">
        <f>BK733+BK734</f>
        <v>20.72</v>
      </c>
      <c r="BM735" s="214">
        <f>BM733+BM734</f>
        <v>21.299999999999997</v>
      </c>
      <c r="BO735" s="214">
        <f>BO733+BO734</f>
        <v>-32.279999999999987</v>
      </c>
      <c r="BQ735" s="214">
        <f>BQ733+BQ734</f>
        <v>25.020000000000003</v>
      </c>
      <c r="BS735" s="214">
        <f>BS733+BS734</f>
        <v>61.19</v>
      </c>
      <c r="BU735" s="214">
        <f>BU733+BU734</f>
        <v>0</v>
      </c>
    </row>
    <row r="736" spans="1:87">
      <c r="A736" s="211">
        <v>216</v>
      </c>
      <c r="C736" s="213" t="s">
        <v>343</v>
      </c>
      <c r="AP736" s="214"/>
    </row>
    <row r="737" spans="1:87">
      <c r="C737" s="213" t="s">
        <v>344</v>
      </c>
      <c r="AP737" s="214"/>
      <c r="BC737" s="235">
        <v>45689</v>
      </c>
      <c r="BE737" s="235">
        <v>45717</v>
      </c>
      <c r="BG737" s="235">
        <v>45748</v>
      </c>
      <c r="BI737" s="235">
        <v>45778</v>
      </c>
      <c r="BK737" s="235">
        <v>45809</v>
      </c>
      <c r="BM737" s="235">
        <v>45839</v>
      </c>
      <c r="BO737" s="235">
        <v>45870</v>
      </c>
      <c r="BQ737" s="235">
        <v>45901</v>
      </c>
      <c r="BS737" s="235">
        <v>45931</v>
      </c>
      <c r="BU737" s="235">
        <v>45962</v>
      </c>
      <c r="BW737" s="235">
        <v>45992</v>
      </c>
      <c r="BY737" s="235">
        <v>46023</v>
      </c>
      <c r="CA737" s="235">
        <v>46054</v>
      </c>
      <c r="CC737" s="235">
        <v>46082</v>
      </c>
      <c r="CE737" s="235">
        <v>46113</v>
      </c>
      <c r="CG737" s="235">
        <v>46143</v>
      </c>
      <c r="CI737" s="341">
        <v>46174</v>
      </c>
    </row>
    <row r="738" spans="1:87">
      <c r="C738" s="213" t="s">
        <v>7</v>
      </c>
      <c r="AP738" s="214"/>
      <c r="BC738" s="237">
        <f>-74.42-15.28</f>
        <v>-89.7</v>
      </c>
      <c r="BE738" s="237">
        <f>-23.4-95.6</f>
        <v>-119</v>
      </c>
      <c r="BG738" s="237">
        <f>-112.23-26.46</f>
        <v>-138.69</v>
      </c>
      <c r="BI738" s="237">
        <f>-114.76-22.35</f>
        <v>-137.11000000000001</v>
      </c>
      <c r="BK738" s="237">
        <f>-105.22-27.84</f>
        <v>-133.06</v>
      </c>
      <c r="BM738" s="237">
        <f>-111.37-44.52</f>
        <v>-155.89000000000001</v>
      </c>
      <c r="BO738" s="237">
        <f>-159.07-28.8</f>
        <v>-187.87</v>
      </c>
      <c r="BQ738" s="237">
        <f>-110.27-30.73</f>
        <v>-141</v>
      </c>
      <c r="BS738" s="237">
        <f>-118.68-14.12</f>
        <v>-132.80000000000001</v>
      </c>
      <c r="BU738" s="237">
        <f>-81.19-24.64</f>
        <v>-105.83</v>
      </c>
      <c r="BW738" s="237">
        <f>-73.98-36.8</f>
        <v>-110.78</v>
      </c>
      <c r="BY738" s="237">
        <f>-91.91-22.68</f>
        <v>-114.59</v>
      </c>
      <c r="CA738" s="237">
        <f>-83.16-18.36</f>
        <v>-101.52</v>
      </c>
      <c r="CC738" s="237">
        <f>-70.37-24.88</f>
        <v>-95.25</v>
      </c>
      <c r="CE738" s="237">
        <f>-74.68-20.46</f>
        <v>-95.140000000000015</v>
      </c>
      <c r="CG738" s="237">
        <v>-81.69</v>
      </c>
    </row>
    <row r="739" spans="1:87">
      <c r="C739" s="213" t="s">
        <v>8</v>
      </c>
      <c r="AP739" s="214"/>
      <c r="AU739" s="222" t="e">
        <f>AT740/AT739</f>
        <v>#DIV/0!</v>
      </c>
      <c r="AW739" s="222" t="e">
        <f>AV740/AV739</f>
        <v>#DIV/0!</v>
      </c>
      <c r="AY739" s="224" t="e">
        <f>AX740/AX739</f>
        <v>#DIV/0!</v>
      </c>
      <c r="AZ739" s="225"/>
      <c r="BB739" s="222" t="e">
        <f>BA740/BA739</f>
        <v>#DIV/0!</v>
      </c>
      <c r="BC739" s="214">
        <v>85.52</v>
      </c>
      <c r="BD739" s="222">
        <f>BC740/BC739</f>
        <v>-4.8877455565949565E-2</v>
      </c>
      <c r="BE739" s="214">
        <v>143.22</v>
      </c>
      <c r="BF739" s="222">
        <f>BE740/BE739</f>
        <v>0.16911045943304007</v>
      </c>
      <c r="BG739" s="214">
        <v>169.48</v>
      </c>
      <c r="BH739" s="222">
        <f>BG740/BG739</f>
        <v>0.18167335378805755</v>
      </c>
      <c r="BI739" s="214">
        <v>170.24</v>
      </c>
      <c r="BJ739" s="222">
        <f>BI740/BI739</f>
        <v>0.19460761278195485</v>
      </c>
      <c r="BK739" s="214">
        <v>177.76</v>
      </c>
      <c r="BL739" s="222">
        <f>BK740/BK739</f>
        <v>0.25146264626462639</v>
      </c>
      <c r="BM739" s="214">
        <v>246.16</v>
      </c>
      <c r="BN739" s="222">
        <f>BM740/BM739</f>
        <v>0.36671270718232035</v>
      </c>
      <c r="BO739" s="214">
        <v>263.39999999999998</v>
      </c>
      <c r="BP739" s="222">
        <f>BO740/BO739</f>
        <v>0.2867501898253606</v>
      </c>
      <c r="BQ739" s="214">
        <v>160.41</v>
      </c>
      <c r="BR739" s="222">
        <f>BQ740/BQ739</f>
        <v>0.12100243126987094</v>
      </c>
      <c r="BS739" s="214">
        <v>173.32</v>
      </c>
      <c r="BT739" s="222">
        <f>BS740/BS739</f>
        <v>0.23378721440110767</v>
      </c>
      <c r="BU739" s="214">
        <v>123.44</v>
      </c>
      <c r="BV739" s="222">
        <f>BU740/BU739</f>
        <v>0.14266040181464679</v>
      </c>
      <c r="BW739" s="214">
        <v>153.31</v>
      </c>
      <c r="BX739" s="222">
        <f>BW740/BW739</f>
        <v>0.27741178005348638</v>
      </c>
      <c r="BY739" s="214">
        <v>142.94</v>
      </c>
      <c r="BZ739" s="222">
        <f>BY740/BY739</f>
        <v>0.19833496571988243</v>
      </c>
      <c r="CA739" s="214">
        <v>138.63999999999999</v>
      </c>
      <c r="CB739" s="222">
        <f>CA740/CA739</f>
        <v>0.26774379688401612</v>
      </c>
      <c r="CC739" s="214">
        <v>135.88999999999999</v>
      </c>
      <c r="CD739" s="222">
        <f>CC740/CC739</f>
        <v>0.29906542056074759</v>
      </c>
      <c r="CE739" s="214">
        <v>138.9</v>
      </c>
      <c r="CF739" s="222">
        <f>CE740/CE739</f>
        <v>0.31504679625629944</v>
      </c>
      <c r="CG739" s="214">
        <v>161.03</v>
      </c>
      <c r="CH739" s="222">
        <f>CG740/CG739</f>
        <v>0.49270322300192515</v>
      </c>
    </row>
    <row r="740" spans="1:87">
      <c r="C740" s="213" t="s">
        <v>9</v>
      </c>
      <c r="AP740" s="214"/>
      <c r="BC740" s="214">
        <f>BC738+BC739</f>
        <v>-4.1800000000000068</v>
      </c>
      <c r="BE740" s="214">
        <f>BE738+BE739</f>
        <v>24.22</v>
      </c>
      <c r="BG740" s="214">
        <f>BG738+BG739</f>
        <v>30.789999999999992</v>
      </c>
      <c r="BI740" s="214">
        <f>BI738+BI739</f>
        <v>33.129999999999995</v>
      </c>
      <c r="BK740" s="214">
        <f>BK738+BK739</f>
        <v>44.699999999999989</v>
      </c>
      <c r="BM740" s="214">
        <f>BM738+BM739</f>
        <v>90.269999999999982</v>
      </c>
      <c r="BO740" s="214">
        <f>BO738+BO739</f>
        <v>75.529999999999973</v>
      </c>
      <c r="BQ740" s="214">
        <f>BQ738+BQ739</f>
        <v>19.409999999999997</v>
      </c>
      <c r="BS740" s="214">
        <f>BS738+BS739</f>
        <v>40.519999999999982</v>
      </c>
      <c r="BU740" s="214">
        <f>BU738+BU739</f>
        <v>17.61</v>
      </c>
      <c r="BW740" s="214">
        <f>BW738+BW739</f>
        <v>42.53</v>
      </c>
      <c r="BY740" s="214">
        <f>BY738+BY739</f>
        <v>28.349999999999994</v>
      </c>
      <c r="CA740" s="214">
        <f>CA738+CA739</f>
        <v>37.11999999999999</v>
      </c>
      <c r="CC740" s="214">
        <f>CC738+CC739</f>
        <v>40.639999999999986</v>
      </c>
      <c r="CE740" s="214">
        <f>CE738+CE739</f>
        <v>43.759999999999991</v>
      </c>
      <c r="CG740" s="214">
        <f>CG738+CG739</f>
        <v>79.34</v>
      </c>
    </row>
    <row r="741" spans="1:87">
      <c r="A741" s="211">
        <v>219</v>
      </c>
      <c r="C741" s="213" t="s">
        <v>348</v>
      </c>
      <c r="AP741" s="214"/>
      <c r="CE741" s="213" t="s">
        <v>2</v>
      </c>
    </row>
    <row r="742" spans="1:87">
      <c r="C742" s="213" t="s">
        <v>349</v>
      </c>
      <c r="AP742" s="214"/>
      <c r="BC742" s="235">
        <v>45689</v>
      </c>
      <c r="BE742" s="235">
        <v>45717</v>
      </c>
      <c r="BG742" s="235">
        <v>45748</v>
      </c>
      <c r="BI742" s="235">
        <v>45778</v>
      </c>
      <c r="BK742" s="235">
        <v>45809</v>
      </c>
      <c r="BM742" s="235">
        <v>45839</v>
      </c>
      <c r="BO742" s="235">
        <v>45870</v>
      </c>
      <c r="BQ742" s="235">
        <v>45901</v>
      </c>
      <c r="BS742" s="235">
        <v>45931</v>
      </c>
      <c r="BU742" s="235">
        <v>45962</v>
      </c>
      <c r="BW742" s="235">
        <v>45992</v>
      </c>
      <c r="BY742" s="235">
        <v>46023</v>
      </c>
      <c r="CA742" s="235">
        <v>46054</v>
      </c>
      <c r="CC742" s="235">
        <v>46082</v>
      </c>
      <c r="CE742" s="235">
        <v>46113</v>
      </c>
      <c r="CG742" s="235">
        <v>46143</v>
      </c>
      <c r="CI742" s="341">
        <v>46174</v>
      </c>
    </row>
    <row r="743" spans="1:87">
      <c r="C743" s="213" t="s">
        <v>7</v>
      </c>
      <c r="AP743" s="214"/>
      <c r="BC743" s="237">
        <f>-295.76-19.82</f>
        <v>-315.58</v>
      </c>
      <c r="BE743" s="237">
        <f>-535.18-76.12</f>
        <v>-611.29999999999995</v>
      </c>
      <c r="BG743" s="237">
        <v>-551.80999999999995</v>
      </c>
      <c r="BI743" s="237">
        <f>-506.66-50.88</f>
        <v>-557.54000000000008</v>
      </c>
      <c r="BK743" s="237">
        <f>-440.97-74.04</f>
        <v>-515.01</v>
      </c>
      <c r="BM743" s="237">
        <f>-536.63-39.04</f>
        <v>-575.66999999999996</v>
      </c>
      <c r="BO743" s="237">
        <f>-546.48-43.32</f>
        <v>-589.80000000000007</v>
      </c>
      <c r="BQ743" s="237">
        <f>-418.63-16.23</f>
        <v>-434.86</v>
      </c>
      <c r="BS743" s="237">
        <f>-470.63-33.76</f>
        <v>-504.39</v>
      </c>
      <c r="BU743" s="237">
        <f>-455.72-57.24</f>
        <v>-512.96</v>
      </c>
      <c r="BW743" s="237">
        <f>-553.25-39.66</f>
        <v>-592.91</v>
      </c>
      <c r="BY743" s="237">
        <f>-575.06-31.34</f>
        <v>-606.4</v>
      </c>
      <c r="CA743" s="237">
        <f>-407.54-31.26</f>
        <v>-438.8</v>
      </c>
      <c r="CC743" s="237">
        <f>-469-14.88</f>
        <v>-483.88</v>
      </c>
      <c r="CE743" s="237">
        <f>-431.39-14.56</f>
        <v>-445.95</v>
      </c>
      <c r="CG743" s="237">
        <v>-407.65</v>
      </c>
    </row>
    <row r="744" spans="1:87">
      <c r="C744" s="213" t="s">
        <v>8</v>
      </c>
      <c r="AP744" s="214"/>
      <c r="AU744" s="222" t="e">
        <f>AT745/AT744</f>
        <v>#DIV/0!</v>
      </c>
      <c r="AW744" s="222" t="e">
        <f>AV745/AV744</f>
        <v>#DIV/0!</v>
      </c>
      <c r="AY744" s="224" t="e">
        <f>AX745/AX744</f>
        <v>#DIV/0!</v>
      </c>
      <c r="AZ744" s="225"/>
      <c r="BB744" s="222" t="e">
        <f>BA745/BA744</f>
        <v>#DIV/0!</v>
      </c>
      <c r="BC744" s="214">
        <v>446.3</v>
      </c>
      <c r="BD744" s="222">
        <f>BC745/BC744</f>
        <v>0.2928971543804616</v>
      </c>
      <c r="BE744" s="214">
        <v>749.23</v>
      </c>
      <c r="BF744" s="222">
        <f>BE745/BE744</f>
        <v>0.18409567155613105</v>
      </c>
      <c r="BG744" s="214">
        <v>730.31</v>
      </c>
      <c r="BH744" s="222">
        <f>BG745/BG744</f>
        <v>0.24441675452889872</v>
      </c>
      <c r="BI744" s="214">
        <v>670.36</v>
      </c>
      <c r="BJ744" s="222">
        <f>BI745/BI744</f>
        <v>0.16829763112357529</v>
      </c>
      <c r="BK744" s="214">
        <v>637.98</v>
      </c>
      <c r="BL744" s="222">
        <f>BK745/BK744</f>
        <v>0.19274898899652029</v>
      </c>
      <c r="BM744" s="214">
        <v>722.58</v>
      </c>
      <c r="BN744" s="222">
        <f>BM745/BM744</f>
        <v>0.20331312795815007</v>
      </c>
      <c r="BO744" s="214">
        <v>736.64</v>
      </c>
      <c r="BP744" s="222">
        <f>BO745/BO744</f>
        <v>0.1993375325803648</v>
      </c>
      <c r="BQ744" s="214">
        <v>632.94000000000005</v>
      </c>
      <c r="BR744" s="222">
        <f>BQ745/BQ744</f>
        <v>0.312952254558094</v>
      </c>
      <c r="BS744" s="214">
        <v>621.54999999999995</v>
      </c>
      <c r="BT744" s="222">
        <f>BS745/BS744</f>
        <v>0.18849650068377441</v>
      </c>
      <c r="BU744" s="214">
        <v>631.5</v>
      </c>
      <c r="BV744" s="222">
        <f>BU745/BU744</f>
        <v>0.18771179730799678</v>
      </c>
      <c r="BW744" s="214">
        <v>826.95</v>
      </c>
      <c r="BX744" s="222">
        <f>BW745/BW744</f>
        <v>0.28301590180784819</v>
      </c>
      <c r="BY744" s="214">
        <v>804.25</v>
      </c>
      <c r="BZ744" s="222">
        <f>BY745/BY744</f>
        <v>0.24600559527510105</v>
      </c>
      <c r="CA744" s="214">
        <v>636.70000000000005</v>
      </c>
      <c r="CB744" s="222">
        <f>CA745/CA744</f>
        <v>0.3108214229621486</v>
      </c>
      <c r="CC744" s="214">
        <v>626.71</v>
      </c>
      <c r="CD744" s="222">
        <f>CC745/CC744</f>
        <v>0.22790445341545537</v>
      </c>
      <c r="CE744" s="214">
        <v>607.36</v>
      </c>
      <c r="CF744" s="222">
        <f>CE745/CE744</f>
        <v>0.26575671759747105</v>
      </c>
      <c r="CG744" s="214">
        <v>549.32000000000005</v>
      </c>
      <c r="CH744" s="222">
        <f>CG745/CG744</f>
        <v>0.25790067720090304</v>
      </c>
    </row>
    <row r="745" spans="1:87">
      <c r="C745" s="213" t="s">
        <v>9</v>
      </c>
      <c r="AP745" s="214"/>
      <c r="BC745" s="214">
        <f>BC743+BC744</f>
        <v>130.72000000000003</v>
      </c>
      <c r="BE745" s="214">
        <f>BE743+BE744</f>
        <v>137.93000000000006</v>
      </c>
      <c r="BG745" s="214">
        <f>BG743+BG744</f>
        <v>178.5</v>
      </c>
      <c r="BI745" s="214">
        <f>BI743+BI744</f>
        <v>112.81999999999994</v>
      </c>
      <c r="BK745" s="214">
        <f>BK743+BK744</f>
        <v>122.97000000000003</v>
      </c>
      <c r="BM745" s="214">
        <f>BM743+BM744</f>
        <v>146.91000000000008</v>
      </c>
      <c r="BO745" s="214">
        <f>BO743+BO744</f>
        <v>146.83999999999992</v>
      </c>
      <c r="BQ745" s="214">
        <f>BQ743+BQ744</f>
        <v>198.08000000000004</v>
      </c>
      <c r="BS745" s="214">
        <f>BS743+BS744</f>
        <v>117.15999999999997</v>
      </c>
      <c r="BU745" s="214">
        <f>BU743+BU744</f>
        <v>118.53999999999996</v>
      </c>
      <c r="BW745" s="214">
        <f>BW743+BW744</f>
        <v>234.04000000000008</v>
      </c>
      <c r="BY745" s="214">
        <f>BY743+BY744</f>
        <v>197.85000000000002</v>
      </c>
      <c r="CA745" s="214">
        <f>CA743+CA744</f>
        <v>197.90000000000003</v>
      </c>
      <c r="CC745" s="214">
        <f>CC743+CC744</f>
        <v>142.83000000000004</v>
      </c>
      <c r="CE745" s="214">
        <f>CE743+CE744</f>
        <v>161.41000000000003</v>
      </c>
      <c r="CG745" s="214">
        <f>CG743+CG744</f>
        <v>141.67000000000007</v>
      </c>
    </row>
    <row r="746" spans="1:87">
      <c r="A746" s="211">
        <v>220</v>
      </c>
      <c r="C746" s="213" t="s">
        <v>350</v>
      </c>
      <c r="AP746" s="214"/>
    </row>
    <row r="747" spans="1:87">
      <c r="C747" s="213" t="s">
        <v>351</v>
      </c>
      <c r="AP747" s="214"/>
      <c r="BC747" s="235">
        <v>45689</v>
      </c>
      <c r="BE747" s="235">
        <v>45717</v>
      </c>
      <c r="BG747" s="235">
        <v>45748</v>
      </c>
      <c r="BI747" s="235">
        <v>45778</v>
      </c>
      <c r="BK747" s="235">
        <v>45809</v>
      </c>
      <c r="BM747" s="235">
        <v>45839</v>
      </c>
      <c r="BO747" s="235">
        <v>45870</v>
      </c>
      <c r="BQ747" s="235">
        <v>45901</v>
      </c>
      <c r="BS747" s="235">
        <v>45931</v>
      </c>
      <c r="BU747" s="235">
        <v>45962</v>
      </c>
      <c r="BW747" s="235">
        <v>45992</v>
      </c>
      <c r="BY747" s="235">
        <v>46023</v>
      </c>
      <c r="CA747" s="235">
        <v>46054</v>
      </c>
      <c r="CC747" s="235">
        <v>46082</v>
      </c>
      <c r="CE747" s="235">
        <v>46113</v>
      </c>
      <c r="CG747" s="235">
        <v>46143</v>
      </c>
      <c r="CI747" s="341">
        <v>46174</v>
      </c>
    </row>
    <row r="748" spans="1:87">
      <c r="C748" s="213" t="s">
        <v>7</v>
      </c>
      <c r="AP748" s="214"/>
      <c r="BC748" s="237">
        <f>-218.3-28.96</f>
        <v>-247.26000000000002</v>
      </c>
      <c r="BE748" s="237">
        <f>-173.79-40.95</f>
        <v>-214.74</v>
      </c>
      <c r="BG748" s="237">
        <f>-140.51-22.32</f>
        <v>-162.82999999999998</v>
      </c>
      <c r="BI748" s="237">
        <f>-100.33-17.96</f>
        <v>-118.28999999999999</v>
      </c>
      <c r="BK748" s="237">
        <f>-107.76-37.68</f>
        <v>-145.44</v>
      </c>
      <c r="BM748" s="237">
        <f>-150.64-44.28</f>
        <v>-194.92</v>
      </c>
      <c r="BO748" s="237">
        <f>-191.88-33.96</f>
        <v>-225.84</v>
      </c>
      <c r="BQ748" s="237">
        <f>-124.45-27.76</f>
        <v>-152.21</v>
      </c>
      <c r="BS748" s="237">
        <f>-90.35-26.4</f>
        <v>-116.75</v>
      </c>
      <c r="BU748" s="237">
        <f>-121.53-53.2</f>
        <v>-174.73000000000002</v>
      </c>
      <c r="BW748" s="237">
        <f>-159.71-92.3</f>
        <v>-252.01</v>
      </c>
      <c r="BY748" s="237">
        <f>-230.67-47.82</f>
        <v>-278.49</v>
      </c>
      <c r="CA748" s="237">
        <f>-175.38-49.08</f>
        <v>-224.45999999999998</v>
      </c>
      <c r="CC748" s="237">
        <f>-188.08-38.64</f>
        <v>-226.72000000000003</v>
      </c>
      <c r="CE748" s="237">
        <f>-110.97-23.45</f>
        <v>-134.41999999999999</v>
      </c>
      <c r="CG748" s="237">
        <v>-80.25</v>
      </c>
    </row>
    <row r="749" spans="1:87">
      <c r="C749" s="213" t="s">
        <v>8</v>
      </c>
      <c r="AP749" s="214"/>
      <c r="AU749" s="222" t="e">
        <f>AT750/AT749</f>
        <v>#DIV/0!</v>
      </c>
      <c r="AW749" s="222" t="e">
        <f>AV750/AV749</f>
        <v>#DIV/0!</v>
      </c>
      <c r="AY749" s="224" t="e">
        <f>AX750/AX749</f>
        <v>#DIV/0!</v>
      </c>
      <c r="AZ749" s="225"/>
      <c r="BB749" s="222" t="e">
        <f>BA750/BA749</f>
        <v>#DIV/0!</v>
      </c>
      <c r="BC749" s="214">
        <v>285.17</v>
      </c>
      <c r="BD749" s="222">
        <f>BC750/BC749</f>
        <v>0.13293824736122312</v>
      </c>
      <c r="BE749" s="214">
        <v>233.75</v>
      </c>
      <c r="BF749" s="222">
        <f>BE750/BE749</f>
        <v>8.1326203208556117E-2</v>
      </c>
      <c r="BG749" s="214">
        <v>183.23</v>
      </c>
      <c r="BH749" s="222">
        <f>BG750/BG749</f>
        <v>0.11133547999781698</v>
      </c>
      <c r="BI749" s="214">
        <v>100.91</v>
      </c>
      <c r="BJ749" s="222">
        <f>BI750/BI749</f>
        <v>-0.1722326825884451</v>
      </c>
      <c r="BK749" s="214">
        <v>187.65</v>
      </c>
      <c r="BL749" s="222">
        <f>BK750/BK749</f>
        <v>0.22494004796163072</v>
      </c>
      <c r="BM749" s="214">
        <v>230.2</v>
      </c>
      <c r="BN749" s="222">
        <f>BM750/BM749</f>
        <v>0.15325803649000871</v>
      </c>
      <c r="BO749" s="214">
        <v>296.57</v>
      </c>
      <c r="BP749" s="222">
        <f>BO750/BO749</f>
        <v>0.23849344168324507</v>
      </c>
      <c r="BQ749" s="214">
        <v>165.41</v>
      </c>
      <c r="BR749" s="222">
        <f>BQ750/BQ749</f>
        <v>7.9801704854603639E-2</v>
      </c>
      <c r="BS749" s="214">
        <v>134.58000000000001</v>
      </c>
      <c r="BT749" s="222">
        <f>BS750/BS749</f>
        <v>0.13248625352949928</v>
      </c>
      <c r="BU749" s="214">
        <v>224.24</v>
      </c>
      <c r="BV749" s="222">
        <f>BU750/BU749</f>
        <v>0.22079022475918653</v>
      </c>
      <c r="BW749" s="214">
        <v>296.63</v>
      </c>
      <c r="BX749" s="222">
        <f>BW750/BW749</f>
        <v>0.15042308599939319</v>
      </c>
      <c r="BY749" s="214">
        <v>344.38</v>
      </c>
      <c r="BZ749" s="222">
        <f>BY750/BY749</f>
        <v>0.19132934549044656</v>
      </c>
      <c r="CA749" s="214">
        <v>276.95</v>
      </c>
      <c r="CB749" s="222">
        <f>CA750/CA749</f>
        <v>0.18952879581151835</v>
      </c>
      <c r="CC749" s="214">
        <v>331.7</v>
      </c>
      <c r="CD749" s="222">
        <f>CC750/CC749</f>
        <v>0.3164908049442266</v>
      </c>
      <c r="CE749" s="214">
        <v>167.81</v>
      </c>
      <c r="CF749" s="222">
        <f>CE750/CE749</f>
        <v>0.19897503128538235</v>
      </c>
      <c r="CG749" s="214">
        <v>134.51</v>
      </c>
      <c r="CH749" s="222">
        <f>CG750/CG749</f>
        <v>0.40339008252174557</v>
      </c>
    </row>
    <row r="750" spans="1:87">
      <c r="C750" s="213" t="s">
        <v>9</v>
      </c>
      <c r="AP750" s="214"/>
      <c r="BC750" s="214">
        <f>BC748+BC749</f>
        <v>37.909999999999997</v>
      </c>
      <c r="BE750" s="214">
        <f>BE748+BE749</f>
        <v>19.009999999999991</v>
      </c>
      <c r="BG750" s="214">
        <f>BG748+BG749</f>
        <v>20.400000000000006</v>
      </c>
      <c r="BI750" s="214">
        <f>BI748+BI749</f>
        <v>-17.379999999999995</v>
      </c>
      <c r="BK750" s="214">
        <f>BK748+BK749</f>
        <v>42.210000000000008</v>
      </c>
      <c r="BM750" s="214">
        <f>BM748+BM749</f>
        <v>35.28</v>
      </c>
      <c r="BO750" s="214">
        <f>BO748+BO749</f>
        <v>70.72999999999999</v>
      </c>
      <c r="BQ750" s="214">
        <f>BQ748+BQ749</f>
        <v>13.199999999999989</v>
      </c>
      <c r="BS750" s="214">
        <f>BS748+BS749</f>
        <v>17.830000000000013</v>
      </c>
      <c r="BU750" s="214">
        <f>BU748+BU749</f>
        <v>49.509999999999991</v>
      </c>
      <c r="BW750" s="214">
        <f>BW748+BW749</f>
        <v>44.620000000000005</v>
      </c>
      <c r="BY750" s="214">
        <f>BY748+BY749</f>
        <v>65.889999999999986</v>
      </c>
      <c r="CA750" s="214">
        <f>CA748+CA749</f>
        <v>52.490000000000009</v>
      </c>
      <c r="CC750" s="214">
        <f>CC748+CC749</f>
        <v>104.97999999999996</v>
      </c>
      <c r="CE750" s="214">
        <f>CE748+CE749</f>
        <v>33.390000000000015</v>
      </c>
      <c r="CG750" s="214">
        <f>CG748+CG749</f>
        <v>54.259999999999991</v>
      </c>
    </row>
    <row r="751" spans="1:87">
      <c r="A751" s="211">
        <v>221</v>
      </c>
      <c r="C751" s="213" t="s">
        <v>354</v>
      </c>
      <c r="AP751" s="214"/>
    </row>
    <row r="752" spans="1:87">
      <c r="C752" s="213" t="s">
        <v>355</v>
      </c>
      <c r="AP752" s="214"/>
      <c r="BC752" s="235">
        <v>45689</v>
      </c>
      <c r="BE752" s="235">
        <v>45717</v>
      </c>
      <c r="BG752" s="235">
        <v>45748</v>
      </c>
      <c r="BI752" s="235">
        <v>45778</v>
      </c>
      <c r="BK752" s="235">
        <v>45809</v>
      </c>
      <c r="BM752" s="235">
        <v>45839</v>
      </c>
      <c r="BO752" s="235">
        <v>45870</v>
      </c>
      <c r="BQ752" s="235">
        <v>45901</v>
      </c>
      <c r="BS752" s="235">
        <v>45931</v>
      </c>
      <c r="BU752" s="235">
        <v>45962</v>
      </c>
      <c r="BW752" s="235">
        <v>45992</v>
      </c>
      <c r="BY752" s="235">
        <v>46023</v>
      </c>
      <c r="CA752" s="235">
        <v>46054</v>
      </c>
      <c r="CC752" s="235">
        <v>46082</v>
      </c>
      <c r="CE752" s="235">
        <v>46113</v>
      </c>
      <c r="CG752" s="235">
        <v>46143</v>
      </c>
      <c r="CI752" s="341">
        <v>46174</v>
      </c>
    </row>
    <row r="753" spans="1:87">
      <c r="C753" s="213" t="s">
        <v>7</v>
      </c>
      <c r="AP753" s="214"/>
      <c r="BC753" s="237">
        <f>-127.61-19.84</f>
        <v>-147.44999999999999</v>
      </c>
      <c r="BE753" s="237">
        <f>-119.01-27.93</f>
        <v>-146.94</v>
      </c>
      <c r="BG753" s="237">
        <f>-95.8-20.88</f>
        <v>-116.67999999999999</v>
      </c>
      <c r="BI753" s="237">
        <f>-90.38-21.3</f>
        <v>-111.67999999999999</v>
      </c>
      <c r="BK753" s="237">
        <f>-102.3-38.64</f>
        <v>-140.94</v>
      </c>
      <c r="BM753" s="237">
        <f>-154.43-42.98</f>
        <v>-197.41</v>
      </c>
      <c r="BO753" s="237">
        <f>-159.61-27.65</f>
        <v>-187.26000000000002</v>
      </c>
      <c r="BQ753" s="237">
        <f>-121.77-29.6</f>
        <v>-151.37</v>
      </c>
      <c r="BS753" s="237">
        <f>-96.14-18.25</f>
        <v>-114.39</v>
      </c>
      <c r="BU753" s="237">
        <f>-87.47-24.78</f>
        <v>-112.25</v>
      </c>
      <c r="BW753" s="237">
        <f>-86.78-43.6</f>
        <v>-130.38</v>
      </c>
      <c r="BY753" s="237">
        <f>-109.09-29.64</f>
        <v>-138.73000000000002</v>
      </c>
      <c r="CA753" s="237">
        <f>-108.58-22.92</f>
        <v>-131.5</v>
      </c>
      <c r="CC753" s="237">
        <f>-87.95-27.28</f>
        <v>-115.23</v>
      </c>
      <c r="CE753" s="237">
        <f>-78.52-23.31</f>
        <v>-101.83</v>
      </c>
      <c r="CG753" s="237">
        <v>-79.930000000000007</v>
      </c>
    </row>
    <row r="754" spans="1:87">
      <c r="C754" s="213" t="s">
        <v>8</v>
      </c>
      <c r="AP754" s="214"/>
      <c r="AU754" s="222" t="e">
        <f>AT755/AT754</f>
        <v>#DIV/0!</v>
      </c>
      <c r="AW754" s="222" t="e">
        <f>AV755/AV754</f>
        <v>#DIV/0!</v>
      </c>
      <c r="AY754" s="224" t="e">
        <f>AX755/AX754</f>
        <v>#DIV/0!</v>
      </c>
      <c r="AZ754" s="225"/>
      <c r="BB754" s="222" t="e">
        <f>BA755/BA754</f>
        <v>#DIV/0!</v>
      </c>
      <c r="BC754" s="214">
        <v>158.30000000000001</v>
      </c>
      <c r="BD754" s="222">
        <f>BC755/BC754</f>
        <v>6.8540745420088575E-2</v>
      </c>
      <c r="BE754" s="214">
        <v>153.97999999999999</v>
      </c>
      <c r="BF754" s="222">
        <f>BE755/BE754</f>
        <v>4.5720223405637049E-2</v>
      </c>
      <c r="BG754" s="214">
        <v>119.43</v>
      </c>
      <c r="BH754" s="222">
        <f>BG755/BG754</f>
        <v>2.3026040358369037E-2</v>
      </c>
      <c r="BI754" s="214">
        <v>112.63</v>
      </c>
      <c r="BJ754" s="222">
        <f>BI755/BI754</f>
        <v>8.4346976826778202E-3</v>
      </c>
      <c r="BK754" s="214">
        <v>155.61000000000001</v>
      </c>
      <c r="BL754" s="222">
        <f>BK755/BK754</f>
        <v>9.4274146905725942E-2</v>
      </c>
      <c r="BM754" s="214">
        <v>222.49</v>
      </c>
      <c r="BN754" s="222">
        <f>BM755/BM754</f>
        <v>0.11272416737830919</v>
      </c>
      <c r="BO754" s="214">
        <v>215.59</v>
      </c>
      <c r="BP754" s="222">
        <f>BO755/BO754</f>
        <v>0.13140683705181122</v>
      </c>
      <c r="BQ754" s="214">
        <v>167.3</v>
      </c>
      <c r="BR754" s="222">
        <f>BQ755/BQ754</f>
        <v>9.5218170950388564E-2</v>
      </c>
      <c r="BS754" s="214">
        <v>120.42</v>
      </c>
      <c r="BT754" s="222">
        <f>BS755/BS754</f>
        <v>5.0074738415545599E-2</v>
      </c>
      <c r="BU754" s="214">
        <v>116.87</v>
      </c>
      <c r="BV754" s="222">
        <f>BU755/BU754</f>
        <v>3.9531102934884953E-2</v>
      </c>
      <c r="BW754" s="214">
        <v>170.03</v>
      </c>
      <c r="BX754" s="222">
        <f>BW755/BW754</f>
        <v>0.23319414221019824</v>
      </c>
      <c r="BY754" s="214">
        <v>166.81</v>
      </c>
      <c r="BZ754" s="222">
        <f>BY755/BY754</f>
        <v>0.16833523170073728</v>
      </c>
      <c r="CA754" s="214">
        <v>173.31</v>
      </c>
      <c r="CB754" s="222">
        <f>CA755/CA754</f>
        <v>0.2412440136172177</v>
      </c>
      <c r="CC754" s="214">
        <v>130.54</v>
      </c>
      <c r="CD754" s="222">
        <f>CC755/CC754</f>
        <v>0.11728205913896116</v>
      </c>
      <c r="CE754" s="214">
        <v>109.92</v>
      </c>
      <c r="CF754" s="222">
        <f>CE755/CE754</f>
        <v>7.3598981077147047E-2</v>
      </c>
      <c r="CG754" s="214">
        <v>115.93</v>
      </c>
      <c r="CH754" s="222">
        <f>CG755/CG754</f>
        <v>0.31053221771758815</v>
      </c>
    </row>
    <row r="755" spans="1:87">
      <c r="C755" s="213" t="s">
        <v>9</v>
      </c>
      <c r="AP755" s="214"/>
      <c r="BC755" s="214">
        <f>BC753+BC754</f>
        <v>10.850000000000023</v>
      </c>
      <c r="BE755" s="214">
        <f>BE753+BE754</f>
        <v>7.039999999999992</v>
      </c>
      <c r="BG755" s="214">
        <f>BG753+BG754</f>
        <v>2.7500000000000142</v>
      </c>
      <c r="BI755" s="214">
        <f>BI753+BI754</f>
        <v>0.95000000000000284</v>
      </c>
      <c r="BK755" s="214">
        <f>BK753+BK754</f>
        <v>14.670000000000016</v>
      </c>
      <c r="BM755" s="214">
        <f>BM753+BM754</f>
        <v>25.080000000000013</v>
      </c>
      <c r="BO755" s="214">
        <f>BO753+BO754</f>
        <v>28.329999999999984</v>
      </c>
      <c r="BQ755" s="214">
        <f>BQ753+BQ754</f>
        <v>15.930000000000007</v>
      </c>
      <c r="BS755" s="214">
        <f>BS753+BS754</f>
        <v>6.0300000000000011</v>
      </c>
      <c r="BU755" s="214">
        <f>BU753+BU754</f>
        <v>4.6200000000000045</v>
      </c>
      <c r="BW755" s="214">
        <f>BW753+BW754</f>
        <v>39.650000000000006</v>
      </c>
      <c r="BY755" s="214">
        <f>BY753+BY754</f>
        <v>28.079999999999984</v>
      </c>
      <c r="CA755" s="214">
        <f>CA753+CA754</f>
        <v>41.81</v>
      </c>
      <c r="CC755" s="214">
        <f>CC753+CC754</f>
        <v>15.309999999999988</v>
      </c>
      <c r="CE755" s="214">
        <f>CE753+CE754</f>
        <v>8.0900000000000034</v>
      </c>
      <c r="CG755" s="214">
        <f>CG753+CG754</f>
        <v>36</v>
      </c>
    </row>
    <row r="756" spans="1:87">
      <c r="A756" s="211">
        <v>222</v>
      </c>
      <c r="C756" s="213" t="s">
        <v>356</v>
      </c>
      <c r="AP756" s="214"/>
    </row>
    <row r="757" spans="1:87">
      <c r="C757" s="213" t="s">
        <v>357</v>
      </c>
      <c r="AP757" s="214"/>
      <c r="BC757" s="235">
        <v>45689</v>
      </c>
      <c r="BE757" s="235">
        <v>45717</v>
      </c>
      <c r="BG757" s="235">
        <v>45748</v>
      </c>
      <c r="BI757" s="235">
        <v>45778</v>
      </c>
      <c r="BK757" s="235">
        <v>45809</v>
      </c>
      <c r="BM757" s="235">
        <v>45839</v>
      </c>
      <c r="BO757" s="235">
        <v>45870</v>
      </c>
      <c r="BQ757" s="235">
        <v>45901</v>
      </c>
      <c r="BS757" s="235">
        <v>45931</v>
      </c>
      <c r="BU757" s="235">
        <v>45962</v>
      </c>
      <c r="BW757" s="235">
        <v>45992</v>
      </c>
      <c r="BY757" s="235">
        <v>46023</v>
      </c>
      <c r="CA757" s="235">
        <v>46054</v>
      </c>
      <c r="CC757" s="235">
        <v>46082</v>
      </c>
      <c r="CE757" s="235">
        <v>46113</v>
      </c>
      <c r="CG757" s="235">
        <v>46143</v>
      </c>
      <c r="CI757" s="341">
        <v>46174</v>
      </c>
    </row>
    <row r="758" spans="1:87">
      <c r="C758" s="213" t="s">
        <v>7</v>
      </c>
      <c r="AP758" s="214"/>
      <c r="BC758" s="237">
        <v>-958.42</v>
      </c>
      <c r="BE758" s="237">
        <f>-432.22-471.1</f>
        <v>-903.32</v>
      </c>
      <c r="BG758" s="237">
        <v>-712.64</v>
      </c>
      <c r="BI758" s="237">
        <v>-712.77</v>
      </c>
      <c r="BK758" s="237">
        <f>-689.48-26.07</f>
        <v>-715.55000000000007</v>
      </c>
      <c r="BM758" s="237">
        <f>-782.19-24.59</f>
        <v>-806.78000000000009</v>
      </c>
      <c r="BO758" s="237">
        <f>-737.58-25.72</f>
        <v>-763.30000000000007</v>
      </c>
      <c r="BQ758" s="237">
        <f>-745.74-25.41</f>
        <v>-771.15</v>
      </c>
      <c r="BS758" s="237">
        <f>-762.36-25.46</f>
        <v>-787.82</v>
      </c>
      <c r="BU758" s="237">
        <f>-738.23-27.19</f>
        <v>-765.42000000000007</v>
      </c>
      <c r="BW758" s="237">
        <f>-815.62-25.24</f>
        <v>-840.86</v>
      </c>
      <c r="BY758" s="237">
        <f>-757.1-30.2</f>
        <v>-787.30000000000007</v>
      </c>
      <c r="CA758" s="237">
        <f>-815.35-27.54</f>
        <v>-842.89</v>
      </c>
      <c r="CC758" s="237">
        <f>-826.12-26.98</f>
        <v>-853.1</v>
      </c>
      <c r="CE758" s="237">
        <f>-782.38-29.53</f>
        <v>-811.91</v>
      </c>
      <c r="CG758" s="237">
        <v>-885.81</v>
      </c>
    </row>
    <row r="759" spans="1:87">
      <c r="C759" s="213" t="s">
        <v>8</v>
      </c>
      <c r="AP759" s="214"/>
      <c r="AU759" s="222" t="e">
        <f>AT760/AT759</f>
        <v>#DIV/0!</v>
      </c>
      <c r="AW759" s="222" t="e">
        <f>AV760/AV759</f>
        <v>#DIV/0!</v>
      </c>
      <c r="AY759" s="224" t="e">
        <f>AX760/AX759</f>
        <v>#DIV/0!</v>
      </c>
      <c r="AZ759" s="225"/>
      <c r="BB759" s="222" t="e">
        <f>BA760/BA759</f>
        <v>#DIV/0!</v>
      </c>
      <c r="BC759" s="214">
        <v>913.59</v>
      </c>
      <c r="BD759" s="222">
        <f>BC760/BC759</f>
        <v>-4.9070151818649425E-2</v>
      </c>
      <c r="BE759" s="214">
        <v>934.6</v>
      </c>
      <c r="BF759" s="222">
        <f>BE760/BE759</f>
        <v>3.3468863684998899E-2</v>
      </c>
      <c r="BG759" s="214">
        <v>820.23</v>
      </c>
      <c r="BH759" s="222">
        <f>BG760/BG759</f>
        <v>0.13117052534045331</v>
      </c>
      <c r="BI759" s="214">
        <v>902.11</v>
      </c>
      <c r="BJ759" s="222">
        <f>BI760/BI759</f>
        <v>0.20988571238540757</v>
      </c>
      <c r="BK759" s="214">
        <v>800.93</v>
      </c>
      <c r="BL759" s="222">
        <f>BK760/BK759</f>
        <v>0.10660107624886056</v>
      </c>
      <c r="BM759" s="214">
        <v>979.94</v>
      </c>
      <c r="BN759" s="222">
        <f>BM760/BM759</f>
        <v>0.1767046962058901</v>
      </c>
      <c r="BO759" s="214">
        <v>942.5</v>
      </c>
      <c r="BP759" s="222">
        <f>BO760/BO759</f>
        <v>0.19013262599469488</v>
      </c>
      <c r="BQ759" s="214">
        <v>836.15</v>
      </c>
      <c r="BR759" s="222">
        <f>BQ760/BQ759</f>
        <v>7.7737248101417217E-2</v>
      </c>
      <c r="BS759" s="214">
        <v>893.99</v>
      </c>
      <c r="BT759" s="222">
        <f>BS760/BS759</f>
        <v>0.11875971767021998</v>
      </c>
      <c r="BU759" s="214">
        <v>853.1</v>
      </c>
      <c r="BV759" s="222">
        <f>BU760/BU759</f>
        <v>0.102778103387645</v>
      </c>
      <c r="BW759" s="214">
        <v>916.2</v>
      </c>
      <c r="BX759" s="222">
        <f>BW760/BW759</f>
        <v>8.2230953940187757E-2</v>
      </c>
      <c r="BY759" s="214">
        <v>839.02</v>
      </c>
      <c r="BZ759" s="222">
        <f>BY760/BY759</f>
        <v>6.1643345808204707E-2</v>
      </c>
      <c r="CA759" s="214">
        <v>989.25</v>
      </c>
      <c r="CB759" s="222">
        <f>CA760/CA759</f>
        <v>0.14795046752590349</v>
      </c>
      <c r="CC759" s="214">
        <v>1077.25</v>
      </c>
      <c r="CD759" s="222">
        <f>CC760/CC759</f>
        <v>0.20807611974936177</v>
      </c>
      <c r="CE759" s="214">
        <v>1061.1600000000001</v>
      </c>
      <c r="CF759" s="222">
        <f>CE760/CE759</f>
        <v>0.23488446605601426</v>
      </c>
      <c r="CG759" s="214">
        <v>1072.8699999999999</v>
      </c>
      <c r="CH759" s="222">
        <f>CG760/CG759</f>
        <v>0.17435476805204728</v>
      </c>
    </row>
    <row r="760" spans="1:87">
      <c r="C760" s="213" t="s">
        <v>9</v>
      </c>
      <c r="AP760" s="214"/>
      <c r="BC760" s="214">
        <f>BC758+BC759</f>
        <v>-44.829999999999927</v>
      </c>
      <c r="BE760" s="214">
        <f>BE758+BE759</f>
        <v>31.279999999999973</v>
      </c>
      <c r="BG760" s="214">
        <f>BG758+BG759</f>
        <v>107.59000000000003</v>
      </c>
      <c r="BI760" s="214">
        <f>BI758+BI759</f>
        <v>189.34000000000003</v>
      </c>
      <c r="BK760" s="214">
        <f>BK758+BK759</f>
        <v>85.379999999999882</v>
      </c>
      <c r="BM760" s="214">
        <f>BM758+BM759</f>
        <v>173.15999999999997</v>
      </c>
      <c r="BO760" s="214">
        <f>BO758+BO759</f>
        <v>179.19999999999993</v>
      </c>
      <c r="BQ760" s="214">
        <f>BQ758+BQ759</f>
        <v>65</v>
      </c>
      <c r="BS760" s="214">
        <f>BS758+BS759</f>
        <v>106.16999999999996</v>
      </c>
      <c r="BU760" s="214">
        <f>BU758+BU759</f>
        <v>87.67999999999995</v>
      </c>
      <c r="BW760" s="214">
        <f>BW758+BW759</f>
        <v>75.340000000000032</v>
      </c>
      <c r="BY760" s="214">
        <f>BY758+BY759</f>
        <v>51.719999999999914</v>
      </c>
      <c r="CA760" s="214">
        <f>CA758+CA759</f>
        <v>146.36000000000001</v>
      </c>
      <c r="CC760" s="214">
        <f>CC758+CC759</f>
        <v>224.14999999999998</v>
      </c>
      <c r="CE760" s="214">
        <f>CE758+CE759</f>
        <v>249.25000000000011</v>
      </c>
      <c r="CG760" s="214">
        <f>CG758+CG759</f>
        <v>187.05999999999995</v>
      </c>
    </row>
    <row r="761" spans="1:87">
      <c r="A761" s="211">
        <v>223</v>
      </c>
      <c r="C761" s="336" t="s">
        <v>364</v>
      </c>
      <c r="AP761" s="214"/>
    </row>
    <row r="762" spans="1:87">
      <c r="C762" s="318" t="s">
        <v>365</v>
      </c>
      <c r="AP762" s="214"/>
      <c r="BC762" s="235">
        <v>45689</v>
      </c>
      <c r="BE762" s="235">
        <v>45717</v>
      </c>
      <c r="BG762" s="235">
        <v>45748</v>
      </c>
      <c r="BI762" s="235">
        <v>45778</v>
      </c>
      <c r="BK762" s="235">
        <v>45809</v>
      </c>
      <c r="BM762" s="235">
        <v>45839</v>
      </c>
      <c r="BO762" s="235">
        <v>45870</v>
      </c>
      <c r="BQ762" s="235">
        <v>45901</v>
      </c>
      <c r="BS762" s="235">
        <v>45931</v>
      </c>
      <c r="BU762" s="235">
        <v>45962</v>
      </c>
      <c r="BW762" s="235">
        <v>45992</v>
      </c>
      <c r="BY762" s="235">
        <v>46023</v>
      </c>
      <c r="CA762" s="235">
        <v>46054</v>
      </c>
      <c r="CC762" s="235">
        <v>46082</v>
      </c>
      <c r="CE762" s="235">
        <v>46113</v>
      </c>
      <c r="CG762" s="235">
        <v>46143</v>
      </c>
      <c r="CI762" s="341">
        <v>46174</v>
      </c>
    </row>
    <row r="763" spans="1:87">
      <c r="C763" s="318" t="s">
        <v>7</v>
      </c>
      <c r="AP763" s="214"/>
      <c r="BE763" s="237">
        <f>-20.3-43.92</f>
        <v>-64.22</v>
      </c>
      <c r="BG763" s="237">
        <f>-126.29-36.96</f>
        <v>-163.25</v>
      </c>
      <c r="BI763" s="237">
        <v>-137.41</v>
      </c>
      <c r="BK763" s="237">
        <f>-170.34-38.01</f>
        <v>-208.35</v>
      </c>
      <c r="BM763" s="237">
        <f>-124.9-45.28</f>
        <v>-170.18</v>
      </c>
      <c r="BO763" s="237">
        <f>-135.68-37.8</f>
        <v>-173.48000000000002</v>
      </c>
      <c r="BQ763" s="237">
        <f>-113.52-46.08</f>
        <v>-159.6</v>
      </c>
      <c r="BS763" s="237">
        <f>-133.04-26.65</f>
        <v>-159.69</v>
      </c>
      <c r="BU763" s="237">
        <f>-117.24-45.52</f>
        <v>-162.76</v>
      </c>
      <c r="BW763" s="237">
        <f>-119.51-51.7</f>
        <v>-171.21</v>
      </c>
      <c r="BY763" s="237">
        <f>-119.05-49.92</f>
        <v>-168.97</v>
      </c>
      <c r="CA763" s="237">
        <f>-147.35-43.75</f>
        <v>-191.1</v>
      </c>
      <c r="CC763" s="237">
        <f>-137.51-59.31</f>
        <v>-196.82</v>
      </c>
      <c r="CE763" s="237">
        <f>-144.96-40.32</f>
        <v>-185.28</v>
      </c>
      <c r="CG763" s="237">
        <f>-116.05-45.12</f>
        <v>-161.16999999999999</v>
      </c>
      <c r="CI763" s="238">
        <v>-16.88</v>
      </c>
    </row>
    <row r="764" spans="1:87">
      <c r="C764" s="318" t="s">
        <v>8</v>
      </c>
      <c r="AP764" s="214"/>
      <c r="AU764" s="222" t="e">
        <f>AT765/AT764</f>
        <v>#DIV/0!</v>
      </c>
      <c r="AW764" s="222" t="e">
        <f>AV765/AV764</f>
        <v>#DIV/0!</v>
      </c>
      <c r="AY764" s="224" t="e">
        <f>AX765/AX764</f>
        <v>#DIV/0!</v>
      </c>
      <c r="AZ764" s="225"/>
      <c r="BB764" s="222" t="e">
        <f>BA765/BA764</f>
        <v>#DIV/0!</v>
      </c>
      <c r="BD764" s="222" t="e">
        <f>BC765/BC764</f>
        <v>#DIV/0!</v>
      </c>
      <c r="BE764" s="214">
        <v>134.44</v>
      </c>
      <c r="BF764" s="222">
        <f>BE765/BE764</f>
        <v>0.52231478726569469</v>
      </c>
      <c r="BG764" s="214">
        <v>172.82</v>
      </c>
      <c r="BH764" s="222">
        <f>BG765/BG764</f>
        <v>5.5375535238976932E-2</v>
      </c>
      <c r="BI764" s="214">
        <v>174.84</v>
      </c>
      <c r="BJ764" s="222">
        <f>BI765/BI764</f>
        <v>0.21408144589338829</v>
      </c>
      <c r="BK764" s="214">
        <v>185.99</v>
      </c>
      <c r="BL764" s="222">
        <f>BK765/BK764</f>
        <v>-0.1202215172858755</v>
      </c>
      <c r="BM764" s="214">
        <v>175.08</v>
      </c>
      <c r="BN764" s="222">
        <f>BM765/BM764</f>
        <v>2.7987205848754887E-2</v>
      </c>
      <c r="BO764" s="214">
        <v>182.23</v>
      </c>
      <c r="BP764" s="222">
        <f>BO765/BO764</f>
        <v>4.8016243209131164E-2</v>
      </c>
      <c r="BQ764" s="214">
        <v>164.24</v>
      </c>
      <c r="BR764" s="222">
        <f>BQ765/BQ764</f>
        <v>2.8251339503166186E-2</v>
      </c>
      <c r="BS764" s="214">
        <v>161.44</v>
      </c>
      <c r="BT764" s="222">
        <f>BS765/BS764</f>
        <v>1.083994053518335E-2</v>
      </c>
      <c r="BU764" s="214">
        <v>173.49</v>
      </c>
      <c r="BV764" s="222">
        <f>BU765/BU764</f>
        <v>6.1847945126520365E-2</v>
      </c>
      <c r="BW764" s="214">
        <v>180.63</v>
      </c>
      <c r="BX764" s="222">
        <f>BW765/BW764</f>
        <v>5.2150805514034143E-2</v>
      </c>
      <c r="BY764" s="214">
        <v>217.54</v>
      </c>
      <c r="BZ764" s="222">
        <f>BY765/BY764</f>
        <v>0.22326928380987401</v>
      </c>
      <c r="CA764" s="214">
        <v>184.22</v>
      </c>
      <c r="CB764" s="222">
        <f>CA765/CA764</f>
        <v>-3.7346650743676012E-2</v>
      </c>
      <c r="CC764" s="214">
        <v>200.14</v>
      </c>
      <c r="CD764" s="222">
        <f>CC765/CC764</f>
        <v>1.658838812831015E-2</v>
      </c>
      <c r="CE764" s="214">
        <v>172.38</v>
      </c>
      <c r="CF764" s="222">
        <f>CE765/CE764</f>
        <v>-7.4834667594848622E-2</v>
      </c>
      <c r="CG764" s="214">
        <v>172.87</v>
      </c>
      <c r="CH764" s="222">
        <f>CG765/CG764</f>
        <v>6.7680916295482257E-2</v>
      </c>
    </row>
    <row r="765" spans="1:87">
      <c r="C765" s="318" t="s">
        <v>9</v>
      </c>
      <c r="AP765" s="214"/>
      <c r="BE765" s="214">
        <f>BE763+BE764</f>
        <v>70.22</v>
      </c>
      <c r="BG765" s="214">
        <f>BG763+BG764</f>
        <v>9.5699999999999932</v>
      </c>
      <c r="BI765" s="214">
        <f>BI763+BI764</f>
        <v>37.430000000000007</v>
      </c>
      <c r="BK765" s="214">
        <f>BK763+BK764</f>
        <v>-22.359999999999985</v>
      </c>
      <c r="BM765" s="214">
        <f>BM763+BM764</f>
        <v>4.9000000000000057</v>
      </c>
      <c r="BO765" s="214">
        <f>BO763+BO764</f>
        <v>8.7499999999999716</v>
      </c>
      <c r="BQ765" s="214">
        <f>BQ763+BQ764</f>
        <v>4.6400000000000148</v>
      </c>
      <c r="BS765" s="214">
        <f>BS763+BS764</f>
        <v>1.75</v>
      </c>
      <c r="BU765" s="214">
        <f>BU763+BU764</f>
        <v>10.730000000000018</v>
      </c>
      <c r="BW765" s="214">
        <f>BW763+BW764</f>
        <v>9.4199999999999875</v>
      </c>
      <c r="BY765" s="214">
        <f>BY763+BY764</f>
        <v>48.569999999999993</v>
      </c>
      <c r="CA765" s="214">
        <f>CA763+CA764</f>
        <v>-6.8799999999999955</v>
      </c>
      <c r="CC765" s="214">
        <f>CC763+CC764</f>
        <v>3.3199999999999932</v>
      </c>
      <c r="CE765" s="214">
        <f>CE763+CE764</f>
        <v>-12.900000000000006</v>
      </c>
      <c r="CG765" s="214">
        <f>CG763+CG764</f>
        <v>11.700000000000017</v>
      </c>
    </row>
    <row r="766" spans="1:87">
      <c r="A766" s="211">
        <v>224</v>
      </c>
      <c r="C766" s="318" t="s">
        <v>366</v>
      </c>
      <c r="AP766" s="214"/>
    </row>
    <row r="767" spans="1:87">
      <c r="C767" s="318" t="s">
        <v>367</v>
      </c>
      <c r="AP767" s="214"/>
      <c r="BC767" s="235">
        <v>45689</v>
      </c>
      <c r="BE767" s="235">
        <v>45717</v>
      </c>
      <c r="BG767" s="235">
        <v>45748</v>
      </c>
      <c r="BI767" s="235">
        <v>45778</v>
      </c>
      <c r="BK767" s="235">
        <v>45809</v>
      </c>
      <c r="BM767" s="235">
        <v>45839</v>
      </c>
      <c r="BO767" s="235">
        <v>45870</v>
      </c>
      <c r="BQ767" s="235">
        <v>45901</v>
      </c>
      <c r="BS767" s="235">
        <v>45931</v>
      </c>
      <c r="BU767" s="235">
        <v>45962</v>
      </c>
      <c r="BW767" s="235">
        <v>45992</v>
      </c>
      <c r="BY767" s="235">
        <v>46023</v>
      </c>
      <c r="CA767" s="235">
        <v>46054</v>
      </c>
      <c r="CC767" s="235">
        <v>46082</v>
      </c>
      <c r="CE767" s="235">
        <v>46113</v>
      </c>
      <c r="CG767" s="235">
        <v>46143</v>
      </c>
      <c r="CI767" s="341">
        <v>46174</v>
      </c>
    </row>
    <row r="768" spans="1:87">
      <c r="C768" s="318" t="s">
        <v>7</v>
      </c>
      <c r="AP768" s="214"/>
      <c r="BE768" s="237">
        <f>-16.87-26.64</f>
        <v>-43.510000000000005</v>
      </c>
      <c r="BG768" s="237">
        <f>-76.6-21.21</f>
        <v>-97.81</v>
      </c>
      <c r="BI768" s="237">
        <f>-75.86-21.42</f>
        <v>-97.28</v>
      </c>
      <c r="BK768" s="237">
        <f>-82.13-33.46</f>
        <v>-115.59</v>
      </c>
      <c r="BM768" s="237">
        <f>-109.8-34.72</f>
        <v>-144.51999999999998</v>
      </c>
      <c r="BO768" s="237">
        <f>-104.05-25.97</f>
        <v>-130.01999999999998</v>
      </c>
      <c r="BQ768" s="237">
        <f>-77.9-29.79</f>
        <v>-107.69</v>
      </c>
      <c r="BS768" s="237">
        <f>-82.8-21.36</f>
        <v>-104.16</v>
      </c>
      <c r="BU768" s="237">
        <f>-78.45-41.44</f>
        <v>-119.89</v>
      </c>
      <c r="BW768" s="237">
        <f>-103.7-59.62</f>
        <v>-163.32</v>
      </c>
      <c r="BY768" s="237">
        <f>-135.59-38.57</f>
        <v>-174.16</v>
      </c>
      <c r="CA768" s="237">
        <f>-115.83-33.18</f>
        <v>-149.01</v>
      </c>
      <c r="CC768" s="237">
        <f>-104.14-38.25</f>
        <v>-142.38999999999999</v>
      </c>
      <c r="CE768" s="237">
        <f>-93.57-18.9</f>
        <v>-112.47</v>
      </c>
      <c r="CG768" s="237">
        <v>-64.88</v>
      </c>
    </row>
    <row r="769" spans="1:87">
      <c r="C769" s="318" t="s">
        <v>8</v>
      </c>
      <c r="AP769" s="214"/>
      <c r="AU769" s="222" t="e">
        <f>AT770/AT769</f>
        <v>#DIV/0!</v>
      </c>
      <c r="AW769" s="222" t="e">
        <f>AV770/AV769</f>
        <v>#DIV/0!</v>
      </c>
      <c r="AY769" s="224" t="e">
        <f>AX770/AX769</f>
        <v>#DIV/0!</v>
      </c>
      <c r="AZ769" s="225"/>
      <c r="BB769" s="222" t="e">
        <f>BA770/BA769</f>
        <v>#DIV/0!</v>
      </c>
      <c r="BD769" s="222" t="e">
        <f>BC770/BC769</f>
        <v>#DIV/0!</v>
      </c>
      <c r="BE769" s="214"/>
      <c r="BF769" s="222" t="e">
        <f>BE770/BE769</f>
        <v>#DIV/0!</v>
      </c>
      <c r="BG769" s="214"/>
      <c r="BH769" s="222" t="e">
        <f>BG770/BG769</f>
        <v>#DIV/0!</v>
      </c>
      <c r="BI769" s="214">
        <v>104.61</v>
      </c>
      <c r="BJ769" s="222">
        <f>BI770/BI769</f>
        <v>7.0069783003536931E-2</v>
      </c>
      <c r="BK769" s="214">
        <v>121.59</v>
      </c>
      <c r="BL769" s="222">
        <f>BK770/BK769</f>
        <v>4.9346163335800643E-2</v>
      </c>
      <c r="BM769" s="214">
        <v>145</v>
      </c>
      <c r="BN769" s="222">
        <f>BM770/BM769</f>
        <v>3.3103448275863321E-3</v>
      </c>
      <c r="BO769" s="214">
        <v>154.53</v>
      </c>
      <c r="BP769" s="222">
        <f>BO770/BO769</f>
        <v>0.15860997864492343</v>
      </c>
      <c r="BQ769" s="214">
        <v>112.2</v>
      </c>
      <c r="BR769" s="222">
        <f>BQ770/BQ769</f>
        <v>4.0196078431372594E-2</v>
      </c>
      <c r="BS769" s="214">
        <v>107.29</v>
      </c>
      <c r="BT769" s="222">
        <f>BS770/BS769</f>
        <v>2.9173268710970354E-2</v>
      </c>
      <c r="BU769" s="214">
        <v>128.74</v>
      </c>
      <c r="BV769" s="222">
        <f>BU770/BU769</f>
        <v>6.8743203355600496E-2</v>
      </c>
      <c r="BW769" s="214">
        <v>190.33</v>
      </c>
      <c r="BX769" s="222">
        <f>BW770/BW769</f>
        <v>0.14191141701255722</v>
      </c>
      <c r="BY769" s="214">
        <v>203.04</v>
      </c>
      <c r="BZ769" s="222">
        <f>BY770/BY769</f>
        <v>0.14223798266351456</v>
      </c>
      <c r="CA769" s="214">
        <v>150.79</v>
      </c>
      <c r="CB769" s="222">
        <f>CA770/CA769</f>
        <v>1.1804496319384582E-2</v>
      </c>
      <c r="CC769" s="214">
        <v>156.08000000000001</v>
      </c>
      <c r="CD769" s="222">
        <f>CC770/CC769</f>
        <v>8.7711430035879195E-2</v>
      </c>
      <c r="CE769" s="214">
        <v>114.69</v>
      </c>
      <c r="CF769" s="222">
        <f>CE770/CE769</f>
        <v>1.9356526288255287E-2</v>
      </c>
      <c r="CG769" s="214">
        <v>107.25</v>
      </c>
      <c r="CH769" s="222">
        <f>CG770/CG769</f>
        <v>0.39505827505827512</v>
      </c>
    </row>
    <row r="770" spans="1:87">
      <c r="C770" s="318" t="s">
        <v>9</v>
      </c>
      <c r="AP770" s="214"/>
      <c r="BE770" s="214">
        <f>BE768+BE769</f>
        <v>-43.510000000000005</v>
      </c>
      <c r="BG770" s="214">
        <f>BG768+BG769</f>
        <v>-97.81</v>
      </c>
      <c r="BI770" s="214">
        <f>BI768+BI769</f>
        <v>7.3299999999999983</v>
      </c>
      <c r="BK770" s="214">
        <f>BK768+BK769</f>
        <v>6</v>
      </c>
      <c r="BM770" s="214">
        <f>BM768+BM769</f>
        <v>0.48000000000001819</v>
      </c>
      <c r="BO770" s="214">
        <f>BO768+BO769</f>
        <v>24.510000000000019</v>
      </c>
      <c r="BQ770" s="214">
        <f>BQ768+BQ769</f>
        <v>4.5100000000000051</v>
      </c>
      <c r="BS770" s="214">
        <f>BS768+BS769</f>
        <v>3.1300000000000097</v>
      </c>
      <c r="BU770" s="214">
        <f>BU768+BU769</f>
        <v>8.8500000000000085</v>
      </c>
      <c r="BW770" s="214">
        <f>BW768+BW769</f>
        <v>27.010000000000019</v>
      </c>
      <c r="BY770" s="214">
        <f>BY768+BY769</f>
        <v>28.879999999999995</v>
      </c>
      <c r="CA770" s="214">
        <f>CA768+CA769</f>
        <v>1.7800000000000011</v>
      </c>
      <c r="CC770" s="214">
        <f>CC768+CC769</f>
        <v>13.690000000000026</v>
      </c>
      <c r="CE770" s="214">
        <f>CE768+CE769</f>
        <v>2.2199999999999989</v>
      </c>
      <c r="CG770" s="214">
        <f>CG768+CG769</f>
        <v>42.370000000000005</v>
      </c>
    </row>
    <row r="771" spans="1:87">
      <c r="A771" s="211">
        <v>225</v>
      </c>
      <c r="C771" s="318" t="s">
        <v>368</v>
      </c>
      <c r="AP771" s="214"/>
    </row>
    <row r="772" spans="1:87">
      <c r="C772" s="318" t="s">
        <v>369</v>
      </c>
      <c r="AP772" s="214"/>
      <c r="BE772" s="235">
        <v>45717</v>
      </c>
      <c r="BG772" s="235">
        <v>45748</v>
      </c>
      <c r="BI772" s="235">
        <v>45778</v>
      </c>
      <c r="BK772" s="235">
        <v>45809</v>
      </c>
      <c r="BM772" s="235">
        <v>45839</v>
      </c>
      <c r="BO772" s="235">
        <v>45870</v>
      </c>
      <c r="BQ772" s="235">
        <v>45901</v>
      </c>
      <c r="BS772" s="235">
        <v>45931</v>
      </c>
      <c r="BU772" s="235">
        <v>45962</v>
      </c>
      <c r="BW772" s="235">
        <v>45992</v>
      </c>
      <c r="BY772" s="235">
        <v>46023</v>
      </c>
      <c r="CA772" s="235">
        <v>46054</v>
      </c>
      <c r="CC772" s="235">
        <v>46082</v>
      </c>
      <c r="CE772" s="235">
        <v>46113</v>
      </c>
      <c r="CG772" s="235">
        <v>46143</v>
      </c>
      <c r="CI772" s="341">
        <v>46174</v>
      </c>
    </row>
    <row r="773" spans="1:87">
      <c r="C773" s="318" t="s">
        <v>7</v>
      </c>
      <c r="AP773" s="214"/>
      <c r="BC773" s="238">
        <v>-10.78</v>
      </c>
      <c r="BE773" s="238">
        <f>-129.29-39.9</f>
        <v>-169.19</v>
      </c>
      <c r="BG773" s="237">
        <f>-153.88-16.29</f>
        <v>-170.17</v>
      </c>
      <c r="BI773" s="237">
        <f>-177.49-28.1</f>
        <v>-205.59</v>
      </c>
      <c r="BK773" s="237">
        <f>-134.98-29.7</f>
        <v>-164.67999999999998</v>
      </c>
      <c r="BM773" s="237">
        <f>-128.7-25.45</f>
        <v>-154.14999999999998</v>
      </c>
      <c r="BO773" s="237">
        <f>-127.32-30.12</f>
        <v>-157.44</v>
      </c>
      <c r="BQ773" s="237">
        <f>-115.35-36.47</f>
        <v>-151.82</v>
      </c>
      <c r="BS773" s="237">
        <f>-140.54-19.72</f>
        <v>-160.26</v>
      </c>
      <c r="BU773" s="237">
        <f>-113.42-32.06</f>
        <v>-145.48000000000002</v>
      </c>
      <c r="BW773" s="237">
        <f>-96.08-37</f>
        <v>-133.07999999999998</v>
      </c>
      <c r="BY773" s="237">
        <f>-92.43-25.5</f>
        <v>-117.93</v>
      </c>
      <c r="CA773" s="237">
        <f>-97.82-18.35</f>
        <v>-116.16999999999999</v>
      </c>
      <c r="CC773" s="237">
        <f>-84.32-31.36</f>
        <v>-115.67999999999999</v>
      </c>
      <c r="CE773" s="237">
        <f>-90.31-28.7</f>
        <v>-119.01</v>
      </c>
      <c r="CG773" s="237">
        <v>-102.49</v>
      </c>
    </row>
    <row r="774" spans="1:87">
      <c r="C774" s="318" t="s">
        <v>8</v>
      </c>
      <c r="AP774" s="214"/>
      <c r="AU774" s="222" t="e">
        <f>AT775/AT774</f>
        <v>#DIV/0!</v>
      </c>
      <c r="AW774" s="222" t="e">
        <f>AV775/AV774</f>
        <v>#DIV/0!</v>
      </c>
      <c r="AY774" s="224" t="e">
        <f>AX775/AX774</f>
        <v>#DIV/0!</v>
      </c>
      <c r="AZ774" s="225"/>
      <c r="BB774" s="222" t="e">
        <f>BA775/BA774</f>
        <v>#DIV/0!</v>
      </c>
      <c r="BD774" s="222" t="e">
        <f>BC775/BC774</f>
        <v>#DIV/0!</v>
      </c>
      <c r="BE774" s="213">
        <v>188.39</v>
      </c>
      <c r="BF774" s="222">
        <f>BE775/BE774</f>
        <v>0.10191623759222883</v>
      </c>
      <c r="BG774" s="214">
        <v>191.86</v>
      </c>
      <c r="BH774" s="222">
        <f>BG775/BG774</f>
        <v>0.11305118315438353</v>
      </c>
      <c r="BI774" s="214">
        <v>186.86</v>
      </c>
      <c r="BJ774" s="222">
        <f>BI775/BI774</f>
        <v>-0.10023547040565123</v>
      </c>
      <c r="BK774" s="214">
        <v>214.86</v>
      </c>
      <c r="BL774" s="222">
        <f>BK775/BK774</f>
        <v>0.23354742623103431</v>
      </c>
      <c r="BM774" s="214">
        <v>190.75</v>
      </c>
      <c r="BN774" s="222">
        <f>BM775/BM774</f>
        <v>0.19187418086500668</v>
      </c>
      <c r="BO774" s="214">
        <v>205.99</v>
      </c>
      <c r="BP774" s="222">
        <f>BO775/BO774</f>
        <v>0.23569105296373616</v>
      </c>
      <c r="BQ774" s="214">
        <v>192.23</v>
      </c>
      <c r="BR774" s="222">
        <f>BQ775/BQ774</f>
        <v>0.21021692763876607</v>
      </c>
      <c r="BS774" s="214">
        <v>202.66</v>
      </c>
      <c r="BT774" s="222">
        <f>BS775/BS774</f>
        <v>0.20921740846738382</v>
      </c>
      <c r="BU774" s="214">
        <v>186.79</v>
      </c>
      <c r="BV774" s="222">
        <f>BU775/BU774</f>
        <v>0.2211574495422666</v>
      </c>
      <c r="BW774" s="214">
        <v>154.91999999999999</v>
      </c>
      <c r="BX774" s="222">
        <f>BW775/BW774</f>
        <v>0.14097598760650662</v>
      </c>
      <c r="BY774" s="214">
        <v>153.72</v>
      </c>
      <c r="BZ774" s="222">
        <f>BY775/BY774</f>
        <v>0.23282591725214671</v>
      </c>
      <c r="CA774" s="214">
        <v>153.47</v>
      </c>
      <c r="CB774" s="222">
        <f>CA775/CA774</f>
        <v>0.24304424317456189</v>
      </c>
      <c r="CC774" s="214">
        <v>158.63</v>
      </c>
      <c r="CD774" s="222">
        <f>CC775/CC774</f>
        <v>0.27075584693941879</v>
      </c>
      <c r="CE774" s="214">
        <v>174.56</v>
      </c>
      <c r="CF774" s="222">
        <f>CE775/CE774</f>
        <v>0.31822868927589365</v>
      </c>
      <c r="CG774" s="214">
        <v>184.77</v>
      </c>
      <c r="CH774" s="222">
        <f>CG775/CG774</f>
        <v>0.44531038588515459</v>
      </c>
    </row>
    <row r="775" spans="1:87">
      <c r="C775" s="318" t="s">
        <v>9</v>
      </c>
      <c r="AP775" s="214"/>
      <c r="BC775" s="214">
        <f>BC773+BC774</f>
        <v>-10.78</v>
      </c>
      <c r="BE775" s="214">
        <f>BE773+BE774</f>
        <v>19.199999999999989</v>
      </c>
      <c r="BG775" s="214">
        <f>BG773+BG774</f>
        <v>21.690000000000026</v>
      </c>
      <c r="BI775" s="214">
        <f>BI773+BI774</f>
        <v>-18.72999999999999</v>
      </c>
      <c r="BK775" s="214">
        <f>BK773+BK774</f>
        <v>50.180000000000035</v>
      </c>
      <c r="BM775" s="214">
        <f>BM773+BM774</f>
        <v>36.600000000000023</v>
      </c>
      <c r="BO775" s="214">
        <f>BO773+BO774</f>
        <v>48.550000000000011</v>
      </c>
      <c r="BQ775" s="214">
        <f>BQ773+BQ774</f>
        <v>40.409999999999997</v>
      </c>
      <c r="BS775" s="214">
        <f>BS773+BS774</f>
        <v>42.400000000000006</v>
      </c>
      <c r="BU775" s="214">
        <f>BU773+BU774</f>
        <v>41.309999999999974</v>
      </c>
      <c r="BW775" s="214">
        <f>BW773+BW774</f>
        <v>21.840000000000003</v>
      </c>
      <c r="BY775" s="214">
        <f>BY773+BY774</f>
        <v>35.789999999999992</v>
      </c>
      <c r="CA775" s="214">
        <f>CA773+CA774</f>
        <v>37.300000000000011</v>
      </c>
      <c r="CC775" s="214">
        <f>CC773+CC774</f>
        <v>42.95</v>
      </c>
      <c r="CE775" s="214">
        <f>CE773+CE774</f>
        <v>55.55</v>
      </c>
      <c r="CG775" s="214">
        <f>CG773+CG774</f>
        <v>82.280000000000015</v>
      </c>
    </row>
    <row r="776" spans="1:87">
      <c r="A776" s="211">
        <v>226</v>
      </c>
      <c r="C776" s="318" t="s">
        <v>370</v>
      </c>
      <c r="AP776" s="214"/>
    </row>
    <row r="777" spans="1:87">
      <c r="C777" s="318" t="s">
        <v>371</v>
      </c>
      <c r="AP777" s="214"/>
      <c r="BE777" s="235">
        <v>45717</v>
      </c>
      <c r="BG777" s="235">
        <v>45748</v>
      </c>
      <c r="BI777" s="235">
        <v>45778</v>
      </c>
      <c r="BK777" s="235">
        <v>45809</v>
      </c>
      <c r="BM777" s="235">
        <v>45839</v>
      </c>
      <c r="BO777" s="235">
        <v>45870</v>
      </c>
      <c r="BQ777" s="235">
        <v>45901</v>
      </c>
      <c r="BS777" s="235">
        <v>45931</v>
      </c>
      <c r="BU777" s="235">
        <v>45962</v>
      </c>
      <c r="BW777" s="235">
        <v>45992</v>
      </c>
      <c r="BY777" s="235">
        <v>46023</v>
      </c>
      <c r="CA777" s="235">
        <v>46054</v>
      </c>
      <c r="CC777" s="235">
        <v>46082</v>
      </c>
      <c r="CE777" s="235">
        <v>46113</v>
      </c>
      <c r="CG777" s="235">
        <v>46143</v>
      </c>
      <c r="CI777" s="341">
        <v>46174</v>
      </c>
    </row>
    <row r="778" spans="1:87">
      <c r="C778" s="318" t="s">
        <v>7</v>
      </c>
      <c r="AP778" s="214"/>
      <c r="BC778" s="238">
        <v>-3.74</v>
      </c>
      <c r="BE778" s="238">
        <f>-44.96-13.09</f>
        <v>-58.05</v>
      </c>
      <c r="BG778" s="237">
        <f>-44.82-11.16</f>
        <v>-55.980000000000004</v>
      </c>
      <c r="BI778" s="237">
        <f>-48.34-9</f>
        <v>-57.34</v>
      </c>
      <c r="BK778" s="237">
        <f>-43.13-11.52</f>
        <v>-54.650000000000006</v>
      </c>
      <c r="BM778" s="237">
        <f>-49.97-9.9</f>
        <v>-59.87</v>
      </c>
      <c r="BO778" s="237">
        <f>-49.35-11.64</f>
        <v>-60.99</v>
      </c>
      <c r="BQ778" s="237">
        <f>-42.75-13.76</f>
        <v>-56.51</v>
      </c>
      <c r="BS778" s="237">
        <f>-44.78-8.45</f>
        <v>-53.230000000000004</v>
      </c>
      <c r="BU778" s="237">
        <f>-40.6-10.02</f>
        <v>-50.620000000000005</v>
      </c>
      <c r="BW778" s="237">
        <f>-36.69-15.21</f>
        <v>-51.9</v>
      </c>
      <c r="BY778" s="237">
        <f>-42.25-10.2</f>
        <v>-52.45</v>
      </c>
      <c r="CA778" s="237">
        <f>-37.46-8.88</f>
        <v>-46.34</v>
      </c>
      <c r="CC778" s="237">
        <f>-35.41-10.15</f>
        <v>-45.559999999999995</v>
      </c>
      <c r="CE778" s="237">
        <f>-37.71-6.08</f>
        <v>-43.79</v>
      </c>
      <c r="CG778" s="237">
        <v>-36.369999999999997</v>
      </c>
    </row>
    <row r="779" spans="1:87">
      <c r="C779" s="318" t="s">
        <v>8</v>
      </c>
      <c r="AP779" s="214"/>
      <c r="AU779" s="222" t="e">
        <f>AT780/AT779</f>
        <v>#DIV/0!</v>
      </c>
      <c r="AW779" s="222" t="e">
        <f>AV780/AV779</f>
        <v>#DIV/0!</v>
      </c>
      <c r="AY779" s="224" t="e">
        <f>AX780/AX779</f>
        <v>#DIV/0!</v>
      </c>
      <c r="AZ779" s="225"/>
      <c r="BB779" s="222" t="e">
        <f>BA780/BA779</f>
        <v>#DIV/0!</v>
      </c>
      <c r="BD779" s="222" t="e">
        <f>BC780/BC779</f>
        <v>#DIV/0!</v>
      </c>
      <c r="BE779" s="213">
        <v>66.64</v>
      </c>
      <c r="BF779" s="222">
        <f>BE780/BE779</f>
        <v>0.12890156062424976</v>
      </c>
      <c r="BG779" s="214">
        <v>65.53</v>
      </c>
      <c r="BH779" s="222">
        <f>BG780/BG779</f>
        <v>0.14573477796429113</v>
      </c>
      <c r="BI779" s="214">
        <v>66.069999999999993</v>
      </c>
      <c r="BJ779" s="222">
        <f>BI780/BI779</f>
        <v>0.13213258665052202</v>
      </c>
      <c r="BK779" s="214">
        <v>69.209999999999994</v>
      </c>
      <c r="BL779" s="222">
        <f>BK780/BK779</f>
        <v>0.21037422337812439</v>
      </c>
      <c r="BM779" s="214">
        <v>73.27</v>
      </c>
      <c r="BN779" s="222">
        <f>BM780/BM779</f>
        <v>0.18288521905281832</v>
      </c>
      <c r="BO779" s="214">
        <v>75.900000000000006</v>
      </c>
      <c r="BP779" s="222">
        <f>BO780/BO779</f>
        <v>0.1964426877470356</v>
      </c>
      <c r="BQ779" s="214">
        <v>70.81</v>
      </c>
      <c r="BR779" s="222">
        <f>BQ780/BQ779</f>
        <v>0.20194887727722077</v>
      </c>
      <c r="BS779" s="214">
        <v>64.27</v>
      </c>
      <c r="BT779" s="222">
        <f>BS780/BS779</f>
        <v>0.17177532285669819</v>
      </c>
      <c r="BU779" s="214">
        <v>63.82</v>
      </c>
      <c r="BV779" s="222">
        <f>BU780/BU779</f>
        <v>0.20683171419617669</v>
      </c>
      <c r="BW779" s="214">
        <v>61.13</v>
      </c>
      <c r="BX779" s="222">
        <f>BW780/BW779</f>
        <v>0.15098969409455265</v>
      </c>
      <c r="BY779" s="214">
        <v>63.25</v>
      </c>
      <c r="BZ779" s="222">
        <f>BY780/BY779</f>
        <v>0.17075098814229245</v>
      </c>
      <c r="CA779" s="214">
        <v>62.28</v>
      </c>
      <c r="CB779" s="222">
        <f>CA780/CA779</f>
        <v>0.25594091201027613</v>
      </c>
      <c r="CC779" s="214">
        <v>61.9</v>
      </c>
      <c r="CD779" s="222">
        <f>CC780/CC779</f>
        <v>0.26397415185783529</v>
      </c>
      <c r="CE779" s="214">
        <v>60.81</v>
      </c>
      <c r="CF779" s="222">
        <f>CE780/CE779</f>
        <v>0.27988817628679497</v>
      </c>
      <c r="CG779" s="214">
        <v>66.540000000000006</v>
      </c>
      <c r="CH779" s="222">
        <f>CG780/CG779</f>
        <v>0.45341148181544944</v>
      </c>
    </row>
    <row r="780" spans="1:87">
      <c r="C780" s="318" t="s">
        <v>9</v>
      </c>
      <c r="AP780" s="214"/>
      <c r="BC780" s="214">
        <f>BC778+BC779</f>
        <v>-3.74</v>
      </c>
      <c r="BE780" s="214">
        <f>BE778+BE779</f>
        <v>8.5900000000000034</v>
      </c>
      <c r="BG780" s="214">
        <f>BG778+BG779</f>
        <v>9.5499999999999972</v>
      </c>
      <c r="BI780" s="214">
        <f>BI778+BI779</f>
        <v>8.7299999999999898</v>
      </c>
      <c r="BK780" s="214">
        <f>BK778+BK779</f>
        <v>14.559999999999988</v>
      </c>
      <c r="BM780" s="214">
        <f>BM778+BM779</f>
        <v>13.399999999999999</v>
      </c>
      <c r="BO780" s="214">
        <f>BO778+BO779</f>
        <v>14.910000000000004</v>
      </c>
      <c r="BQ780" s="214">
        <f>BQ778+BQ779</f>
        <v>14.300000000000004</v>
      </c>
      <c r="BS780" s="214">
        <f>BS778+BS779</f>
        <v>11.039999999999992</v>
      </c>
      <c r="BU780" s="214">
        <f>BU778+BU779</f>
        <v>13.199999999999996</v>
      </c>
      <c r="BW780" s="214">
        <f>BW778+BW779</f>
        <v>9.230000000000004</v>
      </c>
      <c r="BY780" s="214">
        <f>BY778+BY779</f>
        <v>10.799999999999997</v>
      </c>
      <c r="CA780" s="214">
        <f>CA778+CA779</f>
        <v>15.939999999999998</v>
      </c>
      <c r="CC780" s="214">
        <f>CC778+CC779</f>
        <v>16.340000000000003</v>
      </c>
      <c r="CE780" s="214">
        <f>CE778+CE779</f>
        <v>17.020000000000003</v>
      </c>
      <c r="CG780" s="214">
        <f>CG778+CG779</f>
        <v>30.170000000000009</v>
      </c>
    </row>
    <row r="781" spans="1:87">
      <c r="A781" s="211">
        <v>227</v>
      </c>
      <c r="C781" s="318" t="s">
        <v>372</v>
      </c>
      <c r="AP781" s="214"/>
    </row>
    <row r="782" spans="1:87">
      <c r="C782" s="318" t="s">
        <v>373</v>
      </c>
      <c r="AP782" s="214"/>
      <c r="BE782" s="235">
        <v>45717</v>
      </c>
      <c r="BG782" s="235">
        <v>45748</v>
      </c>
      <c r="BI782" s="235">
        <v>45778</v>
      </c>
      <c r="BK782" s="235">
        <v>45809</v>
      </c>
      <c r="BM782" s="235">
        <v>45839</v>
      </c>
      <c r="BO782" s="235">
        <v>45870</v>
      </c>
      <c r="BQ782" s="235">
        <v>45901</v>
      </c>
      <c r="BS782" s="235">
        <v>45931</v>
      </c>
      <c r="BU782" s="235">
        <v>45962</v>
      </c>
      <c r="BW782" s="235">
        <v>45992</v>
      </c>
      <c r="BY782" s="235">
        <v>46023</v>
      </c>
      <c r="CA782" s="235">
        <v>46054</v>
      </c>
      <c r="CC782" s="235">
        <v>46082</v>
      </c>
      <c r="CE782" s="235">
        <v>46113</v>
      </c>
      <c r="CG782" s="235">
        <v>46143</v>
      </c>
      <c r="CI782" s="341">
        <v>46174</v>
      </c>
    </row>
    <row r="783" spans="1:87">
      <c r="C783" s="318" t="s">
        <v>7</v>
      </c>
      <c r="AP783" s="214"/>
      <c r="BC783" s="238">
        <v>-8.98</v>
      </c>
      <c r="BE783" s="238">
        <f>-107.64-31.29</f>
        <v>-138.93</v>
      </c>
      <c r="BG783" s="237">
        <f>-116.25-16.64</f>
        <v>-132.88999999999999</v>
      </c>
      <c r="BI783" s="237">
        <f>-108.1-20.85</f>
        <v>-128.94999999999999</v>
      </c>
      <c r="BK783" s="237">
        <f>-100.17-29.7</f>
        <v>-129.87</v>
      </c>
      <c r="BM783" s="237">
        <f>-128.63-30.8</f>
        <v>-159.43</v>
      </c>
      <c r="BO783" s="237">
        <f>-123.2-27.66</f>
        <v>-150.86000000000001</v>
      </c>
      <c r="BQ783" s="237">
        <f>-101.5-31.04</f>
        <v>-132.54</v>
      </c>
      <c r="BS783" s="237">
        <f>-104.63-14.24</f>
        <v>-118.86999999999999</v>
      </c>
      <c r="BU783" s="237">
        <f>-81.77-25.41</f>
        <v>-107.17999999999999</v>
      </c>
      <c r="BW783" s="237">
        <f>-79.96-35.82</f>
        <v>-115.78</v>
      </c>
      <c r="BY783" s="237">
        <f>-99.48-22.44</f>
        <v>-121.92</v>
      </c>
      <c r="CA783" s="237">
        <f>-82.2-18.48</f>
        <v>-100.68</v>
      </c>
      <c r="CC783" s="237">
        <f>-70.84-23.68</f>
        <v>-94.52000000000001</v>
      </c>
      <c r="CE783" s="237">
        <f>-74.02-17.55</f>
        <v>-91.57</v>
      </c>
      <c r="CG783" s="237">
        <v>-84.11</v>
      </c>
    </row>
    <row r="784" spans="1:87">
      <c r="C784" s="318" t="s">
        <v>8</v>
      </c>
      <c r="AP784" s="214"/>
      <c r="AU784" s="222" t="e">
        <f>AT785/AT784</f>
        <v>#DIV/0!</v>
      </c>
      <c r="AW784" s="222" t="e">
        <f>AV785/AV784</f>
        <v>#DIV/0!</v>
      </c>
      <c r="AY784" s="224" t="e">
        <f>AX785/AX784</f>
        <v>#DIV/0!</v>
      </c>
      <c r="AZ784" s="225"/>
      <c r="BB784" s="222" t="e">
        <f>BA785/BA784</f>
        <v>#DIV/0!</v>
      </c>
      <c r="BD784" s="222" t="e">
        <f>BC785/BC784</f>
        <v>#DIV/0!</v>
      </c>
      <c r="BE784" s="213">
        <v>156.34</v>
      </c>
      <c r="BF784" s="222">
        <f>BE785/BE784</f>
        <v>0.11135985672252779</v>
      </c>
      <c r="BG784" s="214">
        <v>146.46</v>
      </c>
      <c r="BH784" s="222">
        <f>BG785/BG784</f>
        <v>9.2653284173153216E-2</v>
      </c>
      <c r="BI784" s="214">
        <v>148.13999999999999</v>
      </c>
      <c r="BJ784" s="222">
        <f>BI785/BI784</f>
        <v>0.12953962467935737</v>
      </c>
      <c r="BK784" s="214">
        <v>120.93</v>
      </c>
      <c r="BL784" s="222">
        <f>BK785/BK784</f>
        <v>-7.3927065244356216E-2</v>
      </c>
      <c r="BM784" s="214">
        <v>202.17</v>
      </c>
      <c r="BN784" s="222">
        <f>BM785/BM784</f>
        <v>0.21140624227135571</v>
      </c>
      <c r="BO784" s="214">
        <v>209.34</v>
      </c>
      <c r="BP784" s="222">
        <f>BO785/BO784</f>
        <v>0.27935416069551922</v>
      </c>
      <c r="BQ784" s="214">
        <v>167.34</v>
      </c>
      <c r="BR784" s="222">
        <f>BQ785/BQ784</f>
        <v>0.20795984223736114</v>
      </c>
      <c r="BS784" s="214">
        <v>155.36000000000001</v>
      </c>
      <c r="BT784" s="222">
        <f>BS785/BS784</f>
        <v>0.23487384140061804</v>
      </c>
      <c r="BU784" s="214">
        <v>130.30000000000001</v>
      </c>
      <c r="BV784" s="222">
        <f>BU785/BU784</f>
        <v>0.17743668457405998</v>
      </c>
      <c r="BW784" s="214">
        <v>146.36000000000001</v>
      </c>
      <c r="BX784" s="222">
        <f>BW785/BW784</f>
        <v>0.20893686799672048</v>
      </c>
      <c r="BY784" s="214">
        <v>167.67</v>
      </c>
      <c r="BZ784" s="222">
        <f>BY785/BY784</f>
        <v>0.27285739846126311</v>
      </c>
      <c r="CA784" s="214">
        <v>129.72</v>
      </c>
      <c r="CB784" s="222">
        <f>CA785/CA784</f>
        <v>0.22386679000925064</v>
      </c>
      <c r="CC784" s="214">
        <v>136.77000000000001</v>
      </c>
      <c r="CD784" s="222">
        <f>CC785/CC784</f>
        <v>0.30891277326899169</v>
      </c>
      <c r="CE784" s="214">
        <v>132.77000000000001</v>
      </c>
      <c r="CF784" s="222">
        <f>CE785/CE784</f>
        <v>0.31031106424644134</v>
      </c>
      <c r="CG784" s="214">
        <v>161.24</v>
      </c>
      <c r="CH784" s="222">
        <f>CG785/CG784</f>
        <v>0.47835524683701319</v>
      </c>
    </row>
    <row r="785" spans="1:87">
      <c r="C785" s="318" t="s">
        <v>9</v>
      </c>
      <c r="AP785" s="214"/>
      <c r="BC785" s="214">
        <f>BC783+BC784</f>
        <v>-8.98</v>
      </c>
      <c r="BE785" s="214">
        <f>BE783+BE784</f>
        <v>17.409999999999997</v>
      </c>
      <c r="BG785" s="214">
        <f>BG783+BG784</f>
        <v>13.570000000000022</v>
      </c>
      <c r="BI785" s="214">
        <f>BI783+BI784</f>
        <v>19.189999999999998</v>
      </c>
      <c r="BK785" s="214">
        <f>BK783+BK784</f>
        <v>-8.9399999999999977</v>
      </c>
      <c r="BM785" s="214">
        <f>BM783+BM784</f>
        <v>42.739999999999981</v>
      </c>
      <c r="BO785" s="214">
        <f>BO783+BO784</f>
        <v>58.47999999999999</v>
      </c>
      <c r="BQ785" s="214">
        <f>BQ783+BQ784</f>
        <v>34.800000000000011</v>
      </c>
      <c r="BS785" s="214">
        <f>BS783+BS784</f>
        <v>36.490000000000023</v>
      </c>
      <c r="BU785" s="214">
        <f>BU783+BU784</f>
        <v>23.120000000000019</v>
      </c>
      <c r="BW785" s="214">
        <f>BW783+BW784</f>
        <v>30.580000000000013</v>
      </c>
      <c r="BY785" s="214">
        <f>BY783+BY784</f>
        <v>45.749999999999986</v>
      </c>
      <c r="CA785" s="214">
        <f>CA783+CA784</f>
        <v>29.039999999999992</v>
      </c>
      <c r="CC785" s="214">
        <f>CC783+CC784</f>
        <v>42.25</v>
      </c>
      <c r="CE785" s="214">
        <f>CE783+CE784</f>
        <v>41.200000000000017</v>
      </c>
      <c r="CG785" s="214">
        <f>CG783+CG784</f>
        <v>77.13000000000001</v>
      </c>
    </row>
    <row r="786" spans="1:87">
      <c r="A786" s="211">
        <v>228</v>
      </c>
      <c r="C786" s="213" t="s">
        <v>385</v>
      </c>
      <c r="AP786" s="214"/>
    </row>
    <row r="787" spans="1:87">
      <c r="C787" s="213" t="s">
        <v>386</v>
      </c>
      <c r="AP787" s="214"/>
      <c r="BE787" s="235">
        <v>45717</v>
      </c>
      <c r="BG787" s="235">
        <v>45748</v>
      </c>
      <c r="BI787" s="235">
        <v>45778</v>
      </c>
      <c r="BK787" s="235">
        <v>45809</v>
      </c>
      <c r="BM787" s="235">
        <v>45839</v>
      </c>
      <c r="BO787" s="235">
        <v>45870</v>
      </c>
      <c r="BQ787" s="235">
        <v>45901</v>
      </c>
      <c r="BS787" s="235">
        <v>45931</v>
      </c>
      <c r="BU787" s="235">
        <v>45962</v>
      </c>
      <c r="BW787" s="235">
        <v>45992</v>
      </c>
      <c r="BY787" s="235">
        <v>46023</v>
      </c>
      <c r="CA787" s="235">
        <v>46054</v>
      </c>
      <c r="CC787" s="235">
        <v>46082</v>
      </c>
      <c r="CE787" s="235">
        <v>46113</v>
      </c>
      <c r="CG787" s="235">
        <v>46143</v>
      </c>
      <c r="CI787" s="341">
        <v>46174</v>
      </c>
    </row>
    <row r="788" spans="1:87">
      <c r="C788" s="213" t="s">
        <v>7</v>
      </c>
      <c r="AP788" s="214"/>
      <c r="BE788" s="238">
        <v>-33.81</v>
      </c>
      <c r="BG788" s="237">
        <v>-101.43</v>
      </c>
      <c r="BI788" s="237">
        <f>-20.3-85.17</f>
        <v>-105.47</v>
      </c>
      <c r="BK788" s="237">
        <f>-101.43-10</f>
        <v>-111.43</v>
      </c>
      <c r="BM788" s="237">
        <f>-309.87-16.96</f>
        <v>-326.83</v>
      </c>
      <c r="BO788" s="237">
        <f>-508.68-6.42</f>
        <v>-515.1</v>
      </c>
      <c r="BQ788" s="237">
        <f>-186.26-5.62</f>
        <v>-191.88</v>
      </c>
      <c r="BS788" s="237">
        <f>-168.64-6.58</f>
        <v>-175.22</v>
      </c>
      <c r="BU788" s="237">
        <f>-190.7-7.94</f>
        <v>-198.64</v>
      </c>
      <c r="BW788" s="237">
        <f>-238.1-7.86</f>
        <v>-245.96</v>
      </c>
      <c r="BY788" s="237">
        <f>-235.86-4.04</f>
        <v>-239.9</v>
      </c>
      <c r="CA788" s="237">
        <f>-109.18-3.62</f>
        <v>-112.80000000000001</v>
      </c>
      <c r="CC788" s="237">
        <f>-108.46-3.23</f>
        <v>-111.69</v>
      </c>
      <c r="CE788" s="237">
        <f>-93.63-5.44</f>
        <v>-99.07</v>
      </c>
      <c r="CG788" s="237">
        <v>-163.25</v>
      </c>
    </row>
    <row r="789" spans="1:87">
      <c r="C789" s="213" t="s">
        <v>8</v>
      </c>
      <c r="AP789" s="214"/>
      <c r="AU789" s="222" t="e">
        <f>AT790/AT789</f>
        <v>#DIV/0!</v>
      </c>
      <c r="AW789" s="222" t="e">
        <f>AV790/AV789</f>
        <v>#DIV/0!</v>
      </c>
      <c r="AY789" s="224" t="e">
        <f>AX790/AX789</f>
        <v>#DIV/0!</v>
      </c>
      <c r="AZ789" s="225"/>
      <c r="BB789" s="222" t="e">
        <f>BA790/BA789</f>
        <v>#DIV/0!</v>
      </c>
      <c r="BD789" s="222" t="e">
        <f>BC790/BC789</f>
        <v>#DIV/0!</v>
      </c>
      <c r="BE789" s="213">
        <v>52.43</v>
      </c>
      <c r="BF789" s="222">
        <f>BE790/BE789</f>
        <v>0.35514018691588778</v>
      </c>
      <c r="BG789" s="214"/>
      <c r="BH789" s="222" t="e">
        <f>BG790/BG789</f>
        <v>#DIV/0!</v>
      </c>
      <c r="BI789" s="214">
        <v>138.43</v>
      </c>
      <c r="BJ789" s="222">
        <f>BI790/BI789</f>
        <v>0.23809867803221849</v>
      </c>
      <c r="BK789" s="214">
        <v>311.64</v>
      </c>
      <c r="BL789" s="222">
        <f>BK790/BK789</f>
        <v>0.64243999486587089</v>
      </c>
      <c r="BM789" s="214">
        <v>556.61</v>
      </c>
      <c r="BN789" s="222">
        <f>BM790/BM789</f>
        <v>0.41282046675410078</v>
      </c>
      <c r="BO789" s="214">
        <v>757.4</v>
      </c>
      <c r="BP789" s="222">
        <f>BO790/BO789</f>
        <v>0.31991021917084761</v>
      </c>
      <c r="BQ789" s="214">
        <v>410.48</v>
      </c>
      <c r="BR789" s="222">
        <f>BQ790/BQ789</f>
        <v>0.53254726174235045</v>
      </c>
      <c r="BS789" s="214">
        <v>353.17</v>
      </c>
      <c r="BT789" s="222">
        <f>BS790/BS789</f>
        <v>0.50386499419542996</v>
      </c>
      <c r="BU789" s="214">
        <v>352.08</v>
      </c>
      <c r="BV789" s="222">
        <f>BU790/BU789</f>
        <v>0.43581004317200639</v>
      </c>
      <c r="BW789" s="214">
        <v>375.43</v>
      </c>
      <c r="BX789" s="222">
        <f>BW790/BW789</f>
        <v>0.34485789627893348</v>
      </c>
      <c r="BY789" s="214">
        <v>373</v>
      </c>
      <c r="BZ789" s="222">
        <f>BY790/BY789</f>
        <v>0.35683646112600537</v>
      </c>
      <c r="CA789" s="214">
        <v>233.07</v>
      </c>
      <c r="CB789" s="222">
        <f>CA790/CA789</f>
        <v>0.51602522847213272</v>
      </c>
      <c r="CC789" s="214">
        <v>257.63</v>
      </c>
      <c r="CD789" s="222">
        <f>CC790/CC789</f>
        <v>0.56647129604471524</v>
      </c>
      <c r="CE789" s="214">
        <v>219.48</v>
      </c>
      <c r="CF789" s="222">
        <f>CE790/CE789</f>
        <v>0.54861490796427925</v>
      </c>
      <c r="CG789" s="214">
        <v>351.08</v>
      </c>
      <c r="CH789" s="222">
        <f>CG790/CG789</f>
        <v>0.5350062663780335</v>
      </c>
    </row>
    <row r="790" spans="1:87">
      <c r="C790" s="213" t="s">
        <v>9</v>
      </c>
      <c r="AP790" s="214"/>
      <c r="BE790" s="214">
        <f>BE788+BE789</f>
        <v>18.619999999999997</v>
      </c>
      <c r="BG790" s="214">
        <f>BG788+BG789</f>
        <v>-101.43</v>
      </c>
      <c r="BI790" s="214">
        <f>BI788+BI789</f>
        <v>32.960000000000008</v>
      </c>
      <c r="BK790" s="214">
        <f>BK788+BK789</f>
        <v>200.20999999999998</v>
      </c>
      <c r="BM790" s="214">
        <f>BM788+BM789</f>
        <v>229.78000000000003</v>
      </c>
      <c r="BO790" s="214">
        <f>BO788+BO789</f>
        <v>242.29999999999995</v>
      </c>
      <c r="BQ790" s="214">
        <f>BQ788+BQ789</f>
        <v>218.60000000000002</v>
      </c>
      <c r="BS790" s="214">
        <f>BS788+BS789</f>
        <v>177.95000000000002</v>
      </c>
      <c r="BU790" s="214">
        <f>BU788+BU789</f>
        <v>153.44</v>
      </c>
      <c r="BW790" s="214">
        <f>BW788+BW789</f>
        <v>129.47</v>
      </c>
      <c r="BY790" s="214">
        <f>BY788+BY789</f>
        <v>133.1</v>
      </c>
      <c r="CA790" s="214">
        <f>CA788+CA789</f>
        <v>120.26999999999998</v>
      </c>
      <c r="CC790" s="214">
        <f>CC788+CC789</f>
        <v>145.94</v>
      </c>
      <c r="CE790" s="214">
        <f>CE788+CE789</f>
        <v>120.41</v>
      </c>
      <c r="CG790" s="214">
        <f>CG788+CG789</f>
        <v>187.82999999999998</v>
      </c>
    </row>
    <row r="791" spans="1:87">
      <c r="A791" s="211">
        <v>229</v>
      </c>
      <c r="C791" s="318" t="s">
        <v>396</v>
      </c>
      <c r="AP791" s="214"/>
    </row>
    <row r="792" spans="1:87">
      <c r="C792" s="318" t="s">
        <v>397</v>
      </c>
      <c r="AP792" s="214"/>
      <c r="BE792" s="235">
        <v>45717</v>
      </c>
      <c r="BG792" s="235">
        <v>45748</v>
      </c>
      <c r="BI792" s="235">
        <v>45778</v>
      </c>
      <c r="BK792" s="235">
        <v>45809</v>
      </c>
      <c r="BM792" s="235">
        <v>45839</v>
      </c>
      <c r="BO792" s="235">
        <v>45870</v>
      </c>
      <c r="BQ792" s="235">
        <v>45901</v>
      </c>
      <c r="BS792" s="235">
        <v>45931</v>
      </c>
      <c r="BU792" s="235">
        <v>45962</v>
      </c>
      <c r="BW792" s="235">
        <v>45992</v>
      </c>
      <c r="BY792" s="235">
        <v>46023</v>
      </c>
      <c r="CA792" s="235">
        <v>46054</v>
      </c>
      <c r="CC792" s="235">
        <v>46082</v>
      </c>
      <c r="CE792" s="235">
        <v>46113</v>
      </c>
      <c r="CG792" s="235">
        <v>46143</v>
      </c>
      <c r="CI792" s="341">
        <v>46174</v>
      </c>
    </row>
    <row r="793" spans="1:87">
      <c r="C793" s="318" t="s">
        <v>7</v>
      </c>
      <c r="AP793" s="214"/>
      <c r="BE793" s="238">
        <v>-14.08</v>
      </c>
      <c r="BG793" s="237">
        <f>-84.38-20.76</f>
        <v>-105.14</v>
      </c>
      <c r="BI793" s="237">
        <f>-89.98-20.15</f>
        <v>-110.13</v>
      </c>
      <c r="BK793" s="237">
        <f>-96.68-21.72</f>
        <v>-118.4</v>
      </c>
      <c r="BM793" s="237">
        <f>-86.76-23.59</f>
        <v>-110.35000000000001</v>
      </c>
      <c r="BO793" s="237">
        <f>-84.09-22.68</f>
        <v>-106.77000000000001</v>
      </c>
      <c r="BQ793" s="237">
        <f>-83.11-28</f>
        <v>-111.11</v>
      </c>
      <c r="BS793" s="237">
        <f>-90.88-18.05</f>
        <v>-108.92999999999999</v>
      </c>
      <c r="BU793" s="237">
        <f>-83.13-26.46</f>
        <v>-109.59</v>
      </c>
      <c r="BW793" s="237">
        <f>-79.46-48.8</f>
        <v>-128.26</v>
      </c>
      <c r="BY793" s="237">
        <f>-121.88-19.38</f>
        <v>-141.26</v>
      </c>
      <c r="CA793" s="237">
        <f>-70.99-15.84</f>
        <v>-86.83</v>
      </c>
      <c r="CC793" s="237">
        <f>-60.79-21.84</f>
        <v>-82.63</v>
      </c>
      <c r="CE793" s="237">
        <f>-62.72-19.67</f>
        <v>-82.39</v>
      </c>
      <c r="CG793" s="237">
        <v>-67.34</v>
      </c>
    </row>
    <row r="794" spans="1:87">
      <c r="C794" s="318" t="s">
        <v>8</v>
      </c>
      <c r="AP794" s="214"/>
      <c r="AU794" s="222" t="e">
        <f>AT795/AT794</f>
        <v>#DIV/0!</v>
      </c>
      <c r="AW794" s="222" t="e">
        <f>AV795/AV794</f>
        <v>#DIV/0!</v>
      </c>
      <c r="AY794" s="224" t="e">
        <f>AX795/AX794</f>
        <v>#DIV/0!</v>
      </c>
      <c r="AZ794" s="225"/>
      <c r="BB794" s="222" t="e">
        <f>BA795/BA794</f>
        <v>#DIV/0!</v>
      </c>
      <c r="BD794" s="222" t="e">
        <f>BC795/BC794</f>
        <v>#DIV/0!</v>
      </c>
      <c r="BE794" s="213">
        <v>54.88</v>
      </c>
      <c r="BF794" s="222">
        <f>BE795/BE794</f>
        <v>0.7434402332361516</v>
      </c>
      <c r="BG794" s="214">
        <v>54.89</v>
      </c>
      <c r="BH794" s="222">
        <f>BG795/BG794</f>
        <v>-0.91546729823282924</v>
      </c>
      <c r="BI794" s="214">
        <v>120.7</v>
      </c>
      <c r="BJ794" s="222">
        <f>BI795/BI794</f>
        <v>8.7572493786246958E-2</v>
      </c>
      <c r="BK794" s="214">
        <v>83.6</v>
      </c>
      <c r="BL794" s="222">
        <f>BK795/BK794</f>
        <v>-0.41626794258373223</v>
      </c>
      <c r="BM794" s="214">
        <v>121.58</v>
      </c>
      <c r="BN794" s="222">
        <f>BM795/BM794</f>
        <v>9.2367165652245356E-2</v>
      </c>
      <c r="BO794" s="214">
        <v>115.75</v>
      </c>
      <c r="BP794" s="222">
        <f>BO795/BO794</f>
        <v>7.7580993520518268E-2</v>
      </c>
      <c r="BQ794" s="214">
        <v>131.62</v>
      </c>
      <c r="BR794" s="222">
        <f>BQ795/BQ794</f>
        <v>0.15582738185686068</v>
      </c>
      <c r="BS794" s="214">
        <v>118.83</v>
      </c>
      <c r="BT794" s="222">
        <f>BS795/BS794</f>
        <v>8.3312294875031612E-2</v>
      </c>
      <c r="BU794" s="214">
        <v>125.2</v>
      </c>
      <c r="BV794" s="222">
        <f>BU795/BU794</f>
        <v>0.12468051118210861</v>
      </c>
      <c r="BW794" s="214">
        <v>135.30000000000001</v>
      </c>
      <c r="BX794" s="222">
        <f>BW795/BW794</f>
        <v>5.2032520325203398E-2</v>
      </c>
      <c r="BY794" s="214">
        <v>165.43</v>
      </c>
      <c r="BZ794" s="222">
        <f>BY795/BY794</f>
        <v>0.14610409236535099</v>
      </c>
      <c r="CA794" s="214">
        <v>112.23</v>
      </c>
      <c r="CB794" s="222">
        <f>CA795/CA794</f>
        <v>0.22632094805310526</v>
      </c>
      <c r="CC794" s="214">
        <v>106.88</v>
      </c>
      <c r="CD794" s="222">
        <f>CC795/CC794</f>
        <v>0.22688997005988024</v>
      </c>
      <c r="CE794" s="214">
        <v>103.16</v>
      </c>
      <c r="CF794" s="222">
        <f>CE795/CE794</f>
        <v>0.20133772780147341</v>
      </c>
      <c r="CG794" s="214">
        <v>104.25</v>
      </c>
      <c r="CH794" s="222">
        <f>CG795/CG794</f>
        <v>0.35405275779376494</v>
      </c>
    </row>
    <row r="795" spans="1:87">
      <c r="C795" s="318" t="s">
        <v>9</v>
      </c>
      <c r="AP795" s="214"/>
      <c r="BE795" s="214">
        <f>BE793+BE794</f>
        <v>40.800000000000004</v>
      </c>
      <c r="BG795" s="214">
        <f>BG793+BG794</f>
        <v>-50.25</v>
      </c>
      <c r="BI795" s="214">
        <f>BI793+BI794</f>
        <v>10.570000000000007</v>
      </c>
      <c r="BK795" s="214">
        <f>BK793+BK794</f>
        <v>-34.800000000000011</v>
      </c>
      <c r="BM795" s="214">
        <f>BM793+BM794</f>
        <v>11.22999999999999</v>
      </c>
      <c r="BO795" s="214">
        <f>BO793+BO794</f>
        <v>8.9799999999999898</v>
      </c>
      <c r="BQ795" s="214">
        <f>BQ793+BQ794</f>
        <v>20.510000000000005</v>
      </c>
      <c r="BS795" s="214">
        <f>BS793+BS794</f>
        <v>9.9000000000000057</v>
      </c>
      <c r="BU795" s="214">
        <f>BU793+BU794</f>
        <v>15.61</v>
      </c>
      <c r="BW795" s="214">
        <f>BW793+BW794</f>
        <v>7.0400000000000205</v>
      </c>
      <c r="BY795" s="214">
        <f>BY793+BY794</f>
        <v>24.170000000000016</v>
      </c>
      <c r="CA795" s="214">
        <f>CA793+CA794</f>
        <v>25.400000000000006</v>
      </c>
      <c r="CC795" s="214">
        <f>CC793+CC794</f>
        <v>24.25</v>
      </c>
      <c r="CE795" s="214">
        <f>CE793+CE794</f>
        <v>20.769999999999996</v>
      </c>
      <c r="CG795" s="214">
        <f>CG793+CG794</f>
        <v>36.909999999999997</v>
      </c>
    </row>
    <row r="796" spans="1:87">
      <c r="A796" s="211">
        <v>230</v>
      </c>
      <c r="C796" s="213" t="s">
        <v>584</v>
      </c>
      <c r="AP796" s="214"/>
      <c r="BE796" s="235"/>
      <c r="BG796" s="235"/>
    </row>
    <row r="797" spans="1:87">
      <c r="C797" s="318" t="s">
        <v>400</v>
      </c>
      <c r="AP797" s="214"/>
      <c r="BE797" s="235">
        <v>45717</v>
      </c>
      <c r="BG797" s="235">
        <v>45748</v>
      </c>
      <c r="BI797" s="235">
        <v>45778</v>
      </c>
      <c r="BK797" s="235">
        <v>45809</v>
      </c>
      <c r="BM797" s="235">
        <v>45839</v>
      </c>
      <c r="BO797" s="235">
        <v>45870</v>
      </c>
      <c r="BQ797" s="235">
        <v>45901</v>
      </c>
      <c r="BS797" s="235">
        <v>45931</v>
      </c>
      <c r="BU797" s="235">
        <v>45962</v>
      </c>
      <c r="BW797" s="235">
        <v>45992</v>
      </c>
      <c r="BY797" s="235">
        <v>46023</v>
      </c>
      <c r="CA797" s="235">
        <v>46054</v>
      </c>
      <c r="CC797" s="235">
        <v>46082</v>
      </c>
      <c r="CE797" s="235">
        <v>46113</v>
      </c>
      <c r="CG797" s="235">
        <v>46143</v>
      </c>
      <c r="CI797" s="341">
        <v>46174</v>
      </c>
    </row>
    <row r="798" spans="1:87">
      <c r="C798" s="213" t="s">
        <v>7</v>
      </c>
      <c r="AP798" s="214"/>
      <c r="BE798" s="238">
        <v>-10.199999999999999</v>
      </c>
      <c r="BG798" s="237">
        <f>-21.19-4.55</f>
        <v>-25.740000000000002</v>
      </c>
      <c r="BI798" s="237">
        <f>-24.43-36.08</f>
        <v>-60.51</v>
      </c>
      <c r="BK798" s="237">
        <f>-90.14-29.33</f>
        <v>-119.47</v>
      </c>
      <c r="BM798" s="237">
        <f>-62-12.54</f>
        <v>-74.539999999999992</v>
      </c>
      <c r="BO798" s="237">
        <f>-56.28-8.04</f>
        <v>-64.319999999999993</v>
      </c>
      <c r="BQ798" s="237">
        <f>-46.18-13.72</f>
        <v>-59.9</v>
      </c>
      <c r="BS798" s="237">
        <f>-51.06-11.15</f>
        <v>-62.21</v>
      </c>
      <c r="BU798" s="237">
        <f>-51.26-14.14</f>
        <v>-65.400000000000006</v>
      </c>
      <c r="BW798" s="237">
        <f>-44.45-19.26</f>
        <v>-63.710000000000008</v>
      </c>
      <c r="BY798" s="237">
        <f>-55.51-10.95</f>
        <v>-66.459999999999994</v>
      </c>
      <c r="CA798" s="237">
        <f>-50.35-8.75</f>
        <v>-59.1</v>
      </c>
      <c r="CC798" s="237">
        <f>-41.93-12.25</f>
        <v>-54.18</v>
      </c>
      <c r="CE798" s="237">
        <f>-43.6-8.8</f>
        <v>-52.400000000000006</v>
      </c>
      <c r="CG798" s="237">
        <v>-42.12</v>
      </c>
    </row>
    <row r="799" spans="1:87">
      <c r="C799" s="213" t="s">
        <v>8</v>
      </c>
      <c r="AP799" s="214"/>
      <c r="AU799" s="222" t="e">
        <f>AT800/AT799</f>
        <v>#DIV/0!</v>
      </c>
      <c r="AW799" s="222" t="e">
        <f>AV800/AV799</f>
        <v>#DIV/0!</v>
      </c>
      <c r="AY799" s="224" t="e">
        <f>AX800/AX799</f>
        <v>#DIV/0!</v>
      </c>
      <c r="AZ799" s="225"/>
      <c r="BB799" s="222" t="e">
        <f>BA800/BA799</f>
        <v>#DIV/0!</v>
      </c>
      <c r="BD799" s="222" t="e">
        <f>BC800/BC799</f>
        <v>#DIV/0!</v>
      </c>
      <c r="BF799" s="222" t="e">
        <f>BE800/BE799</f>
        <v>#DIV/0!</v>
      </c>
      <c r="BG799" s="214"/>
      <c r="BH799" s="222" t="e">
        <f>BG800/BG799</f>
        <v>#DIV/0!</v>
      </c>
      <c r="BI799" s="214">
        <v>35.11</v>
      </c>
      <c r="BJ799" s="222">
        <f>BI800/BI799</f>
        <v>-0.723440615209342</v>
      </c>
      <c r="BK799" s="214">
        <v>53.49</v>
      </c>
      <c r="BL799" s="222">
        <f>BK800/BK799</f>
        <v>-1.2335015890820711</v>
      </c>
      <c r="BM799" s="214">
        <v>31.24</v>
      </c>
      <c r="BN799" s="222">
        <f>BM800/BM799</f>
        <v>-1.3860435339308579</v>
      </c>
      <c r="BO799" s="214">
        <v>63.68</v>
      </c>
      <c r="BP799" s="222">
        <f>BO800/BO799</f>
        <v>-1.0050251256281305E-2</v>
      </c>
      <c r="BQ799" s="214">
        <v>57.88</v>
      </c>
      <c r="BR799" s="222">
        <f>BQ800/BQ799</f>
        <v>-3.4899792674498893E-2</v>
      </c>
      <c r="BS799" s="214">
        <v>62.52</v>
      </c>
      <c r="BT799" s="222">
        <f>BS800/BS799</f>
        <v>4.9584133077415589E-3</v>
      </c>
      <c r="BU799" s="214">
        <v>50.9</v>
      </c>
      <c r="BV799" s="222">
        <f>BU800/BU799</f>
        <v>-0.28487229862475455</v>
      </c>
      <c r="BW799" s="214">
        <v>76.45</v>
      </c>
      <c r="BX799" s="222">
        <f>BW800/BW799</f>
        <v>0.16664486592544139</v>
      </c>
      <c r="BY799" s="214">
        <v>166.81</v>
      </c>
      <c r="BZ799" s="222">
        <f>BY800/BY799</f>
        <v>0.60158263893051978</v>
      </c>
      <c r="CA799" s="214">
        <v>62.39</v>
      </c>
      <c r="CB799" s="222">
        <f>CA800/CA799</f>
        <v>5.2732809745151453E-2</v>
      </c>
      <c r="CC799" s="214">
        <v>54.89</v>
      </c>
      <c r="CD799" s="222">
        <f>CC800/CC799</f>
        <v>1.2934960830752429E-2</v>
      </c>
      <c r="CE799" s="214">
        <v>61.8</v>
      </c>
      <c r="CF799" s="222">
        <f>CE800/CE799</f>
        <v>0.15210355987055002</v>
      </c>
      <c r="CG799" s="214">
        <v>57.45</v>
      </c>
      <c r="CH799" s="222">
        <f>CG800/CG799</f>
        <v>0.26684073107049616</v>
      </c>
    </row>
    <row r="800" spans="1:87">
      <c r="C800" s="213" t="s">
        <v>9</v>
      </c>
      <c r="AP800" s="214"/>
      <c r="BE800" s="214">
        <f>BE798+BE799</f>
        <v>-10.199999999999999</v>
      </c>
      <c r="BG800" s="214">
        <f>BG798+BG799</f>
        <v>-25.740000000000002</v>
      </c>
      <c r="BI800" s="214">
        <f>BI798+BI799</f>
        <v>-25.4</v>
      </c>
      <c r="BK800" s="214">
        <f>BK798+BK799</f>
        <v>-65.97999999999999</v>
      </c>
      <c r="BM800" s="214">
        <f>BM798+BM799</f>
        <v>-43.3</v>
      </c>
      <c r="BO800" s="214">
        <f>BO798+BO799</f>
        <v>-0.63999999999999346</v>
      </c>
      <c r="BQ800" s="214">
        <f>BQ798+BQ799</f>
        <v>-2.019999999999996</v>
      </c>
      <c r="BS800" s="214">
        <f>BS798+BS799</f>
        <v>0.31000000000000227</v>
      </c>
      <c r="BU800" s="214">
        <f>BU798+BU799</f>
        <v>-14.500000000000007</v>
      </c>
      <c r="BW800" s="214">
        <f>BW798+BW799</f>
        <v>12.739999999999995</v>
      </c>
      <c r="BY800" s="214">
        <f>BY798+BY799</f>
        <v>100.35000000000001</v>
      </c>
      <c r="CA800" s="214">
        <f>CA798+CA799</f>
        <v>3.2899999999999991</v>
      </c>
      <c r="CC800" s="214">
        <f>CC798+CC799</f>
        <v>0.71000000000000085</v>
      </c>
      <c r="CE800" s="214">
        <f>CE798+CE799</f>
        <v>9.3999999999999915</v>
      </c>
      <c r="CG800" s="214">
        <f>CG798+CG799</f>
        <v>15.330000000000005</v>
      </c>
    </row>
    <row r="801" spans="1:106">
      <c r="A801" s="211">
        <v>231</v>
      </c>
      <c r="C801" s="318" t="s">
        <v>420</v>
      </c>
      <c r="AP801" s="214"/>
    </row>
    <row r="802" spans="1:106">
      <c r="C802" s="318" t="s">
        <v>421</v>
      </c>
      <c r="AP802" s="214"/>
      <c r="BI802" s="235">
        <v>45778</v>
      </c>
      <c r="BK802" s="235">
        <v>45809</v>
      </c>
      <c r="BM802" s="235">
        <v>45839</v>
      </c>
      <c r="BO802" s="235">
        <v>45870</v>
      </c>
      <c r="BQ802" s="235">
        <v>45901</v>
      </c>
      <c r="BS802" s="235">
        <v>45931</v>
      </c>
      <c r="BU802" s="235">
        <v>45962</v>
      </c>
      <c r="BW802" s="235">
        <v>45992</v>
      </c>
      <c r="BY802" s="235">
        <v>46023</v>
      </c>
      <c r="CA802" s="235">
        <v>46054</v>
      </c>
      <c r="CC802" s="235">
        <v>46082</v>
      </c>
      <c r="CE802" s="235">
        <v>46113</v>
      </c>
      <c r="CG802" s="235">
        <v>46143</v>
      </c>
      <c r="CI802" s="341">
        <v>46174</v>
      </c>
    </row>
    <row r="803" spans="1:106">
      <c r="C803" s="318" t="s">
        <v>7</v>
      </c>
      <c r="AP803" s="214"/>
      <c r="BI803" s="237">
        <v>-71.52</v>
      </c>
      <c r="BK803" s="237">
        <f>-23.92-67.32</f>
        <v>-91.24</v>
      </c>
      <c r="BM803" s="237">
        <f>-18.32-93.84</f>
        <v>-112.16</v>
      </c>
      <c r="BO803" s="237">
        <f>-56.99-94.05</f>
        <v>-151.04</v>
      </c>
      <c r="BQ803" s="237">
        <f>-24.69-77.25</f>
        <v>-101.94</v>
      </c>
      <c r="BS803" s="237">
        <f>-18.58-83.25</f>
        <v>-101.83</v>
      </c>
      <c r="BU803" s="237">
        <f>-19.85-95.04</f>
        <v>-114.89000000000001</v>
      </c>
      <c r="BW803" s="237">
        <f>-11.92-259.56</f>
        <v>-271.48</v>
      </c>
      <c r="BY803" s="237">
        <f>-74.19-111.78</f>
        <v>-185.97</v>
      </c>
      <c r="CA803" s="237">
        <f>-24.27-129.03</f>
        <v>-153.30000000000001</v>
      </c>
      <c r="CC803" s="237">
        <f>-27.94-122.98</f>
        <v>-150.92000000000002</v>
      </c>
      <c r="CE803" s="237">
        <f>-37.74-73.48</f>
        <v>-111.22</v>
      </c>
      <c r="CG803" s="237">
        <f>-26.76-66.24</f>
        <v>-93</v>
      </c>
      <c r="CI803" s="213">
        <v>-8.5399999999999991</v>
      </c>
    </row>
    <row r="804" spans="1:106">
      <c r="C804" s="318" t="s">
        <v>8</v>
      </c>
      <c r="AP804" s="214"/>
      <c r="AU804" s="222" t="e">
        <f>AT805/AT804</f>
        <v>#DIV/0!</v>
      </c>
      <c r="AW804" s="222" t="e">
        <f>AV805/AV804</f>
        <v>#DIV/0!</v>
      </c>
      <c r="AY804" s="224" t="e">
        <f>AX805/AX804</f>
        <v>#DIV/0!</v>
      </c>
      <c r="AZ804" s="225"/>
      <c r="BB804" s="222" t="e">
        <f>BA805/BA804</f>
        <v>#DIV/0!</v>
      </c>
      <c r="BD804" s="222" t="e">
        <f>BC805/BC804</f>
        <v>#DIV/0!</v>
      </c>
      <c r="BF804" s="222" t="e">
        <f>BE805/BE804</f>
        <v>#DIV/0!</v>
      </c>
      <c r="BH804" s="222" t="e">
        <f>BG805/BG804</f>
        <v>#DIV/0!</v>
      </c>
      <c r="BI804" s="214">
        <v>102.46</v>
      </c>
      <c r="BJ804" s="222">
        <f>BI805/BI804</f>
        <v>0.30197150107358967</v>
      </c>
      <c r="BK804" s="214">
        <v>102.34</v>
      </c>
      <c r="BL804" s="222">
        <f>BK805/BK804</f>
        <v>0.10846198944694165</v>
      </c>
      <c r="BM804" s="214">
        <v>153.72999999999999</v>
      </c>
      <c r="BN804" s="222">
        <f>BM805/BM804</f>
        <v>0.2704091589149808</v>
      </c>
      <c r="BO804" s="214">
        <v>166.12</v>
      </c>
      <c r="BP804" s="222">
        <f>BO805/BO804</f>
        <v>9.0777751023356681E-2</v>
      </c>
      <c r="BQ804" s="214">
        <v>111.79</v>
      </c>
      <c r="BR804" s="222">
        <f>BQ805/BQ804</f>
        <v>8.8111637892477043E-2</v>
      </c>
      <c r="BS804" s="214">
        <v>118.24</v>
      </c>
      <c r="BT804" s="222">
        <f>BS805/BS804</f>
        <v>0.13878552097428956</v>
      </c>
      <c r="BU804" s="214">
        <v>137.91999999999999</v>
      </c>
      <c r="BV804" s="222">
        <f>BU805/BU804</f>
        <v>0.1669808584686773</v>
      </c>
      <c r="BW804" s="214">
        <v>284.27</v>
      </c>
      <c r="BX804" s="222">
        <f>BW805/BW804</f>
        <v>4.4992436767861417E-2</v>
      </c>
      <c r="BY804" s="214">
        <v>264.27</v>
      </c>
      <c r="BZ804" s="222">
        <f>BY805/BY804</f>
        <v>0.29628788738789869</v>
      </c>
      <c r="CA804" s="214">
        <v>188.13</v>
      </c>
      <c r="CB804" s="222">
        <f>CA805/CA804</f>
        <v>0.1851379365332482</v>
      </c>
      <c r="CC804" s="214">
        <v>227.31</v>
      </c>
      <c r="CD804" s="222">
        <f>CC805/CC804</f>
        <v>0.33606088601469353</v>
      </c>
      <c r="CE804" s="214">
        <v>111.04</v>
      </c>
      <c r="CF804" s="222">
        <f>CE805/CE804</f>
        <v>-1.6210374639768787E-3</v>
      </c>
      <c r="CG804" s="214">
        <v>109.02</v>
      </c>
      <c r="CH804" s="222">
        <f>CG805/CG804</f>
        <v>0.14694551458447988</v>
      </c>
    </row>
    <row r="805" spans="1:106">
      <c r="C805" s="318" t="s">
        <v>9</v>
      </c>
      <c r="AP805" s="214"/>
      <c r="BI805" s="214">
        <f>BI803+BI804</f>
        <v>30.939999999999998</v>
      </c>
      <c r="BK805" s="214">
        <f>BK803+BK804</f>
        <v>11.100000000000009</v>
      </c>
      <c r="BM805" s="214">
        <f>BM803+BM804</f>
        <v>41.569999999999993</v>
      </c>
      <c r="BO805" s="214">
        <f>BO803+BO804</f>
        <v>15.080000000000013</v>
      </c>
      <c r="BQ805" s="214">
        <f>BQ803+BQ804</f>
        <v>9.8500000000000085</v>
      </c>
      <c r="BS805" s="214">
        <f>BS803+BS804</f>
        <v>16.409999999999997</v>
      </c>
      <c r="BU805" s="214">
        <f>BU803+BU804</f>
        <v>23.029999999999973</v>
      </c>
      <c r="BW805" s="214">
        <f>BW803+BW804</f>
        <v>12.789999999999964</v>
      </c>
      <c r="BY805" s="214">
        <f>BY803+BY804</f>
        <v>78.299999999999983</v>
      </c>
      <c r="CA805" s="214">
        <f>CA803+CA804</f>
        <v>34.829999999999984</v>
      </c>
      <c r="CC805" s="214">
        <f>CC803+CC804</f>
        <v>76.389999999999986</v>
      </c>
      <c r="CE805" s="214">
        <f>CE803+CE804</f>
        <v>-0.17999999999999261</v>
      </c>
      <c r="CG805" s="214">
        <f>CG803+CG804</f>
        <v>16.019999999999996</v>
      </c>
    </row>
    <row r="806" spans="1:106">
      <c r="A806" s="211">
        <v>232</v>
      </c>
      <c r="C806" s="318" t="s">
        <v>422</v>
      </c>
      <c r="AP806" s="214"/>
    </row>
    <row r="807" spans="1:106">
      <c r="C807" s="318" t="s">
        <v>423</v>
      </c>
      <c r="AP807" s="214"/>
      <c r="BI807" s="235">
        <v>45778</v>
      </c>
      <c r="BK807" s="235">
        <v>45809</v>
      </c>
      <c r="BM807" s="235">
        <v>45839</v>
      </c>
      <c r="BO807" s="235">
        <v>45870</v>
      </c>
      <c r="BQ807" s="235">
        <v>45901</v>
      </c>
      <c r="BS807" s="235">
        <v>45931</v>
      </c>
      <c r="BU807" s="235">
        <v>45962</v>
      </c>
      <c r="BW807" s="235">
        <v>45992</v>
      </c>
      <c r="BY807" s="235">
        <v>46023</v>
      </c>
      <c r="CA807" s="235">
        <v>46054</v>
      </c>
      <c r="CC807" s="235">
        <v>46082</v>
      </c>
      <c r="CE807" s="235">
        <v>46113</v>
      </c>
      <c r="CG807" s="235">
        <v>46143</v>
      </c>
      <c r="CI807" s="341">
        <v>46174</v>
      </c>
    </row>
    <row r="808" spans="1:106">
      <c r="C808" s="318" t="s">
        <v>7</v>
      </c>
      <c r="AP808" s="214"/>
      <c r="BI808" s="237">
        <v>-4.5999999999999996</v>
      </c>
      <c r="BK808" s="237">
        <v>-34.5</v>
      </c>
      <c r="BM808" s="237">
        <f>-6.8-30.75</f>
        <v>-37.549999999999997</v>
      </c>
      <c r="BO808" s="237">
        <f>-13.42-24.4</f>
        <v>-37.82</v>
      </c>
      <c r="BQ808" s="237">
        <f>-4.89-29.12</f>
        <v>-34.01</v>
      </c>
      <c r="BS808" s="237">
        <f>-6.79-26.75</f>
        <v>-33.54</v>
      </c>
      <c r="BU808" s="237">
        <f>BW811-6.3-BT808-26.4</f>
        <v>-32.699999999999996</v>
      </c>
      <c r="BW808" s="237">
        <f>-4.31-24.2</f>
        <v>-28.509999999999998</v>
      </c>
      <c r="BY808" s="237">
        <f>-15.23-24.64</f>
        <v>-39.870000000000005</v>
      </c>
      <c r="CA808" s="237">
        <f>-9.07-20.4</f>
        <v>-29.47</v>
      </c>
      <c r="CC808" s="237">
        <f>-8.2-20.01</f>
        <v>-28.21</v>
      </c>
      <c r="CE808" s="237">
        <f>-7.07-19.14</f>
        <v>-26.21</v>
      </c>
      <c r="CG808" s="214">
        <f>-7.69-22.44</f>
        <v>-30.130000000000003</v>
      </c>
      <c r="CI808" s="213">
        <v>-4.16</v>
      </c>
    </row>
    <row r="809" spans="1:106">
      <c r="C809" s="318" t="s">
        <v>8</v>
      </c>
      <c r="AP809" s="214"/>
      <c r="AU809" s="222" t="e">
        <f>AT810/AT809</f>
        <v>#DIV/0!</v>
      </c>
      <c r="AW809" s="222" t="e">
        <f>AV810/AV809</f>
        <v>#DIV/0!</v>
      </c>
      <c r="AY809" s="224" t="e">
        <f>AX810/AX809</f>
        <v>#DIV/0!</v>
      </c>
      <c r="AZ809" s="225"/>
      <c r="BB809" s="222" t="e">
        <f>BA810/BA809</f>
        <v>#DIV/0!</v>
      </c>
      <c r="BD809" s="222" t="e">
        <f>BC810/BC809</f>
        <v>#DIV/0!</v>
      </c>
      <c r="BF809" s="222" t="e">
        <f>BE810/BE809</f>
        <v>#DIV/0!</v>
      </c>
      <c r="BH809" s="222" t="e">
        <f>BG810/BG809</f>
        <v>#DIV/0!</v>
      </c>
      <c r="BI809" s="214">
        <v>7.3</v>
      </c>
      <c r="BJ809" s="222">
        <f>BI810/BI809</f>
        <v>0.36986301369863017</v>
      </c>
      <c r="BK809" s="214">
        <v>43.78</v>
      </c>
      <c r="BL809" s="222">
        <f>BK810/BK809</f>
        <v>0.21196893558702606</v>
      </c>
      <c r="BM809" s="214">
        <v>42.92</v>
      </c>
      <c r="BN809" s="222">
        <f>BM810/BM809</f>
        <v>0.12511649580615108</v>
      </c>
      <c r="BO809" s="214">
        <v>43.33</v>
      </c>
      <c r="BP809" s="222">
        <f>BO810/BO809</f>
        <v>0.12716362797138236</v>
      </c>
      <c r="BQ809" s="214">
        <v>39.4</v>
      </c>
      <c r="BR809" s="222">
        <f>BQ810/BQ809</f>
        <v>0.13680203045685282</v>
      </c>
      <c r="BS809" s="214">
        <v>37.28</v>
      </c>
      <c r="BT809" s="222">
        <f>BS810/BS809</f>
        <v>0.10032188841201722</v>
      </c>
      <c r="BU809" s="214">
        <v>36.79</v>
      </c>
      <c r="BV809" s="222">
        <f>BU810/BU809</f>
        <v>0.11117151399836922</v>
      </c>
      <c r="BW809" s="214">
        <v>38.299999999999997</v>
      </c>
      <c r="BX809" s="222">
        <f>BW810/BW809</f>
        <v>0.25561357702349868</v>
      </c>
      <c r="BY809" s="214">
        <v>40.68</v>
      </c>
      <c r="BZ809" s="222">
        <f>BY810/BY809</f>
        <v>1.9911504424778643E-2</v>
      </c>
      <c r="CA809" s="214">
        <v>34.770000000000003</v>
      </c>
      <c r="CB809" s="222">
        <f>CA810/CA809</f>
        <v>0.15243025596778842</v>
      </c>
      <c r="CC809" s="214">
        <v>35.6</v>
      </c>
      <c r="CD809" s="222">
        <f>CC810/CC809</f>
        <v>0.20758426966292134</v>
      </c>
      <c r="CE809" s="214">
        <v>34.47</v>
      </c>
      <c r="CF809" s="222">
        <f>CE810/CE809</f>
        <v>0.23962866260516386</v>
      </c>
      <c r="CG809" s="214">
        <v>34.64</v>
      </c>
      <c r="CH809" s="222">
        <f>CG810/CG809</f>
        <v>0.13019630484988445</v>
      </c>
    </row>
    <row r="810" spans="1:106">
      <c r="C810" s="318" t="s">
        <v>9</v>
      </c>
      <c r="AP810" s="214"/>
      <c r="BI810" s="214">
        <f>BI808+BI809</f>
        <v>2.7</v>
      </c>
      <c r="BK810" s="214">
        <f>BK808+BK809</f>
        <v>9.2800000000000011</v>
      </c>
      <c r="BM810" s="214">
        <f>BM808+BM809</f>
        <v>5.3700000000000045</v>
      </c>
      <c r="BO810" s="214">
        <f>BO808+BO809</f>
        <v>5.509999999999998</v>
      </c>
      <c r="BQ810" s="214">
        <f>BQ808+BQ809</f>
        <v>5.3900000000000006</v>
      </c>
      <c r="BS810" s="214">
        <f>BS808+BS809</f>
        <v>3.740000000000002</v>
      </c>
      <c r="BU810" s="214">
        <f>BU808+BU809</f>
        <v>4.0900000000000034</v>
      </c>
      <c r="BW810" s="214">
        <f>BW808+BW809</f>
        <v>9.7899999999999991</v>
      </c>
      <c r="BY810" s="214">
        <f>BY808+BY809</f>
        <v>0.80999999999999517</v>
      </c>
      <c r="CA810" s="214">
        <f>CA808+CA809</f>
        <v>5.3000000000000043</v>
      </c>
      <c r="CC810" s="214">
        <f>CC808+CC809</f>
        <v>7.3900000000000006</v>
      </c>
      <c r="CE810" s="214">
        <f>CE808+CE809</f>
        <v>8.259999999999998</v>
      </c>
      <c r="CG810" s="214">
        <f>CG808+CG809</f>
        <v>4.509999999999998</v>
      </c>
    </row>
    <row r="811" spans="1:106" hidden="1">
      <c r="A811" s="337">
        <v>233</v>
      </c>
      <c r="B811" s="338" t="s">
        <v>30</v>
      </c>
      <c r="C811" s="318" t="s">
        <v>618</v>
      </c>
      <c r="D811" s="339"/>
      <c r="E811" s="339"/>
      <c r="F811" s="318"/>
      <c r="G811" s="318"/>
      <c r="H811" s="318"/>
      <c r="I811" s="318"/>
      <c r="J811" s="318"/>
      <c r="K811" s="318"/>
      <c r="L811" s="318"/>
      <c r="M811" s="318"/>
      <c r="N811" s="318"/>
      <c r="O811" s="318"/>
      <c r="P811" s="318"/>
      <c r="Q811" s="318"/>
      <c r="R811" s="318"/>
      <c r="S811" s="340"/>
      <c r="T811" s="340"/>
      <c r="U811" s="340"/>
      <c r="V811" s="318"/>
      <c r="W811" s="340"/>
      <c r="X811" s="318"/>
      <c r="Y811" s="318"/>
      <c r="Z811" s="318"/>
      <c r="AA811" s="318"/>
      <c r="AB811" s="318"/>
      <c r="AC811" s="318"/>
      <c r="AD811" s="318"/>
      <c r="AE811" s="318"/>
      <c r="AF811" s="318"/>
      <c r="AG811" s="318"/>
      <c r="AH811" s="318"/>
      <c r="AI811" s="318"/>
      <c r="AJ811" s="318"/>
      <c r="AK811" s="318"/>
      <c r="AL811" s="318"/>
      <c r="AM811" s="318"/>
      <c r="AN811" s="318"/>
      <c r="AO811" s="318"/>
      <c r="AP811" s="318"/>
      <c r="AQ811" s="318"/>
      <c r="AR811" s="318"/>
      <c r="AS811" s="318"/>
      <c r="AT811" s="318"/>
      <c r="AU811" s="318"/>
      <c r="AV811" s="318"/>
      <c r="AW811" s="318"/>
      <c r="AX811" s="318"/>
      <c r="AY811" s="318"/>
      <c r="AZ811" s="318"/>
      <c r="BA811" s="318"/>
      <c r="BB811" s="318"/>
      <c r="BC811" s="318"/>
      <c r="BD811" s="318"/>
      <c r="BE811" s="318"/>
      <c r="BF811" s="318"/>
      <c r="BG811" s="318"/>
      <c r="BH811" s="318"/>
      <c r="BI811" s="318"/>
      <c r="BJ811" s="318"/>
      <c r="BK811" s="318"/>
      <c r="BL811" s="318"/>
      <c r="BM811" s="318"/>
      <c r="BN811" s="318"/>
      <c r="BO811" s="318"/>
      <c r="BP811" s="318"/>
      <c r="BQ811" s="318"/>
      <c r="BR811" s="318"/>
      <c r="BS811" s="318"/>
      <c r="BT811" s="318"/>
      <c r="BU811" s="318"/>
      <c r="BV811" s="318"/>
      <c r="BW811" s="318"/>
      <c r="BX811" s="318"/>
      <c r="BY811" s="318"/>
      <c r="BZ811" s="318"/>
      <c r="CA811" s="318"/>
      <c r="CB811" s="318"/>
      <c r="CC811" s="318"/>
      <c r="CD811" s="318"/>
      <c r="CE811" s="318"/>
      <c r="CF811" s="318"/>
      <c r="CG811" s="318"/>
      <c r="CH811" s="318"/>
      <c r="CI811" s="318"/>
      <c r="CJ811" s="318"/>
      <c r="CK811" s="318"/>
      <c r="CL811" s="318"/>
      <c r="CM811" s="318"/>
      <c r="CN811" s="318"/>
      <c r="CO811" s="318"/>
      <c r="CP811" s="318"/>
      <c r="CQ811" s="318"/>
      <c r="CR811" s="318"/>
      <c r="CS811" s="318"/>
      <c r="CT811" s="318"/>
      <c r="CU811" s="318"/>
      <c r="CV811" s="318"/>
      <c r="CW811" s="318"/>
      <c r="CX811" s="318"/>
      <c r="CY811" s="318"/>
      <c r="CZ811" s="318"/>
      <c r="DA811" s="318"/>
      <c r="DB811" s="318"/>
    </row>
    <row r="812" spans="1:106" hidden="1">
      <c r="A812" s="337"/>
      <c r="B812" s="337"/>
      <c r="C812" s="318" t="s">
        <v>619</v>
      </c>
      <c r="D812" s="339"/>
      <c r="E812" s="339"/>
      <c r="F812" s="318"/>
      <c r="G812" s="318"/>
      <c r="H812" s="318"/>
      <c r="I812" s="318"/>
      <c r="J812" s="318"/>
      <c r="K812" s="318"/>
      <c r="L812" s="318"/>
      <c r="M812" s="318"/>
      <c r="N812" s="318"/>
      <c r="O812" s="318"/>
      <c r="P812" s="318"/>
      <c r="Q812" s="318"/>
      <c r="R812" s="318"/>
      <c r="S812" s="340"/>
      <c r="T812" s="340"/>
      <c r="U812" s="340"/>
      <c r="V812" s="318"/>
      <c r="W812" s="340"/>
      <c r="X812" s="318"/>
      <c r="Y812" s="318"/>
      <c r="Z812" s="318"/>
      <c r="AA812" s="318"/>
      <c r="AB812" s="318"/>
      <c r="AC812" s="318"/>
      <c r="AD812" s="318"/>
      <c r="AE812" s="318"/>
      <c r="AF812" s="318"/>
      <c r="AG812" s="318"/>
      <c r="AH812" s="318"/>
      <c r="AI812" s="318"/>
      <c r="AJ812" s="318"/>
      <c r="AK812" s="318"/>
      <c r="AL812" s="318"/>
      <c r="AM812" s="318"/>
      <c r="AN812" s="318"/>
      <c r="AO812" s="318"/>
      <c r="AP812" s="318"/>
      <c r="AQ812" s="318"/>
      <c r="AR812" s="318"/>
      <c r="AS812" s="318"/>
      <c r="AT812" s="318"/>
      <c r="AU812" s="318"/>
      <c r="AV812" s="318"/>
      <c r="AW812" s="318"/>
      <c r="AX812" s="318"/>
      <c r="AY812" s="318"/>
      <c r="AZ812" s="318"/>
      <c r="BA812" s="318"/>
      <c r="BB812" s="318"/>
      <c r="BC812" s="318"/>
      <c r="BD812" s="318"/>
      <c r="BE812" s="318"/>
      <c r="BF812" s="318"/>
      <c r="BG812" s="318"/>
      <c r="BH812" s="318"/>
      <c r="BI812" s="341">
        <v>45778</v>
      </c>
      <c r="BJ812" s="318"/>
      <c r="BK812" s="341">
        <v>45809</v>
      </c>
      <c r="BL812" s="318"/>
      <c r="BM812" s="341">
        <v>45839</v>
      </c>
      <c r="BN812" s="318"/>
      <c r="BO812" s="341">
        <v>45870</v>
      </c>
      <c r="BP812" s="318"/>
      <c r="BQ812" s="235">
        <v>45901</v>
      </c>
      <c r="BR812" s="318"/>
      <c r="BS812" s="235">
        <v>45931</v>
      </c>
      <c r="BT812" s="318"/>
      <c r="BU812" s="318"/>
      <c r="BV812" s="318"/>
      <c r="BW812" s="341"/>
      <c r="BX812" s="318"/>
      <c r="BY812" s="341"/>
      <c r="BZ812" s="318"/>
      <c r="CA812" s="341"/>
      <c r="CB812" s="318"/>
      <c r="CC812" s="318"/>
      <c r="CD812" s="318"/>
      <c r="CE812" s="318"/>
      <c r="CF812" s="318"/>
      <c r="CG812" s="318"/>
      <c r="CH812" s="318"/>
      <c r="CI812" s="318"/>
      <c r="CJ812" s="318"/>
      <c r="CK812" s="318"/>
      <c r="CL812" s="318"/>
      <c r="CM812" s="318"/>
      <c r="CN812" s="318"/>
      <c r="CO812" s="318"/>
      <c r="CP812" s="318"/>
      <c r="CQ812" s="318"/>
      <c r="CR812" s="318"/>
      <c r="CS812" s="318"/>
      <c r="CT812" s="318"/>
      <c r="CU812" s="318"/>
      <c r="CV812" s="318"/>
      <c r="CW812" s="318"/>
      <c r="CX812" s="318"/>
      <c r="CY812" s="318"/>
      <c r="CZ812" s="318"/>
      <c r="DA812" s="318"/>
      <c r="DB812" s="318"/>
    </row>
    <row r="813" spans="1:106" hidden="1">
      <c r="A813" s="337"/>
      <c r="B813" s="337"/>
      <c r="C813" s="318" t="s">
        <v>7</v>
      </c>
      <c r="D813" s="339"/>
      <c r="E813" s="339"/>
      <c r="F813" s="318"/>
      <c r="G813" s="318"/>
      <c r="H813" s="318"/>
      <c r="I813" s="318"/>
      <c r="J813" s="318"/>
      <c r="K813" s="318"/>
      <c r="L813" s="318"/>
      <c r="M813" s="318"/>
      <c r="N813" s="318"/>
      <c r="O813" s="318"/>
      <c r="P813" s="318"/>
      <c r="Q813" s="318"/>
      <c r="R813" s="318"/>
      <c r="S813" s="340"/>
      <c r="T813" s="340"/>
      <c r="U813" s="340"/>
      <c r="V813" s="318"/>
      <c r="W813" s="340"/>
      <c r="X813" s="318"/>
      <c r="Y813" s="318"/>
      <c r="Z813" s="318"/>
      <c r="AA813" s="318"/>
      <c r="AB813" s="318"/>
      <c r="AC813" s="318"/>
      <c r="AD813" s="318"/>
      <c r="AE813" s="318"/>
      <c r="AF813" s="318"/>
      <c r="AG813" s="318"/>
      <c r="AH813" s="318"/>
      <c r="AI813" s="318"/>
      <c r="AJ813" s="318"/>
      <c r="AK813" s="318"/>
      <c r="AL813" s="318"/>
      <c r="AM813" s="318"/>
      <c r="AN813" s="318"/>
      <c r="AO813" s="318"/>
      <c r="AP813" s="318"/>
      <c r="AQ813" s="318"/>
      <c r="AR813" s="318"/>
      <c r="AS813" s="318"/>
      <c r="AT813" s="318"/>
      <c r="AU813" s="318"/>
      <c r="AV813" s="318"/>
      <c r="AW813" s="318"/>
      <c r="AX813" s="318"/>
      <c r="AY813" s="318"/>
      <c r="AZ813" s="318"/>
      <c r="BA813" s="318"/>
      <c r="BB813" s="318"/>
      <c r="BC813" s="318"/>
      <c r="BD813" s="318"/>
      <c r="BE813" s="318"/>
      <c r="BF813" s="318"/>
      <c r="BG813" s="318"/>
      <c r="BH813" s="318"/>
      <c r="BI813" s="342">
        <v>-29.65</v>
      </c>
      <c r="BJ813" s="318"/>
      <c r="BK813" s="342">
        <v>-71.75</v>
      </c>
      <c r="BL813" s="318"/>
      <c r="BM813" s="342">
        <v>-125.77</v>
      </c>
      <c r="BN813" s="318"/>
      <c r="BO813" s="343">
        <v>-140.76</v>
      </c>
      <c r="BP813" s="318"/>
      <c r="BQ813" s="340"/>
      <c r="BR813" s="318"/>
      <c r="BS813" s="340"/>
      <c r="BT813" s="318"/>
      <c r="BU813" s="318"/>
      <c r="BV813" s="318"/>
      <c r="BW813" s="344"/>
      <c r="BX813" s="318"/>
      <c r="BY813" s="344"/>
      <c r="BZ813" s="318"/>
      <c r="CA813" s="344"/>
      <c r="CB813" s="318"/>
      <c r="CC813" s="318"/>
      <c r="CD813" s="318"/>
      <c r="CE813" s="318"/>
      <c r="CF813" s="318"/>
      <c r="CG813" s="318"/>
      <c r="CH813" s="318"/>
      <c r="CI813" s="318"/>
      <c r="CJ813" s="318"/>
      <c r="CK813" s="318"/>
      <c r="CL813" s="318"/>
      <c r="CM813" s="318"/>
      <c r="CN813" s="318"/>
      <c r="CO813" s="318"/>
      <c r="CP813" s="318"/>
      <c r="CQ813" s="318"/>
      <c r="CR813" s="318"/>
      <c r="CS813" s="318"/>
      <c r="CT813" s="318"/>
      <c r="CU813" s="318"/>
      <c r="CV813" s="318"/>
      <c r="CW813" s="318"/>
      <c r="CX813" s="318"/>
      <c r="CY813" s="318"/>
      <c r="CZ813" s="318"/>
      <c r="DA813" s="318"/>
      <c r="DB813" s="318"/>
    </row>
    <row r="814" spans="1:106" hidden="1">
      <c r="A814" s="337"/>
      <c r="B814" s="337"/>
      <c r="C814" s="318" t="s">
        <v>8</v>
      </c>
      <c r="D814" s="339"/>
      <c r="E814" s="339"/>
      <c r="F814" s="318"/>
      <c r="G814" s="318"/>
      <c r="H814" s="318"/>
      <c r="I814" s="318"/>
      <c r="J814" s="318"/>
      <c r="K814" s="318"/>
      <c r="L814" s="318"/>
      <c r="M814" s="318"/>
      <c r="N814" s="318"/>
      <c r="O814" s="318"/>
      <c r="P814" s="318"/>
      <c r="Q814" s="318"/>
      <c r="R814" s="318"/>
      <c r="S814" s="340"/>
      <c r="T814" s="340"/>
      <c r="U814" s="340"/>
      <c r="V814" s="318"/>
      <c r="W814" s="340"/>
      <c r="X814" s="318"/>
      <c r="Y814" s="318"/>
      <c r="Z814" s="318"/>
      <c r="AA814" s="318"/>
      <c r="AB814" s="318"/>
      <c r="AC814" s="318"/>
      <c r="AD814" s="318"/>
      <c r="AE814" s="318"/>
      <c r="AF814" s="318"/>
      <c r="AG814" s="318"/>
      <c r="AH814" s="318"/>
      <c r="AI814" s="318"/>
      <c r="AJ814" s="318"/>
      <c r="AK814" s="318"/>
      <c r="AL814" s="318"/>
      <c r="AM814" s="318"/>
      <c r="AN814" s="318"/>
      <c r="AO814" s="318"/>
      <c r="AP814" s="318"/>
      <c r="AQ814" s="318"/>
      <c r="AR814" s="318"/>
      <c r="AS814" s="318"/>
      <c r="AT814" s="318"/>
      <c r="AU814" s="318"/>
      <c r="AV814" s="318"/>
      <c r="AW814" s="318"/>
      <c r="AX814" s="318"/>
      <c r="AY814" s="318"/>
      <c r="AZ814" s="318"/>
      <c r="BA814" s="318"/>
      <c r="BB814" s="318"/>
      <c r="BC814" s="318"/>
      <c r="BD814" s="318"/>
      <c r="BE814" s="318"/>
      <c r="BF814" s="318"/>
      <c r="BG814" s="318"/>
      <c r="BH814" s="318"/>
      <c r="BI814" s="340">
        <v>45.8</v>
      </c>
      <c r="BJ814" s="318"/>
      <c r="BK814" s="340">
        <v>87.03</v>
      </c>
      <c r="BL814" s="318"/>
      <c r="BM814" s="340">
        <v>160.94999999999999</v>
      </c>
      <c r="BN814" s="318"/>
      <c r="BO814" s="340"/>
      <c r="BP814" s="318"/>
      <c r="BQ814" s="340"/>
      <c r="BR814" s="318"/>
      <c r="BS814" s="340"/>
      <c r="BT814" s="318"/>
      <c r="BU814" s="318"/>
      <c r="BV814" s="318"/>
      <c r="BW814" s="318"/>
      <c r="BX814" s="318"/>
      <c r="BY814" s="318"/>
      <c r="BZ814" s="318"/>
      <c r="CA814" s="318"/>
      <c r="CB814" s="318"/>
      <c r="CC814" s="318"/>
      <c r="CD814" s="318"/>
      <c r="CE814" s="318"/>
      <c r="CF814" s="318"/>
      <c r="CG814" s="318"/>
      <c r="CH814" s="318"/>
      <c r="CI814" s="318"/>
      <c r="CJ814" s="318"/>
      <c r="CK814" s="318"/>
      <c r="CL814" s="318"/>
      <c r="CM814" s="318"/>
      <c r="CN814" s="318"/>
      <c r="CO814" s="318"/>
      <c r="CP814" s="318"/>
      <c r="CQ814" s="318"/>
      <c r="CR814" s="318"/>
      <c r="CS814" s="318"/>
      <c r="CT814" s="318"/>
      <c r="CU814" s="318"/>
      <c r="CV814" s="318"/>
      <c r="CW814" s="318"/>
      <c r="CX814" s="318"/>
      <c r="CY814" s="318"/>
      <c r="CZ814" s="318"/>
      <c r="DA814" s="318"/>
      <c r="DB814" s="318"/>
    </row>
    <row r="815" spans="1:106" hidden="1">
      <c r="A815" s="337"/>
      <c r="B815" s="337"/>
      <c r="C815" s="318" t="s">
        <v>9</v>
      </c>
      <c r="D815" s="339"/>
      <c r="E815" s="339"/>
      <c r="F815" s="318"/>
      <c r="G815" s="318"/>
      <c r="H815" s="318"/>
      <c r="I815" s="318"/>
      <c r="J815" s="318"/>
      <c r="K815" s="318"/>
      <c r="L815" s="318"/>
      <c r="M815" s="318"/>
      <c r="N815" s="318"/>
      <c r="O815" s="318"/>
      <c r="P815" s="318"/>
      <c r="Q815" s="318"/>
      <c r="R815" s="318"/>
      <c r="S815" s="340"/>
      <c r="T815" s="340"/>
      <c r="U815" s="340"/>
      <c r="V815" s="318"/>
      <c r="W815" s="340"/>
      <c r="X815" s="318"/>
      <c r="Y815" s="318"/>
      <c r="Z815" s="318"/>
      <c r="AA815" s="318"/>
      <c r="AB815" s="318"/>
      <c r="AC815" s="318"/>
      <c r="AD815" s="318"/>
      <c r="AE815" s="318"/>
      <c r="AF815" s="318"/>
      <c r="AG815" s="318"/>
      <c r="AH815" s="318"/>
      <c r="AI815" s="318"/>
      <c r="AJ815" s="318"/>
      <c r="AK815" s="318"/>
      <c r="AL815" s="318"/>
      <c r="AM815" s="318"/>
      <c r="AN815" s="318"/>
      <c r="AO815" s="318"/>
      <c r="AP815" s="318"/>
      <c r="AQ815" s="318"/>
      <c r="AR815" s="318"/>
      <c r="AS815" s="318"/>
      <c r="AT815" s="318"/>
      <c r="AU815" s="318"/>
      <c r="AV815" s="318"/>
      <c r="AW815" s="318"/>
      <c r="AX815" s="318"/>
      <c r="AY815" s="318"/>
      <c r="AZ815" s="318"/>
      <c r="BA815" s="318"/>
      <c r="BB815" s="318"/>
      <c r="BC815" s="318"/>
      <c r="BD815" s="318"/>
      <c r="BE815" s="318"/>
      <c r="BF815" s="318"/>
      <c r="BG815" s="318"/>
      <c r="BH815" s="318"/>
      <c r="BI815" s="214">
        <f>BI813+BI814</f>
        <v>16.149999999999999</v>
      </c>
      <c r="BJ815" s="318"/>
      <c r="BK815" s="214">
        <f>BK813+BK814</f>
        <v>15.280000000000001</v>
      </c>
      <c r="BL815" s="318"/>
      <c r="BM815" s="214">
        <f>BM813+BM814</f>
        <v>35.179999999999993</v>
      </c>
      <c r="BN815" s="318"/>
      <c r="BO815" s="214">
        <f>BO813+BO814</f>
        <v>-140.76</v>
      </c>
      <c r="BP815" s="318"/>
      <c r="BQ815" s="214">
        <f>BQ813+BQ814</f>
        <v>0</v>
      </c>
      <c r="BR815" s="318"/>
      <c r="BS815" s="214">
        <f>BS813+BS814</f>
        <v>0</v>
      </c>
      <c r="BT815" s="318"/>
      <c r="BU815" s="318"/>
      <c r="BV815" s="318"/>
      <c r="BW815" s="318"/>
      <c r="BX815" s="318"/>
      <c r="BY815" s="318"/>
      <c r="BZ815" s="318"/>
      <c r="CA815" s="318"/>
      <c r="CB815" s="318"/>
      <c r="CC815" s="318"/>
      <c r="CD815" s="318"/>
      <c r="CE815" s="318"/>
      <c r="CF815" s="318"/>
      <c r="CG815" s="318"/>
      <c r="CH815" s="318"/>
      <c r="CI815" s="318"/>
      <c r="CJ815" s="318"/>
      <c r="CK815" s="318"/>
      <c r="CL815" s="318"/>
      <c r="CM815" s="318"/>
      <c r="CN815" s="318"/>
      <c r="CO815" s="318"/>
      <c r="CP815" s="318"/>
      <c r="CQ815" s="318"/>
      <c r="CR815" s="318"/>
      <c r="CS815" s="318"/>
      <c r="CT815" s="318"/>
      <c r="CU815" s="318"/>
      <c r="CV815" s="318"/>
      <c r="CW815" s="318"/>
      <c r="CX815" s="318"/>
      <c r="CY815" s="318"/>
      <c r="CZ815" s="318"/>
      <c r="DA815" s="318"/>
      <c r="DB815" s="318"/>
    </row>
    <row r="816" spans="1:106">
      <c r="A816" s="211">
        <v>234</v>
      </c>
      <c r="C816" s="318" t="s">
        <v>581</v>
      </c>
      <c r="AP816" s="214"/>
      <c r="BI816" s="341"/>
      <c r="BK816" s="341"/>
      <c r="BM816" s="318"/>
      <c r="BO816" s="318"/>
      <c r="BQ816" s="318"/>
    </row>
    <row r="817" spans="1:87">
      <c r="C817" s="318" t="s">
        <v>582</v>
      </c>
      <c r="AP817" s="214"/>
      <c r="BI817" s="235">
        <v>45778</v>
      </c>
      <c r="BK817" s="235">
        <v>45809</v>
      </c>
      <c r="BM817" s="235">
        <v>45839</v>
      </c>
      <c r="BO817" s="235">
        <v>45870</v>
      </c>
      <c r="BQ817" s="235">
        <v>45901</v>
      </c>
      <c r="BS817" s="235">
        <v>45931</v>
      </c>
      <c r="BU817" s="235">
        <v>45962</v>
      </c>
      <c r="BW817" s="235">
        <v>45992</v>
      </c>
      <c r="BY817" s="235">
        <v>46023</v>
      </c>
      <c r="CA817" s="235">
        <v>46054</v>
      </c>
      <c r="CC817" s="235">
        <v>46082</v>
      </c>
      <c r="CE817" s="235">
        <v>46113</v>
      </c>
      <c r="CG817" s="235">
        <v>46143</v>
      </c>
      <c r="CI817" s="341">
        <v>46174</v>
      </c>
    </row>
    <row r="818" spans="1:87">
      <c r="C818" s="318" t="s">
        <v>7</v>
      </c>
      <c r="AP818" s="214"/>
      <c r="BK818" s="238">
        <v>-17.72</v>
      </c>
      <c r="BM818" s="237">
        <f>-115.31-21.25</f>
        <v>-136.56</v>
      </c>
      <c r="BO818" s="237">
        <f>-110.41-21.15</f>
        <v>-131.56</v>
      </c>
      <c r="BQ818" s="237">
        <f>-101.48-22.62</f>
        <v>-124.10000000000001</v>
      </c>
      <c r="BS818" s="237">
        <f>-97.99-17.85</f>
        <v>-115.84</v>
      </c>
      <c r="BU818" s="237">
        <f>-85.8-18.96</f>
        <v>-104.75999999999999</v>
      </c>
      <c r="BW818" s="237">
        <f>-53.75-25.01-4.04</f>
        <v>-82.800000000000011</v>
      </c>
      <c r="BY818" s="237">
        <f>-125.35-2.46</f>
        <v>-127.80999999999999</v>
      </c>
      <c r="CA818" s="237">
        <f>-66.5-2.37</f>
        <v>-68.87</v>
      </c>
      <c r="CC818" s="237">
        <f>-71.22-1.41</f>
        <v>-72.63</v>
      </c>
      <c r="CE818" s="237">
        <f>-40.83-1.64</f>
        <v>-42.47</v>
      </c>
      <c r="CG818" s="237">
        <f>-44.33-0.01-1.3</f>
        <v>-45.639999999999993</v>
      </c>
      <c r="CI818" s="238">
        <v>-3.9</v>
      </c>
    </row>
    <row r="819" spans="1:87">
      <c r="C819" s="318" t="s">
        <v>8</v>
      </c>
      <c r="AP819" s="214"/>
      <c r="AU819" s="222" t="e">
        <f>AT820/AT819</f>
        <v>#DIV/0!</v>
      </c>
      <c r="AW819" s="222" t="e">
        <f>AV820/AV819</f>
        <v>#DIV/0!</v>
      </c>
      <c r="AY819" s="224" t="e">
        <f>AX820/AX819</f>
        <v>#DIV/0!</v>
      </c>
      <c r="AZ819" s="225"/>
      <c r="BB819" s="222" t="e">
        <f>BA820/BA819</f>
        <v>#DIV/0!</v>
      </c>
      <c r="BD819" s="222" t="e">
        <f>BC820/BC819</f>
        <v>#DIV/0!</v>
      </c>
      <c r="BF819" s="222" t="e">
        <f>BE820/BE819</f>
        <v>#DIV/0!</v>
      </c>
      <c r="BH819" s="222" t="e">
        <f>BG820/BG819</f>
        <v>#DIV/0!</v>
      </c>
      <c r="BJ819" s="222" t="e">
        <f>BI820/BI819</f>
        <v>#DIV/0!</v>
      </c>
      <c r="BL819" s="222" t="e">
        <f>BK820/BK819</f>
        <v>#DIV/0!</v>
      </c>
      <c r="BM819" s="214">
        <v>144.61000000000001</v>
      </c>
      <c r="BN819" s="222">
        <f>BM820/BM819</f>
        <v>5.5666966323214238E-2</v>
      </c>
      <c r="BO819" s="214">
        <v>143.72999999999999</v>
      </c>
      <c r="BP819" s="222">
        <f>BO820/BO819</f>
        <v>8.4672650107841016E-2</v>
      </c>
      <c r="BQ819" s="214">
        <v>159.61000000000001</v>
      </c>
      <c r="BR819" s="222">
        <f>BQ820/BQ819</f>
        <v>0.22247979449909155</v>
      </c>
      <c r="BS819" s="214">
        <v>143.46</v>
      </c>
      <c r="BT819" s="222">
        <f>BS820/BS819</f>
        <v>0.19252753380733306</v>
      </c>
      <c r="BU819" s="214">
        <v>135.13999999999999</v>
      </c>
      <c r="BV819" s="222">
        <f>BU820/BU819</f>
        <v>0.22480390705934586</v>
      </c>
      <c r="BW819" s="214">
        <v>97.01</v>
      </c>
      <c r="BX819" s="222">
        <f>BW820/BW819</f>
        <v>0.14647974435625186</v>
      </c>
      <c r="BY819" s="214">
        <v>103.85</v>
      </c>
      <c r="BZ819" s="222">
        <f>BY820/BY819</f>
        <v>-0.23071738083774671</v>
      </c>
      <c r="CA819" s="214">
        <v>49.54</v>
      </c>
      <c r="CB819" s="222">
        <f>CA820/CA819</f>
        <v>-0.39018974566007281</v>
      </c>
      <c r="CC819" s="214">
        <v>59.06</v>
      </c>
      <c r="CD819" s="222">
        <f>CC820/CC819</f>
        <v>-0.22976633931594975</v>
      </c>
      <c r="CE819" s="214">
        <v>41.66</v>
      </c>
      <c r="CF819" s="222">
        <f>CE820/CE819</f>
        <v>-1.9443110897743695E-2</v>
      </c>
      <c r="CG819" s="214">
        <v>41.66</v>
      </c>
      <c r="CH819" s="222">
        <f>CG820/CG819</f>
        <v>-9.5535285645703238E-2</v>
      </c>
    </row>
    <row r="820" spans="1:87">
      <c r="C820" s="318" t="s">
        <v>9</v>
      </c>
      <c r="AP820" s="214"/>
      <c r="BM820" s="214">
        <f>BM818+BM819</f>
        <v>8.0500000000000114</v>
      </c>
      <c r="BO820" s="214">
        <f>BO818+BO819</f>
        <v>12.169999999999987</v>
      </c>
      <c r="BQ820" s="214">
        <f>BQ818+BQ819</f>
        <v>35.510000000000005</v>
      </c>
      <c r="BS820" s="214">
        <f>BS818+BS819</f>
        <v>27.620000000000005</v>
      </c>
      <c r="BU820" s="214">
        <f>BU818+BU819</f>
        <v>30.379999999999995</v>
      </c>
      <c r="BW820" s="214">
        <f>BW818+BW819</f>
        <v>14.209999999999994</v>
      </c>
      <c r="BY820" s="214">
        <f>BY818+BY819</f>
        <v>-23.959999999999994</v>
      </c>
      <c r="CA820" s="214">
        <f>CA818+CA819</f>
        <v>-19.330000000000005</v>
      </c>
      <c r="CC820" s="214">
        <f>CC818+CC819</f>
        <v>-13.569999999999993</v>
      </c>
      <c r="CE820" s="214">
        <f>CE818+CE819</f>
        <v>-0.81000000000000227</v>
      </c>
      <c r="CG820" s="214">
        <f>CG818+CG819</f>
        <v>-3.9799999999999969</v>
      </c>
    </row>
    <row r="821" spans="1:87">
      <c r="A821" s="211">
        <v>235</v>
      </c>
      <c r="C821" s="318" t="s">
        <v>576</v>
      </c>
      <c r="AP821" s="214"/>
    </row>
    <row r="822" spans="1:87">
      <c r="C822" s="318" t="s">
        <v>577</v>
      </c>
      <c r="AP822" s="214"/>
      <c r="BM822" s="235">
        <v>45839</v>
      </c>
      <c r="BO822" s="235">
        <v>45870</v>
      </c>
      <c r="BQ822" s="235">
        <v>45901</v>
      </c>
      <c r="BS822" s="235">
        <v>45931</v>
      </c>
      <c r="BU822" s="235">
        <v>45962</v>
      </c>
      <c r="BW822" s="235">
        <v>45992</v>
      </c>
      <c r="BY822" s="235">
        <v>46023</v>
      </c>
      <c r="CA822" s="235">
        <v>46054</v>
      </c>
      <c r="CC822" s="235">
        <v>46082</v>
      </c>
      <c r="CE822" s="235">
        <v>46113</v>
      </c>
      <c r="CG822" s="235">
        <v>46143</v>
      </c>
      <c r="CI822" s="341">
        <v>46174</v>
      </c>
    </row>
    <row r="823" spans="1:87">
      <c r="C823" s="318" t="s">
        <v>7</v>
      </c>
      <c r="AP823" s="214"/>
      <c r="BM823" s="238">
        <f>-161.86-82.25</f>
        <v>-244.11</v>
      </c>
      <c r="BO823" s="238">
        <v>-317.32</v>
      </c>
      <c r="BQ823" s="237">
        <f>-312.98-71.61</f>
        <v>-384.59000000000003</v>
      </c>
      <c r="BS823" s="237">
        <f>-276.33-35.96</f>
        <v>-312.28999999999996</v>
      </c>
      <c r="BU823" s="237">
        <f>-179.89-79.4</f>
        <v>-259.28999999999996</v>
      </c>
      <c r="BW823" s="237">
        <f>-174.57-71.28</f>
        <v>-245.85</v>
      </c>
      <c r="BY823" s="237">
        <f>-198.14-31.38</f>
        <v>-229.51999999999998</v>
      </c>
      <c r="CA823" s="237">
        <f>-120.27-38.6</f>
        <v>-158.87</v>
      </c>
      <c r="CC823" s="237">
        <f>-177.52-71.44</f>
        <v>-248.96</v>
      </c>
      <c r="CE823" s="237">
        <f>-196.53-84.4</f>
        <v>-280.93</v>
      </c>
      <c r="CG823" s="237">
        <v>-263.89999999999998</v>
      </c>
    </row>
    <row r="824" spans="1:87">
      <c r="C824" s="318" t="s">
        <v>8</v>
      </c>
      <c r="AP824" s="214"/>
      <c r="AU824" s="222" t="e">
        <f>AT825/AT824</f>
        <v>#DIV/0!</v>
      </c>
      <c r="AW824" s="222" t="e">
        <f>AV825/AV824</f>
        <v>#DIV/0!</v>
      </c>
      <c r="AY824" s="224" t="e">
        <f>AX825/AX824</f>
        <v>#DIV/0!</v>
      </c>
      <c r="AZ824" s="225"/>
      <c r="BB824" s="222" t="e">
        <f>BA825/BA824</f>
        <v>#DIV/0!</v>
      </c>
      <c r="BD824" s="222" t="e">
        <f>BC825/BC824</f>
        <v>#DIV/0!</v>
      </c>
      <c r="BF824" s="222" t="e">
        <f>BE825/BE824</f>
        <v>#DIV/0!</v>
      </c>
      <c r="BH824" s="222" t="e">
        <f>BG825/BG824</f>
        <v>#DIV/0!</v>
      </c>
      <c r="BJ824" s="222" t="e">
        <f>BI825/BI824</f>
        <v>#DIV/0!</v>
      </c>
      <c r="BL824" s="222" t="e">
        <f>BK825/BK824</f>
        <v>#DIV/0!</v>
      </c>
      <c r="BM824" s="214">
        <v>279.38</v>
      </c>
      <c r="BN824" s="222">
        <f>BM825/BM824</f>
        <v>0.12624382561385919</v>
      </c>
      <c r="BO824" s="214">
        <v>383.65</v>
      </c>
      <c r="BP824" s="222">
        <f>BO825/BO824</f>
        <v>0.17289195881662972</v>
      </c>
      <c r="BQ824" s="214">
        <v>397.43</v>
      </c>
      <c r="BR824" s="222">
        <f>BQ825/BQ824</f>
        <v>3.2307576176936754E-2</v>
      </c>
      <c r="BS824" s="214">
        <v>382.87</v>
      </c>
      <c r="BT824" s="222">
        <f>BS825/BS824</f>
        <v>0.18434455559328242</v>
      </c>
      <c r="BU824" s="214">
        <v>283.97000000000003</v>
      </c>
      <c r="BV824" s="222">
        <f>BU825/BU824</f>
        <v>8.6910589146741074E-2</v>
      </c>
      <c r="BW824" s="214">
        <v>286.33</v>
      </c>
      <c r="BX824" s="222">
        <f>BW825/BW824</f>
        <v>0.14137533615059544</v>
      </c>
      <c r="BY824" s="214">
        <v>277.55</v>
      </c>
      <c r="BZ824" s="222">
        <f>BY825/BY824</f>
        <v>0.17304990091875347</v>
      </c>
      <c r="CA824" s="214">
        <v>165.97</v>
      </c>
      <c r="CB824" s="222">
        <f>CA825/CA824</f>
        <v>4.2778815448575008E-2</v>
      </c>
      <c r="CC824" s="214">
        <v>300.79000000000002</v>
      </c>
      <c r="CD824" s="222">
        <f>CC825/CC824</f>
        <v>0.17231290933874135</v>
      </c>
      <c r="CE824" s="214">
        <v>377.61</v>
      </c>
      <c r="CF824" s="222">
        <f>CE825/CE824</f>
        <v>0.25603135510182462</v>
      </c>
      <c r="CG824" s="214">
        <v>388.59</v>
      </c>
      <c r="CH824" s="222">
        <f>CG825/CG824</f>
        <v>0.32087804626984739</v>
      </c>
    </row>
    <row r="825" spans="1:87">
      <c r="C825" s="318" t="s">
        <v>245</v>
      </c>
      <c r="AP825" s="214"/>
      <c r="BM825" s="214">
        <f>BM823+BM824</f>
        <v>35.269999999999982</v>
      </c>
      <c r="BO825" s="214">
        <f>BO823+BO824</f>
        <v>66.329999999999984</v>
      </c>
      <c r="BQ825" s="214">
        <f>BQ823+BQ824</f>
        <v>12.839999999999975</v>
      </c>
      <c r="BS825" s="214">
        <f>BS823+BS824</f>
        <v>70.580000000000041</v>
      </c>
      <c r="BU825" s="214">
        <f>BU823+BU824</f>
        <v>24.680000000000064</v>
      </c>
      <c r="BW825" s="214">
        <f>BW823+BW824</f>
        <v>40.47999999999999</v>
      </c>
      <c r="BY825" s="214">
        <f>BY823+BY824</f>
        <v>48.03000000000003</v>
      </c>
      <c r="CA825" s="214">
        <f>CA823+CA824</f>
        <v>7.0999999999999943</v>
      </c>
      <c r="CC825" s="214">
        <f>CC823+CC824</f>
        <v>51.830000000000013</v>
      </c>
      <c r="CE825" s="214">
        <f>CE823+CE824</f>
        <v>96.68</v>
      </c>
      <c r="CG825" s="214">
        <f>CG823+CG824</f>
        <v>124.69</v>
      </c>
    </row>
    <row r="826" spans="1:87">
      <c r="A826" s="211">
        <v>236</v>
      </c>
      <c r="C826" s="318" t="s">
        <v>607</v>
      </c>
      <c r="AP826" s="214"/>
    </row>
    <row r="827" spans="1:87">
      <c r="C827" s="318" t="s">
        <v>608</v>
      </c>
      <c r="AP827" s="214"/>
      <c r="BO827" s="235">
        <v>45870</v>
      </c>
      <c r="BQ827" s="235">
        <v>45901</v>
      </c>
      <c r="BS827" s="235">
        <v>45931</v>
      </c>
      <c r="BU827" s="235">
        <v>45962</v>
      </c>
      <c r="BW827" s="235">
        <v>45992</v>
      </c>
      <c r="BY827" s="235">
        <v>46023</v>
      </c>
      <c r="CA827" s="235">
        <v>46054</v>
      </c>
      <c r="CC827" s="235">
        <v>46082</v>
      </c>
      <c r="CE827" s="235">
        <v>46113</v>
      </c>
      <c r="CG827" s="235">
        <v>46143</v>
      </c>
      <c r="CI827" s="341">
        <v>46174</v>
      </c>
    </row>
    <row r="828" spans="1:87">
      <c r="C828" s="318" t="s">
        <v>7</v>
      </c>
      <c r="AP828" s="214"/>
      <c r="BO828" s="237">
        <v>-5.15</v>
      </c>
      <c r="BQ828" s="237">
        <f>-21.64-9.36</f>
        <v>-31</v>
      </c>
      <c r="BS828" s="237">
        <f>-25.88-7.2</f>
        <v>-33.08</v>
      </c>
      <c r="BU828" s="237">
        <f>-26.67-18.56</f>
        <v>-45.230000000000004</v>
      </c>
      <c r="BW828" s="237">
        <f>-46.31-10.23</f>
        <v>-56.540000000000006</v>
      </c>
      <c r="BY828" s="237">
        <f>-23.29-8.75</f>
        <v>-32.04</v>
      </c>
      <c r="CA828" s="237">
        <f>-26.22-6.02</f>
        <v>-32.239999999999995</v>
      </c>
      <c r="CC828" s="237">
        <f>-18.81-14.58</f>
        <v>-33.39</v>
      </c>
      <c r="CE828" s="237">
        <f>-35.57-15.28</f>
        <v>-50.85</v>
      </c>
      <c r="CG828" s="237">
        <v>-45.93</v>
      </c>
    </row>
    <row r="829" spans="1:87">
      <c r="C829" s="318" t="s">
        <v>8</v>
      </c>
      <c r="AP829" s="214"/>
      <c r="AU829" s="222" t="e">
        <f>AT830/AT829</f>
        <v>#DIV/0!</v>
      </c>
      <c r="AW829" s="222" t="e">
        <f>AV830/AV829</f>
        <v>#DIV/0!</v>
      </c>
      <c r="AY829" s="224" t="e">
        <f>AX830/AX829</f>
        <v>#DIV/0!</v>
      </c>
      <c r="AZ829" s="225"/>
      <c r="BB829" s="222" t="e">
        <f>BA830/BA829</f>
        <v>#DIV/0!</v>
      </c>
      <c r="BD829" s="222" t="e">
        <f>BC830/BC829</f>
        <v>#DIV/0!</v>
      </c>
      <c r="BF829" s="222" t="e">
        <f>BE830/BE829</f>
        <v>#DIV/0!</v>
      </c>
      <c r="BH829" s="222" t="e">
        <f>BG830/BG829</f>
        <v>#DIV/0!</v>
      </c>
      <c r="BJ829" s="222" t="e">
        <f>BI830/BI829</f>
        <v>#DIV/0!</v>
      </c>
      <c r="BL829" s="222" t="e">
        <f>BK830/BK829</f>
        <v>#DIV/0!</v>
      </c>
      <c r="BN829" s="222" t="e">
        <f>BM830/BM829</f>
        <v>#DIV/0!</v>
      </c>
      <c r="BO829" s="214">
        <v>4.3499999999999996</v>
      </c>
      <c r="BP829" s="222">
        <f>BO830/BO829</f>
        <v>-0.18390804597701169</v>
      </c>
      <c r="BQ829" s="214">
        <v>26.1</v>
      </c>
      <c r="BR829" s="222">
        <f>BQ830/BQ829</f>
        <v>-0.18773946360153251</v>
      </c>
      <c r="BS829" s="214">
        <v>27.28</v>
      </c>
      <c r="BT829" s="222">
        <f>BS830/BS829</f>
        <v>-0.2126099706744867</v>
      </c>
      <c r="BU829" s="214">
        <v>62.76</v>
      </c>
      <c r="BV829" s="222">
        <f>BU830/BU829</f>
        <v>0.27931803696622043</v>
      </c>
      <c r="BW829" s="214">
        <v>64.260000000000005</v>
      </c>
      <c r="BX829" s="222">
        <f>BW830/BW829</f>
        <v>0.1201369436663554</v>
      </c>
      <c r="BY829" s="214">
        <v>45.31</v>
      </c>
      <c r="BZ829" s="222">
        <f>BY830/BY829</f>
        <v>0.29287133083204597</v>
      </c>
      <c r="CA829" s="214">
        <v>51.28</v>
      </c>
      <c r="CB829" s="222">
        <f>CA830/CA829</f>
        <v>0.3712948517940719</v>
      </c>
      <c r="CC829" s="214">
        <v>57.01</v>
      </c>
      <c r="CD829" s="222">
        <f>CC830/CC829</f>
        <v>0.41431327837221538</v>
      </c>
      <c r="CE829" s="214">
        <v>56.5</v>
      </c>
      <c r="CF829" s="222">
        <f>CE830/CE829</f>
        <v>9.9999999999999978E-2</v>
      </c>
      <c r="CG829" s="214">
        <v>63.32</v>
      </c>
      <c r="CH829" s="222">
        <f>CG830/CG829</f>
        <v>0.27463676563487049</v>
      </c>
    </row>
    <row r="830" spans="1:87">
      <c r="C830" s="318" t="s">
        <v>9</v>
      </c>
      <c r="AP830" s="214"/>
      <c r="BO830" s="214">
        <f>BO828+BO829</f>
        <v>-0.80000000000000071</v>
      </c>
      <c r="BQ830" s="214">
        <f>BQ828+BQ829</f>
        <v>-4.8999999999999986</v>
      </c>
      <c r="BS830" s="214">
        <f>BS828+BS829</f>
        <v>-5.7999999999999972</v>
      </c>
      <c r="BU830" s="214">
        <f>BU828+BU829</f>
        <v>17.529999999999994</v>
      </c>
      <c r="BW830" s="214">
        <f>BW828+BW829</f>
        <v>7.7199999999999989</v>
      </c>
      <c r="BY830" s="214">
        <f>BY828+BY829</f>
        <v>13.270000000000003</v>
      </c>
      <c r="CA830" s="214">
        <f>CA828+CA829</f>
        <v>19.040000000000006</v>
      </c>
      <c r="CC830" s="214">
        <f>CC828+CC829</f>
        <v>23.619999999999997</v>
      </c>
      <c r="CE830" s="214">
        <f>CE828+CE829</f>
        <v>5.6499999999999986</v>
      </c>
      <c r="CG830" s="214">
        <f>CG828+CG829</f>
        <v>17.39</v>
      </c>
    </row>
    <row r="831" spans="1:87">
      <c r="A831" s="211">
        <v>237</v>
      </c>
      <c r="C831" s="318" t="s">
        <v>609</v>
      </c>
      <c r="AP831" s="214"/>
    </row>
    <row r="832" spans="1:87">
      <c r="C832" s="318" t="s">
        <v>610</v>
      </c>
      <c r="AP832" s="214"/>
      <c r="BO832" s="235">
        <v>45870</v>
      </c>
      <c r="BQ832" s="235">
        <v>45901</v>
      </c>
      <c r="BS832" s="235">
        <v>45931</v>
      </c>
      <c r="BU832" s="235">
        <v>45962</v>
      </c>
      <c r="BW832" s="235">
        <v>45992</v>
      </c>
      <c r="BY832" s="235">
        <v>46023</v>
      </c>
      <c r="CA832" s="235">
        <v>46054</v>
      </c>
      <c r="CC832" s="235">
        <v>46082</v>
      </c>
      <c r="CE832" s="235">
        <v>46113</v>
      </c>
      <c r="CG832" s="235">
        <v>46143</v>
      </c>
      <c r="CI832" s="341">
        <v>46174</v>
      </c>
    </row>
    <row r="833" spans="1:87">
      <c r="C833" s="318" t="s">
        <v>7</v>
      </c>
      <c r="AP833" s="214"/>
      <c r="BO833" s="237">
        <v>-6.54</v>
      </c>
      <c r="BQ833" s="237">
        <f>-60.99-3.98</f>
        <v>-64.97</v>
      </c>
      <c r="BS833" s="237">
        <f>-59.64-1.87</f>
        <v>-61.51</v>
      </c>
      <c r="BU833" s="237">
        <v>-48.66</v>
      </c>
      <c r="BW833" s="237">
        <f>-54.38-3.78</f>
        <v>-58.160000000000004</v>
      </c>
      <c r="BY833" s="237">
        <f>-53.05-5.64</f>
        <v>-58.69</v>
      </c>
      <c r="CA833" s="237">
        <f>-47.01-4.8</f>
        <v>-51.809999999999995</v>
      </c>
      <c r="CC833" s="237">
        <f>-46.38-2.96</f>
        <v>-49.34</v>
      </c>
      <c r="CE833" s="237">
        <f>-41.47-3.42</f>
        <v>-44.89</v>
      </c>
      <c r="CG833" s="237">
        <v>-46.08</v>
      </c>
    </row>
    <row r="834" spans="1:87">
      <c r="C834" s="318" t="s">
        <v>8</v>
      </c>
      <c r="AP834" s="214"/>
      <c r="AU834" s="222" t="e">
        <f>AT835/AT834</f>
        <v>#DIV/0!</v>
      </c>
      <c r="AW834" s="222" t="e">
        <f>AV835/AV834</f>
        <v>#DIV/0!</v>
      </c>
      <c r="AY834" s="224" t="e">
        <f>AX835/AX834</f>
        <v>#DIV/0!</v>
      </c>
      <c r="AZ834" s="225"/>
      <c r="BB834" s="222" t="e">
        <f>BA835/BA834</f>
        <v>#DIV/0!</v>
      </c>
      <c r="BD834" s="222" t="e">
        <f>BC835/BC834</f>
        <v>#DIV/0!</v>
      </c>
      <c r="BF834" s="222" t="e">
        <f>BE835/BE834</f>
        <v>#DIV/0!</v>
      </c>
      <c r="BH834" s="222" t="e">
        <f>BG835/BG834</f>
        <v>#DIV/0!</v>
      </c>
      <c r="BJ834" s="222" t="e">
        <f>BI835/BI834</f>
        <v>#DIV/0!</v>
      </c>
      <c r="BL834" s="222" t="e">
        <f>BK835/BK834</f>
        <v>#DIV/0!</v>
      </c>
      <c r="BN834" s="222" t="e">
        <f>BM835/BM834</f>
        <v>#DIV/0!</v>
      </c>
      <c r="BO834" s="214">
        <v>7.52</v>
      </c>
      <c r="BP834" s="222">
        <f>BO835/BO834</f>
        <v>0.13031914893617016</v>
      </c>
      <c r="BQ834" s="214">
        <v>56.4</v>
      </c>
      <c r="BR834" s="222">
        <f>BQ835/BQ834</f>
        <v>-0.15195035460992909</v>
      </c>
      <c r="BS834" s="214">
        <v>58.41</v>
      </c>
      <c r="BT834" s="222">
        <f>BS835/BS834</f>
        <v>-5.3073103920561575E-2</v>
      </c>
      <c r="BU834" s="214">
        <v>65.37</v>
      </c>
      <c r="BV834" s="222">
        <f>BU835/BU834</f>
        <v>0.25562184488297396</v>
      </c>
      <c r="BW834" s="214">
        <v>58.48</v>
      </c>
      <c r="BX834" s="222">
        <f>BW835/BW834</f>
        <v>5.4719562243500889E-3</v>
      </c>
      <c r="BY834" s="214">
        <v>67.08</v>
      </c>
      <c r="BZ834" s="222">
        <f>BY835/BY834</f>
        <v>0.12507453786523556</v>
      </c>
      <c r="CA834" s="214">
        <v>64.22</v>
      </c>
      <c r="CB834" s="222">
        <f>CA835/CA834</f>
        <v>0.19324198069137347</v>
      </c>
      <c r="CC834" s="214">
        <v>63.44</v>
      </c>
      <c r="CD834" s="222">
        <f>CC835/CC834</f>
        <v>0.22225725094577545</v>
      </c>
      <c r="CE834" s="214">
        <v>59.38</v>
      </c>
      <c r="CF834" s="222">
        <f>CE835/CE834</f>
        <v>0.24402155607948806</v>
      </c>
      <c r="CG834" s="214">
        <v>59.65</v>
      </c>
      <c r="CH834" s="222">
        <f>CG835/CG834</f>
        <v>0.22749371332774518</v>
      </c>
    </row>
    <row r="835" spans="1:87">
      <c r="C835" s="318" t="s">
        <v>9</v>
      </c>
      <c r="AP835" s="214"/>
      <c r="BO835" s="214">
        <f>BO833+BO834</f>
        <v>0.97999999999999954</v>
      </c>
      <c r="BQ835" s="214">
        <f>BQ833+BQ834</f>
        <v>-8.57</v>
      </c>
      <c r="BS835" s="214">
        <f>BS833+BS834</f>
        <v>-3.1000000000000014</v>
      </c>
      <c r="BU835" s="214">
        <f>BU833+BU834</f>
        <v>16.710000000000008</v>
      </c>
      <c r="BW835" s="214">
        <f>BW833+BW834</f>
        <v>0.31999999999999318</v>
      </c>
      <c r="BY835" s="214">
        <f>BY833+BY834</f>
        <v>8.39</v>
      </c>
      <c r="CA835" s="214">
        <f>CA833+CA834</f>
        <v>12.410000000000004</v>
      </c>
      <c r="CC835" s="214">
        <f>CC833+CC834</f>
        <v>14.099999999999994</v>
      </c>
      <c r="CE835" s="214">
        <f>CE833+CE834</f>
        <v>14.490000000000002</v>
      </c>
      <c r="CG835" s="214">
        <f>CG833+CG834</f>
        <v>13.57</v>
      </c>
    </row>
    <row r="836" spans="1:87">
      <c r="A836" s="211">
        <v>238</v>
      </c>
      <c r="C836" s="318" t="s">
        <v>611</v>
      </c>
      <c r="AP836" s="214"/>
    </row>
    <row r="837" spans="1:87">
      <c r="C837" s="318" t="s">
        <v>612</v>
      </c>
      <c r="AP837" s="214"/>
      <c r="BO837" s="235">
        <v>45870</v>
      </c>
      <c r="BQ837" s="235">
        <v>45901</v>
      </c>
      <c r="BS837" s="235">
        <v>45931</v>
      </c>
      <c r="BU837" s="235">
        <v>45962</v>
      </c>
      <c r="BW837" s="235">
        <v>45992</v>
      </c>
      <c r="BY837" s="235">
        <v>46023</v>
      </c>
      <c r="CA837" s="235">
        <v>46054</v>
      </c>
      <c r="CC837" s="235">
        <v>46082</v>
      </c>
      <c r="CE837" s="235">
        <v>46113</v>
      </c>
      <c r="CG837" s="235">
        <v>46143</v>
      </c>
      <c r="CI837" s="341">
        <v>46174</v>
      </c>
    </row>
    <row r="838" spans="1:87">
      <c r="C838" s="318" t="s">
        <v>7</v>
      </c>
      <c r="AP838" s="214"/>
      <c r="BO838" s="237">
        <f>-4.11-2.25</f>
        <v>-6.36</v>
      </c>
      <c r="BQ838" s="237">
        <f>-43.06-13.5-6.96</f>
        <v>-63.52</v>
      </c>
      <c r="BS838" s="237">
        <f>-0.44-50.48</f>
        <v>-50.919999999999995</v>
      </c>
      <c r="BU838" s="237">
        <f>-36.36-6.3</f>
        <v>-42.66</v>
      </c>
      <c r="BW838" s="237">
        <f>-32.65-6.65</f>
        <v>-39.299999999999997</v>
      </c>
      <c r="BY838" s="237">
        <f>-35.92-5</f>
        <v>-40.92</v>
      </c>
      <c r="CA838" s="237">
        <f>-30.05-3.92</f>
        <v>-33.97</v>
      </c>
      <c r="CC838" s="237">
        <f>-26.5-4.04</f>
        <v>-30.54</v>
      </c>
      <c r="CE838" s="237">
        <f>-28.18-2.48</f>
        <v>-30.66</v>
      </c>
      <c r="CG838" s="237">
        <v>-33.53</v>
      </c>
    </row>
    <row r="839" spans="1:87">
      <c r="C839" s="318" t="s">
        <v>8</v>
      </c>
      <c r="AP839" s="214"/>
      <c r="AU839" s="222" t="e">
        <f>AT840/AT839</f>
        <v>#DIV/0!</v>
      </c>
      <c r="AW839" s="222" t="e">
        <f>AV840/AV839</f>
        <v>#DIV/0!</v>
      </c>
      <c r="AY839" s="224" t="e">
        <f>AX840/AX839</f>
        <v>#DIV/0!</v>
      </c>
      <c r="AZ839" s="225"/>
      <c r="BB839" s="222" t="e">
        <f>BA840/BA839</f>
        <v>#DIV/0!</v>
      </c>
      <c r="BD839" s="222" t="e">
        <f>BC840/BC839</f>
        <v>#DIV/0!</v>
      </c>
      <c r="BF839" s="222" t="e">
        <f>BE840/BE839</f>
        <v>#DIV/0!</v>
      </c>
      <c r="BH839" s="222" t="e">
        <f>BG840/BG839</f>
        <v>#DIV/0!</v>
      </c>
      <c r="BJ839" s="222" t="e">
        <f>BI840/BI839</f>
        <v>#DIV/0!</v>
      </c>
      <c r="BL839" s="222" t="e">
        <f>BK840/BK839</f>
        <v>#DIV/0!</v>
      </c>
      <c r="BN839" s="222" t="e">
        <f>BM840/BM839</f>
        <v>#DIV/0!</v>
      </c>
      <c r="BO839" s="214">
        <v>4.84</v>
      </c>
      <c r="BP839" s="222">
        <f>BO840/BO839</f>
        <v>-0.31404958677685962</v>
      </c>
      <c r="BQ839" s="214">
        <v>36.299999999999997</v>
      </c>
      <c r="BR839" s="222">
        <f>BQ840/BQ839</f>
        <v>-0.74986225895316827</v>
      </c>
      <c r="BS839" s="214">
        <v>37.729999999999997</v>
      </c>
      <c r="BT839" s="222">
        <f>BS840/BS839</f>
        <v>-0.3495891863238802</v>
      </c>
      <c r="BU839" s="214">
        <v>44.71</v>
      </c>
      <c r="BV839" s="222">
        <f>BU840/BU839</f>
        <v>4.5851040035786272E-2</v>
      </c>
      <c r="BW839" s="214">
        <v>43.81</v>
      </c>
      <c r="BX839" s="222">
        <f>BW840/BW839</f>
        <v>0.10294453321159563</v>
      </c>
      <c r="BY839" s="214">
        <v>46.48</v>
      </c>
      <c r="BZ839" s="222">
        <f>BY840/BY839</f>
        <v>0.11962134251290868</v>
      </c>
      <c r="CA839" s="214">
        <v>43.46</v>
      </c>
      <c r="CB839" s="222">
        <f>CA840/CA839</f>
        <v>0.21836171191900602</v>
      </c>
      <c r="CC839" s="214">
        <v>41.42</v>
      </c>
      <c r="CD839" s="222">
        <f>CC840/CC839</f>
        <v>0.26267503621438926</v>
      </c>
      <c r="CE839" s="214">
        <v>45.12</v>
      </c>
      <c r="CF839" s="222">
        <f>CE840/CE839</f>
        <v>0.32047872340425526</v>
      </c>
      <c r="CG839" s="214">
        <v>46.93</v>
      </c>
      <c r="CH839" s="222">
        <f>CG840/CG839</f>
        <v>0.28553164287236305</v>
      </c>
    </row>
    <row r="840" spans="1:87">
      <c r="C840" s="318" t="s">
        <v>9</v>
      </c>
      <c r="AP840" s="214"/>
      <c r="BO840" s="214">
        <f>BO838+BO839</f>
        <v>-1.5200000000000005</v>
      </c>
      <c r="BQ840" s="214">
        <f>BQ838+BQ839</f>
        <v>-27.220000000000006</v>
      </c>
      <c r="BS840" s="214">
        <f>BS838+BS839</f>
        <v>-13.189999999999998</v>
      </c>
      <c r="BU840" s="214">
        <f>BU838+BU839</f>
        <v>2.0500000000000043</v>
      </c>
      <c r="BW840" s="214">
        <f>BW838+BW839</f>
        <v>4.5100000000000051</v>
      </c>
      <c r="BY840" s="214">
        <f>BY838+BY839</f>
        <v>5.5599999999999952</v>
      </c>
      <c r="CA840" s="214">
        <f>CA838+CA839</f>
        <v>9.490000000000002</v>
      </c>
      <c r="CC840" s="214">
        <f>CC838+CC839</f>
        <v>10.880000000000003</v>
      </c>
      <c r="CE840" s="214">
        <f>CE838+CE839</f>
        <v>14.459999999999997</v>
      </c>
      <c r="CG840" s="214">
        <f>CG838+CG839</f>
        <v>13.399999999999999</v>
      </c>
    </row>
    <row r="841" spans="1:87" hidden="1">
      <c r="A841" s="211">
        <v>239</v>
      </c>
      <c r="B841" s="232">
        <v>785583233</v>
      </c>
      <c r="C841" s="318" t="s">
        <v>700</v>
      </c>
      <c r="AP841" s="214"/>
    </row>
    <row r="842" spans="1:87" hidden="1">
      <c r="C842" s="318" t="s">
        <v>626</v>
      </c>
      <c r="AP842" s="214"/>
      <c r="BQ842" s="235">
        <v>45901</v>
      </c>
      <c r="BS842" s="235">
        <v>45931</v>
      </c>
      <c r="BU842" s="235">
        <v>45962</v>
      </c>
      <c r="BW842" s="235">
        <v>45992</v>
      </c>
      <c r="BY842" s="235">
        <v>46023</v>
      </c>
      <c r="CA842" s="235">
        <v>46054</v>
      </c>
      <c r="CC842" s="235">
        <v>46082</v>
      </c>
      <c r="CE842" s="235">
        <v>46113</v>
      </c>
      <c r="CG842" s="235">
        <v>46143</v>
      </c>
      <c r="CI842" s="341">
        <v>46174</v>
      </c>
    </row>
    <row r="843" spans="1:87" hidden="1">
      <c r="C843" s="318" t="s">
        <v>7</v>
      </c>
      <c r="AP843" s="214"/>
      <c r="BQ843" s="237">
        <v>-20.58</v>
      </c>
      <c r="BS843" s="237">
        <f>-14.69-77.25</f>
        <v>-91.94</v>
      </c>
      <c r="BU843" s="237">
        <f>-18.47-52.75</f>
        <v>-71.22</v>
      </c>
      <c r="BW843" s="237">
        <f>-6.31-74.76</f>
        <v>-81.070000000000007</v>
      </c>
      <c r="BY843" s="237">
        <f>-18.7-16.82-113.4</f>
        <v>-148.92000000000002</v>
      </c>
      <c r="CA843" s="237">
        <f>-31.58-101.66</f>
        <v>-133.24</v>
      </c>
      <c r="CC843" s="237">
        <f>-17.56-70.26</f>
        <v>-87.820000000000007</v>
      </c>
      <c r="CE843" s="214"/>
      <c r="CG843" s="214"/>
    </row>
    <row r="844" spans="1:87" hidden="1">
      <c r="C844" s="318" t="s">
        <v>8</v>
      </c>
      <c r="AP844" s="214"/>
      <c r="AU844" s="222" t="e">
        <f>AT845/AT844</f>
        <v>#DIV/0!</v>
      </c>
      <c r="AW844" s="222" t="e">
        <f>AV845/AV844</f>
        <v>#DIV/0!</v>
      </c>
      <c r="AY844" s="224" t="e">
        <f>AX845/AX844</f>
        <v>#DIV/0!</v>
      </c>
      <c r="AZ844" s="225"/>
      <c r="BB844" s="222" t="e">
        <f>BA845/BA844</f>
        <v>#DIV/0!</v>
      </c>
      <c r="BD844" s="222" t="e">
        <f>BC845/BC844</f>
        <v>#DIV/0!</v>
      </c>
      <c r="BF844" s="222" t="e">
        <f>BE845/BE844</f>
        <v>#DIV/0!</v>
      </c>
      <c r="BH844" s="222" t="e">
        <f>BG845/BG844</f>
        <v>#DIV/0!</v>
      </c>
      <c r="BJ844" s="222" t="e">
        <f>BI845/BI844</f>
        <v>#DIV/0!</v>
      </c>
      <c r="BL844" s="222" t="e">
        <f>BK845/BK844</f>
        <v>#DIV/0!</v>
      </c>
      <c r="BN844" s="222" t="e">
        <f>BM845/BM844</f>
        <v>#DIV/0!</v>
      </c>
      <c r="BP844" s="222" t="e">
        <f>BO845/BO844</f>
        <v>#DIV/0!</v>
      </c>
      <c r="BQ844" s="214">
        <v>34.32</v>
      </c>
      <c r="BR844" s="222">
        <f>BQ845/BQ844</f>
        <v>0.40034965034965042</v>
      </c>
      <c r="BS844" s="214">
        <v>132.94999999999999</v>
      </c>
      <c r="BT844" s="222">
        <f>BS845/BS844</f>
        <v>0.30846182775479497</v>
      </c>
      <c r="BU844" s="214">
        <v>85.68</v>
      </c>
      <c r="BV844" s="222">
        <f>BU845/BU844</f>
        <v>0.16876750700280119</v>
      </c>
      <c r="BW844" s="214">
        <v>93.06</v>
      </c>
      <c r="BX844" s="222">
        <f>BW845/BW844</f>
        <v>0.12884160756501176</v>
      </c>
      <c r="BY844" s="214">
        <v>134.16</v>
      </c>
      <c r="BZ844" s="222">
        <f>BY845/BY844</f>
        <v>-0.11001788908765668</v>
      </c>
      <c r="CA844" s="214">
        <v>252.56</v>
      </c>
      <c r="CB844" s="222">
        <f>CA845/CA844</f>
        <v>0.47244219195438703</v>
      </c>
      <c r="CC844" s="214">
        <v>29.38</v>
      </c>
      <c r="CD844" s="222">
        <f>CC845/CC844</f>
        <v>-1.9891082368958479</v>
      </c>
      <c r="CE844" s="214"/>
      <c r="CF844" s="222" t="e">
        <f>CE845/CE844</f>
        <v>#DIV/0!</v>
      </c>
      <c r="CG844" s="214"/>
      <c r="CH844" s="222" t="e">
        <f>CG845/CG844</f>
        <v>#DIV/0!</v>
      </c>
    </row>
    <row r="845" spans="1:87" hidden="1">
      <c r="C845" s="318" t="s">
        <v>9</v>
      </c>
      <c r="AP845" s="214"/>
      <c r="BQ845" s="214">
        <f>BQ843+BQ844</f>
        <v>13.740000000000002</v>
      </c>
      <c r="BS845" s="214">
        <f>BS843+BS844</f>
        <v>41.009999999999991</v>
      </c>
      <c r="BU845" s="214">
        <f>BU843+BU844</f>
        <v>14.460000000000008</v>
      </c>
      <c r="BW845" s="214">
        <f>BW843+BW844</f>
        <v>11.989999999999995</v>
      </c>
      <c r="BY845" s="214">
        <f>BY843+BY844</f>
        <v>-14.760000000000019</v>
      </c>
      <c r="CA845" s="214">
        <f>CA843+CA844</f>
        <v>119.32</v>
      </c>
      <c r="CC845" s="214">
        <f>CC843+CC844</f>
        <v>-58.440000000000012</v>
      </c>
      <c r="CE845" s="214">
        <f>CE843+CE844</f>
        <v>0</v>
      </c>
      <c r="CG845" s="214">
        <f>CG843+CG844</f>
        <v>0</v>
      </c>
    </row>
    <row r="846" spans="1:87" hidden="1">
      <c r="A846" s="211">
        <v>240</v>
      </c>
      <c r="C846" s="318" t="s">
        <v>622</v>
      </c>
      <c r="AP846" s="214"/>
    </row>
    <row r="847" spans="1:87" hidden="1">
      <c r="C847" s="318" t="s">
        <v>625</v>
      </c>
      <c r="AP847" s="214"/>
      <c r="BQ847" s="235">
        <v>45901</v>
      </c>
      <c r="BS847" s="235">
        <v>45931</v>
      </c>
      <c r="BU847" s="235">
        <v>45962</v>
      </c>
      <c r="BW847" s="235">
        <v>45992</v>
      </c>
      <c r="BY847" s="235">
        <v>46023</v>
      </c>
      <c r="CA847" s="235">
        <v>46054</v>
      </c>
      <c r="CC847" s="235">
        <v>46082</v>
      </c>
      <c r="CE847" s="235">
        <v>46113</v>
      </c>
      <c r="CG847" s="235">
        <v>46143</v>
      </c>
    </row>
    <row r="848" spans="1:87" hidden="1">
      <c r="C848" s="318" t="s">
        <v>7</v>
      </c>
      <c r="AP848" s="214"/>
      <c r="BS848" s="237">
        <f>-336.3-8.77</f>
        <v>-345.07</v>
      </c>
      <c r="BU848" s="237">
        <f>-254.32-8.75</f>
        <v>-263.07</v>
      </c>
      <c r="BW848" s="237">
        <f>-262.62-9.14</f>
        <v>-271.76</v>
      </c>
      <c r="BY848" s="237">
        <f>-274.28-4.92</f>
        <v>-279.2</v>
      </c>
      <c r="CA848" s="237">
        <f>-132.71-4.12</f>
        <v>-136.83000000000001</v>
      </c>
      <c r="CC848" s="237">
        <f>-123.52-3.37</f>
        <v>-126.89</v>
      </c>
      <c r="CE848" s="237">
        <v>-26.99</v>
      </c>
      <c r="CG848" s="214"/>
    </row>
    <row r="849" spans="1:87" hidden="1">
      <c r="C849" s="318" t="s">
        <v>8</v>
      </c>
      <c r="AP849" s="214"/>
      <c r="AU849" s="222" t="e">
        <f>AT850/AT849</f>
        <v>#DIV/0!</v>
      </c>
      <c r="AW849" s="222" t="e">
        <f>AV850/AV849</f>
        <v>#DIV/0!</v>
      </c>
      <c r="AY849" s="224" t="e">
        <f>AX850/AX849</f>
        <v>#DIV/0!</v>
      </c>
      <c r="AZ849" s="225"/>
      <c r="BB849" s="222" t="e">
        <f>BA850/BA849</f>
        <v>#DIV/0!</v>
      </c>
      <c r="BD849" s="222" t="e">
        <f>BC850/BC849</f>
        <v>#DIV/0!</v>
      </c>
      <c r="BF849" s="222" t="e">
        <f>BE850/BE849</f>
        <v>#DIV/0!</v>
      </c>
      <c r="BH849" s="222" t="e">
        <f>BG850/BG849</f>
        <v>#DIV/0!</v>
      </c>
      <c r="BJ849" s="222" t="e">
        <f>BI850/BI849</f>
        <v>#DIV/0!</v>
      </c>
      <c r="BL849" s="222" t="e">
        <f>BK850/BK849</f>
        <v>#DIV/0!</v>
      </c>
      <c r="BN849" s="222" t="e">
        <f>BM850/BM849</f>
        <v>#DIV/0!</v>
      </c>
      <c r="BP849" s="222" t="e">
        <f>BO850/BO849</f>
        <v>#DIV/0!</v>
      </c>
      <c r="BR849" s="222" t="e">
        <f>BQ850/BQ849</f>
        <v>#DIV/0!</v>
      </c>
      <c r="BS849" s="214">
        <v>441.15</v>
      </c>
      <c r="BT849" s="222">
        <f>BS850/BS849</f>
        <v>0.21779440099739314</v>
      </c>
      <c r="BU849" s="214">
        <v>348.97</v>
      </c>
      <c r="BV849" s="222">
        <f>BU850/BU849</f>
        <v>0.24615296443820395</v>
      </c>
      <c r="BW849" s="214">
        <v>374.81</v>
      </c>
      <c r="BX849" s="222">
        <f>BW850/BW849</f>
        <v>0.2749393025799739</v>
      </c>
      <c r="BY849" s="214">
        <v>405.03</v>
      </c>
      <c r="BZ849" s="222">
        <f>BY850/BY849</f>
        <v>0.31066834555465023</v>
      </c>
      <c r="CA849" s="214">
        <v>203.95</v>
      </c>
      <c r="CB849" s="222">
        <f>CA850/CA849</f>
        <v>0.32910026967393957</v>
      </c>
      <c r="CC849" s="214">
        <v>186.32</v>
      </c>
      <c r="CD849" s="222">
        <f>CC850/CC849</f>
        <v>0.31896736796908542</v>
      </c>
      <c r="CE849" s="214"/>
      <c r="CF849" s="222" t="e">
        <f>CE850/CE849</f>
        <v>#DIV/0!</v>
      </c>
      <c r="CG849" s="214"/>
      <c r="CH849" s="222" t="e">
        <f>CG850/CG849</f>
        <v>#DIV/0!</v>
      </c>
    </row>
    <row r="850" spans="1:87" hidden="1">
      <c r="C850" s="318" t="s">
        <v>9</v>
      </c>
      <c r="AP850" s="214"/>
      <c r="BS850" s="214">
        <f>BS848+BS849</f>
        <v>96.079999999999984</v>
      </c>
      <c r="BU850" s="214">
        <f>BU848+BU849</f>
        <v>85.900000000000034</v>
      </c>
      <c r="BW850" s="214">
        <f>BW848+BW849</f>
        <v>103.05000000000001</v>
      </c>
      <c r="BY850" s="214">
        <f>BY848+BY849</f>
        <v>125.82999999999998</v>
      </c>
      <c r="CA850" s="214">
        <f>CA848+CA849</f>
        <v>67.119999999999976</v>
      </c>
      <c r="CC850" s="214">
        <f>CC848+CC849</f>
        <v>59.429999999999993</v>
      </c>
      <c r="CE850" s="214">
        <f>CE848+CE849</f>
        <v>-26.99</v>
      </c>
      <c r="CG850" s="214">
        <f>CG848+CG849</f>
        <v>0</v>
      </c>
    </row>
    <row r="851" spans="1:87">
      <c r="A851" s="211">
        <v>241</v>
      </c>
      <c r="C851" s="318" t="s">
        <v>623</v>
      </c>
      <c r="AP851" s="214"/>
    </row>
    <row r="852" spans="1:87">
      <c r="C852" s="318" t="s">
        <v>624</v>
      </c>
      <c r="AP852" s="214"/>
      <c r="BQ852" s="235">
        <v>45901</v>
      </c>
      <c r="BS852" s="235">
        <v>45931</v>
      </c>
      <c r="BU852" s="235">
        <v>45962</v>
      </c>
      <c r="BW852" s="235">
        <v>45992</v>
      </c>
      <c r="BY852" s="235">
        <v>46023</v>
      </c>
      <c r="CA852" s="235">
        <v>46054</v>
      </c>
      <c r="CC852" s="235">
        <v>46082</v>
      </c>
      <c r="CE852" s="235">
        <v>46113</v>
      </c>
      <c r="CG852" s="235">
        <v>46143</v>
      </c>
      <c r="CI852" s="341">
        <v>46174</v>
      </c>
    </row>
    <row r="853" spans="1:87">
      <c r="C853" s="318" t="s">
        <v>7</v>
      </c>
      <c r="AP853" s="214"/>
      <c r="BS853" s="237">
        <f>-223.61-8.64</f>
        <v>-232.25</v>
      </c>
      <c r="BU853" s="237">
        <f>-250.52-12.45</f>
        <v>-262.97000000000003</v>
      </c>
      <c r="BW853" s="237">
        <f>-373.52-12.66</f>
        <v>-386.18</v>
      </c>
      <c r="BY853" s="237">
        <f>-379.74-11.02</f>
        <v>-390.76</v>
      </c>
      <c r="CA853" s="237">
        <f>-297.65-10.37</f>
        <v>-308.02</v>
      </c>
      <c r="CC853" s="237">
        <f>-311.25-7.08</f>
        <v>-318.33</v>
      </c>
      <c r="CE853" s="237">
        <f>-205.42-7.4</f>
        <v>-212.82</v>
      </c>
      <c r="CG853" s="237">
        <v>-222.1</v>
      </c>
    </row>
    <row r="854" spans="1:87">
      <c r="C854" s="318" t="s">
        <v>8</v>
      </c>
      <c r="AP854" s="214"/>
      <c r="AU854" s="222" t="e">
        <f>AT855/AT854</f>
        <v>#DIV/0!</v>
      </c>
      <c r="AW854" s="222" t="e">
        <f>AV855/AV854</f>
        <v>#DIV/0!</v>
      </c>
      <c r="AY854" s="224" t="e">
        <f>AX855/AX854</f>
        <v>#DIV/0!</v>
      </c>
      <c r="AZ854" s="225"/>
      <c r="BB854" s="222" t="e">
        <f>BA855/BA854</f>
        <v>#DIV/0!</v>
      </c>
      <c r="BD854" s="222" t="e">
        <f>BC855/BC854</f>
        <v>#DIV/0!</v>
      </c>
      <c r="BF854" s="222" t="e">
        <f>BE855/BE854</f>
        <v>#DIV/0!</v>
      </c>
      <c r="BH854" s="222" t="e">
        <f>BG855/BG854</f>
        <v>#DIV/0!</v>
      </c>
      <c r="BJ854" s="222" t="e">
        <f>BI855/BI854</f>
        <v>#DIV/0!</v>
      </c>
      <c r="BL854" s="222" t="e">
        <f>BK855/BK854</f>
        <v>#DIV/0!</v>
      </c>
      <c r="BN854" s="222" t="e">
        <f>BM855/BM854</f>
        <v>#DIV/0!</v>
      </c>
      <c r="BP854" s="222" t="e">
        <f>BO855/BO854</f>
        <v>#DIV/0!</v>
      </c>
      <c r="BR854" s="222" t="e">
        <f>BQ855/BQ854</f>
        <v>#DIV/0!</v>
      </c>
      <c r="BS854" s="214">
        <v>290.76</v>
      </c>
      <c r="BT854" s="222">
        <f>BS855/BS854</f>
        <v>0.20123125601870956</v>
      </c>
      <c r="BU854" s="214">
        <v>292.51</v>
      </c>
      <c r="BV854" s="222">
        <f>BU855/BU854</f>
        <v>0.10098800041024227</v>
      </c>
      <c r="BW854" s="214">
        <v>370.75</v>
      </c>
      <c r="BX854" s="222">
        <f>BW855/BW854</f>
        <v>-4.1618341200269741E-2</v>
      </c>
      <c r="BY854" s="214">
        <v>527.61</v>
      </c>
      <c r="BZ854" s="222">
        <f>BY855/BY854</f>
        <v>0.25937719148613564</v>
      </c>
      <c r="CA854" s="214">
        <v>407.96</v>
      </c>
      <c r="CB854" s="222">
        <f>CA855/CA854</f>
        <v>0.2449749975487793</v>
      </c>
      <c r="CC854" s="214">
        <v>350.57</v>
      </c>
      <c r="CD854" s="222">
        <f>CC855/CC854</f>
        <v>9.1964514932823718E-2</v>
      </c>
      <c r="CE854" s="214">
        <v>256.73</v>
      </c>
      <c r="CF854" s="222">
        <f>CE855/CE854</f>
        <v>0.17103571845908161</v>
      </c>
      <c r="CG854" s="214">
        <v>259.83999999999997</v>
      </c>
      <c r="CH854" s="222">
        <f>CG855/CG854</f>
        <v>0.14524322660098515</v>
      </c>
    </row>
    <row r="855" spans="1:87">
      <c r="C855" s="318" t="s">
        <v>9</v>
      </c>
      <c r="AP855" s="214"/>
      <c r="BS855" s="214">
        <f>BS853+BS854</f>
        <v>58.509999999999991</v>
      </c>
      <c r="BU855" s="214">
        <f>BU853+BU854</f>
        <v>29.539999999999964</v>
      </c>
      <c r="BW855" s="214">
        <f>BW853+BW854</f>
        <v>-15.430000000000007</v>
      </c>
      <c r="BY855" s="214">
        <f>BY853+BY854</f>
        <v>136.85000000000002</v>
      </c>
      <c r="CA855" s="214">
        <f>CA853+CA854</f>
        <v>99.94</v>
      </c>
      <c r="CC855" s="214">
        <f>CC853+CC854</f>
        <v>32.240000000000009</v>
      </c>
      <c r="CE855" s="214">
        <f>CE853+CE854</f>
        <v>43.910000000000025</v>
      </c>
      <c r="CG855" s="214">
        <f>CG853+CG854</f>
        <v>37.739999999999981</v>
      </c>
    </row>
    <row r="856" spans="1:87">
      <c r="A856" s="211">
        <v>242</v>
      </c>
      <c r="C856" s="318" t="s">
        <v>627</v>
      </c>
      <c r="AP856" s="214"/>
    </row>
    <row r="857" spans="1:87">
      <c r="C857" s="318" t="s">
        <v>628</v>
      </c>
      <c r="AP857" s="214"/>
      <c r="BQ857" s="235">
        <v>45901</v>
      </c>
      <c r="BS857" s="235">
        <v>45931</v>
      </c>
      <c r="BU857" s="235">
        <v>45962</v>
      </c>
      <c r="BW857" s="235">
        <v>45992</v>
      </c>
      <c r="BY857" s="235">
        <v>46023</v>
      </c>
      <c r="CA857" s="235">
        <v>46054</v>
      </c>
      <c r="CC857" s="235">
        <v>46082</v>
      </c>
      <c r="CE857" s="235">
        <v>46113</v>
      </c>
      <c r="CG857" s="235">
        <v>46143</v>
      </c>
      <c r="CI857" s="341">
        <v>46174</v>
      </c>
    </row>
    <row r="858" spans="1:87">
      <c r="C858" s="318" t="s">
        <v>7</v>
      </c>
      <c r="AP858" s="214"/>
      <c r="BS858" s="237">
        <f>-82.46-13.15</f>
        <v>-95.61</v>
      </c>
      <c r="BU858" s="237">
        <f>-60.51-12.32</f>
        <v>-72.83</v>
      </c>
      <c r="BW858" s="237">
        <f>-40.38-10.8</f>
        <v>-51.180000000000007</v>
      </c>
      <c r="BY858" s="237">
        <f>-33.85-10.86</f>
        <v>-44.71</v>
      </c>
      <c r="CA858" s="237">
        <f>-39.77-7.68</f>
        <v>-47.45</v>
      </c>
      <c r="CC858" s="237">
        <f>-30.83-8.12</f>
        <v>-38.949999999999996</v>
      </c>
      <c r="CE858" s="237">
        <f>-25.58-9.92</f>
        <v>-35.5</v>
      </c>
      <c r="CG858" s="237">
        <f>-29.83-16.45</f>
        <v>-46.28</v>
      </c>
      <c r="CI858" s="213">
        <v>-51.56</v>
      </c>
    </row>
    <row r="859" spans="1:87">
      <c r="C859" s="318" t="s">
        <v>8</v>
      </c>
      <c r="AP859" s="214"/>
      <c r="AU859" s="222" t="e">
        <f>AT860/AT859</f>
        <v>#DIV/0!</v>
      </c>
      <c r="AW859" s="222" t="e">
        <f>AV860/AV859</f>
        <v>#DIV/0!</v>
      </c>
      <c r="AY859" s="224" t="e">
        <f>AX860/AX859</f>
        <v>#DIV/0!</v>
      </c>
      <c r="AZ859" s="225"/>
      <c r="BB859" s="222" t="e">
        <f>BA860/BA859</f>
        <v>#DIV/0!</v>
      </c>
      <c r="BD859" s="222" t="e">
        <f>BC860/BC859</f>
        <v>#DIV/0!</v>
      </c>
      <c r="BF859" s="222" t="e">
        <f>BE860/BE859</f>
        <v>#DIV/0!</v>
      </c>
      <c r="BH859" s="222" t="e">
        <f>BG860/BG859</f>
        <v>#DIV/0!</v>
      </c>
      <c r="BJ859" s="222" t="e">
        <f>BI860/BI859</f>
        <v>#DIV/0!</v>
      </c>
      <c r="BL859" s="222" t="e">
        <f>BK860/BK859</f>
        <v>#DIV/0!</v>
      </c>
      <c r="BN859" s="222" t="e">
        <f>BM860/BM859</f>
        <v>#DIV/0!</v>
      </c>
      <c r="BP859" s="222" t="e">
        <f>BO860/BO859</f>
        <v>#DIV/0!</v>
      </c>
      <c r="BR859" s="222" t="e">
        <f>BQ860/BQ859</f>
        <v>#DIV/0!</v>
      </c>
      <c r="BS859" s="214">
        <v>113.24</v>
      </c>
      <c r="BT859" s="222">
        <f>BS860/BS859</f>
        <v>0.15568703638290354</v>
      </c>
      <c r="BU859" s="214">
        <v>84.5</v>
      </c>
      <c r="BV859" s="222">
        <f>BU860/BU859</f>
        <v>0.13810650887573966</v>
      </c>
      <c r="BW859" s="214">
        <v>50.17</v>
      </c>
      <c r="BX859" s="222">
        <f>BW860/BW859</f>
        <v>-2.0131552720749554E-2</v>
      </c>
      <c r="BY859" s="214">
        <v>50.59</v>
      </c>
      <c r="BZ859" s="222">
        <f>BY860/BY859</f>
        <v>0.11622850365684922</v>
      </c>
      <c r="CA859" s="214">
        <v>56.12</v>
      </c>
      <c r="CB859" s="222">
        <f>CA860/CA859</f>
        <v>0.15449037776193861</v>
      </c>
      <c r="CC859" s="214">
        <v>48.78</v>
      </c>
      <c r="CD859" s="222">
        <f>CC860/CC859</f>
        <v>0.2015170151701518</v>
      </c>
      <c r="CE859" s="214">
        <v>41.85</v>
      </c>
      <c r="CF859" s="222">
        <f>CE860/CE859</f>
        <v>0.15173237753882918</v>
      </c>
      <c r="CG859" s="214">
        <v>52.16</v>
      </c>
      <c r="CH859" s="222">
        <f>CG860/CG859</f>
        <v>0.11273006134969317</v>
      </c>
    </row>
    <row r="860" spans="1:87">
      <c r="C860" s="318" t="s">
        <v>9</v>
      </c>
      <c r="AP860" s="214"/>
      <c r="BS860" s="214">
        <f>BS858+BS859</f>
        <v>17.629999999999995</v>
      </c>
      <c r="BU860" s="214">
        <f>BU858+BU859</f>
        <v>11.670000000000002</v>
      </c>
      <c r="BW860" s="214">
        <f>BW858+BW859</f>
        <v>-1.0100000000000051</v>
      </c>
      <c r="BY860" s="214">
        <f>BY858+BY859</f>
        <v>5.8800000000000026</v>
      </c>
      <c r="CA860" s="214">
        <f>CA858+CA859</f>
        <v>8.6699999999999946</v>
      </c>
      <c r="CC860" s="214">
        <f>CC858+CC859</f>
        <v>9.8300000000000054</v>
      </c>
      <c r="CE860" s="214">
        <f>CE858+CE859</f>
        <v>6.3500000000000014</v>
      </c>
      <c r="CG860" s="214">
        <f>CG858+CG859</f>
        <v>5.8799999999999955</v>
      </c>
    </row>
    <row r="861" spans="1:87">
      <c r="A861" s="211">
        <v>243</v>
      </c>
      <c r="C861" s="318" t="s">
        <v>633</v>
      </c>
      <c r="AP861" s="214"/>
    </row>
    <row r="862" spans="1:87">
      <c r="C862" s="318" t="s">
        <v>634</v>
      </c>
      <c r="AP862" s="214"/>
      <c r="BQ862" s="235">
        <v>45901</v>
      </c>
      <c r="BS862" s="235">
        <v>45931</v>
      </c>
      <c r="BU862" s="235">
        <v>45962</v>
      </c>
      <c r="BW862" s="235">
        <v>45992</v>
      </c>
      <c r="BY862" s="235">
        <v>46023</v>
      </c>
      <c r="CA862" s="235">
        <v>46054</v>
      </c>
      <c r="CC862" s="235">
        <v>46082</v>
      </c>
      <c r="CE862" s="235">
        <v>46113</v>
      </c>
      <c r="CG862" s="235">
        <v>46143</v>
      </c>
      <c r="CI862" s="341">
        <v>46174</v>
      </c>
    </row>
    <row r="863" spans="1:87">
      <c r="C863" s="318" t="s">
        <v>7</v>
      </c>
      <c r="AP863" s="214"/>
      <c r="BS863" s="237">
        <f>-25.36-7.3</f>
        <v>-32.659999999999997</v>
      </c>
      <c r="BU863" s="237">
        <f>-40.97-9.87</f>
        <v>-50.839999999999996</v>
      </c>
      <c r="BW863" s="237">
        <f>-29.58-14.9</f>
        <v>-44.48</v>
      </c>
      <c r="BY863" s="237">
        <f>-37.2-8.94</f>
        <v>-46.14</v>
      </c>
      <c r="CA863" s="237">
        <f>-32.65-8.1</f>
        <v>-40.75</v>
      </c>
      <c r="CC863" s="237">
        <f>-31.02-10.64</f>
        <v>-41.66</v>
      </c>
      <c r="CE863" s="237">
        <f>-34.42-5.08</f>
        <v>-39.5</v>
      </c>
      <c r="CG863" s="237">
        <v>-30.48</v>
      </c>
    </row>
    <row r="864" spans="1:87">
      <c r="C864" s="318" t="s">
        <v>8</v>
      </c>
      <c r="AP864" s="214"/>
      <c r="AU864" s="222" t="e">
        <f>AT865/AT864</f>
        <v>#DIV/0!</v>
      </c>
      <c r="AW864" s="222" t="e">
        <f>AV865/AV864</f>
        <v>#DIV/0!</v>
      </c>
      <c r="AY864" s="224" t="e">
        <f>AX865/AX864</f>
        <v>#DIV/0!</v>
      </c>
      <c r="AZ864" s="225"/>
      <c r="BB864" s="222" t="e">
        <f>BA865/BA864</f>
        <v>#DIV/0!</v>
      </c>
      <c r="BD864" s="222" t="e">
        <f>BC865/BC864</f>
        <v>#DIV/0!</v>
      </c>
      <c r="BF864" s="222" t="e">
        <f>BE865/BE864</f>
        <v>#DIV/0!</v>
      </c>
      <c r="BH864" s="222" t="e">
        <f>BG865/BG864</f>
        <v>#DIV/0!</v>
      </c>
      <c r="BJ864" s="222" t="e">
        <f>BI865/BI864</f>
        <v>#DIV/0!</v>
      </c>
      <c r="BL864" s="222" t="e">
        <f>BK865/BK864</f>
        <v>#DIV/0!</v>
      </c>
      <c r="BN864" s="222" t="e">
        <f>BM865/BM864</f>
        <v>#DIV/0!</v>
      </c>
      <c r="BP864" s="222" t="e">
        <f>BO865/BO864</f>
        <v>#DIV/0!</v>
      </c>
      <c r="BR864" s="222" t="e">
        <f>BQ865/BQ864</f>
        <v>#DIV/0!</v>
      </c>
      <c r="BS864" s="214">
        <v>50.73</v>
      </c>
      <c r="BT864" s="222">
        <f>BS865/BS864</f>
        <v>0.35619948748275188</v>
      </c>
      <c r="BU864" s="214">
        <v>48.56</v>
      </c>
      <c r="BV864" s="222">
        <f>BU865/BU864</f>
        <v>-4.6952224052718164E-2</v>
      </c>
      <c r="BW864" s="214">
        <v>48.45</v>
      </c>
      <c r="BX864" s="222">
        <f>BW865/BW864</f>
        <v>8.194014447884429E-2</v>
      </c>
      <c r="BY864" s="214">
        <v>49.58</v>
      </c>
      <c r="BZ864" s="222">
        <f>BY865/BY864</f>
        <v>6.9382815651472321E-2</v>
      </c>
      <c r="CA864" s="214">
        <v>48.84</v>
      </c>
      <c r="CB864" s="222">
        <f>CA865/CA864</f>
        <v>0.16564291564291569</v>
      </c>
      <c r="CC864" s="214">
        <v>52.77</v>
      </c>
      <c r="CD864" s="222">
        <f>CC865/CC864</f>
        <v>0.21053628955846135</v>
      </c>
      <c r="CE864" s="214">
        <v>50.32</v>
      </c>
      <c r="CF864" s="222">
        <f>CE865/CE864</f>
        <v>0.21502384737678856</v>
      </c>
      <c r="CG864" s="214">
        <v>49.12</v>
      </c>
      <c r="CH864" s="222">
        <f>CG865/CG864</f>
        <v>0.37947882736156346</v>
      </c>
    </row>
    <row r="865" spans="1:87">
      <c r="C865" s="318" t="s">
        <v>9</v>
      </c>
      <c r="AP865" s="214"/>
      <c r="BS865" s="214">
        <f>BS863+BS864</f>
        <v>18.07</v>
      </c>
      <c r="BU865" s="214">
        <f>BU863+BU864</f>
        <v>-2.279999999999994</v>
      </c>
      <c r="BW865" s="214">
        <f>BW863+BW864</f>
        <v>3.970000000000006</v>
      </c>
      <c r="BY865" s="214">
        <f>BY863+BY864</f>
        <v>3.4399999999999977</v>
      </c>
      <c r="CA865" s="214">
        <f>CA863+CA864</f>
        <v>8.0900000000000034</v>
      </c>
      <c r="CC865" s="214">
        <f>CC863+CC864</f>
        <v>11.110000000000007</v>
      </c>
      <c r="CE865" s="214">
        <f>CE863+CE864</f>
        <v>10.82</v>
      </c>
      <c r="CG865" s="214">
        <f>CG863+CG864</f>
        <v>18.639999999999997</v>
      </c>
    </row>
    <row r="866" spans="1:87">
      <c r="A866" s="211">
        <v>244</v>
      </c>
      <c r="C866" s="318" t="s">
        <v>635</v>
      </c>
      <c r="AP866" s="214"/>
    </row>
    <row r="867" spans="1:87">
      <c r="C867" s="318" t="s">
        <v>636</v>
      </c>
      <c r="AP867" s="214"/>
      <c r="BS867" s="235">
        <v>45931</v>
      </c>
      <c r="BU867" s="235">
        <v>45962</v>
      </c>
      <c r="BW867" s="235">
        <v>45992</v>
      </c>
      <c r="BY867" s="235">
        <v>46023</v>
      </c>
      <c r="CA867" s="235">
        <v>46054</v>
      </c>
      <c r="CC867" s="235">
        <v>46082</v>
      </c>
      <c r="CE867" s="235">
        <v>46113</v>
      </c>
      <c r="CG867" s="235">
        <v>46143</v>
      </c>
      <c r="CI867" s="341">
        <v>46174</v>
      </c>
    </row>
    <row r="868" spans="1:87">
      <c r="C868" s="318" t="s">
        <v>7</v>
      </c>
      <c r="AP868" s="214"/>
      <c r="BS868" s="237">
        <v>-67.14</v>
      </c>
      <c r="BU868" s="237">
        <v>-267.91000000000003</v>
      </c>
      <c r="BW868" s="237">
        <v>-371.6</v>
      </c>
      <c r="BY868" s="237">
        <v>-391.5</v>
      </c>
      <c r="CA868" s="237">
        <v>-246.69</v>
      </c>
      <c r="CC868" s="237">
        <v>-251.66</v>
      </c>
      <c r="CE868" s="237">
        <v>-203.68</v>
      </c>
      <c r="CG868" s="237">
        <v>-230.92</v>
      </c>
    </row>
    <row r="869" spans="1:87">
      <c r="C869" s="318" t="s">
        <v>8</v>
      </c>
      <c r="AP869" s="214"/>
      <c r="AU869" s="222" t="e">
        <f>AT870/AT869</f>
        <v>#DIV/0!</v>
      </c>
      <c r="AW869" s="222" t="e">
        <f>AV870/AV869</f>
        <v>#DIV/0!</v>
      </c>
      <c r="AY869" s="224" t="e">
        <f>AX870/AX869</f>
        <v>#DIV/0!</v>
      </c>
      <c r="AZ869" s="225"/>
      <c r="BB869" s="222" t="e">
        <f>BA870/BA869</f>
        <v>#DIV/0!</v>
      </c>
      <c r="BD869" s="222" t="e">
        <f>BC870/BC869</f>
        <v>#DIV/0!</v>
      </c>
      <c r="BF869" s="222" t="e">
        <f>BE870/BE869</f>
        <v>#DIV/0!</v>
      </c>
      <c r="BH869" s="222" t="e">
        <f>BG870/BG869</f>
        <v>#DIV/0!</v>
      </c>
      <c r="BJ869" s="222" t="e">
        <f>BI870/BI869</f>
        <v>#DIV/0!</v>
      </c>
      <c r="BL869" s="222" t="e">
        <f>BK870/BK869</f>
        <v>#DIV/0!</v>
      </c>
      <c r="BN869" s="222" t="e">
        <f>BM870/BM869</f>
        <v>#DIV/0!</v>
      </c>
      <c r="BP869" s="222" t="e">
        <f>BO870/BO869</f>
        <v>#DIV/0!</v>
      </c>
      <c r="BR869" s="222" t="e">
        <f>BQ870/BQ869</f>
        <v>#DIV/0!</v>
      </c>
      <c r="BS869" s="214">
        <v>125.91</v>
      </c>
      <c r="BT869" s="222">
        <f>BS870/BS869</f>
        <v>0.46676197283774123</v>
      </c>
      <c r="BU869" s="214">
        <v>307.86</v>
      </c>
      <c r="BV869" s="222">
        <f>BU870/BU869</f>
        <v>0.12976677710647694</v>
      </c>
      <c r="BW869" s="214">
        <v>487.29</v>
      </c>
      <c r="BX869" s="222">
        <f>BW870/BW869</f>
        <v>0.23741509162921462</v>
      </c>
      <c r="BY869" s="214">
        <v>470.21</v>
      </c>
      <c r="BZ869" s="222">
        <f>BY870/BY869</f>
        <v>0.16739329235873329</v>
      </c>
      <c r="CA869" s="214">
        <v>312.69</v>
      </c>
      <c r="CB869" s="222">
        <f>CA870/CA869</f>
        <v>0.21107166842559724</v>
      </c>
      <c r="CC869" s="214">
        <v>350.29</v>
      </c>
      <c r="CD869" s="222">
        <f>CC870/CC869</f>
        <v>0.28156670187558885</v>
      </c>
      <c r="CE869" s="214">
        <v>272.62</v>
      </c>
      <c r="CF869" s="222">
        <f>CE870/CE869</f>
        <v>0.25287946592326316</v>
      </c>
      <c r="CG869" s="214">
        <v>283.69</v>
      </c>
      <c r="CH869" s="222">
        <f>CG870/CG869</f>
        <v>0.18601290140646484</v>
      </c>
    </row>
    <row r="870" spans="1:87">
      <c r="C870" s="318" t="s">
        <v>9</v>
      </c>
      <c r="AP870" s="214"/>
      <c r="BS870" s="214">
        <f>BS868+BS869</f>
        <v>58.769999999999996</v>
      </c>
      <c r="BU870" s="214">
        <f>BU868+BU869</f>
        <v>39.949999999999989</v>
      </c>
      <c r="BW870" s="214">
        <f>BW868+BW869</f>
        <v>115.69</v>
      </c>
      <c r="BY870" s="214">
        <f>BY868+BY869</f>
        <v>78.70999999999998</v>
      </c>
      <c r="CA870" s="214">
        <f>CA868+CA869</f>
        <v>66</v>
      </c>
      <c r="CC870" s="214">
        <f>CC868+CC869</f>
        <v>98.630000000000024</v>
      </c>
      <c r="CE870" s="214">
        <f>CE868+CE869</f>
        <v>68.94</v>
      </c>
      <c r="CG870" s="214">
        <f>CG868+CG869</f>
        <v>52.77000000000001</v>
      </c>
    </row>
    <row r="871" spans="1:87">
      <c r="A871" s="211">
        <v>245</v>
      </c>
      <c r="C871" s="318" t="s">
        <v>642</v>
      </c>
      <c r="AP871" s="214"/>
      <c r="BS871" s="235"/>
    </row>
    <row r="872" spans="1:87">
      <c r="C872" s="318" t="s">
        <v>643</v>
      </c>
      <c r="AP872" s="214"/>
      <c r="BS872" s="235">
        <v>45931</v>
      </c>
      <c r="BU872" s="235">
        <v>45962</v>
      </c>
      <c r="BW872" s="235">
        <v>45992</v>
      </c>
      <c r="BY872" s="235">
        <v>46023</v>
      </c>
      <c r="CA872" s="235">
        <v>46054</v>
      </c>
      <c r="CC872" s="235">
        <v>46082</v>
      </c>
      <c r="CE872" s="235">
        <v>46113</v>
      </c>
      <c r="CG872" s="235">
        <v>46143</v>
      </c>
      <c r="CI872" s="341">
        <v>46174</v>
      </c>
    </row>
    <row r="873" spans="1:87">
      <c r="C873" s="318" t="s">
        <v>7</v>
      </c>
      <c r="AP873" s="214"/>
      <c r="BU873" s="237">
        <f>-17.39-6.92</f>
        <v>-24.310000000000002</v>
      </c>
      <c r="BW873" s="237">
        <f>-26.04-41.62-7.5</f>
        <v>-75.16</v>
      </c>
      <c r="BY873" s="237">
        <f>-108.76-5.94</f>
        <v>-114.7</v>
      </c>
      <c r="CA873" s="237">
        <f>-77.1-6</f>
        <v>-83.1</v>
      </c>
      <c r="CC873" s="237">
        <f>-89.91-2.77</f>
        <v>-92.679999999999993</v>
      </c>
      <c r="CE873" s="237">
        <f>-80.3-3.26</f>
        <v>-83.56</v>
      </c>
      <c r="CG873" s="214">
        <v>-91.16</v>
      </c>
    </row>
    <row r="874" spans="1:87">
      <c r="C874" s="318" t="s">
        <v>8</v>
      </c>
      <c r="AP874" s="214"/>
      <c r="AU874" s="222" t="e">
        <f>AT875/AT874</f>
        <v>#DIV/0!</v>
      </c>
      <c r="AW874" s="222" t="e">
        <f>AV875/AV874</f>
        <v>#DIV/0!</v>
      </c>
      <c r="AY874" s="224" t="e">
        <f>AX875/AX874</f>
        <v>#DIV/0!</v>
      </c>
      <c r="AZ874" s="225"/>
      <c r="BB874" s="222" t="e">
        <f>BA875/BA874</f>
        <v>#DIV/0!</v>
      </c>
      <c r="BD874" s="222" t="e">
        <f>BC875/BC874</f>
        <v>#DIV/0!</v>
      </c>
      <c r="BF874" s="222" t="e">
        <f>BE875/BE874</f>
        <v>#DIV/0!</v>
      </c>
      <c r="BH874" s="222" t="e">
        <f>BG875/BG874</f>
        <v>#DIV/0!</v>
      </c>
      <c r="BJ874" s="222" t="e">
        <f>BI875/BI874</f>
        <v>#DIV/0!</v>
      </c>
      <c r="BL874" s="222" t="e">
        <f>BK875/BK874</f>
        <v>#DIV/0!</v>
      </c>
      <c r="BN874" s="222" t="e">
        <f>BM875/BM874</f>
        <v>#DIV/0!</v>
      </c>
      <c r="BP874" s="222" t="e">
        <f>BO875/BO874</f>
        <v>#DIV/0!</v>
      </c>
      <c r="BR874" s="222" t="e">
        <f>BQ875/BQ874</f>
        <v>#DIV/0!</v>
      </c>
      <c r="BT874" s="222" t="e">
        <f>BS875/BS874</f>
        <v>#DIV/0!</v>
      </c>
      <c r="BU874" s="214">
        <v>36.72</v>
      </c>
      <c r="BV874" s="222">
        <f>BU875/BU874</f>
        <v>0.33796296296296285</v>
      </c>
      <c r="BW874" s="214">
        <v>81.88</v>
      </c>
      <c r="BX874" s="222">
        <f>BW875/BW874</f>
        <v>8.2071323888617473E-2</v>
      </c>
      <c r="BY874" s="214">
        <v>140.19</v>
      </c>
      <c r="BZ874" s="222">
        <f>BY875/BY874</f>
        <v>0.18182466652400311</v>
      </c>
      <c r="CA874" s="214">
        <v>132.24</v>
      </c>
      <c r="CB874" s="222">
        <f>CA875/CA874</f>
        <v>0.37159709618874781</v>
      </c>
      <c r="CC874" s="214">
        <v>131.6</v>
      </c>
      <c r="CD874" s="222">
        <f>CC875/CC874</f>
        <v>0.29574468085106387</v>
      </c>
      <c r="CE874" s="214">
        <v>111.32</v>
      </c>
      <c r="CF874" s="222">
        <f>CE875/CE874</f>
        <v>0.24937118217750623</v>
      </c>
      <c r="CG874" s="214">
        <v>121.12</v>
      </c>
      <c r="CH874" s="222">
        <f>CG875/CG874</f>
        <v>0.24735799207397627</v>
      </c>
    </row>
    <row r="875" spans="1:87">
      <c r="C875" s="318" t="s">
        <v>9</v>
      </c>
      <c r="AP875" s="214"/>
      <c r="BU875" s="214">
        <f>BU873+BU874</f>
        <v>12.409999999999997</v>
      </c>
      <c r="BW875" s="214">
        <f>BW873+BW874</f>
        <v>6.7199999999999989</v>
      </c>
      <c r="BY875" s="214">
        <f>BY873+BY874</f>
        <v>25.489999999999995</v>
      </c>
      <c r="CA875" s="214">
        <f>CA873+CA874</f>
        <v>49.140000000000015</v>
      </c>
      <c r="CC875" s="214">
        <f>CC873+CC874</f>
        <v>38.92</v>
      </c>
      <c r="CE875" s="214">
        <f>CE873+CE874</f>
        <v>27.759999999999991</v>
      </c>
      <c r="CG875" s="214">
        <f>CG873+CG874</f>
        <v>29.960000000000008</v>
      </c>
    </row>
    <row r="876" spans="1:87">
      <c r="A876" s="211">
        <v>246</v>
      </c>
      <c r="C876" s="318" t="s">
        <v>644</v>
      </c>
      <c r="AP876" s="214"/>
    </row>
    <row r="877" spans="1:87">
      <c r="C877" s="318" t="s">
        <v>645</v>
      </c>
      <c r="AP877" s="214"/>
      <c r="BS877" s="235">
        <v>45931</v>
      </c>
      <c r="BU877" s="235">
        <v>45962</v>
      </c>
      <c r="BW877" s="235">
        <v>45992</v>
      </c>
      <c r="BY877" s="235">
        <v>46023</v>
      </c>
      <c r="CA877" s="235">
        <v>46054</v>
      </c>
      <c r="CC877" s="235">
        <v>46082</v>
      </c>
      <c r="CE877" s="235">
        <v>46113</v>
      </c>
      <c r="CG877" s="235">
        <v>46143</v>
      </c>
      <c r="CI877" s="341">
        <v>46174</v>
      </c>
    </row>
    <row r="878" spans="1:87">
      <c r="C878" s="318" t="s">
        <v>7</v>
      </c>
      <c r="AP878" s="214"/>
      <c r="BU878" s="237">
        <v>-53.17</v>
      </c>
      <c r="BW878" s="237">
        <f>-36.85-5.57-89.2</f>
        <v>-131.62</v>
      </c>
      <c r="BY878" s="237">
        <f>-58-69.66</f>
        <v>-127.66</v>
      </c>
      <c r="CA878" s="237">
        <f>-38.6-58.68</f>
        <v>-97.28</v>
      </c>
      <c r="CC878" s="237">
        <f>-32.47-46.41</f>
        <v>-78.88</v>
      </c>
      <c r="CE878" s="237">
        <f>-26.64-22.32</f>
        <v>-48.96</v>
      </c>
      <c r="CG878" s="237">
        <f>-13.76-27.2</f>
        <v>-40.96</v>
      </c>
      <c r="CI878" s="213">
        <v>-12.15</v>
      </c>
    </row>
    <row r="879" spans="1:87">
      <c r="C879" s="318" t="s">
        <v>8</v>
      </c>
      <c r="AP879" s="214"/>
      <c r="AU879" s="222" t="e">
        <f>AT880/AT879</f>
        <v>#DIV/0!</v>
      </c>
      <c r="AW879" s="222" t="e">
        <f>AV880/AV879</f>
        <v>#DIV/0!</v>
      </c>
      <c r="AY879" s="224" t="e">
        <f>AX880/AX879</f>
        <v>#DIV/0!</v>
      </c>
      <c r="AZ879" s="225"/>
      <c r="BB879" s="222" t="e">
        <f>BA880/BA879</f>
        <v>#DIV/0!</v>
      </c>
      <c r="BD879" s="222" t="e">
        <f>BC880/BC879</f>
        <v>#DIV/0!</v>
      </c>
      <c r="BF879" s="222" t="e">
        <f>BE880/BE879</f>
        <v>#DIV/0!</v>
      </c>
      <c r="BH879" s="222" t="e">
        <f>BG880/BG879</f>
        <v>#DIV/0!</v>
      </c>
      <c r="BJ879" s="222" t="e">
        <f>BI880/BI879</f>
        <v>#DIV/0!</v>
      </c>
      <c r="BL879" s="222" t="e">
        <f>BK880/BK879</f>
        <v>#DIV/0!</v>
      </c>
      <c r="BN879" s="222" t="e">
        <f>BM880/BM879</f>
        <v>#DIV/0!</v>
      </c>
      <c r="BP879" s="222" t="e">
        <f>BO880/BO879</f>
        <v>#DIV/0!</v>
      </c>
      <c r="BR879" s="222" t="e">
        <f>BQ880/BQ879</f>
        <v>#DIV/0!</v>
      </c>
      <c r="BT879" s="222" t="e">
        <f>BS880/BS879</f>
        <v>#DIV/0!</v>
      </c>
      <c r="BU879" s="214">
        <v>50.58</v>
      </c>
      <c r="BV879" s="222">
        <f>BU880/BU879</f>
        <v>-5.1206010280743446E-2</v>
      </c>
      <c r="BW879" s="239">
        <v>131.84</v>
      </c>
      <c r="BX879" s="222">
        <f>BW880/BW879</f>
        <v>1.6686893203883408E-3</v>
      </c>
      <c r="BY879" s="214">
        <v>158.21</v>
      </c>
      <c r="BZ879" s="222">
        <f>BY880/BY879</f>
        <v>0.19309778142974535</v>
      </c>
      <c r="CA879" s="214">
        <v>119.17</v>
      </c>
      <c r="CB879" s="222">
        <f>CA880/CA879</f>
        <v>0.18368716958966183</v>
      </c>
      <c r="CC879" s="214">
        <v>94.7</v>
      </c>
      <c r="CD879" s="222">
        <f>CC880/CC879</f>
        <v>0.16705385427666322</v>
      </c>
      <c r="CE879" s="214">
        <v>46.27</v>
      </c>
      <c r="CF879" s="222">
        <f>CE880/CE879</f>
        <v>-5.8137021828398479E-2</v>
      </c>
      <c r="CG879" s="214">
        <v>46.09</v>
      </c>
      <c r="CH879" s="222">
        <f>CG880/CG879</f>
        <v>0.1113039704925147</v>
      </c>
    </row>
    <row r="880" spans="1:87">
      <c r="C880" s="318" t="s">
        <v>9</v>
      </c>
      <c r="AP880" s="214"/>
      <c r="BU880" s="214">
        <f>BU878+BU879</f>
        <v>-2.5900000000000034</v>
      </c>
      <c r="BW880" s="214">
        <f>BW878+BW879</f>
        <v>0.21999999999999886</v>
      </c>
      <c r="BY880" s="214">
        <f>BY878+BY879</f>
        <v>30.550000000000011</v>
      </c>
      <c r="CA880" s="214">
        <f>CA878+CA879</f>
        <v>21.89</v>
      </c>
      <c r="CC880" s="214">
        <f>CC878+CC879</f>
        <v>15.820000000000007</v>
      </c>
      <c r="CE880" s="214">
        <f>CE878+CE879</f>
        <v>-2.6899999999999977</v>
      </c>
      <c r="CG880" s="214">
        <f>CG878+CG879</f>
        <v>5.1300000000000026</v>
      </c>
    </row>
    <row r="881" spans="1:87">
      <c r="A881" s="211">
        <v>247</v>
      </c>
      <c r="C881" s="318" t="s">
        <v>767</v>
      </c>
      <c r="AP881" s="214"/>
    </row>
    <row r="882" spans="1:87">
      <c r="C882" s="318" t="s">
        <v>646</v>
      </c>
      <c r="AP882" s="214"/>
      <c r="BS882" s="235">
        <v>45931</v>
      </c>
      <c r="BU882" s="235">
        <v>45962</v>
      </c>
      <c r="BW882" s="235">
        <v>45992</v>
      </c>
      <c r="BY882" s="235">
        <v>46023</v>
      </c>
      <c r="CA882" s="235">
        <v>46054</v>
      </c>
      <c r="CC882" s="235">
        <v>46082</v>
      </c>
      <c r="CE882" s="235">
        <v>46113</v>
      </c>
      <c r="CG882" s="235">
        <v>46143</v>
      </c>
      <c r="CI882" s="341">
        <v>46174</v>
      </c>
    </row>
    <row r="883" spans="1:87">
      <c r="C883" s="318" t="s">
        <v>7</v>
      </c>
      <c r="AP883" s="214"/>
      <c r="BU883" s="237">
        <v>-12.22</v>
      </c>
      <c r="BW883" s="237">
        <f>-8.39-0.82-28.6</f>
        <v>-37.81</v>
      </c>
      <c r="BY883" s="237">
        <f>-20.16-16.83</f>
        <v>-36.989999999999995</v>
      </c>
      <c r="CA883" s="237">
        <f>-9.98-2.18-19.95</f>
        <v>-32.11</v>
      </c>
      <c r="CC883" s="237">
        <f>-13.27-52.5</f>
        <v>-65.77</v>
      </c>
      <c r="CE883" s="237">
        <f>-30.02-22.32</f>
        <v>-52.34</v>
      </c>
      <c r="CG883" s="237">
        <f>-13.76-42.4</f>
        <v>-56.16</v>
      </c>
      <c r="CI883" s="213">
        <v>-18.96</v>
      </c>
    </row>
    <row r="884" spans="1:87">
      <c r="C884" s="318" t="s">
        <v>8</v>
      </c>
      <c r="AP884" s="214"/>
      <c r="AU884" s="222" t="e">
        <f>AT885/AT884</f>
        <v>#DIV/0!</v>
      </c>
      <c r="AW884" s="222" t="e">
        <f>AV885/AV884</f>
        <v>#DIV/0!</v>
      </c>
      <c r="AY884" s="224" t="e">
        <f>AX885/AX884</f>
        <v>#DIV/0!</v>
      </c>
      <c r="AZ884" s="225"/>
      <c r="BB884" s="222" t="e">
        <f>BA885/BA884</f>
        <v>#DIV/0!</v>
      </c>
      <c r="BD884" s="222" t="e">
        <f>BC885/BC884</f>
        <v>#DIV/0!</v>
      </c>
      <c r="BF884" s="222" t="e">
        <f>BE885/BE884</f>
        <v>#DIV/0!</v>
      </c>
      <c r="BH884" s="222" t="e">
        <f>BG885/BG884</f>
        <v>#DIV/0!</v>
      </c>
      <c r="BJ884" s="222" t="e">
        <f>BI885/BI884</f>
        <v>#DIV/0!</v>
      </c>
      <c r="BL884" s="222" t="e">
        <f>BK885/BK884</f>
        <v>#DIV/0!</v>
      </c>
      <c r="BN884" s="222" t="e">
        <f>BM885/BM884</f>
        <v>#DIV/0!</v>
      </c>
      <c r="BP884" s="222" t="e">
        <f>BO885/BO884</f>
        <v>#DIV/0!</v>
      </c>
      <c r="BR884" s="222" t="e">
        <f>BQ885/BQ884</f>
        <v>#DIV/0!</v>
      </c>
      <c r="BT884" s="222" t="e">
        <f>BS885/BS884</f>
        <v>#DIV/0!</v>
      </c>
      <c r="BU884" s="214">
        <v>11.36</v>
      </c>
      <c r="BV884" s="222">
        <f>BU885/BU884</f>
        <v>-7.5704225352112783E-2</v>
      </c>
      <c r="BW884" s="239">
        <v>31.55</v>
      </c>
      <c r="BX884" s="222">
        <f>BW885/BW884</f>
        <v>-0.19841521394611733</v>
      </c>
      <c r="BY884" s="214">
        <v>43.59</v>
      </c>
      <c r="BZ884" s="222">
        <f>BY885/BY884</f>
        <v>0.15141087405368223</v>
      </c>
      <c r="CA884" s="214">
        <v>24.82</v>
      </c>
      <c r="CB884" s="222">
        <f>CA885/CA884</f>
        <v>-0.29371474617244153</v>
      </c>
      <c r="CC884" s="214">
        <v>61.83</v>
      </c>
      <c r="CD884" s="222">
        <f>CC885/CC884</f>
        <v>-6.3723111758046222E-2</v>
      </c>
      <c r="CE884" s="214">
        <v>44.35</v>
      </c>
      <c r="CF884" s="222">
        <f>CE885/CE884</f>
        <v>-0.18015783540022551</v>
      </c>
      <c r="CG884" s="214">
        <v>46.23</v>
      </c>
      <c r="CH884" s="222">
        <f>CG885/CG884</f>
        <v>-0.21479558728098638</v>
      </c>
    </row>
    <row r="885" spans="1:87">
      <c r="C885" s="318" t="s">
        <v>9</v>
      </c>
      <c r="AP885" s="214"/>
      <c r="BU885" s="214">
        <f>BU883+BU884</f>
        <v>-0.86000000000000121</v>
      </c>
      <c r="BW885" s="214">
        <f>BW883+BW884</f>
        <v>-6.2600000000000016</v>
      </c>
      <c r="BY885" s="214">
        <f>BY883+BY884</f>
        <v>6.6000000000000085</v>
      </c>
      <c r="CA885" s="214">
        <f>CA883+CA884</f>
        <v>-7.2899999999999991</v>
      </c>
      <c r="CC885" s="214">
        <f>CC883+CC884</f>
        <v>-3.9399999999999977</v>
      </c>
      <c r="CE885" s="214">
        <f>CE883+CE884</f>
        <v>-7.990000000000002</v>
      </c>
      <c r="CG885" s="214">
        <f>CG883+CG884</f>
        <v>-9.93</v>
      </c>
    </row>
    <row r="886" spans="1:87">
      <c r="A886" s="211">
        <v>248</v>
      </c>
      <c r="C886" s="318" t="s">
        <v>647</v>
      </c>
      <c r="AP886" s="214"/>
    </row>
    <row r="887" spans="1:87">
      <c r="C887" s="318" t="s">
        <v>648</v>
      </c>
      <c r="AP887" s="214"/>
      <c r="BS887" s="235">
        <v>45931</v>
      </c>
      <c r="BU887" s="235">
        <v>45962</v>
      </c>
      <c r="BW887" s="235">
        <v>45992</v>
      </c>
      <c r="BY887" s="235">
        <v>46023</v>
      </c>
      <c r="CA887" s="235">
        <v>46054</v>
      </c>
      <c r="CC887" s="235">
        <v>46082</v>
      </c>
      <c r="CE887" s="235">
        <v>46113</v>
      </c>
      <c r="CG887" s="235">
        <v>46143</v>
      </c>
      <c r="CI887" s="341">
        <v>46174</v>
      </c>
    </row>
    <row r="888" spans="1:87">
      <c r="C888" s="318" t="s">
        <v>7</v>
      </c>
      <c r="AP888" s="214"/>
      <c r="BU888" s="237">
        <v>-39.65</v>
      </c>
      <c r="BW888" s="237">
        <f>-6.11-23.91-54</f>
        <v>-84.02</v>
      </c>
      <c r="BY888" s="237">
        <f>-18.78-55.92</f>
        <v>-74.7</v>
      </c>
      <c r="CA888" s="237">
        <f>-9.35-58.8</f>
        <v>-68.149999999999991</v>
      </c>
      <c r="CC888" s="237">
        <f>-19.68-70.84</f>
        <v>-90.52000000000001</v>
      </c>
      <c r="CE888" s="237">
        <f>-15.5-92.75</f>
        <v>-108.25</v>
      </c>
      <c r="CG888" s="237">
        <f>-18.66-112.58</f>
        <v>-131.24</v>
      </c>
      <c r="CI888" s="213">
        <v>-8.67</v>
      </c>
    </row>
    <row r="889" spans="1:87">
      <c r="C889" s="318" t="s">
        <v>8</v>
      </c>
      <c r="AP889" s="214"/>
      <c r="AU889" s="222" t="e">
        <f>AT890/AT889</f>
        <v>#DIV/0!</v>
      </c>
      <c r="AW889" s="222" t="e">
        <f>AV890/AV889</f>
        <v>#DIV/0!</v>
      </c>
      <c r="AY889" s="224" t="e">
        <f>AX890/AX889</f>
        <v>#DIV/0!</v>
      </c>
      <c r="AZ889" s="225"/>
      <c r="BB889" s="222" t="e">
        <f>BA890/BA889</f>
        <v>#DIV/0!</v>
      </c>
      <c r="BD889" s="222" t="e">
        <f>BC890/BC889</f>
        <v>#DIV/0!</v>
      </c>
      <c r="BF889" s="222" t="e">
        <f>BE890/BE889</f>
        <v>#DIV/0!</v>
      </c>
      <c r="BH889" s="222" t="e">
        <f>BG890/BG889</f>
        <v>#DIV/0!</v>
      </c>
      <c r="BJ889" s="222" t="e">
        <f>BI890/BI889</f>
        <v>#DIV/0!</v>
      </c>
      <c r="BL889" s="222" t="e">
        <f>BK890/BK889</f>
        <v>#DIV/0!</v>
      </c>
      <c r="BN889" s="222" t="e">
        <f>BM890/BM889</f>
        <v>#DIV/0!</v>
      </c>
      <c r="BP889" s="222" t="e">
        <f>BO890/BO889</f>
        <v>#DIV/0!</v>
      </c>
      <c r="BR889" s="222" t="e">
        <f>BQ890/BQ889</f>
        <v>#DIV/0!</v>
      </c>
      <c r="BT889" s="222" t="e">
        <f>BS890/BS889</f>
        <v>#DIV/0!</v>
      </c>
      <c r="BU889" s="214">
        <v>34.74</v>
      </c>
      <c r="BV889" s="222">
        <f>BU890/BU889</f>
        <v>-0.1413356361542889</v>
      </c>
      <c r="BW889" s="214">
        <v>91.13</v>
      </c>
      <c r="BX889" s="222">
        <f>BW890/BW889</f>
        <v>7.8020410402721382E-2</v>
      </c>
      <c r="BY889" s="214">
        <v>72.040000000000006</v>
      </c>
      <c r="BZ889" s="222">
        <f>BY890/BY889</f>
        <v>-3.6923931149361412E-2</v>
      </c>
      <c r="CA889" s="214">
        <v>81.75</v>
      </c>
      <c r="CB889" s="222">
        <f>CA890/CA889</f>
        <v>0.16636085626911326</v>
      </c>
      <c r="CC889" s="214">
        <v>94.4</v>
      </c>
      <c r="CD889" s="222">
        <f>CC890/CC889</f>
        <v>4.1101694915254186E-2</v>
      </c>
      <c r="CE889" s="214">
        <v>128.94999999999999</v>
      </c>
      <c r="CF889" s="222">
        <f>CE890/CE889</f>
        <v>0.16052733617681264</v>
      </c>
      <c r="CG889" s="214">
        <v>139.05000000000001</v>
      </c>
      <c r="CH889" s="222">
        <f>CG890/CG889</f>
        <v>5.6166846458108606E-2</v>
      </c>
    </row>
    <row r="890" spans="1:87">
      <c r="C890" s="318" t="s">
        <v>9</v>
      </c>
      <c r="AP890" s="214"/>
      <c r="BU890" s="214">
        <f>BU888+BU889</f>
        <v>-4.9099999999999966</v>
      </c>
      <c r="BW890" s="214">
        <f>BW888+BW889</f>
        <v>7.1099999999999994</v>
      </c>
      <c r="BY890" s="214">
        <f>BY888+BY889</f>
        <v>-2.6599999999999966</v>
      </c>
      <c r="CA890" s="214">
        <f>CA888+CA889</f>
        <v>13.600000000000009</v>
      </c>
      <c r="CC890" s="214">
        <f>CC888+CC889</f>
        <v>3.8799999999999955</v>
      </c>
      <c r="CE890" s="214">
        <f>CE888+CE889</f>
        <v>20.699999999999989</v>
      </c>
      <c r="CG890" s="214">
        <f>CG888+CG889</f>
        <v>7.8100000000000023</v>
      </c>
    </row>
    <row r="891" spans="1:87">
      <c r="A891" s="211">
        <v>249</v>
      </c>
      <c r="C891" s="318" t="s">
        <v>658</v>
      </c>
      <c r="AP891" s="214"/>
    </row>
    <row r="892" spans="1:87">
      <c r="C892" s="318" t="s">
        <v>659</v>
      </c>
      <c r="AP892" s="214"/>
      <c r="BU892" s="235">
        <v>45962</v>
      </c>
      <c r="BW892" s="235">
        <v>45992</v>
      </c>
      <c r="BY892" s="235">
        <v>46023</v>
      </c>
      <c r="CA892" s="235">
        <v>46054</v>
      </c>
      <c r="CC892" s="235">
        <v>46082</v>
      </c>
      <c r="CE892" s="235">
        <v>46113</v>
      </c>
      <c r="CG892" s="235">
        <v>46143</v>
      </c>
      <c r="CI892" s="341">
        <v>46174</v>
      </c>
    </row>
    <row r="893" spans="1:87">
      <c r="C893" s="318" t="s">
        <v>7</v>
      </c>
      <c r="AP893" s="214"/>
      <c r="BW893" s="237">
        <f>-23.7-20.43</f>
        <v>-44.129999999999995</v>
      </c>
      <c r="BY893" s="237">
        <f>-58.86-11.45</f>
        <v>-70.31</v>
      </c>
      <c r="CA893" s="237">
        <f>-50.34-11.88</f>
        <v>-62.220000000000006</v>
      </c>
      <c r="CC893" s="237">
        <f>-47.52-12.95</f>
        <v>-60.47</v>
      </c>
      <c r="CE893" s="237">
        <f>-40.66-13.68</f>
        <v>-54.339999999999996</v>
      </c>
      <c r="CG893" s="237">
        <f>-41.18-11.62</f>
        <v>-52.8</v>
      </c>
      <c r="CI893" s="213">
        <v>-36.590000000000003</v>
      </c>
    </row>
    <row r="894" spans="1:87">
      <c r="C894" s="318" t="s">
        <v>8</v>
      </c>
      <c r="AP894" s="214"/>
      <c r="AU894" s="222" t="e">
        <f>AT895/AT894</f>
        <v>#DIV/0!</v>
      </c>
      <c r="AW894" s="222" t="e">
        <f>AV895/AV894</f>
        <v>#DIV/0!</v>
      </c>
      <c r="AY894" s="224" t="e">
        <f>AX895/AX894</f>
        <v>#DIV/0!</v>
      </c>
      <c r="AZ894" s="225"/>
      <c r="BB894" s="222" t="e">
        <f>BA895/BA894</f>
        <v>#DIV/0!</v>
      </c>
      <c r="BD894" s="222" t="e">
        <f>BC895/BC894</f>
        <v>#DIV/0!</v>
      </c>
      <c r="BF894" s="222" t="e">
        <f>BE895/BE894</f>
        <v>#DIV/0!</v>
      </c>
      <c r="BH894" s="222" t="e">
        <f>BG895/BG894</f>
        <v>#DIV/0!</v>
      </c>
      <c r="BJ894" s="222" t="e">
        <f>BI895/BI894</f>
        <v>#DIV/0!</v>
      </c>
      <c r="BL894" s="222" t="e">
        <f>BK895/BK894</f>
        <v>#DIV/0!</v>
      </c>
      <c r="BN894" s="222" t="e">
        <f>BM895/BM894</f>
        <v>#DIV/0!</v>
      </c>
      <c r="BP894" s="222" t="e">
        <f>BO895/BO894</f>
        <v>#DIV/0!</v>
      </c>
      <c r="BR894" s="222" t="e">
        <f>BQ895/BQ894</f>
        <v>#DIV/0!</v>
      </c>
      <c r="BT894" s="222" t="e">
        <f>BS895/BS894</f>
        <v>#DIV/0!</v>
      </c>
      <c r="BV894" s="222" t="e">
        <f>BU895/BU894</f>
        <v>#DIV/0!</v>
      </c>
      <c r="BW894" s="214"/>
      <c r="BX894" s="222" t="e">
        <f>BW895/BW894</f>
        <v>#DIV/0!</v>
      </c>
      <c r="BY894" s="214"/>
      <c r="BZ894" s="222" t="e">
        <f>BY895/BY894</f>
        <v>#DIV/0!</v>
      </c>
      <c r="CA894" s="214"/>
      <c r="CB894" s="222" t="e">
        <f>CA895/CA894</f>
        <v>#DIV/0!</v>
      </c>
      <c r="CC894" s="214">
        <v>79.61</v>
      </c>
      <c r="CD894" s="222">
        <f>CC895/CC894</f>
        <v>0.240422057530461</v>
      </c>
      <c r="CE894" s="214">
        <v>70.41</v>
      </c>
      <c r="CF894" s="222">
        <f>CE895/CE894</f>
        <v>0.22823462576338591</v>
      </c>
      <c r="CG894" s="214">
        <v>65.790000000000006</v>
      </c>
      <c r="CH894" s="222">
        <f>CG895/CG894</f>
        <v>0.19744642042863669</v>
      </c>
    </row>
    <row r="895" spans="1:87">
      <c r="C895" s="318" t="s">
        <v>9</v>
      </c>
      <c r="AP895" s="214"/>
      <c r="BW895" s="239">
        <f>BW893+BW894</f>
        <v>-44.129999999999995</v>
      </c>
      <c r="BY895" s="214">
        <f>BY893+BY894</f>
        <v>-70.31</v>
      </c>
      <c r="CA895" s="214">
        <f>CA893+CA894</f>
        <v>-62.220000000000006</v>
      </c>
      <c r="CC895" s="214">
        <f>CC893+CC894</f>
        <v>19.14</v>
      </c>
      <c r="CE895" s="214">
        <f>CE893+CE894</f>
        <v>16.07</v>
      </c>
      <c r="CG895" s="214">
        <f>CG893+CG894</f>
        <v>12.990000000000009</v>
      </c>
    </row>
    <row r="896" spans="1:87">
      <c r="A896" s="211">
        <v>250</v>
      </c>
      <c r="C896" s="318" t="s">
        <v>782</v>
      </c>
      <c r="AP896" s="214"/>
    </row>
    <row r="897" spans="1:87">
      <c r="C897" s="318" t="s">
        <v>671</v>
      </c>
      <c r="AP897" s="214"/>
      <c r="BY897" s="235">
        <v>46023</v>
      </c>
      <c r="CA897" s="235">
        <v>46054</v>
      </c>
      <c r="CC897" s="235">
        <v>46082</v>
      </c>
      <c r="CE897" s="235">
        <v>46113</v>
      </c>
      <c r="CG897" s="235">
        <v>46143</v>
      </c>
      <c r="CI897" s="341">
        <v>46174</v>
      </c>
    </row>
    <row r="898" spans="1:87">
      <c r="C898" s="318" t="s">
        <v>7</v>
      </c>
      <c r="AP898" s="214"/>
      <c r="BZ898" s="214"/>
      <c r="CA898" s="237">
        <f>-511.68-23.94</f>
        <v>-535.62</v>
      </c>
      <c r="CC898" s="237">
        <f>-718.23-30.14</f>
        <v>-748.37</v>
      </c>
      <c r="CE898" s="237">
        <f>-874.2-36.18</f>
        <v>-910.38</v>
      </c>
      <c r="CG898" s="237">
        <v>-1085.47</v>
      </c>
    </row>
    <row r="899" spans="1:87">
      <c r="C899" s="318" t="s">
        <v>8</v>
      </c>
      <c r="AP899" s="214"/>
      <c r="BZ899" s="214"/>
      <c r="CA899" s="214">
        <v>713.4</v>
      </c>
      <c r="CB899" s="222">
        <f>CA900/CA899</f>
        <v>0.24920100925147179</v>
      </c>
      <c r="CC899" s="214">
        <v>890.51</v>
      </c>
      <c r="CD899" s="222">
        <f>CC900/CC899</f>
        <v>0.15961639959124546</v>
      </c>
      <c r="CE899" s="214">
        <v>1016.59</v>
      </c>
      <c r="CF899" s="222">
        <f>CE900/CE899</f>
        <v>0.10447673103217622</v>
      </c>
      <c r="CG899" s="214">
        <v>1223.71</v>
      </c>
      <c r="CH899" s="222">
        <f>CG900/CG899</f>
        <v>0.11296794175090503</v>
      </c>
    </row>
    <row r="900" spans="1:87">
      <c r="C900" s="318" t="s">
        <v>9</v>
      </c>
      <c r="AP900" s="214"/>
      <c r="BY900" s="214">
        <f>BY898+BY899</f>
        <v>0</v>
      </c>
      <c r="BZ900" s="214"/>
      <c r="CA900" s="214">
        <f>CA898+CA899</f>
        <v>177.77999999999997</v>
      </c>
      <c r="CC900" s="214">
        <f>CC898+CC899</f>
        <v>142.13999999999999</v>
      </c>
      <c r="CE900" s="214">
        <f>CE898+CE899</f>
        <v>106.21000000000004</v>
      </c>
      <c r="CG900" s="214">
        <f>CG898+CG899</f>
        <v>138.24</v>
      </c>
    </row>
    <row r="901" spans="1:87">
      <c r="A901" s="211">
        <v>251</v>
      </c>
      <c r="C901" s="318" t="s">
        <v>781</v>
      </c>
      <c r="AP901" s="214"/>
    </row>
    <row r="902" spans="1:87">
      <c r="C902" s="318" t="s">
        <v>672</v>
      </c>
      <c r="AP902" s="214"/>
      <c r="BY902" s="236">
        <v>46023</v>
      </c>
      <c r="CA902" s="235">
        <v>46054</v>
      </c>
      <c r="CC902" s="235">
        <v>46082</v>
      </c>
      <c r="CE902" s="235">
        <v>46113</v>
      </c>
      <c r="CG902" s="235">
        <v>46143</v>
      </c>
      <c r="CI902" s="341">
        <v>46174</v>
      </c>
    </row>
    <row r="903" spans="1:87">
      <c r="C903" s="318" t="s">
        <v>7</v>
      </c>
      <c r="AP903" s="214"/>
      <c r="BY903" s="237">
        <f>-17.94-14.58</f>
        <v>-32.520000000000003</v>
      </c>
      <c r="BZ903" s="214"/>
      <c r="CA903" s="237">
        <f>-53.51-13.74</f>
        <v>-67.25</v>
      </c>
      <c r="CC903" s="237">
        <f>-52.67-16.88</f>
        <v>-69.55</v>
      </c>
      <c r="CE903" s="237">
        <f>-48.6-16.59</f>
        <v>-65.19</v>
      </c>
      <c r="CG903" s="237">
        <v>-56.76</v>
      </c>
    </row>
    <row r="904" spans="1:87">
      <c r="C904" s="318" t="s">
        <v>8</v>
      </c>
      <c r="AP904" s="214"/>
      <c r="BY904" s="214">
        <v>66.45</v>
      </c>
      <c r="BZ904" s="222">
        <f>BY905/BY904</f>
        <v>0.51060948081264101</v>
      </c>
      <c r="CA904" s="214">
        <v>98.67</v>
      </c>
      <c r="CB904" s="222">
        <f>CA905/CA904</f>
        <v>0.31843518800040538</v>
      </c>
      <c r="CC904" s="214">
        <v>93.65</v>
      </c>
      <c r="CD904" s="222">
        <f>CC905/CC904</f>
        <v>0.2573411639081688</v>
      </c>
      <c r="CE904" s="214">
        <v>82.98</v>
      </c>
      <c r="CF904" s="222">
        <f>CE905/CE904</f>
        <v>0.21438900939985545</v>
      </c>
      <c r="CG904" s="214">
        <v>103.43</v>
      </c>
      <c r="CH904" s="222">
        <f>CG905/CG904</f>
        <v>0.45122304940539498</v>
      </c>
    </row>
    <row r="905" spans="1:87">
      <c r="C905" s="318" t="s">
        <v>9</v>
      </c>
      <c r="AP905" s="214"/>
      <c r="BY905" s="214">
        <f>BY903+BY904</f>
        <v>33.93</v>
      </c>
      <c r="BZ905" s="214"/>
      <c r="CA905" s="214">
        <f>CA903+CA904</f>
        <v>31.42</v>
      </c>
      <c r="CC905" s="214">
        <f>CC903+CC904</f>
        <v>24.100000000000009</v>
      </c>
      <c r="CE905" s="214">
        <f>CE903+CE904</f>
        <v>17.790000000000006</v>
      </c>
      <c r="CG905" s="214">
        <f>CG903+CG904</f>
        <v>46.670000000000009</v>
      </c>
    </row>
    <row r="906" spans="1:87">
      <c r="A906" s="211">
        <v>252</v>
      </c>
      <c r="C906" s="318" t="s">
        <v>673</v>
      </c>
      <c r="AP906" s="214"/>
      <c r="BY906" s="214"/>
      <c r="CA906" s="214"/>
    </row>
    <row r="907" spans="1:87">
      <c r="C907" s="318" t="s">
        <v>674</v>
      </c>
      <c r="AP907" s="214"/>
      <c r="BY907" s="236">
        <v>46023</v>
      </c>
      <c r="CA907" s="235">
        <v>46054</v>
      </c>
      <c r="CC907" s="235">
        <v>46082</v>
      </c>
      <c r="CE907" s="235">
        <v>46113</v>
      </c>
      <c r="CG907" s="235">
        <v>46143</v>
      </c>
      <c r="CI907" s="341">
        <v>46174</v>
      </c>
    </row>
    <row r="908" spans="1:87">
      <c r="C908" s="318" t="s">
        <v>7</v>
      </c>
      <c r="AP908" s="214"/>
      <c r="BY908" s="237">
        <f>-47.53-8.52</f>
        <v>-56.05</v>
      </c>
      <c r="BZ908" s="214"/>
      <c r="CA908" s="237">
        <f>-110.76-7.48</f>
        <v>-118.24000000000001</v>
      </c>
      <c r="CC908" s="237">
        <f>-112.11-2.7</f>
        <v>-114.81</v>
      </c>
      <c r="CE908" s="237">
        <f>-78.18-2.68</f>
        <v>-80.860000000000014</v>
      </c>
      <c r="CG908" s="214">
        <v>-74.98</v>
      </c>
    </row>
    <row r="909" spans="1:87">
      <c r="C909" s="318" t="s">
        <v>8</v>
      </c>
      <c r="AP909" s="214"/>
      <c r="BY909" s="214">
        <v>131.82</v>
      </c>
      <c r="BZ909" s="222">
        <f>BY910/BY909</f>
        <v>0.57479896829009258</v>
      </c>
      <c r="CA909" s="214">
        <v>143.44999999999999</v>
      </c>
      <c r="CB909" s="222">
        <f>CA910/CA909</f>
        <v>0.17574067619379563</v>
      </c>
      <c r="CC909" s="214">
        <v>140.63</v>
      </c>
      <c r="CD909" s="222">
        <f>CC910/CC909</f>
        <v>0.18360236080494913</v>
      </c>
      <c r="CE909" s="214">
        <v>107.52</v>
      </c>
      <c r="CF909" s="222">
        <f>CE910/CE909</f>
        <v>0.2479538690476189</v>
      </c>
      <c r="CG909" s="214">
        <v>97.93</v>
      </c>
      <c r="CH909" s="222">
        <f>CG910/CG909</f>
        <v>0.23435106708873688</v>
      </c>
    </row>
    <row r="910" spans="1:87">
      <c r="C910" s="318" t="s">
        <v>9</v>
      </c>
      <c r="AP910" s="214"/>
      <c r="BY910" s="214">
        <f>BY908+BY909</f>
        <v>75.77</v>
      </c>
      <c r="BZ910" s="214"/>
      <c r="CA910" s="214">
        <f>CA908+CA909</f>
        <v>25.20999999999998</v>
      </c>
      <c r="CC910" s="214">
        <f>CC908+CC909</f>
        <v>25.819999999999993</v>
      </c>
      <c r="CE910" s="214">
        <f>CE908+CE909</f>
        <v>26.659999999999982</v>
      </c>
      <c r="CG910" s="214">
        <f>CG908+CG909</f>
        <v>22.950000000000003</v>
      </c>
    </row>
    <row r="911" spans="1:87">
      <c r="A911" s="211">
        <v>253</v>
      </c>
      <c r="C911" s="318" t="s">
        <v>675</v>
      </c>
      <c r="AP911" s="214"/>
    </row>
    <row r="912" spans="1:87">
      <c r="C912" s="318" t="s">
        <v>676</v>
      </c>
      <c r="AP912" s="214"/>
      <c r="BY912" s="235">
        <v>46023</v>
      </c>
      <c r="CA912" s="235">
        <v>46054</v>
      </c>
      <c r="CC912" s="235">
        <v>46082</v>
      </c>
      <c r="CE912" s="235">
        <v>46113</v>
      </c>
      <c r="CG912" s="235">
        <v>46143</v>
      </c>
      <c r="CI912" s="341">
        <v>46174</v>
      </c>
    </row>
    <row r="913" spans="1:87">
      <c r="C913" s="318" t="s">
        <v>7</v>
      </c>
      <c r="AP913" s="214"/>
      <c r="BY913" s="237">
        <v>-51.73</v>
      </c>
      <c r="CA913" s="237">
        <v>-152.01</v>
      </c>
      <c r="CC913" s="237">
        <v>-146.72</v>
      </c>
      <c r="CE913" s="237">
        <v>-127.46</v>
      </c>
      <c r="CG913" s="237">
        <v>-142.33000000000001</v>
      </c>
    </row>
    <row r="914" spans="1:87">
      <c r="C914" s="318" t="s">
        <v>8</v>
      </c>
      <c r="AP914" s="214"/>
      <c r="BY914" s="214">
        <v>104.15</v>
      </c>
      <c r="BZ914" s="222">
        <f>BY915/BY914</f>
        <v>0.50331253000480081</v>
      </c>
      <c r="CA914" s="214">
        <v>234.74</v>
      </c>
      <c r="CB914" s="222">
        <f>CA915/CA914</f>
        <v>0.35243247848683656</v>
      </c>
      <c r="CC914" s="214">
        <v>194.97</v>
      </c>
      <c r="CD914" s="222">
        <f>CC915/CC914</f>
        <v>0.24747397035441351</v>
      </c>
      <c r="CE914" s="214">
        <v>170.58</v>
      </c>
      <c r="CF914" s="222">
        <f>CE915/CE914</f>
        <v>0.25278461718841611</v>
      </c>
      <c r="CG914" s="214">
        <v>162.5</v>
      </c>
      <c r="CH914" s="222">
        <f>CG915/CG914</f>
        <v>0.12412307692307685</v>
      </c>
    </row>
    <row r="915" spans="1:87">
      <c r="C915" s="318" t="s">
        <v>9</v>
      </c>
      <c r="AP915" s="214"/>
      <c r="BY915" s="214">
        <f>BY913+BY914</f>
        <v>52.420000000000009</v>
      </c>
      <c r="CA915" s="214">
        <f>CA913+CA914</f>
        <v>82.730000000000018</v>
      </c>
      <c r="CC915" s="214">
        <f>CC913+CC914</f>
        <v>48.25</v>
      </c>
      <c r="CE915" s="214">
        <f>CE913+CE914</f>
        <v>43.120000000000019</v>
      </c>
      <c r="CG915" s="214">
        <f>CG913+CG914</f>
        <v>20.169999999999987</v>
      </c>
    </row>
    <row r="916" spans="1:87">
      <c r="A916" s="211">
        <v>254</v>
      </c>
      <c r="C916" s="318" t="s">
        <v>683</v>
      </c>
      <c r="AP916" s="214"/>
    </row>
    <row r="917" spans="1:87">
      <c r="C917" s="318" t="s">
        <v>684</v>
      </c>
      <c r="AP917" s="214"/>
      <c r="CA917" s="235">
        <v>46054</v>
      </c>
      <c r="CC917" s="235">
        <v>46082</v>
      </c>
      <c r="CE917" s="235">
        <v>46113</v>
      </c>
      <c r="CG917" s="235">
        <v>46143</v>
      </c>
      <c r="CI917" s="341">
        <v>46174</v>
      </c>
    </row>
    <row r="918" spans="1:87">
      <c r="C918" s="318" t="s">
        <v>7</v>
      </c>
      <c r="AP918" s="214"/>
      <c r="CA918" s="237">
        <f>-30.63-15.66</f>
        <v>-46.29</v>
      </c>
      <c r="CC918" s="237">
        <f>-40.01-15.44</f>
        <v>-55.449999999999996</v>
      </c>
      <c r="CE918" s="237">
        <f>-42.42-15.36</f>
        <v>-57.78</v>
      </c>
      <c r="CG918" s="237">
        <f>-13.45-12.54</f>
        <v>-25.99</v>
      </c>
    </row>
    <row r="919" spans="1:87">
      <c r="C919" s="318" t="s">
        <v>8</v>
      </c>
      <c r="AP919" s="214"/>
      <c r="CA919" s="214">
        <v>64.19</v>
      </c>
      <c r="CB919" s="222">
        <f>CA920/CA919</f>
        <v>0.2788596354572363</v>
      </c>
      <c r="CC919" s="214">
        <v>68.72</v>
      </c>
      <c r="CD919" s="222">
        <f>CC920/CC919</f>
        <v>0.19310244470314325</v>
      </c>
      <c r="CE919" s="214">
        <v>67.36</v>
      </c>
      <c r="CF919" s="222">
        <f>CE920/CE919</f>
        <v>0.14222090261282658</v>
      </c>
      <c r="CG919" s="214"/>
      <c r="CH919" s="222" t="e">
        <f>CG920/CG919</f>
        <v>#DIV/0!</v>
      </c>
    </row>
    <row r="920" spans="1:87">
      <c r="C920" s="318" t="s">
        <v>9</v>
      </c>
      <c r="AP920" s="214"/>
      <c r="CA920" s="214">
        <f>CA918+CA919</f>
        <v>17.899999999999999</v>
      </c>
      <c r="CC920" s="214">
        <f>CC918+CC919</f>
        <v>13.270000000000003</v>
      </c>
      <c r="CE920" s="214">
        <f>CE918+CE919</f>
        <v>9.5799999999999983</v>
      </c>
      <c r="CG920" s="214">
        <f>CG918+CG919</f>
        <v>-25.99</v>
      </c>
    </row>
    <row r="921" spans="1:87">
      <c r="A921" s="211">
        <v>255</v>
      </c>
      <c r="C921" s="318" t="s">
        <v>712</v>
      </c>
      <c r="AP921" s="214"/>
    </row>
    <row r="922" spans="1:87">
      <c r="C922" s="318" t="s">
        <v>685</v>
      </c>
      <c r="AP922" s="214"/>
      <c r="CA922" s="235">
        <v>46054</v>
      </c>
      <c r="CC922" s="235">
        <v>46082</v>
      </c>
      <c r="CE922" s="235">
        <v>46113</v>
      </c>
      <c r="CG922" s="235">
        <v>46143</v>
      </c>
      <c r="CI922" s="341">
        <v>46174</v>
      </c>
    </row>
    <row r="923" spans="1:87">
      <c r="C923" s="318" t="s">
        <v>7</v>
      </c>
      <c r="AP923" s="214"/>
      <c r="CA923" s="237">
        <f>-79.41-18.84</f>
        <v>-98.25</v>
      </c>
      <c r="CC923" s="237">
        <f>-72.22-27.52</f>
        <v>-99.74</v>
      </c>
      <c r="CE923" s="237">
        <f>-79.09-21.07</f>
        <v>-100.16</v>
      </c>
      <c r="CG923" s="237">
        <v>-72.09</v>
      </c>
    </row>
    <row r="924" spans="1:87">
      <c r="C924" s="318" t="s">
        <v>8</v>
      </c>
      <c r="AP924" s="214"/>
      <c r="CA924" s="214">
        <v>128.96</v>
      </c>
      <c r="CB924" s="222">
        <f>CA925/CA924</f>
        <v>0.23813585607940452</v>
      </c>
      <c r="CC924" s="214">
        <v>134.27000000000001</v>
      </c>
      <c r="CD924" s="222">
        <f>CC925/CC924</f>
        <v>0.25716839204587782</v>
      </c>
      <c r="CE924" s="214">
        <v>140.49</v>
      </c>
      <c r="CF924" s="222">
        <f>CE925/CE924</f>
        <v>0.28706669513844407</v>
      </c>
      <c r="CG924" s="214">
        <v>129.34</v>
      </c>
      <c r="CH924" s="222">
        <f>CG925/CG924</f>
        <v>0.44263182310190197</v>
      </c>
    </row>
    <row r="925" spans="1:87">
      <c r="C925" s="318" t="s">
        <v>245</v>
      </c>
      <c r="AP925" s="214"/>
      <c r="CA925" s="239">
        <f>CA923+CA924</f>
        <v>30.710000000000008</v>
      </c>
      <c r="CC925" s="214">
        <f>CC923+CC924</f>
        <v>34.530000000000015</v>
      </c>
      <c r="CE925" s="214">
        <f>CE923+CE924</f>
        <v>40.330000000000013</v>
      </c>
      <c r="CG925" s="214">
        <f>CG923+CG924</f>
        <v>57.25</v>
      </c>
    </row>
    <row r="926" spans="1:87">
      <c r="A926" s="211">
        <v>256</v>
      </c>
      <c r="C926" s="318" t="s">
        <v>686</v>
      </c>
      <c r="AP926" s="214"/>
    </row>
    <row r="927" spans="1:87">
      <c r="C927" s="318" t="s">
        <v>687</v>
      </c>
      <c r="AP927" s="214"/>
      <c r="CA927" s="235">
        <v>46054</v>
      </c>
      <c r="CC927" s="235">
        <v>46082</v>
      </c>
      <c r="CE927" s="235">
        <v>46113</v>
      </c>
      <c r="CG927" s="235">
        <v>46143</v>
      </c>
      <c r="CI927" s="341">
        <v>46174</v>
      </c>
    </row>
    <row r="928" spans="1:87">
      <c r="C928" s="318" t="s">
        <v>7</v>
      </c>
      <c r="AP928" s="214"/>
      <c r="CA928" s="237">
        <f>-100.12-75.4</f>
        <v>-175.52</v>
      </c>
      <c r="CC928" s="237">
        <f>-98.6-43.82</f>
        <v>-142.41999999999999</v>
      </c>
      <c r="CE928" s="237">
        <f>-49.97-43.26</f>
        <v>-93.22999999999999</v>
      </c>
      <c r="CG928" s="237">
        <f>-52.56-53.62</f>
        <v>-106.18</v>
      </c>
      <c r="CI928" s="238">
        <v>-57.42</v>
      </c>
    </row>
    <row r="929" spans="1:87">
      <c r="C929" s="318" t="s">
        <v>8</v>
      </c>
      <c r="AP929" s="214"/>
      <c r="CA929" s="214">
        <v>325.85000000000002</v>
      </c>
      <c r="CB929" s="222">
        <f>CA930/CA929</f>
        <v>0.46134724566518337</v>
      </c>
      <c r="CC929" s="214">
        <v>115.62</v>
      </c>
      <c r="CD929" s="222">
        <f>CC930/CC929</f>
        <v>-0.23179380729977497</v>
      </c>
      <c r="CE929" s="214">
        <v>113.76</v>
      </c>
      <c r="CF929" s="222">
        <f>CE930/CE929</f>
        <v>0.18046765119549943</v>
      </c>
      <c r="CG929" s="214">
        <v>126.79</v>
      </c>
      <c r="CH929" s="222">
        <f>CG930/CG929</f>
        <v>0.16255225175487026</v>
      </c>
    </row>
    <row r="930" spans="1:87">
      <c r="C930" s="318" t="s">
        <v>9</v>
      </c>
      <c r="AP930" s="214"/>
      <c r="CA930" s="214">
        <f>CA928+CA929</f>
        <v>150.33000000000001</v>
      </c>
      <c r="CC930" s="214">
        <f>CC928+CC929</f>
        <v>-26.799999999999983</v>
      </c>
      <c r="CE930" s="214">
        <f>CE928+CE929</f>
        <v>20.530000000000015</v>
      </c>
      <c r="CG930" s="214">
        <f>CG928+CG929</f>
        <v>20.61</v>
      </c>
    </row>
    <row r="931" spans="1:87">
      <c r="A931" s="211">
        <v>257</v>
      </c>
      <c r="C931" s="318" t="s">
        <v>688</v>
      </c>
      <c r="AP931" s="214"/>
    </row>
    <row r="932" spans="1:87">
      <c r="C932" s="318" t="s">
        <v>689</v>
      </c>
      <c r="AP932" s="214"/>
      <c r="CA932" s="235">
        <v>46054</v>
      </c>
      <c r="CC932" s="235">
        <v>46082</v>
      </c>
      <c r="CE932" s="235">
        <v>46113</v>
      </c>
      <c r="CG932" s="235">
        <v>46143</v>
      </c>
      <c r="CI932" s="341">
        <v>46174</v>
      </c>
    </row>
    <row r="933" spans="1:87">
      <c r="C933" s="318" t="s">
        <v>7</v>
      </c>
      <c r="AP933" s="214"/>
      <c r="CA933" s="237">
        <f>-30.33-7.15</f>
        <v>-37.479999999999997</v>
      </c>
      <c r="CC933" s="237">
        <f>-33-10.16</f>
        <v>-43.16</v>
      </c>
      <c r="CE933" s="237">
        <f>-30.51-7.86</f>
        <v>-38.370000000000005</v>
      </c>
      <c r="CG933" s="214">
        <v>-32.71</v>
      </c>
    </row>
    <row r="934" spans="1:87">
      <c r="C934" s="318" t="s">
        <v>8</v>
      </c>
      <c r="AP934" s="214"/>
      <c r="CA934" s="214"/>
      <c r="CB934" s="222" t="e">
        <f>CA935/CA934</f>
        <v>#DIV/0!</v>
      </c>
      <c r="CC934" s="214">
        <v>59.54</v>
      </c>
      <c r="CD934" s="222">
        <f>CC935/CC934</f>
        <v>0.27510917030567689</v>
      </c>
      <c r="CE934" s="214">
        <v>49.08</v>
      </c>
      <c r="CF934" s="222">
        <f>CE935/CE934</f>
        <v>0.21821515892420526</v>
      </c>
      <c r="CG934" s="214">
        <v>38.94</v>
      </c>
      <c r="CH934" s="222">
        <f>CG935/CG934</f>
        <v>0.15998972778633788</v>
      </c>
    </row>
    <row r="935" spans="1:87">
      <c r="C935" s="318" t="s">
        <v>9</v>
      </c>
      <c r="AP935" s="214"/>
      <c r="CA935" s="214">
        <f>CA933+CA934</f>
        <v>-37.479999999999997</v>
      </c>
      <c r="CC935" s="214">
        <f>CC933+CC934</f>
        <v>16.380000000000003</v>
      </c>
      <c r="CE935" s="214">
        <f>CE933+CE934</f>
        <v>10.709999999999994</v>
      </c>
      <c r="CG935" s="214">
        <f>CG933+CG934</f>
        <v>6.2299999999999969</v>
      </c>
    </row>
    <row r="936" spans="1:87">
      <c r="A936" s="211">
        <v>258</v>
      </c>
      <c r="C936" s="318" t="s">
        <v>690</v>
      </c>
      <c r="AP936" s="214"/>
    </row>
    <row r="937" spans="1:87">
      <c r="C937" s="318" t="s">
        <v>691</v>
      </c>
      <c r="AP937" s="214"/>
      <c r="CA937" s="235">
        <v>46054</v>
      </c>
      <c r="CC937" s="235">
        <v>46082</v>
      </c>
      <c r="CE937" s="235">
        <v>46113</v>
      </c>
      <c r="CG937" s="235">
        <v>46143</v>
      </c>
      <c r="CI937" s="341">
        <v>46174</v>
      </c>
    </row>
    <row r="938" spans="1:87">
      <c r="C938" s="318" t="s">
        <v>7</v>
      </c>
      <c r="AP938" s="214"/>
      <c r="CA938" s="237">
        <v>-57.42</v>
      </c>
      <c r="CC938" s="237">
        <f>-13-61.88</f>
        <v>-74.88</v>
      </c>
      <c r="CE938" s="237">
        <f>-14.13-46.56</f>
        <v>-60.690000000000005</v>
      </c>
      <c r="CG938" s="237">
        <f>-13.72-55.68</f>
        <v>-69.400000000000006</v>
      </c>
      <c r="CI938" s="213">
        <v>-9.3699999999999992</v>
      </c>
    </row>
    <row r="939" spans="1:87">
      <c r="C939" s="318" t="s">
        <v>8</v>
      </c>
      <c r="AP939" s="214"/>
      <c r="CA939" s="214">
        <v>94.4</v>
      </c>
      <c r="CB939" s="222">
        <f>CA940/CA939</f>
        <v>0.39173728813559322</v>
      </c>
      <c r="CC939" s="214">
        <v>99.06</v>
      </c>
      <c r="CD939" s="222">
        <f>CC940/CC939</f>
        <v>0.24409448818897644</v>
      </c>
      <c r="CE939" s="214">
        <v>77.8</v>
      </c>
      <c r="CF939" s="222">
        <f>CE940/CE939</f>
        <v>0.21992287917737779</v>
      </c>
      <c r="CG939" s="214">
        <v>81.12</v>
      </c>
      <c r="CH939" s="222">
        <f>CG940/CG939</f>
        <v>0.14447731755424062</v>
      </c>
    </row>
    <row r="940" spans="1:87">
      <c r="C940" s="318" t="s">
        <v>9</v>
      </c>
      <c r="AP940" s="214"/>
      <c r="CA940" s="214">
        <f>CA938+CA939</f>
        <v>36.980000000000004</v>
      </c>
      <c r="CC940" s="214">
        <f>CC938+CC939</f>
        <v>24.180000000000007</v>
      </c>
      <c r="CE940" s="214">
        <f>CE938+CE939</f>
        <v>17.109999999999992</v>
      </c>
      <c r="CG940" s="214">
        <f>CG938+CG939</f>
        <v>11.719999999999999</v>
      </c>
    </row>
    <row r="941" spans="1:87">
      <c r="A941" s="211">
        <v>259</v>
      </c>
      <c r="C941" s="318" t="s">
        <v>692</v>
      </c>
      <c r="AP941" s="214"/>
      <c r="CA941" s="247"/>
    </row>
    <row r="942" spans="1:87">
      <c r="C942" s="318" t="s">
        <v>693</v>
      </c>
      <c r="AP942" s="214"/>
      <c r="CA942" s="235">
        <v>46054</v>
      </c>
      <c r="CC942" s="235">
        <v>46082</v>
      </c>
      <c r="CE942" s="235">
        <v>46113</v>
      </c>
      <c r="CG942" s="235">
        <v>46143</v>
      </c>
      <c r="CI942" s="341">
        <v>46174</v>
      </c>
    </row>
    <row r="943" spans="1:87">
      <c r="C943" s="318" t="s">
        <v>7</v>
      </c>
      <c r="AP943" s="214"/>
      <c r="CA943" s="237">
        <f>-16.34-25.08</f>
        <v>-41.42</v>
      </c>
      <c r="CC943" s="237">
        <f>-37.61-22.75</f>
        <v>-60.36</v>
      </c>
      <c r="CE943" s="237">
        <f>-34.9-13.7</f>
        <v>-48.599999999999994</v>
      </c>
      <c r="CG943" s="237">
        <f>-26.03-20.04</f>
        <v>-46.07</v>
      </c>
      <c r="CI943" s="213">
        <v>-26.84</v>
      </c>
    </row>
    <row r="944" spans="1:87">
      <c r="C944" s="318" t="s">
        <v>8</v>
      </c>
      <c r="AP944" s="214"/>
      <c r="CA944" s="214">
        <v>75.209999999999994</v>
      </c>
      <c r="CB944" s="222">
        <f>CA945/CA944</f>
        <v>0.44927536231884052</v>
      </c>
      <c r="CC944" s="214">
        <v>63.17</v>
      </c>
      <c r="CD944" s="222">
        <f>CC945/CC944</f>
        <v>4.4483140731359859E-2</v>
      </c>
      <c r="CE944" s="214">
        <v>64.55</v>
      </c>
      <c r="CF944" s="222">
        <f>CE945/CE944</f>
        <v>0.24709527498063522</v>
      </c>
      <c r="CG944" s="214">
        <v>52.57</v>
      </c>
      <c r="CH944" s="222">
        <f>CG945/CG944</f>
        <v>0.1236446642571809</v>
      </c>
    </row>
    <row r="945" spans="1:87">
      <c r="C945" s="318" t="s">
        <v>9</v>
      </c>
      <c r="AP945" s="214"/>
      <c r="CA945" s="214">
        <f>CA943+CA944</f>
        <v>33.789999999999992</v>
      </c>
      <c r="CC945" s="214">
        <f>CC943+CC944</f>
        <v>2.8100000000000023</v>
      </c>
      <c r="CE945" s="214">
        <f>CE943+CE944</f>
        <v>15.950000000000003</v>
      </c>
      <c r="CG945" s="214">
        <f>CG943+CG944</f>
        <v>6.5</v>
      </c>
    </row>
    <row r="946" spans="1:87">
      <c r="A946" s="211">
        <v>260</v>
      </c>
      <c r="C946" s="318" t="s">
        <v>694</v>
      </c>
      <c r="AP946" s="214"/>
    </row>
    <row r="947" spans="1:87">
      <c r="C947" s="318" t="s">
        <v>695</v>
      </c>
      <c r="AP947" s="214"/>
      <c r="CA947" s="235">
        <v>46054</v>
      </c>
      <c r="CC947" s="235">
        <v>46082</v>
      </c>
      <c r="CE947" s="235">
        <v>46113</v>
      </c>
      <c r="CG947" s="235">
        <v>46143</v>
      </c>
      <c r="CI947" s="341">
        <v>46174</v>
      </c>
    </row>
    <row r="948" spans="1:87">
      <c r="C948" s="318" t="s">
        <v>7</v>
      </c>
      <c r="AP948" s="214"/>
      <c r="CA948" s="237">
        <v>-1188.81</v>
      </c>
      <c r="CC948" s="237">
        <v>-3068.66</v>
      </c>
      <c r="CE948" s="237">
        <v>-2581.37</v>
      </c>
      <c r="CG948" s="214">
        <v>-2924.91</v>
      </c>
    </row>
    <row r="949" spans="1:87">
      <c r="C949" s="318" t="s">
        <v>8</v>
      </c>
      <c r="AP949" s="214"/>
      <c r="CA949" s="214">
        <v>1625.21</v>
      </c>
      <c r="CB949" s="222">
        <f>CA950/CA949</f>
        <v>0.26851914521815645</v>
      </c>
      <c r="CC949" s="214">
        <v>3262.26</v>
      </c>
      <c r="CD949" s="222">
        <f>CC950/CC949</f>
        <v>5.9345361804393378E-2</v>
      </c>
      <c r="CE949" s="214">
        <v>3637.92</v>
      </c>
      <c r="CF949" s="222">
        <f>CE950/CE949</f>
        <v>0.29042694726656998</v>
      </c>
      <c r="CG949" s="214">
        <v>3747.07</v>
      </c>
      <c r="CH949" s="222">
        <f>CG950/CG949</f>
        <v>0.2194141022185335</v>
      </c>
    </row>
    <row r="950" spans="1:87">
      <c r="C950" s="318" t="s">
        <v>9</v>
      </c>
      <c r="AP950" s="214"/>
      <c r="CA950" s="214">
        <f>CA948+CA949</f>
        <v>436.40000000000009</v>
      </c>
      <c r="CC950" s="214">
        <f>CC948+CC949</f>
        <v>193.60000000000036</v>
      </c>
      <c r="CE950" s="214">
        <f>CE948+CE949</f>
        <v>1056.5500000000002</v>
      </c>
      <c r="CG950" s="214">
        <f>CG948+CG949</f>
        <v>822.16000000000031</v>
      </c>
    </row>
    <row r="951" spans="1:87">
      <c r="A951" s="211">
        <v>261</v>
      </c>
      <c r="C951" s="318" t="s">
        <v>696</v>
      </c>
      <c r="AP951" s="214"/>
    </row>
    <row r="952" spans="1:87">
      <c r="C952" s="318" t="s">
        <v>697</v>
      </c>
      <c r="AP952" s="214"/>
      <c r="CA952" s="235">
        <v>46054</v>
      </c>
      <c r="CC952" s="235">
        <v>46082</v>
      </c>
      <c r="CE952" s="235">
        <v>46113</v>
      </c>
      <c r="CG952" s="235">
        <v>46143</v>
      </c>
      <c r="CI952" s="341">
        <v>46174</v>
      </c>
    </row>
    <row r="953" spans="1:87">
      <c r="C953" s="318" t="s">
        <v>7</v>
      </c>
      <c r="AP953" s="214"/>
      <c r="CA953" s="237">
        <f>-26.63-14.88</f>
        <v>-41.51</v>
      </c>
      <c r="CC953" s="237">
        <f>-56.93-20.24</f>
        <v>-77.17</v>
      </c>
      <c r="CE953" s="237">
        <f>-58.23-16.52</f>
        <v>-74.75</v>
      </c>
      <c r="CG953" s="237">
        <v>-56.54</v>
      </c>
    </row>
    <row r="954" spans="1:87">
      <c r="C954" s="318" t="s">
        <v>8</v>
      </c>
      <c r="AP954" s="214"/>
      <c r="CA954" s="214">
        <v>73.41</v>
      </c>
      <c r="CB954" s="222">
        <f>CA955/CA954</f>
        <v>0.43454570222040595</v>
      </c>
      <c r="CC954" s="214">
        <v>104.46</v>
      </c>
      <c r="CD954" s="222">
        <f>CC955/CC954</f>
        <v>0.26124832471759518</v>
      </c>
      <c r="CE954" s="214">
        <v>97.4</v>
      </c>
      <c r="CF954" s="222">
        <f>CE955/CE954</f>
        <v>0.2325462012320329</v>
      </c>
      <c r="CG954" s="214">
        <v>104.78</v>
      </c>
      <c r="CH954" s="222">
        <f>CG955/CG954</f>
        <v>0.46039320481007828</v>
      </c>
    </row>
    <row r="955" spans="1:87">
      <c r="C955" s="318" t="s">
        <v>9</v>
      </c>
      <c r="AP955" s="214"/>
      <c r="CA955" s="214">
        <f>CA953+CA954</f>
        <v>31.9</v>
      </c>
      <c r="CC955" s="214">
        <f>CC953+CC954</f>
        <v>27.289999999999992</v>
      </c>
      <c r="CE955" s="214">
        <f>CE953+CE954</f>
        <v>22.650000000000006</v>
      </c>
      <c r="CG955" s="214">
        <f>CG953+CG954</f>
        <v>48.24</v>
      </c>
    </row>
    <row r="956" spans="1:87">
      <c r="A956" s="211">
        <v>262</v>
      </c>
      <c r="C956" s="318" t="s">
        <v>701</v>
      </c>
      <c r="AP956" s="214"/>
    </row>
    <row r="957" spans="1:87">
      <c r="C957" s="318" t="s">
        <v>702</v>
      </c>
      <c r="AP957" s="214"/>
      <c r="CA957" s="235">
        <v>46054</v>
      </c>
      <c r="CC957" s="235">
        <v>46082</v>
      </c>
      <c r="CE957" s="235">
        <v>46113</v>
      </c>
      <c r="CG957" s="235">
        <v>46143</v>
      </c>
      <c r="CI957" s="341">
        <v>46174</v>
      </c>
    </row>
    <row r="958" spans="1:87">
      <c r="C958" s="318" t="s">
        <v>7</v>
      </c>
      <c r="AP958" s="214"/>
      <c r="CA958" s="237">
        <f>-22.75-12.76</f>
        <v>-35.51</v>
      </c>
      <c r="CC958" s="237">
        <f>-86.01-5.24-11.04</f>
        <v>-102.28999999999999</v>
      </c>
      <c r="CE958" s="237">
        <f>-13.08-77.32</f>
        <v>-90.399999999999991</v>
      </c>
      <c r="CG958" s="214">
        <v>-56.69</v>
      </c>
    </row>
    <row r="959" spans="1:87">
      <c r="C959" s="318" t="s">
        <v>8</v>
      </c>
      <c r="AP959" s="214"/>
      <c r="CA959" s="214">
        <v>36.26</v>
      </c>
      <c r="CB959" s="222">
        <f>CA960/CA959</f>
        <v>2.0683949255377827E-2</v>
      </c>
      <c r="CC959" s="214">
        <v>92.28</v>
      </c>
      <c r="CD959" s="222">
        <f>CC960/CC959</f>
        <v>-0.10847420892934537</v>
      </c>
      <c r="CE959" s="214">
        <v>68.19</v>
      </c>
      <c r="CF959" s="222">
        <f>CE960/CE959</f>
        <v>-0.32570758175685577</v>
      </c>
      <c r="CG959" s="214">
        <v>189.03</v>
      </c>
      <c r="CH959" s="222">
        <f>CG960/CG959</f>
        <v>0.70010051314606148</v>
      </c>
    </row>
    <row r="960" spans="1:87">
      <c r="C960" s="318" t="s">
        <v>9</v>
      </c>
      <c r="AP960" s="214"/>
      <c r="CA960" s="214">
        <f>CA958+CA959</f>
        <v>0.75</v>
      </c>
      <c r="CC960" s="214">
        <f>CC958+CC959</f>
        <v>-10.009999999999991</v>
      </c>
      <c r="CE960" s="214">
        <f>CE958+CE959</f>
        <v>-22.209999999999994</v>
      </c>
      <c r="CG960" s="214">
        <f>CG958+CG959</f>
        <v>132.34</v>
      </c>
    </row>
    <row r="961" spans="1:87">
      <c r="A961" s="211">
        <v>263</v>
      </c>
      <c r="C961" s="318" t="s">
        <v>780</v>
      </c>
      <c r="AP961" s="214"/>
    </row>
    <row r="962" spans="1:87">
      <c r="C962" s="318" t="s">
        <v>703</v>
      </c>
      <c r="AP962" s="214"/>
      <c r="CA962" s="235">
        <v>46054</v>
      </c>
      <c r="CC962" s="235">
        <v>46082</v>
      </c>
      <c r="CE962" s="235">
        <v>46113</v>
      </c>
      <c r="CG962" s="235">
        <v>46143</v>
      </c>
      <c r="CI962" s="341">
        <v>46174</v>
      </c>
    </row>
    <row r="963" spans="1:87">
      <c r="C963" s="318" t="s">
        <v>7</v>
      </c>
      <c r="AP963" s="214"/>
      <c r="CA963" s="237">
        <f>-2.67-19.6</f>
        <v>-22.270000000000003</v>
      </c>
      <c r="CC963" s="237">
        <f>-35.38-32.11</f>
        <v>-67.490000000000009</v>
      </c>
      <c r="CE963" s="237">
        <f>-52.03-14.85</f>
        <v>-66.88</v>
      </c>
      <c r="CG963" s="237">
        <f>-32.87-24.42</f>
        <v>-57.29</v>
      </c>
      <c r="CI963" s="213">
        <v>-37.799999999999997</v>
      </c>
    </row>
    <row r="964" spans="1:87">
      <c r="C964" s="318" t="s">
        <v>8</v>
      </c>
      <c r="AP964" s="214"/>
      <c r="CA964" s="214">
        <v>54.14</v>
      </c>
      <c r="CB964" s="222">
        <f>CA965/CA964</f>
        <v>0.58865903213889914</v>
      </c>
      <c r="CC964" s="239">
        <v>85.5</v>
      </c>
      <c r="CD964" s="222">
        <f>CC965/CC964</f>
        <v>0.21064327485380108</v>
      </c>
      <c r="CE964" s="214">
        <v>82.24</v>
      </c>
      <c r="CF964" s="222">
        <f>CE965/CE964</f>
        <v>0.1867704280155642</v>
      </c>
      <c r="CG964" s="214">
        <v>73.97</v>
      </c>
      <c r="CH964" s="222">
        <f>CG965/CG964</f>
        <v>0.22549682303636609</v>
      </c>
    </row>
    <row r="965" spans="1:87">
      <c r="C965" s="318" t="s">
        <v>9</v>
      </c>
      <c r="AP965" s="214"/>
      <c r="CA965" s="214">
        <f>CA963+CA964</f>
        <v>31.869999999999997</v>
      </c>
      <c r="CC965" s="214">
        <f>CC963+CC964</f>
        <v>18.009999999999991</v>
      </c>
      <c r="CE965" s="214">
        <f>CE963+CE964</f>
        <v>15.36</v>
      </c>
      <c r="CG965" s="214">
        <f>CG963+CG964</f>
        <v>16.68</v>
      </c>
    </row>
    <row r="966" spans="1:87">
      <c r="A966" s="211">
        <v>264</v>
      </c>
      <c r="C966" s="318" t="s">
        <v>704</v>
      </c>
      <c r="AP966" s="214"/>
    </row>
    <row r="967" spans="1:87">
      <c r="C967" s="318" t="s">
        <v>705</v>
      </c>
      <c r="AP967" s="214"/>
      <c r="CA967" s="235">
        <v>46054</v>
      </c>
      <c r="CC967" s="235">
        <v>46082</v>
      </c>
      <c r="CE967" s="235">
        <v>46113</v>
      </c>
      <c r="CG967" s="235">
        <v>46143</v>
      </c>
      <c r="CI967" s="341">
        <v>46174</v>
      </c>
    </row>
    <row r="968" spans="1:87">
      <c r="C968" s="318" t="s">
        <v>7</v>
      </c>
      <c r="AP968" s="214"/>
      <c r="CA968" s="237">
        <v>-20.13</v>
      </c>
      <c r="CC968" s="237">
        <f>-31.13-22.82</f>
        <v>-53.95</v>
      </c>
      <c r="CE968" s="237">
        <f>-30.9-15.95</f>
        <v>-46.849999999999994</v>
      </c>
      <c r="CG968" s="237">
        <f>-28.89-19.8</f>
        <v>-48.69</v>
      </c>
      <c r="CI968" s="213">
        <v>-30.46</v>
      </c>
    </row>
    <row r="969" spans="1:87">
      <c r="C969" s="318" t="s">
        <v>8</v>
      </c>
      <c r="AP969" s="214"/>
      <c r="CA969" s="214">
        <v>46.89</v>
      </c>
      <c r="CB969" s="222">
        <f>CA970/CA969</f>
        <v>0.57069737683941146</v>
      </c>
      <c r="CC969" s="214">
        <v>68.58</v>
      </c>
      <c r="CD969" s="222">
        <f>CC970/CC969</f>
        <v>0.21332750072907547</v>
      </c>
      <c r="CE969" s="214">
        <v>57.2</v>
      </c>
      <c r="CF969" s="222">
        <f>CE970/CE969</f>
        <v>0.18094405594405608</v>
      </c>
      <c r="CG969" s="214">
        <v>57.19</v>
      </c>
      <c r="CH969" s="222">
        <f>CG970/CG969</f>
        <v>0.14862738240951215</v>
      </c>
    </row>
    <row r="970" spans="1:87">
      <c r="C970" s="318" t="s">
        <v>9</v>
      </c>
      <c r="AP970" s="214"/>
      <c r="CA970" s="214">
        <f>CA968+CA969</f>
        <v>26.76</v>
      </c>
      <c r="CC970" s="214">
        <f>CC968+CC969</f>
        <v>14.629999999999995</v>
      </c>
      <c r="CE970" s="214">
        <f>CE968+CE969</f>
        <v>10.350000000000009</v>
      </c>
      <c r="CG970" s="214">
        <f>CG968+CG969</f>
        <v>8.5</v>
      </c>
    </row>
    <row r="971" spans="1:87">
      <c r="A971" s="211">
        <v>265</v>
      </c>
      <c r="C971" s="318" t="s">
        <v>711</v>
      </c>
      <c r="AP971" s="214"/>
    </row>
    <row r="972" spans="1:87">
      <c r="C972" s="318" t="s">
        <v>707</v>
      </c>
      <c r="AP972" s="214"/>
      <c r="CA972" s="235">
        <v>46054</v>
      </c>
      <c r="CC972" s="235">
        <v>46082</v>
      </c>
      <c r="CE972" s="235">
        <v>46113</v>
      </c>
      <c r="CG972" s="235">
        <v>46143</v>
      </c>
      <c r="CI972" s="341">
        <v>46174</v>
      </c>
    </row>
    <row r="973" spans="1:87">
      <c r="C973" s="318" t="s">
        <v>7</v>
      </c>
      <c r="AP973" s="214"/>
      <c r="CA973" s="238">
        <v>-7.02</v>
      </c>
      <c r="CC973" s="237">
        <f>-53.9-17.28</f>
        <v>-71.180000000000007</v>
      </c>
      <c r="CE973" s="237">
        <f>-49.83-14.49</f>
        <v>-64.319999999999993</v>
      </c>
      <c r="CG973" s="237">
        <v>-49.53</v>
      </c>
    </row>
    <row r="974" spans="1:87">
      <c r="C974" s="318" t="s">
        <v>8</v>
      </c>
      <c r="AP974" s="214"/>
      <c r="CA974" s="213">
        <v>17.48</v>
      </c>
      <c r="CC974" s="214">
        <v>94.52</v>
      </c>
      <c r="CD974" s="222">
        <f>CC975/CC974</f>
        <v>0.24693186627168842</v>
      </c>
      <c r="CE974" s="214">
        <v>88.22</v>
      </c>
      <c r="CF974" s="222">
        <f>CE975/CE974</f>
        <v>0.27091362502833832</v>
      </c>
      <c r="CG974" s="214">
        <v>83.05</v>
      </c>
      <c r="CH974" s="222">
        <f>CG975/CG974</f>
        <v>0.40361228175797709</v>
      </c>
    </row>
    <row r="975" spans="1:87">
      <c r="C975" s="318" t="s">
        <v>9</v>
      </c>
      <c r="AP975" s="214"/>
      <c r="CA975" s="214">
        <f>CA973+CA974</f>
        <v>10.46</v>
      </c>
      <c r="CC975" s="214">
        <f>CC973+CC974</f>
        <v>23.339999999999989</v>
      </c>
      <c r="CE975" s="214">
        <f>CE973+CE974</f>
        <v>23.900000000000006</v>
      </c>
      <c r="CG975" s="214">
        <f>CG973+CG974</f>
        <v>33.519999999999996</v>
      </c>
    </row>
    <row r="976" spans="1:87">
      <c r="A976" s="211">
        <v>266</v>
      </c>
      <c r="C976" s="318" t="s">
        <v>755</v>
      </c>
      <c r="AP976" s="214"/>
    </row>
    <row r="977" spans="1:87">
      <c r="C977" s="318" t="s">
        <v>708</v>
      </c>
      <c r="AP977" s="214"/>
      <c r="CA977" s="235">
        <v>46054</v>
      </c>
      <c r="CC977" s="235">
        <v>46082</v>
      </c>
      <c r="CE977" s="235">
        <v>46113</v>
      </c>
      <c r="CG977" s="235">
        <v>46143</v>
      </c>
      <c r="CI977" s="341">
        <v>46174</v>
      </c>
    </row>
    <row r="978" spans="1:87">
      <c r="C978" s="318" t="s">
        <v>7</v>
      </c>
      <c r="AP978" s="214"/>
      <c r="CA978" s="238">
        <v>-6.3</v>
      </c>
      <c r="CC978" s="237">
        <f>-47.18-33.44</f>
        <v>-80.62</v>
      </c>
      <c r="CE978" s="237">
        <f>-31.43-28.35</f>
        <v>-59.78</v>
      </c>
      <c r="CG978" s="237">
        <f>-32.04-31.78</f>
        <v>-63.82</v>
      </c>
      <c r="CI978" s="238">
        <v>-31.78</v>
      </c>
    </row>
    <row r="979" spans="1:87">
      <c r="C979" s="318" t="s">
        <v>8</v>
      </c>
      <c r="AP979" s="214"/>
      <c r="CA979" s="213">
        <v>34.15</v>
      </c>
      <c r="CC979" s="214">
        <v>87</v>
      </c>
      <c r="CD979" s="222">
        <f>CC980/CC979</f>
        <v>7.3333333333333278E-2</v>
      </c>
      <c r="CE979" s="214">
        <v>60.21</v>
      </c>
      <c r="CF979" s="222">
        <f>CE980/CE979</f>
        <v>7.1416708188008588E-3</v>
      </c>
      <c r="CG979" s="214">
        <v>72.989999999999995</v>
      </c>
      <c r="CH979" s="222">
        <f>CG980/CG979</f>
        <v>0.12563364844499239</v>
      </c>
    </row>
    <row r="980" spans="1:87">
      <c r="C980" s="318" t="s">
        <v>9</v>
      </c>
      <c r="AP980" s="214"/>
      <c r="CA980" s="214">
        <f>CA978+CA979</f>
        <v>27.849999999999998</v>
      </c>
      <c r="CC980" s="214">
        <f>CC978+CC979</f>
        <v>6.3799999999999955</v>
      </c>
      <c r="CE980" s="214">
        <f>CE978+CE979</f>
        <v>0.42999999999999972</v>
      </c>
      <c r="CG980" s="214">
        <f>CG978+CG979</f>
        <v>9.1699999999999946</v>
      </c>
    </row>
    <row r="981" spans="1:87">
      <c r="A981" s="211">
        <v>267</v>
      </c>
      <c r="C981" s="318" t="s">
        <v>709</v>
      </c>
      <c r="AP981" s="214"/>
    </row>
    <row r="982" spans="1:87">
      <c r="C982" s="318" t="s">
        <v>710</v>
      </c>
      <c r="AP982" s="214"/>
      <c r="CA982" s="235">
        <v>46054</v>
      </c>
      <c r="CC982" s="235">
        <v>46082</v>
      </c>
      <c r="CE982" s="235">
        <v>46113</v>
      </c>
      <c r="CG982" s="235">
        <v>46143</v>
      </c>
      <c r="CI982" s="341">
        <v>46174</v>
      </c>
    </row>
    <row r="983" spans="1:87">
      <c r="C983" s="318" t="s">
        <v>7</v>
      </c>
      <c r="AP983" s="214"/>
      <c r="CA983" s="238">
        <v>-4.76</v>
      </c>
      <c r="CC983" s="237">
        <f>-57.07-11.48</f>
        <v>-68.55</v>
      </c>
      <c r="CE983" s="237">
        <f>-36.11-8.88</f>
        <v>-44.99</v>
      </c>
      <c r="CG983" s="237">
        <f>-27.81-8.76</f>
        <v>-36.57</v>
      </c>
      <c r="CI983" s="213">
        <v>-32</v>
      </c>
    </row>
    <row r="984" spans="1:87">
      <c r="C984" s="318" t="s">
        <v>8</v>
      </c>
      <c r="AP984" s="214"/>
      <c r="CA984" s="213">
        <v>12.59</v>
      </c>
      <c r="CC984" s="214">
        <v>98.93</v>
      </c>
      <c r="CD984" s="222">
        <f>CC985/CC984</f>
        <v>0.30708581825533215</v>
      </c>
      <c r="CE984" s="214">
        <v>57.93</v>
      </c>
      <c r="CF984" s="222">
        <f>CE985/CE984</f>
        <v>0.22337303642326942</v>
      </c>
      <c r="CG984" s="214">
        <v>44.06</v>
      </c>
      <c r="CH984" s="222">
        <f>CG985/CG984</f>
        <v>0.1699954607353609</v>
      </c>
    </row>
    <row r="985" spans="1:87">
      <c r="C985" s="318" t="s">
        <v>9</v>
      </c>
      <c r="AP985" s="214"/>
      <c r="CA985" s="214">
        <f>CA983+CA984</f>
        <v>7.83</v>
      </c>
      <c r="CC985" s="214">
        <f>CC983+CC984</f>
        <v>30.38000000000001</v>
      </c>
      <c r="CE985" s="214">
        <f>CE983+CE984</f>
        <v>12.939999999999998</v>
      </c>
      <c r="CG985" s="214">
        <f>CG983+CG984</f>
        <v>7.490000000000002</v>
      </c>
    </row>
    <row r="986" spans="1:87">
      <c r="A986" s="211">
        <v>268</v>
      </c>
      <c r="C986" s="318" t="s">
        <v>713</v>
      </c>
      <c r="AP986" s="214"/>
    </row>
    <row r="987" spans="1:87">
      <c r="C987" s="318" t="s">
        <v>714</v>
      </c>
      <c r="AP987" s="214"/>
      <c r="CA987" s="235">
        <v>46054</v>
      </c>
      <c r="CC987" s="235">
        <v>46082</v>
      </c>
      <c r="CE987" s="235">
        <v>46113</v>
      </c>
      <c r="CG987" s="235">
        <v>46143</v>
      </c>
      <c r="CI987" s="341">
        <v>46174</v>
      </c>
    </row>
    <row r="988" spans="1:87">
      <c r="C988" s="318" t="s">
        <v>7</v>
      </c>
      <c r="AP988" s="214"/>
      <c r="CC988" s="237">
        <f>-13.78-1.18</f>
        <v>-14.959999999999999</v>
      </c>
      <c r="CE988" s="237">
        <f>-34.33-1.63</f>
        <v>-35.96</v>
      </c>
      <c r="CG988" s="214">
        <v>-45.5</v>
      </c>
    </row>
    <row r="989" spans="1:87">
      <c r="C989" s="318" t="s">
        <v>8</v>
      </c>
      <c r="AP989" s="214"/>
      <c r="CC989" s="214"/>
      <c r="CD989" s="222" t="e">
        <f>CC990/CC989</f>
        <v>#DIV/0!</v>
      </c>
      <c r="CE989" s="214">
        <v>48.71</v>
      </c>
      <c r="CF989" s="222">
        <f>CE990/CE989</f>
        <v>0.26175323342229523</v>
      </c>
      <c r="CG989" s="214">
        <v>58.15</v>
      </c>
      <c r="CH989" s="222">
        <f>CG990/CG989</f>
        <v>0.2175408426483233</v>
      </c>
    </row>
    <row r="990" spans="1:87">
      <c r="C990" s="318" t="s">
        <v>9</v>
      </c>
      <c r="AP990" s="214"/>
      <c r="CC990" s="214">
        <f>CC988+CC989</f>
        <v>-14.959999999999999</v>
      </c>
      <c r="CE990" s="214">
        <f>CE988+CE989</f>
        <v>12.75</v>
      </c>
      <c r="CG990" s="214">
        <f>CG988+CG989</f>
        <v>12.649999999999999</v>
      </c>
    </row>
    <row r="991" spans="1:87">
      <c r="A991" s="211">
        <v>269</v>
      </c>
      <c r="C991" s="318" t="s">
        <v>715</v>
      </c>
      <c r="AP991" s="214"/>
    </row>
    <row r="992" spans="1:87">
      <c r="C992" s="318" t="s">
        <v>719</v>
      </c>
      <c r="AP992" s="214"/>
      <c r="CA992" s="235">
        <v>46054</v>
      </c>
      <c r="CC992" s="235">
        <v>46082</v>
      </c>
      <c r="CE992" s="235">
        <v>46113</v>
      </c>
      <c r="CG992" s="235">
        <v>46143</v>
      </c>
      <c r="CI992" s="341">
        <v>46174</v>
      </c>
    </row>
    <row r="993" spans="1:87">
      <c r="C993" s="318" t="s">
        <v>7</v>
      </c>
      <c r="AP993" s="214"/>
      <c r="CC993" s="237">
        <f>-30.69-1.42</f>
        <v>-32.11</v>
      </c>
      <c r="CE993" s="237">
        <f>-41.29-2.35</f>
        <v>-43.64</v>
      </c>
      <c r="CG993" s="214">
        <v>-65.760000000000005</v>
      </c>
    </row>
    <row r="994" spans="1:87">
      <c r="C994" s="318" t="s">
        <v>8</v>
      </c>
      <c r="AP994" s="214"/>
      <c r="CC994" s="214"/>
      <c r="CD994" s="222" t="e">
        <f>CC995/CC994</f>
        <v>#DIV/0!</v>
      </c>
      <c r="CE994" s="214">
        <v>57.41</v>
      </c>
      <c r="CF994" s="222">
        <f>CE995/CE994</f>
        <v>0.23985368402717291</v>
      </c>
      <c r="CG994" s="214">
        <v>86.06</v>
      </c>
      <c r="CH994" s="222">
        <f>CG995/CG994</f>
        <v>0.23588194283058328</v>
      </c>
    </row>
    <row r="995" spans="1:87">
      <c r="C995" s="318" t="s">
        <v>9</v>
      </c>
      <c r="AP995" s="214"/>
      <c r="CC995" s="214">
        <f>CC993+CC994</f>
        <v>-32.11</v>
      </c>
      <c r="CE995" s="214">
        <f>CE993+CE994</f>
        <v>13.769999999999996</v>
      </c>
      <c r="CG995" s="214">
        <f>CG993+CG994</f>
        <v>20.299999999999997</v>
      </c>
    </row>
    <row r="996" spans="1:87">
      <c r="A996" s="211">
        <v>270</v>
      </c>
      <c r="C996" s="318" t="s">
        <v>716</v>
      </c>
      <c r="AP996" s="214"/>
    </row>
    <row r="997" spans="1:87">
      <c r="C997" s="318" t="s">
        <v>717</v>
      </c>
      <c r="AP997" s="214"/>
      <c r="CA997" s="235">
        <v>46054</v>
      </c>
      <c r="CC997" s="235">
        <v>46082</v>
      </c>
      <c r="CE997" s="235">
        <v>46113</v>
      </c>
      <c r="CG997" s="235">
        <v>46143</v>
      </c>
      <c r="CI997" s="341">
        <v>46174</v>
      </c>
    </row>
    <row r="998" spans="1:87">
      <c r="C998" s="318" t="s">
        <v>7</v>
      </c>
      <c r="AP998" s="214"/>
      <c r="CC998" s="214"/>
      <c r="CE998" s="237">
        <v>-1.84</v>
      </c>
      <c r="CG998" s="237">
        <v>-51.6</v>
      </c>
    </row>
    <row r="999" spans="1:87">
      <c r="C999" s="318" t="s">
        <v>8</v>
      </c>
      <c r="AP999" s="214"/>
      <c r="CC999" s="214"/>
      <c r="CD999" s="222" t="e">
        <f>CC1000/CC999</f>
        <v>#DIV/0!</v>
      </c>
      <c r="CE999" s="214"/>
      <c r="CF999" s="222" t="e">
        <f>CE1000/CE999</f>
        <v>#DIV/0!</v>
      </c>
      <c r="CG999" s="214">
        <v>63.62</v>
      </c>
      <c r="CH999" s="222">
        <f>CG1000/CG999</f>
        <v>0.18893429739075757</v>
      </c>
    </row>
    <row r="1000" spans="1:87">
      <c r="C1000" s="318" t="s">
        <v>9</v>
      </c>
      <c r="AP1000" s="214"/>
      <c r="CC1000" s="214">
        <f>CC998+CC999</f>
        <v>0</v>
      </c>
      <c r="CE1000" s="214">
        <f>CE998+CE999</f>
        <v>-1.84</v>
      </c>
      <c r="CG1000" s="214">
        <f>CG998+CG999</f>
        <v>12.019999999999996</v>
      </c>
    </row>
    <row r="1001" spans="1:87">
      <c r="A1001" s="211">
        <v>271</v>
      </c>
      <c r="C1001" s="318" t="s">
        <v>718</v>
      </c>
      <c r="AP1001" s="214"/>
    </row>
    <row r="1002" spans="1:87">
      <c r="C1002" s="318" t="s">
        <v>771</v>
      </c>
      <c r="AP1002" s="214"/>
      <c r="CA1002" s="235">
        <v>46054</v>
      </c>
      <c r="CC1002" s="235">
        <v>46082</v>
      </c>
      <c r="CE1002" s="235">
        <v>46113</v>
      </c>
      <c r="CG1002" s="235">
        <v>46143</v>
      </c>
      <c r="CI1002" s="341">
        <v>46174</v>
      </c>
    </row>
    <row r="1003" spans="1:87">
      <c r="C1003" s="318" t="s">
        <v>7</v>
      </c>
      <c r="AP1003" s="214"/>
      <c r="CC1003" s="214"/>
      <c r="CE1003" s="237">
        <v>-4.75</v>
      </c>
      <c r="CG1003" s="237">
        <v>-133.13999999999999</v>
      </c>
    </row>
    <row r="1004" spans="1:87">
      <c r="C1004" s="318" t="s">
        <v>8</v>
      </c>
      <c r="AP1004" s="214"/>
      <c r="CC1004" s="214"/>
      <c r="CD1004" s="222" t="e">
        <f>CC1005/CC1004</f>
        <v>#DIV/0!</v>
      </c>
      <c r="CE1004" s="214">
        <v>78.23</v>
      </c>
      <c r="CF1004" s="222">
        <f>CE1005/CE1004</f>
        <v>0.93928160552217821</v>
      </c>
      <c r="CG1004" s="214">
        <v>170.54</v>
      </c>
      <c r="CH1004" s="222">
        <f>CG1005/CG1004</f>
        <v>0.21930338923419729</v>
      </c>
    </row>
    <row r="1005" spans="1:87">
      <c r="C1005" s="318" t="s">
        <v>9</v>
      </c>
      <c r="AP1005" s="214"/>
      <c r="CC1005" s="214">
        <f>CC1003+CC1004</f>
        <v>0</v>
      </c>
      <c r="CE1005" s="214">
        <f>CE1003+CE1004</f>
        <v>73.48</v>
      </c>
      <c r="CG1005" s="214">
        <f>CG1003+CG1004</f>
        <v>37.400000000000006</v>
      </c>
    </row>
    <row r="1006" spans="1:87">
      <c r="A1006" s="211">
        <v>272</v>
      </c>
      <c r="C1006" s="318" t="s">
        <v>726</v>
      </c>
      <c r="AP1006" s="214"/>
    </row>
    <row r="1007" spans="1:87">
      <c r="C1007" s="318" t="s">
        <v>727</v>
      </c>
      <c r="AP1007" s="214"/>
      <c r="CA1007" s="235">
        <v>46054</v>
      </c>
      <c r="CC1007" s="235">
        <v>46082</v>
      </c>
      <c r="CE1007" s="235">
        <v>46113</v>
      </c>
      <c r="CG1007" s="235">
        <v>46143</v>
      </c>
      <c r="CI1007" s="341">
        <v>46174</v>
      </c>
    </row>
    <row r="1008" spans="1:87">
      <c r="C1008" s="318" t="s">
        <v>7</v>
      </c>
      <c r="AP1008" s="214"/>
      <c r="CC1008" s="237">
        <v>-56.4</v>
      </c>
      <c r="CE1008" s="237">
        <f>-29.99-63.14</f>
        <v>-93.13</v>
      </c>
      <c r="CG1008" s="237">
        <f>-28.74-78.12</f>
        <v>-106.86</v>
      </c>
      <c r="CI1008" s="213">
        <v>-25.99</v>
      </c>
    </row>
    <row r="1009" spans="1:87">
      <c r="C1009" s="318" t="s">
        <v>8</v>
      </c>
      <c r="AP1009" s="214"/>
      <c r="CC1009" s="214">
        <v>93.44</v>
      </c>
      <c r="CD1009" s="222">
        <f>CC1010/CC1009</f>
        <v>0.3964041095890411</v>
      </c>
      <c r="CE1009" s="214">
        <v>125.56</v>
      </c>
      <c r="CF1009" s="222">
        <f>CE1010/CE1009</f>
        <v>0.25828289264096849</v>
      </c>
      <c r="CG1009" s="214">
        <v>109.27</v>
      </c>
      <c r="CH1009" s="222">
        <f>CG1010/CG1009</f>
        <v>2.2055458954882371E-2</v>
      </c>
    </row>
    <row r="1010" spans="1:87">
      <c r="C1010" s="318" t="s">
        <v>9</v>
      </c>
      <c r="AP1010" s="214"/>
      <c r="CC1010" s="214">
        <f>CC1008+CC1009</f>
        <v>37.04</v>
      </c>
      <c r="CE1010" s="214">
        <f>CE1008+CE1009</f>
        <v>32.430000000000007</v>
      </c>
      <c r="CG1010" s="214">
        <f>CG1008+CG1009</f>
        <v>2.4099999999999966</v>
      </c>
    </row>
    <row r="1011" spans="1:87">
      <c r="A1011" s="211">
        <v>273</v>
      </c>
      <c r="C1011" s="318" t="s">
        <v>728</v>
      </c>
      <c r="AP1011" s="214"/>
    </row>
    <row r="1012" spans="1:87">
      <c r="C1012" s="318" t="s">
        <v>729</v>
      </c>
      <c r="AP1012" s="214"/>
      <c r="CC1012" s="235">
        <v>46082</v>
      </c>
      <c r="CE1012" s="235">
        <v>46113</v>
      </c>
      <c r="CG1012" s="235">
        <v>46143</v>
      </c>
      <c r="CI1012" s="341">
        <v>46174</v>
      </c>
    </row>
    <row r="1013" spans="1:87">
      <c r="C1013" s="318" t="s">
        <v>7</v>
      </c>
      <c r="AP1013" s="214"/>
      <c r="CC1013" s="237">
        <v>-395.17</v>
      </c>
      <c r="CE1013" s="237">
        <v>-1634.07</v>
      </c>
      <c r="CG1013" s="214">
        <v>-1914.76</v>
      </c>
    </row>
    <row r="1014" spans="1:87">
      <c r="C1014" s="318" t="s">
        <v>8</v>
      </c>
      <c r="AP1014" s="214"/>
      <c r="CC1014" s="214">
        <v>849.63</v>
      </c>
      <c r="CD1014" s="222">
        <f>CC1015/CC1014</f>
        <v>0.53489165872203193</v>
      </c>
      <c r="CE1014" s="214">
        <v>2476.17</v>
      </c>
      <c r="CF1014" s="222">
        <f>CE1015/CE1014</f>
        <v>0.3400816583675596</v>
      </c>
      <c r="CG1014" s="214">
        <v>2528.89</v>
      </c>
      <c r="CH1014" s="222">
        <f>CG1015/CG1014</f>
        <v>0.24284567537536228</v>
      </c>
    </row>
    <row r="1015" spans="1:87">
      <c r="C1015" s="318" t="s">
        <v>9</v>
      </c>
      <c r="AP1015" s="214"/>
      <c r="CC1015" s="214">
        <f>CC1013+CC1014</f>
        <v>454.46</v>
      </c>
      <c r="CE1015" s="214">
        <f>CE1013+CE1014</f>
        <v>842.10000000000014</v>
      </c>
      <c r="CG1015" s="214">
        <f>CG1013+CG1014</f>
        <v>614.12999999999988</v>
      </c>
    </row>
    <row r="1016" spans="1:87">
      <c r="A1016" s="211">
        <v>274</v>
      </c>
      <c r="C1016" s="318" t="s">
        <v>730</v>
      </c>
      <c r="AP1016" s="214"/>
    </row>
    <row r="1017" spans="1:87">
      <c r="C1017" s="318" t="s">
        <v>731</v>
      </c>
      <c r="AP1017" s="214"/>
      <c r="CC1017" s="235">
        <v>46082</v>
      </c>
      <c r="CE1017" s="235">
        <v>46113</v>
      </c>
      <c r="CG1017" s="235">
        <v>46143</v>
      </c>
      <c r="CI1017" s="341">
        <v>46174</v>
      </c>
    </row>
    <row r="1018" spans="1:87">
      <c r="C1018" s="318" t="s">
        <v>7</v>
      </c>
      <c r="AP1018" s="214"/>
      <c r="CC1018" s="235"/>
      <c r="CE1018" s="237">
        <f>-22.09-10.9</f>
        <v>-32.99</v>
      </c>
      <c r="CG1018" s="237">
        <v>-21.86</v>
      </c>
    </row>
    <row r="1019" spans="1:87">
      <c r="C1019" s="318" t="s">
        <v>8</v>
      </c>
      <c r="AP1019" s="214"/>
      <c r="CD1019" s="222" t="e">
        <f>CC1020/CC1019</f>
        <v>#DIV/0!</v>
      </c>
      <c r="CE1019" s="214"/>
      <c r="CF1019" s="222" t="e">
        <f>CE1020/CE1019</f>
        <v>#DIV/0!</v>
      </c>
      <c r="CG1019" s="214">
        <v>42.03</v>
      </c>
      <c r="CH1019" s="222">
        <f>CG1020/CG1019</f>
        <v>0.47989531287175829</v>
      </c>
    </row>
    <row r="1020" spans="1:87">
      <c r="C1020" s="318" t="s">
        <v>9</v>
      </c>
      <c r="AP1020" s="214"/>
      <c r="CC1020" s="214"/>
      <c r="CE1020" s="214">
        <f>CE1018+CE1019</f>
        <v>-32.99</v>
      </c>
      <c r="CG1020" s="214">
        <f>CG1018+CG1019</f>
        <v>20.170000000000002</v>
      </c>
    </row>
    <row r="1021" spans="1:87">
      <c r="A1021" s="211">
        <v>275</v>
      </c>
      <c r="C1021" s="318" t="s">
        <v>732</v>
      </c>
      <c r="AP1021" s="214"/>
    </row>
    <row r="1022" spans="1:87">
      <c r="C1022" s="318" t="s">
        <v>733</v>
      </c>
      <c r="AP1022" s="214"/>
      <c r="CC1022" s="235">
        <v>46082</v>
      </c>
      <c r="CE1022" s="235">
        <v>46113</v>
      </c>
      <c r="CG1022" s="235">
        <v>46143</v>
      </c>
      <c r="CI1022" s="341">
        <v>46174</v>
      </c>
    </row>
    <row r="1023" spans="1:87">
      <c r="C1023" s="318" t="s">
        <v>7</v>
      </c>
      <c r="AP1023" s="214"/>
      <c r="CC1023" s="214"/>
      <c r="CE1023" s="237">
        <f>-15.3-9.38</f>
        <v>-24.68</v>
      </c>
      <c r="CG1023" s="237">
        <v>-32.19</v>
      </c>
    </row>
    <row r="1024" spans="1:87">
      <c r="C1024" s="318" t="s">
        <v>8</v>
      </c>
      <c r="AP1024" s="214"/>
      <c r="CC1024" s="214"/>
      <c r="CD1024" s="222" t="e">
        <f>CC1025/CC1024</f>
        <v>#DIV/0!</v>
      </c>
      <c r="CE1024" s="214">
        <v>31.28</v>
      </c>
      <c r="CF1024" s="222">
        <f>CE1025/CE1024</f>
        <v>0.21099744245524302</v>
      </c>
      <c r="CG1024" s="214">
        <v>56.93</v>
      </c>
      <c r="CH1024" s="222">
        <f>CG1025/CG1024</f>
        <v>0.43456876866327071</v>
      </c>
    </row>
    <row r="1025" spans="1:87">
      <c r="C1025" s="318" t="s">
        <v>245</v>
      </c>
      <c r="AP1025" s="214"/>
      <c r="CC1025" s="214">
        <f>CC1023+CC1024</f>
        <v>0</v>
      </c>
      <c r="CE1025" s="214">
        <f>CE1023+CE1024</f>
        <v>6.6000000000000014</v>
      </c>
      <c r="CG1025" s="214">
        <f>CG1023+CG1024</f>
        <v>24.740000000000002</v>
      </c>
    </row>
    <row r="1026" spans="1:87">
      <c r="A1026" s="211">
        <v>276</v>
      </c>
      <c r="C1026" s="318" t="s">
        <v>734</v>
      </c>
      <c r="AP1026" s="214"/>
    </row>
    <row r="1027" spans="1:87">
      <c r="C1027" s="318" t="s">
        <v>735</v>
      </c>
      <c r="AP1027" s="214"/>
      <c r="CC1027" s="235">
        <v>46082</v>
      </c>
      <c r="CE1027" s="235">
        <v>46113</v>
      </c>
      <c r="CG1027" s="235">
        <v>46143</v>
      </c>
      <c r="CI1027" s="341">
        <v>46174</v>
      </c>
    </row>
    <row r="1028" spans="1:87">
      <c r="C1028" s="318" t="s">
        <v>7</v>
      </c>
      <c r="AP1028" s="214"/>
      <c r="CC1028" s="214"/>
      <c r="CE1028" s="237">
        <f>-47.03-22.68</f>
        <v>-69.710000000000008</v>
      </c>
      <c r="CG1028" s="239">
        <f>-18.12-80.94</f>
        <v>-99.06</v>
      </c>
      <c r="CI1028" s="238">
        <v>-3.02</v>
      </c>
    </row>
    <row r="1029" spans="1:87">
      <c r="C1029" s="318" t="s">
        <v>8</v>
      </c>
      <c r="AP1029" s="214"/>
      <c r="CC1029" s="214"/>
      <c r="CD1029" s="222" t="e">
        <f>CC1030/CC1029</f>
        <v>#DIV/0!</v>
      </c>
      <c r="CE1029" s="214">
        <v>105.73</v>
      </c>
      <c r="CF1029" s="222">
        <f>CE1030/CE1029</f>
        <v>0.34067908824363941</v>
      </c>
      <c r="CG1029" s="214">
        <v>105.89</v>
      </c>
      <c r="CH1029" s="222">
        <f>CG1030/CG1029</f>
        <v>6.4500897157427503E-2</v>
      </c>
    </row>
    <row r="1030" spans="1:87">
      <c r="C1030" s="318" t="s">
        <v>9</v>
      </c>
      <c r="AP1030" s="214"/>
      <c r="CC1030" s="214">
        <f>CC1028+CC1029</f>
        <v>0</v>
      </c>
      <c r="CE1030" s="214">
        <f>CE1028+CE1029</f>
        <v>36.019999999999996</v>
      </c>
      <c r="CG1030" s="214">
        <f>CG1028+CG1029</f>
        <v>6.8299999999999983</v>
      </c>
    </row>
    <row r="1031" spans="1:87">
      <c r="A1031" s="211">
        <v>277</v>
      </c>
      <c r="C1031" s="318" t="s">
        <v>736</v>
      </c>
      <c r="AP1031" s="214"/>
    </row>
    <row r="1032" spans="1:87">
      <c r="C1032" s="318" t="s">
        <v>737</v>
      </c>
      <c r="AP1032" s="214"/>
      <c r="CC1032" s="235">
        <v>46082</v>
      </c>
      <c r="CE1032" s="235">
        <v>46113</v>
      </c>
      <c r="CG1032" s="235">
        <v>46143</v>
      </c>
      <c r="CI1032" s="341">
        <v>46174</v>
      </c>
    </row>
    <row r="1033" spans="1:87">
      <c r="C1033" s="318" t="s">
        <v>7</v>
      </c>
      <c r="AP1033" s="214"/>
      <c r="CC1033" s="237">
        <v>1.05</v>
      </c>
      <c r="CE1033" s="237">
        <f>-16.97-27.02</f>
        <v>-43.989999999999995</v>
      </c>
      <c r="CG1033" s="237">
        <f>-32.95-27.16</f>
        <v>-60.11</v>
      </c>
      <c r="CI1033" s="238">
        <v>-29.09</v>
      </c>
    </row>
    <row r="1034" spans="1:87">
      <c r="C1034" s="318" t="s">
        <v>8</v>
      </c>
      <c r="AP1034" s="214"/>
      <c r="CC1034" s="214"/>
      <c r="CD1034" s="222" t="e">
        <f>CC1035/CC1034</f>
        <v>#DIV/0!</v>
      </c>
      <c r="CE1034" s="214">
        <v>70.39</v>
      </c>
      <c r="CF1034" s="222">
        <f>CE1035/CE1034</f>
        <v>0.37505327461287125</v>
      </c>
      <c r="CG1034" s="214">
        <v>71.819999999999993</v>
      </c>
      <c r="CH1034" s="222">
        <f>CG1035/CG1034</f>
        <v>0.16304650515176825</v>
      </c>
    </row>
    <row r="1035" spans="1:87">
      <c r="C1035" s="318" t="s">
        <v>9</v>
      </c>
      <c r="AP1035" s="214"/>
      <c r="CC1035" s="214">
        <f>CC1033+CC1034</f>
        <v>1.05</v>
      </c>
      <c r="CE1035" s="214">
        <f>CE1033+CE1034</f>
        <v>26.400000000000006</v>
      </c>
      <c r="CG1035" s="214">
        <f>CG1033+CG1034</f>
        <v>11.709999999999994</v>
      </c>
    </row>
    <row r="1036" spans="1:87">
      <c r="A1036" s="211">
        <v>278</v>
      </c>
      <c r="C1036" s="318" t="s">
        <v>741</v>
      </c>
      <c r="AP1036" s="214"/>
    </row>
    <row r="1037" spans="1:87">
      <c r="C1037" s="318" t="s">
        <v>742</v>
      </c>
      <c r="AP1037" s="214"/>
      <c r="CE1037" s="235">
        <v>46113</v>
      </c>
      <c r="CG1037" s="235">
        <v>46143</v>
      </c>
      <c r="CI1037" s="341">
        <v>46174</v>
      </c>
    </row>
    <row r="1038" spans="1:87">
      <c r="C1038" s="318" t="s">
        <v>7</v>
      </c>
      <c r="AP1038" s="214"/>
      <c r="CE1038" s="237">
        <f>-30.93-20.72</f>
        <v>-51.65</v>
      </c>
      <c r="CG1038" s="237">
        <f>-54.43-34.6</f>
        <v>-89.03</v>
      </c>
      <c r="CI1038" s="213">
        <v>-76.239999999999995</v>
      </c>
    </row>
    <row r="1039" spans="1:87">
      <c r="C1039" s="318" t="s">
        <v>8</v>
      </c>
      <c r="AP1039" s="214"/>
      <c r="CE1039" s="214">
        <v>65.78</v>
      </c>
      <c r="CF1039" s="222">
        <f>CE1040/CE1039</f>
        <v>0.21480693219823657</v>
      </c>
      <c r="CG1039" s="214">
        <v>97.19</v>
      </c>
      <c r="CH1039" s="222">
        <f>CG1040/CG1039</f>
        <v>8.3959255067393726E-2</v>
      </c>
    </row>
    <row r="1040" spans="1:87">
      <c r="C1040" s="318" t="s">
        <v>9</v>
      </c>
      <c r="AP1040" s="214"/>
      <c r="CE1040" s="214">
        <f>CE1038+CE1039</f>
        <v>14.130000000000003</v>
      </c>
      <c r="CG1040" s="214">
        <f>CG1038+CG1039</f>
        <v>8.1599999999999966</v>
      </c>
    </row>
    <row r="1041" spans="1:87">
      <c r="A1041" s="211">
        <v>279</v>
      </c>
      <c r="C1041" s="318" t="s">
        <v>743</v>
      </c>
      <c r="AP1041" s="214"/>
    </row>
    <row r="1042" spans="1:87">
      <c r="C1042" s="318" t="s">
        <v>744</v>
      </c>
      <c r="AP1042" s="214"/>
      <c r="CE1042" s="235">
        <v>46113</v>
      </c>
      <c r="CG1042" s="235">
        <v>46143</v>
      </c>
      <c r="CI1042" s="341">
        <v>46174</v>
      </c>
    </row>
    <row r="1043" spans="1:87">
      <c r="C1043" s="318" t="s">
        <v>7</v>
      </c>
      <c r="AP1043" s="214"/>
      <c r="CE1043" s="237">
        <f>-30.6</f>
        <v>-30.6</v>
      </c>
      <c r="CG1043" s="237">
        <f>-20.4-64.75</f>
        <v>-85.15</v>
      </c>
      <c r="CI1043" s="213">
        <v>-10.45</v>
      </c>
    </row>
    <row r="1044" spans="1:87">
      <c r="C1044" s="318" t="s">
        <v>8</v>
      </c>
      <c r="AP1044" s="214"/>
      <c r="CE1044" s="214">
        <v>72.52</v>
      </c>
      <c r="CF1044" s="222">
        <f>CE1045/CE1044</f>
        <v>0.57804743519029234</v>
      </c>
      <c r="CG1044" s="214">
        <v>96.05</v>
      </c>
      <c r="CH1044" s="222">
        <f>CG1045/CG1044</f>
        <v>0.11348256116605926</v>
      </c>
    </row>
    <row r="1045" spans="1:87">
      <c r="C1045" s="318" t="s">
        <v>9</v>
      </c>
      <c r="AP1045" s="214"/>
      <c r="CE1045" s="214">
        <f>CE1043+CE1044</f>
        <v>41.919999999999995</v>
      </c>
      <c r="CG1045" s="214">
        <f>CG1043+CG1044</f>
        <v>10.899999999999991</v>
      </c>
    </row>
    <row r="1046" spans="1:87">
      <c r="A1046" s="211">
        <v>280</v>
      </c>
      <c r="C1046" s="318" t="s">
        <v>747</v>
      </c>
      <c r="AP1046" s="214"/>
    </row>
    <row r="1047" spans="1:87">
      <c r="C1047" s="318" t="s">
        <v>748</v>
      </c>
      <c r="AP1047" s="214"/>
      <c r="CE1047" s="235">
        <v>46113</v>
      </c>
      <c r="CG1047" s="235">
        <v>46143</v>
      </c>
      <c r="CI1047" s="341">
        <v>46174</v>
      </c>
    </row>
    <row r="1048" spans="1:87">
      <c r="C1048" s="318" t="s">
        <v>7</v>
      </c>
      <c r="AP1048" s="214"/>
      <c r="CE1048" s="237">
        <v>-3.28</v>
      </c>
      <c r="CG1048" s="237">
        <v>-43.31</v>
      </c>
    </row>
    <row r="1049" spans="1:87">
      <c r="C1049" s="318" t="s">
        <v>8</v>
      </c>
      <c r="AP1049" s="214"/>
      <c r="CE1049" s="214"/>
      <c r="CF1049" s="222" t="e">
        <f>CE1050/CE1049</f>
        <v>#DIV/0!</v>
      </c>
      <c r="CG1049" s="214">
        <v>52.47</v>
      </c>
      <c r="CH1049" s="222">
        <f>CG1050/CG1049</f>
        <v>0.17457594816085376</v>
      </c>
    </row>
    <row r="1050" spans="1:87">
      <c r="C1050" s="318" t="s">
        <v>9</v>
      </c>
      <c r="AP1050" s="214"/>
      <c r="CE1050" s="214">
        <f>CE1048+CE1049</f>
        <v>-3.28</v>
      </c>
      <c r="CG1050" s="214">
        <f>CG1048+CG1049</f>
        <v>9.1599999999999966</v>
      </c>
    </row>
    <row r="1051" spans="1:87">
      <c r="A1051" s="211">
        <v>281</v>
      </c>
      <c r="C1051" s="318" t="s">
        <v>749</v>
      </c>
      <c r="AP1051" s="214"/>
    </row>
    <row r="1052" spans="1:87">
      <c r="C1052" s="318" t="s">
        <v>750</v>
      </c>
      <c r="AP1052" s="214"/>
      <c r="CE1052" s="235">
        <v>46113</v>
      </c>
      <c r="CG1052" s="235">
        <v>46143</v>
      </c>
      <c r="CI1052" s="341">
        <v>46174</v>
      </c>
    </row>
    <row r="1053" spans="1:87">
      <c r="C1053" s="318" t="s">
        <v>7</v>
      </c>
      <c r="AP1053" s="214"/>
      <c r="CE1053" s="214"/>
      <c r="CG1053" s="237">
        <v>-39.6</v>
      </c>
    </row>
    <row r="1054" spans="1:87">
      <c r="C1054" s="318" t="s">
        <v>8</v>
      </c>
      <c r="AP1054" s="214"/>
      <c r="CE1054" s="214"/>
      <c r="CF1054" s="222" t="e">
        <f>CE1055/CE1054</f>
        <v>#DIV/0!</v>
      </c>
      <c r="CG1054" s="214">
        <v>25.76</v>
      </c>
      <c r="CH1054" s="222">
        <f>CG1055/CG1054</f>
        <v>-0.53726708074534157</v>
      </c>
    </row>
    <row r="1055" spans="1:87">
      <c r="C1055" s="318" t="s">
        <v>9</v>
      </c>
      <c r="AP1055" s="214"/>
      <c r="CE1055" s="214">
        <f>CE1053+CE1054</f>
        <v>0</v>
      </c>
      <c r="CG1055" s="214">
        <f>CG1053+CG1054</f>
        <v>-13.84</v>
      </c>
    </row>
    <row r="1056" spans="1:87">
      <c r="A1056" s="211">
        <v>282</v>
      </c>
      <c r="C1056" s="318" t="s">
        <v>751</v>
      </c>
      <c r="AP1056" s="214"/>
    </row>
    <row r="1057" spans="1:87">
      <c r="C1057" s="318" t="s">
        <v>753</v>
      </c>
      <c r="AP1057" s="214"/>
      <c r="CE1057" s="235">
        <v>46113</v>
      </c>
      <c r="CG1057" s="235">
        <v>46143</v>
      </c>
      <c r="CI1057" s="341">
        <v>46174</v>
      </c>
    </row>
    <row r="1058" spans="1:87">
      <c r="C1058" s="318" t="s">
        <v>7</v>
      </c>
      <c r="AP1058" s="214"/>
      <c r="CE1058" s="214"/>
      <c r="CG1058" s="237">
        <f>-47.22-47.06</f>
        <v>-94.28</v>
      </c>
      <c r="CI1058" s="213">
        <v>-57.99</v>
      </c>
    </row>
    <row r="1059" spans="1:87">
      <c r="C1059" s="318" t="s">
        <v>8</v>
      </c>
      <c r="AP1059" s="214"/>
      <c r="CE1059" s="214"/>
      <c r="CF1059" s="222" t="e">
        <f>CE1060/CE1059</f>
        <v>#DIV/0!</v>
      </c>
      <c r="CG1059" s="214">
        <v>119.4</v>
      </c>
      <c r="CH1059" s="222">
        <f>CG1060/CG1059</f>
        <v>0.21038525963149082</v>
      </c>
    </row>
    <row r="1060" spans="1:87">
      <c r="C1060" s="318" t="s">
        <v>9</v>
      </c>
      <c r="AP1060" s="214"/>
      <c r="CE1060" s="214">
        <f>CE1058+CE1059</f>
        <v>0</v>
      </c>
      <c r="CG1060" s="214">
        <f>CG1058+CG1059</f>
        <v>25.120000000000005</v>
      </c>
    </row>
    <row r="1061" spans="1:87">
      <c r="A1061" s="211">
        <v>283</v>
      </c>
      <c r="C1061" s="318" t="s">
        <v>752</v>
      </c>
      <c r="AP1061" s="214"/>
    </row>
    <row r="1062" spans="1:87">
      <c r="C1062" s="318" t="s">
        <v>754</v>
      </c>
      <c r="AP1062" s="214"/>
      <c r="CE1062" s="235">
        <v>46113</v>
      </c>
      <c r="CG1062" s="235">
        <v>46143</v>
      </c>
      <c r="CI1062" s="341">
        <v>46174</v>
      </c>
    </row>
    <row r="1063" spans="1:87">
      <c r="C1063" s="318" t="s">
        <v>7</v>
      </c>
      <c r="AP1063" s="214"/>
      <c r="CE1063" s="214"/>
      <c r="CG1063" s="237">
        <v>-46.21</v>
      </c>
    </row>
    <row r="1064" spans="1:87">
      <c r="C1064" s="318" t="s">
        <v>8</v>
      </c>
      <c r="AP1064" s="214"/>
      <c r="CE1064" s="214"/>
      <c r="CF1064" s="222" t="e">
        <f>CE1065/CE1064</f>
        <v>#DIV/0!</v>
      </c>
      <c r="CG1064" s="214">
        <v>61.58</v>
      </c>
      <c r="CH1064" s="222">
        <f>CG1065/CG1064</f>
        <v>0.24959402403377717</v>
      </c>
    </row>
    <row r="1065" spans="1:87">
      <c r="C1065" s="318" t="s">
        <v>9</v>
      </c>
      <c r="AP1065" s="214"/>
      <c r="CE1065" s="214">
        <f>CE1063+CE1064</f>
        <v>0</v>
      </c>
      <c r="CG1065" s="214">
        <f>CG1063+CG1064</f>
        <v>15.369999999999997</v>
      </c>
    </row>
    <row r="1066" spans="1:87">
      <c r="A1066" s="211">
        <v>284</v>
      </c>
      <c r="C1066" s="318" t="s">
        <v>756</v>
      </c>
      <c r="AP1066" s="214"/>
    </row>
    <row r="1067" spans="1:87">
      <c r="C1067" s="318" t="s">
        <v>757</v>
      </c>
      <c r="AP1067" s="214"/>
      <c r="CG1067" s="235">
        <v>46143</v>
      </c>
      <c r="CI1067" s="341">
        <v>46174</v>
      </c>
    </row>
    <row r="1068" spans="1:87">
      <c r="C1068" s="318" t="s">
        <v>7</v>
      </c>
      <c r="AP1068" s="214"/>
      <c r="CG1068" s="237">
        <f>-16.34-0.53-4.61</f>
        <v>-21.48</v>
      </c>
      <c r="CI1068" s="238">
        <v>-1.59</v>
      </c>
    </row>
    <row r="1069" spans="1:87">
      <c r="C1069" s="318" t="s">
        <v>8</v>
      </c>
      <c r="AP1069" s="214"/>
      <c r="CG1069" s="214">
        <v>41.66</v>
      </c>
      <c r="CH1069" s="222">
        <f>CG1070/CG1069</f>
        <v>0.48439750360057604</v>
      </c>
    </row>
    <row r="1070" spans="1:87">
      <c r="C1070" s="318" t="s">
        <v>9</v>
      </c>
      <c r="AP1070" s="214"/>
      <c r="CG1070" s="214">
        <f>CG1068+CG1069</f>
        <v>20.179999999999996</v>
      </c>
    </row>
    <row r="1071" spans="1:87">
      <c r="A1071" s="211">
        <v>285</v>
      </c>
      <c r="C1071" s="318" t="s">
        <v>758</v>
      </c>
      <c r="AP1071" s="214"/>
    </row>
    <row r="1072" spans="1:87">
      <c r="C1072" s="318" t="s">
        <v>759</v>
      </c>
      <c r="AP1072" s="214"/>
      <c r="CG1072" s="235">
        <v>46143</v>
      </c>
      <c r="CI1072" s="341">
        <v>46174</v>
      </c>
    </row>
    <row r="1073" spans="1:87">
      <c r="C1073" s="318" t="s">
        <v>7</v>
      </c>
      <c r="AP1073" s="214"/>
      <c r="CG1073" s="237">
        <f>-52.49-3.24</f>
        <v>-55.730000000000004</v>
      </c>
      <c r="CI1073" s="238">
        <v>-9.73</v>
      </c>
    </row>
    <row r="1074" spans="1:87">
      <c r="C1074" s="318" t="s">
        <v>8</v>
      </c>
      <c r="AP1074" s="214"/>
      <c r="CG1074" s="214">
        <v>35.94</v>
      </c>
      <c r="CH1074" s="222">
        <f>CG1075/CG1074</f>
        <v>-0.55063995548135802</v>
      </c>
    </row>
    <row r="1075" spans="1:87">
      <c r="C1075" s="318" t="s">
        <v>9</v>
      </c>
      <c r="AP1075" s="214"/>
      <c r="CG1075" s="214">
        <f>CG1073+CG1074</f>
        <v>-19.790000000000006</v>
      </c>
    </row>
    <row r="1076" spans="1:87">
      <c r="A1076" s="211">
        <v>286</v>
      </c>
      <c r="C1076" s="318" t="s">
        <v>761</v>
      </c>
      <c r="AP1076" s="214"/>
    </row>
    <row r="1077" spans="1:87">
      <c r="C1077" s="318" t="s">
        <v>762</v>
      </c>
      <c r="AP1077" s="214"/>
      <c r="CG1077" s="235">
        <v>46143</v>
      </c>
      <c r="CI1077" s="341">
        <v>46174</v>
      </c>
    </row>
    <row r="1078" spans="1:87">
      <c r="C1078" s="318" t="s">
        <v>7</v>
      </c>
      <c r="AP1078" s="214"/>
      <c r="CG1078" s="237">
        <v>-16.8</v>
      </c>
      <c r="CI1078" s="247">
        <f>-4.17-20.33</f>
        <v>-24.5</v>
      </c>
    </row>
    <row r="1079" spans="1:87">
      <c r="C1079" s="318" t="s">
        <v>8</v>
      </c>
      <c r="AP1079" s="214"/>
      <c r="CG1079" s="214"/>
      <c r="CH1079" s="222" t="e">
        <f>CG1080/CG1079</f>
        <v>#DIV/0!</v>
      </c>
    </row>
    <row r="1080" spans="1:87">
      <c r="C1080" s="318" t="s">
        <v>9</v>
      </c>
      <c r="AP1080" s="214"/>
      <c r="CG1080" s="214">
        <f>CG1078+CG1079</f>
        <v>-16.8</v>
      </c>
    </row>
    <row r="1081" spans="1:87">
      <c r="A1081" s="211">
        <v>287</v>
      </c>
      <c r="C1081" s="318" t="s">
        <v>763</v>
      </c>
      <c r="AP1081" s="214"/>
    </row>
    <row r="1082" spans="1:87">
      <c r="C1082" s="318" t="s">
        <v>764</v>
      </c>
      <c r="AP1082" s="214"/>
      <c r="CG1082" s="235">
        <v>46143</v>
      </c>
      <c r="CI1082" s="341">
        <v>46174</v>
      </c>
    </row>
    <row r="1083" spans="1:87">
      <c r="C1083" s="318" t="s">
        <v>7</v>
      </c>
      <c r="AP1083" s="214"/>
      <c r="CG1083" s="237">
        <f>-10.33-2.07</f>
        <v>-12.4</v>
      </c>
      <c r="CI1083" s="238">
        <v>-6.21</v>
      </c>
    </row>
    <row r="1084" spans="1:87">
      <c r="C1084" s="318" t="s">
        <v>8</v>
      </c>
      <c r="AP1084" s="214"/>
      <c r="CG1084" s="214"/>
      <c r="CH1084" s="222" t="e">
        <f>CG1085/CG1084</f>
        <v>#DIV/0!</v>
      </c>
    </row>
    <row r="1085" spans="1:87">
      <c r="C1085" s="318" t="s">
        <v>9</v>
      </c>
      <c r="AP1085" s="214"/>
      <c r="CG1085" s="214">
        <f>CG1083+CG1084</f>
        <v>-12.4</v>
      </c>
    </row>
    <row r="1086" spans="1:87">
      <c r="A1086" s="211">
        <v>288</v>
      </c>
      <c r="C1086" s="318" t="s">
        <v>765</v>
      </c>
      <c r="AP1086" s="214"/>
      <c r="BB1086" s="318"/>
    </row>
    <row r="1087" spans="1:87">
      <c r="C1087" s="318" t="s">
        <v>766</v>
      </c>
      <c r="AP1087" s="214"/>
      <c r="CG1087" s="235">
        <v>46143</v>
      </c>
      <c r="CI1087" s="341">
        <v>46174</v>
      </c>
    </row>
    <row r="1088" spans="1:87">
      <c r="C1088" s="318" t="s">
        <v>7</v>
      </c>
      <c r="AP1088" s="214"/>
      <c r="CG1088" s="237">
        <f>-1.49-7.68</f>
        <v>-9.17</v>
      </c>
      <c r="CI1088" s="238">
        <v>-4.45</v>
      </c>
    </row>
    <row r="1089" spans="1:87">
      <c r="C1089" s="318" t="s">
        <v>8</v>
      </c>
      <c r="AP1089" s="214"/>
      <c r="CG1089" s="214"/>
      <c r="CH1089" s="222" t="e">
        <f>CG1090/CG1089</f>
        <v>#DIV/0!</v>
      </c>
    </row>
    <row r="1090" spans="1:87">
      <c r="C1090" s="318" t="s">
        <v>9</v>
      </c>
      <c r="AP1090" s="214"/>
      <c r="CG1090" s="214">
        <f>CG1088+CG1089</f>
        <v>-9.17</v>
      </c>
    </row>
    <row r="1091" spans="1:87">
      <c r="A1091" s="211">
        <v>289</v>
      </c>
      <c r="C1091" s="318" t="s">
        <v>769</v>
      </c>
      <c r="AP1091" s="214"/>
    </row>
    <row r="1092" spans="1:87">
      <c r="C1092" s="318" t="s">
        <v>770</v>
      </c>
      <c r="AP1092" s="214"/>
      <c r="CG1092" s="235">
        <v>46143</v>
      </c>
      <c r="CI1092" s="341">
        <v>46174</v>
      </c>
    </row>
    <row r="1093" spans="1:87">
      <c r="C1093" s="318" t="s">
        <v>7</v>
      </c>
      <c r="AP1093" s="214"/>
      <c r="CG1093" s="214"/>
    </row>
    <row r="1094" spans="1:87">
      <c r="C1094" s="318" t="s">
        <v>8</v>
      </c>
      <c r="AP1094" s="214"/>
      <c r="CG1094" s="214"/>
      <c r="CH1094" s="222" t="e">
        <f>CG1095/CG1094</f>
        <v>#DIV/0!</v>
      </c>
    </row>
    <row r="1095" spans="1:87">
      <c r="C1095" s="318" t="s">
        <v>9</v>
      </c>
      <c r="AP1095" s="214"/>
      <c r="CG1095" s="214">
        <f>CG1093+CG1094</f>
        <v>0</v>
      </c>
    </row>
    <row r="1096" spans="1:87">
      <c r="A1096" s="211">
        <v>290</v>
      </c>
      <c r="C1096" s="318" t="s">
        <v>772</v>
      </c>
      <c r="AP1096" s="214"/>
    </row>
    <row r="1097" spans="1:87">
      <c r="C1097" s="318" t="s">
        <v>773</v>
      </c>
      <c r="AP1097" s="214"/>
      <c r="CG1097" s="235">
        <v>46143</v>
      </c>
      <c r="CI1097" s="341">
        <v>46174</v>
      </c>
    </row>
    <row r="1098" spans="1:87">
      <c r="C1098" s="318" t="s">
        <v>7</v>
      </c>
      <c r="AP1098" s="214"/>
    </row>
    <row r="1099" spans="1:87">
      <c r="C1099" s="318" t="s">
        <v>8</v>
      </c>
      <c r="AP1099" s="214"/>
    </row>
    <row r="1100" spans="1:87">
      <c r="C1100" s="318" t="s">
        <v>9</v>
      </c>
      <c r="AP1100" s="214"/>
    </row>
    <row r="1101" spans="1:87">
      <c r="A1101" s="211">
        <v>291</v>
      </c>
      <c r="C1101" s="318" t="s">
        <v>774</v>
      </c>
      <c r="AP1101" s="214"/>
    </row>
    <row r="1102" spans="1:87">
      <c r="C1102" s="318" t="s">
        <v>775</v>
      </c>
      <c r="AP1102" s="214"/>
      <c r="CG1102" s="235">
        <v>46143</v>
      </c>
      <c r="CH1102" s="235"/>
      <c r="CI1102" s="341">
        <v>46174</v>
      </c>
    </row>
    <row r="1103" spans="1:87">
      <c r="C1103" s="318" t="s">
        <v>7</v>
      </c>
      <c r="AP1103" s="214"/>
    </row>
    <row r="1104" spans="1:87">
      <c r="C1104" s="318" t="s">
        <v>8</v>
      </c>
      <c r="AP1104" s="214"/>
    </row>
    <row r="1105" spans="1:87">
      <c r="C1105" s="318" t="s">
        <v>9</v>
      </c>
      <c r="AP1105" s="214"/>
    </row>
    <row r="1106" spans="1:87">
      <c r="A1106" s="211">
        <v>292</v>
      </c>
      <c r="C1106" s="318" t="s">
        <v>776</v>
      </c>
      <c r="AP1106" s="214"/>
    </row>
    <row r="1107" spans="1:87">
      <c r="C1107" s="318" t="s">
        <v>777</v>
      </c>
      <c r="AP1107" s="214"/>
      <c r="CG1107" s="235">
        <v>46143</v>
      </c>
      <c r="CH1107" s="235"/>
      <c r="CI1107" s="341">
        <v>46174</v>
      </c>
    </row>
    <row r="1108" spans="1:87">
      <c r="C1108" s="318" t="s">
        <v>7</v>
      </c>
      <c r="AP1108" s="214"/>
    </row>
    <row r="1109" spans="1:87">
      <c r="C1109" s="318" t="s">
        <v>8</v>
      </c>
      <c r="AP1109" s="214"/>
    </row>
    <row r="1110" spans="1:87">
      <c r="C1110" s="318" t="s">
        <v>9</v>
      </c>
      <c r="AP1110" s="214"/>
    </row>
    <row r="1111" spans="1:87">
      <c r="A1111" s="211">
        <v>293</v>
      </c>
      <c r="C1111" s="318" t="s">
        <v>778</v>
      </c>
      <c r="AP1111" s="214"/>
    </row>
    <row r="1112" spans="1:87">
      <c r="C1112" s="318" t="s">
        <v>779</v>
      </c>
      <c r="AP1112" s="214"/>
      <c r="CG1112" s="235">
        <v>46143</v>
      </c>
      <c r="CH1112" s="235"/>
      <c r="CI1112" s="341">
        <v>46174</v>
      </c>
    </row>
    <row r="1113" spans="1:87">
      <c r="C1113" s="318" t="s">
        <v>7</v>
      </c>
      <c r="AP1113" s="214"/>
    </row>
    <row r="1114" spans="1:87">
      <c r="C1114" s="318" t="s">
        <v>8</v>
      </c>
      <c r="AP1114" s="214"/>
    </row>
    <row r="1115" spans="1:87">
      <c r="C1115" s="318" t="s">
        <v>9</v>
      </c>
      <c r="AP1115" s="214"/>
    </row>
    <row r="1116" spans="1:87">
      <c r="AP1116" s="214"/>
    </row>
    <row r="1117" spans="1:87">
      <c r="AP1117" s="214"/>
      <c r="CG1117" s="235">
        <v>46143</v>
      </c>
      <c r="CH1117" s="235"/>
      <c r="CI1117" s="341">
        <v>46174</v>
      </c>
    </row>
    <row r="1118" spans="1:87">
      <c r="AP1118" s="214"/>
    </row>
    <row r="1119" spans="1:87">
      <c r="AP1119" s="214"/>
    </row>
    <row r="1120" spans="1:87">
      <c r="AP1120" s="214"/>
    </row>
    <row r="1121" spans="42:42">
      <c r="AP1121" s="214"/>
    </row>
    <row r="1122" spans="42:42">
      <c r="AP1122" s="214"/>
    </row>
    <row r="1123" spans="42:42">
      <c r="AP1123" s="214"/>
    </row>
    <row r="1124" spans="42:42">
      <c r="AP1124" s="214"/>
    </row>
    <row r="1125" spans="42:42">
      <c r="AP1125" s="214"/>
    </row>
    <row r="1126" spans="42:42">
      <c r="AP1126" s="214"/>
    </row>
    <row r="1127" spans="42:42">
      <c r="AP1127" s="214"/>
    </row>
    <row r="1128" spans="42:42">
      <c r="AP1128" s="214"/>
    </row>
    <row r="1129" spans="42:42">
      <c r="AP1129" s="214"/>
    </row>
    <row r="1130" spans="42:42">
      <c r="AP1130" s="214"/>
    </row>
    <row r="1131" spans="42:42">
      <c r="AP1131" s="214"/>
    </row>
    <row r="1132" spans="42:42">
      <c r="AP1132" s="214"/>
    </row>
    <row r="1133" spans="42:42">
      <c r="AP1133" s="214"/>
    </row>
    <row r="1134" spans="42:42">
      <c r="AP1134" s="214"/>
    </row>
    <row r="1135" spans="42:42">
      <c r="AP1135" s="214"/>
    </row>
    <row r="1136" spans="42:42">
      <c r="AP1136" s="214"/>
    </row>
    <row r="1137" spans="42:42">
      <c r="AP1137" s="214"/>
    </row>
    <row r="1138" spans="42:42">
      <c r="AP1138" s="214"/>
    </row>
    <row r="1139" spans="42:42">
      <c r="AP1139" s="214"/>
    </row>
    <row r="1140" spans="42:42">
      <c r="AP1140" s="214"/>
    </row>
    <row r="1141" spans="42:42">
      <c r="AP1141" s="214"/>
    </row>
    <row r="1142" spans="42:42">
      <c r="AP1142" s="214"/>
    </row>
    <row r="1143" spans="42:42">
      <c r="AP1143" s="214"/>
    </row>
    <row r="1144" spans="42:42">
      <c r="AP1144" s="214"/>
    </row>
    <row r="1145" spans="42:42">
      <c r="AP1145" s="214"/>
    </row>
    <row r="1146" spans="42:42">
      <c r="AP1146" s="214"/>
    </row>
    <row r="1147" spans="42:42">
      <c r="AP1147" s="214"/>
    </row>
    <row r="1148" spans="42:42">
      <c r="AP1148" s="214"/>
    </row>
    <row r="1149" spans="42:42">
      <c r="AP1149" s="214"/>
    </row>
    <row r="1150" spans="42:42">
      <c r="AP1150" s="214"/>
    </row>
    <row r="1151" spans="42:42">
      <c r="AP1151" s="214"/>
    </row>
    <row r="1152" spans="42:42">
      <c r="AP1152" s="214"/>
    </row>
    <row r="1153" spans="42:42">
      <c r="AP1153" s="214"/>
    </row>
    <row r="1154" spans="42:42">
      <c r="AP1154" s="214"/>
    </row>
    <row r="1155" spans="42:42">
      <c r="AP1155" s="214"/>
    </row>
    <row r="1156" spans="42:42">
      <c r="AP1156" s="214"/>
    </row>
    <row r="1157" spans="42:42">
      <c r="AP1157" s="214"/>
    </row>
    <row r="1158" spans="42:42">
      <c r="AP1158" s="214"/>
    </row>
    <row r="1159" spans="42:42">
      <c r="AP1159" s="214"/>
    </row>
    <row r="1160" spans="42:42">
      <c r="AP1160" s="214"/>
    </row>
    <row r="1161" spans="42:42">
      <c r="AP1161" s="214"/>
    </row>
    <row r="1162" spans="42:42">
      <c r="AP1162" s="214"/>
    </row>
    <row r="1163" spans="42:42">
      <c r="AP1163" s="214"/>
    </row>
    <row r="1164" spans="42:42">
      <c r="AP1164" s="214"/>
    </row>
    <row r="1165" spans="42:42">
      <c r="AP1165" s="214"/>
    </row>
    <row r="1166" spans="42:42">
      <c r="AP1166" s="214"/>
    </row>
    <row r="1167" spans="42:42">
      <c r="AP1167" s="214"/>
    </row>
    <row r="1168" spans="42:42">
      <c r="AP1168" s="214"/>
    </row>
    <row r="1169" spans="42:42">
      <c r="AP1169" s="214"/>
    </row>
    <row r="1170" spans="42:42">
      <c r="AP1170" s="214"/>
    </row>
    <row r="1171" spans="42:42">
      <c r="AP1171" s="214"/>
    </row>
    <row r="1172" spans="42:42">
      <c r="AP1172" s="214"/>
    </row>
    <row r="1173" spans="42:42">
      <c r="AP1173" s="214"/>
    </row>
    <row r="1174" spans="42:42">
      <c r="AP1174" s="214"/>
    </row>
    <row r="1175" spans="42:42">
      <c r="AP1175" s="214"/>
    </row>
    <row r="1176" spans="42:42">
      <c r="AP1176" s="214"/>
    </row>
    <row r="1177" spans="42:42">
      <c r="AP1177" s="214"/>
    </row>
    <row r="1178" spans="42:42">
      <c r="AP1178" s="214"/>
    </row>
    <row r="1179" spans="42:42">
      <c r="AP1179" s="214"/>
    </row>
    <row r="1180" spans="42:42">
      <c r="AP1180" s="214"/>
    </row>
  </sheetData>
  <pageMargins left="0.7" right="0.7" top="3.7499999999999999E-3" bottom="0.75" header="0.3" footer="0.3"/>
  <pageSetup paperSize="9" scale="25" fitToHeight="6" orientation="landscape" r:id="rId1"/>
  <ignoredErrors>
    <ignoredError sqref="O78 O214 O224 O239" evalError="1"/>
    <ignoredError sqref="L380 N380 J321:O322 J320:P320 N305 L365:N368 J351:N352 J354:N356 J353:M353 F195 J314:O318 J313:M313 O313 L376:N376 L373:M373 L370:N372 L369:M369 N410 N405 J65:N66 J205:N205 J70:N74 J67:M67 J250:N257 J260:N265 J259 N259 L259 J274:N275 J273:M273 J279:O280 K278:M278 O278 J285:O287 J289:O292 J288:M288 O288 J295:O295 J293:M293 O293 J294:N294 J240:N240 J230:P230 J258:M258 J325:P325 O323 J323:M324 J311:O312 J44:N49 J159:L159 J206:N210 N235 J271:N272 J269:K269 M269 J270:M270 J276:O277 N374 M375:N375 N385 N390 N400 J195:N195 K193:M193 J190:N192 P410 P380 P365 P375 P74 P159 P255 P210 P205 P250 P235 P240 P245 P190 P345 P315 P415 P425 P405 P280 P285 P300 P335 P340 P275 P350 P355 P385 P395 P195 P360 P390 P400 P261:R262 P260:Q260 P65:Q69 R235:R237 P265:Q265 L245 J350:M350 P264:R264 P263:Q263 R416:R420 R239 D205:G205 P370 H74 R410 D210:G210 D209:E209 G209 J310:K310 M310:P310 J319:K319 M319:O319 K194 M194:N194 J68:N69 AD185 J266:N268 D206:G208" formulaRange="1"/>
    <ignoredError sqref="N369 W3 X224 X214 Y3 AA3 AG3 AI3 AK3 AM3" formula="1"/>
    <ignoredError sqref="Y274:AE274 Y279:AE279" numberStoredAsText="1"/>
    <ignoredError sqref="Q3 M3 I3 K3 O3 G3 E3 U3 S3 AE3 AC3" formula="1" emptyCellReference="1"/>
    <ignoredError sqref="T225 T325 V365 V350 T195:V195 V200 V39 V59 V64 V390 V385 V400 V360 V69 G2 O2 Q2 M2 K2 I2 E2 S2 X225 U2 AB195 AB270:AE270 AD575 AD520 AF520 AD515:AF515 AF565 AF570 AF510 AF505 AD500:AF500 AQ2 AS2 AC2 AM2 AK2 AI2 AG2 AE2 AU2" emptyCellReference="1"/>
  </ignoredErrors>
  <drawing r:id="rId2"/>
  <extLst>
    <ext xmlns:x15="http://schemas.microsoft.com/office/spreadsheetml/2010/11/main" uri="{F7C9EE02-42E1-4005-9D12-6889AFFD525C}">
      <x15:webExtensions xmlns:xm="http://schemas.microsoft.com/office/excel/2006/main">
        <x15:webExtension appRef="{B8A85474-0FD5-924F-8B59-C09B1258AD00}">
          <xm:f>' PAGOS vs COBROS'!1:1048576</xm:f>
        </x15:webExtension>
        <x15:webExtension appRef="{7DF7F38A-E43D-6E46-B6A1-69E1281C7578}">
          <xm:f>' PAGOS vs COBROS'!XCU1048186:XFD1048211</xm:f>
        </x15:webExtension>
      </x15:webExtens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9421E-044B-2A4E-8E2E-5A05FA2F180D}">
  <dimension ref="A1:AN160"/>
  <sheetViews>
    <sheetView topLeftCell="C81" zoomScaleNormal="100" workbookViewId="0">
      <selection activeCell="AC146" sqref="AC146"/>
    </sheetView>
  </sheetViews>
  <sheetFormatPr baseColWidth="10" defaultColWidth="10.83203125" defaultRowHeight="16"/>
  <cols>
    <col min="1" max="1" width="50.1640625" style="113" customWidth="1"/>
    <col min="2" max="2" width="24.1640625" style="135" customWidth="1"/>
    <col min="3" max="3" width="51.1640625" customWidth="1"/>
    <col min="4" max="4" width="17.1640625" customWidth="1"/>
    <col min="5" max="5" width="50.6640625" customWidth="1"/>
    <col min="6" max="6" width="0.1640625" hidden="1" customWidth="1"/>
    <col min="7" max="7" width="11" customWidth="1"/>
    <col min="8" max="9" width="10.83203125" customWidth="1"/>
    <col min="10" max="10" width="8" bestFit="1" customWidth="1"/>
    <col min="11" max="11" width="11.1640625" customWidth="1"/>
    <col min="17" max="17" width="10.6640625" customWidth="1"/>
    <col min="24" max="24" width="11.1640625" customWidth="1"/>
  </cols>
  <sheetData>
    <row r="1" spans="1:38" ht="17" thickBot="1">
      <c r="K1" s="21">
        <f t="shared" ref="K1:P1" si="0">SUM(K3:K120)</f>
        <v>3317</v>
      </c>
      <c r="L1" s="21">
        <f t="shared" si="0"/>
        <v>4565.2099999999991</v>
      </c>
      <c r="M1" s="21">
        <f t="shared" si="0"/>
        <v>4819.7000000000016</v>
      </c>
      <c r="N1" s="21">
        <f t="shared" si="0"/>
        <v>6289.8399999999983</v>
      </c>
      <c r="O1" s="21">
        <f t="shared" si="0"/>
        <v>6716.6299999999983</v>
      </c>
      <c r="P1" s="21">
        <f t="shared" si="0"/>
        <v>8621.4599999999973</v>
      </c>
      <c r="Q1" s="21">
        <f t="shared" ref="Q1:V1" si="1">SUM(Q3:Q135)</f>
        <v>8664.0400000000009</v>
      </c>
      <c r="R1" s="21">
        <f t="shared" si="1"/>
        <v>10078.990000000002</v>
      </c>
      <c r="S1" s="21">
        <f t="shared" si="1"/>
        <v>8769.380000000001</v>
      </c>
      <c r="T1" s="21">
        <f t="shared" si="1"/>
        <v>7987.0199999999995</v>
      </c>
      <c r="U1" s="21">
        <f t="shared" si="1"/>
        <v>10298.629999999999</v>
      </c>
      <c r="V1" s="21">
        <f t="shared" si="1"/>
        <v>9862.81</v>
      </c>
      <c r="W1" s="21">
        <f>SUM(W3:W136)</f>
        <v>9630.8499999999985</v>
      </c>
      <c r="X1" s="21">
        <f>SUM(X3:X136)</f>
        <v>7247.8200000000015</v>
      </c>
      <c r="Y1" s="21">
        <f>SUM(Y3:Y147)</f>
        <v>7922.3899999999994</v>
      </c>
      <c r="Z1" s="21">
        <f>SUM(Z3:Z147)</f>
        <v>5397.909999999998</v>
      </c>
      <c r="AA1" s="21">
        <f t="shared" ref="AA1:AL1" si="2">SUM(AA3:AA994)</f>
        <v>5844.5999999999976</v>
      </c>
      <c r="AB1" s="21">
        <f t="shared" si="2"/>
        <v>8500.5799999999981</v>
      </c>
      <c r="AC1" s="21">
        <f t="shared" si="2"/>
        <v>10124.969999999998</v>
      </c>
      <c r="AD1" s="21">
        <f t="shared" si="2"/>
        <v>10124.979999999998</v>
      </c>
      <c r="AE1" s="21">
        <f t="shared" si="2"/>
        <v>9074.6399999999976</v>
      </c>
      <c r="AF1" s="21">
        <f t="shared" si="2"/>
        <v>7469.0999999999976</v>
      </c>
      <c r="AG1" s="21">
        <f t="shared" si="2"/>
        <v>4108.26</v>
      </c>
      <c r="AH1" s="21">
        <f t="shared" si="2"/>
        <v>4108.4500000000007</v>
      </c>
      <c r="AI1" s="21">
        <f t="shared" si="2"/>
        <v>3046.1800000000003</v>
      </c>
      <c r="AJ1" s="21">
        <f t="shared" si="2"/>
        <v>3046.41</v>
      </c>
      <c r="AK1" s="21">
        <f t="shared" si="2"/>
        <v>742.59999999999991</v>
      </c>
      <c r="AL1" s="21">
        <f t="shared" si="2"/>
        <v>470.83</v>
      </c>
    </row>
    <row r="2" spans="1:38">
      <c r="A2" s="153" t="s">
        <v>461</v>
      </c>
      <c r="B2" s="136" t="s">
        <v>520</v>
      </c>
      <c r="C2" s="40" t="s">
        <v>326</v>
      </c>
      <c r="D2" s="40" t="s">
        <v>325</v>
      </c>
      <c r="E2" s="39" t="s">
        <v>324</v>
      </c>
      <c r="F2" s="39" t="s">
        <v>323</v>
      </c>
      <c r="G2" s="39" t="s">
        <v>322</v>
      </c>
      <c r="H2" s="39" t="s">
        <v>321</v>
      </c>
      <c r="I2" s="39" t="s">
        <v>320</v>
      </c>
      <c r="J2" s="39" t="s">
        <v>319</v>
      </c>
      <c r="K2" s="39" t="s">
        <v>318</v>
      </c>
      <c r="L2" s="39" t="s">
        <v>317</v>
      </c>
      <c r="M2" s="39" t="s">
        <v>316</v>
      </c>
      <c r="N2" s="39" t="s">
        <v>315</v>
      </c>
      <c r="O2" s="39" t="s">
        <v>314</v>
      </c>
      <c r="P2" s="39" t="s">
        <v>313</v>
      </c>
      <c r="Q2" s="39" t="s">
        <v>312</v>
      </c>
      <c r="R2" s="39" t="s">
        <v>311</v>
      </c>
      <c r="S2" s="39" t="s">
        <v>310</v>
      </c>
      <c r="T2" s="39" t="s">
        <v>309</v>
      </c>
      <c r="U2" s="39" t="s">
        <v>308</v>
      </c>
      <c r="V2" s="39" t="s">
        <v>307</v>
      </c>
      <c r="W2" s="39" t="s">
        <v>306</v>
      </c>
      <c r="X2" s="38" t="s">
        <v>305</v>
      </c>
      <c r="Y2" s="38">
        <v>46054</v>
      </c>
      <c r="Z2" s="38">
        <v>46082</v>
      </c>
      <c r="AA2" s="38">
        <v>46113</v>
      </c>
      <c r="AB2" s="38">
        <v>46143</v>
      </c>
      <c r="AC2" s="38">
        <v>46174</v>
      </c>
      <c r="AD2" s="38">
        <v>46204</v>
      </c>
      <c r="AE2" s="38">
        <v>46235</v>
      </c>
      <c r="AF2" s="38">
        <v>46266</v>
      </c>
      <c r="AG2" s="38">
        <v>46296</v>
      </c>
      <c r="AH2" s="38">
        <v>46327</v>
      </c>
      <c r="AI2" s="38">
        <v>46357</v>
      </c>
      <c r="AJ2" s="38">
        <v>46388</v>
      </c>
      <c r="AK2" s="38">
        <v>46419</v>
      </c>
      <c r="AL2" s="38">
        <v>46447</v>
      </c>
    </row>
    <row r="3" spans="1:38" hidden="1">
      <c r="A3" s="114" t="s">
        <v>462</v>
      </c>
      <c r="B3" s="137" t="s">
        <v>521</v>
      </c>
      <c r="C3" s="71">
        <v>626.55999999999995</v>
      </c>
      <c r="D3" s="70" t="s">
        <v>40</v>
      </c>
      <c r="E3" s="41" t="s">
        <v>359</v>
      </c>
      <c r="F3" s="11"/>
      <c r="G3" s="7"/>
      <c r="H3" s="7"/>
      <c r="I3" s="7"/>
      <c r="J3" s="7"/>
      <c r="K3" s="7"/>
      <c r="M3" s="1"/>
      <c r="O3" s="33">
        <v>78.319999999999993</v>
      </c>
      <c r="P3" s="33">
        <v>78.319999999999993</v>
      </c>
      <c r="Q3" s="33">
        <v>78.319999999999993</v>
      </c>
      <c r="R3" s="33">
        <v>78.319999999999993</v>
      </c>
      <c r="S3" s="33">
        <v>78.319999999999993</v>
      </c>
      <c r="T3" s="2">
        <v>78.319999999999993</v>
      </c>
      <c r="U3" s="2">
        <v>78.319999999999993</v>
      </c>
      <c r="V3" s="2">
        <v>78.319999999999993</v>
      </c>
      <c r="W3" s="159"/>
      <c r="X3" s="159"/>
      <c r="Y3" s="166" t="s">
        <v>653</v>
      </c>
      <c r="Z3" s="159"/>
      <c r="AA3" s="159"/>
      <c r="AB3" s="1"/>
      <c r="AC3" s="1"/>
      <c r="AD3" s="1"/>
      <c r="AE3" s="1"/>
      <c r="AF3" s="1"/>
    </row>
    <row r="4" spans="1:38" hidden="1">
      <c r="A4" s="115" t="s">
        <v>462</v>
      </c>
      <c r="B4" s="17" t="s">
        <v>521</v>
      </c>
      <c r="C4" s="16">
        <v>363.45</v>
      </c>
      <c r="D4" s="15" t="s">
        <v>40</v>
      </c>
      <c r="E4" s="12" t="s">
        <v>303</v>
      </c>
      <c r="F4" s="8"/>
      <c r="G4" s="6"/>
      <c r="H4" s="6"/>
      <c r="I4" s="6"/>
      <c r="J4" s="6"/>
      <c r="K4" s="6"/>
      <c r="M4" s="1"/>
      <c r="O4" s="33">
        <v>45.44</v>
      </c>
      <c r="P4" s="33">
        <v>45.43</v>
      </c>
      <c r="Q4" s="33">
        <v>45.43</v>
      </c>
      <c r="R4" s="33">
        <v>45.43</v>
      </c>
      <c r="S4" s="33">
        <v>45.43</v>
      </c>
      <c r="T4" s="2">
        <v>45.43</v>
      </c>
      <c r="U4" s="2">
        <v>45.43</v>
      </c>
      <c r="V4" s="2">
        <v>45.43</v>
      </c>
      <c r="W4" s="54"/>
      <c r="X4" s="54"/>
      <c r="Y4" s="167"/>
      <c r="Z4" s="54"/>
      <c r="AA4" s="54"/>
      <c r="AB4" s="1"/>
      <c r="AC4" s="1"/>
      <c r="AD4" s="1"/>
      <c r="AE4" s="1"/>
      <c r="AF4" s="1"/>
    </row>
    <row r="5" spans="1:38" hidden="1">
      <c r="A5" s="116" t="s">
        <v>213</v>
      </c>
      <c r="B5" s="138" t="s">
        <v>522</v>
      </c>
      <c r="C5" s="65">
        <v>392.15</v>
      </c>
      <c r="D5" s="112" t="s">
        <v>40</v>
      </c>
      <c r="E5" s="12" t="s">
        <v>449</v>
      </c>
      <c r="F5" s="6"/>
      <c r="G5" s="6"/>
      <c r="H5" s="6"/>
      <c r="I5" s="6"/>
      <c r="J5" s="6"/>
      <c r="K5" s="6"/>
      <c r="M5" s="1"/>
      <c r="O5" s="33">
        <v>49.01</v>
      </c>
      <c r="P5" s="6"/>
      <c r="Q5" s="6"/>
      <c r="R5" s="6"/>
      <c r="S5" s="6"/>
      <c r="T5" s="54"/>
      <c r="U5" s="54"/>
      <c r="V5" s="54"/>
      <c r="W5" s="54"/>
      <c r="X5" s="54"/>
      <c r="Y5" s="167"/>
      <c r="Z5" s="54"/>
      <c r="AA5" s="54"/>
      <c r="AB5" s="1"/>
      <c r="AC5" s="1"/>
      <c r="AD5" s="1"/>
      <c r="AE5" s="1"/>
      <c r="AF5" s="1"/>
    </row>
    <row r="6" spans="1:38" hidden="1">
      <c r="A6" s="114" t="s">
        <v>463</v>
      </c>
      <c r="B6" s="41" t="s">
        <v>237</v>
      </c>
      <c r="C6" s="71">
        <v>484.33</v>
      </c>
      <c r="D6" s="70" t="s">
        <v>40</v>
      </c>
      <c r="E6" s="41" t="s">
        <v>303</v>
      </c>
      <c r="F6" s="11"/>
      <c r="G6" s="7"/>
      <c r="H6" s="7"/>
      <c r="I6" s="7"/>
      <c r="J6" s="7"/>
      <c r="K6" s="7"/>
      <c r="M6" s="1"/>
      <c r="N6" s="1"/>
      <c r="O6" s="33">
        <v>60.55</v>
      </c>
      <c r="P6" s="33">
        <v>60.54</v>
      </c>
      <c r="Q6" s="33">
        <v>60.54</v>
      </c>
      <c r="R6" s="33">
        <v>60.54</v>
      </c>
      <c r="S6" s="33">
        <v>60.54</v>
      </c>
      <c r="T6" s="2">
        <v>60.54</v>
      </c>
      <c r="U6" s="2">
        <v>60.54</v>
      </c>
      <c r="V6" s="2">
        <v>60.54</v>
      </c>
      <c r="W6" s="159"/>
      <c r="X6" s="159"/>
      <c r="Y6" s="168"/>
      <c r="Z6" s="1"/>
      <c r="AA6" s="1"/>
      <c r="AB6" s="1"/>
      <c r="AC6" s="1"/>
      <c r="AD6" s="1"/>
      <c r="AE6" s="1"/>
      <c r="AF6" s="1"/>
    </row>
    <row r="7" spans="1:38" hidden="1">
      <c r="A7" s="114" t="s">
        <v>463</v>
      </c>
      <c r="B7" s="41" t="s">
        <v>237</v>
      </c>
      <c r="C7" s="71">
        <v>485.23</v>
      </c>
      <c r="D7" s="70" t="s">
        <v>40</v>
      </c>
      <c r="E7" s="41" t="s">
        <v>375</v>
      </c>
      <c r="F7" s="11"/>
      <c r="G7" s="7"/>
      <c r="H7" s="7"/>
      <c r="I7" s="7"/>
      <c r="J7" s="7"/>
      <c r="K7" s="7"/>
      <c r="O7" s="7"/>
      <c r="P7" s="7"/>
      <c r="Q7" s="7"/>
      <c r="R7" s="7"/>
      <c r="S7" s="7"/>
      <c r="T7" s="159"/>
      <c r="U7" s="159"/>
      <c r="V7" s="159"/>
      <c r="W7" s="159"/>
      <c r="X7" s="159"/>
      <c r="Y7" s="168"/>
      <c r="Z7" s="1"/>
      <c r="AA7" s="1"/>
      <c r="AB7" s="1"/>
      <c r="AC7" s="1"/>
      <c r="AD7" s="1"/>
      <c r="AE7" s="1"/>
      <c r="AF7" s="1"/>
    </row>
    <row r="8" spans="1:38" hidden="1">
      <c r="A8" s="117" t="s">
        <v>464</v>
      </c>
      <c r="B8" s="12" t="s">
        <v>237</v>
      </c>
      <c r="C8" s="16" t="s">
        <v>456</v>
      </c>
      <c r="D8" s="15" t="s">
        <v>40</v>
      </c>
      <c r="E8" s="12" t="s">
        <v>447</v>
      </c>
      <c r="F8" s="8"/>
      <c r="G8" s="6"/>
      <c r="H8" s="6"/>
      <c r="I8" s="6"/>
      <c r="J8" s="6"/>
      <c r="K8" s="6"/>
      <c r="O8" s="6"/>
      <c r="P8" s="6"/>
      <c r="Q8" s="6"/>
      <c r="R8" s="6"/>
      <c r="S8" s="6"/>
      <c r="T8" s="54"/>
      <c r="U8" s="54"/>
      <c r="V8" s="54"/>
      <c r="W8" s="54"/>
      <c r="X8" s="54"/>
      <c r="Y8" s="169"/>
      <c r="Z8" s="54"/>
      <c r="AA8" s="54"/>
      <c r="AB8" s="1"/>
      <c r="AC8" s="1"/>
      <c r="AD8" s="1"/>
      <c r="AE8" s="1"/>
      <c r="AF8" s="1"/>
    </row>
    <row r="9" spans="1:38" hidden="1">
      <c r="A9" s="117" t="s">
        <v>465</v>
      </c>
      <c r="B9" s="12" t="s">
        <v>187</v>
      </c>
      <c r="C9" s="65">
        <v>508.37</v>
      </c>
      <c r="D9" s="15" t="s">
        <v>40</v>
      </c>
      <c r="E9" s="17" t="s">
        <v>411</v>
      </c>
      <c r="F9" s="6"/>
      <c r="G9" s="6"/>
      <c r="H9" s="6"/>
      <c r="I9" s="6"/>
      <c r="J9" s="6"/>
      <c r="K9" s="33">
        <v>169.45</v>
      </c>
      <c r="O9" s="6"/>
      <c r="P9" s="6"/>
      <c r="Q9" s="6"/>
      <c r="R9" s="6"/>
      <c r="S9" s="6"/>
      <c r="T9" s="54"/>
      <c r="U9" s="54"/>
      <c r="V9" s="54"/>
      <c r="W9" s="54"/>
      <c r="X9" s="54"/>
      <c r="Y9" s="169"/>
      <c r="Z9" s="54"/>
      <c r="AA9" s="54"/>
      <c r="AB9" s="1"/>
      <c r="AC9" s="1"/>
      <c r="AD9" s="1"/>
      <c r="AE9" s="1"/>
      <c r="AF9" s="1"/>
    </row>
    <row r="10" spans="1:38" hidden="1">
      <c r="A10" s="133" t="s">
        <v>181</v>
      </c>
      <c r="B10" s="139" t="s">
        <v>180</v>
      </c>
      <c r="C10" s="45">
        <v>523.14</v>
      </c>
      <c r="D10" s="49" t="s">
        <v>40</v>
      </c>
      <c r="E10" s="43" t="s">
        <v>450</v>
      </c>
      <c r="F10" s="51"/>
      <c r="G10" s="51"/>
      <c r="H10" s="51"/>
      <c r="I10" s="51"/>
      <c r="J10" s="51"/>
      <c r="K10" s="51"/>
      <c r="O10" s="63">
        <v>65.39</v>
      </c>
      <c r="P10" s="51"/>
      <c r="Q10" s="51"/>
      <c r="R10" s="51"/>
      <c r="S10" s="51"/>
      <c r="T10" s="170"/>
      <c r="U10" s="170"/>
      <c r="V10" s="170"/>
      <c r="W10" s="170"/>
      <c r="X10" s="170"/>
      <c r="Y10" s="168"/>
      <c r="Z10" s="1"/>
      <c r="AA10" s="1"/>
      <c r="AB10" s="1"/>
      <c r="AC10" s="1"/>
      <c r="AD10" s="1"/>
      <c r="AE10" s="1"/>
      <c r="AF10" s="1"/>
    </row>
    <row r="11" spans="1:38" hidden="1">
      <c r="A11" s="118" t="s">
        <v>466</v>
      </c>
      <c r="B11" s="140" t="s">
        <v>523</v>
      </c>
      <c r="C11" s="44">
        <v>542.69000000000005</v>
      </c>
      <c r="D11" s="14" t="s">
        <v>40</v>
      </c>
      <c r="E11" s="13" t="s">
        <v>408</v>
      </c>
      <c r="T11" s="1"/>
      <c r="U11" s="1"/>
      <c r="V11" s="1"/>
      <c r="W11" s="1"/>
      <c r="X11" s="1"/>
      <c r="Y11" s="171"/>
      <c r="Z11" s="1"/>
      <c r="AA11" s="1"/>
      <c r="AB11" s="1"/>
      <c r="AC11" s="1"/>
      <c r="AD11" s="1"/>
      <c r="AE11" s="1"/>
      <c r="AF11" s="1"/>
    </row>
    <row r="12" spans="1:38" hidden="1">
      <c r="A12" s="128" t="s">
        <v>467</v>
      </c>
      <c r="B12" s="140" t="s">
        <v>524</v>
      </c>
      <c r="C12" s="44">
        <v>613.36</v>
      </c>
      <c r="D12" s="48" t="s">
        <v>40</v>
      </c>
      <c r="E12" s="13" t="s">
        <v>303</v>
      </c>
      <c r="K12" s="10"/>
      <c r="O12" s="33">
        <v>76.67</v>
      </c>
      <c r="P12" s="33">
        <v>76.67</v>
      </c>
      <c r="Q12" s="33">
        <v>76.67</v>
      </c>
      <c r="R12" s="33">
        <v>76.67</v>
      </c>
      <c r="S12" s="33">
        <v>76.67</v>
      </c>
      <c r="T12" s="2">
        <v>76.67</v>
      </c>
      <c r="U12" s="1"/>
      <c r="V12" s="1"/>
      <c r="W12" s="1"/>
      <c r="X12" s="1"/>
      <c r="Y12" s="1"/>
      <c r="Z12" s="1"/>
      <c r="AA12" s="1"/>
      <c r="AB12" s="1"/>
      <c r="AC12" s="1"/>
      <c r="AD12" s="1"/>
      <c r="AE12" s="1"/>
      <c r="AF12" s="1"/>
    </row>
    <row r="13" spans="1:38" hidden="1">
      <c r="A13" s="118" t="s">
        <v>468</v>
      </c>
      <c r="B13" s="17" t="s">
        <v>236</v>
      </c>
      <c r="C13" s="79">
        <v>1621.28</v>
      </c>
      <c r="D13" s="14" t="s">
        <v>40</v>
      </c>
      <c r="E13" s="12" t="s">
        <v>377</v>
      </c>
      <c r="F13" s="8"/>
      <c r="G13" s="6"/>
      <c r="H13" s="6"/>
      <c r="I13" s="6"/>
      <c r="J13" s="6"/>
      <c r="K13" s="6"/>
      <c r="M13" s="6"/>
      <c r="N13" s="6"/>
      <c r="O13" s="6"/>
      <c r="P13" s="6"/>
      <c r="Q13" s="6"/>
      <c r="R13" s="6"/>
      <c r="S13" s="6"/>
      <c r="T13" s="54"/>
      <c r="U13" s="54"/>
      <c r="V13" s="54"/>
      <c r="W13" s="54"/>
      <c r="X13" s="54"/>
      <c r="Y13" s="1"/>
      <c r="Z13" s="1"/>
      <c r="AA13" s="1"/>
      <c r="AB13" s="1"/>
      <c r="AC13" s="1"/>
      <c r="AD13" s="1"/>
      <c r="AE13" s="1"/>
      <c r="AF13" s="1"/>
    </row>
    <row r="14" spans="1:38" hidden="1">
      <c r="B14" s="140" t="s">
        <v>525</v>
      </c>
      <c r="C14" s="20">
        <v>3486.55</v>
      </c>
      <c r="D14" s="14" t="s">
        <v>40</v>
      </c>
      <c r="E14" s="1"/>
      <c r="F14" s="1"/>
      <c r="G14" s="1"/>
      <c r="H14" s="1"/>
      <c r="I14" s="1"/>
      <c r="J14" s="209">
        <v>581.09</v>
      </c>
      <c r="K14" s="37">
        <v>581.09</v>
      </c>
      <c r="M14" s="37">
        <v>581.09</v>
      </c>
      <c r="N14" s="37">
        <v>581.09</v>
      </c>
      <c r="O14" s="1"/>
      <c r="P14" s="1"/>
      <c r="T14" s="1"/>
      <c r="U14" s="1"/>
      <c r="V14" s="1"/>
      <c r="W14" s="1"/>
      <c r="X14" s="1"/>
      <c r="Y14" s="1"/>
      <c r="Z14" s="1"/>
      <c r="AA14" s="1"/>
      <c r="AB14" s="1"/>
      <c r="AC14" s="1"/>
      <c r="AD14" s="1"/>
      <c r="AE14" s="1"/>
      <c r="AF14" s="1"/>
    </row>
    <row r="15" spans="1:38" hidden="1">
      <c r="A15" s="113" t="s">
        <v>469</v>
      </c>
      <c r="B15" s="190" t="s">
        <v>236</v>
      </c>
      <c r="C15" s="71" t="s">
        <v>629</v>
      </c>
      <c r="D15" s="14" t="s">
        <v>40</v>
      </c>
      <c r="E15" s="20"/>
      <c r="F15" s="76"/>
      <c r="G15" s="1"/>
      <c r="H15" s="1"/>
      <c r="I15" s="1"/>
      <c r="J15" s="36"/>
      <c r="K15" s="196"/>
      <c r="M15" s="1"/>
      <c r="O15" s="1"/>
      <c r="P15" s="1"/>
      <c r="T15" s="1"/>
      <c r="U15" s="1"/>
      <c r="V15" s="1"/>
      <c r="W15" s="1"/>
      <c r="X15" s="1"/>
      <c r="Y15" s="1"/>
      <c r="Z15" s="1"/>
      <c r="AA15" s="1"/>
      <c r="AB15" s="1"/>
      <c r="AC15" s="1"/>
      <c r="AD15" s="1"/>
      <c r="AE15" s="1"/>
      <c r="AF15" s="1"/>
    </row>
    <row r="16" spans="1:38" hidden="1">
      <c r="A16" s="113" t="s">
        <v>470</v>
      </c>
      <c r="B16" s="140" t="s">
        <v>525</v>
      </c>
      <c r="C16" s="20">
        <v>7257.86</v>
      </c>
      <c r="D16" s="14" t="s">
        <v>40</v>
      </c>
      <c r="E16" s="1"/>
      <c r="F16" s="1"/>
      <c r="G16" s="1"/>
      <c r="H16" s="1"/>
      <c r="I16" s="2">
        <v>907.25</v>
      </c>
      <c r="J16" s="2">
        <v>907.23</v>
      </c>
      <c r="K16" s="2">
        <v>907.23</v>
      </c>
      <c r="L16" s="2">
        <v>907.23</v>
      </c>
      <c r="M16" s="2">
        <v>907.23</v>
      </c>
      <c r="N16" s="2">
        <v>907.23</v>
      </c>
      <c r="O16" s="2">
        <v>907.23</v>
      </c>
      <c r="P16" s="2">
        <v>907.23</v>
      </c>
      <c r="T16" s="1"/>
      <c r="U16" s="1"/>
      <c r="V16" s="1"/>
      <c r="W16" s="1"/>
      <c r="X16" s="1"/>
      <c r="Y16" s="1"/>
      <c r="Z16" s="1"/>
      <c r="AA16" s="1"/>
      <c r="AB16" s="1"/>
      <c r="AC16" s="1"/>
      <c r="AD16" s="1"/>
      <c r="AE16" s="1"/>
      <c r="AF16" s="1"/>
    </row>
    <row r="17" spans="1:32" hidden="1">
      <c r="A17" s="113" t="s">
        <v>471</v>
      </c>
      <c r="B17" s="140" t="s">
        <v>521</v>
      </c>
      <c r="C17" s="20">
        <v>1007.05</v>
      </c>
      <c r="D17" s="14" t="s">
        <v>40</v>
      </c>
      <c r="E17" s="161" t="s">
        <v>375</v>
      </c>
      <c r="F17" s="76"/>
      <c r="G17" s="1"/>
      <c r="H17" s="1"/>
      <c r="I17" s="1"/>
      <c r="J17" s="1"/>
      <c r="K17" s="159"/>
      <c r="L17" s="78">
        <v>1156.8599999999999</v>
      </c>
      <c r="M17" s="1"/>
      <c r="O17" s="1"/>
      <c r="P17" s="1"/>
      <c r="T17" s="1"/>
      <c r="U17" s="1"/>
      <c r="V17" s="1"/>
      <c r="W17" s="1"/>
      <c r="X17" s="1"/>
      <c r="Y17" s="1"/>
      <c r="Z17" s="1"/>
      <c r="AA17" s="1"/>
      <c r="AB17" s="1"/>
      <c r="AC17" s="1"/>
      <c r="AD17" s="1"/>
      <c r="AE17" s="1"/>
      <c r="AF17" s="1"/>
    </row>
    <row r="18" spans="1:32" hidden="1">
      <c r="A18" s="113" t="s">
        <v>471</v>
      </c>
      <c r="B18" s="140" t="s">
        <v>521</v>
      </c>
      <c r="C18" s="44">
        <v>974.44</v>
      </c>
      <c r="D18" s="14" t="s">
        <v>40</v>
      </c>
      <c r="E18" s="13" t="s">
        <v>587</v>
      </c>
      <c r="K18" s="53"/>
      <c r="L18" s="1"/>
      <c r="M18" s="1"/>
      <c r="N18" s="1"/>
      <c r="O18" s="1"/>
      <c r="P18" s="1"/>
      <c r="Q18" s="1"/>
      <c r="R18" s="1"/>
      <c r="S18" s="86"/>
      <c r="T18" s="1"/>
      <c r="U18" s="1"/>
      <c r="V18" s="1"/>
      <c r="W18" s="1"/>
      <c r="X18" s="1"/>
      <c r="Y18" s="1"/>
      <c r="Z18" s="1"/>
      <c r="AA18" s="1"/>
      <c r="AB18" s="1"/>
      <c r="AC18" s="1"/>
      <c r="AD18" s="1"/>
      <c r="AE18" s="1"/>
      <c r="AF18" s="1"/>
    </row>
    <row r="19" spans="1:32" hidden="1">
      <c r="A19" s="113" t="s">
        <v>471</v>
      </c>
      <c r="B19" s="140" t="s">
        <v>521</v>
      </c>
      <c r="C19" s="160">
        <v>1098.6600000000001</v>
      </c>
      <c r="D19" s="14" t="s">
        <v>40</v>
      </c>
      <c r="E19" s="13" t="s">
        <v>410</v>
      </c>
      <c r="F19" s="4"/>
      <c r="K19" s="53"/>
      <c r="S19" s="53"/>
      <c r="T19" s="1"/>
      <c r="U19" s="1"/>
      <c r="V19" s="1"/>
      <c r="W19" s="1"/>
      <c r="X19" s="1"/>
      <c r="Y19" s="1"/>
      <c r="Z19" s="1"/>
      <c r="AA19" s="1"/>
      <c r="AB19" s="1"/>
      <c r="AC19" s="1"/>
      <c r="AD19" s="1"/>
      <c r="AE19" s="1"/>
      <c r="AF19" s="1"/>
    </row>
    <row r="20" spans="1:32" hidden="1">
      <c r="A20" s="113" t="s">
        <v>471</v>
      </c>
      <c r="B20" s="140" t="s">
        <v>521</v>
      </c>
      <c r="C20" s="160">
        <v>1337.64</v>
      </c>
      <c r="D20" s="14" t="s">
        <v>40</v>
      </c>
      <c r="E20" s="13" t="s">
        <v>578</v>
      </c>
      <c r="F20" s="4"/>
      <c r="K20" s="53"/>
      <c r="S20" s="53"/>
      <c r="T20" s="1"/>
      <c r="U20" s="1"/>
      <c r="V20" s="1"/>
      <c r="W20" s="1"/>
      <c r="X20" s="1"/>
      <c r="Y20" s="1"/>
      <c r="Z20" s="1"/>
      <c r="AA20" s="1"/>
      <c r="AB20" s="1"/>
      <c r="AC20" s="1"/>
      <c r="AD20" s="1"/>
      <c r="AE20" s="1"/>
      <c r="AF20" s="1"/>
    </row>
    <row r="21" spans="1:32" hidden="1">
      <c r="A21" s="113" t="s">
        <v>471</v>
      </c>
      <c r="B21" s="140" t="s">
        <v>521</v>
      </c>
      <c r="C21" s="44">
        <v>1728.28</v>
      </c>
      <c r="D21" s="14" t="s">
        <v>40</v>
      </c>
      <c r="E21" s="165" t="s">
        <v>620</v>
      </c>
      <c r="F21" s="4"/>
      <c r="G21" s="33">
        <v>572.09</v>
      </c>
      <c r="H21" t="s">
        <v>682</v>
      </c>
      <c r="K21" s="53"/>
      <c r="S21" s="53"/>
      <c r="T21" s="1"/>
      <c r="U21" s="1"/>
      <c r="V21" s="1"/>
      <c r="W21" s="1"/>
      <c r="X21" s="1"/>
      <c r="Y21" s="1"/>
      <c r="Z21" s="1"/>
      <c r="AA21" s="1"/>
      <c r="AB21" s="1"/>
      <c r="AC21" s="1"/>
      <c r="AD21" s="1"/>
      <c r="AE21" s="1"/>
      <c r="AF21" s="1"/>
    </row>
    <row r="22" spans="1:32" hidden="1">
      <c r="A22" s="113" t="s">
        <v>471</v>
      </c>
      <c r="B22" s="140" t="s">
        <v>521</v>
      </c>
      <c r="C22" s="44">
        <v>2003.08</v>
      </c>
      <c r="D22" s="14" t="s">
        <v>40</v>
      </c>
      <c r="E22" s="13" t="s">
        <v>588</v>
      </c>
      <c r="F22" s="4"/>
      <c r="K22" s="53"/>
      <c r="S22" s="53"/>
      <c r="T22" s="1"/>
      <c r="U22" s="1"/>
      <c r="V22" s="1"/>
      <c r="W22" s="1"/>
      <c r="X22" s="1"/>
      <c r="Y22" s="1"/>
      <c r="Z22" s="1"/>
      <c r="AA22" s="1"/>
      <c r="AB22" s="1"/>
      <c r="AC22" s="1"/>
      <c r="AD22" s="1"/>
      <c r="AE22" s="1"/>
      <c r="AF22" s="1"/>
    </row>
    <row r="23" spans="1:32" hidden="1">
      <c r="A23" s="113" t="s">
        <v>471</v>
      </c>
      <c r="B23" s="140" t="s">
        <v>521</v>
      </c>
      <c r="C23" s="44">
        <v>1243.58</v>
      </c>
      <c r="D23" s="14" t="s">
        <v>40</v>
      </c>
      <c r="E23" s="13" t="s">
        <v>589</v>
      </c>
      <c r="F23" s="4"/>
      <c r="K23" s="53"/>
      <c r="S23" s="53"/>
      <c r="T23" s="1"/>
      <c r="U23" s="1"/>
      <c r="V23" s="1"/>
      <c r="W23" s="1"/>
      <c r="X23" s="1"/>
      <c r="Y23" s="1"/>
      <c r="Z23" s="1"/>
      <c r="AA23" s="1"/>
      <c r="AB23" s="1"/>
      <c r="AC23" s="1"/>
      <c r="AD23" s="1"/>
      <c r="AE23" s="1"/>
      <c r="AF23" s="1"/>
    </row>
    <row r="24" spans="1:32" hidden="1">
      <c r="A24" s="113" t="s">
        <v>471</v>
      </c>
      <c r="B24" s="140" t="s">
        <v>521</v>
      </c>
      <c r="C24" s="160">
        <v>1019.03</v>
      </c>
      <c r="D24" s="14" t="s">
        <v>40</v>
      </c>
      <c r="E24" s="10"/>
      <c r="F24" s="4"/>
      <c r="K24" s="53"/>
      <c r="S24" s="53"/>
      <c r="T24" s="1"/>
      <c r="U24" s="1"/>
      <c r="V24" s="1"/>
      <c r="W24" s="1"/>
      <c r="X24" s="1"/>
      <c r="Y24" s="1"/>
      <c r="Z24" s="1"/>
      <c r="AA24" s="1"/>
      <c r="AB24" s="1"/>
      <c r="AC24" s="1"/>
      <c r="AD24" s="1"/>
      <c r="AE24" s="1"/>
      <c r="AF24" s="1"/>
    </row>
    <row r="25" spans="1:32" hidden="1">
      <c r="B25" s="140" t="s">
        <v>524</v>
      </c>
      <c r="C25" s="34" t="s">
        <v>304</v>
      </c>
      <c r="D25" s="14" t="s">
        <v>40</v>
      </c>
      <c r="E25" s="13" t="s">
        <v>327</v>
      </c>
      <c r="K25" s="33">
        <v>402.99</v>
      </c>
      <c r="L25" s="33">
        <v>402.99</v>
      </c>
      <c r="M25" s="6"/>
      <c r="T25" s="1"/>
      <c r="U25" s="1"/>
      <c r="V25" s="1"/>
      <c r="W25" s="1"/>
      <c r="X25" s="1"/>
      <c r="Y25" s="1"/>
      <c r="Z25" s="1"/>
      <c r="AA25" s="1"/>
      <c r="AB25" s="1"/>
      <c r="AC25" s="1"/>
      <c r="AD25" s="1"/>
      <c r="AE25" s="1"/>
      <c r="AF25" s="1"/>
    </row>
    <row r="26" spans="1:32" hidden="1">
      <c r="A26" s="119" t="s">
        <v>472</v>
      </c>
      <c r="B26" s="139" t="s">
        <v>185</v>
      </c>
      <c r="C26" s="58" t="s">
        <v>328</v>
      </c>
      <c r="D26" s="47" t="s">
        <v>40</v>
      </c>
      <c r="E26" s="43" t="s">
        <v>409</v>
      </c>
      <c r="F26" s="51"/>
      <c r="G26" s="51"/>
      <c r="H26" s="51"/>
      <c r="I26" s="51"/>
      <c r="J26" s="51"/>
      <c r="K26" s="51"/>
      <c r="L26" s="51"/>
      <c r="M26" s="51"/>
      <c r="N26" s="51"/>
      <c r="O26" s="51"/>
      <c r="P26" s="51"/>
      <c r="Q26" s="51"/>
      <c r="R26" s="51"/>
      <c r="S26" s="51"/>
      <c r="T26" s="170"/>
      <c r="U26" s="170"/>
      <c r="V26" s="170"/>
      <c r="W26" s="170"/>
      <c r="X26" s="170"/>
      <c r="Y26" s="1"/>
      <c r="Z26" s="1"/>
      <c r="AA26" s="1"/>
      <c r="AB26" s="1"/>
      <c r="AC26" s="1"/>
      <c r="AD26" s="1"/>
      <c r="AE26" s="1"/>
      <c r="AF26" s="1"/>
    </row>
    <row r="27" spans="1:32" hidden="1">
      <c r="A27" s="119" t="s">
        <v>471</v>
      </c>
      <c r="B27" s="140" t="s">
        <v>521</v>
      </c>
      <c r="C27" s="58">
        <v>822.46</v>
      </c>
      <c r="D27" s="47" t="s">
        <v>40</v>
      </c>
      <c r="E27" s="43" t="s">
        <v>657</v>
      </c>
      <c r="F27" s="51"/>
      <c r="G27" s="51"/>
      <c r="H27" s="51"/>
      <c r="I27" s="51"/>
      <c r="J27" s="51"/>
      <c r="K27" s="51"/>
      <c r="L27" s="51"/>
      <c r="M27" s="51"/>
      <c r="N27" s="51"/>
      <c r="O27" s="51"/>
      <c r="P27" s="51"/>
      <c r="Q27" s="51"/>
      <c r="R27" s="51"/>
      <c r="S27" s="51"/>
      <c r="T27" s="170"/>
      <c r="U27" s="204"/>
      <c r="V27" s="68">
        <v>82.3</v>
      </c>
      <c r="W27" s="68">
        <v>82.24</v>
      </c>
      <c r="X27" s="68">
        <v>82.24</v>
      </c>
      <c r="Y27" s="2">
        <v>82.24</v>
      </c>
      <c r="Z27" s="2"/>
      <c r="AA27" s="2"/>
      <c r="AB27" s="2"/>
      <c r="AC27" s="2"/>
      <c r="AD27" s="2"/>
      <c r="AE27" s="2"/>
      <c r="AF27" s="1"/>
    </row>
    <row r="28" spans="1:32" hidden="1">
      <c r="A28" s="115" t="s">
        <v>471</v>
      </c>
      <c r="B28" s="137" t="s">
        <v>521</v>
      </c>
      <c r="C28" s="156" t="s">
        <v>651</v>
      </c>
      <c r="D28" s="15" t="s">
        <v>40</v>
      </c>
      <c r="E28" s="9"/>
      <c r="F28" s="6"/>
      <c r="G28" s="6"/>
      <c r="H28" s="6"/>
      <c r="I28" s="6"/>
      <c r="J28" s="6"/>
      <c r="K28" s="6"/>
      <c r="L28" s="6"/>
      <c r="M28" s="6"/>
      <c r="N28" s="6"/>
      <c r="O28" s="6"/>
      <c r="P28" s="6"/>
      <c r="Q28" s="6"/>
      <c r="R28" s="6"/>
      <c r="S28" s="6"/>
      <c r="T28" s="54"/>
      <c r="U28" s="54"/>
      <c r="V28" s="54"/>
      <c r="W28" s="54"/>
      <c r="X28" s="54"/>
      <c r="Y28" s="1"/>
      <c r="Z28" s="1"/>
      <c r="AA28" s="1"/>
      <c r="AB28" s="1"/>
      <c r="AC28" s="1"/>
      <c r="AD28" s="1"/>
      <c r="AE28" s="1"/>
      <c r="AF28" s="1"/>
    </row>
    <row r="29" spans="1:32" hidden="1">
      <c r="A29" s="119"/>
      <c r="B29" s="47"/>
      <c r="C29" s="58">
        <v>343.75</v>
      </c>
      <c r="D29" s="47" t="s">
        <v>3</v>
      </c>
      <c r="E29" s="43" t="s">
        <v>404</v>
      </c>
      <c r="F29" s="90"/>
      <c r="G29" s="51"/>
      <c r="H29" s="51"/>
      <c r="I29" s="51"/>
      <c r="J29" s="51"/>
      <c r="K29" s="51"/>
      <c r="L29" s="51"/>
      <c r="M29" s="51"/>
      <c r="N29" s="51"/>
      <c r="O29" s="51"/>
      <c r="P29" s="51"/>
      <c r="Q29" s="51"/>
      <c r="R29" s="51"/>
      <c r="S29" s="51"/>
      <c r="T29" s="170"/>
      <c r="U29" s="170"/>
      <c r="V29" s="170"/>
      <c r="W29" s="170"/>
      <c r="X29" s="170"/>
      <c r="Y29" s="1"/>
      <c r="Z29" s="1"/>
      <c r="AA29" s="1"/>
      <c r="AB29" s="1"/>
      <c r="AC29" s="1"/>
      <c r="AD29" s="1"/>
      <c r="AE29" s="1"/>
      <c r="AF29" s="1"/>
    </row>
    <row r="30" spans="1:32" hidden="1">
      <c r="A30" s="120" t="s">
        <v>473</v>
      </c>
      <c r="B30" s="41" t="s">
        <v>526</v>
      </c>
      <c r="C30" s="44">
        <v>215.56</v>
      </c>
      <c r="D30" s="14" t="s">
        <v>3</v>
      </c>
      <c r="E30" s="10"/>
      <c r="L30" s="33">
        <v>71</v>
      </c>
      <c r="M30" s="33">
        <v>48.18</v>
      </c>
      <c r="N30" s="33">
        <v>48.18</v>
      </c>
      <c r="O30" s="33">
        <v>48.2</v>
      </c>
      <c r="T30" s="1"/>
      <c r="U30" s="1"/>
      <c r="V30" s="1"/>
      <c r="W30" s="1"/>
      <c r="X30" s="1"/>
      <c r="Y30" s="1"/>
      <c r="Z30" s="1"/>
      <c r="AA30" s="1"/>
      <c r="AB30" s="1"/>
      <c r="AC30" s="1"/>
      <c r="AD30" s="1"/>
      <c r="AE30" s="1"/>
      <c r="AF30" s="1"/>
    </row>
    <row r="31" spans="1:32" hidden="1">
      <c r="A31" s="113" t="s">
        <v>474</v>
      </c>
      <c r="B31" s="141" t="s">
        <v>528</v>
      </c>
      <c r="C31" s="20">
        <v>2532.6</v>
      </c>
      <c r="D31" s="14" t="s">
        <v>12</v>
      </c>
      <c r="E31" s="3"/>
      <c r="F31" s="1"/>
      <c r="G31" s="1"/>
      <c r="H31" s="1">
        <v>422.1</v>
      </c>
      <c r="I31" s="1">
        <v>422.1</v>
      </c>
      <c r="J31" s="1">
        <v>422.1</v>
      </c>
      <c r="K31" s="35">
        <v>422.1</v>
      </c>
      <c r="L31" s="2">
        <v>422.1</v>
      </c>
      <c r="M31" s="78">
        <v>422.1</v>
      </c>
      <c r="N31" s="1"/>
      <c r="O31" s="1"/>
      <c r="P31" s="1"/>
      <c r="T31" s="1"/>
      <c r="U31" s="1"/>
      <c r="V31" s="1"/>
      <c r="W31" s="1"/>
      <c r="X31" s="1"/>
      <c r="Y31" s="54"/>
      <c r="Z31" s="54"/>
      <c r="AA31" s="54"/>
      <c r="AB31" s="1"/>
      <c r="AC31" s="1"/>
      <c r="AD31" s="1"/>
      <c r="AE31" s="1"/>
      <c r="AF31" s="1"/>
    </row>
    <row r="32" spans="1:32" hidden="1">
      <c r="A32" s="113" t="s">
        <v>603</v>
      </c>
      <c r="B32" s="140" t="s">
        <v>604</v>
      </c>
      <c r="C32" s="20">
        <v>177.52</v>
      </c>
      <c r="D32" s="14" t="s">
        <v>40</v>
      </c>
      <c r="E32" s="3"/>
      <c r="F32" s="1"/>
      <c r="G32" s="1"/>
      <c r="H32" s="1"/>
      <c r="I32" s="1"/>
      <c r="J32" s="1"/>
      <c r="K32" s="35"/>
      <c r="L32" s="159"/>
      <c r="M32" s="158"/>
      <c r="N32" s="1"/>
      <c r="O32" s="1"/>
      <c r="P32" s="1"/>
      <c r="R32" s="33">
        <v>59.18</v>
      </c>
      <c r="S32" s="33">
        <v>59.17</v>
      </c>
      <c r="T32" s="2">
        <v>59.17</v>
      </c>
      <c r="U32" s="1"/>
      <c r="V32" s="1"/>
      <c r="W32" s="1"/>
      <c r="X32" s="1"/>
      <c r="Y32" s="54"/>
      <c r="Z32" s="54"/>
      <c r="AA32" s="54"/>
      <c r="AB32" s="1"/>
      <c r="AC32" s="1"/>
      <c r="AD32" s="1"/>
      <c r="AE32" s="1"/>
      <c r="AF32" s="1"/>
    </row>
    <row r="33" spans="1:32">
      <c r="B33" s="140" t="s">
        <v>529</v>
      </c>
      <c r="C33" s="44">
        <v>101.52</v>
      </c>
      <c r="D33" s="14" t="s">
        <v>12</v>
      </c>
      <c r="E33" s="13" t="s">
        <v>378</v>
      </c>
      <c r="K33" s="33">
        <v>12.69</v>
      </c>
      <c r="L33" s="33">
        <v>12.69</v>
      </c>
      <c r="M33" s="33">
        <v>12.69</v>
      </c>
      <c r="N33" s="33">
        <v>12.69</v>
      </c>
      <c r="O33" s="33">
        <v>12.69</v>
      </c>
      <c r="P33" s="82">
        <v>12.69</v>
      </c>
      <c r="Q33" s="33">
        <v>12.69</v>
      </c>
      <c r="R33" s="33">
        <v>12.69</v>
      </c>
      <c r="T33" s="159"/>
      <c r="U33" s="1"/>
      <c r="V33" s="1"/>
      <c r="W33" s="1"/>
      <c r="X33" s="1"/>
      <c r="Y33" s="1"/>
      <c r="Z33" s="1"/>
      <c r="AA33" s="1"/>
      <c r="AB33" s="1"/>
      <c r="AC33" s="1"/>
      <c r="AD33" s="1"/>
      <c r="AE33" s="1"/>
      <c r="AF33" s="1"/>
    </row>
    <row r="34" spans="1:32">
      <c r="B34" s="13" t="s">
        <v>530</v>
      </c>
      <c r="C34" s="44">
        <v>103.28</v>
      </c>
      <c r="D34" s="14" t="s">
        <v>12</v>
      </c>
      <c r="E34" s="13" t="s">
        <v>379</v>
      </c>
      <c r="K34" s="33">
        <v>12.91</v>
      </c>
      <c r="L34" s="33">
        <v>12.91</v>
      </c>
      <c r="M34" s="33">
        <v>12.91</v>
      </c>
      <c r="N34" s="33">
        <v>12.91</v>
      </c>
      <c r="O34" s="33">
        <v>12.91</v>
      </c>
      <c r="P34" s="82">
        <v>12.91</v>
      </c>
      <c r="Q34" s="33">
        <v>12.91</v>
      </c>
      <c r="R34" s="33">
        <v>12.91</v>
      </c>
      <c r="T34" s="1"/>
      <c r="U34" s="1"/>
      <c r="V34" s="1"/>
      <c r="W34" s="1"/>
      <c r="X34" s="1"/>
      <c r="Y34" s="1"/>
      <c r="Z34" s="1"/>
      <c r="AA34" s="1"/>
      <c r="AB34" s="1"/>
      <c r="AC34" s="1"/>
      <c r="AD34" s="1"/>
      <c r="AE34" s="1"/>
      <c r="AF34" s="1"/>
    </row>
    <row r="35" spans="1:32">
      <c r="B35" s="140" t="s">
        <v>531</v>
      </c>
      <c r="C35" s="44">
        <v>103.48</v>
      </c>
      <c r="D35" s="14" t="s">
        <v>12</v>
      </c>
      <c r="E35" s="13" t="s">
        <v>412</v>
      </c>
      <c r="K35" s="33">
        <v>12.93</v>
      </c>
      <c r="L35" s="33">
        <v>12.93</v>
      </c>
      <c r="M35" s="33">
        <v>12.93</v>
      </c>
      <c r="N35" s="33">
        <v>12.93</v>
      </c>
      <c r="O35" s="82">
        <v>12.93</v>
      </c>
      <c r="P35" s="82">
        <v>12.93</v>
      </c>
      <c r="Q35" s="33">
        <v>12.93</v>
      </c>
      <c r="R35" s="33">
        <v>12.97</v>
      </c>
      <c r="T35" s="1"/>
      <c r="U35" s="1"/>
      <c r="V35" s="1"/>
      <c r="W35" s="1"/>
      <c r="X35" s="1"/>
      <c r="Y35" s="1"/>
      <c r="Z35" s="1"/>
      <c r="AA35" s="1"/>
      <c r="AB35" s="1"/>
      <c r="AC35" s="1"/>
      <c r="AD35" s="1"/>
      <c r="AE35" s="1"/>
      <c r="AF35" s="1"/>
    </row>
    <row r="36" spans="1:32">
      <c r="B36" s="13" t="s">
        <v>532</v>
      </c>
      <c r="C36" s="100">
        <v>107.36</v>
      </c>
      <c r="D36" s="14" t="s">
        <v>12</v>
      </c>
      <c r="E36" s="13" t="s">
        <v>434</v>
      </c>
      <c r="K36" s="33">
        <v>13.42</v>
      </c>
      <c r="L36" s="33">
        <v>13.42</v>
      </c>
      <c r="M36" s="33">
        <v>13.42</v>
      </c>
      <c r="N36" s="33">
        <v>13.42</v>
      </c>
      <c r="O36" s="33">
        <v>13.42</v>
      </c>
      <c r="P36" s="104">
        <v>13.42</v>
      </c>
      <c r="Q36" s="33">
        <v>13.42</v>
      </c>
      <c r="R36" s="33">
        <v>13.42</v>
      </c>
      <c r="T36" s="1"/>
      <c r="U36" s="1"/>
      <c r="V36" s="1"/>
      <c r="W36" s="1"/>
      <c r="X36" s="1"/>
      <c r="Y36" s="1"/>
      <c r="Z36" s="1"/>
      <c r="AA36" s="1"/>
      <c r="AB36" s="1"/>
      <c r="AC36" s="1"/>
      <c r="AD36" s="1"/>
      <c r="AE36" s="1"/>
      <c r="AF36" s="1"/>
    </row>
    <row r="37" spans="1:32">
      <c r="A37" s="122"/>
      <c r="B37" s="142" t="s">
        <v>533</v>
      </c>
      <c r="C37" s="27">
        <v>107.92</v>
      </c>
      <c r="D37" s="26" t="s">
        <v>12</v>
      </c>
      <c r="E37" s="29" t="s">
        <v>435</v>
      </c>
      <c r="F37" s="25"/>
      <c r="G37" s="25"/>
      <c r="H37" s="25"/>
      <c r="I37" s="25"/>
      <c r="J37" s="25"/>
      <c r="K37" s="31">
        <v>13.49</v>
      </c>
      <c r="L37" s="31">
        <v>13.49</v>
      </c>
      <c r="M37" s="31">
        <v>13.49</v>
      </c>
      <c r="N37" s="31">
        <v>13.49</v>
      </c>
      <c r="O37" s="31">
        <v>13.49</v>
      </c>
      <c r="P37" s="84">
        <v>13.49</v>
      </c>
      <c r="Q37" s="31">
        <v>13.49</v>
      </c>
      <c r="R37" s="31">
        <v>13.49</v>
      </c>
      <c r="S37" s="25"/>
      <c r="T37" s="172"/>
      <c r="U37" s="172"/>
      <c r="V37" s="172"/>
      <c r="W37" s="172"/>
      <c r="X37" s="173"/>
      <c r="Y37" s="173"/>
      <c r="Z37" s="1"/>
      <c r="AA37" s="1"/>
      <c r="AB37" s="1"/>
      <c r="AC37" s="1"/>
      <c r="AD37" s="1"/>
      <c r="AE37" s="1"/>
      <c r="AF37" s="1"/>
    </row>
    <row r="38" spans="1:32">
      <c r="A38" s="122"/>
      <c r="B38" s="142" t="s">
        <v>534</v>
      </c>
      <c r="C38" s="27">
        <v>109.75</v>
      </c>
      <c r="D38" s="26" t="s">
        <v>12</v>
      </c>
      <c r="E38" s="29" t="s">
        <v>382</v>
      </c>
      <c r="F38" s="25"/>
      <c r="G38" s="25"/>
      <c r="H38" s="25"/>
      <c r="I38" s="25"/>
      <c r="J38" s="25"/>
      <c r="K38" s="31">
        <v>13.71</v>
      </c>
      <c r="L38" s="31">
        <v>13.71</v>
      </c>
      <c r="M38" s="31">
        <v>13.71</v>
      </c>
      <c r="N38" s="31">
        <v>13.71</v>
      </c>
      <c r="O38" s="31">
        <v>13.71</v>
      </c>
      <c r="P38" s="99">
        <v>13.71</v>
      </c>
      <c r="Q38" s="31">
        <v>13.71</v>
      </c>
      <c r="R38" s="31">
        <v>13.78</v>
      </c>
      <c r="S38" s="25"/>
      <c r="T38" s="172"/>
      <c r="U38" s="172"/>
      <c r="V38" s="172"/>
      <c r="W38" s="172"/>
      <c r="X38" s="173"/>
      <c r="Y38" s="174"/>
      <c r="Z38" s="1"/>
      <c r="AA38" s="1"/>
      <c r="AB38" s="1"/>
      <c r="AC38" s="1"/>
      <c r="AD38" s="1"/>
      <c r="AE38" s="1"/>
      <c r="AF38" s="1"/>
    </row>
    <row r="39" spans="1:32">
      <c r="A39" s="122"/>
      <c r="B39" s="142" t="s">
        <v>195</v>
      </c>
      <c r="C39" s="27">
        <v>170.39</v>
      </c>
      <c r="D39" s="26" t="s">
        <v>12</v>
      </c>
      <c r="E39" s="29" t="s">
        <v>415</v>
      </c>
      <c r="F39" s="25"/>
      <c r="G39" s="25"/>
      <c r="H39" s="25"/>
      <c r="I39" s="25"/>
      <c r="J39" s="25"/>
      <c r="K39" s="31">
        <v>21.29</v>
      </c>
      <c r="L39" s="31">
        <v>21.29</v>
      </c>
      <c r="M39" s="31">
        <v>21.29</v>
      </c>
      <c r="N39" s="31">
        <v>21.29</v>
      </c>
      <c r="O39" s="31">
        <v>21.29</v>
      </c>
      <c r="P39" s="31">
        <v>21.29</v>
      </c>
      <c r="Q39" s="99">
        <v>21.29</v>
      </c>
      <c r="R39" s="31">
        <v>21.36</v>
      </c>
      <c r="S39" s="25"/>
      <c r="T39" s="172"/>
      <c r="U39" s="172"/>
      <c r="V39" s="172"/>
      <c r="W39" s="172"/>
      <c r="X39" s="173"/>
      <c r="Y39" s="173"/>
      <c r="Z39" s="1"/>
      <c r="AA39" s="1"/>
      <c r="AB39" s="1"/>
      <c r="AC39" s="1"/>
      <c r="AD39" s="1"/>
      <c r="AE39" s="1"/>
      <c r="AF39" s="1"/>
    </row>
    <row r="40" spans="1:32">
      <c r="A40" s="122"/>
      <c r="B40" s="142" t="s">
        <v>535</v>
      </c>
      <c r="C40" s="27">
        <v>183.55</v>
      </c>
      <c r="D40" s="26" t="s">
        <v>12</v>
      </c>
      <c r="E40" s="29" t="s">
        <v>416</v>
      </c>
      <c r="F40" s="25"/>
      <c r="G40" s="25"/>
      <c r="H40" s="25"/>
      <c r="I40" s="25"/>
      <c r="J40" s="25"/>
      <c r="K40" s="31">
        <v>22.94</v>
      </c>
      <c r="L40" s="31">
        <v>22.94</v>
      </c>
      <c r="M40" s="31">
        <v>22.94</v>
      </c>
      <c r="N40" s="31">
        <v>22.94</v>
      </c>
      <c r="O40" s="31">
        <v>22.94</v>
      </c>
      <c r="P40" s="31">
        <v>22.94</v>
      </c>
      <c r="Q40" s="99">
        <v>22.94</v>
      </c>
      <c r="R40" s="31">
        <v>22.97</v>
      </c>
      <c r="S40" s="25"/>
      <c r="T40" s="172"/>
      <c r="U40" s="172"/>
      <c r="V40" s="172"/>
      <c r="W40" s="172"/>
      <c r="X40" s="173"/>
      <c r="Y40" s="174"/>
      <c r="Z40" s="1"/>
      <c r="AA40" s="1"/>
      <c r="AB40" s="1"/>
      <c r="AC40" s="1"/>
      <c r="AD40" s="1"/>
      <c r="AE40" s="1"/>
      <c r="AF40" s="1"/>
    </row>
    <row r="41" spans="1:32">
      <c r="A41" s="122"/>
      <c r="B41" s="29" t="s">
        <v>193</v>
      </c>
      <c r="C41" s="27">
        <v>206.09</v>
      </c>
      <c r="D41" s="26" t="s">
        <v>12</v>
      </c>
      <c r="E41" s="29" t="s">
        <v>417</v>
      </c>
      <c r="F41" s="25"/>
      <c r="G41" s="25"/>
      <c r="H41" s="25"/>
      <c r="I41" s="25"/>
      <c r="J41" s="25"/>
      <c r="K41" s="31">
        <v>25.76</v>
      </c>
      <c r="L41" s="31">
        <v>25.76</v>
      </c>
      <c r="M41" s="31">
        <v>25.76</v>
      </c>
      <c r="N41" s="31">
        <v>25.76</v>
      </c>
      <c r="O41" s="31">
        <v>25.76</v>
      </c>
      <c r="P41" s="31">
        <v>25.76</v>
      </c>
      <c r="Q41" s="99">
        <v>25.76</v>
      </c>
      <c r="R41" s="31">
        <v>25.77</v>
      </c>
      <c r="S41" s="25"/>
      <c r="T41" s="172"/>
      <c r="U41" s="172"/>
      <c r="V41" s="172"/>
      <c r="W41" s="172"/>
      <c r="X41" s="173"/>
      <c r="Y41" s="173"/>
      <c r="Z41" s="1"/>
      <c r="AA41" s="1"/>
      <c r="AB41" s="1"/>
      <c r="AC41" s="1"/>
      <c r="AD41" s="1"/>
      <c r="AE41" s="1"/>
      <c r="AF41" s="1"/>
    </row>
    <row r="42" spans="1:32">
      <c r="A42" s="122"/>
      <c r="B42" s="29" t="s">
        <v>206</v>
      </c>
      <c r="C42" s="27">
        <v>212.89</v>
      </c>
      <c r="D42" s="26" t="s">
        <v>12</v>
      </c>
      <c r="E42" s="29" t="s">
        <v>418</v>
      </c>
      <c r="F42" s="25"/>
      <c r="G42" s="25"/>
      <c r="H42" s="25"/>
      <c r="I42" s="25"/>
      <c r="J42" s="25"/>
      <c r="K42" s="31">
        <v>26.61</v>
      </c>
      <c r="L42" s="31">
        <v>26.61</v>
      </c>
      <c r="M42" s="31">
        <v>26.61</v>
      </c>
      <c r="N42" s="31">
        <v>26.61</v>
      </c>
      <c r="O42" s="31">
        <v>26.61</v>
      </c>
      <c r="P42" s="31">
        <v>26.61</v>
      </c>
      <c r="Q42" s="99">
        <v>26.61</v>
      </c>
      <c r="R42" s="31">
        <v>26.62</v>
      </c>
      <c r="S42" s="25"/>
      <c r="T42" s="172"/>
      <c r="U42" s="172"/>
      <c r="V42" s="172"/>
      <c r="W42" s="172"/>
      <c r="X42" s="173"/>
      <c r="Y42" s="174"/>
      <c r="Z42" s="1"/>
      <c r="AA42" s="1"/>
      <c r="AB42" s="1"/>
      <c r="AC42" s="1"/>
      <c r="AD42" s="1"/>
      <c r="AE42" s="1"/>
      <c r="AF42" s="1"/>
    </row>
    <row r="43" spans="1:32" hidden="1">
      <c r="A43" s="122"/>
      <c r="B43" s="142" t="s">
        <v>536</v>
      </c>
      <c r="C43" s="27">
        <v>223.53</v>
      </c>
      <c r="D43" s="26" t="s">
        <v>12</v>
      </c>
      <c r="E43" s="29" t="s">
        <v>380</v>
      </c>
      <c r="F43" s="25"/>
      <c r="G43" s="25"/>
      <c r="H43" s="25"/>
      <c r="I43" s="25"/>
      <c r="J43" s="25"/>
      <c r="K43" s="31">
        <v>27.94</v>
      </c>
      <c r="L43" s="31">
        <v>27.94</v>
      </c>
      <c r="M43" s="31">
        <v>27.94</v>
      </c>
      <c r="N43" s="31">
        <v>27.94</v>
      </c>
      <c r="O43" s="31">
        <v>27.94</v>
      </c>
      <c r="P43" s="84">
        <v>27.94</v>
      </c>
      <c r="Q43" s="31">
        <v>27.94</v>
      </c>
      <c r="R43" s="31">
        <v>27.95</v>
      </c>
      <c r="S43" s="25"/>
      <c r="T43" s="172"/>
      <c r="U43" s="172"/>
      <c r="V43" s="172"/>
      <c r="W43" s="172"/>
      <c r="X43" s="173"/>
      <c r="Y43" s="174"/>
      <c r="Z43" s="1"/>
      <c r="AA43" s="1"/>
      <c r="AB43" s="1"/>
      <c r="AC43" s="1"/>
      <c r="AD43" s="1"/>
      <c r="AE43" s="1"/>
      <c r="AF43" s="1"/>
    </row>
    <row r="44" spans="1:32">
      <c r="A44" s="122"/>
      <c r="B44" s="29" t="s">
        <v>537</v>
      </c>
      <c r="C44" s="46">
        <v>227.17</v>
      </c>
      <c r="D44" s="26" t="s">
        <v>12</v>
      </c>
      <c r="E44" s="29" t="s">
        <v>436</v>
      </c>
      <c r="F44" s="25"/>
      <c r="G44" s="25"/>
      <c r="H44" s="25"/>
      <c r="I44" s="25"/>
      <c r="J44" s="25"/>
      <c r="K44" s="99">
        <v>28.39</v>
      </c>
      <c r="L44" s="31">
        <v>28.39</v>
      </c>
      <c r="M44" s="31">
        <v>28.39</v>
      </c>
      <c r="N44" s="31">
        <v>28.39</v>
      </c>
      <c r="O44" s="31">
        <v>28.39</v>
      </c>
      <c r="P44" s="84">
        <v>28.39</v>
      </c>
      <c r="Q44" s="31">
        <v>28.39</v>
      </c>
      <c r="R44" s="99">
        <v>28.44</v>
      </c>
      <c r="S44" s="25"/>
      <c r="T44" s="172"/>
      <c r="U44" s="172"/>
      <c r="V44" s="172"/>
      <c r="W44" s="172"/>
      <c r="X44" s="173"/>
      <c r="Y44" s="173"/>
      <c r="Z44" s="1"/>
      <c r="AA44" s="1"/>
      <c r="AB44" s="1"/>
      <c r="AC44" s="1"/>
      <c r="AD44" s="1"/>
      <c r="AE44" s="1"/>
      <c r="AF44" s="1"/>
    </row>
    <row r="45" spans="1:32" hidden="1">
      <c r="A45" s="123" t="s">
        <v>86</v>
      </c>
      <c r="B45" s="98" t="s">
        <v>537</v>
      </c>
      <c r="C45" s="88" t="s">
        <v>437</v>
      </c>
      <c r="D45" s="60" t="s">
        <v>12</v>
      </c>
      <c r="E45" s="88" t="s">
        <v>439</v>
      </c>
      <c r="F45" s="61"/>
      <c r="G45" s="32"/>
      <c r="H45" s="32"/>
      <c r="I45" s="32"/>
      <c r="J45" s="32"/>
      <c r="K45" s="32"/>
      <c r="L45" s="32"/>
      <c r="M45" s="32"/>
      <c r="N45" s="32"/>
      <c r="O45" s="32"/>
      <c r="P45" s="32"/>
      <c r="Q45" s="32"/>
      <c r="R45" s="32"/>
      <c r="S45" s="32"/>
      <c r="T45" s="176"/>
      <c r="U45" s="176"/>
      <c r="V45" s="176"/>
      <c r="W45" s="176"/>
      <c r="X45" s="177"/>
      <c r="Y45" s="178"/>
      <c r="Z45" s="1"/>
      <c r="AA45" s="1"/>
      <c r="AB45" s="1"/>
      <c r="AC45" s="1"/>
      <c r="AD45" s="1"/>
      <c r="AE45" s="1"/>
      <c r="AF45" s="1"/>
    </row>
    <row r="46" spans="1:32" hidden="1">
      <c r="A46" s="122" t="s">
        <v>475</v>
      </c>
      <c r="B46" s="143" t="s">
        <v>538</v>
      </c>
      <c r="C46" s="29" t="s">
        <v>438</v>
      </c>
      <c r="D46" s="26" t="s">
        <v>12</v>
      </c>
      <c r="E46" s="29" t="s">
        <v>439</v>
      </c>
      <c r="F46" s="42"/>
      <c r="G46" s="25"/>
      <c r="H46" s="25"/>
      <c r="I46" s="25"/>
      <c r="J46" s="25"/>
      <c r="K46" s="25"/>
      <c r="L46" s="25"/>
      <c r="M46" s="32"/>
      <c r="N46" s="25"/>
      <c r="O46" s="25"/>
      <c r="P46" s="25"/>
      <c r="Q46" s="25"/>
      <c r="R46" s="25"/>
      <c r="S46" s="25"/>
      <c r="T46" s="172"/>
      <c r="U46" s="172"/>
      <c r="V46" s="172"/>
      <c r="W46" s="172"/>
      <c r="X46" s="172"/>
      <c r="Y46" s="181"/>
      <c r="Z46" s="1"/>
      <c r="AA46" s="180"/>
      <c r="AB46" s="1"/>
      <c r="AC46" s="1"/>
      <c r="AD46" s="1"/>
      <c r="AE46" s="1"/>
      <c r="AF46" s="1"/>
    </row>
    <row r="47" spans="1:32" hidden="1">
      <c r="A47" s="122" t="s">
        <v>476</v>
      </c>
      <c r="B47" s="143" t="s">
        <v>580</v>
      </c>
      <c r="C47" s="29">
        <v>253.59</v>
      </c>
      <c r="D47" s="26" t="s">
        <v>12</v>
      </c>
      <c r="E47" s="29" t="s">
        <v>31</v>
      </c>
      <c r="F47" s="42"/>
      <c r="G47" s="25"/>
      <c r="H47" s="25"/>
      <c r="I47" s="25"/>
      <c r="J47" s="25"/>
      <c r="K47" s="25"/>
      <c r="L47" s="25"/>
      <c r="M47" s="32"/>
      <c r="N47" s="31">
        <v>42.26</v>
      </c>
      <c r="O47" s="84">
        <v>42.26</v>
      </c>
      <c r="P47" s="31">
        <v>42.26</v>
      </c>
      <c r="Q47" s="31">
        <v>42.26</v>
      </c>
      <c r="R47" s="31">
        <v>42.26</v>
      </c>
      <c r="S47" s="31">
        <v>42.29</v>
      </c>
      <c r="T47" s="172"/>
      <c r="U47" s="172"/>
      <c r="V47" s="172"/>
      <c r="W47" s="172"/>
      <c r="X47" s="173"/>
      <c r="Y47" s="173"/>
      <c r="Z47" s="180"/>
      <c r="AA47" s="180"/>
      <c r="AB47" s="1"/>
      <c r="AC47" s="1"/>
      <c r="AD47" s="1"/>
      <c r="AE47" s="1"/>
      <c r="AF47" s="1"/>
    </row>
    <row r="48" spans="1:32" hidden="1">
      <c r="A48" s="121" t="s">
        <v>477</v>
      </c>
      <c r="B48" s="144" t="s">
        <v>539</v>
      </c>
      <c r="C48" s="46">
        <v>258.83999999999997</v>
      </c>
      <c r="D48" s="26" t="s">
        <v>12</v>
      </c>
      <c r="E48" s="29" t="s">
        <v>606</v>
      </c>
      <c r="F48" s="25"/>
      <c r="G48" s="25"/>
      <c r="H48" s="25"/>
      <c r="I48" s="25"/>
      <c r="J48" s="25"/>
      <c r="K48" s="25"/>
      <c r="L48" s="31">
        <v>21.57</v>
      </c>
      <c r="M48" s="31">
        <v>21.57</v>
      </c>
      <c r="N48" s="84">
        <v>21.57</v>
      </c>
      <c r="O48" s="84">
        <v>21.57</v>
      </c>
      <c r="P48" s="84">
        <v>21.57</v>
      </c>
      <c r="Q48" s="31">
        <v>21.57</v>
      </c>
      <c r="R48" s="31">
        <v>21.57</v>
      </c>
      <c r="S48" s="31">
        <v>21.57</v>
      </c>
      <c r="T48" s="172"/>
      <c r="U48" s="172"/>
      <c r="V48" s="172"/>
      <c r="W48" s="172"/>
      <c r="X48" s="173"/>
      <c r="Y48" s="174"/>
      <c r="Z48" s="1"/>
      <c r="AA48" s="1"/>
      <c r="AB48" s="1"/>
      <c r="AC48" s="1"/>
      <c r="AD48" s="1"/>
      <c r="AE48" s="1"/>
      <c r="AF48" s="1"/>
    </row>
    <row r="49" spans="1:32">
      <c r="A49" s="122" t="s">
        <v>478</v>
      </c>
      <c r="B49" s="143" t="s">
        <v>540</v>
      </c>
      <c r="C49" s="27">
        <v>267.41000000000003</v>
      </c>
      <c r="D49" s="26" t="s">
        <v>12</v>
      </c>
      <c r="E49" s="13" t="s">
        <v>424</v>
      </c>
      <c r="F49" s="25"/>
      <c r="G49" s="25"/>
      <c r="H49" s="25"/>
      <c r="I49" s="25"/>
      <c r="J49" s="25"/>
      <c r="K49" s="31">
        <v>33.42</v>
      </c>
      <c r="L49" s="31">
        <v>33.42</v>
      </c>
      <c r="M49" s="31">
        <v>33.42</v>
      </c>
      <c r="N49" s="31">
        <v>33.42</v>
      </c>
      <c r="O49" s="31">
        <v>33.42</v>
      </c>
      <c r="P49" s="84">
        <v>33.42</v>
      </c>
      <c r="Q49" s="31">
        <v>33.42</v>
      </c>
      <c r="R49" s="31">
        <v>33.47</v>
      </c>
      <c r="S49" s="25"/>
      <c r="T49" s="172"/>
      <c r="U49" s="172"/>
      <c r="V49" s="172"/>
      <c r="W49" s="172"/>
      <c r="X49" s="173"/>
      <c r="Y49" s="173"/>
      <c r="Z49" s="1"/>
      <c r="AA49" s="1"/>
      <c r="AB49" s="1"/>
      <c r="AC49" s="1"/>
      <c r="AD49" s="1"/>
      <c r="AE49" s="1"/>
      <c r="AF49" s="1"/>
    </row>
    <row r="50" spans="1:32" hidden="1">
      <c r="A50" s="122" t="s">
        <v>479</v>
      </c>
      <c r="B50" s="143" t="s">
        <v>541</v>
      </c>
      <c r="C50" s="29">
        <v>295.76</v>
      </c>
      <c r="D50" s="26" t="s">
        <v>12</v>
      </c>
      <c r="E50" s="29" t="s">
        <v>442</v>
      </c>
      <c r="F50" s="42"/>
      <c r="G50" s="25"/>
      <c r="H50" s="25"/>
      <c r="I50" s="25"/>
      <c r="J50" s="25"/>
      <c r="K50" s="25"/>
      <c r="L50" s="25"/>
      <c r="M50" s="32"/>
      <c r="N50" s="31">
        <v>24.64</v>
      </c>
      <c r="O50" s="84">
        <v>24.64</v>
      </c>
      <c r="P50" s="84">
        <v>24.64</v>
      </c>
      <c r="Q50" s="31">
        <v>24.64</v>
      </c>
      <c r="R50" s="31">
        <v>24.64</v>
      </c>
      <c r="S50" s="31">
        <v>24.64</v>
      </c>
      <c r="T50" s="193">
        <v>24.64</v>
      </c>
      <c r="U50" s="175">
        <v>24.64</v>
      </c>
      <c r="V50" s="175">
        <v>24.64</v>
      </c>
      <c r="W50" s="175">
        <v>24.64</v>
      </c>
      <c r="X50" s="198">
        <v>24.64</v>
      </c>
      <c r="Y50" s="207">
        <v>24.72</v>
      </c>
      <c r="Z50" s="1"/>
      <c r="AA50" s="1"/>
      <c r="AB50" s="1"/>
      <c r="AC50" s="1"/>
      <c r="AD50" s="1"/>
      <c r="AE50" s="1"/>
      <c r="AF50" s="1"/>
    </row>
    <row r="51" spans="1:32">
      <c r="A51" s="122"/>
      <c r="B51" s="145" t="s">
        <v>204</v>
      </c>
      <c r="C51" s="27">
        <v>296.54000000000002</v>
      </c>
      <c r="D51" s="26" t="s">
        <v>12</v>
      </c>
      <c r="E51" s="29" t="s">
        <v>419</v>
      </c>
      <c r="F51" s="25"/>
      <c r="G51" s="25"/>
      <c r="H51" s="25"/>
      <c r="I51" s="25"/>
      <c r="J51" s="25"/>
      <c r="K51" s="31">
        <v>37.06</v>
      </c>
      <c r="L51" s="31">
        <v>37.06</v>
      </c>
      <c r="M51" s="31">
        <v>37.06</v>
      </c>
      <c r="N51" s="31">
        <v>37.06</v>
      </c>
      <c r="O51" s="31">
        <v>37.06</v>
      </c>
      <c r="P51" s="31">
        <v>37.06</v>
      </c>
      <c r="Q51" s="99">
        <v>37.06</v>
      </c>
      <c r="R51" s="31">
        <v>37.119999999999997</v>
      </c>
      <c r="S51" s="25"/>
      <c r="T51" s="172"/>
      <c r="U51" s="172"/>
      <c r="V51" s="172"/>
      <c r="W51" s="172"/>
      <c r="X51" s="173"/>
      <c r="Y51" s="173"/>
      <c r="Z51" s="1"/>
      <c r="AA51" s="1"/>
      <c r="AB51" s="1"/>
      <c r="AC51" s="1"/>
      <c r="AD51" s="1"/>
      <c r="AE51" s="1"/>
      <c r="AF51" s="1"/>
    </row>
    <row r="52" spans="1:32" hidden="1">
      <c r="A52" s="124" t="s">
        <v>480</v>
      </c>
      <c r="B52" s="146" t="s">
        <v>542</v>
      </c>
      <c r="C52" s="28">
        <v>299.18</v>
      </c>
      <c r="D52" s="30" t="s">
        <v>12</v>
      </c>
      <c r="E52" s="50"/>
      <c r="F52" s="22"/>
      <c r="G52" s="22"/>
      <c r="H52" s="22"/>
      <c r="I52" s="22"/>
      <c r="J52" s="22"/>
      <c r="K52" s="22"/>
      <c r="L52" s="55">
        <v>99.72</v>
      </c>
      <c r="M52" s="55">
        <v>99.72</v>
      </c>
      <c r="N52" s="55">
        <v>99.74</v>
      </c>
      <c r="O52" s="22"/>
      <c r="P52" s="22"/>
      <c r="Q52" s="22"/>
      <c r="R52" s="22"/>
      <c r="S52" s="22"/>
      <c r="T52" s="179"/>
      <c r="U52" s="179"/>
      <c r="V52" s="179"/>
      <c r="W52" s="179"/>
      <c r="X52" s="174"/>
      <c r="Y52" s="174"/>
      <c r="Z52" s="1"/>
      <c r="AA52" s="1"/>
      <c r="AB52" s="1"/>
      <c r="AC52" s="1"/>
      <c r="AD52" s="1"/>
      <c r="AE52" s="1"/>
      <c r="AF52" s="1"/>
    </row>
    <row r="53" spans="1:32" ht="18" customHeight="1">
      <c r="A53" s="122"/>
      <c r="B53" s="29" t="s">
        <v>197</v>
      </c>
      <c r="C53" s="27">
        <v>304.25</v>
      </c>
      <c r="D53" s="26" t="s">
        <v>12</v>
      </c>
      <c r="E53" s="29" t="s">
        <v>302</v>
      </c>
      <c r="F53" s="25"/>
      <c r="G53" s="25"/>
      <c r="H53" s="25"/>
      <c r="I53" s="25"/>
      <c r="J53" s="25"/>
      <c r="K53" s="31">
        <v>38.04</v>
      </c>
      <c r="L53" s="31">
        <v>38.03</v>
      </c>
      <c r="M53" s="31">
        <v>38.03</v>
      </c>
      <c r="N53" s="31">
        <v>38.03</v>
      </c>
      <c r="O53" s="31">
        <v>38.03</v>
      </c>
      <c r="P53" s="31">
        <v>38.03</v>
      </c>
      <c r="Q53" s="99">
        <v>38.03</v>
      </c>
      <c r="R53" s="31">
        <v>38.04</v>
      </c>
      <c r="S53" s="25"/>
      <c r="T53" s="172"/>
      <c r="U53" s="172"/>
      <c r="V53" s="172"/>
      <c r="W53" s="172"/>
      <c r="X53" s="173"/>
      <c r="Y53" s="173"/>
      <c r="Z53" s="1"/>
      <c r="AA53" s="1"/>
      <c r="AB53" s="1"/>
      <c r="AC53" s="1"/>
      <c r="AD53" s="1"/>
      <c r="AE53" s="1"/>
      <c r="AF53" s="1"/>
    </row>
    <row r="54" spans="1:32" hidden="1">
      <c r="A54" s="121" t="s">
        <v>481</v>
      </c>
      <c r="B54" s="98" t="s">
        <v>530</v>
      </c>
      <c r="C54" s="97" t="s">
        <v>432</v>
      </c>
      <c r="D54" s="60" t="s">
        <v>12</v>
      </c>
      <c r="E54" s="29" t="s">
        <v>439</v>
      </c>
      <c r="F54" s="61"/>
      <c r="G54" s="32"/>
      <c r="H54" s="32"/>
      <c r="I54" s="32"/>
      <c r="J54" s="32" t="s">
        <v>2</v>
      </c>
      <c r="K54" s="32"/>
      <c r="L54" s="32"/>
      <c r="M54" s="32"/>
      <c r="N54" s="32"/>
      <c r="O54" s="32"/>
      <c r="P54" s="32"/>
      <c r="Q54" s="32"/>
      <c r="R54" s="32"/>
      <c r="S54" s="32"/>
      <c r="T54" s="176"/>
      <c r="U54" s="176"/>
      <c r="V54" s="176"/>
      <c r="W54" s="176"/>
      <c r="X54" s="177"/>
      <c r="Y54" s="174"/>
      <c r="Z54" s="1"/>
      <c r="AA54" s="1"/>
      <c r="AB54" s="1"/>
      <c r="AC54" s="1"/>
      <c r="AD54" s="1"/>
      <c r="AE54" s="1"/>
      <c r="AF54" s="1"/>
    </row>
    <row r="55" spans="1:32" hidden="1">
      <c r="A55" s="121" t="s">
        <v>482</v>
      </c>
      <c r="B55" s="98" t="s">
        <v>540</v>
      </c>
      <c r="C55" s="98" t="s">
        <v>433</v>
      </c>
      <c r="D55" s="60" t="s">
        <v>12</v>
      </c>
      <c r="E55" s="29" t="s">
        <v>439</v>
      </c>
      <c r="F55" s="61"/>
      <c r="G55" s="32"/>
      <c r="H55" s="32"/>
      <c r="I55" s="32"/>
      <c r="J55" s="32"/>
      <c r="K55" s="32"/>
      <c r="L55" s="32"/>
      <c r="M55" s="32"/>
      <c r="N55" s="32"/>
      <c r="O55" s="32"/>
      <c r="P55" s="32"/>
      <c r="Q55" s="32"/>
      <c r="R55" s="32"/>
      <c r="S55" s="32"/>
      <c r="T55" s="176"/>
      <c r="U55" s="176"/>
      <c r="V55" s="176"/>
      <c r="W55" s="176"/>
      <c r="X55" s="177"/>
      <c r="Y55" s="173"/>
      <c r="Z55" s="1"/>
      <c r="AA55" s="1"/>
      <c r="AB55" s="1"/>
      <c r="AC55" s="1"/>
      <c r="AD55" s="1"/>
      <c r="AE55" s="1"/>
      <c r="AF55" s="1"/>
    </row>
    <row r="56" spans="1:32" hidden="1">
      <c r="A56" s="123" t="s">
        <v>483</v>
      </c>
      <c r="B56" s="98" t="s">
        <v>542</v>
      </c>
      <c r="C56" s="98" t="s">
        <v>583</v>
      </c>
      <c r="D56" s="60" t="s">
        <v>12</v>
      </c>
      <c r="E56" s="88" t="s">
        <v>452</v>
      </c>
      <c r="F56" s="32"/>
      <c r="G56" s="32"/>
      <c r="H56" s="32"/>
      <c r="I56" s="32"/>
      <c r="J56" s="32"/>
      <c r="K56" s="32"/>
      <c r="L56" s="32"/>
      <c r="M56" s="32"/>
      <c r="N56" s="32"/>
      <c r="O56" s="32"/>
      <c r="P56" s="32"/>
      <c r="Q56" s="32"/>
      <c r="R56" s="32"/>
      <c r="S56" s="32"/>
      <c r="T56" s="176"/>
      <c r="U56" s="176"/>
      <c r="V56" s="176"/>
      <c r="W56" s="176"/>
      <c r="X56" s="177"/>
      <c r="Y56" s="174"/>
      <c r="Z56" s="1"/>
      <c r="AA56" s="1"/>
      <c r="AB56" s="1"/>
      <c r="AC56" s="1"/>
      <c r="AD56" s="1"/>
      <c r="AE56" s="1"/>
      <c r="AF56" s="1"/>
    </row>
    <row r="57" spans="1:32">
      <c r="A57" s="122" t="s">
        <v>484</v>
      </c>
      <c r="B57" s="142" t="s">
        <v>543</v>
      </c>
      <c r="C57" s="77">
        <v>392.29</v>
      </c>
      <c r="D57" s="26" t="s">
        <v>12</v>
      </c>
      <c r="E57" s="29" t="s">
        <v>31</v>
      </c>
      <c r="F57" s="25"/>
      <c r="G57" s="25"/>
      <c r="H57" s="25"/>
      <c r="I57" s="25"/>
      <c r="J57" s="25"/>
      <c r="K57" s="25"/>
      <c r="L57" s="25"/>
      <c r="M57" s="31">
        <v>32.69</v>
      </c>
      <c r="N57" s="31">
        <v>32.69</v>
      </c>
      <c r="O57" s="84">
        <v>32.69</v>
      </c>
      <c r="P57" s="31">
        <v>32.69</v>
      </c>
      <c r="Q57" s="31">
        <v>32.69</v>
      </c>
      <c r="R57" s="31">
        <v>32.69</v>
      </c>
      <c r="S57" s="31">
        <v>32.69</v>
      </c>
      <c r="T57" s="175">
        <v>32.69</v>
      </c>
      <c r="U57" s="175">
        <v>32.69</v>
      </c>
      <c r="V57" s="175">
        <v>32.69</v>
      </c>
      <c r="W57" s="175">
        <v>32.69</v>
      </c>
      <c r="X57" s="198">
        <v>32.700000000000003</v>
      </c>
      <c r="Y57" s="173"/>
      <c r="Z57" s="1"/>
      <c r="AA57" s="1"/>
      <c r="AB57" s="1"/>
      <c r="AC57" s="1"/>
      <c r="AD57" s="1"/>
      <c r="AE57" s="1"/>
      <c r="AF57" s="1"/>
    </row>
    <row r="58" spans="1:32">
      <c r="A58" s="124" t="s">
        <v>485</v>
      </c>
      <c r="B58" s="23" t="s">
        <v>545</v>
      </c>
      <c r="C58" s="28">
        <v>428.05</v>
      </c>
      <c r="D58" s="24" t="s">
        <v>12</v>
      </c>
      <c r="E58" s="23" t="s">
        <v>440</v>
      </c>
      <c r="F58" s="22"/>
      <c r="G58" s="22"/>
      <c r="H58" s="22"/>
      <c r="I58" s="22"/>
      <c r="J58" s="22"/>
      <c r="K58" s="22"/>
      <c r="L58" s="22"/>
      <c r="M58" s="55">
        <v>35.67</v>
      </c>
      <c r="N58" s="83">
        <v>35.67</v>
      </c>
      <c r="O58" s="83">
        <v>35.67</v>
      </c>
      <c r="P58" s="83">
        <v>35.67</v>
      </c>
      <c r="Q58" s="55">
        <v>35.67</v>
      </c>
      <c r="R58" s="55">
        <v>35.67</v>
      </c>
      <c r="S58" s="55">
        <v>35.67</v>
      </c>
      <c r="T58" s="182">
        <v>35.67</v>
      </c>
      <c r="U58" s="182">
        <v>35.67</v>
      </c>
      <c r="V58" s="182">
        <v>35.67</v>
      </c>
      <c r="W58" s="182">
        <v>35.67</v>
      </c>
      <c r="X58" s="210">
        <v>35.67</v>
      </c>
      <c r="Y58" s="174"/>
      <c r="Z58" s="1"/>
      <c r="AA58" s="1"/>
      <c r="AB58" s="1"/>
      <c r="AC58" s="1"/>
      <c r="AD58" s="1"/>
      <c r="AE58" s="1"/>
      <c r="AF58" s="1"/>
    </row>
    <row r="59" spans="1:32">
      <c r="A59" s="122" t="s">
        <v>516</v>
      </c>
      <c r="B59" s="98" t="s">
        <v>546</v>
      </c>
      <c r="C59" s="57">
        <v>486.23</v>
      </c>
      <c r="D59" s="60" t="s">
        <v>12</v>
      </c>
      <c r="E59" s="102"/>
      <c r="F59" s="61"/>
      <c r="G59" s="32"/>
      <c r="H59" s="32"/>
      <c r="I59" s="32"/>
      <c r="J59" s="32"/>
      <c r="K59" s="32"/>
      <c r="L59" s="32"/>
      <c r="M59" s="31">
        <v>40.51</v>
      </c>
      <c r="N59" s="31">
        <v>40.51</v>
      </c>
      <c r="O59" s="31">
        <v>40.51</v>
      </c>
      <c r="P59" s="31">
        <v>40.51</v>
      </c>
      <c r="Q59" s="31">
        <v>40.51</v>
      </c>
      <c r="R59" s="31">
        <v>40.51</v>
      </c>
      <c r="S59" s="31">
        <v>40.51</v>
      </c>
      <c r="T59" s="175">
        <v>40.51</v>
      </c>
      <c r="U59" s="175">
        <v>40.51</v>
      </c>
      <c r="V59" s="175">
        <v>40.51</v>
      </c>
      <c r="W59" s="175">
        <v>40.51</v>
      </c>
      <c r="X59" s="198">
        <v>40.619999999999997</v>
      </c>
      <c r="Y59" s="174"/>
      <c r="Z59" s="1"/>
      <c r="AA59" s="1"/>
      <c r="AB59" s="1"/>
      <c r="AC59" s="1"/>
      <c r="AD59" s="1"/>
      <c r="AE59" s="1"/>
      <c r="AF59" s="1"/>
    </row>
    <row r="60" spans="1:32" hidden="1">
      <c r="A60" s="152" t="s">
        <v>486</v>
      </c>
      <c r="B60" s="141" t="s">
        <v>531</v>
      </c>
      <c r="C60" s="154" t="s">
        <v>454</v>
      </c>
      <c r="D60" s="155" t="s">
        <v>12</v>
      </c>
      <c r="E60" s="103"/>
      <c r="F60" s="101"/>
      <c r="G60" s="72"/>
      <c r="H60" s="72"/>
      <c r="I60" s="72"/>
      <c r="J60" s="72"/>
      <c r="K60" s="72"/>
      <c r="L60" s="72"/>
      <c r="M60" s="95"/>
      <c r="N60" s="72"/>
      <c r="O60" s="72"/>
      <c r="P60" s="72"/>
      <c r="Q60" s="164">
        <v>152.77000000000001</v>
      </c>
      <c r="R60" s="163">
        <v>152.77000000000001</v>
      </c>
      <c r="S60" s="163">
        <v>152.77000000000001</v>
      </c>
      <c r="T60" s="192">
        <v>152.77000000000001</v>
      </c>
      <c r="U60" s="197">
        <v>152.77000000000001</v>
      </c>
      <c r="V60" s="192">
        <v>152.81</v>
      </c>
      <c r="W60" s="183"/>
      <c r="X60" s="184"/>
      <c r="Y60" s="184"/>
      <c r="Z60" s="1"/>
      <c r="AA60" s="1"/>
      <c r="AB60" s="1"/>
      <c r="AC60" s="1"/>
      <c r="AD60" s="1"/>
      <c r="AE60" s="1"/>
      <c r="AF60" s="1"/>
    </row>
    <row r="61" spans="1:32" hidden="1">
      <c r="A61" s="115" t="s">
        <v>488</v>
      </c>
      <c r="B61" s="17" t="s">
        <v>548</v>
      </c>
      <c r="C61" s="16">
        <v>616.72</v>
      </c>
      <c r="D61" s="15" t="s">
        <v>12</v>
      </c>
      <c r="E61" s="13" t="s">
        <v>31</v>
      </c>
      <c r="F61" s="8"/>
      <c r="G61" s="6"/>
      <c r="H61" s="6"/>
      <c r="I61" s="6"/>
      <c r="J61" s="6"/>
      <c r="K61" s="6"/>
      <c r="L61" s="6"/>
      <c r="M61" s="6"/>
      <c r="N61" s="33">
        <v>51.39</v>
      </c>
      <c r="O61" s="33">
        <v>51.39</v>
      </c>
      <c r="P61" s="33">
        <v>51.39</v>
      </c>
      <c r="Q61" s="104">
        <v>51.39</v>
      </c>
      <c r="R61" s="33">
        <v>51.39</v>
      </c>
      <c r="S61" s="33">
        <v>51.39</v>
      </c>
      <c r="T61" s="2">
        <v>51.39</v>
      </c>
      <c r="U61" s="2">
        <v>51.39</v>
      </c>
      <c r="V61" s="2">
        <v>51.39</v>
      </c>
      <c r="W61" s="2">
        <v>51.39</v>
      </c>
      <c r="X61" s="2">
        <v>51.39</v>
      </c>
      <c r="Y61" s="2">
        <v>51.43</v>
      </c>
      <c r="Z61" s="1"/>
      <c r="AA61" s="1"/>
      <c r="AB61" s="1"/>
      <c r="AC61" s="1"/>
      <c r="AD61" s="1"/>
      <c r="AE61" s="1"/>
      <c r="AF61" s="1"/>
    </row>
    <row r="62" spans="1:32">
      <c r="A62" s="115" t="s">
        <v>490</v>
      </c>
      <c r="B62" s="17" t="s">
        <v>547</v>
      </c>
      <c r="C62" s="16" t="s">
        <v>374</v>
      </c>
      <c r="D62" s="15" t="s">
        <v>12</v>
      </c>
      <c r="E62" s="12" t="s">
        <v>31</v>
      </c>
      <c r="F62" s="8"/>
      <c r="G62" s="6"/>
      <c r="H62" s="6"/>
      <c r="I62" s="6"/>
      <c r="J62" s="6"/>
      <c r="K62" s="6"/>
      <c r="L62" s="6"/>
      <c r="M62" s="6"/>
      <c r="N62" s="6"/>
      <c r="O62" s="33">
        <v>126.39</v>
      </c>
      <c r="P62" s="33">
        <v>126.39</v>
      </c>
      <c r="Q62" s="33">
        <v>126.39</v>
      </c>
      <c r="R62" s="33">
        <v>126.39</v>
      </c>
      <c r="S62" s="33">
        <v>126.39</v>
      </c>
      <c r="T62" s="2">
        <v>126.39</v>
      </c>
      <c r="U62" s="2">
        <v>126.39</v>
      </c>
      <c r="V62" s="2">
        <v>126.39</v>
      </c>
      <c r="W62" s="2">
        <v>126.39</v>
      </c>
      <c r="X62" s="2">
        <v>126.39</v>
      </c>
      <c r="Y62" s="2">
        <v>126.39</v>
      </c>
      <c r="Z62" s="54"/>
      <c r="AA62" s="1"/>
      <c r="AB62" s="1"/>
      <c r="AC62" s="1"/>
      <c r="AD62" s="1"/>
      <c r="AE62" s="1"/>
      <c r="AF62" s="1"/>
    </row>
    <row r="63" spans="1:32">
      <c r="A63" s="113" t="s">
        <v>491</v>
      </c>
      <c r="B63" s="17" t="s">
        <v>550</v>
      </c>
      <c r="C63" s="65">
        <v>812.27</v>
      </c>
      <c r="D63" s="15" t="s">
        <v>12</v>
      </c>
      <c r="E63" s="105" t="s">
        <v>424</v>
      </c>
      <c r="F63" s="8"/>
      <c r="G63" s="6"/>
      <c r="H63" s="6"/>
      <c r="I63" s="6"/>
      <c r="J63" s="6"/>
      <c r="K63" s="6"/>
      <c r="L63" s="6"/>
      <c r="M63" s="66">
        <v>67.680000000000007</v>
      </c>
      <c r="N63" s="33">
        <v>67.680000000000007</v>
      </c>
      <c r="O63" s="33">
        <v>67.680000000000007</v>
      </c>
      <c r="P63" s="82">
        <v>67.680000000000007</v>
      </c>
      <c r="Q63" s="33">
        <v>67.680000000000007</v>
      </c>
      <c r="R63" s="33">
        <v>67.680000000000007</v>
      </c>
      <c r="S63" s="33">
        <v>67.680000000000007</v>
      </c>
      <c r="T63" s="185">
        <v>67.680000000000007</v>
      </c>
      <c r="U63" s="2">
        <v>67.680000000000007</v>
      </c>
      <c r="V63" s="2">
        <v>67.680000000000007</v>
      </c>
      <c r="W63" s="2">
        <v>67.680000000000007</v>
      </c>
      <c r="X63" s="2">
        <v>67.790000000000006</v>
      </c>
      <c r="Y63" s="54"/>
      <c r="Z63" s="1"/>
      <c r="AA63" s="1"/>
      <c r="AB63" s="1"/>
      <c r="AC63" s="1"/>
      <c r="AD63" s="1"/>
      <c r="AE63" s="1"/>
      <c r="AF63" s="1"/>
    </row>
    <row r="64" spans="1:32">
      <c r="A64" s="131" t="s">
        <v>492</v>
      </c>
      <c r="B64" s="140" t="s">
        <v>551</v>
      </c>
      <c r="C64" s="44">
        <v>882.61</v>
      </c>
      <c r="D64" s="14" t="s">
        <v>12</v>
      </c>
      <c r="E64" s="13" t="s">
        <v>424</v>
      </c>
      <c r="M64" s="66">
        <v>73.55</v>
      </c>
      <c r="N64" s="33">
        <v>73.55</v>
      </c>
      <c r="O64" s="33">
        <v>73.55</v>
      </c>
      <c r="P64" s="82">
        <v>73.55</v>
      </c>
      <c r="Q64" s="33">
        <v>73.55</v>
      </c>
      <c r="R64" s="33">
        <v>73.55</v>
      </c>
      <c r="S64" s="33">
        <v>73.55</v>
      </c>
      <c r="T64" s="2">
        <v>73.55</v>
      </c>
      <c r="U64" s="2">
        <v>73.55</v>
      </c>
      <c r="V64" s="2">
        <v>73.55</v>
      </c>
      <c r="W64" s="2">
        <v>73.55</v>
      </c>
      <c r="X64" s="2">
        <v>73.56</v>
      </c>
      <c r="Y64" s="1"/>
      <c r="Z64" s="1"/>
      <c r="AA64" s="1"/>
      <c r="AB64" s="1"/>
      <c r="AC64" s="1"/>
      <c r="AD64" s="1"/>
      <c r="AE64" s="1"/>
      <c r="AF64" s="1"/>
    </row>
    <row r="65" spans="1:32">
      <c r="A65" s="120" t="s">
        <v>225</v>
      </c>
      <c r="B65" s="17" t="s">
        <v>552</v>
      </c>
      <c r="C65" s="59" t="s">
        <v>453</v>
      </c>
      <c r="D65" s="14" t="s">
        <v>12</v>
      </c>
      <c r="E65" s="13"/>
      <c r="F65" s="4"/>
      <c r="M65" s="111"/>
      <c r="N65" s="6"/>
      <c r="O65" s="6"/>
      <c r="P65" s="6"/>
      <c r="Q65" s="33">
        <v>350.53</v>
      </c>
      <c r="R65" s="33">
        <v>350.53</v>
      </c>
      <c r="S65" s="33">
        <v>350.53</v>
      </c>
      <c r="T65" s="80">
        <v>350.53</v>
      </c>
      <c r="U65" s="78">
        <v>350.53</v>
      </c>
      <c r="V65" s="80">
        <v>350.53</v>
      </c>
      <c r="W65" s="185">
        <v>350.53</v>
      </c>
      <c r="X65" s="2">
        <v>350.57</v>
      </c>
      <c r="Y65" s="1"/>
      <c r="Z65" s="1"/>
      <c r="AA65" s="1"/>
      <c r="AB65" s="1"/>
      <c r="AC65" s="1"/>
      <c r="AD65" s="1"/>
      <c r="AE65" s="1"/>
      <c r="AF65" s="1"/>
    </row>
    <row r="66" spans="1:32">
      <c r="A66" s="120" t="s">
        <v>225</v>
      </c>
      <c r="B66" s="17" t="s">
        <v>552</v>
      </c>
      <c r="C66" s="16" t="s">
        <v>398</v>
      </c>
      <c r="D66" s="15" t="s">
        <v>12</v>
      </c>
      <c r="E66" s="109" t="s">
        <v>457</v>
      </c>
      <c r="F66" s="8"/>
      <c r="G66" s="6"/>
      <c r="H66" s="6"/>
      <c r="I66" s="6"/>
      <c r="J66" s="6"/>
      <c r="K66" s="6"/>
      <c r="L66" s="6"/>
      <c r="M66" s="6"/>
      <c r="N66" s="6"/>
      <c r="O66" s="6"/>
      <c r="P66" s="82">
        <v>205.29</v>
      </c>
      <c r="Q66" s="33">
        <v>205.29</v>
      </c>
      <c r="R66" s="33">
        <v>205.29</v>
      </c>
      <c r="S66" s="33">
        <v>205.29</v>
      </c>
      <c r="T66" s="185">
        <v>205.29</v>
      </c>
      <c r="U66" s="185">
        <v>205.29</v>
      </c>
      <c r="V66" s="185">
        <v>205.29</v>
      </c>
      <c r="W66" s="185">
        <v>205.29</v>
      </c>
      <c r="X66" s="185">
        <v>205.29</v>
      </c>
      <c r="Y66" s="54"/>
      <c r="Z66" s="1"/>
      <c r="AA66" s="1"/>
      <c r="AB66" s="1"/>
      <c r="AC66" s="1"/>
      <c r="AD66" s="1"/>
      <c r="AE66" s="1"/>
      <c r="AF66" s="1"/>
    </row>
    <row r="67" spans="1:32">
      <c r="A67" s="115" t="s">
        <v>485</v>
      </c>
      <c r="B67" s="17" t="s">
        <v>545</v>
      </c>
      <c r="C67" s="16" t="s">
        <v>376</v>
      </c>
      <c r="D67" s="15" t="s">
        <v>12</v>
      </c>
      <c r="E67" s="12" t="s">
        <v>459</v>
      </c>
      <c r="F67" s="8"/>
      <c r="G67" s="6"/>
      <c r="H67" s="6"/>
      <c r="I67" s="6"/>
      <c r="J67" s="6"/>
      <c r="K67" s="6"/>
      <c r="L67" s="6"/>
      <c r="M67" s="6"/>
      <c r="N67" s="6"/>
      <c r="O67" s="6"/>
      <c r="P67" s="82">
        <v>202.84</v>
      </c>
      <c r="Q67" s="33">
        <v>202.84</v>
      </c>
      <c r="R67" s="33">
        <v>202.84</v>
      </c>
      <c r="S67" s="33">
        <v>202.84</v>
      </c>
      <c r="T67" s="186">
        <v>202.84</v>
      </c>
      <c r="U67" s="2">
        <v>202.84</v>
      </c>
      <c r="V67" s="2">
        <v>202.84</v>
      </c>
      <c r="W67" s="2">
        <v>202.84</v>
      </c>
      <c r="X67" s="2">
        <v>202.84</v>
      </c>
      <c r="Y67" s="2">
        <v>202.84</v>
      </c>
      <c r="Z67" s="54"/>
      <c r="AA67" s="1"/>
      <c r="AB67" s="1"/>
      <c r="AC67" s="1"/>
      <c r="AD67" s="1"/>
      <c r="AE67" s="1"/>
      <c r="AF67" s="1"/>
    </row>
    <row r="68" spans="1:32" hidden="1">
      <c r="A68" s="113" t="s">
        <v>493</v>
      </c>
      <c r="B68" s="141" t="s">
        <v>555</v>
      </c>
      <c r="C68" s="48">
        <v>1171.05</v>
      </c>
      <c r="D68" s="14" t="s">
        <v>12</v>
      </c>
      <c r="E68" s="13" t="s">
        <v>425</v>
      </c>
      <c r="M68" s="66">
        <v>97.58</v>
      </c>
      <c r="N68" s="33">
        <v>97.58</v>
      </c>
      <c r="O68" s="33">
        <v>97.58</v>
      </c>
      <c r="P68" s="33">
        <v>97.58</v>
      </c>
      <c r="Q68" s="33">
        <v>97.58</v>
      </c>
      <c r="R68" s="33">
        <v>97.58</v>
      </c>
      <c r="S68" s="33">
        <v>97.58</v>
      </c>
      <c r="T68" s="2">
        <v>97.58</v>
      </c>
      <c r="U68" s="2">
        <v>97.58</v>
      </c>
      <c r="V68" s="2">
        <v>97.58</v>
      </c>
      <c r="W68" s="2">
        <v>97.58</v>
      </c>
      <c r="X68" s="2">
        <v>97.67</v>
      </c>
      <c r="Y68" s="1"/>
      <c r="Z68" s="1"/>
      <c r="AA68" s="1"/>
      <c r="AB68" s="1"/>
      <c r="AC68" s="1"/>
      <c r="AD68" s="1"/>
      <c r="AE68" s="1"/>
      <c r="AF68" s="1"/>
    </row>
    <row r="69" spans="1:32" hidden="1">
      <c r="A69" s="125" t="s">
        <v>87</v>
      </c>
      <c r="B69" s="140" t="s">
        <v>557</v>
      </c>
      <c r="C69" s="44">
        <v>1602.38</v>
      </c>
      <c r="D69" s="14" t="s">
        <v>12</v>
      </c>
      <c r="E69" s="100" t="s">
        <v>390</v>
      </c>
      <c r="F69" s="64"/>
      <c r="G69" s="64"/>
      <c r="H69" s="64"/>
      <c r="I69" s="64"/>
      <c r="J69" s="64"/>
      <c r="K69" s="66">
        <v>493.54</v>
      </c>
      <c r="L69" s="110">
        <v>493.54</v>
      </c>
      <c r="M69" s="66">
        <v>493.54</v>
      </c>
      <c r="N69" s="66">
        <v>493.54</v>
      </c>
      <c r="O69" s="66">
        <v>493.58</v>
      </c>
      <c r="P69" s="66">
        <v>493.58</v>
      </c>
      <c r="T69" s="1"/>
      <c r="U69" s="1"/>
      <c r="V69" s="1"/>
      <c r="W69" s="1"/>
      <c r="X69" s="1"/>
      <c r="Y69" s="1"/>
      <c r="Z69" s="1"/>
      <c r="AA69" s="1"/>
      <c r="AB69" s="1"/>
      <c r="AC69" s="1"/>
      <c r="AD69" s="1"/>
      <c r="AE69" s="1"/>
      <c r="AF69" s="1"/>
    </row>
    <row r="70" spans="1:32">
      <c r="A70" s="131" t="s">
        <v>225</v>
      </c>
      <c r="B70" s="140" t="s">
        <v>552</v>
      </c>
      <c r="C70" s="44">
        <v>1767.7</v>
      </c>
      <c r="D70" s="14" t="s">
        <v>12</v>
      </c>
      <c r="E70" s="13" t="s">
        <v>426</v>
      </c>
      <c r="M70" s="66">
        <v>147.30000000000001</v>
      </c>
      <c r="N70" s="33">
        <v>147.30000000000001</v>
      </c>
      <c r="O70" s="33">
        <v>147.30000000000001</v>
      </c>
      <c r="P70" s="82">
        <v>147.30000000000001</v>
      </c>
      <c r="Q70" s="33">
        <v>147.30000000000001</v>
      </c>
      <c r="R70" s="33">
        <v>147.30000000000001</v>
      </c>
      <c r="S70" s="33">
        <v>147.30000000000001</v>
      </c>
      <c r="T70" s="2">
        <v>147.30000000000001</v>
      </c>
      <c r="U70" s="2">
        <v>147.30000000000001</v>
      </c>
      <c r="V70" s="2">
        <v>147.30000000000001</v>
      </c>
      <c r="W70" s="2">
        <v>147.30000000000001</v>
      </c>
      <c r="X70" s="185">
        <v>147.4</v>
      </c>
      <c r="Y70" s="1"/>
      <c r="Z70" s="54"/>
      <c r="AA70" s="54"/>
      <c r="AB70" s="1"/>
      <c r="AC70" s="1"/>
      <c r="AD70" s="1"/>
      <c r="AE70" s="1"/>
      <c r="AF70" s="1"/>
    </row>
    <row r="71" spans="1:32">
      <c r="A71" s="113" t="s">
        <v>494</v>
      </c>
      <c r="B71" s="140" t="s">
        <v>559</v>
      </c>
      <c r="C71" s="59" t="s">
        <v>300</v>
      </c>
      <c r="D71" s="14" t="s">
        <v>12</v>
      </c>
      <c r="E71" s="13"/>
      <c r="F71" s="5"/>
      <c r="G71" s="5"/>
      <c r="H71" s="5"/>
      <c r="I71" s="5"/>
      <c r="J71" s="5"/>
      <c r="K71" s="5"/>
      <c r="M71" s="66">
        <v>331.24</v>
      </c>
      <c r="N71" s="33">
        <v>331.24</v>
      </c>
      <c r="O71" s="33">
        <v>331.24</v>
      </c>
      <c r="P71" s="33">
        <v>331.24</v>
      </c>
      <c r="Q71" s="33">
        <v>331.24</v>
      </c>
      <c r="R71" s="82">
        <v>331.24</v>
      </c>
      <c r="S71" s="33">
        <v>331.24</v>
      </c>
      <c r="T71" s="2">
        <v>331.24</v>
      </c>
      <c r="U71" s="80">
        <v>331.24</v>
      </c>
      <c r="V71" s="2">
        <v>331.24</v>
      </c>
      <c r="W71" s="2">
        <v>331.24</v>
      </c>
      <c r="X71" s="2">
        <v>331.26</v>
      </c>
      <c r="Y71" s="1"/>
      <c r="Z71" s="1"/>
      <c r="AA71" s="1"/>
      <c r="AB71" s="1"/>
      <c r="AC71" s="1"/>
      <c r="AD71" s="1"/>
      <c r="AE71" s="1"/>
      <c r="AF71" s="1"/>
    </row>
    <row r="72" spans="1:32">
      <c r="A72" s="113" t="s">
        <v>495</v>
      </c>
      <c r="B72" s="194" t="s">
        <v>550</v>
      </c>
      <c r="C72" s="19" t="s">
        <v>338</v>
      </c>
      <c r="D72" s="14" t="s">
        <v>12</v>
      </c>
      <c r="E72" s="10"/>
      <c r="F72" s="4"/>
      <c r="M72" s="6"/>
      <c r="N72" s="33">
        <v>154.83000000000001</v>
      </c>
      <c r="O72" s="82">
        <v>154.83000000000001</v>
      </c>
      <c r="P72" s="82">
        <v>154.83000000000001</v>
      </c>
      <c r="Q72" s="104">
        <v>154.83000000000001</v>
      </c>
      <c r="R72" s="104">
        <v>154.83000000000001</v>
      </c>
      <c r="S72">
        <v>154.83000000000001</v>
      </c>
      <c r="T72" s="1">
        <v>154.83000000000001</v>
      </c>
      <c r="U72" s="1">
        <v>154.83000000000001</v>
      </c>
      <c r="V72" s="1">
        <v>154.83000000000001</v>
      </c>
      <c r="W72" s="1">
        <v>33.840000000000003</v>
      </c>
      <c r="X72" s="1"/>
      <c r="Y72" s="1"/>
      <c r="Z72" s="1"/>
      <c r="AA72" s="1"/>
      <c r="AB72" s="1"/>
      <c r="AC72" s="1"/>
      <c r="AD72" s="1"/>
      <c r="AE72" s="1"/>
      <c r="AF72" s="1"/>
    </row>
    <row r="73" spans="1:32" hidden="1">
      <c r="A73" s="115" t="s">
        <v>496</v>
      </c>
      <c r="B73" s="17" t="s">
        <v>560</v>
      </c>
      <c r="C73" s="16"/>
      <c r="D73" s="15" t="s">
        <v>12</v>
      </c>
      <c r="E73" s="12"/>
      <c r="F73" s="6"/>
      <c r="G73" s="6"/>
      <c r="H73" s="6"/>
      <c r="I73" s="6"/>
      <c r="J73" s="6"/>
      <c r="K73" s="6"/>
      <c r="L73" s="6"/>
      <c r="M73" s="2">
        <v>27.25</v>
      </c>
      <c r="N73" s="33">
        <v>27.25</v>
      </c>
      <c r="O73" s="33">
        <v>27.25</v>
      </c>
      <c r="P73" s="33">
        <v>27.25</v>
      </c>
      <c r="Q73" s="33">
        <v>27.25</v>
      </c>
      <c r="R73" s="33">
        <v>27.25</v>
      </c>
      <c r="S73" s="33">
        <v>27.25</v>
      </c>
      <c r="T73" s="2">
        <v>27.25</v>
      </c>
      <c r="U73" s="2">
        <v>27.25</v>
      </c>
      <c r="V73" s="2">
        <v>27.25</v>
      </c>
      <c r="W73" s="2">
        <v>27.25</v>
      </c>
      <c r="X73" s="2">
        <v>27.27</v>
      </c>
      <c r="Y73" s="1"/>
      <c r="Z73" s="1"/>
      <c r="AA73" s="1"/>
      <c r="AB73" s="1"/>
      <c r="AC73" s="1"/>
      <c r="AD73" s="1"/>
      <c r="AE73" s="1"/>
      <c r="AF73" s="1"/>
    </row>
    <row r="74" spans="1:32" hidden="1">
      <c r="A74" s="115" t="s">
        <v>497</v>
      </c>
      <c r="B74" s="13" t="s">
        <v>561</v>
      </c>
      <c r="C74" s="16" t="s">
        <v>294</v>
      </c>
      <c r="D74" s="15" t="s">
        <v>12</v>
      </c>
      <c r="E74" s="12" t="s">
        <v>4</v>
      </c>
      <c r="F74" s="6"/>
      <c r="G74" s="6"/>
      <c r="H74" s="6"/>
      <c r="I74" s="6"/>
      <c r="J74" s="6"/>
      <c r="K74" s="6"/>
      <c r="L74" s="6"/>
      <c r="M74" s="2">
        <v>29.99</v>
      </c>
      <c r="N74" s="33">
        <v>29.99</v>
      </c>
      <c r="O74" s="108">
        <v>29.99</v>
      </c>
      <c r="P74" s="108">
        <v>29.99</v>
      </c>
      <c r="Q74" s="33">
        <v>29.99</v>
      </c>
      <c r="R74" s="33">
        <v>29.99</v>
      </c>
      <c r="S74" s="33">
        <v>29.99</v>
      </c>
      <c r="T74" s="2">
        <v>29.99</v>
      </c>
      <c r="U74" s="2">
        <v>29.99</v>
      </c>
      <c r="V74" s="2">
        <v>29.99</v>
      </c>
      <c r="W74" s="2">
        <v>29.99</v>
      </c>
      <c r="X74" s="2">
        <v>30.09</v>
      </c>
      <c r="Y74" s="54"/>
      <c r="Z74" s="54"/>
      <c r="AA74" s="54"/>
      <c r="AB74" s="1"/>
      <c r="AC74" s="1"/>
      <c r="AD74" s="1"/>
      <c r="AE74" s="1"/>
      <c r="AF74" s="1"/>
    </row>
    <row r="75" spans="1:32" hidden="1">
      <c r="A75" s="113" t="s">
        <v>575</v>
      </c>
      <c r="B75" s="140" t="s">
        <v>563</v>
      </c>
      <c r="C75" s="18" t="s">
        <v>332</v>
      </c>
      <c r="D75" s="14" t="s">
        <v>12</v>
      </c>
      <c r="E75" s="10"/>
      <c r="F75" s="8"/>
      <c r="G75" s="6"/>
      <c r="H75" s="6"/>
      <c r="I75" s="6"/>
      <c r="J75" s="6"/>
      <c r="K75" s="6"/>
      <c r="L75" s="6"/>
      <c r="M75" s="6"/>
      <c r="N75" s="33">
        <v>36.56</v>
      </c>
      <c r="O75" s="33">
        <v>36.56</v>
      </c>
      <c r="P75" s="82">
        <v>36.56</v>
      </c>
      <c r="Q75" s="33">
        <v>36.56</v>
      </c>
      <c r="R75" s="33">
        <v>36.56</v>
      </c>
      <c r="S75" s="33">
        <v>36.56</v>
      </c>
      <c r="T75" s="2">
        <v>36.56</v>
      </c>
      <c r="U75" s="2">
        <v>36.56</v>
      </c>
      <c r="V75" s="2">
        <v>36.56</v>
      </c>
      <c r="W75" s="2">
        <v>36.56</v>
      </c>
      <c r="X75" s="2">
        <v>36.56</v>
      </c>
      <c r="Y75" s="2">
        <v>36.630000000000003</v>
      </c>
      <c r="Z75" s="1"/>
      <c r="AA75" s="1"/>
      <c r="AB75" s="1"/>
      <c r="AC75" s="1"/>
      <c r="AD75" s="1"/>
      <c r="AE75" s="1"/>
      <c r="AF75" s="1"/>
    </row>
    <row r="76" spans="1:32" hidden="1">
      <c r="A76" s="118" t="s">
        <v>498</v>
      </c>
      <c r="B76" s="140" t="s">
        <v>564</v>
      </c>
      <c r="C76" s="18" t="s">
        <v>337</v>
      </c>
      <c r="D76" s="14" t="s">
        <v>12</v>
      </c>
      <c r="E76" s="10"/>
      <c r="F76" s="4"/>
      <c r="M76" s="6"/>
      <c r="N76" s="33">
        <v>43.58</v>
      </c>
      <c r="O76" s="33">
        <v>43.58</v>
      </c>
      <c r="P76" s="82">
        <v>43.58</v>
      </c>
      <c r="Q76" s="33">
        <v>43.58</v>
      </c>
      <c r="R76" s="33">
        <v>43.58</v>
      </c>
      <c r="S76" s="33">
        <v>43.58</v>
      </c>
      <c r="T76" s="2">
        <v>43.58</v>
      </c>
      <c r="U76" s="2">
        <v>43.58</v>
      </c>
      <c r="V76" s="2">
        <v>43.58</v>
      </c>
      <c r="W76" s="2">
        <v>43.58</v>
      </c>
      <c r="X76" s="2">
        <v>43.58</v>
      </c>
      <c r="Y76" s="2">
        <v>43.61</v>
      </c>
      <c r="Z76" s="54"/>
      <c r="AA76" s="54"/>
      <c r="AB76" s="1"/>
      <c r="AC76" s="1"/>
      <c r="AD76" s="1"/>
      <c r="AE76" s="1"/>
      <c r="AF76" s="1"/>
    </row>
    <row r="77" spans="1:32">
      <c r="A77" s="117" t="s">
        <v>499</v>
      </c>
      <c r="B77" s="17" t="s">
        <v>565</v>
      </c>
      <c r="C77" s="16" t="s">
        <v>336</v>
      </c>
      <c r="D77" s="15" t="s">
        <v>12</v>
      </c>
      <c r="E77" s="9"/>
      <c r="F77" s="8"/>
      <c r="G77" s="6"/>
      <c r="H77" s="6"/>
      <c r="I77" s="6"/>
      <c r="J77" s="6"/>
      <c r="K77" s="6"/>
      <c r="L77" s="6"/>
      <c r="M77" s="6"/>
      <c r="N77" s="33">
        <v>37.08</v>
      </c>
      <c r="O77" s="33">
        <v>37.08</v>
      </c>
      <c r="P77" s="82">
        <v>37.08</v>
      </c>
      <c r="Q77" s="82">
        <v>37.08</v>
      </c>
      <c r="R77" s="104">
        <v>37.08</v>
      </c>
      <c r="S77" s="6"/>
      <c r="T77" s="54"/>
      <c r="U77" s="54"/>
      <c r="V77" s="54"/>
      <c r="W77" s="54"/>
      <c r="X77" s="54"/>
      <c r="Y77" s="1"/>
      <c r="Z77" s="1"/>
      <c r="AA77" s="1"/>
      <c r="AB77" s="1"/>
      <c r="AC77" s="1"/>
      <c r="AD77" s="1"/>
      <c r="AE77" s="1"/>
      <c r="AF77" s="1"/>
    </row>
    <row r="78" spans="1:32">
      <c r="A78" s="113" t="s">
        <v>500</v>
      </c>
      <c r="B78" s="140" t="s">
        <v>566</v>
      </c>
      <c r="C78" s="59" t="s">
        <v>389</v>
      </c>
      <c r="D78" s="14" t="s">
        <v>12</v>
      </c>
      <c r="E78" s="29" t="s">
        <v>4</v>
      </c>
      <c r="M78" s="6"/>
      <c r="P78" s="82">
        <v>76.540000000000006</v>
      </c>
      <c r="Q78" s="33">
        <v>76.540000000000006</v>
      </c>
      <c r="R78" s="33">
        <v>76.540000000000006</v>
      </c>
      <c r="S78" s="33">
        <v>76.540000000000006</v>
      </c>
      <c r="T78" s="2">
        <v>76.540000000000006</v>
      </c>
      <c r="U78" s="2">
        <v>76.540000000000006</v>
      </c>
      <c r="V78" s="185">
        <v>76.540000000000006</v>
      </c>
      <c r="W78" s="185">
        <v>76.540000000000006</v>
      </c>
      <c r="X78" s="1"/>
      <c r="Y78" s="159"/>
      <c r="Z78" s="159"/>
      <c r="AA78" s="159"/>
      <c r="AB78" s="1"/>
      <c r="AC78" s="1"/>
      <c r="AD78" s="1"/>
      <c r="AE78" s="1"/>
      <c r="AF78" s="1"/>
    </row>
    <row r="79" spans="1:32" hidden="1">
      <c r="A79" s="126" t="s">
        <v>485</v>
      </c>
      <c r="B79" s="139" t="s">
        <v>545</v>
      </c>
      <c r="C79" s="58" t="s">
        <v>298</v>
      </c>
      <c r="D79" s="47" t="s">
        <v>12</v>
      </c>
      <c r="E79" s="50"/>
      <c r="F79" s="51"/>
      <c r="G79" s="51"/>
      <c r="H79" s="51"/>
      <c r="I79" s="51"/>
      <c r="J79" s="51"/>
      <c r="K79" s="51"/>
      <c r="L79" s="63">
        <v>109.33</v>
      </c>
      <c r="M79" s="68">
        <v>109.33</v>
      </c>
      <c r="N79" s="81">
        <v>109.33</v>
      </c>
      <c r="O79" s="81">
        <v>109.33</v>
      </c>
      <c r="P79" s="81">
        <v>109.33</v>
      </c>
      <c r="Q79" s="81">
        <v>109.33</v>
      </c>
      <c r="R79" s="63">
        <v>109.33</v>
      </c>
      <c r="S79" s="63">
        <v>109.33</v>
      </c>
      <c r="T79" s="68">
        <v>109.33</v>
      </c>
      <c r="U79" s="68">
        <v>109.33</v>
      </c>
      <c r="V79" s="68">
        <v>109.33</v>
      </c>
      <c r="W79" s="68">
        <v>109.42</v>
      </c>
      <c r="X79" s="170"/>
      <c r="Y79" s="54"/>
      <c r="Z79" s="54"/>
      <c r="AA79" s="54"/>
      <c r="AB79" s="1"/>
      <c r="AC79" s="1"/>
      <c r="AD79" s="1"/>
      <c r="AE79" s="1"/>
      <c r="AF79" s="1"/>
    </row>
    <row r="80" spans="1:32">
      <c r="A80" s="113" t="s">
        <v>501</v>
      </c>
      <c r="B80" s="140" t="s">
        <v>567</v>
      </c>
      <c r="C80" s="18" t="s">
        <v>335</v>
      </c>
      <c r="D80" s="14" t="s">
        <v>12</v>
      </c>
      <c r="E80" s="10" t="s">
        <v>457</v>
      </c>
      <c r="F80" s="4"/>
      <c r="M80" s="6"/>
      <c r="N80" s="33">
        <v>54.17</v>
      </c>
      <c r="O80" s="33">
        <v>54.17</v>
      </c>
      <c r="P80" s="82">
        <v>54.17</v>
      </c>
      <c r="Q80" s="82">
        <v>54.17</v>
      </c>
      <c r="R80" s="104">
        <v>54.17</v>
      </c>
      <c r="T80" s="1"/>
      <c r="U80" s="1"/>
      <c r="V80" s="1"/>
      <c r="W80" s="1"/>
      <c r="X80" s="1"/>
      <c r="Y80" s="159"/>
      <c r="Z80" s="159"/>
      <c r="AA80" s="159"/>
      <c r="AB80" s="1"/>
      <c r="AC80" s="1"/>
      <c r="AD80" s="1"/>
      <c r="AE80" s="1"/>
      <c r="AF80" s="1"/>
    </row>
    <row r="81" spans="1:32">
      <c r="A81" s="113" t="s">
        <v>586</v>
      </c>
      <c r="B81" s="13" t="s">
        <v>524</v>
      </c>
      <c r="C81" s="18" t="s">
        <v>333</v>
      </c>
      <c r="D81" s="14" t="s">
        <v>12</v>
      </c>
      <c r="E81" s="10"/>
      <c r="F81" s="4"/>
      <c r="M81" s="6"/>
      <c r="N81" s="82">
        <v>133.77000000000001</v>
      </c>
      <c r="O81" s="82">
        <v>133.77000000000001</v>
      </c>
      <c r="P81" s="82">
        <v>133.77000000000001</v>
      </c>
      <c r="Q81" s="82">
        <v>133.77000000000001</v>
      </c>
      <c r="R81" s="82">
        <v>133.77000000000001</v>
      </c>
      <c r="S81">
        <v>133.77000000000001</v>
      </c>
      <c r="T81" s="1">
        <v>133.77000000000001</v>
      </c>
      <c r="U81" s="1">
        <v>133.77000000000001</v>
      </c>
      <c r="V81" s="1">
        <v>133.77000000000001</v>
      </c>
      <c r="W81" s="1">
        <v>133.77000000000001</v>
      </c>
      <c r="X81" s="1"/>
      <c r="Y81" s="54"/>
      <c r="Z81" s="54"/>
      <c r="AA81" s="54"/>
      <c r="AB81" s="1"/>
      <c r="AC81" s="1"/>
      <c r="AD81" s="1"/>
      <c r="AE81" s="1"/>
      <c r="AF81" s="1"/>
    </row>
    <row r="82" spans="1:32" ht="15" customHeight="1">
      <c r="A82" s="117" t="s">
        <v>502</v>
      </c>
      <c r="B82" s="17" t="s">
        <v>553</v>
      </c>
      <c r="C82" s="59" t="s">
        <v>299</v>
      </c>
      <c r="D82" s="14" t="s">
        <v>12</v>
      </c>
      <c r="E82" s="10"/>
      <c r="L82" s="33">
        <v>158.11000000000001</v>
      </c>
      <c r="M82" s="2">
        <v>158.11000000000001</v>
      </c>
      <c r="N82" s="82">
        <v>158.11000000000001</v>
      </c>
      <c r="O82" s="82">
        <v>158.11000000000001</v>
      </c>
      <c r="P82" s="82">
        <v>158.11000000000001</v>
      </c>
      <c r="Q82" s="82">
        <v>158.11000000000001</v>
      </c>
      <c r="R82" s="33">
        <v>158.11000000000001</v>
      </c>
      <c r="S82" s="33">
        <v>158.11000000000001</v>
      </c>
      <c r="T82" s="185">
        <v>158.11000000000001</v>
      </c>
      <c r="U82" s="2">
        <v>158.11000000000001</v>
      </c>
      <c r="V82" s="2">
        <v>158.11000000000001</v>
      </c>
      <c r="W82" s="2">
        <v>158.21</v>
      </c>
      <c r="X82" s="1"/>
      <c r="Y82" s="54"/>
      <c r="Z82" s="54"/>
      <c r="AA82" s="54"/>
      <c r="AB82" s="1"/>
      <c r="AC82" s="1"/>
      <c r="AD82" s="1"/>
      <c r="AE82" s="1"/>
      <c r="AF82" s="1"/>
    </row>
    <row r="83" spans="1:32" hidden="1">
      <c r="A83" s="118" t="s">
        <v>503</v>
      </c>
      <c r="B83" s="140" t="s">
        <v>568</v>
      </c>
      <c r="C83" s="59"/>
      <c r="D83" s="14" t="s">
        <v>12</v>
      </c>
      <c r="E83" s="13"/>
      <c r="F83" s="5"/>
      <c r="G83" s="5"/>
      <c r="H83" s="5"/>
      <c r="I83" s="5"/>
      <c r="J83" s="5"/>
      <c r="K83" s="5"/>
      <c r="M83" s="6"/>
      <c r="N83" s="33">
        <v>137.38</v>
      </c>
      <c r="O83" s="33">
        <v>137.38</v>
      </c>
      <c r="P83" s="33">
        <v>137.38</v>
      </c>
      <c r="Q83" s="33">
        <v>137.38</v>
      </c>
      <c r="R83" s="33">
        <v>137.38</v>
      </c>
      <c r="S83" s="33">
        <v>137.38</v>
      </c>
      <c r="T83" s="2">
        <v>137.38</v>
      </c>
      <c r="U83" s="2">
        <v>137.38</v>
      </c>
      <c r="V83" s="2">
        <v>137.38</v>
      </c>
      <c r="W83" s="2">
        <v>137.38</v>
      </c>
      <c r="X83" s="2">
        <v>137.38</v>
      </c>
      <c r="Y83" s="2">
        <v>137.41</v>
      </c>
      <c r="Z83" s="159"/>
      <c r="AA83" s="159"/>
      <c r="AB83" s="1"/>
      <c r="AC83" s="1"/>
      <c r="AD83" s="1"/>
      <c r="AE83" s="1"/>
      <c r="AF83" s="1"/>
    </row>
    <row r="84" spans="1:32" hidden="1">
      <c r="A84" s="115" t="s">
        <v>504</v>
      </c>
      <c r="B84" s="17" t="s">
        <v>180</v>
      </c>
      <c r="C84" s="16" t="s">
        <v>334</v>
      </c>
      <c r="D84" s="15" t="s">
        <v>12</v>
      </c>
      <c r="E84" s="9"/>
      <c r="F84" s="8"/>
      <c r="G84" s="6"/>
      <c r="H84" s="6"/>
      <c r="I84" s="6"/>
      <c r="J84" s="6"/>
      <c r="K84" s="6"/>
      <c r="L84" s="6"/>
      <c r="M84" s="6"/>
      <c r="N84" s="33">
        <v>85.65</v>
      </c>
      <c r="O84" s="82">
        <v>85.65</v>
      </c>
      <c r="P84" s="33">
        <v>85.65</v>
      </c>
      <c r="Q84" s="33">
        <v>85.65</v>
      </c>
      <c r="R84" s="33">
        <v>85.65</v>
      </c>
      <c r="S84" s="33">
        <v>85.65</v>
      </c>
      <c r="T84" s="2">
        <v>85.65</v>
      </c>
      <c r="U84" s="2">
        <v>85.65</v>
      </c>
      <c r="V84" s="2">
        <v>85.65</v>
      </c>
      <c r="W84" s="2">
        <v>85.65</v>
      </c>
      <c r="X84" s="2">
        <v>85.65</v>
      </c>
      <c r="Y84" s="2">
        <v>85.68</v>
      </c>
      <c r="Z84" s="54"/>
      <c r="AA84" s="54"/>
      <c r="AB84" s="1"/>
      <c r="AC84" s="1"/>
      <c r="AD84" s="1"/>
      <c r="AE84" s="1"/>
      <c r="AF84" s="1"/>
    </row>
    <row r="85" spans="1:32">
      <c r="A85" s="113" t="s">
        <v>493</v>
      </c>
      <c r="B85" s="140" t="s">
        <v>555</v>
      </c>
      <c r="C85" s="18" t="s">
        <v>585</v>
      </c>
      <c r="D85" s="14" t="s">
        <v>12</v>
      </c>
      <c r="E85" s="10"/>
      <c r="F85" s="4"/>
      <c r="M85" s="6"/>
      <c r="N85" s="33">
        <v>76.95</v>
      </c>
      <c r="O85" s="82">
        <v>76.95</v>
      </c>
      <c r="P85" s="82">
        <v>76.95</v>
      </c>
      <c r="Q85" s="82">
        <v>76.95</v>
      </c>
      <c r="R85">
        <v>76.95</v>
      </c>
      <c r="S85">
        <v>76.95</v>
      </c>
      <c r="T85" s="1">
        <v>76.95</v>
      </c>
      <c r="U85" s="1">
        <v>76.95</v>
      </c>
      <c r="V85" s="1">
        <v>76.95</v>
      </c>
      <c r="W85" s="1">
        <v>76.95</v>
      </c>
      <c r="X85" s="1"/>
      <c r="Y85" s="1"/>
      <c r="Z85" s="1"/>
      <c r="AA85" s="1"/>
      <c r="AB85" s="1"/>
      <c r="AC85" s="1" t="s">
        <v>2</v>
      </c>
      <c r="AD85" s="1"/>
      <c r="AE85" s="1"/>
      <c r="AF85" s="1"/>
    </row>
    <row r="86" spans="1:32">
      <c r="A86" s="115" t="s">
        <v>650</v>
      </c>
      <c r="B86" s="17" t="s">
        <v>546</v>
      </c>
      <c r="C86" s="16" t="s">
        <v>331</v>
      </c>
      <c r="D86" s="15" t="s">
        <v>12</v>
      </c>
      <c r="E86" s="12"/>
      <c r="F86" s="6"/>
      <c r="G86" s="6"/>
      <c r="H86" s="6"/>
      <c r="I86" s="6"/>
      <c r="J86" s="6"/>
      <c r="K86" s="6"/>
      <c r="L86" s="6"/>
      <c r="M86" s="6"/>
      <c r="N86" s="33">
        <v>89.8</v>
      </c>
      <c r="O86" s="33">
        <v>89.8</v>
      </c>
      <c r="P86" s="33">
        <v>89.8</v>
      </c>
      <c r="Q86" s="33">
        <v>89.8</v>
      </c>
      <c r="R86" s="33">
        <v>89.8</v>
      </c>
      <c r="S86" s="33">
        <v>89.8</v>
      </c>
      <c r="T86" s="2">
        <v>89.8</v>
      </c>
      <c r="U86" s="2">
        <v>89.8</v>
      </c>
      <c r="V86" s="185">
        <v>89.8</v>
      </c>
      <c r="W86" s="2">
        <v>89.8</v>
      </c>
      <c r="X86" s="2">
        <v>89.8</v>
      </c>
      <c r="Y86" s="2">
        <v>89.87</v>
      </c>
      <c r="Z86" s="54"/>
      <c r="AA86" s="54"/>
      <c r="AB86" s="1"/>
      <c r="AC86" s="1"/>
      <c r="AD86" s="1"/>
      <c r="AE86" s="1"/>
      <c r="AF86" s="1"/>
    </row>
    <row r="87" spans="1:32">
      <c r="A87" s="118" t="s">
        <v>489</v>
      </c>
      <c r="B87" s="140" t="s">
        <v>549</v>
      </c>
      <c r="C87" s="18" t="s">
        <v>605</v>
      </c>
      <c r="D87" s="14" t="s">
        <v>12</v>
      </c>
      <c r="E87" s="10"/>
      <c r="F87" s="4"/>
      <c r="M87" s="6"/>
      <c r="N87" s="33">
        <v>97.66</v>
      </c>
      <c r="O87" s="82">
        <v>97.66</v>
      </c>
      <c r="P87" s="82">
        <v>97.66</v>
      </c>
      <c r="Q87" s="82">
        <v>97.66</v>
      </c>
      <c r="R87">
        <v>97.66</v>
      </c>
      <c r="S87" s="33">
        <v>97.66</v>
      </c>
      <c r="T87" s="1"/>
      <c r="U87" s="1"/>
      <c r="V87" s="1"/>
      <c r="W87" s="1"/>
      <c r="X87" s="1"/>
      <c r="Y87" s="1"/>
      <c r="Z87" s="1"/>
      <c r="AA87" s="1"/>
      <c r="AB87" s="1"/>
      <c r="AC87" s="1"/>
      <c r="AD87" s="1"/>
      <c r="AE87" s="1"/>
      <c r="AF87" s="1"/>
    </row>
    <row r="88" spans="1:32">
      <c r="A88" s="118" t="s">
        <v>489</v>
      </c>
      <c r="B88" s="140" t="s">
        <v>549</v>
      </c>
      <c r="C88" s="18">
        <v>473.62</v>
      </c>
      <c r="D88" s="14"/>
      <c r="E88" s="10"/>
      <c r="F88" s="4"/>
      <c r="M88" s="7"/>
      <c r="N88" s="7"/>
      <c r="O88" s="96"/>
      <c r="P88" s="96"/>
      <c r="Q88" s="96"/>
      <c r="S88" s="7"/>
      <c r="T88" s="2">
        <v>118.4</v>
      </c>
      <c r="U88" s="185">
        <v>118.4</v>
      </c>
      <c r="V88" s="2">
        <v>118.4</v>
      </c>
      <c r="W88" s="2">
        <v>118.42</v>
      </c>
      <c r="X88" s="1"/>
      <c r="Y88" s="1"/>
      <c r="Z88" s="1"/>
      <c r="AA88" s="1"/>
      <c r="AB88" s="1"/>
      <c r="AC88" s="1"/>
      <c r="AD88" s="1"/>
      <c r="AE88" s="1"/>
      <c r="AF88" s="1"/>
    </row>
    <row r="89" spans="1:32" hidden="1">
      <c r="A89" s="119" t="s">
        <v>487</v>
      </c>
      <c r="B89" s="139" t="s">
        <v>547</v>
      </c>
      <c r="C89" s="56" t="s">
        <v>391</v>
      </c>
      <c r="D89" s="47" t="s">
        <v>12</v>
      </c>
      <c r="E89" s="43"/>
      <c r="F89" s="51"/>
      <c r="G89" s="51"/>
      <c r="H89" s="51"/>
      <c r="I89" s="51"/>
      <c r="J89" s="51"/>
      <c r="K89" s="51"/>
      <c r="L89" s="63">
        <v>142.03</v>
      </c>
      <c r="M89" s="68">
        <v>142.03</v>
      </c>
      <c r="N89" s="63">
        <v>142.03</v>
      </c>
      <c r="O89" s="81">
        <v>142.03</v>
      </c>
      <c r="P89" s="63">
        <v>142.03</v>
      </c>
      <c r="Q89" s="63">
        <v>142.03</v>
      </c>
      <c r="R89" s="63">
        <v>142.03</v>
      </c>
      <c r="S89" s="63">
        <v>142.03</v>
      </c>
      <c r="T89" s="68">
        <v>142.03</v>
      </c>
      <c r="U89" s="68">
        <v>142.03</v>
      </c>
      <c r="V89" s="68">
        <v>142.03</v>
      </c>
      <c r="W89" s="68">
        <v>142.1</v>
      </c>
      <c r="X89" s="170"/>
      <c r="Y89" s="54"/>
      <c r="Z89" s="54"/>
      <c r="AA89" s="54"/>
      <c r="AB89" s="1"/>
      <c r="AC89" s="1"/>
      <c r="AD89" s="1"/>
      <c r="AE89" s="1"/>
      <c r="AF89" s="1"/>
    </row>
    <row r="90" spans="1:32" hidden="1">
      <c r="A90" s="113" t="s">
        <v>505</v>
      </c>
      <c r="B90" s="140" t="s">
        <v>569</v>
      </c>
      <c r="C90" s="18" t="s">
        <v>295</v>
      </c>
      <c r="D90" s="14" t="s">
        <v>12</v>
      </c>
      <c r="E90" s="13"/>
      <c r="M90" s="2">
        <v>17.02</v>
      </c>
      <c r="N90" s="33">
        <v>17.02</v>
      </c>
      <c r="O90" s="33">
        <v>17.02</v>
      </c>
      <c r="P90" s="33">
        <v>17.02</v>
      </c>
      <c r="Q90" s="33">
        <v>17.02</v>
      </c>
      <c r="R90" s="33">
        <v>17.02</v>
      </c>
      <c r="S90" s="33">
        <v>17.02</v>
      </c>
      <c r="T90" s="2">
        <v>17.02</v>
      </c>
      <c r="U90" s="2">
        <v>17.02</v>
      </c>
      <c r="V90" s="2">
        <v>17.02</v>
      </c>
      <c r="W90" s="2">
        <v>17.02</v>
      </c>
      <c r="X90" s="2">
        <v>17.04</v>
      </c>
      <c r="Y90" s="1"/>
      <c r="Z90" s="1"/>
      <c r="AA90" s="1"/>
      <c r="AB90" s="1"/>
      <c r="AC90" s="1"/>
      <c r="AD90" s="1"/>
      <c r="AE90" s="1"/>
      <c r="AF90" s="1"/>
    </row>
    <row r="91" spans="1:32">
      <c r="A91" s="113" t="s">
        <v>506</v>
      </c>
      <c r="B91" s="140" t="s">
        <v>570</v>
      </c>
      <c r="C91" s="18" t="s">
        <v>293</v>
      </c>
      <c r="D91" s="14" t="s">
        <v>12</v>
      </c>
      <c r="E91" s="13"/>
      <c r="M91" s="2">
        <v>22.76</v>
      </c>
      <c r="N91" s="82">
        <v>22.76</v>
      </c>
      <c r="O91" s="106">
        <v>22.76</v>
      </c>
      <c r="P91" s="82">
        <v>22.76</v>
      </c>
      <c r="Q91" s="82">
        <v>22.76</v>
      </c>
      <c r="R91" s="82">
        <v>22.76</v>
      </c>
      <c r="S91" s="104">
        <v>22.76</v>
      </c>
      <c r="T91" s="2">
        <v>22.76</v>
      </c>
      <c r="U91" s="2">
        <v>22.76</v>
      </c>
      <c r="V91" s="2">
        <v>22.76</v>
      </c>
      <c r="W91" s="2">
        <v>22.76</v>
      </c>
      <c r="X91" s="2">
        <v>22.83</v>
      </c>
      <c r="Y91" s="54"/>
      <c r="Z91" s="54"/>
      <c r="AA91" s="54"/>
      <c r="AB91" s="1"/>
      <c r="AC91" s="1"/>
      <c r="AD91" s="1"/>
      <c r="AE91" s="1"/>
      <c r="AF91" s="1"/>
    </row>
    <row r="92" spans="1:32">
      <c r="A92" s="119" t="s">
        <v>507</v>
      </c>
      <c r="B92" s="139" t="s">
        <v>571</v>
      </c>
      <c r="C92" s="18" t="s">
        <v>339</v>
      </c>
      <c r="D92" s="14" t="s">
        <v>12</v>
      </c>
      <c r="E92" s="10"/>
      <c r="F92" s="4"/>
      <c r="M92" s="80">
        <v>332.83</v>
      </c>
      <c r="N92" s="33">
        <v>332.83</v>
      </c>
      <c r="O92" s="33">
        <v>332.83</v>
      </c>
      <c r="P92" s="82">
        <v>332.83</v>
      </c>
      <c r="Q92" s="82">
        <v>332.83</v>
      </c>
      <c r="R92">
        <v>332.83</v>
      </c>
      <c r="S92">
        <v>332.83</v>
      </c>
      <c r="T92" s="1">
        <v>332.83</v>
      </c>
      <c r="U92" s="1">
        <v>332.83</v>
      </c>
      <c r="V92" s="1">
        <v>332.83</v>
      </c>
      <c r="W92" s="1">
        <v>332.83</v>
      </c>
      <c r="X92" s="1"/>
      <c r="Y92" s="1"/>
      <c r="Z92" s="1"/>
      <c r="AA92" s="1"/>
      <c r="AB92" s="1"/>
      <c r="AC92" s="1"/>
      <c r="AD92" s="1"/>
      <c r="AE92" s="1"/>
      <c r="AF92" s="1"/>
    </row>
    <row r="93" spans="1:32" hidden="1">
      <c r="A93" s="119" t="s">
        <v>508</v>
      </c>
      <c r="B93" s="139" t="s">
        <v>556</v>
      </c>
      <c r="C93" s="58" t="s">
        <v>301</v>
      </c>
      <c r="D93" s="47" t="s">
        <v>12</v>
      </c>
      <c r="E93" s="43"/>
      <c r="F93" s="52"/>
      <c r="G93" s="52"/>
      <c r="H93" s="52"/>
      <c r="I93" s="52"/>
      <c r="J93" s="52"/>
      <c r="K93" s="52"/>
      <c r="L93" s="67">
        <v>196.82</v>
      </c>
      <c r="M93" s="69">
        <v>196.82</v>
      </c>
      <c r="N93" s="67">
        <v>196.82</v>
      </c>
      <c r="O93" s="81">
        <v>196.82</v>
      </c>
      <c r="P93" s="67">
        <v>196.82</v>
      </c>
      <c r="Q93" s="67">
        <v>196.82</v>
      </c>
      <c r="R93" s="67">
        <v>196.82</v>
      </c>
      <c r="S93" s="67">
        <v>196.82</v>
      </c>
      <c r="T93" s="69">
        <v>196.82</v>
      </c>
      <c r="U93" s="69">
        <v>196.82</v>
      </c>
      <c r="V93" s="69">
        <v>196.82</v>
      </c>
      <c r="W93" s="69">
        <v>196.82</v>
      </c>
      <c r="X93" s="94"/>
      <c r="Y93" s="54"/>
      <c r="Z93" s="54"/>
      <c r="AA93" s="54"/>
      <c r="AB93" s="1"/>
      <c r="AC93" s="1"/>
      <c r="AD93" s="1"/>
      <c r="AE93" s="1"/>
      <c r="AF93" s="1"/>
    </row>
    <row r="94" spans="1:32">
      <c r="A94" s="119" t="s">
        <v>507</v>
      </c>
      <c r="B94" s="139" t="s">
        <v>571</v>
      </c>
      <c r="C94" s="58">
        <v>1274.46</v>
      </c>
      <c r="D94" s="47" t="s">
        <v>12</v>
      </c>
      <c r="E94" s="50"/>
      <c r="F94" s="90"/>
      <c r="G94" s="52"/>
      <c r="H94" s="52"/>
      <c r="I94" s="52"/>
      <c r="J94" s="52"/>
      <c r="K94" s="52"/>
      <c r="L94" s="62"/>
      <c r="M94" s="94"/>
      <c r="N94" s="62"/>
      <c r="O94" s="62"/>
      <c r="P94" s="81">
        <v>212.41</v>
      </c>
      <c r="Q94" s="81">
        <v>212.41</v>
      </c>
      <c r="R94" s="50">
        <v>212.41</v>
      </c>
      <c r="S94" s="62">
        <v>212.41</v>
      </c>
      <c r="T94" s="94">
        <v>212.41</v>
      </c>
      <c r="U94" s="94">
        <v>212.41</v>
      </c>
      <c r="V94" s="94"/>
      <c r="W94" s="94"/>
      <c r="X94" s="94"/>
      <c r="Y94" s="1"/>
      <c r="Z94" s="1"/>
      <c r="AA94" s="1"/>
      <c r="AB94" s="1"/>
      <c r="AC94" s="1"/>
      <c r="AD94" s="1"/>
      <c r="AE94" s="1"/>
      <c r="AF94" s="1"/>
    </row>
    <row r="95" spans="1:32">
      <c r="A95" s="119" t="s">
        <v>507</v>
      </c>
      <c r="B95" s="139" t="s">
        <v>571</v>
      </c>
      <c r="C95" s="58" t="s">
        <v>340</v>
      </c>
      <c r="D95" s="47" t="s">
        <v>12</v>
      </c>
      <c r="E95" s="50"/>
      <c r="F95" s="51"/>
      <c r="G95" s="51"/>
      <c r="H95" s="51"/>
      <c r="I95" s="51"/>
      <c r="J95" s="51"/>
      <c r="K95" s="51"/>
      <c r="L95" s="51"/>
      <c r="M95" s="52"/>
      <c r="N95" s="63">
        <v>384.53</v>
      </c>
      <c r="O95" s="63">
        <v>384.53</v>
      </c>
      <c r="P95" s="81">
        <v>384.53</v>
      </c>
      <c r="Q95" s="81">
        <v>384.53</v>
      </c>
      <c r="R95" s="51">
        <v>384.53</v>
      </c>
      <c r="S95" s="51">
        <v>384.53</v>
      </c>
      <c r="T95" s="170">
        <v>384.53</v>
      </c>
      <c r="U95" s="170">
        <v>384.53</v>
      </c>
      <c r="V95" s="170">
        <v>384.53</v>
      </c>
      <c r="W95" s="170">
        <v>384.53</v>
      </c>
      <c r="X95" s="170">
        <v>384.53</v>
      </c>
      <c r="Y95" s="54"/>
      <c r="Z95" s="54"/>
      <c r="AA95" s="54"/>
      <c r="AB95" s="1"/>
      <c r="AC95" s="1"/>
      <c r="AD95" s="1"/>
      <c r="AE95" s="1"/>
      <c r="AF95" s="1"/>
    </row>
    <row r="96" spans="1:32" hidden="1">
      <c r="A96" s="113" t="s">
        <v>509</v>
      </c>
      <c r="B96" s="140" t="s">
        <v>544</v>
      </c>
      <c r="C96" s="19" t="s">
        <v>296</v>
      </c>
      <c r="D96" s="14" t="s">
        <v>12</v>
      </c>
      <c r="E96" s="13"/>
      <c r="M96" s="6"/>
      <c r="N96">
        <v>101.08</v>
      </c>
      <c r="O96">
        <v>101.08</v>
      </c>
      <c r="P96">
        <v>101.08</v>
      </c>
      <c r="T96" s="1"/>
      <c r="U96" s="1"/>
      <c r="V96" s="1"/>
      <c r="W96" s="1"/>
      <c r="X96" s="1"/>
      <c r="Y96" s="1"/>
      <c r="Z96" s="1"/>
      <c r="AA96" s="1"/>
      <c r="AB96" s="1"/>
      <c r="AC96" s="1"/>
      <c r="AD96" s="1"/>
      <c r="AE96" s="1"/>
      <c r="AF96" s="1"/>
    </row>
    <row r="97" spans="1:32">
      <c r="A97" s="113" t="s">
        <v>510</v>
      </c>
      <c r="B97" s="140" t="s">
        <v>572</v>
      </c>
      <c r="C97" s="18" t="s">
        <v>387</v>
      </c>
      <c r="D97" s="15" t="s">
        <v>12</v>
      </c>
      <c r="E97" s="10"/>
      <c r="F97" s="4"/>
      <c r="O97" s="33">
        <v>43.27</v>
      </c>
      <c r="P97" s="33">
        <v>43.27</v>
      </c>
      <c r="Q97" s="82">
        <v>43.27</v>
      </c>
      <c r="R97" s="104">
        <v>43.27</v>
      </c>
      <c r="S97" s="104">
        <v>43.27</v>
      </c>
      <c r="T97" s="185">
        <v>43.27</v>
      </c>
      <c r="U97" s="2">
        <v>43.27</v>
      </c>
      <c r="V97" s="2">
        <v>43.27</v>
      </c>
      <c r="W97" s="2">
        <v>43.27</v>
      </c>
      <c r="X97" s="2">
        <v>43.27</v>
      </c>
      <c r="Y97" s="2">
        <v>43.27</v>
      </c>
      <c r="Z97" s="2">
        <v>43.37</v>
      </c>
      <c r="AA97" s="1"/>
      <c r="AB97" s="1"/>
      <c r="AC97" s="1"/>
      <c r="AD97" s="1"/>
      <c r="AE97" s="1"/>
      <c r="AF97" s="1"/>
    </row>
    <row r="98" spans="1:32" hidden="1">
      <c r="A98" s="113" t="s">
        <v>511</v>
      </c>
      <c r="B98" s="140" t="s">
        <v>189</v>
      </c>
      <c r="C98" s="18" t="s">
        <v>388</v>
      </c>
      <c r="D98" s="14" t="s">
        <v>12</v>
      </c>
      <c r="E98" s="10"/>
      <c r="F98" s="4"/>
      <c r="L98" s="33">
        <v>43.32</v>
      </c>
      <c r="M98" s="33">
        <v>43.32</v>
      </c>
      <c r="N98" s="33">
        <v>43.32</v>
      </c>
      <c r="O98" s="33">
        <v>43.32</v>
      </c>
      <c r="P98" s="33">
        <v>43.32</v>
      </c>
      <c r="Q98" s="33">
        <v>43.32</v>
      </c>
      <c r="R98" s="33">
        <v>43.32</v>
      </c>
      <c r="S98" s="33">
        <v>43.32</v>
      </c>
      <c r="T98" s="2">
        <v>43.32</v>
      </c>
      <c r="U98" s="2">
        <v>43.32</v>
      </c>
      <c r="V98" s="2">
        <v>43.32</v>
      </c>
      <c r="W98" s="2">
        <v>42.54</v>
      </c>
      <c r="X98" s="1"/>
      <c r="Y98" s="54"/>
      <c r="Z98" s="54"/>
      <c r="AA98" s="54"/>
      <c r="AB98" s="1"/>
      <c r="AC98" s="1"/>
      <c r="AD98" s="1"/>
      <c r="AE98" s="1"/>
      <c r="AF98" s="1"/>
    </row>
    <row r="99" spans="1:32" hidden="1">
      <c r="A99" s="120" t="s">
        <v>492</v>
      </c>
      <c r="B99" s="140" t="s">
        <v>551</v>
      </c>
      <c r="C99" s="34" t="s">
        <v>395</v>
      </c>
      <c r="D99" s="14" t="s">
        <v>12</v>
      </c>
      <c r="E99" s="10"/>
      <c r="F99" s="1"/>
      <c r="G99" s="1"/>
      <c r="H99" s="1"/>
      <c r="I99" s="1"/>
      <c r="J99" s="1"/>
      <c r="K99" s="1"/>
      <c r="L99" s="1"/>
      <c r="M99" s="54"/>
      <c r="N99" s="1"/>
      <c r="O99" s="1"/>
      <c r="P99" s="33">
        <v>206.45</v>
      </c>
      <c r="Q99" s="33">
        <v>206.45</v>
      </c>
      <c r="R99" s="33">
        <v>206.45</v>
      </c>
      <c r="S99" s="33">
        <v>206.45</v>
      </c>
      <c r="T99" s="2">
        <v>206.45</v>
      </c>
      <c r="U99" s="2">
        <v>206.45</v>
      </c>
      <c r="V99" s="2">
        <v>206.45</v>
      </c>
      <c r="W99" s="2">
        <v>206.45</v>
      </c>
      <c r="X99" s="2">
        <v>206.45</v>
      </c>
      <c r="Y99" s="2">
        <v>206.5</v>
      </c>
      <c r="Z99" s="54"/>
      <c r="AA99" s="54"/>
      <c r="AB99" s="1"/>
      <c r="AC99" s="1"/>
      <c r="AD99" s="1"/>
      <c r="AE99" s="1"/>
      <c r="AF99" s="1"/>
    </row>
    <row r="100" spans="1:32" hidden="1">
      <c r="A100" s="115" t="s">
        <v>649</v>
      </c>
      <c r="B100" s="13" t="s">
        <v>573</v>
      </c>
      <c r="C100" s="87" t="s">
        <v>392</v>
      </c>
      <c r="D100" s="15" t="s">
        <v>12</v>
      </c>
      <c r="E100" s="9"/>
      <c r="F100" s="6"/>
      <c r="G100" s="6"/>
      <c r="H100" s="6"/>
      <c r="I100" s="6"/>
      <c r="J100" s="6"/>
      <c r="K100" s="6"/>
      <c r="L100" s="6"/>
      <c r="M100" s="6"/>
      <c r="N100" s="6"/>
      <c r="O100" s="82">
        <v>268.98</v>
      </c>
      <c r="P100" s="82">
        <v>268.98</v>
      </c>
      <c r="Q100" s="82">
        <v>268.98</v>
      </c>
      <c r="R100" s="33">
        <v>268.98</v>
      </c>
      <c r="S100" s="33">
        <v>268.98</v>
      </c>
      <c r="T100" s="2">
        <v>268.99</v>
      </c>
      <c r="U100" s="54"/>
      <c r="V100" s="54"/>
      <c r="W100" s="54"/>
      <c r="X100" s="54"/>
      <c r="Y100" s="1"/>
      <c r="Z100" s="1"/>
      <c r="AA100" s="1"/>
      <c r="AB100" s="1"/>
      <c r="AC100" s="1"/>
      <c r="AD100" s="1"/>
      <c r="AE100" s="1"/>
      <c r="AF100" s="1"/>
    </row>
    <row r="101" spans="1:32">
      <c r="A101" s="113" t="s">
        <v>512</v>
      </c>
      <c r="B101" s="12" t="s">
        <v>522</v>
      </c>
      <c r="C101" s="34" t="s">
        <v>393</v>
      </c>
      <c r="D101" s="14" t="s">
        <v>12</v>
      </c>
      <c r="E101" s="85"/>
      <c r="F101" s="4"/>
      <c r="L101" t="s">
        <v>2</v>
      </c>
      <c r="P101" s="82">
        <v>223.39</v>
      </c>
      <c r="Q101" s="82">
        <v>223.39</v>
      </c>
      <c r="R101" s="104">
        <v>223.39</v>
      </c>
      <c r="S101" s="104">
        <v>223.39</v>
      </c>
      <c r="T101" s="1">
        <v>223.39</v>
      </c>
      <c r="U101" s="1"/>
      <c r="V101" s="1"/>
      <c r="W101" s="1"/>
      <c r="X101" s="1"/>
      <c r="Y101" s="54"/>
      <c r="Z101" s="54"/>
      <c r="AA101" s="54"/>
      <c r="AB101" s="1"/>
      <c r="AC101" s="1"/>
      <c r="AD101" s="1"/>
      <c r="AE101" s="1"/>
      <c r="AF101" s="1"/>
    </row>
    <row r="102" spans="1:32" hidden="1">
      <c r="A102" s="113" t="s">
        <v>513</v>
      </c>
      <c r="B102" s="13" t="s">
        <v>557</v>
      </c>
      <c r="C102" s="19" t="s">
        <v>363</v>
      </c>
      <c r="D102" s="14" t="s">
        <v>12</v>
      </c>
      <c r="E102" s="13"/>
      <c r="F102" s="4"/>
      <c r="N102" s="33">
        <v>297.69</v>
      </c>
      <c r="O102" s="33">
        <v>297.69</v>
      </c>
      <c r="P102" s="33">
        <v>297.69</v>
      </c>
      <c r="Q102" s="104">
        <v>297.69</v>
      </c>
      <c r="R102" s="33">
        <v>297.69</v>
      </c>
      <c r="S102" s="33">
        <v>297.69</v>
      </c>
      <c r="T102" s="2">
        <v>297.69</v>
      </c>
      <c r="U102" s="2">
        <v>297.69</v>
      </c>
      <c r="V102" s="80">
        <v>297.69</v>
      </c>
      <c r="W102" s="2">
        <v>297.69</v>
      </c>
      <c r="X102" s="2">
        <v>297.69</v>
      </c>
      <c r="Y102" s="2">
        <v>297.70999999999998</v>
      </c>
      <c r="Z102" s="1"/>
      <c r="AA102" s="1"/>
      <c r="AB102" s="1"/>
      <c r="AC102" s="1"/>
      <c r="AD102" s="1"/>
      <c r="AE102" s="1"/>
      <c r="AF102" s="1"/>
    </row>
    <row r="103" spans="1:32">
      <c r="A103" s="120" t="s">
        <v>285</v>
      </c>
      <c r="B103" s="13" t="s">
        <v>559</v>
      </c>
      <c r="C103" s="89" t="s">
        <v>407</v>
      </c>
      <c r="D103" s="15" t="s">
        <v>12</v>
      </c>
      <c r="E103" s="9"/>
      <c r="F103" s="8"/>
      <c r="G103" s="6"/>
      <c r="H103" s="6"/>
      <c r="I103" s="6"/>
      <c r="J103" s="6"/>
      <c r="K103" s="6"/>
      <c r="L103" s="6"/>
      <c r="M103" s="6"/>
      <c r="N103" s="6"/>
      <c r="O103" s="6"/>
      <c r="P103" s="33">
        <v>399.2</v>
      </c>
      <c r="Q103" s="33">
        <v>399.2</v>
      </c>
      <c r="R103" s="82">
        <v>399.2</v>
      </c>
      <c r="S103" s="33">
        <v>399.2</v>
      </c>
      <c r="T103" s="80">
        <v>399.2</v>
      </c>
      <c r="U103" s="80">
        <v>399.2</v>
      </c>
      <c r="V103" s="2">
        <v>399.2</v>
      </c>
      <c r="W103" s="2">
        <v>399.27</v>
      </c>
      <c r="X103" s="54"/>
      <c r="Y103" s="54"/>
      <c r="Z103" s="54"/>
      <c r="AA103" s="54"/>
      <c r="AB103" s="1"/>
      <c r="AC103" s="1"/>
      <c r="AD103" s="1"/>
      <c r="AE103" s="1"/>
      <c r="AF103" s="1"/>
    </row>
    <row r="104" spans="1:32" hidden="1">
      <c r="A104" s="127" t="s">
        <v>177</v>
      </c>
      <c r="B104" s="147" t="s">
        <v>539</v>
      </c>
      <c r="C104" s="92" t="s">
        <v>403</v>
      </c>
      <c r="D104" s="93" t="s">
        <v>12</v>
      </c>
      <c r="E104" s="73"/>
      <c r="F104" s="74"/>
      <c r="G104" s="75"/>
      <c r="H104" s="75"/>
      <c r="I104" s="75"/>
      <c r="J104" s="75"/>
      <c r="K104" s="75"/>
      <c r="L104" s="75"/>
      <c r="M104" s="75"/>
      <c r="N104" s="75"/>
      <c r="O104" s="75"/>
      <c r="P104" s="33">
        <v>133.55000000000001</v>
      </c>
      <c r="Q104" s="33">
        <v>133.55000000000001</v>
      </c>
      <c r="R104" s="33">
        <v>133.55000000000001</v>
      </c>
      <c r="S104" s="33">
        <v>133.55000000000001</v>
      </c>
      <c r="T104" s="2">
        <v>133.55000000000001</v>
      </c>
      <c r="U104" s="2">
        <v>133.59</v>
      </c>
      <c r="V104" s="187"/>
      <c r="W104" s="187"/>
      <c r="X104" s="187"/>
      <c r="Y104" s="1"/>
      <c r="Z104" s="1"/>
      <c r="AA104" s="1"/>
      <c r="AB104" s="1"/>
      <c r="AC104" s="1"/>
      <c r="AD104" s="1"/>
      <c r="AE104" s="1"/>
      <c r="AF104" s="1"/>
    </row>
    <row r="105" spans="1:32" hidden="1">
      <c r="A105" s="128" t="s">
        <v>514</v>
      </c>
      <c r="B105" s="140" t="s">
        <v>574</v>
      </c>
      <c r="C105" s="18" t="s">
        <v>406</v>
      </c>
      <c r="D105" s="15" t="s">
        <v>12</v>
      </c>
      <c r="E105" s="10"/>
      <c r="F105" s="4"/>
      <c r="P105" s="33">
        <v>172.23</v>
      </c>
      <c r="Q105" s="33">
        <v>172.23</v>
      </c>
      <c r="R105" s="33">
        <v>172.23</v>
      </c>
      <c r="S105" s="33">
        <v>172.23</v>
      </c>
      <c r="T105" s="2">
        <v>172.23</v>
      </c>
      <c r="U105" s="2">
        <v>172.23</v>
      </c>
      <c r="V105" s="1"/>
      <c r="W105" s="1"/>
      <c r="X105" s="1"/>
      <c r="Y105" s="54"/>
      <c r="Z105" s="54"/>
      <c r="AA105" s="54"/>
      <c r="AB105" s="1"/>
      <c r="AC105" s="1"/>
      <c r="AD105" s="1"/>
      <c r="AE105" s="1"/>
      <c r="AF105" s="1"/>
    </row>
    <row r="106" spans="1:32" hidden="1">
      <c r="A106" s="120" t="s">
        <v>283</v>
      </c>
      <c r="B106" s="140" t="s">
        <v>555</v>
      </c>
      <c r="C106" s="18" t="s">
        <v>579</v>
      </c>
      <c r="D106" s="14" t="s">
        <v>12</v>
      </c>
      <c r="E106" s="88"/>
      <c r="F106" s="4"/>
      <c r="R106" s="82">
        <v>324.60000000000002</v>
      </c>
      <c r="S106" s="33">
        <v>324.60000000000002</v>
      </c>
      <c r="T106" s="2">
        <v>324.60000000000002</v>
      </c>
      <c r="U106" s="2">
        <v>324.60000000000002</v>
      </c>
      <c r="V106" s="2">
        <v>324.60000000000002</v>
      </c>
      <c r="W106" s="2">
        <v>324.60000000000002</v>
      </c>
      <c r="X106" s="2">
        <v>324.60000000000002</v>
      </c>
      <c r="Y106" s="2">
        <v>324.60000000000002</v>
      </c>
      <c r="Z106" s="2"/>
      <c r="AA106" s="2"/>
      <c r="AB106" s="1"/>
      <c r="AC106" s="1"/>
      <c r="AD106" s="1"/>
      <c r="AE106" s="1"/>
      <c r="AF106" s="1"/>
    </row>
    <row r="107" spans="1:32">
      <c r="A107" s="120" t="s">
        <v>283</v>
      </c>
      <c r="B107" s="140" t="s">
        <v>555</v>
      </c>
      <c r="C107" s="59" t="s">
        <v>405</v>
      </c>
      <c r="D107" s="14" t="s">
        <v>12</v>
      </c>
      <c r="E107" s="12" t="s">
        <v>4</v>
      </c>
      <c r="M107" s="6"/>
      <c r="Q107" s="33">
        <v>213.35</v>
      </c>
      <c r="R107" s="33">
        <v>213.35</v>
      </c>
      <c r="S107" s="33">
        <v>213.35</v>
      </c>
      <c r="T107" s="185">
        <v>213.35</v>
      </c>
      <c r="U107" s="185">
        <v>213.35</v>
      </c>
      <c r="V107" s="185">
        <v>213.37</v>
      </c>
      <c r="W107" s="1"/>
      <c r="X107" s="1"/>
      <c r="Y107" s="54"/>
      <c r="Z107" s="54"/>
      <c r="AA107" s="54"/>
      <c r="AB107" s="1"/>
      <c r="AC107" s="1"/>
      <c r="AD107" s="1"/>
      <c r="AE107" s="1"/>
      <c r="AF107" s="1"/>
    </row>
    <row r="108" spans="1:32" hidden="1">
      <c r="A108" s="120" t="s">
        <v>515</v>
      </c>
      <c r="B108" s="139" t="s">
        <v>547</v>
      </c>
      <c r="C108" s="91">
        <v>612.07000000000005</v>
      </c>
      <c r="D108" s="14" t="s">
        <v>12</v>
      </c>
      <c r="E108" s="13" t="s">
        <v>430</v>
      </c>
      <c r="F108" s="4"/>
      <c r="T108" s="1"/>
      <c r="U108" s="1"/>
      <c r="V108" s="1"/>
      <c r="W108" s="1"/>
      <c r="X108" s="1"/>
      <c r="Y108" s="1"/>
      <c r="Z108" s="1"/>
      <c r="AA108" s="1"/>
      <c r="AB108" s="1"/>
      <c r="AC108" s="1"/>
      <c r="AD108" s="1"/>
      <c r="AE108" s="1"/>
      <c r="AF108" s="1"/>
    </row>
    <row r="109" spans="1:32" hidden="1">
      <c r="A109" s="125" t="s">
        <v>91</v>
      </c>
      <c r="B109" s="139" t="s">
        <v>554</v>
      </c>
      <c r="C109" s="89" t="s">
        <v>413</v>
      </c>
      <c r="D109" s="15" t="s">
        <v>12</v>
      </c>
      <c r="E109" s="12" t="s">
        <v>429</v>
      </c>
      <c r="F109" s="8"/>
      <c r="G109" s="6"/>
      <c r="H109" s="6"/>
      <c r="I109" s="6"/>
      <c r="J109" s="6"/>
      <c r="K109" s="6"/>
      <c r="L109" s="6"/>
      <c r="M109" s="6"/>
      <c r="N109" s="6"/>
      <c r="O109" s="6"/>
      <c r="P109" s="6"/>
      <c r="Q109" s="6"/>
      <c r="R109" s="6"/>
      <c r="S109" s="6"/>
      <c r="T109" s="54"/>
      <c r="U109" s="54"/>
      <c r="V109" s="54"/>
      <c r="W109" s="54"/>
      <c r="X109" s="54"/>
      <c r="Y109" s="54"/>
      <c r="Z109" s="54"/>
      <c r="AA109" s="54"/>
      <c r="AB109" s="1"/>
      <c r="AC109" s="1"/>
      <c r="AD109" s="1"/>
      <c r="AE109" s="1"/>
      <c r="AF109" s="1"/>
    </row>
    <row r="110" spans="1:32">
      <c r="A110" s="129" t="s">
        <v>87</v>
      </c>
      <c r="B110" s="17" t="s">
        <v>557</v>
      </c>
      <c r="C110" s="89" t="s">
        <v>445</v>
      </c>
      <c r="D110" s="15" t="s">
        <v>12</v>
      </c>
      <c r="E110" s="9"/>
      <c r="F110" s="8"/>
      <c r="G110" s="6"/>
      <c r="H110" s="6"/>
      <c r="I110" s="6"/>
      <c r="J110" s="6"/>
      <c r="K110" s="6"/>
      <c r="L110" s="6"/>
      <c r="M110" s="6"/>
      <c r="N110" s="6"/>
      <c r="O110" s="6"/>
      <c r="P110" s="6"/>
      <c r="Q110" s="6"/>
      <c r="R110" s="33">
        <v>321.39999999999998</v>
      </c>
      <c r="S110" s="33">
        <v>321.39999999999998</v>
      </c>
      <c r="T110" s="2">
        <v>321.39999999999998</v>
      </c>
      <c r="U110" s="2">
        <v>321.39999999999998</v>
      </c>
      <c r="V110" s="2">
        <v>321.39999999999998</v>
      </c>
      <c r="W110" s="2">
        <v>321.39999999999998</v>
      </c>
      <c r="X110" s="2">
        <v>321.39999999999998</v>
      </c>
      <c r="Y110" s="2">
        <v>321.39999999999998</v>
      </c>
      <c r="Z110" s="54"/>
      <c r="AA110" s="54"/>
      <c r="AB110" s="1"/>
      <c r="AC110" s="1"/>
      <c r="AD110" s="1"/>
      <c r="AE110" s="1"/>
      <c r="AF110" s="1"/>
    </row>
    <row r="111" spans="1:32" hidden="1">
      <c r="A111" s="130" t="s">
        <v>161</v>
      </c>
      <c r="B111" s="17" t="s">
        <v>548</v>
      </c>
      <c r="C111" s="12">
        <v>209.71</v>
      </c>
      <c r="D111" s="15" t="s">
        <v>12</v>
      </c>
      <c r="E111" s="12" t="s">
        <v>451</v>
      </c>
      <c r="F111" s="8"/>
      <c r="G111" s="6"/>
      <c r="H111" s="6"/>
      <c r="I111" s="6"/>
      <c r="J111" s="6"/>
      <c r="K111" s="6"/>
      <c r="L111" s="6"/>
      <c r="M111" s="6"/>
      <c r="N111" s="6"/>
      <c r="O111" s="6"/>
      <c r="P111" s="6"/>
      <c r="Q111" s="6"/>
      <c r="R111" s="6"/>
      <c r="S111" s="6"/>
      <c r="T111" s="54"/>
      <c r="U111" s="54"/>
      <c r="V111" s="54"/>
      <c r="W111" s="54"/>
      <c r="X111" s="54"/>
      <c r="Y111" s="54"/>
      <c r="Z111" s="54"/>
      <c r="AA111" s="54"/>
      <c r="AB111" s="1"/>
      <c r="AC111" s="1"/>
      <c r="AD111" s="1"/>
      <c r="AE111" s="1"/>
      <c r="AF111" s="1"/>
    </row>
    <row r="112" spans="1:32" hidden="1">
      <c r="A112" s="130" t="s">
        <v>466</v>
      </c>
      <c r="B112" s="139" t="s">
        <v>180</v>
      </c>
      <c r="C112" s="16" t="s">
        <v>399</v>
      </c>
      <c r="D112" s="15" t="s">
        <v>12</v>
      </c>
      <c r="E112" s="12" t="s">
        <v>414</v>
      </c>
      <c r="F112" s="8"/>
      <c r="G112" s="6"/>
      <c r="H112" s="6"/>
      <c r="I112" s="6"/>
      <c r="J112" s="6"/>
      <c r="K112" s="6"/>
      <c r="L112" s="6"/>
      <c r="M112" s="6"/>
      <c r="N112" s="6"/>
      <c r="O112" s="6"/>
      <c r="P112" s="6"/>
      <c r="Q112" s="6"/>
      <c r="R112" s="6"/>
      <c r="S112" s="6"/>
      <c r="T112" s="54"/>
      <c r="U112" s="54"/>
      <c r="V112" s="54"/>
      <c r="W112" s="54"/>
      <c r="X112" s="54"/>
      <c r="Y112" s="54"/>
      <c r="Z112" s="54"/>
      <c r="AA112" s="54"/>
      <c r="AB112" s="1"/>
      <c r="AC112" s="1"/>
      <c r="AD112" s="1"/>
      <c r="AE112" s="1"/>
      <c r="AF112" s="1"/>
    </row>
    <row r="113" spans="1:37" hidden="1">
      <c r="A113" s="117" t="s">
        <v>489</v>
      </c>
      <c r="B113" s="17" t="s">
        <v>549</v>
      </c>
      <c r="C113" s="12">
        <v>491.74</v>
      </c>
      <c r="D113" s="15" t="s">
        <v>12</v>
      </c>
      <c r="E113" s="12" t="s">
        <v>441</v>
      </c>
      <c r="F113" s="8"/>
      <c r="G113" s="6"/>
      <c r="H113" s="6"/>
      <c r="I113" s="6"/>
      <c r="J113" s="6"/>
      <c r="K113" s="6"/>
      <c r="L113" s="6"/>
      <c r="M113" s="6"/>
      <c r="N113" s="6"/>
      <c r="O113" s="6"/>
      <c r="P113" s="6"/>
      <c r="Q113" s="6"/>
      <c r="R113" s="6"/>
      <c r="S113" s="6"/>
      <c r="T113" s="54"/>
      <c r="U113" s="54"/>
      <c r="V113" s="54"/>
      <c r="W113" s="54"/>
      <c r="X113" s="54"/>
      <c r="Y113" s="54"/>
      <c r="Z113" s="54"/>
      <c r="AA113" s="54"/>
      <c r="AB113" s="1"/>
      <c r="AC113" s="1"/>
      <c r="AD113" s="1"/>
      <c r="AE113" s="1"/>
      <c r="AF113" s="1"/>
    </row>
    <row r="114" spans="1:37" s="7" customFormat="1">
      <c r="A114" s="162" t="s">
        <v>516</v>
      </c>
      <c r="B114" s="137" t="s">
        <v>546</v>
      </c>
      <c r="C114" s="71" t="s">
        <v>446</v>
      </c>
      <c r="D114" s="70" t="s">
        <v>12</v>
      </c>
      <c r="E114" s="96"/>
      <c r="Q114" s="33">
        <v>231.92</v>
      </c>
      <c r="R114" s="33">
        <v>231.92</v>
      </c>
      <c r="S114" s="33">
        <v>231.92</v>
      </c>
      <c r="T114" s="80">
        <v>231.92</v>
      </c>
      <c r="U114" s="78">
        <v>231.92</v>
      </c>
      <c r="V114" s="80">
        <v>231.97</v>
      </c>
      <c r="W114" s="159"/>
      <c r="X114" s="159"/>
      <c r="Y114" s="159"/>
      <c r="Z114" s="159"/>
      <c r="AA114" s="159"/>
      <c r="AB114" s="159"/>
      <c r="AC114" s="159"/>
      <c r="AD114" s="159"/>
      <c r="AE114" s="159"/>
      <c r="AF114" s="159"/>
    </row>
    <row r="115" spans="1:37">
      <c r="A115" s="113" t="s">
        <v>495</v>
      </c>
      <c r="B115" s="140" t="s">
        <v>550</v>
      </c>
      <c r="C115" s="59">
        <v>1306.33</v>
      </c>
      <c r="D115" s="14" t="s">
        <v>291</v>
      </c>
      <c r="E115" s="13" t="s">
        <v>455</v>
      </c>
      <c r="F115" s="4"/>
      <c r="G115" s="5"/>
      <c r="H115" s="5"/>
      <c r="I115" s="5"/>
      <c r="J115" s="5"/>
      <c r="K115" s="5"/>
      <c r="M115" s="54"/>
      <c r="N115" s="6"/>
      <c r="O115" s="6"/>
      <c r="P115" s="6"/>
      <c r="Q115" s="107"/>
      <c r="R115" s="33">
        <v>217.72</v>
      </c>
      <c r="S115">
        <v>217.72</v>
      </c>
      <c r="T115" s="2">
        <v>217.72</v>
      </c>
      <c r="U115" s="206">
        <v>217.72</v>
      </c>
      <c r="V115" s="206">
        <v>217.72</v>
      </c>
      <c r="W115" s="2">
        <v>217.72</v>
      </c>
      <c r="X115" s="1"/>
      <c r="Y115" s="54"/>
      <c r="Z115" s="54"/>
      <c r="AA115" s="54"/>
      <c r="AB115" s="1"/>
      <c r="AC115" s="1"/>
      <c r="AD115" s="1"/>
      <c r="AE115" s="1"/>
      <c r="AF115" s="1"/>
    </row>
    <row r="116" spans="1:37">
      <c r="A116" s="120" t="s">
        <v>224</v>
      </c>
      <c r="B116" s="17" t="s">
        <v>544</v>
      </c>
      <c r="C116" s="12">
        <v>518.47</v>
      </c>
      <c r="D116" s="15" t="s">
        <v>291</v>
      </c>
      <c r="E116" s="12" t="s">
        <v>381</v>
      </c>
      <c r="F116" s="8"/>
      <c r="G116" s="6"/>
      <c r="H116" s="6"/>
      <c r="I116" s="6"/>
      <c r="J116" s="6"/>
      <c r="K116" s="6"/>
      <c r="L116" s="6"/>
      <c r="M116" s="6"/>
      <c r="N116" s="33">
        <v>43.2</v>
      </c>
      <c r="O116" s="33">
        <v>43.2</v>
      </c>
      <c r="P116" s="82">
        <v>43.2</v>
      </c>
      <c r="Q116" s="33">
        <v>43.2</v>
      </c>
      <c r="R116" s="33">
        <v>43.2</v>
      </c>
      <c r="S116" s="33">
        <v>43.2</v>
      </c>
      <c r="T116" s="185">
        <v>43.2</v>
      </c>
      <c r="U116" s="2">
        <v>43.2</v>
      </c>
      <c r="V116" s="2">
        <v>43.2</v>
      </c>
      <c r="W116" s="2">
        <v>43.2</v>
      </c>
      <c r="X116" s="2">
        <v>43.2</v>
      </c>
      <c r="Y116" s="1">
        <v>43.27</v>
      </c>
      <c r="Z116" s="1"/>
      <c r="AA116" s="1"/>
      <c r="AB116" s="1"/>
      <c r="AC116" s="1"/>
      <c r="AD116" s="1"/>
      <c r="AE116" s="1"/>
      <c r="AF116" s="1"/>
    </row>
    <row r="117" spans="1:37" hidden="1">
      <c r="A117" s="118"/>
      <c r="B117" s="140" t="s">
        <v>574</v>
      </c>
      <c r="C117" s="59" t="s">
        <v>362</v>
      </c>
      <c r="D117" s="14" t="s">
        <v>297</v>
      </c>
      <c r="E117" s="13" t="s">
        <v>458</v>
      </c>
      <c r="O117" s="33">
        <v>293.54000000000002</v>
      </c>
      <c r="P117" s="33">
        <v>293.54000000000002</v>
      </c>
      <c r="Q117" s="33">
        <v>247.77</v>
      </c>
      <c r="R117" s="33">
        <v>293.52</v>
      </c>
      <c r="S117" s="33">
        <v>293.52999999999997</v>
      </c>
      <c r="T117" s="1"/>
      <c r="U117" s="1"/>
      <c r="V117" s="1"/>
      <c r="W117" s="1"/>
      <c r="X117" s="1"/>
      <c r="Y117" s="54"/>
      <c r="Z117" s="54"/>
      <c r="AA117" s="54"/>
      <c r="AB117" s="1"/>
      <c r="AC117" s="1"/>
      <c r="AD117" s="1"/>
      <c r="AE117" s="1"/>
      <c r="AF117" s="1"/>
    </row>
    <row r="118" spans="1:37" hidden="1">
      <c r="A118" s="131" t="s">
        <v>517</v>
      </c>
      <c r="B118" s="13" t="s">
        <v>573</v>
      </c>
      <c r="C118" s="89" t="s">
        <v>427</v>
      </c>
      <c r="D118" s="15" t="s">
        <v>35</v>
      </c>
      <c r="E118" s="12" t="s">
        <v>460</v>
      </c>
      <c r="F118" s="6"/>
      <c r="G118" s="6"/>
      <c r="H118" s="6"/>
      <c r="I118" s="6"/>
      <c r="J118" s="6"/>
      <c r="K118" s="6"/>
      <c r="L118" s="6"/>
      <c r="M118" s="6"/>
      <c r="N118" s="6"/>
      <c r="O118" s="6"/>
      <c r="P118" s="33">
        <v>235.55</v>
      </c>
      <c r="Q118" s="33">
        <v>474</v>
      </c>
      <c r="R118" s="33">
        <v>474.19</v>
      </c>
      <c r="S118" s="6"/>
      <c r="T118" s="54"/>
      <c r="U118" s="54"/>
      <c r="V118" s="54"/>
      <c r="W118" s="54"/>
      <c r="X118" s="54"/>
      <c r="Y118" s="54"/>
      <c r="Z118" s="54"/>
      <c r="AA118" s="54"/>
      <c r="AB118" s="1"/>
      <c r="AC118" s="1"/>
      <c r="AD118" s="1"/>
      <c r="AE118" s="1"/>
      <c r="AF118" s="1"/>
    </row>
    <row r="119" spans="1:37" hidden="1">
      <c r="A119" s="118" t="s">
        <v>512</v>
      </c>
      <c r="B119" s="12" t="s">
        <v>522</v>
      </c>
      <c r="C119" s="59" t="s">
        <v>401</v>
      </c>
      <c r="D119" s="14" t="s">
        <v>35</v>
      </c>
      <c r="E119" s="12" t="s">
        <v>591</v>
      </c>
      <c r="P119" s="6"/>
      <c r="Q119" s="33">
        <v>159.61000000000001</v>
      </c>
      <c r="R119" s="82">
        <v>159.61000000000001</v>
      </c>
      <c r="T119" s="1"/>
      <c r="U119" s="1"/>
      <c r="V119" s="1"/>
      <c r="W119" s="1"/>
      <c r="X119" s="1"/>
      <c r="Y119" s="1"/>
      <c r="Z119" s="1"/>
      <c r="AA119" s="1"/>
      <c r="AB119" s="1"/>
      <c r="AC119" s="1"/>
      <c r="AD119" s="1"/>
      <c r="AE119" s="1"/>
      <c r="AF119" s="1"/>
    </row>
    <row r="120" spans="1:37" hidden="1">
      <c r="A120" s="132" t="s">
        <v>518</v>
      </c>
      <c r="B120" s="13" t="s">
        <v>524</v>
      </c>
      <c r="C120" s="16" t="s">
        <v>402</v>
      </c>
      <c r="D120" s="15" t="s">
        <v>35</v>
      </c>
      <c r="E120" s="12" t="s">
        <v>592</v>
      </c>
      <c r="F120" s="8"/>
      <c r="G120" s="6"/>
      <c r="H120" s="6"/>
      <c r="I120" s="6"/>
      <c r="J120" s="6"/>
      <c r="K120" s="6"/>
      <c r="L120" s="6"/>
      <c r="M120" s="6"/>
      <c r="N120" s="6"/>
      <c r="O120" s="6"/>
      <c r="P120" s="6"/>
      <c r="Q120" s="33">
        <v>243.61</v>
      </c>
      <c r="R120" s="82">
        <v>243.61</v>
      </c>
      <c r="S120" s="6"/>
      <c r="T120" s="54"/>
      <c r="U120" s="54"/>
      <c r="V120" s="54"/>
      <c r="W120" s="54"/>
      <c r="X120" s="54"/>
      <c r="Y120" s="54"/>
      <c r="Z120" s="54"/>
      <c r="AA120" s="54"/>
      <c r="AB120" s="1"/>
      <c r="AC120" s="1"/>
      <c r="AD120" s="1"/>
      <c r="AE120" s="1"/>
      <c r="AF120" s="1"/>
    </row>
    <row r="121" spans="1:37" hidden="1">
      <c r="A121" s="132" t="s">
        <v>213</v>
      </c>
      <c r="B121" s="148" t="s">
        <v>522</v>
      </c>
      <c r="C121" s="79">
        <v>358.87</v>
      </c>
      <c r="D121" s="14" t="s">
        <v>35</v>
      </c>
      <c r="E121" s="13" t="s">
        <v>448</v>
      </c>
      <c r="R121" s="33">
        <v>179.43</v>
      </c>
      <c r="S121" s="33">
        <v>179.44</v>
      </c>
      <c r="T121" s="1"/>
      <c r="U121" s="1"/>
      <c r="V121" s="1"/>
      <c r="W121" s="1"/>
      <c r="X121" s="1"/>
      <c r="Y121" s="1"/>
      <c r="Z121" s="1"/>
      <c r="AA121" s="1"/>
      <c r="AB121" s="1"/>
      <c r="AC121" s="1"/>
      <c r="AD121" s="1"/>
      <c r="AE121" s="1"/>
      <c r="AF121" s="1"/>
    </row>
    <row r="122" spans="1:37" hidden="1">
      <c r="A122" s="133" t="s">
        <v>519</v>
      </c>
      <c r="B122" s="149" t="s">
        <v>524</v>
      </c>
      <c r="C122" s="12">
        <v>532.54999999999995</v>
      </c>
      <c r="D122" s="15" t="s">
        <v>35</v>
      </c>
      <c r="E122" s="12" t="s">
        <v>448</v>
      </c>
      <c r="F122" s="6"/>
      <c r="G122" s="6"/>
      <c r="H122" s="6"/>
      <c r="I122" s="6"/>
      <c r="J122" s="6"/>
      <c r="K122" s="6"/>
      <c r="L122" s="6"/>
      <c r="M122" s="6"/>
      <c r="N122" s="6"/>
      <c r="O122" s="6"/>
      <c r="P122" s="6"/>
      <c r="Q122" s="6"/>
      <c r="R122" s="33">
        <v>266.27</v>
      </c>
      <c r="S122" s="33">
        <v>266.27999999999997</v>
      </c>
      <c r="T122" s="54"/>
      <c r="U122" s="54"/>
      <c r="V122" s="54"/>
      <c r="W122" s="54"/>
      <c r="X122" s="54"/>
      <c r="Y122" s="54"/>
      <c r="Z122" s="54"/>
      <c r="AA122" s="54"/>
      <c r="AB122" s="1"/>
      <c r="AC122" s="1"/>
      <c r="AD122" s="1"/>
      <c r="AE122" s="1"/>
      <c r="AF122" s="1"/>
    </row>
    <row r="123" spans="1:37" hidden="1">
      <c r="A123" s="157"/>
      <c r="B123" s="149"/>
      <c r="C123" s="12"/>
      <c r="D123" s="15"/>
      <c r="E123" s="12"/>
      <c r="F123" s="6"/>
      <c r="G123" s="6"/>
      <c r="H123" s="6"/>
      <c r="I123" s="6"/>
      <c r="J123" s="6"/>
      <c r="K123" s="6"/>
      <c r="L123" s="6"/>
      <c r="M123" s="6"/>
      <c r="N123" s="6"/>
      <c r="O123" s="6"/>
      <c r="P123" s="6"/>
      <c r="Q123" s="6"/>
      <c r="R123" s="33"/>
      <c r="S123" s="33"/>
      <c r="T123" s="54"/>
      <c r="U123" s="54"/>
      <c r="V123" s="54"/>
      <c r="W123" s="54"/>
      <c r="X123" s="54"/>
      <c r="Y123" s="54"/>
      <c r="Z123" s="54"/>
      <c r="AA123" s="54"/>
      <c r="AB123" s="1"/>
      <c r="AC123" s="1"/>
      <c r="AD123" s="1"/>
      <c r="AE123" s="1"/>
      <c r="AF123" s="1"/>
    </row>
    <row r="124" spans="1:37" hidden="1">
      <c r="A124" s="131" t="s">
        <v>228</v>
      </c>
      <c r="B124" s="17" t="s">
        <v>527</v>
      </c>
      <c r="C124" s="89" t="s">
        <v>630</v>
      </c>
      <c r="D124" s="15" t="s">
        <v>12</v>
      </c>
      <c r="E124" s="9"/>
      <c r="F124" s="6"/>
      <c r="G124" s="6"/>
      <c r="H124" s="6"/>
      <c r="I124" s="6"/>
      <c r="J124" s="6"/>
      <c r="K124" s="6"/>
      <c r="L124" s="6"/>
      <c r="M124" s="6"/>
      <c r="N124" s="6"/>
      <c r="O124" s="6"/>
      <c r="P124" s="6"/>
      <c r="Q124" s="6"/>
      <c r="R124" s="6"/>
      <c r="S124" s="6"/>
      <c r="T124" s="54"/>
      <c r="U124" s="2">
        <v>227.67</v>
      </c>
      <c r="V124" s="2">
        <v>227.67</v>
      </c>
      <c r="W124" s="2">
        <v>227.67</v>
      </c>
      <c r="X124" s="2">
        <v>227.67</v>
      </c>
      <c r="Y124" s="2">
        <v>227.67</v>
      </c>
      <c r="Z124" s="2"/>
      <c r="AA124" s="2"/>
      <c r="AB124" s="2"/>
      <c r="AC124" s="1"/>
      <c r="AD124" s="1"/>
      <c r="AE124" s="1"/>
      <c r="AF124" s="1"/>
    </row>
    <row r="125" spans="1:37" hidden="1">
      <c r="A125" s="113" t="s">
        <v>597</v>
      </c>
      <c r="B125" s="17" t="s">
        <v>548</v>
      </c>
      <c r="C125" s="19" t="s">
        <v>639</v>
      </c>
      <c r="D125" s="14" t="s">
        <v>12</v>
      </c>
      <c r="E125" s="13"/>
      <c r="F125" s="6"/>
      <c r="G125" s="6"/>
      <c r="H125" s="6"/>
      <c r="I125" s="6"/>
      <c r="J125" s="6"/>
      <c r="K125" s="6"/>
      <c r="L125" s="6"/>
      <c r="M125" s="6"/>
      <c r="N125" s="6"/>
      <c r="O125" s="6"/>
      <c r="P125" s="6"/>
      <c r="Q125" s="6"/>
      <c r="R125" s="6"/>
      <c r="S125" s="6"/>
      <c r="T125" s="54"/>
      <c r="U125" s="2">
        <v>181.47</v>
      </c>
      <c r="V125" s="2">
        <v>181.47</v>
      </c>
      <c r="W125" s="2">
        <v>181.47</v>
      </c>
      <c r="X125" s="2">
        <v>181.47</v>
      </c>
      <c r="Y125" s="2">
        <v>181.47</v>
      </c>
      <c r="Z125" s="2"/>
      <c r="AA125" s="2"/>
      <c r="AB125" s="2"/>
      <c r="AC125" s="2"/>
      <c r="AD125" s="2"/>
      <c r="AE125" s="2"/>
      <c r="AF125" s="2"/>
    </row>
    <row r="126" spans="1:37" hidden="1">
      <c r="A126" s="115" t="s">
        <v>600</v>
      </c>
      <c r="B126" s="17" t="s">
        <v>568</v>
      </c>
      <c r="C126" s="19" t="s">
        <v>640</v>
      </c>
      <c r="D126" s="15" t="s">
        <v>12</v>
      </c>
      <c r="E126" s="13"/>
      <c r="F126" s="6"/>
      <c r="G126" s="6"/>
      <c r="H126" s="6"/>
      <c r="I126" s="6"/>
      <c r="J126" s="6"/>
      <c r="K126" s="6"/>
      <c r="L126" s="6"/>
      <c r="M126" s="6"/>
      <c r="N126" s="6"/>
      <c r="O126" s="6"/>
      <c r="P126" s="6"/>
      <c r="Q126" s="6"/>
      <c r="R126" s="6"/>
      <c r="S126" s="6"/>
      <c r="T126" s="54"/>
      <c r="U126" s="2">
        <v>312.91000000000003</v>
      </c>
      <c r="V126" s="2">
        <v>312.91000000000003</v>
      </c>
      <c r="W126" s="2">
        <v>312.91000000000003</v>
      </c>
      <c r="X126" s="2">
        <v>312.91000000000003</v>
      </c>
      <c r="Y126" s="2">
        <v>312.91000000000003</v>
      </c>
      <c r="Z126" s="2"/>
      <c r="AA126" s="2"/>
      <c r="AB126" s="2"/>
      <c r="AC126" s="2"/>
      <c r="AD126" s="2"/>
      <c r="AE126" s="2"/>
      <c r="AF126" s="2"/>
    </row>
    <row r="127" spans="1:37">
      <c r="A127" s="113" t="s">
        <v>655</v>
      </c>
      <c r="B127" s="140" t="s">
        <v>559</v>
      </c>
      <c r="C127" s="19" t="s">
        <v>664</v>
      </c>
      <c r="D127" s="14" t="s">
        <v>12</v>
      </c>
      <c r="E127" s="13" t="s">
        <v>4</v>
      </c>
      <c r="T127" s="1"/>
      <c r="U127" s="1"/>
      <c r="V127" s="1"/>
      <c r="W127" s="1"/>
      <c r="X127" s="1"/>
      <c r="Y127" s="78">
        <v>375.19</v>
      </c>
      <c r="Z127" s="2">
        <v>375.19</v>
      </c>
      <c r="AA127" s="2">
        <v>375.19</v>
      </c>
      <c r="AB127" s="2">
        <v>375.19</v>
      </c>
      <c r="AC127" s="2">
        <v>375.19</v>
      </c>
      <c r="AD127" s="1">
        <v>375.19</v>
      </c>
      <c r="AE127" s="1">
        <v>375.19</v>
      </c>
      <c r="AF127" s="1">
        <v>375.19</v>
      </c>
      <c r="AG127" s="1">
        <v>375.19</v>
      </c>
      <c r="AH127" s="1">
        <v>375.19</v>
      </c>
      <c r="AI127" s="1">
        <v>375.19</v>
      </c>
      <c r="AJ127" s="1">
        <v>375.2</v>
      </c>
      <c r="AK127" s="1"/>
    </row>
    <row r="128" spans="1:37">
      <c r="A128" s="115" t="s">
        <v>593</v>
      </c>
      <c r="B128" s="17" t="s">
        <v>558</v>
      </c>
      <c r="C128" s="89" t="s">
        <v>632</v>
      </c>
      <c r="D128" s="15" t="s">
        <v>12</v>
      </c>
      <c r="E128" s="9"/>
      <c r="F128" s="6"/>
      <c r="G128" s="6"/>
      <c r="H128" s="6"/>
      <c r="I128" s="6"/>
      <c r="J128" s="6"/>
      <c r="K128" s="6"/>
      <c r="L128" s="6"/>
      <c r="M128" s="6"/>
      <c r="N128" s="6"/>
      <c r="O128" s="6"/>
      <c r="P128" s="6"/>
      <c r="Q128" s="6"/>
      <c r="R128" s="6"/>
      <c r="S128" s="6"/>
      <c r="T128" s="54"/>
      <c r="U128" s="80">
        <v>635.84</v>
      </c>
      <c r="V128" s="203">
        <v>635.84</v>
      </c>
      <c r="W128" s="2">
        <v>635.84</v>
      </c>
      <c r="X128" s="2">
        <v>635.84</v>
      </c>
      <c r="Y128" s="2">
        <v>635.84</v>
      </c>
      <c r="Z128" s="2">
        <v>635.84</v>
      </c>
      <c r="AA128" s="2">
        <v>635.84</v>
      </c>
      <c r="AB128" s="2">
        <v>635.84</v>
      </c>
      <c r="AC128" s="2">
        <v>635.84</v>
      </c>
      <c r="AD128" s="54">
        <v>635.84</v>
      </c>
      <c r="AE128" s="54">
        <v>635.84</v>
      </c>
      <c r="AF128" s="54">
        <v>635.84</v>
      </c>
      <c r="AG128" s="1"/>
      <c r="AH128" s="1"/>
      <c r="AI128" s="1"/>
      <c r="AJ128" s="1"/>
      <c r="AK128" s="1"/>
    </row>
    <row r="129" spans="1:37">
      <c r="A129" s="113" t="s">
        <v>594</v>
      </c>
      <c r="B129" s="140" t="s">
        <v>562</v>
      </c>
      <c r="C129" s="19" t="s">
        <v>631</v>
      </c>
      <c r="D129" s="14" t="s">
        <v>12</v>
      </c>
      <c r="E129" s="10"/>
      <c r="T129" s="1"/>
      <c r="U129" s="80">
        <v>635.54</v>
      </c>
      <c r="V129" s="80">
        <v>635.54</v>
      </c>
      <c r="W129" s="203">
        <v>635.54</v>
      </c>
      <c r="X129" s="2">
        <v>635.54</v>
      </c>
      <c r="Y129" s="2">
        <v>635.54</v>
      </c>
      <c r="Z129" s="2">
        <v>635.54</v>
      </c>
      <c r="AA129" s="2">
        <v>635.54</v>
      </c>
      <c r="AB129" s="2">
        <v>635.54</v>
      </c>
      <c r="AC129" s="2">
        <v>635.54</v>
      </c>
      <c r="AD129" s="1">
        <v>635.54</v>
      </c>
      <c r="AE129" s="1">
        <v>635.54</v>
      </c>
      <c r="AF129" s="1">
        <v>635.57000000000005</v>
      </c>
      <c r="AG129" s="1"/>
      <c r="AH129" s="1"/>
      <c r="AI129" s="1"/>
      <c r="AJ129" s="1"/>
      <c r="AK129" s="1"/>
    </row>
    <row r="130" spans="1:37">
      <c r="A130" s="115" t="s">
        <v>596</v>
      </c>
      <c r="B130" s="17" t="s">
        <v>557</v>
      </c>
      <c r="C130" s="19" t="s">
        <v>668</v>
      </c>
      <c r="D130" s="15" t="s">
        <v>12</v>
      </c>
      <c r="E130" s="10"/>
      <c r="T130" s="1"/>
      <c r="U130" s="1"/>
      <c r="V130" s="1"/>
      <c r="W130" s="1"/>
      <c r="X130" s="1"/>
      <c r="Y130" s="2">
        <v>270.43</v>
      </c>
      <c r="Z130" s="2">
        <v>270.43</v>
      </c>
      <c r="AA130" s="2">
        <v>270.43</v>
      </c>
      <c r="AB130" s="2">
        <v>270.43</v>
      </c>
      <c r="AC130" s="2">
        <v>270.43</v>
      </c>
      <c r="AD130" s="1">
        <v>270.43</v>
      </c>
      <c r="AE130" s="1">
        <v>270.43</v>
      </c>
      <c r="AF130" s="1">
        <v>270.43</v>
      </c>
      <c r="AG130" s="1">
        <v>270.43</v>
      </c>
      <c r="AH130" s="1">
        <v>270.43</v>
      </c>
      <c r="AI130" s="1">
        <v>270.43</v>
      </c>
      <c r="AJ130" s="1">
        <v>270.43</v>
      </c>
      <c r="AK130" s="1"/>
    </row>
    <row r="131" spans="1:37">
      <c r="A131" s="115" t="s">
        <v>598</v>
      </c>
      <c r="B131" s="17" t="s">
        <v>549</v>
      </c>
      <c r="C131" s="19" t="s">
        <v>621</v>
      </c>
      <c r="D131" s="15" t="s">
        <v>12</v>
      </c>
      <c r="E131" s="13"/>
      <c r="T131" s="1"/>
      <c r="U131" s="2">
        <v>218.47</v>
      </c>
      <c r="V131" s="2">
        <v>218.47</v>
      </c>
      <c r="W131" s="2">
        <v>218.47</v>
      </c>
      <c r="X131" s="2">
        <v>218.47</v>
      </c>
      <c r="Y131" s="2">
        <v>218.47</v>
      </c>
      <c r="Z131" s="2">
        <v>218.47</v>
      </c>
      <c r="AA131" s="2">
        <v>218.47</v>
      </c>
      <c r="AB131" s="2">
        <v>218.47</v>
      </c>
      <c r="AC131" s="2">
        <v>218.47</v>
      </c>
      <c r="AD131" s="1">
        <v>218.47</v>
      </c>
      <c r="AE131" s="1">
        <v>218.47</v>
      </c>
      <c r="AF131" s="1">
        <v>218.48</v>
      </c>
      <c r="AG131" s="1"/>
      <c r="AH131" s="1"/>
      <c r="AI131" s="1"/>
      <c r="AJ131" s="1"/>
      <c r="AK131" s="1"/>
    </row>
    <row r="132" spans="1:37" hidden="1">
      <c r="A132" s="115" t="s">
        <v>599</v>
      </c>
      <c r="B132" s="17" t="s">
        <v>555</v>
      </c>
      <c r="C132" s="201" t="s">
        <v>666</v>
      </c>
      <c r="D132" s="200" t="s">
        <v>12</v>
      </c>
      <c r="E132" s="13" t="s">
        <v>667</v>
      </c>
      <c r="T132" s="1"/>
      <c r="U132" s="1"/>
      <c r="V132" s="1"/>
      <c r="W132" s="1"/>
      <c r="X132" s="1"/>
      <c r="Y132" s="1"/>
      <c r="Z132" s="1"/>
      <c r="AA132" s="1"/>
      <c r="AB132" s="1"/>
      <c r="AC132" s="1"/>
      <c r="AD132" s="1"/>
      <c r="AE132" s="1"/>
      <c r="AF132" s="1"/>
      <c r="AG132" s="1"/>
      <c r="AH132" s="1"/>
      <c r="AI132" s="1"/>
      <c r="AJ132" s="1"/>
      <c r="AK132" s="1"/>
    </row>
    <row r="133" spans="1:37" s="135" customFormat="1">
      <c r="A133" s="113" t="s">
        <v>508</v>
      </c>
      <c r="B133" s="47" t="s">
        <v>556</v>
      </c>
      <c r="C133" s="19" t="s">
        <v>641</v>
      </c>
      <c r="D133" s="14" t="s">
        <v>12</v>
      </c>
      <c r="E133" s="4"/>
      <c r="T133" s="188"/>
      <c r="U133" s="189">
        <v>383.89</v>
      </c>
      <c r="V133" s="189">
        <v>383.89</v>
      </c>
      <c r="W133" s="189">
        <v>383.89</v>
      </c>
      <c r="X133" s="189">
        <v>383.89</v>
      </c>
      <c r="Y133" s="189">
        <v>383.89</v>
      </c>
      <c r="Z133" s="189">
        <v>383.89</v>
      </c>
      <c r="AA133" s="189">
        <v>383.89</v>
      </c>
      <c r="AB133" s="188">
        <v>383.89</v>
      </c>
      <c r="AC133" s="188">
        <v>383.89</v>
      </c>
      <c r="AD133" s="188">
        <v>383.89</v>
      </c>
      <c r="AE133" s="188">
        <v>383.89</v>
      </c>
      <c r="AF133" s="188">
        <v>383.89</v>
      </c>
      <c r="AG133" s="188"/>
      <c r="AH133" s="188"/>
      <c r="AI133" s="188"/>
      <c r="AJ133" s="188"/>
      <c r="AK133" s="188"/>
    </row>
    <row r="134" spans="1:37">
      <c r="A134" s="115" t="s">
        <v>637</v>
      </c>
      <c r="B134" s="191" t="s">
        <v>236</v>
      </c>
      <c r="C134" s="19" t="s">
        <v>638</v>
      </c>
      <c r="D134" s="14" t="s">
        <v>12</v>
      </c>
      <c r="E134" s="10"/>
      <c r="T134" s="1"/>
      <c r="U134" s="1"/>
      <c r="V134" s="1"/>
      <c r="W134" s="2">
        <v>337.23</v>
      </c>
      <c r="X134" s="2">
        <v>337.23</v>
      </c>
      <c r="Y134" s="2">
        <v>337.23</v>
      </c>
      <c r="Z134" s="2">
        <v>337.23</v>
      </c>
      <c r="AA134" s="2">
        <v>337.23</v>
      </c>
      <c r="AB134" s="2">
        <v>337.23</v>
      </c>
      <c r="AC134" s="2">
        <v>337.23</v>
      </c>
      <c r="AD134" s="1">
        <v>337.23</v>
      </c>
      <c r="AE134" s="1">
        <v>337.23</v>
      </c>
      <c r="AF134" s="1">
        <v>337.23</v>
      </c>
      <c r="AG134" s="1">
        <v>337.23</v>
      </c>
      <c r="AH134" s="1">
        <v>337.32</v>
      </c>
      <c r="AI134" s="1"/>
      <c r="AJ134" s="1"/>
      <c r="AK134" s="1"/>
    </row>
    <row r="135" spans="1:37" hidden="1">
      <c r="A135" s="113" t="s">
        <v>616</v>
      </c>
      <c r="B135" s="149" t="s">
        <v>524</v>
      </c>
      <c r="C135" s="79">
        <v>1033.3</v>
      </c>
      <c r="D135" s="15" t="s">
        <v>35</v>
      </c>
      <c r="E135" s="10"/>
      <c r="T135" s="1"/>
      <c r="U135" s="2">
        <v>344</v>
      </c>
      <c r="V135" s="2">
        <v>344</v>
      </c>
      <c r="W135" s="2">
        <v>345.3</v>
      </c>
      <c r="X135" s="1"/>
      <c r="Y135" s="1"/>
      <c r="Z135" s="1"/>
      <c r="AA135" s="1"/>
      <c r="AB135" s="1"/>
      <c r="AC135" s="1"/>
      <c r="AD135" s="1"/>
      <c r="AE135" s="1"/>
      <c r="AF135" s="1"/>
      <c r="AG135" s="1"/>
      <c r="AH135" s="1"/>
      <c r="AI135" s="1"/>
      <c r="AJ135" s="1"/>
      <c r="AK135" s="1"/>
    </row>
    <row r="136" spans="1:37">
      <c r="A136" s="134" t="s">
        <v>225</v>
      </c>
      <c r="B136" s="150" t="s">
        <v>552</v>
      </c>
      <c r="C136" s="19" t="s">
        <v>654</v>
      </c>
      <c r="D136" s="14" t="s">
        <v>12</v>
      </c>
      <c r="E136" s="10"/>
      <c r="W136" s="2">
        <v>333.43</v>
      </c>
      <c r="X136" s="2">
        <v>333.43</v>
      </c>
      <c r="Y136" s="2">
        <v>333.43</v>
      </c>
      <c r="Z136" s="2">
        <v>333.43</v>
      </c>
      <c r="AA136" s="2">
        <v>333.43</v>
      </c>
      <c r="AB136" s="2">
        <v>333.43</v>
      </c>
      <c r="AC136" s="2">
        <v>333.43</v>
      </c>
      <c r="AD136" s="1">
        <v>333.43</v>
      </c>
      <c r="AE136" s="1">
        <v>333.43</v>
      </c>
      <c r="AF136" s="1">
        <v>333.48</v>
      </c>
      <c r="AG136" s="1"/>
      <c r="AH136" s="1"/>
      <c r="AI136" s="1"/>
      <c r="AJ136" s="1"/>
      <c r="AK136" s="1"/>
    </row>
    <row r="137" spans="1:37">
      <c r="A137" s="113" t="s">
        <v>508</v>
      </c>
      <c r="B137" s="47" t="s">
        <v>556</v>
      </c>
      <c r="C137" s="18" t="s">
        <v>669</v>
      </c>
      <c r="D137" s="14" t="s">
        <v>12</v>
      </c>
      <c r="E137" s="13" t="s">
        <v>31</v>
      </c>
      <c r="Y137" s="2">
        <v>268.23</v>
      </c>
      <c r="Z137" s="2">
        <v>268.23</v>
      </c>
      <c r="AA137" s="2">
        <v>268.23</v>
      </c>
      <c r="AB137" s="1">
        <v>268.23</v>
      </c>
      <c r="AC137" s="1">
        <v>268.23</v>
      </c>
      <c r="AD137" s="1">
        <v>268.23</v>
      </c>
      <c r="AE137" s="1">
        <v>268.23</v>
      </c>
      <c r="AF137" s="1">
        <v>268.23</v>
      </c>
      <c r="AG137" s="1">
        <v>268.23</v>
      </c>
      <c r="AH137" s="1">
        <v>268.31</v>
      </c>
      <c r="AI137" s="1"/>
      <c r="AJ137" s="1"/>
      <c r="AK137" s="1"/>
    </row>
    <row r="138" spans="1:37">
      <c r="A138" s="113" t="s">
        <v>594</v>
      </c>
      <c r="B138" s="140" t="s">
        <v>562</v>
      </c>
      <c r="C138" s="19" t="s">
        <v>631</v>
      </c>
      <c r="D138" s="14" t="s">
        <v>12</v>
      </c>
      <c r="E138" s="10"/>
      <c r="Y138" s="2">
        <v>498.55</v>
      </c>
      <c r="Z138" s="2">
        <v>498.55</v>
      </c>
      <c r="AA138" s="2">
        <v>498.55</v>
      </c>
      <c r="AB138" s="2">
        <v>498.55</v>
      </c>
      <c r="AC138" s="2">
        <v>498.55</v>
      </c>
      <c r="AD138" s="1">
        <v>498.55</v>
      </c>
      <c r="AE138" s="1">
        <v>498.55</v>
      </c>
      <c r="AF138" s="1">
        <v>498.55</v>
      </c>
      <c r="AG138" s="1">
        <v>498.55</v>
      </c>
      <c r="AH138" s="1">
        <v>498.55</v>
      </c>
      <c r="AI138" s="1">
        <v>498.55</v>
      </c>
      <c r="AJ138" s="1">
        <v>498.55</v>
      </c>
      <c r="AK138" s="1"/>
    </row>
    <row r="139" spans="1:37">
      <c r="A139" s="115" t="s">
        <v>593</v>
      </c>
      <c r="B139" s="17" t="s">
        <v>558</v>
      </c>
      <c r="C139" s="19" t="s">
        <v>670</v>
      </c>
      <c r="D139" s="70" t="s">
        <v>12</v>
      </c>
      <c r="E139" s="13" t="s">
        <v>4</v>
      </c>
      <c r="Y139" s="78">
        <v>453.66</v>
      </c>
      <c r="Z139" s="2">
        <v>453.66</v>
      </c>
      <c r="AA139" s="2">
        <v>453.66</v>
      </c>
      <c r="AB139" s="2">
        <v>453.66</v>
      </c>
      <c r="AC139" s="2">
        <v>453.66</v>
      </c>
      <c r="AD139" s="1">
        <v>453.66</v>
      </c>
      <c r="AE139" s="1">
        <v>453.66</v>
      </c>
      <c r="AF139" s="1">
        <v>453.66</v>
      </c>
      <c r="AG139" s="1">
        <v>453.66</v>
      </c>
      <c r="AH139" s="1">
        <v>453.66</v>
      </c>
      <c r="AI139" s="1">
        <v>453.66</v>
      </c>
      <c r="AJ139" s="1">
        <v>453.67</v>
      </c>
      <c r="AK139" s="1"/>
    </row>
    <row r="140" spans="1:37">
      <c r="A140" s="131" t="s">
        <v>228</v>
      </c>
      <c r="B140" s="17" t="s">
        <v>527</v>
      </c>
      <c r="C140" s="18" t="s">
        <v>678</v>
      </c>
      <c r="D140" s="14" t="s">
        <v>12</v>
      </c>
      <c r="E140" s="13" t="s">
        <v>31</v>
      </c>
      <c r="Y140" s="78">
        <v>147.94</v>
      </c>
      <c r="Z140" s="2">
        <v>147.94</v>
      </c>
      <c r="AA140" s="2">
        <v>147.94</v>
      </c>
      <c r="AB140" s="2">
        <v>147.94</v>
      </c>
      <c r="AC140" s="2">
        <v>147.94</v>
      </c>
      <c r="AD140" s="1">
        <v>147.94</v>
      </c>
      <c r="AE140" s="1">
        <v>147.94</v>
      </c>
      <c r="AF140" s="1">
        <v>147.94</v>
      </c>
      <c r="AG140" s="1">
        <v>147.94</v>
      </c>
      <c r="AH140" s="1">
        <v>147.94</v>
      </c>
      <c r="AI140" s="1"/>
      <c r="AJ140" s="1"/>
      <c r="AK140" s="1"/>
    </row>
    <row r="141" spans="1:37">
      <c r="A141" s="113" t="s">
        <v>600</v>
      </c>
      <c r="B141" s="140" t="s">
        <v>568</v>
      </c>
      <c r="C141" s="18" t="s">
        <v>679</v>
      </c>
      <c r="D141" s="14" t="s">
        <v>12</v>
      </c>
      <c r="E141" s="13" t="s">
        <v>31</v>
      </c>
      <c r="Y141" s="78">
        <v>165.19</v>
      </c>
      <c r="Z141" s="2">
        <v>165.19</v>
      </c>
      <c r="AA141" s="2">
        <v>165.19</v>
      </c>
      <c r="AB141" s="2">
        <v>165.19</v>
      </c>
      <c r="AC141" s="2">
        <v>165.19</v>
      </c>
      <c r="AD141" s="1">
        <v>165.19</v>
      </c>
      <c r="AE141" s="1">
        <v>165.19</v>
      </c>
      <c r="AF141" s="1">
        <v>165.19</v>
      </c>
      <c r="AG141" s="1">
        <v>165.19</v>
      </c>
      <c r="AH141" s="1">
        <v>165.2</v>
      </c>
      <c r="AI141" s="1"/>
      <c r="AJ141" s="1"/>
      <c r="AK141" s="1"/>
    </row>
    <row r="142" spans="1:37">
      <c r="A142" s="115" t="s">
        <v>652</v>
      </c>
      <c r="B142" s="13" t="s">
        <v>521</v>
      </c>
      <c r="C142" s="18" t="s">
        <v>680</v>
      </c>
      <c r="D142" s="14" t="s">
        <v>12</v>
      </c>
      <c r="E142" s="13" t="s">
        <v>31</v>
      </c>
      <c r="Y142" s="78">
        <v>143.49</v>
      </c>
      <c r="Z142" s="2">
        <v>143.49</v>
      </c>
      <c r="AA142" s="2">
        <v>143.49</v>
      </c>
      <c r="AB142" s="2">
        <v>143.49</v>
      </c>
      <c r="AC142" s="2">
        <v>143.49</v>
      </c>
      <c r="AD142" s="1">
        <v>143.49</v>
      </c>
      <c r="AE142" s="1">
        <v>143.49</v>
      </c>
      <c r="AF142" s="1">
        <v>143.49</v>
      </c>
      <c r="AG142" s="1">
        <v>143.49</v>
      </c>
      <c r="AH142" s="1">
        <v>143.5</v>
      </c>
      <c r="AI142" s="1"/>
      <c r="AJ142" s="1"/>
      <c r="AK142" s="1"/>
    </row>
    <row r="143" spans="1:37">
      <c r="A143" s="113" t="s">
        <v>656</v>
      </c>
      <c r="B143" s="195" t="s">
        <v>236</v>
      </c>
      <c r="C143" s="18" t="s">
        <v>681</v>
      </c>
      <c r="D143" s="14" t="s">
        <v>291</v>
      </c>
      <c r="E143" s="13" t="s">
        <v>31</v>
      </c>
      <c r="Y143" s="78">
        <v>215.69</v>
      </c>
      <c r="Z143" s="2">
        <v>215.69</v>
      </c>
      <c r="AA143" s="2">
        <v>215.69</v>
      </c>
      <c r="AB143" s="2">
        <v>215.69</v>
      </c>
      <c r="AC143" s="2">
        <v>215.69</v>
      </c>
      <c r="AD143" s="1">
        <v>215.69</v>
      </c>
      <c r="AE143" s="1">
        <v>215.69</v>
      </c>
      <c r="AF143" s="1">
        <v>215.69</v>
      </c>
      <c r="AG143" s="1">
        <v>215.69</v>
      </c>
      <c r="AH143" s="1">
        <v>215.69</v>
      </c>
      <c r="AI143" s="1">
        <v>215.69</v>
      </c>
      <c r="AJ143" s="1">
        <v>215.7</v>
      </c>
      <c r="AK143" s="1"/>
    </row>
    <row r="144" spans="1:37">
      <c r="A144" s="113" t="s">
        <v>662</v>
      </c>
      <c r="B144" s="13" t="s">
        <v>663</v>
      </c>
      <c r="C144" s="18" t="s">
        <v>720</v>
      </c>
      <c r="D144" s="14" t="s">
        <v>12</v>
      </c>
      <c r="E144" s="10"/>
      <c r="Y144" s="202"/>
      <c r="AA144" s="2">
        <v>166.4</v>
      </c>
      <c r="AB144" s="2">
        <v>166.4</v>
      </c>
      <c r="AC144" s="2">
        <v>166.4</v>
      </c>
      <c r="AD144" s="1">
        <v>166.4</v>
      </c>
      <c r="AE144" s="1">
        <v>166.4</v>
      </c>
      <c r="AF144" s="1">
        <v>166.4</v>
      </c>
      <c r="AG144" s="1">
        <v>166.4</v>
      </c>
      <c r="AH144" s="1">
        <v>166.4</v>
      </c>
      <c r="AI144" s="1">
        <v>166.4</v>
      </c>
      <c r="AJ144" s="1">
        <v>166.49</v>
      </c>
      <c r="AK144" s="1"/>
    </row>
    <row r="145" spans="1:40">
      <c r="A145" s="115" t="s">
        <v>660</v>
      </c>
      <c r="B145" s="199" t="s">
        <v>551</v>
      </c>
      <c r="C145" s="18" t="s">
        <v>721</v>
      </c>
      <c r="D145" s="14" t="s">
        <v>12</v>
      </c>
      <c r="E145" s="10"/>
      <c r="Y145" s="202"/>
      <c r="AA145" s="2">
        <v>165.8</v>
      </c>
      <c r="AB145" s="2">
        <v>165.8</v>
      </c>
      <c r="AC145" s="2">
        <v>165.8</v>
      </c>
      <c r="AD145" s="1">
        <v>165.8</v>
      </c>
      <c r="AE145" s="1">
        <v>165.8</v>
      </c>
      <c r="AF145" s="1">
        <v>165.8</v>
      </c>
      <c r="AG145" s="1">
        <v>165.8</v>
      </c>
      <c r="AH145" s="1">
        <v>165.8</v>
      </c>
      <c r="AI145" s="1">
        <v>165.8</v>
      </c>
      <c r="AJ145" s="1">
        <v>165.82</v>
      </c>
      <c r="AK145" s="1"/>
    </row>
    <row r="146" spans="1:40">
      <c r="A146" s="134" t="s">
        <v>225</v>
      </c>
      <c r="B146" s="150" t="s">
        <v>552</v>
      </c>
      <c r="C146" s="18" t="s">
        <v>722</v>
      </c>
      <c r="D146" s="14" t="s">
        <v>12</v>
      </c>
      <c r="E146" s="10"/>
      <c r="Y146" s="202"/>
      <c r="Z146" s="2">
        <v>271.77</v>
      </c>
      <c r="AA146" s="2">
        <v>271.77</v>
      </c>
      <c r="AB146" s="2">
        <v>271.77</v>
      </c>
      <c r="AC146" s="2">
        <v>271.77</v>
      </c>
      <c r="AD146" s="1">
        <v>271.77</v>
      </c>
      <c r="AE146" s="1">
        <v>271.77</v>
      </c>
      <c r="AF146" s="1">
        <v>271.77</v>
      </c>
      <c r="AG146" s="1">
        <v>271.77</v>
      </c>
      <c r="AH146" s="1">
        <v>271.77</v>
      </c>
      <c r="AI146" s="1">
        <v>271.77</v>
      </c>
      <c r="AJ146" s="1">
        <v>271.77</v>
      </c>
      <c r="AK146" s="208">
        <v>271.77</v>
      </c>
      <c r="AL146" s="202"/>
    </row>
    <row r="147" spans="1:40">
      <c r="A147" s="115" t="s">
        <v>598</v>
      </c>
      <c r="B147" s="17" t="s">
        <v>549</v>
      </c>
      <c r="C147" s="18" t="s">
        <v>723</v>
      </c>
      <c r="D147" s="14" t="s">
        <v>12</v>
      </c>
      <c r="E147" s="10"/>
      <c r="Y147" s="202"/>
      <c r="AA147" s="2">
        <v>157.86000000000001</v>
      </c>
      <c r="AB147" s="2">
        <v>157.86000000000001</v>
      </c>
      <c r="AC147" s="2">
        <v>157.86000000000001</v>
      </c>
      <c r="AD147" s="1">
        <v>157.86000000000001</v>
      </c>
      <c r="AE147" s="1">
        <v>157.86000000000001</v>
      </c>
      <c r="AF147" s="1">
        <v>157.86000000000001</v>
      </c>
      <c r="AG147" s="1">
        <v>157.86000000000001</v>
      </c>
      <c r="AH147" s="1">
        <v>157.86000000000001</v>
      </c>
      <c r="AI147" s="1">
        <v>157.86000000000001</v>
      </c>
      <c r="AJ147" s="1">
        <v>157.94999999999999</v>
      </c>
      <c r="AK147" s="202"/>
      <c r="AL147" s="202"/>
    </row>
    <row r="148" spans="1:40">
      <c r="A148" s="205" t="s">
        <v>706</v>
      </c>
      <c r="B148" s="13" t="s">
        <v>557</v>
      </c>
      <c r="C148" s="19" t="s">
        <v>738</v>
      </c>
      <c r="D148" s="14" t="s">
        <v>12</v>
      </c>
      <c r="E148" s="10"/>
      <c r="AB148" s="2">
        <v>1050.3599999999999</v>
      </c>
      <c r="AC148" s="2">
        <v>1050.3599999999999</v>
      </c>
      <c r="AD148" s="1">
        <v>1050.3699999999999</v>
      </c>
      <c r="AE148" s="1"/>
      <c r="AF148" s="1"/>
      <c r="AG148" s="1"/>
      <c r="AH148" s="1"/>
      <c r="AI148" s="1"/>
      <c r="AJ148" s="1"/>
      <c r="AK148" s="1"/>
    </row>
    <row r="149" spans="1:40">
      <c r="A149" s="120" t="s">
        <v>285</v>
      </c>
      <c r="B149" s="17" t="s">
        <v>559</v>
      </c>
      <c r="C149" s="19" t="s">
        <v>739</v>
      </c>
      <c r="D149" s="14" t="s">
        <v>12</v>
      </c>
      <c r="E149" s="10"/>
      <c r="AB149" s="2">
        <v>1250.02</v>
      </c>
      <c r="AC149" s="2">
        <v>1250.02</v>
      </c>
      <c r="AD149" s="1">
        <v>1250.02</v>
      </c>
      <c r="AE149" s="1">
        <v>1250.05</v>
      </c>
      <c r="AF149" s="1"/>
      <c r="AG149" s="1"/>
      <c r="AH149" s="1"/>
      <c r="AI149" s="1"/>
      <c r="AJ149" s="1"/>
      <c r="AK149" s="1"/>
    </row>
    <row r="150" spans="1:40">
      <c r="A150" s="115" t="s">
        <v>725</v>
      </c>
      <c r="B150" s="17" t="s">
        <v>724</v>
      </c>
      <c r="C150" s="19" t="s">
        <v>768</v>
      </c>
      <c r="D150" s="70" t="s">
        <v>12</v>
      </c>
      <c r="E150" s="10"/>
      <c r="AB150" s="1"/>
      <c r="AC150" s="2">
        <v>470.83</v>
      </c>
      <c r="AD150" s="1">
        <v>470.83</v>
      </c>
      <c r="AE150" s="1">
        <v>470.83</v>
      </c>
      <c r="AF150" s="1">
        <v>470.83</v>
      </c>
      <c r="AG150" s="1">
        <v>470.83</v>
      </c>
      <c r="AH150" s="1">
        <v>470.83</v>
      </c>
      <c r="AI150" s="1">
        <v>470.83</v>
      </c>
      <c r="AJ150" s="1">
        <v>470.83</v>
      </c>
      <c r="AK150" s="1">
        <v>470.83</v>
      </c>
      <c r="AL150" s="1">
        <v>470.83</v>
      </c>
      <c r="AM150" s="1">
        <v>470.83</v>
      </c>
      <c r="AN150" s="1">
        <v>470.9</v>
      </c>
    </row>
    <row r="151" spans="1:40">
      <c r="A151" s="113" t="s">
        <v>483</v>
      </c>
      <c r="B151" s="140" t="s">
        <v>542</v>
      </c>
      <c r="C151" s="19" t="s">
        <v>745</v>
      </c>
      <c r="D151" s="14" t="s">
        <v>12</v>
      </c>
      <c r="E151" s="10"/>
      <c r="AB151" s="2">
        <v>355.6</v>
      </c>
      <c r="AC151" s="2">
        <v>355.6</v>
      </c>
      <c r="AD151" s="1">
        <v>355.6</v>
      </c>
      <c r="AE151" s="1">
        <v>355.6</v>
      </c>
      <c r="AF151" s="1"/>
      <c r="AG151" s="1"/>
      <c r="AH151" s="1"/>
      <c r="AI151" s="1"/>
      <c r="AJ151" s="1"/>
      <c r="AK151" s="1"/>
    </row>
    <row r="152" spans="1:40">
      <c r="A152" s="132" t="s">
        <v>175</v>
      </c>
      <c r="B152" s="13" t="s">
        <v>740</v>
      </c>
      <c r="C152" s="201" t="s">
        <v>760</v>
      </c>
      <c r="D152" s="14" t="s">
        <v>12</v>
      </c>
      <c r="E152" s="10"/>
      <c r="AB152" s="1"/>
      <c r="AC152" s="2">
        <v>1153.56</v>
      </c>
      <c r="AD152" s="1">
        <v>1153.56</v>
      </c>
      <c r="AE152" s="1">
        <v>1153.56</v>
      </c>
      <c r="AF152" s="1">
        <v>1153.58</v>
      </c>
      <c r="AG152" s="1"/>
      <c r="AH152" s="1"/>
      <c r="AI152" s="1"/>
      <c r="AJ152" s="1"/>
      <c r="AK152" s="1"/>
    </row>
    <row r="154" spans="1:40">
      <c r="A154" s="115"/>
      <c r="B154" s="151"/>
    </row>
    <row r="156" spans="1:40">
      <c r="A156" s="115"/>
      <c r="B156" s="151"/>
    </row>
    <row r="158" spans="1:40">
      <c r="A158" s="115"/>
      <c r="B158" s="151"/>
    </row>
    <row r="160" spans="1:40">
      <c r="A160" s="115"/>
      <c r="B160" s="151"/>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ABED3F2B8F00F4A8746C1C44474ACBA" ma:contentTypeVersion="16" ma:contentTypeDescription="Crear nuevo documento." ma:contentTypeScope="" ma:versionID="1b3f8f2734be60c3fa4d59876ad60b9a">
  <xsd:schema xmlns:xsd="http://www.w3.org/2001/XMLSchema" xmlns:xs="http://www.w3.org/2001/XMLSchema" xmlns:p="http://schemas.microsoft.com/office/2006/metadata/properties" xmlns:ns3="8382506a-a3cb-47c0-9e65-9694c1d6dc80" xmlns:ns4="a1512cb3-bcbb-4afe-bc81-85932b8129b1" targetNamespace="http://schemas.microsoft.com/office/2006/metadata/properties" ma:root="true" ma:fieldsID="485a5c27b6a624712894e55999b8ec39" ns3:_="" ns4:_="">
    <xsd:import namespace="8382506a-a3cb-47c0-9e65-9694c1d6dc80"/>
    <xsd:import namespace="a1512cb3-bcbb-4afe-bc81-85932b8129b1"/>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Location" minOccurs="0"/>
                <xsd:element ref="ns3:MediaServiceOCR" minOccurs="0"/>
                <xsd:element ref="ns4:SharedWithUsers" minOccurs="0"/>
                <xsd:element ref="ns4:SharedWithDetails" minOccurs="0"/>
                <xsd:element ref="ns4:SharingHintHash" minOccurs="0"/>
                <xsd:element ref="ns3:_activity" minOccurs="0"/>
                <xsd:element ref="ns3:MediaServiceObjectDetectorVersions" minOccurs="0"/>
                <xsd:element ref="ns3:MediaLengthInSeconds"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82506a-a3cb-47c0-9e65-9694c1d6dc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SystemTags" ma:index="23"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1512cb3-bcbb-4afe-bc81-85932b8129b1"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SharingHintHash" ma:index="18"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activity xmlns="8382506a-a3cb-47c0-9e65-9694c1d6dc80" xsi:nil="true"/>
  </documentManagement>
</p:properties>
</file>

<file path=customXml/itemProps1.xml><?xml version="1.0" encoding="utf-8"?>
<ds:datastoreItem xmlns:ds="http://schemas.openxmlformats.org/officeDocument/2006/customXml" ds:itemID="{2B7E249E-2304-4F6A-A5F3-551550ED8158}">
  <ds:schemaRefs>
    <ds:schemaRef ds:uri="http://schemas.microsoft.com/sharepoint/v3/contenttype/forms"/>
  </ds:schemaRefs>
</ds:datastoreItem>
</file>

<file path=customXml/itemProps2.xml><?xml version="1.0" encoding="utf-8"?>
<ds:datastoreItem xmlns:ds="http://schemas.openxmlformats.org/officeDocument/2006/customXml" ds:itemID="{02ABF839-9613-4C68-83C3-EE5CD75DE5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82506a-a3cb-47c0-9e65-9694c1d6dc80"/>
    <ds:schemaRef ds:uri="a1512cb3-bcbb-4afe-bc81-85932b8129b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F567651-D1EF-3A48-9C88-0695A91E4201}">
  <ds:schemaRefs>
    <ds:schemaRef ds:uri="http://schemas.microsoft.com/DataMashup"/>
  </ds:schemaRefs>
</ds:datastoreItem>
</file>

<file path=customXml/itemProps4.xml><?xml version="1.0" encoding="utf-8"?>
<ds:datastoreItem xmlns:ds="http://schemas.openxmlformats.org/officeDocument/2006/customXml" ds:itemID="{3BFCAA9F-6B02-4B2C-964D-830B5AE297D0}">
  <ds:schemaRefs>
    <ds:schemaRef ds:uri="http://purl.org/dc/elements/1.1/"/>
    <ds:schemaRef ds:uri="http://purl.org/dc/dcmitype/"/>
    <ds:schemaRef ds:uri="8382506a-a3cb-47c0-9e65-9694c1d6dc80"/>
    <ds:schemaRef ds:uri="http://schemas.microsoft.com/office/infopath/2007/PartnerControls"/>
    <ds:schemaRef ds:uri="http://schemas.microsoft.com/office/2006/documentManagement/types"/>
    <ds:schemaRef ds:uri="http://purl.org/dc/terms/"/>
    <ds:schemaRef ds:uri="http://www.w3.org/XML/1998/namespace"/>
    <ds:schemaRef ds:uri="a1512cb3-bcbb-4afe-bc81-85932b8129b1"/>
    <ds:schemaRef ds:uri="http://schemas.microsoft.com/office/2006/metadata/propertie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 PAGOS vs COBROS</vt:lpstr>
      <vt:lpstr>PLANES DE PAGO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Alberto de Sanctis</dc:creator>
  <cp:keywords/>
  <dc:description/>
  <cp:lastModifiedBy>Alberto de Sanctis</cp:lastModifiedBy>
  <cp:revision/>
  <dcterms:created xsi:type="dcterms:W3CDTF">2021-09-05T14:44:34Z</dcterms:created>
  <dcterms:modified xsi:type="dcterms:W3CDTF">2026-06-28T19:31:58Z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0x0101004ABED3F2B8F00F4A8746C1C44474ACBA</vt:lpwstr>
  </property>
</Properties>
</file>