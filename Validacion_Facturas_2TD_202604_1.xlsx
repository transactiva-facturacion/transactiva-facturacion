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charts/chart120.xml" ContentType="application/vnd.openxmlformats-officedocument.drawingml.chart+xml"/>
  <Override PartName="/xl/charts/chart121.xml" ContentType="application/vnd.openxmlformats-officedocument.drawingml.chart+xml"/>
  <Override PartName="/xl/charts/chart122.xml" ContentType="application/vnd.openxmlformats-officedocument.drawingml.chart+xml"/>
  <Override PartName="/xl/charts/chart123.xml" ContentType="application/vnd.openxmlformats-officedocument.drawingml.chart+xml"/>
  <Override PartName="/xl/charts/chart124.xml" ContentType="application/vnd.openxmlformats-officedocument.drawingml.chart+xml"/>
  <Override PartName="/xl/charts/chart125.xml" ContentType="application/vnd.openxmlformats-officedocument.drawingml.chart+xml"/>
  <Override PartName="/xl/charts/chart126.xml" ContentType="application/vnd.openxmlformats-officedocument.drawingml.chart+xml"/>
  <Override PartName="/xl/charts/chart127.xml" ContentType="application/vnd.openxmlformats-officedocument.drawingml.chart+xml"/>
  <Override PartName="/xl/charts/chart128.xml" ContentType="application/vnd.openxmlformats-officedocument.drawingml.chart+xml"/>
  <Override PartName="/xl/charts/chart129.xml" ContentType="application/vnd.openxmlformats-officedocument.drawingml.chart+xml"/>
  <Override PartName="/xl/charts/chart130.xml" ContentType="application/vnd.openxmlformats-officedocument.drawingml.chart+xml"/>
  <Override PartName="/xl/charts/chart131.xml" ContentType="application/vnd.openxmlformats-officedocument.drawingml.chart+xml"/>
  <Override PartName="/xl/charts/chart132.xml" ContentType="application/vnd.openxmlformats-officedocument.drawingml.chart+xml"/>
  <Override PartName="/xl/charts/chart133.xml" ContentType="application/vnd.openxmlformats-officedocument.drawingml.chart+xml"/>
  <Override PartName="/xl/charts/chart134.xml" ContentType="application/vnd.openxmlformats-officedocument.drawingml.chart+xml"/>
  <Override PartName="/xl/charts/chart135.xml" ContentType="application/vnd.openxmlformats-officedocument.drawingml.chart+xml"/>
  <Override PartName="/xl/charts/chart13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" sheetId="2" state="visible" r:id="rId2"/>
    <sheet xmlns:r="http://schemas.openxmlformats.org/officeDocument/2006/relationships" name="_se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dd/mm/yy"/>
    <numFmt numFmtId="166" formatCode="[$-0C0A]0"/>
    <numFmt numFmtId="167" formatCode="[$-0C0A]0.000000"/>
    <numFmt numFmtId="168" formatCode="[$-0C0A]#,##0.000"/>
    <numFmt numFmtId="169" formatCode="[$-0C0A]#,##0.00 €;[Red]-[$-0C0A]#,##0.00 €"/>
    <numFmt numFmtId="170" formatCode="0.0%"/>
  </numFmts>
  <fonts count="20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</font>
    <font>
      <name val="Arial"/>
      <b val="1"/>
      <color rgb="00375623"/>
    </font>
    <font>
      <name val="Arial"/>
      <b val="1"/>
      <color rgb="00843C0C"/>
    </font>
    <font>
      <name val="Arial"/>
    </font>
    <font>
      <name val="Arial"/>
      <b val="1"/>
      <color rgb="000000FF"/>
    </font>
    <font>
      <name val="Arial"/>
      <b val="1"/>
      <color rgb="00843C0C"/>
      <sz val="9"/>
    </font>
    <font>
      <name val="Arial"/>
      <color rgb="00843C0C"/>
      <sz val="9"/>
    </font>
    <font>
      <name val="Arial"/>
      <b val="1"/>
      <color rgb="002E75B6"/>
      <sz val="9"/>
    </font>
    <font>
      <name val="Arial"/>
      <color rgb="00808080"/>
      <sz val="9"/>
    </font>
    <font>
      <name val="Arial"/>
      <b val="1"/>
      <color rgb="007F6000"/>
    </font>
    <font>
      <name val="Arial"/>
      <b val="1"/>
      <color rgb="007F6000"/>
      <sz val="9"/>
    </font>
    <font>
      <name val="Arial"/>
      <i val="1"/>
      <color rgb="007F6000"/>
      <sz val="8"/>
    </font>
    <font>
      <name val="Arial"/>
      <b val="1"/>
      <color rgb="00FFFFFF"/>
      <sz val="13"/>
    </font>
    <font>
      <name val="Arial"/>
      <i val="1"/>
      <color rgb="00595959"/>
      <sz val="9"/>
    </font>
    <font>
      <name val="Arial"/>
      <b val="1"/>
      <color rgb="001F4E78"/>
    </font>
    <font>
      <name val="Arial"/>
      <color rgb="00008000"/>
    </font>
    <font>
      <name val="Arial"/>
      <sz val="9"/>
    </font>
    <font>
      <name val="Arial"/>
      <b val="1"/>
      <color rgb="00008000"/>
      <sz val="12"/>
    </font>
  </fonts>
  <fills count="1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7030A0"/>
      </patternFill>
    </fill>
    <fill>
      <patternFill patternType="solid">
        <fgColor rgb="001F4E78"/>
      </patternFill>
    </fill>
    <fill>
      <patternFill patternType="solid">
        <fgColor rgb="00C55A11"/>
      </patternFill>
    </fill>
    <fill>
      <patternFill patternType="solid">
        <fgColor rgb="00548235"/>
      </patternFill>
    </fill>
    <fill>
      <patternFill patternType="solid">
        <fgColor rgb="00E2EFDA"/>
      </patternFill>
    </fill>
    <fill>
      <patternFill patternType="solid">
        <fgColor rgb="00FBE5D6"/>
      </patternFill>
    </fill>
    <fill>
      <patternFill patternType="solid">
        <fgColor rgb="00FFE699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FD966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4" fillId="2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right" vertical="center"/>
    </xf>
    <xf numFmtId="0" fontId="6" fillId="9" borderId="1" applyAlignment="1" pivotButton="0" quotePrefix="0" xfId="0">
      <alignment horizontal="center" vertical="center"/>
    </xf>
    <xf numFmtId="170" fontId="6" fillId="9" borderId="1" applyAlignment="1" pivotButton="0" quotePrefix="0" xfId="0">
      <alignment horizontal="center" vertical="center"/>
    </xf>
    <xf numFmtId="169" fontId="19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pivotButton="0" quotePrefix="0" xfId="0"/>
    <xf numFmtId="170" fontId="17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170" fontId="5" fillId="0" borderId="1" applyAlignment="1" pivotButton="0" quotePrefix="0" xfId="0">
      <alignment horizontal="center" vertical="center"/>
    </xf>
    <xf numFmtId="169" fontId="5" fillId="0" borderId="1" applyAlignment="1" pivotButton="0" quotePrefix="0" xfId="0">
      <alignment horizontal="right" vertical="center"/>
    </xf>
    <xf numFmtId="0" fontId="18" fillId="0" borderId="1" pivotButton="0" quotePrefix="0" xfId="0"/>
    <xf numFmtId="0" fontId="1" fillId="2" borderId="0" applyAlignment="1" pivotButton="0" quotePrefix="0" xfId="0">
      <alignment horizontal="left" vertical="center"/>
    </xf>
    <xf numFmtId="165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4" borderId="0" pivotButton="0" quotePrefix="0" xfId="0"/>
    <xf numFmtId="0" fontId="0" fillId="4" borderId="0" pivotButton="0" quotePrefix="0" xfId="0"/>
    <xf numFmtId="0" fontId="1" fillId="5" borderId="0" pivotButton="0" quotePrefix="0" xfId="0"/>
    <xf numFmtId="0" fontId="0" fillId="5" borderId="0" pivotButton="0" quotePrefix="0" xfId="0"/>
    <xf numFmtId="0" fontId="1" fillId="6" borderId="0" pivotButton="0" quotePrefix="0" xfId="0"/>
    <xf numFmtId="0" fontId="0" fillId="6" borderId="0" pivotButton="0" quotePrefix="0" xfId="0"/>
    <xf numFmtId="0" fontId="3" fillId="7" borderId="0" pivotButton="0" quotePrefix="0" xfId="0"/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4" fillId="8" borderId="0" pivotButton="0" quotePrefix="0" xfId="0"/>
    <xf numFmtId="0" fontId="5" fillId="0" borderId="0" pivotButton="0" quotePrefix="0" xfId="0"/>
    <xf numFmtId="168" fontId="5" fillId="10" borderId="1" applyAlignment="1" pivotButton="0" quotePrefix="0" xfId="0">
      <alignment horizontal="center" vertical="center"/>
    </xf>
    <xf numFmtId="166" fontId="5" fillId="10" borderId="1" applyAlignment="1" pivotButton="0" quotePrefix="0" xfId="0">
      <alignment horizontal="center" vertical="center"/>
    </xf>
    <xf numFmtId="167" fontId="6" fillId="9" borderId="1" applyAlignment="1" pivotButton="0" quotePrefix="0" xfId="0">
      <alignment horizontal="center" vertical="center"/>
    </xf>
    <xf numFmtId="167" fontId="5" fillId="10" borderId="1" applyAlignment="1" pivotButton="0" quotePrefix="0" xfId="0">
      <alignment horizontal="center" vertical="center"/>
    </xf>
    <xf numFmtId="169" fontId="5" fillId="10" borderId="1" applyAlignment="1" pivotButton="0" quotePrefix="0" xfId="0">
      <alignment horizontal="right" vertical="center"/>
    </xf>
    <xf numFmtId="168" fontId="5" fillId="11" borderId="1" applyAlignment="1" pivotButton="0" quotePrefix="0" xfId="0">
      <alignment horizontal="center" vertical="center"/>
    </xf>
    <xf numFmtId="167" fontId="5" fillId="11" borderId="1" applyAlignment="1" pivotButton="0" quotePrefix="0" xfId="0">
      <alignment horizontal="center" vertical="center"/>
    </xf>
    <xf numFmtId="169" fontId="5" fillId="11" borderId="1" applyAlignment="1" pivotButton="0" quotePrefix="0" xfId="0">
      <alignment horizontal="right" vertical="center"/>
    </xf>
    <xf numFmtId="168" fontId="5" fillId="7" borderId="1" applyAlignment="1" pivotButton="0" quotePrefix="0" xfId="0">
      <alignment horizontal="center" vertical="center"/>
    </xf>
    <xf numFmtId="167" fontId="5" fillId="7" borderId="1" applyAlignment="1" pivotButton="0" quotePrefix="0" xfId="0">
      <alignment horizontal="center" vertical="center"/>
    </xf>
    <xf numFmtId="169" fontId="5" fillId="7" borderId="1" applyAlignment="1" pivotButton="0" quotePrefix="0" xfId="0">
      <alignment horizontal="right" vertical="center"/>
    </xf>
    <xf numFmtId="0" fontId="7" fillId="12" borderId="0" pivotButton="0" quotePrefix="0" xfId="0"/>
    <xf numFmtId="0" fontId="8" fillId="0" borderId="0" pivotButton="0" quotePrefix="0" xfId="0"/>
    <xf numFmtId="0" fontId="5" fillId="10" borderId="1" pivotButton="0" quotePrefix="0" xfId="0"/>
    <xf numFmtId="0" fontId="9" fillId="0" borderId="0" pivotButton="0" quotePrefix="0" xfId="0"/>
    <xf numFmtId="0" fontId="10" fillId="0" borderId="0" pivotButton="0" quotePrefix="0" xfId="0"/>
    <xf numFmtId="0" fontId="2" fillId="13" borderId="0" pivotButton="0" quotePrefix="0" xfId="0"/>
    <xf numFmtId="169" fontId="2" fillId="13" borderId="0" applyAlignment="1" pivotButton="0" quotePrefix="0" xfId="0">
      <alignment horizontal="right" vertical="center"/>
    </xf>
    <xf numFmtId="169" fontId="2" fillId="11" borderId="0" applyAlignment="1" pivotButton="0" quotePrefix="0" xfId="0">
      <alignment horizontal="right" vertical="center"/>
    </xf>
    <xf numFmtId="169" fontId="2" fillId="7" borderId="0" applyAlignment="1" pivotButton="0" quotePrefix="0" xfId="0">
      <alignment horizontal="right" vertical="center"/>
    </xf>
    <xf numFmtId="170" fontId="2" fillId="13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1" fillId="14" borderId="0" pivotButton="0" quotePrefix="0" xfId="0"/>
    <xf numFmtId="0" fontId="0" fillId="14" borderId="0" pivotButton="0" quotePrefix="0" xfId="0"/>
    <xf numFmtId="0" fontId="12" fillId="12" borderId="1" applyAlignment="1" pivotButton="0" quotePrefix="0" xfId="0">
      <alignment horizontal="center" vertical="center"/>
    </xf>
    <xf numFmtId="0" fontId="5" fillId="12" borderId="1" pivotButton="0" quotePrefix="0" xfId="0"/>
    <xf numFmtId="166" fontId="0" fillId="12" borderId="1" applyAlignment="1" pivotButton="0" quotePrefix="0" xfId="0">
      <alignment horizontal="center" vertical="center"/>
    </xf>
    <xf numFmtId="0" fontId="0" fillId="12" borderId="1" pivotButton="0" quotePrefix="0" xfId="0"/>
    <xf numFmtId="169" fontId="0" fillId="12" borderId="1" applyAlignment="1" pivotButton="0" quotePrefix="0" xfId="0">
      <alignment horizontal="right" vertical="center"/>
    </xf>
    <xf numFmtId="167" fontId="0" fillId="12" borderId="1" applyAlignment="1" pivotButton="0" quotePrefix="0" xfId="0">
      <alignment horizontal="center" vertical="center"/>
    </xf>
    <xf numFmtId="0" fontId="11" fillId="12" borderId="1" pivotButton="0" quotePrefix="0" xfId="0"/>
    <xf numFmtId="169" fontId="2" fillId="12" borderId="1" applyAlignment="1" pivotButton="0" quotePrefix="0" xfId="0">
      <alignment horizontal="right" vertical="center"/>
    </xf>
    <xf numFmtId="0" fontId="5" fillId="7" borderId="1" pivotButton="0" quotePrefix="0" xfId="0"/>
    <xf numFmtId="0" fontId="0" fillId="7" borderId="0" pivotButton="0" quotePrefix="0" xfId="0"/>
    <xf numFmtId="0" fontId="5" fillId="11" borderId="1" pivotButton="0" quotePrefix="0" xfId="0"/>
    <xf numFmtId="0" fontId="13" fillId="0" borderId="0" pivotButton="0" quotePrefix="0" xfId="0"/>
    <xf numFmtId="0" fontId="0" fillId="11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'_series'!$B$2:$Y$2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'_series'!$B$3:$Y$3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'_series'!$B$4:$Y$4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'_series'!$B$5:$Y$5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'_series'!$B$6:$Y$6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'_series'!$B$7:$Y$7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'_series'!$B$8:$Y$8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'_series'!$B$9:$Y$9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'_series'!$B$10:$Y$10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'_series'!$B$11:$Y$11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'_series'!$B$12:$Y$12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'_series'!$B$13:$Y$13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'_series'!$B$14:$Y$14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'_series'!$B$15:$Y$15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'_series'!$B$16:$Y$16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6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'_series'!$B$17:$Y$17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7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'_series'!$B$18:$Y$18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8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'_series'!$B$19:$Y$19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9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'_series'!$B$20:$Y$20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0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'_series'!$B$21:$Y$21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1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'_series'!$B$22:$Y$22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2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'_series'!$B$23:$Y$23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3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'_series'!$B$24:$Y$24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4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'_series'!$B$25:$Y$25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5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'_series'!$B$26:$Y$26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6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'_series'!$B$27:$Y$27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7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'_series'!$B$28:$Y$28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8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'_series'!$B$29:$Y$29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9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'_series'!$B$30:$Y$30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0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'_series'!$B$31:$Y$31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1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'_series'!$B$32:$Y$32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2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'_series'!$B$33:$Y$33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3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'_series'!$B$34:$Y$34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4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'_series'!$B$35:$Y$35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5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'_series'!$B$36:$Y$36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6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'_series'!$B$37:$Y$37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7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'_series'!$B$38:$Y$38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8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'_series'!$B$39:$Y$39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9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'_series'!$B$40:$Y$40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0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'_series'!$B$41:$Y$41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1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'_series'!$B$42:$Y$42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2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'_series'!$B$43:$Y$43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3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'_series'!$B$44:$Y$44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4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'_series'!$B$45:$Y$45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5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'_series'!$B$46:$Y$46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6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'_series'!$B$47:$Y$47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7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'_series'!$B$48:$Y$48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8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'_series'!$B$49:$Y$49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9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'_series'!$B$50:$Y$50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0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'_series'!$B$51:$Y$51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1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'_series'!$B$52:$Y$52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2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'_series'!$B$53:$Y$53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3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'_series'!$B$54:$Y$54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4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'_series'!$B$55:$Y$55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5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'_series'!$B$56:$Y$56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6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'_series'!$B$57:$Y$57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7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'_series'!$B$58:$Y$58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8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'_series'!$B$59:$Y$59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9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'_series'!$B$60:$Y$60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0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'_series'!$B$61:$Y$61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1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'_series'!$B$62:$Y$62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2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'_series'!$B$63:$Y$63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3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'_series'!$B$64:$Y$64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4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'_series'!$B$65:$Y$65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5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'_series'!$B$66:$Y$66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6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'_series'!$B$67:$Y$67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7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'_series'!$B$68:$Y$68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8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'_series'!$B$69:$Y$69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9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'_series'!$B$70:$Y$70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0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'_series'!$B$71:$Y$71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1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'_series'!$B$72:$Y$72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2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'_series'!$B$73:$Y$73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3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'_series'!$B$74:$Y$74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4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'_series'!$B$75:$Y$75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5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'_series'!$B$76:$Y$76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6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'_series'!$B$77:$Y$77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7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'_series'!$B$78:$Y$78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8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'_series'!$B$79:$Y$79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9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'_series'!$B$80:$Y$80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0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'_series'!$B$81:$Y$81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1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'_series'!$B$82:$Y$82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2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'_series'!$B$83:$Y$83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3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'_series'!$B$84:$Y$84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4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'_series'!$B$85:$Y$85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5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'_series'!$B$86:$Y$86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6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'_series'!$B$87:$Y$87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7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'_series'!$B$88:$Y$88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8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'_series'!$B$89:$Y$89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9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'_series'!$B$90:$Y$90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0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'_series'!$B$91:$Y$91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1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'_series'!$B$92:$Y$92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2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'_series'!$B$93:$Y$93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3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'_series'!$B$94:$Y$94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4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'_series'!$B$95:$Y$95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5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'_series'!$B$96:$Y$96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6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'_series'!$B$97:$Y$97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7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'_series'!$B$98:$Y$98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8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'_series'!$B$99:$Y$99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9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'_series'!$B$100:$Y$100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0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'_series'!$B$101:$Y$101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1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'_series'!$B$102:$Y$102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2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'_series'!$B$103:$Y$103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3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'_series'!$B$104:$Y$104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4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'_series'!$B$105:$Y$105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5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'_series'!$B$106:$Y$106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6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'_series'!$B$107:$Y$107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7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'_series'!$B$108:$Y$108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8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'_series'!$B$109:$Y$109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9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'_series'!$B$110:$Y$110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0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'_series'!$B$111:$Y$111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1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'_series'!$B$112:$Y$112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2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'_series'!$B$113:$Y$113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3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'_series'!$B$114:$Y$114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4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'_series'!$B$115:$Y$115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5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'_series'!$B$116:$Y$116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6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'_series'!$B$117:$Y$117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7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'_series'!$B$118:$Y$118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8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'_series'!$B$119:$Y$119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9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'_series'!$B$120:$Y$120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0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'_series'!$B$121:$Y$121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1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'_series'!$B$122:$Y$122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2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'_series'!$B$123:$Y$123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3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'_series'!$B$124:$Y$124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4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'_series'!$B$125:$Y$125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5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'_series'!$B$126:$Y$126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6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'_series'!$B$127:$Y$127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7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'_series'!$B$128:$Y$128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8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'_series'!$B$129:$Y$129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9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'_series'!$B$130:$Y$130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0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'_series'!$B$131:$Y$131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1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'_series'!$B$132:$Y$132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2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'_series'!$B$133:$Y$133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3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'_series'!$B$134:$Y$134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4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'_series'!$B$135:$Y$135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5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'_series'!$B$136:$Y$136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6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'_series'!$B$1:$Y$1</f>
            </numRef>
          </cat>
          <val>
            <numRef>
              <f>'_series'!$B$137:$Y$137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chart" Target="/xl/charts/chart18.xml" Id="rId18"/><Relationship Type="http://schemas.openxmlformats.org/officeDocument/2006/relationships/chart" Target="/xl/charts/chart19.xml" Id="rId19"/><Relationship Type="http://schemas.openxmlformats.org/officeDocument/2006/relationships/chart" Target="/xl/charts/chart20.xml" Id="rId20"/><Relationship Type="http://schemas.openxmlformats.org/officeDocument/2006/relationships/chart" Target="/xl/charts/chart21.xml" Id="rId21"/><Relationship Type="http://schemas.openxmlformats.org/officeDocument/2006/relationships/chart" Target="/xl/charts/chart22.xml" Id="rId22"/><Relationship Type="http://schemas.openxmlformats.org/officeDocument/2006/relationships/chart" Target="/xl/charts/chart23.xml" Id="rId23"/><Relationship Type="http://schemas.openxmlformats.org/officeDocument/2006/relationships/chart" Target="/xl/charts/chart24.xml" Id="rId24"/><Relationship Type="http://schemas.openxmlformats.org/officeDocument/2006/relationships/chart" Target="/xl/charts/chart25.xml" Id="rId25"/><Relationship Type="http://schemas.openxmlformats.org/officeDocument/2006/relationships/chart" Target="/xl/charts/chart26.xml" Id="rId26"/><Relationship Type="http://schemas.openxmlformats.org/officeDocument/2006/relationships/chart" Target="/xl/charts/chart27.xml" Id="rId27"/><Relationship Type="http://schemas.openxmlformats.org/officeDocument/2006/relationships/chart" Target="/xl/charts/chart28.xml" Id="rId28"/><Relationship Type="http://schemas.openxmlformats.org/officeDocument/2006/relationships/chart" Target="/xl/charts/chart29.xml" Id="rId29"/><Relationship Type="http://schemas.openxmlformats.org/officeDocument/2006/relationships/chart" Target="/xl/charts/chart30.xml" Id="rId30"/><Relationship Type="http://schemas.openxmlformats.org/officeDocument/2006/relationships/chart" Target="/xl/charts/chart31.xml" Id="rId31"/><Relationship Type="http://schemas.openxmlformats.org/officeDocument/2006/relationships/chart" Target="/xl/charts/chart32.xml" Id="rId32"/><Relationship Type="http://schemas.openxmlformats.org/officeDocument/2006/relationships/chart" Target="/xl/charts/chart33.xml" Id="rId33"/><Relationship Type="http://schemas.openxmlformats.org/officeDocument/2006/relationships/chart" Target="/xl/charts/chart34.xml" Id="rId34"/><Relationship Type="http://schemas.openxmlformats.org/officeDocument/2006/relationships/chart" Target="/xl/charts/chart35.xml" Id="rId35"/><Relationship Type="http://schemas.openxmlformats.org/officeDocument/2006/relationships/chart" Target="/xl/charts/chart36.xml" Id="rId36"/><Relationship Type="http://schemas.openxmlformats.org/officeDocument/2006/relationships/chart" Target="/xl/charts/chart37.xml" Id="rId37"/><Relationship Type="http://schemas.openxmlformats.org/officeDocument/2006/relationships/chart" Target="/xl/charts/chart38.xml" Id="rId38"/><Relationship Type="http://schemas.openxmlformats.org/officeDocument/2006/relationships/chart" Target="/xl/charts/chart39.xml" Id="rId39"/><Relationship Type="http://schemas.openxmlformats.org/officeDocument/2006/relationships/chart" Target="/xl/charts/chart40.xml" Id="rId40"/><Relationship Type="http://schemas.openxmlformats.org/officeDocument/2006/relationships/chart" Target="/xl/charts/chart41.xml" Id="rId41"/><Relationship Type="http://schemas.openxmlformats.org/officeDocument/2006/relationships/chart" Target="/xl/charts/chart42.xml" Id="rId42"/><Relationship Type="http://schemas.openxmlformats.org/officeDocument/2006/relationships/chart" Target="/xl/charts/chart43.xml" Id="rId43"/><Relationship Type="http://schemas.openxmlformats.org/officeDocument/2006/relationships/chart" Target="/xl/charts/chart44.xml" Id="rId44"/><Relationship Type="http://schemas.openxmlformats.org/officeDocument/2006/relationships/chart" Target="/xl/charts/chart45.xml" Id="rId45"/><Relationship Type="http://schemas.openxmlformats.org/officeDocument/2006/relationships/chart" Target="/xl/charts/chart46.xml" Id="rId46"/><Relationship Type="http://schemas.openxmlformats.org/officeDocument/2006/relationships/chart" Target="/xl/charts/chart47.xml" Id="rId47"/><Relationship Type="http://schemas.openxmlformats.org/officeDocument/2006/relationships/chart" Target="/xl/charts/chart48.xml" Id="rId48"/><Relationship Type="http://schemas.openxmlformats.org/officeDocument/2006/relationships/chart" Target="/xl/charts/chart49.xml" Id="rId49"/><Relationship Type="http://schemas.openxmlformats.org/officeDocument/2006/relationships/chart" Target="/xl/charts/chart50.xml" Id="rId50"/><Relationship Type="http://schemas.openxmlformats.org/officeDocument/2006/relationships/chart" Target="/xl/charts/chart51.xml" Id="rId51"/><Relationship Type="http://schemas.openxmlformats.org/officeDocument/2006/relationships/chart" Target="/xl/charts/chart52.xml" Id="rId52"/><Relationship Type="http://schemas.openxmlformats.org/officeDocument/2006/relationships/chart" Target="/xl/charts/chart53.xml" Id="rId53"/><Relationship Type="http://schemas.openxmlformats.org/officeDocument/2006/relationships/chart" Target="/xl/charts/chart54.xml" Id="rId54"/><Relationship Type="http://schemas.openxmlformats.org/officeDocument/2006/relationships/chart" Target="/xl/charts/chart55.xml" Id="rId55"/><Relationship Type="http://schemas.openxmlformats.org/officeDocument/2006/relationships/chart" Target="/xl/charts/chart56.xml" Id="rId56"/><Relationship Type="http://schemas.openxmlformats.org/officeDocument/2006/relationships/chart" Target="/xl/charts/chart57.xml" Id="rId57"/><Relationship Type="http://schemas.openxmlformats.org/officeDocument/2006/relationships/chart" Target="/xl/charts/chart58.xml" Id="rId58"/><Relationship Type="http://schemas.openxmlformats.org/officeDocument/2006/relationships/chart" Target="/xl/charts/chart59.xml" Id="rId59"/><Relationship Type="http://schemas.openxmlformats.org/officeDocument/2006/relationships/chart" Target="/xl/charts/chart60.xml" Id="rId60"/><Relationship Type="http://schemas.openxmlformats.org/officeDocument/2006/relationships/chart" Target="/xl/charts/chart61.xml" Id="rId61"/><Relationship Type="http://schemas.openxmlformats.org/officeDocument/2006/relationships/chart" Target="/xl/charts/chart62.xml" Id="rId62"/><Relationship Type="http://schemas.openxmlformats.org/officeDocument/2006/relationships/chart" Target="/xl/charts/chart63.xml" Id="rId63"/><Relationship Type="http://schemas.openxmlformats.org/officeDocument/2006/relationships/chart" Target="/xl/charts/chart64.xml" Id="rId64"/><Relationship Type="http://schemas.openxmlformats.org/officeDocument/2006/relationships/chart" Target="/xl/charts/chart65.xml" Id="rId65"/><Relationship Type="http://schemas.openxmlformats.org/officeDocument/2006/relationships/chart" Target="/xl/charts/chart66.xml" Id="rId66"/><Relationship Type="http://schemas.openxmlformats.org/officeDocument/2006/relationships/chart" Target="/xl/charts/chart67.xml" Id="rId67"/><Relationship Type="http://schemas.openxmlformats.org/officeDocument/2006/relationships/chart" Target="/xl/charts/chart68.xml" Id="rId68"/><Relationship Type="http://schemas.openxmlformats.org/officeDocument/2006/relationships/chart" Target="/xl/charts/chart69.xml" Id="rId69"/><Relationship Type="http://schemas.openxmlformats.org/officeDocument/2006/relationships/chart" Target="/xl/charts/chart70.xml" Id="rId70"/><Relationship Type="http://schemas.openxmlformats.org/officeDocument/2006/relationships/chart" Target="/xl/charts/chart71.xml" Id="rId71"/><Relationship Type="http://schemas.openxmlformats.org/officeDocument/2006/relationships/chart" Target="/xl/charts/chart72.xml" Id="rId72"/><Relationship Type="http://schemas.openxmlformats.org/officeDocument/2006/relationships/chart" Target="/xl/charts/chart73.xml" Id="rId73"/><Relationship Type="http://schemas.openxmlformats.org/officeDocument/2006/relationships/chart" Target="/xl/charts/chart74.xml" Id="rId74"/><Relationship Type="http://schemas.openxmlformats.org/officeDocument/2006/relationships/chart" Target="/xl/charts/chart75.xml" Id="rId75"/><Relationship Type="http://schemas.openxmlformats.org/officeDocument/2006/relationships/chart" Target="/xl/charts/chart76.xml" Id="rId76"/><Relationship Type="http://schemas.openxmlformats.org/officeDocument/2006/relationships/chart" Target="/xl/charts/chart77.xml" Id="rId77"/><Relationship Type="http://schemas.openxmlformats.org/officeDocument/2006/relationships/chart" Target="/xl/charts/chart78.xml" Id="rId78"/><Relationship Type="http://schemas.openxmlformats.org/officeDocument/2006/relationships/chart" Target="/xl/charts/chart79.xml" Id="rId79"/><Relationship Type="http://schemas.openxmlformats.org/officeDocument/2006/relationships/chart" Target="/xl/charts/chart80.xml" Id="rId80"/><Relationship Type="http://schemas.openxmlformats.org/officeDocument/2006/relationships/chart" Target="/xl/charts/chart81.xml" Id="rId81"/><Relationship Type="http://schemas.openxmlformats.org/officeDocument/2006/relationships/chart" Target="/xl/charts/chart82.xml" Id="rId82"/><Relationship Type="http://schemas.openxmlformats.org/officeDocument/2006/relationships/chart" Target="/xl/charts/chart83.xml" Id="rId83"/><Relationship Type="http://schemas.openxmlformats.org/officeDocument/2006/relationships/chart" Target="/xl/charts/chart84.xml" Id="rId84"/><Relationship Type="http://schemas.openxmlformats.org/officeDocument/2006/relationships/chart" Target="/xl/charts/chart85.xml" Id="rId85"/><Relationship Type="http://schemas.openxmlformats.org/officeDocument/2006/relationships/chart" Target="/xl/charts/chart86.xml" Id="rId86"/><Relationship Type="http://schemas.openxmlformats.org/officeDocument/2006/relationships/chart" Target="/xl/charts/chart87.xml" Id="rId87"/><Relationship Type="http://schemas.openxmlformats.org/officeDocument/2006/relationships/chart" Target="/xl/charts/chart88.xml" Id="rId88"/><Relationship Type="http://schemas.openxmlformats.org/officeDocument/2006/relationships/chart" Target="/xl/charts/chart89.xml" Id="rId89"/><Relationship Type="http://schemas.openxmlformats.org/officeDocument/2006/relationships/chart" Target="/xl/charts/chart90.xml" Id="rId90"/><Relationship Type="http://schemas.openxmlformats.org/officeDocument/2006/relationships/chart" Target="/xl/charts/chart91.xml" Id="rId91"/><Relationship Type="http://schemas.openxmlformats.org/officeDocument/2006/relationships/chart" Target="/xl/charts/chart92.xml" Id="rId92"/><Relationship Type="http://schemas.openxmlformats.org/officeDocument/2006/relationships/chart" Target="/xl/charts/chart93.xml" Id="rId93"/><Relationship Type="http://schemas.openxmlformats.org/officeDocument/2006/relationships/chart" Target="/xl/charts/chart94.xml" Id="rId94"/><Relationship Type="http://schemas.openxmlformats.org/officeDocument/2006/relationships/chart" Target="/xl/charts/chart95.xml" Id="rId95"/><Relationship Type="http://schemas.openxmlformats.org/officeDocument/2006/relationships/chart" Target="/xl/charts/chart96.xml" Id="rId96"/><Relationship Type="http://schemas.openxmlformats.org/officeDocument/2006/relationships/chart" Target="/xl/charts/chart97.xml" Id="rId97"/><Relationship Type="http://schemas.openxmlformats.org/officeDocument/2006/relationships/chart" Target="/xl/charts/chart98.xml" Id="rId98"/><Relationship Type="http://schemas.openxmlformats.org/officeDocument/2006/relationships/chart" Target="/xl/charts/chart99.xml" Id="rId99"/><Relationship Type="http://schemas.openxmlformats.org/officeDocument/2006/relationships/chart" Target="/xl/charts/chart100.xml" Id="rId100"/><Relationship Type="http://schemas.openxmlformats.org/officeDocument/2006/relationships/chart" Target="/xl/charts/chart101.xml" Id="rId101"/><Relationship Type="http://schemas.openxmlformats.org/officeDocument/2006/relationships/chart" Target="/xl/charts/chart102.xml" Id="rId102"/><Relationship Type="http://schemas.openxmlformats.org/officeDocument/2006/relationships/chart" Target="/xl/charts/chart103.xml" Id="rId103"/><Relationship Type="http://schemas.openxmlformats.org/officeDocument/2006/relationships/chart" Target="/xl/charts/chart104.xml" Id="rId104"/><Relationship Type="http://schemas.openxmlformats.org/officeDocument/2006/relationships/chart" Target="/xl/charts/chart105.xml" Id="rId105"/><Relationship Type="http://schemas.openxmlformats.org/officeDocument/2006/relationships/chart" Target="/xl/charts/chart106.xml" Id="rId106"/><Relationship Type="http://schemas.openxmlformats.org/officeDocument/2006/relationships/chart" Target="/xl/charts/chart107.xml" Id="rId107"/><Relationship Type="http://schemas.openxmlformats.org/officeDocument/2006/relationships/chart" Target="/xl/charts/chart108.xml" Id="rId108"/><Relationship Type="http://schemas.openxmlformats.org/officeDocument/2006/relationships/chart" Target="/xl/charts/chart109.xml" Id="rId109"/><Relationship Type="http://schemas.openxmlformats.org/officeDocument/2006/relationships/chart" Target="/xl/charts/chart110.xml" Id="rId110"/><Relationship Type="http://schemas.openxmlformats.org/officeDocument/2006/relationships/chart" Target="/xl/charts/chart111.xml" Id="rId111"/><Relationship Type="http://schemas.openxmlformats.org/officeDocument/2006/relationships/chart" Target="/xl/charts/chart112.xml" Id="rId112"/><Relationship Type="http://schemas.openxmlformats.org/officeDocument/2006/relationships/chart" Target="/xl/charts/chart113.xml" Id="rId113"/><Relationship Type="http://schemas.openxmlformats.org/officeDocument/2006/relationships/chart" Target="/xl/charts/chart114.xml" Id="rId114"/><Relationship Type="http://schemas.openxmlformats.org/officeDocument/2006/relationships/chart" Target="/xl/charts/chart115.xml" Id="rId115"/><Relationship Type="http://schemas.openxmlformats.org/officeDocument/2006/relationships/chart" Target="/xl/charts/chart116.xml" Id="rId116"/><Relationship Type="http://schemas.openxmlformats.org/officeDocument/2006/relationships/chart" Target="/xl/charts/chart117.xml" Id="rId117"/><Relationship Type="http://schemas.openxmlformats.org/officeDocument/2006/relationships/chart" Target="/xl/charts/chart118.xml" Id="rId118"/><Relationship Type="http://schemas.openxmlformats.org/officeDocument/2006/relationships/chart" Target="/xl/charts/chart119.xml" Id="rId119"/><Relationship Type="http://schemas.openxmlformats.org/officeDocument/2006/relationships/chart" Target="/xl/charts/chart120.xml" Id="rId120"/><Relationship Type="http://schemas.openxmlformats.org/officeDocument/2006/relationships/chart" Target="/xl/charts/chart121.xml" Id="rId121"/><Relationship Type="http://schemas.openxmlformats.org/officeDocument/2006/relationships/chart" Target="/xl/charts/chart122.xml" Id="rId122"/><Relationship Type="http://schemas.openxmlformats.org/officeDocument/2006/relationships/chart" Target="/xl/charts/chart123.xml" Id="rId123"/><Relationship Type="http://schemas.openxmlformats.org/officeDocument/2006/relationships/chart" Target="/xl/charts/chart124.xml" Id="rId124"/><Relationship Type="http://schemas.openxmlformats.org/officeDocument/2006/relationships/chart" Target="/xl/charts/chart125.xml" Id="rId125"/><Relationship Type="http://schemas.openxmlformats.org/officeDocument/2006/relationships/chart" Target="/xl/charts/chart126.xml" Id="rId126"/><Relationship Type="http://schemas.openxmlformats.org/officeDocument/2006/relationships/chart" Target="/xl/charts/chart127.xml" Id="rId127"/><Relationship Type="http://schemas.openxmlformats.org/officeDocument/2006/relationships/chart" Target="/xl/charts/chart128.xml" Id="rId128"/><Relationship Type="http://schemas.openxmlformats.org/officeDocument/2006/relationships/chart" Target="/xl/charts/chart129.xml" Id="rId129"/><Relationship Type="http://schemas.openxmlformats.org/officeDocument/2006/relationships/chart" Target="/xl/charts/chart130.xml" Id="rId130"/><Relationship Type="http://schemas.openxmlformats.org/officeDocument/2006/relationships/chart" Target="/xl/charts/chart131.xml" Id="rId131"/><Relationship Type="http://schemas.openxmlformats.org/officeDocument/2006/relationships/chart" Target="/xl/charts/chart132.xml" Id="rId132"/><Relationship Type="http://schemas.openxmlformats.org/officeDocument/2006/relationships/chart" Target="/xl/charts/chart133.xml" Id="rId133"/><Relationship Type="http://schemas.openxmlformats.org/officeDocument/2006/relationships/chart" Target="/xl/charts/chart134.xml" Id="rId134"/><Relationship Type="http://schemas.openxmlformats.org/officeDocument/2006/relationships/chart" Target="/xl/charts/chart135.xml" Id="rId135"/><Relationship Type="http://schemas.openxmlformats.org/officeDocument/2006/relationships/chart" Target="/xl/charts/chart136.xml" Id="rId136"/></Relationships>
</file>

<file path=xl/drawings/drawing1.xml><?xml version="1.0" encoding="utf-8"?>
<wsDr xmlns="http://schemas.openxmlformats.org/drawingml/2006/spreadsheetDrawing">
  <oneCellAnchor>
    <from>
      <col>17</col>
      <colOff>0</colOff>
      <row>9</row>
      <rowOff>0</rowOff>
    </from>
    <ext cx="4500000" cy="16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17</col>
      <colOff>0</colOff>
      <row>23</row>
      <rowOff>0</rowOff>
    </from>
    <ext cx="4500000" cy="16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17</col>
      <colOff>0</colOff>
      <row>37</row>
      <rowOff>0</rowOff>
    </from>
    <ext cx="4500000" cy="16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17</col>
      <colOff>0</colOff>
      <row>51</row>
      <rowOff>0</rowOff>
    </from>
    <ext cx="4500000" cy="16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17</col>
      <colOff>0</colOff>
      <row>65</row>
      <rowOff>0</rowOff>
    </from>
    <ext cx="4500000" cy="16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17</col>
      <colOff>0</colOff>
      <row>79</row>
      <rowOff>0</rowOff>
    </from>
    <ext cx="4500000" cy="16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17</col>
      <colOff>0</colOff>
      <row>93</row>
      <rowOff>0</rowOff>
    </from>
    <ext cx="4500000" cy="162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17</col>
      <colOff>0</colOff>
      <row>107</row>
      <rowOff>0</rowOff>
    </from>
    <ext cx="4500000" cy="162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17</col>
      <colOff>0</colOff>
      <row>121</row>
      <rowOff>0</rowOff>
    </from>
    <ext cx="4500000" cy="162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17</col>
      <colOff>0</colOff>
      <row>135</row>
      <rowOff>0</rowOff>
    </from>
    <ext cx="4500000" cy="162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17</col>
      <colOff>0</colOff>
      <row>149</row>
      <rowOff>0</rowOff>
    </from>
    <ext cx="4500000" cy="162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17</col>
      <colOff>0</colOff>
      <row>163</row>
      <rowOff>0</rowOff>
    </from>
    <ext cx="4500000" cy="162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17</col>
      <colOff>0</colOff>
      <row>177</row>
      <rowOff>0</rowOff>
    </from>
    <ext cx="4500000" cy="162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17</col>
      <colOff>0</colOff>
      <row>191</row>
      <rowOff>0</rowOff>
    </from>
    <ext cx="4500000" cy="162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17</col>
      <colOff>0</colOff>
      <row>205</row>
      <rowOff>0</rowOff>
    </from>
    <ext cx="4500000" cy="162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17</col>
      <colOff>0</colOff>
      <row>224</row>
      <rowOff>0</rowOff>
    </from>
    <ext cx="4500000" cy="162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17</col>
      <colOff>0</colOff>
      <row>238</row>
      <rowOff>0</rowOff>
    </from>
    <ext cx="4500000" cy="162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17</col>
      <colOff>0</colOff>
      <row>252</row>
      <rowOff>0</rowOff>
    </from>
    <ext cx="4500000" cy="162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17</col>
      <colOff>0</colOff>
      <row>271</row>
      <rowOff>0</rowOff>
    </from>
    <ext cx="4500000" cy="162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17</col>
      <colOff>0</colOff>
      <row>290</row>
      <rowOff>0</rowOff>
    </from>
    <ext cx="4500000" cy="162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17</col>
      <colOff>0</colOff>
      <row>309</row>
      <rowOff>0</rowOff>
    </from>
    <ext cx="4500000" cy="162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17</col>
      <colOff>0</colOff>
      <row>323</row>
      <rowOff>0</rowOff>
    </from>
    <ext cx="4500000" cy="162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17</col>
      <colOff>0</colOff>
      <row>342</row>
      <rowOff>0</rowOff>
    </from>
    <ext cx="4500000" cy="162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17</col>
      <colOff>0</colOff>
      <row>361</row>
      <rowOff>0</rowOff>
    </from>
    <ext cx="4500000" cy="162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17</col>
      <colOff>0</colOff>
      <row>380</row>
      <rowOff>0</rowOff>
    </from>
    <ext cx="4500000" cy="162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17</col>
      <colOff>0</colOff>
      <row>394</row>
      <rowOff>0</rowOff>
    </from>
    <ext cx="4500000" cy="162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17</col>
      <colOff>0</colOff>
      <row>413</row>
      <rowOff>0</rowOff>
    </from>
    <ext cx="4500000" cy="162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17</col>
      <colOff>0</colOff>
      <row>432</row>
      <rowOff>0</rowOff>
    </from>
    <ext cx="4500000" cy="162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17</col>
      <colOff>0</colOff>
      <row>451</row>
      <rowOff>0</rowOff>
    </from>
    <ext cx="4500000" cy="162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17</col>
      <colOff>0</colOff>
      <row>470</row>
      <rowOff>0</rowOff>
    </from>
    <ext cx="4500000" cy="162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17</col>
      <colOff>0</colOff>
      <row>489</row>
      <rowOff>0</rowOff>
    </from>
    <ext cx="4500000" cy="162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17</col>
      <colOff>0</colOff>
      <row>508</row>
      <rowOff>0</rowOff>
    </from>
    <ext cx="4500000" cy="162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17</col>
      <colOff>0</colOff>
      <row>527</row>
      <rowOff>0</rowOff>
    </from>
    <ext cx="4500000" cy="162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17</col>
      <colOff>0</colOff>
      <row>546</row>
      <rowOff>0</rowOff>
    </from>
    <ext cx="4500000" cy="162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17</col>
      <colOff>0</colOff>
      <row>565</row>
      <rowOff>0</rowOff>
    </from>
    <ext cx="4500000" cy="162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17</col>
      <colOff>0</colOff>
      <row>584</row>
      <rowOff>0</rowOff>
    </from>
    <ext cx="4500000" cy="162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17</col>
      <colOff>0</colOff>
      <row>598</row>
      <rowOff>0</rowOff>
    </from>
    <ext cx="4500000" cy="162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17</col>
      <colOff>0</colOff>
      <row>617</row>
      <rowOff>0</rowOff>
    </from>
    <ext cx="4500000" cy="162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17</col>
      <colOff>0</colOff>
      <row>636</row>
      <rowOff>0</rowOff>
    </from>
    <ext cx="4500000" cy="162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17</col>
      <colOff>0</colOff>
      <row>655</row>
      <rowOff>0</rowOff>
    </from>
    <ext cx="4500000" cy="162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17</col>
      <colOff>0</colOff>
      <row>674</row>
      <rowOff>0</rowOff>
    </from>
    <ext cx="4500000" cy="162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17</col>
      <colOff>0</colOff>
      <row>693</row>
      <rowOff>0</rowOff>
    </from>
    <ext cx="4500000" cy="162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17</col>
      <colOff>0</colOff>
      <row>712</row>
      <rowOff>0</rowOff>
    </from>
    <ext cx="4500000" cy="162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17</col>
      <colOff>0</colOff>
      <row>731</row>
      <rowOff>0</rowOff>
    </from>
    <ext cx="4500000" cy="162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17</col>
      <colOff>0</colOff>
      <row>750</row>
      <rowOff>0</rowOff>
    </from>
    <ext cx="4500000" cy="162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17</col>
      <colOff>0</colOff>
      <row>769</row>
      <rowOff>0</rowOff>
    </from>
    <ext cx="4500000" cy="162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17</col>
      <colOff>0</colOff>
      <row>788</row>
      <rowOff>0</rowOff>
    </from>
    <ext cx="4500000" cy="162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17</col>
      <colOff>0</colOff>
      <row>807</row>
      <rowOff>0</rowOff>
    </from>
    <ext cx="4500000" cy="162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17</col>
      <colOff>0</colOff>
      <row>826</row>
      <rowOff>0</rowOff>
    </from>
    <ext cx="4500000" cy="162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17</col>
      <colOff>0</colOff>
      <row>845</row>
      <rowOff>0</rowOff>
    </from>
    <ext cx="4500000" cy="162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17</col>
      <colOff>0</colOff>
      <row>864</row>
      <rowOff>0</rowOff>
    </from>
    <ext cx="4500000" cy="162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17</col>
      <colOff>0</colOff>
      <row>883</row>
      <rowOff>0</rowOff>
    </from>
    <ext cx="4500000" cy="162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17</col>
      <colOff>0</colOff>
      <row>897</row>
      <rowOff>0</rowOff>
    </from>
    <ext cx="4500000" cy="162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17</col>
      <colOff>0</colOff>
      <row>911</row>
      <rowOff>0</rowOff>
    </from>
    <ext cx="4500000" cy="162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17</col>
      <colOff>0</colOff>
      <row>930</row>
      <rowOff>0</rowOff>
    </from>
    <ext cx="4500000" cy="162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17</col>
      <colOff>0</colOff>
      <row>949</row>
      <rowOff>0</rowOff>
    </from>
    <ext cx="4500000" cy="162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17</col>
      <colOff>0</colOff>
      <row>963</row>
      <rowOff>0</rowOff>
    </from>
    <ext cx="4500000" cy="162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17</col>
      <colOff>0</colOff>
      <row>982</row>
      <rowOff>0</rowOff>
    </from>
    <ext cx="4500000" cy="162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17</col>
      <colOff>0</colOff>
      <row>996</row>
      <rowOff>0</rowOff>
    </from>
    <ext cx="4500000" cy="162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17</col>
      <colOff>0</colOff>
      <row>1010</row>
      <rowOff>0</rowOff>
    </from>
    <ext cx="4500000" cy="162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17</col>
      <colOff>0</colOff>
      <row>1029</row>
      <rowOff>0</rowOff>
    </from>
    <ext cx="4500000" cy="162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17</col>
      <colOff>0</colOff>
      <row>1048</row>
      <rowOff>0</rowOff>
    </from>
    <ext cx="4500000" cy="162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17</col>
      <colOff>0</colOff>
      <row>1067</row>
      <rowOff>0</rowOff>
    </from>
    <ext cx="4500000" cy="162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17</col>
      <colOff>0</colOff>
      <row>1081</row>
      <rowOff>0</rowOff>
    </from>
    <ext cx="4500000" cy="162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17</col>
      <colOff>0</colOff>
      <row>1095</row>
      <rowOff>0</rowOff>
    </from>
    <ext cx="4500000" cy="162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17</col>
      <colOff>0</colOff>
      <row>1109</row>
      <rowOff>0</rowOff>
    </from>
    <ext cx="4500000" cy="162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17</col>
      <colOff>0</colOff>
      <row>1128</row>
      <rowOff>0</rowOff>
    </from>
    <ext cx="4500000" cy="162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17</col>
      <colOff>0</colOff>
      <row>1142</row>
      <rowOff>0</rowOff>
    </from>
    <ext cx="4500000" cy="162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17</col>
      <colOff>0</colOff>
      <row>1156</row>
      <rowOff>0</rowOff>
    </from>
    <ext cx="4500000" cy="162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17</col>
      <colOff>0</colOff>
      <row>1170</row>
      <rowOff>0</rowOff>
    </from>
    <ext cx="4500000" cy="162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17</col>
      <colOff>0</colOff>
      <row>1184</row>
      <rowOff>0</rowOff>
    </from>
    <ext cx="4500000" cy="162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17</col>
      <colOff>0</colOff>
      <row>1203</row>
      <rowOff>0</rowOff>
    </from>
    <ext cx="4500000" cy="162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17</col>
      <colOff>0</colOff>
      <row>1217</row>
      <rowOff>0</rowOff>
    </from>
    <ext cx="4500000" cy="162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17</col>
      <colOff>0</colOff>
      <row>1231</row>
      <rowOff>0</rowOff>
    </from>
    <ext cx="4500000" cy="162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17</col>
      <colOff>0</colOff>
      <row>1245</row>
      <rowOff>0</rowOff>
    </from>
    <ext cx="4500000" cy="162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17</col>
      <colOff>0</colOff>
      <row>1259</row>
      <rowOff>0</rowOff>
    </from>
    <ext cx="4500000" cy="162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17</col>
      <colOff>0</colOff>
      <row>1273</row>
      <rowOff>0</rowOff>
    </from>
    <ext cx="4500000" cy="162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17</col>
      <colOff>0</colOff>
      <row>1287</row>
      <rowOff>0</rowOff>
    </from>
    <ext cx="4500000" cy="162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17</col>
      <colOff>0</colOff>
      <row>1301</row>
      <rowOff>0</rowOff>
    </from>
    <ext cx="4500000" cy="162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17</col>
      <colOff>0</colOff>
      <row>1315</row>
      <rowOff>0</rowOff>
    </from>
    <ext cx="4500000" cy="162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17</col>
      <colOff>0</colOff>
      <row>1329</row>
      <rowOff>0</rowOff>
    </from>
    <ext cx="4500000" cy="162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  <oneCellAnchor>
    <from>
      <col>17</col>
      <colOff>0</colOff>
      <row>1343</row>
      <rowOff>0</rowOff>
    </from>
    <ext cx="4500000" cy="1620000"/>
    <graphicFrame>
      <nvGraphicFramePr>
        <cNvPr id="82" name="Chart 8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2"/>
        </a:graphicData>
      </a:graphic>
    </graphicFrame>
    <clientData/>
  </oneCellAnchor>
  <oneCellAnchor>
    <from>
      <col>17</col>
      <colOff>0</colOff>
      <row>1357</row>
      <rowOff>0</rowOff>
    </from>
    <ext cx="4500000" cy="1620000"/>
    <graphicFrame>
      <nvGraphicFramePr>
        <cNvPr id="83" name="Chart 8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3"/>
        </a:graphicData>
      </a:graphic>
    </graphicFrame>
    <clientData/>
  </oneCellAnchor>
  <oneCellAnchor>
    <from>
      <col>17</col>
      <colOff>0</colOff>
      <row>1371</row>
      <rowOff>0</rowOff>
    </from>
    <ext cx="4500000" cy="1620000"/>
    <graphicFrame>
      <nvGraphicFramePr>
        <cNvPr id="84" name="Chart 8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4"/>
        </a:graphicData>
      </a:graphic>
    </graphicFrame>
    <clientData/>
  </oneCellAnchor>
  <oneCellAnchor>
    <from>
      <col>17</col>
      <colOff>0</colOff>
      <row>1385</row>
      <rowOff>0</rowOff>
    </from>
    <ext cx="4500000" cy="1620000"/>
    <graphicFrame>
      <nvGraphicFramePr>
        <cNvPr id="85" name="Chart 8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5"/>
        </a:graphicData>
      </a:graphic>
    </graphicFrame>
    <clientData/>
  </oneCellAnchor>
  <oneCellAnchor>
    <from>
      <col>17</col>
      <colOff>0</colOff>
      <row>1399</row>
      <rowOff>0</rowOff>
    </from>
    <ext cx="4500000" cy="1620000"/>
    <graphicFrame>
      <nvGraphicFramePr>
        <cNvPr id="86" name="Chart 8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6"/>
        </a:graphicData>
      </a:graphic>
    </graphicFrame>
    <clientData/>
  </oneCellAnchor>
  <oneCellAnchor>
    <from>
      <col>17</col>
      <colOff>0</colOff>
      <row>1413</row>
      <rowOff>0</rowOff>
    </from>
    <ext cx="4500000" cy="1620000"/>
    <graphicFrame>
      <nvGraphicFramePr>
        <cNvPr id="87" name="Chart 8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7"/>
        </a:graphicData>
      </a:graphic>
    </graphicFrame>
    <clientData/>
  </oneCellAnchor>
  <oneCellAnchor>
    <from>
      <col>17</col>
      <colOff>0</colOff>
      <row>1427</row>
      <rowOff>0</rowOff>
    </from>
    <ext cx="4500000" cy="1620000"/>
    <graphicFrame>
      <nvGraphicFramePr>
        <cNvPr id="88" name="Chart 8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8"/>
        </a:graphicData>
      </a:graphic>
    </graphicFrame>
    <clientData/>
  </oneCellAnchor>
  <oneCellAnchor>
    <from>
      <col>17</col>
      <colOff>0</colOff>
      <row>1441</row>
      <rowOff>0</rowOff>
    </from>
    <ext cx="4500000" cy="1620000"/>
    <graphicFrame>
      <nvGraphicFramePr>
        <cNvPr id="89" name="Chart 8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9"/>
        </a:graphicData>
      </a:graphic>
    </graphicFrame>
    <clientData/>
  </oneCellAnchor>
  <oneCellAnchor>
    <from>
      <col>17</col>
      <colOff>0</colOff>
      <row>1455</row>
      <rowOff>0</rowOff>
    </from>
    <ext cx="4500000" cy="1620000"/>
    <graphicFrame>
      <nvGraphicFramePr>
        <cNvPr id="90" name="Chart 9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0"/>
        </a:graphicData>
      </a:graphic>
    </graphicFrame>
    <clientData/>
  </oneCellAnchor>
  <oneCellAnchor>
    <from>
      <col>17</col>
      <colOff>0</colOff>
      <row>1469</row>
      <rowOff>0</rowOff>
    </from>
    <ext cx="4500000" cy="1620000"/>
    <graphicFrame>
      <nvGraphicFramePr>
        <cNvPr id="91" name="Chart 9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1"/>
        </a:graphicData>
      </a:graphic>
    </graphicFrame>
    <clientData/>
  </oneCellAnchor>
  <oneCellAnchor>
    <from>
      <col>17</col>
      <colOff>0</colOff>
      <row>1483</row>
      <rowOff>0</rowOff>
    </from>
    <ext cx="4500000" cy="1620000"/>
    <graphicFrame>
      <nvGraphicFramePr>
        <cNvPr id="92" name="Chart 9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2"/>
        </a:graphicData>
      </a:graphic>
    </graphicFrame>
    <clientData/>
  </oneCellAnchor>
  <oneCellAnchor>
    <from>
      <col>17</col>
      <colOff>0</colOff>
      <row>1497</row>
      <rowOff>0</rowOff>
    </from>
    <ext cx="4500000" cy="1620000"/>
    <graphicFrame>
      <nvGraphicFramePr>
        <cNvPr id="93" name="Chart 9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3"/>
        </a:graphicData>
      </a:graphic>
    </graphicFrame>
    <clientData/>
  </oneCellAnchor>
  <oneCellAnchor>
    <from>
      <col>17</col>
      <colOff>0</colOff>
      <row>1511</row>
      <rowOff>0</rowOff>
    </from>
    <ext cx="4500000" cy="1620000"/>
    <graphicFrame>
      <nvGraphicFramePr>
        <cNvPr id="94" name="Chart 9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4"/>
        </a:graphicData>
      </a:graphic>
    </graphicFrame>
    <clientData/>
  </oneCellAnchor>
  <oneCellAnchor>
    <from>
      <col>17</col>
      <colOff>0</colOff>
      <row>1525</row>
      <rowOff>0</rowOff>
    </from>
    <ext cx="4500000" cy="1620000"/>
    <graphicFrame>
      <nvGraphicFramePr>
        <cNvPr id="95" name="Chart 9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5"/>
        </a:graphicData>
      </a:graphic>
    </graphicFrame>
    <clientData/>
  </oneCellAnchor>
  <oneCellAnchor>
    <from>
      <col>17</col>
      <colOff>0</colOff>
      <row>1539</row>
      <rowOff>0</rowOff>
    </from>
    <ext cx="4500000" cy="1620000"/>
    <graphicFrame>
      <nvGraphicFramePr>
        <cNvPr id="96" name="Chart 9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6"/>
        </a:graphicData>
      </a:graphic>
    </graphicFrame>
    <clientData/>
  </oneCellAnchor>
  <oneCellAnchor>
    <from>
      <col>17</col>
      <colOff>0</colOff>
      <row>1553</row>
      <rowOff>0</rowOff>
    </from>
    <ext cx="4500000" cy="1620000"/>
    <graphicFrame>
      <nvGraphicFramePr>
        <cNvPr id="97" name="Chart 9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7"/>
        </a:graphicData>
      </a:graphic>
    </graphicFrame>
    <clientData/>
  </oneCellAnchor>
  <oneCellAnchor>
    <from>
      <col>17</col>
      <colOff>0</colOff>
      <row>1567</row>
      <rowOff>0</rowOff>
    </from>
    <ext cx="4500000" cy="1620000"/>
    <graphicFrame>
      <nvGraphicFramePr>
        <cNvPr id="98" name="Chart 9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8"/>
        </a:graphicData>
      </a:graphic>
    </graphicFrame>
    <clientData/>
  </oneCellAnchor>
  <oneCellAnchor>
    <from>
      <col>17</col>
      <colOff>0</colOff>
      <row>1581</row>
      <rowOff>0</rowOff>
    </from>
    <ext cx="4500000" cy="1620000"/>
    <graphicFrame>
      <nvGraphicFramePr>
        <cNvPr id="99" name="Chart 9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9"/>
        </a:graphicData>
      </a:graphic>
    </graphicFrame>
    <clientData/>
  </oneCellAnchor>
  <oneCellAnchor>
    <from>
      <col>17</col>
      <colOff>0</colOff>
      <row>1595</row>
      <rowOff>0</rowOff>
    </from>
    <ext cx="4500000" cy="1620000"/>
    <graphicFrame>
      <nvGraphicFramePr>
        <cNvPr id="100" name="Chart 10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0"/>
        </a:graphicData>
      </a:graphic>
    </graphicFrame>
    <clientData/>
  </oneCellAnchor>
  <oneCellAnchor>
    <from>
      <col>17</col>
      <colOff>0</colOff>
      <row>1609</row>
      <rowOff>0</rowOff>
    </from>
    <ext cx="4500000" cy="1620000"/>
    <graphicFrame>
      <nvGraphicFramePr>
        <cNvPr id="101" name="Chart 10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1"/>
        </a:graphicData>
      </a:graphic>
    </graphicFrame>
    <clientData/>
  </oneCellAnchor>
  <oneCellAnchor>
    <from>
      <col>17</col>
      <colOff>0</colOff>
      <row>1628</row>
      <rowOff>0</rowOff>
    </from>
    <ext cx="4500000" cy="1620000"/>
    <graphicFrame>
      <nvGraphicFramePr>
        <cNvPr id="102" name="Chart 10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2"/>
        </a:graphicData>
      </a:graphic>
    </graphicFrame>
    <clientData/>
  </oneCellAnchor>
  <oneCellAnchor>
    <from>
      <col>17</col>
      <colOff>0</colOff>
      <row>1642</row>
      <rowOff>0</rowOff>
    </from>
    <ext cx="4500000" cy="1620000"/>
    <graphicFrame>
      <nvGraphicFramePr>
        <cNvPr id="103" name="Chart 10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3"/>
        </a:graphicData>
      </a:graphic>
    </graphicFrame>
    <clientData/>
  </oneCellAnchor>
  <oneCellAnchor>
    <from>
      <col>17</col>
      <colOff>0</colOff>
      <row>1656</row>
      <rowOff>0</rowOff>
    </from>
    <ext cx="4500000" cy="1620000"/>
    <graphicFrame>
      <nvGraphicFramePr>
        <cNvPr id="104" name="Chart 10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4"/>
        </a:graphicData>
      </a:graphic>
    </graphicFrame>
    <clientData/>
  </oneCellAnchor>
  <oneCellAnchor>
    <from>
      <col>17</col>
      <colOff>0</colOff>
      <row>1670</row>
      <rowOff>0</rowOff>
    </from>
    <ext cx="4500000" cy="1620000"/>
    <graphicFrame>
      <nvGraphicFramePr>
        <cNvPr id="105" name="Chart 10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5"/>
        </a:graphicData>
      </a:graphic>
    </graphicFrame>
    <clientData/>
  </oneCellAnchor>
  <oneCellAnchor>
    <from>
      <col>17</col>
      <colOff>0</colOff>
      <row>1684</row>
      <rowOff>0</rowOff>
    </from>
    <ext cx="4500000" cy="1620000"/>
    <graphicFrame>
      <nvGraphicFramePr>
        <cNvPr id="106" name="Chart 10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6"/>
        </a:graphicData>
      </a:graphic>
    </graphicFrame>
    <clientData/>
  </oneCellAnchor>
  <oneCellAnchor>
    <from>
      <col>17</col>
      <colOff>0</colOff>
      <row>1698</row>
      <rowOff>0</rowOff>
    </from>
    <ext cx="4500000" cy="1620000"/>
    <graphicFrame>
      <nvGraphicFramePr>
        <cNvPr id="107" name="Chart 10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7"/>
        </a:graphicData>
      </a:graphic>
    </graphicFrame>
    <clientData/>
  </oneCellAnchor>
  <oneCellAnchor>
    <from>
      <col>17</col>
      <colOff>0</colOff>
      <row>1712</row>
      <rowOff>0</rowOff>
    </from>
    <ext cx="4500000" cy="1620000"/>
    <graphicFrame>
      <nvGraphicFramePr>
        <cNvPr id="108" name="Chart 10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8"/>
        </a:graphicData>
      </a:graphic>
    </graphicFrame>
    <clientData/>
  </oneCellAnchor>
  <oneCellAnchor>
    <from>
      <col>17</col>
      <colOff>0</colOff>
      <row>1726</row>
      <rowOff>0</rowOff>
    </from>
    <ext cx="4500000" cy="1620000"/>
    <graphicFrame>
      <nvGraphicFramePr>
        <cNvPr id="109" name="Chart 10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9"/>
        </a:graphicData>
      </a:graphic>
    </graphicFrame>
    <clientData/>
  </oneCellAnchor>
  <oneCellAnchor>
    <from>
      <col>17</col>
      <colOff>0</colOff>
      <row>1745</row>
      <rowOff>0</rowOff>
    </from>
    <ext cx="4500000" cy="1620000"/>
    <graphicFrame>
      <nvGraphicFramePr>
        <cNvPr id="110" name="Chart 1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0"/>
        </a:graphicData>
      </a:graphic>
    </graphicFrame>
    <clientData/>
  </oneCellAnchor>
  <oneCellAnchor>
    <from>
      <col>17</col>
      <colOff>0</colOff>
      <row>1759</row>
      <rowOff>0</rowOff>
    </from>
    <ext cx="4500000" cy="1620000"/>
    <graphicFrame>
      <nvGraphicFramePr>
        <cNvPr id="111" name="Chart 1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1"/>
        </a:graphicData>
      </a:graphic>
    </graphicFrame>
    <clientData/>
  </oneCellAnchor>
  <oneCellAnchor>
    <from>
      <col>17</col>
      <colOff>0</colOff>
      <row>1773</row>
      <rowOff>0</rowOff>
    </from>
    <ext cx="4500000" cy="1620000"/>
    <graphicFrame>
      <nvGraphicFramePr>
        <cNvPr id="112" name="Chart 1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2"/>
        </a:graphicData>
      </a:graphic>
    </graphicFrame>
    <clientData/>
  </oneCellAnchor>
  <oneCellAnchor>
    <from>
      <col>17</col>
      <colOff>0</colOff>
      <row>1787</row>
      <rowOff>0</rowOff>
    </from>
    <ext cx="4500000" cy="1620000"/>
    <graphicFrame>
      <nvGraphicFramePr>
        <cNvPr id="113" name="Chart 1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3"/>
        </a:graphicData>
      </a:graphic>
    </graphicFrame>
    <clientData/>
  </oneCellAnchor>
  <oneCellAnchor>
    <from>
      <col>17</col>
      <colOff>0</colOff>
      <row>1801</row>
      <rowOff>0</rowOff>
    </from>
    <ext cx="4500000" cy="1620000"/>
    <graphicFrame>
      <nvGraphicFramePr>
        <cNvPr id="114" name="Chart 1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4"/>
        </a:graphicData>
      </a:graphic>
    </graphicFrame>
    <clientData/>
  </oneCellAnchor>
  <oneCellAnchor>
    <from>
      <col>17</col>
      <colOff>0</colOff>
      <row>1815</row>
      <rowOff>0</rowOff>
    </from>
    <ext cx="4500000" cy="1620000"/>
    <graphicFrame>
      <nvGraphicFramePr>
        <cNvPr id="115" name="Chart 1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5"/>
        </a:graphicData>
      </a:graphic>
    </graphicFrame>
    <clientData/>
  </oneCellAnchor>
  <oneCellAnchor>
    <from>
      <col>17</col>
      <colOff>0</colOff>
      <row>1829</row>
      <rowOff>0</rowOff>
    </from>
    <ext cx="4500000" cy="1620000"/>
    <graphicFrame>
      <nvGraphicFramePr>
        <cNvPr id="116" name="Chart 1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6"/>
        </a:graphicData>
      </a:graphic>
    </graphicFrame>
    <clientData/>
  </oneCellAnchor>
  <oneCellAnchor>
    <from>
      <col>17</col>
      <colOff>0</colOff>
      <row>1843</row>
      <rowOff>0</rowOff>
    </from>
    <ext cx="4500000" cy="1620000"/>
    <graphicFrame>
      <nvGraphicFramePr>
        <cNvPr id="117" name="Chart 1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7"/>
        </a:graphicData>
      </a:graphic>
    </graphicFrame>
    <clientData/>
  </oneCellAnchor>
  <oneCellAnchor>
    <from>
      <col>17</col>
      <colOff>0</colOff>
      <row>1857</row>
      <rowOff>0</rowOff>
    </from>
    <ext cx="4500000" cy="1620000"/>
    <graphicFrame>
      <nvGraphicFramePr>
        <cNvPr id="118" name="Chart 1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8"/>
        </a:graphicData>
      </a:graphic>
    </graphicFrame>
    <clientData/>
  </oneCellAnchor>
  <oneCellAnchor>
    <from>
      <col>17</col>
      <colOff>0</colOff>
      <row>1871</row>
      <rowOff>0</rowOff>
    </from>
    <ext cx="4500000" cy="1620000"/>
    <graphicFrame>
      <nvGraphicFramePr>
        <cNvPr id="119" name="Chart 1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9"/>
        </a:graphicData>
      </a:graphic>
    </graphicFrame>
    <clientData/>
  </oneCellAnchor>
  <oneCellAnchor>
    <from>
      <col>17</col>
      <colOff>0</colOff>
      <row>1885</row>
      <rowOff>0</rowOff>
    </from>
    <ext cx="4500000" cy="1620000"/>
    <graphicFrame>
      <nvGraphicFramePr>
        <cNvPr id="120" name="Chart 1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0"/>
        </a:graphicData>
      </a:graphic>
    </graphicFrame>
    <clientData/>
  </oneCellAnchor>
  <oneCellAnchor>
    <from>
      <col>17</col>
      <colOff>0</colOff>
      <row>1899</row>
      <rowOff>0</rowOff>
    </from>
    <ext cx="4500000" cy="1620000"/>
    <graphicFrame>
      <nvGraphicFramePr>
        <cNvPr id="121" name="Chart 1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1"/>
        </a:graphicData>
      </a:graphic>
    </graphicFrame>
    <clientData/>
  </oneCellAnchor>
  <oneCellAnchor>
    <from>
      <col>17</col>
      <colOff>0</colOff>
      <row>1913</row>
      <rowOff>0</rowOff>
    </from>
    <ext cx="4500000" cy="1620000"/>
    <graphicFrame>
      <nvGraphicFramePr>
        <cNvPr id="122" name="Chart 1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2"/>
        </a:graphicData>
      </a:graphic>
    </graphicFrame>
    <clientData/>
  </oneCellAnchor>
  <oneCellAnchor>
    <from>
      <col>17</col>
      <colOff>0</colOff>
      <row>1927</row>
      <rowOff>0</rowOff>
    </from>
    <ext cx="4500000" cy="1620000"/>
    <graphicFrame>
      <nvGraphicFramePr>
        <cNvPr id="123" name="Chart 1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3"/>
        </a:graphicData>
      </a:graphic>
    </graphicFrame>
    <clientData/>
  </oneCellAnchor>
  <oneCellAnchor>
    <from>
      <col>17</col>
      <colOff>0</colOff>
      <row>1941</row>
      <rowOff>0</rowOff>
    </from>
    <ext cx="4500000" cy="1620000"/>
    <graphicFrame>
      <nvGraphicFramePr>
        <cNvPr id="124" name="Chart 1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4"/>
        </a:graphicData>
      </a:graphic>
    </graphicFrame>
    <clientData/>
  </oneCellAnchor>
  <oneCellAnchor>
    <from>
      <col>17</col>
      <colOff>0</colOff>
      <row>1955</row>
      <rowOff>0</rowOff>
    </from>
    <ext cx="4500000" cy="1620000"/>
    <graphicFrame>
      <nvGraphicFramePr>
        <cNvPr id="125" name="Chart 1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5"/>
        </a:graphicData>
      </a:graphic>
    </graphicFrame>
    <clientData/>
  </oneCellAnchor>
  <oneCellAnchor>
    <from>
      <col>17</col>
      <colOff>0</colOff>
      <row>1969</row>
      <rowOff>0</rowOff>
    </from>
    <ext cx="4500000" cy="1620000"/>
    <graphicFrame>
      <nvGraphicFramePr>
        <cNvPr id="126" name="Chart 1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6"/>
        </a:graphicData>
      </a:graphic>
    </graphicFrame>
    <clientData/>
  </oneCellAnchor>
  <oneCellAnchor>
    <from>
      <col>17</col>
      <colOff>0</colOff>
      <row>1983</row>
      <rowOff>0</rowOff>
    </from>
    <ext cx="4500000" cy="1620000"/>
    <graphicFrame>
      <nvGraphicFramePr>
        <cNvPr id="127" name="Chart 1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7"/>
        </a:graphicData>
      </a:graphic>
    </graphicFrame>
    <clientData/>
  </oneCellAnchor>
  <oneCellAnchor>
    <from>
      <col>17</col>
      <colOff>0</colOff>
      <row>1997</row>
      <rowOff>0</rowOff>
    </from>
    <ext cx="4500000" cy="1620000"/>
    <graphicFrame>
      <nvGraphicFramePr>
        <cNvPr id="128" name="Chart 1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8"/>
        </a:graphicData>
      </a:graphic>
    </graphicFrame>
    <clientData/>
  </oneCellAnchor>
  <oneCellAnchor>
    <from>
      <col>17</col>
      <colOff>0</colOff>
      <row>2011</row>
      <rowOff>0</rowOff>
    </from>
    <ext cx="4500000" cy="1620000"/>
    <graphicFrame>
      <nvGraphicFramePr>
        <cNvPr id="129" name="Chart 1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9"/>
        </a:graphicData>
      </a:graphic>
    </graphicFrame>
    <clientData/>
  </oneCellAnchor>
  <oneCellAnchor>
    <from>
      <col>17</col>
      <colOff>0</colOff>
      <row>2025</row>
      <rowOff>0</rowOff>
    </from>
    <ext cx="4500000" cy="1620000"/>
    <graphicFrame>
      <nvGraphicFramePr>
        <cNvPr id="130" name="Chart 1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0"/>
        </a:graphicData>
      </a:graphic>
    </graphicFrame>
    <clientData/>
  </oneCellAnchor>
  <oneCellAnchor>
    <from>
      <col>17</col>
      <colOff>0</colOff>
      <row>2039</row>
      <rowOff>0</rowOff>
    </from>
    <ext cx="4500000" cy="1620000"/>
    <graphicFrame>
      <nvGraphicFramePr>
        <cNvPr id="131" name="Chart 1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1"/>
        </a:graphicData>
      </a:graphic>
    </graphicFrame>
    <clientData/>
  </oneCellAnchor>
  <oneCellAnchor>
    <from>
      <col>17</col>
      <colOff>0</colOff>
      <row>2053</row>
      <rowOff>0</rowOff>
    </from>
    <ext cx="4500000" cy="1620000"/>
    <graphicFrame>
      <nvGraphicFramePr>
        <cNvPr id="132" name="Chart 1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2"/>
        </a:graphicData>
      </a:graphic>
    </graphicFrame>
    <clientData/>
  </oneCellAnchor>
  <oneCellAnchor>
    <from>
      <col>17</col>
      <colOff>0</colOff>
      <row>2067</row>
      <rowOff>0</rowOff>
    </from>
    <ext cx="4500000" cy="1620000"/>
    <graphicFrame>
      <nvGraphicFramePr>
        <cNvPr id="133" name="Chart 1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3"/>
        </a:graphicData>
      </a:graphic>
    </graphicFrame>
    <clientData/>
  </oneCellAnchor>
  <oneCellAnchor>
    <from>
      <col>17</col>
      <colOff>0</colOff>
      <row>2081</row>
      <rowOff>0</rowOff>
    </from>
    <ext cx="4500000" cy="1620000"/>
    <graphicFrame>
      <nvGraphicFramePr>
        <cNvPr id="134" name="Chart 1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4"/>
        </a:graphicData>
      </a:graphic>
    </graphicFrame>
    <clientData/>
  </oneCellAnchor>
  <oneCellAnchor>
    <from>
      <col>17</col>
      <colOff>0</colOff>
      <row>2095</row>
      <rowOff>0</rowOff>
    </from>
    <ext cx="4500000" cy="1620000"/>
    <graphicFrame>
      <nvGraphicFramePr>
        <cNvPr id="135" name="Chart 1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5"/>
        </a:graphicData>
      </a:graphic>
    </graphicFrame>
    <clientData/>
  </oneCellAnchor>
  <oneCellAnchor>
    <from>
      <col>17</col>
      <colOff>0</colOff>
      <row>2109</row>
      <rowOff>0</rowOff>
    </from>
    <ext cx="4500000" cy="1620000"/>
    <graphicFrame>
      <nvGraphicFramePr>
        <cNvPr id="136" name="Chart 1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30" customWidth="1" min="3" max="3"/>
    <col width="9" customWidth="1" min="4" max="4"/>
    <col width="11" customWidth="1" min="5" max="5"/>
    <col width="11" customWidth="1" min="6" max="6"/>
    <col width="11" customWidth="1" min="7" max="7"/>
    <col width="12" customWidth="1" min="8" max="8"/>
    <col width="22" customWidth="1" min="9" max="9"/>
    <col hidden="1" width="13" customWidth="1" min="11" max="11"/>
  </cols>
  <sheetData>
    <row r="1" ht="26" customHeight="1">
      <c r="A1" s="1" t="inlineStr">
        <is>
          <t>RESUMEN 2.0TD · 136 facturas · abril 2026 · Transactiva 2000 S.L.</t>
        </is>
      </c>
    </row>
    <row r="2" ht="26" customHeight="1">
      <c r="A2" s="2" t="inlineStr">
        <is>
          <t>APROBAR ≥30% · REVISAR 20–30% · RECHAZAR &lt;20%. PC provisional (ámbar) → sustituir por real. Margen objetivo editable por factura en el Detalle.</t>
        </is>
      </c>
    </row>
    <row r="3" ht="20" customHeight="1">
      <c r="A3" s="3" t="inlineStr">
        <is>
          <t>⚙ OPTIMIZAR (converge al objetivo · freno mejor mes) ▶</t>
        </is>
      </c>
      <c r="D3" s="4" t="inlineStr">
        <is>
          <t>INICIAL</t>
        </is>
      </c>
      <c r="E3" s="3" t="inlineStr">
        <is>
          <t>Margen obj. ▶</t>
        </is>
      </c>
      <c r="F3" s="5" t="n">
        <v>0.3</v>
      </c>
      <c r="G3" s="3" t="inlineStr">
        <is>
          <t>Ganancia ▶</t>
        </is>
      </c>
      <c r="H3" s="6">
        <f>SUM(K5:K140)</f>
        <v/>
      </c>
    </row>
    <row r="4">
      <c r="A4" s="7" t="inlineStr">
        <is>
          <t>Factura</t>
        </is>
      </c>
      <c r="B4" s="7" t="inlineStr">
        <is>
          <t>Cliente</t>
        </is>
      </c>
      <c r="C4" s="7" t="inlineStr">
        <is>
          <t>Nombre</t>
        </is>
      </c>
      <c r="D4" s="7" t="inlineStr">
        <is>
          <t>Prov.</t>
        </is>
      </c>
      <c r="E4" s="7" t="inlineStr">
        <is>
          <t>Margen abril</t>
        </is>
      </c>
      <c r="F4" s="7" t="inlineStr">
        <is>
          <t>Veredicto</t>
        </is>
      </c>
      <c r="G4" s="7" t="inlineStr">
        <is>
          <t>Margen hist.</t>
        </is>
      </c>
      <c r="H4" s="7" t="inlineStr">
        <is>
          <t>Cobrado hist.</t>
        </is>
      </c>
      <c r="I4" s="7" t="inlineStr">
        <is>
          <t>Qué revisar</t>
        </is>
      </c>
    </row>
    <row r="5">
      <c r="A5" s="8" t="n">
        <v>8550</v>
      </c>
      <c r="B5" s="8" t="inlineStr">
        <is>
          <t>C02150</t>
        </is>
      </c>
      <c r="C5" s="9" t="inlineStr">
        <is>
          <t>FUNDACIÓN FSU PROGRAMAS INTERNACIO</t>
        </is>
      </c>
      <c r="D5" s="8" t="inlineStr">
        <is>
          <t>Naturgy</t>
        </is>
      </c>
      <c r="E5" s="10">
        <f>'Detalle'!B15</f>
        <v/>
      </c>
      <c r="F5" s="11">
        <f>'Detalle'!D15</f>
        <v/>
      </c>
      <c r="G5" s="12" t="n">
        <v>0.2802</v>
      </c>
      <c r="H5" s="13" t="n">
        <v>2435.51</v>
      </c>
      <c r="I5" s="14">
        <f>IF('Detalle'!B15="","Falta PC real",IF('Detalle'!B15&gt;=0.3,"OK · registrar",IF('Detalle'!B15&gt;=0.2,"Revisar margen","Revisar PC/PV")))</f>
        <v/>
      </c>
      <c r="K5">
        <f>'Detalle'!AD15</f>
        <v/>
      </c>
    </row>
    <row r="6">
      <c r="A6" s="8" t="n">
        <v>8551</v>
      </c>
      <c r="B6" s="8" t="inlineStr">
        <is>
          <t>C02140</t>
        </is>
      </c>
      <c r="C6" s="9" t="inlineStr">
        <is>
          <t>FUNDACIÓN FSU PROGRAMAS INTERNACIO</t>
        </is>
      </c>
      <c r="D6" s="8" t="inlineStr">
        <is>
          <t>Naturgy</t>
        </is>
      </c>
      <c r="E6" s="10">
        <f>'Detalle'!B29</f>
        <v/>
      </c>
      <c r="F6" s="11">
        <f>'Detalle'!D29</f>
        <v/>
      </c>
      <c r="G6" s="12" t="n">
        <v>0.2374</v>
      </c>
      <c r="H6" s="13" t="n">
        <v>2120.45</v>
      </c>
      <c r="I6" s="14">
        <f>IF('Detalle'!B29="","Falta PC real",IF('Detalle'!B29&gt;=0.3,"OK · registrar",IF('Detalle'!B29&gt;=0.2,"Revisar margen","Revisar PC/PV")))</f>
        <v/>
      </c>
      <c r="K6">
        <f>'Detalle'!AD29</f>
        <v/>
      </c>
    </row>
    <row r="7">
      <c r="A7" s="8" t="n">
        <v>8552</v>
      </c>
      <c r="B7" s="8" t="inlineStr">
        <is>
          <t>C02130</t>
        </is>
      </c>
      <c r="C7" s="9" t="inlineStr">
        <is>
          <t>FUNDACIÓN FSU PROGRAMAS INTERNACIO</t>
        </is>
      </c>
      <c r="D7" s="8" t="inlineStr">
        <is>
          <t>Naturgy</t>
        </is>
      </c>
      <c r="E7" s="10">
        <f>'Detalle'!B43</f>
        <v/>
      </c>
      <c r="F7" s="11">
        <f>'Detalle'!D43</f>
        <v/>
      </c>
      <c r="G7" s="12" t="n">
        <v>0.3004</v>
      </c>
      <c r="H7" s="13" t="n">
        <v>3194.42</v>
      </c>
      <c r="I7" s="14">
        <f>IF('Detalle'!B43="","Falta PC real",IF('Detalle'!B43&gt;=0.3,"OK · registrar",IF('Detalle'!B43&gt;=0.2,"Revisar margen","Revisar PC/PV")))</f>
        <v/>
      </c>
      <c r="K7">
        <f>'Detalle'!AD43</f>
        <v/>
      </c>
    </row>
    <row r="8">
      <c r="A8" s="8" t="n">
        <v>8553</v>
      </c>
      <c r="B8" s="8" t="inlineStr">
        <is>
          <t>C02120</t>
        </is>
      </c>
      <c r="C8" s="9" t="inlineStr">
        <is>
          <t>FUNDACIÓN FSU PROGRAMAS INTERNACIO</t>
        </is>
      </c>
      <c r="D8" s="8" t="inlineStr">
        <is>
          <t>Naturgy</t>
        </is>
      </c>
      <c r="E8" s="10">
        <f>'Detalle'!B57</f>
        <v/>
      </c>
      <c r="F8" s="11">
        <f>'Detalle'!D57</f>
        <v/>
      </c>
      <c r="G8" s="12" t="n">
        <v>0.2933</v>
      </c>
      <c r="H8" s="13" t="n">
        <v>2606.28</v>
      </c>
      <c r="I8" s="14">
        <f>IF('Detalle'!B57="","Falta PC real",IF('Detalle'!B57&gt;=0.3,"OK · registrar",IF('Detalle'!B57&gt;=0.2,"Revisar margen","Revisar PC/PV")))</f>
        <v/>
      </c>
      <c r="K8">
        <f>'Detalle'!AD57</f>
        <v/>
      </c>
    </row>
    <row r="9">
      <c r="A9" s="8" t="n">
        <v>8554</v>
      </c>
      <c r="B9" s="8" t="inlineStr">
        <is>
          <t>C02110</t>
        </is>
      </c>
      <c r="C9" s="9" t="inlineStr">
        <is>
          <t>FUNDACIÓN FSU PROGRAMAS INTERNACIO</t>
        </is>
      </c>
      <c r="D9" s="8" t="inlineStr">
        <is>
          <t>Naturgy</t>
        </is>
      </c>
      <c r="E9" s="10">
        <f>'Detalle'!B71</f>
        <v/>
      </c>
      <c r="F9" s="11">
        <f>'Detalle'!D71</f>
        <v/>
      </c>
      <c r="G9" s="12" t="n">
        <v>0.3099</v>
      </c>
      <c r="H9" s="13" t="n">
        <v>5248.88</v>
      </c>
      <c r="I9" s="14">
        <f>IF('Detalle'!B71="","Falta PC real",IF('Detalle'!B71&gt;=0.3,"OK · registrar",IF('Detalle'!B71&gt;=0.2,"Revisar margen","Revisar PC/PV")))</f>
        <v/>
      </c>
      <c r="K9">
        <f>'Detalle'!AD71</f>
        <v/>
      </c>
    </row>
    <row r="10">
      <c r="A10" s="8" t="n">
        <v>8555</v>
      </c>
      <c r="B10" s="8" t="inlineStr">
        <is>
          <t>C02100</t>
        </is>
      </c>
      <c r="C10" s="9" t="inlineStr">
        <is>
          <t>FUNDACIÓN FSU PROGRAMAS INTERNACIO</t>
        </is>
      </c>
      <c r="D10" s="8" t="inlineStr">
        <is>
          <t>Naturgy</t>
        </is>
      </c>
      <c r="E10" s="10">
        <f>'Detalle'!B85</f>
        <v/>
      </c>
      <c r="F10" s="11">
        <f>'Detalle'!D85</f>
        <v/>
      </c>
      <c r="G10" s="12" t="n">
        <v>0.3022</v>
      </c>
      <c r="H10" s="13" t="n">
        <v>1841.6</v>
      </c>
      <c r="I10" s="14">
        <f>IF('Detalle'!B85="","Falta PC real",IF('Detalle'!B85&gt;=0.3,"OK · registrar",IF('Detalle'!B85&gt;=0.2,"Revisar margen","Revisar PC/PV")))</f>
        <v/>
      </c>
      <c r="K10">
        <f>'Detalle'!AD85</f>
        <v/>
      </c>
    </row>
    <row r="11">
      <c r="A11" s="8" t="n">
        <v>8556</v>
      </c>
      <c r="B11" s="8" t="inlineStr">
        <is>
          <t>C02090</t>
        </is>
      </c>
      <c r="C11" s="9" t="inlineStr">
        <is>
          <t>FUNDACIÓN FSU PROGRAMAS INTERNACIO</t>
        </is>
      </c>
      <c r="D11" s="8" t="inlineStr">
        <is>
          <t>Naturgy</t>
        </is>
      </c>
      <c r="E11" s="10">
        <f>'Detalle'!B99</f>
        <v/>
      </c>
      <c r="F11" s="11">
        <f>'Detalle'!D99</f>
        <v/>
      </c>
      <c r="G11" s="12" t="n">
        <v>0.2895</v>
      </c>
      <c r="H11" s="13" t="n">
        <v>2954.17</v>
      </c>
      <c r="I11" s="14">
        <f>IF('Detalle'!B99="","Falta PC real",IF('Detalle'!B99&gt;=0.3,"OK · registrar",IF('Detalle'!B99&gt;=0.2,"Revisar margen","Revisar PC/PV")))</f>
        <v/>
      </c>
      <c r="K11">
        <f>'Detalle'!AD99</f>
        <v/>
      </c>
    </row>
    <row r="12">
      <c r="A12" s="8" t="n">
        <v>8557</v>
      </c>
      <c r="B12" s="8" t="inlineStr">
        <is>
          <t>C02080</t>
        </is>
      </c>
      <c r="C12" s="9" t="inlineStr">
        <is>
          <t>FUNDACIÓN FSU PROGRAMAS INTERNACIO</t>
        </is>
      </c>
      <c r="D12" s="8" t="inlineStr">
        <is>
          <t>Naturgy</t>
        </is>
      </c>
      <c r="E12" s="10">
        <f>'Detalle'!B113</f>
        <v/>
      </c>
      <c r="F12" s="11">
        <f>'Detalle'!D113</f>
        <v/>
      </c>
      <c r="G12" s="9" t="n"/>
      <c r="H12" s="9" t="n"/>
      <c r="I12" s="14">
        <f>IF('Detalle'!B113="","Falta PC real",IF('Detalle'!B113&gt;=0.3,"OK · registrar",IF('Detalle'!B113&gt;=0.2,"Revisar margen","Revisar PC/PV")))</f>
        <v/>
      </c>
      <c r="K12">
        <f>'Detalle'!AD113</f>
        <v/>
      </c>
    </row>
    <row r="13">
      <c r="A13" s="8" t="n">
        <v>8558</v>
      </c>
      <c r="B13" s="8" t="inlineStr">
        <is>
          <t>C02060</t>
        </is>
      </c>
      <c r="C13" s="9" t="inlineStr">
        <is>
          <t>FUNDACIÓN FSU PROGRAMAS INTERNACIO</t>
        </is>
      </c>
      <c r="D13" s="8" t="inlineStr">
        <is>
          <t>Naturgy</t>
        </is>
      </c>
      <c r="E13" s="10">
        <f>'Detalle'!B127</f>
        <v/>
      </c>
      <c r="F13" s="11">
        <f>'Detalle'!D127</f>
        <v/>
      </c>
      <c r="G13" s="12" t="n">
        <v>0.293</v>
      </c>
      <c r="H13" s="13" t="n">
        <v>3233.11</v>
      </c>
      <c r="I13" s="14">
        <f>IF('Detalle'!B127="","Falta PC real",IF('Detalle'!B127&gt;=0.3,"OK · registrar",IF('Detalle'!B127&gt;=0.2,"Revisar margen","Revisar PC/PV")))</f>
        <v/>
      </c>
      <c r="K13">
        <f>'Detalle'!AD127</f>
        <v/>
      </c>
    </row>
    <row r="14">
      <c r="A14" s="8" t="n">
        <v>8559</v>
      </c>
      <c r="B14" s="8" t="inlineStr">
        <is>
          <t>C02040</t>
        </is>
      </c>
      <c r="C14" s="9" t="inlineStr">
        <is>
          <t>FUNDACIÓN FSU PROGRAMAS INTERNACIO</t>
        </is>
      </c>
      <c r="D14" s="8" t="inlineStr">
        <is>
          <t>Naturgy</t>
        </is>
      </c>
      <c r="E14" s="10">
        <f>'Detalle'!B141</f>
        <v/>
      </c>
      <c r="F14" s="11">
        <f>'Detalle'!D141</f>
        <v/>
      </c>
      <c r="G14" s="12" t="n">
        <v>0.3314</v>
      </c>
      <c r="H14" s="13" t="n">
        <v>989.5</v>
      </c>
      <c r="I14" s="14">
        <f>IF('Detalle'!B141="","Falta PC real",IF('Detalle'!B141&gt;=0.3,"OK · registrar",IF('Detalle'!B141&gt;=0.2,"Revisar margen","Revisar PC/PV")))</f>
        <v/>
      </c>
      <c r="K14">
        <f>'Detalle'!AD141</f>
        <v/>
      </c>
    </row>
    <row r="15">
      <c r="A15" s="8" t="n">
        <v>8560</v>
      </c>
      <c r="B15" s="8" t="inlineStr">
        <is>
          <t>C02030</t>
        </is>
      </c>
      <c r="C15" s="9" t="inlineStr">
        <is>
          <t>FUNDACIÓN FSU PROGRAMAS INTERNACIO</t>
        </is>
      </c>
      <c r="D15" s="8" t="inlineStr">
        <is>
          <t>Naturgy</t>
        </is>
      </c>
      <c r="E15" s="10">
        <f>'Detalle'!B155</f>
        <v/>
      </c>
      <c r="F15" s="11">
        <f>'Detalle'!D155</f>
        <v/>
      </c>
      <c r="G15" s="12" t="n">
        <v>0.2482</v>
      </c>
      <c r="H15" s="13" t="n">
        <v>837.3200000000001</v>
      </c>
      <c r="I15" s="14">
        <f>IF('Detalle'!B155="","Falta PC real",IF('Detalle'!B155&gt;=0.3,"OK · registrar",IF('Detalle'!B155&gt;=0.2,"Revisar margen","Revisar PC/PV")))</f>
        <v/>
      </c>
      <c r="K15">
        <f>'Detalle'!AD155</f>
        <v/>
      </c>
    </row>
    <row r="16">
      <c r="A16" s="8" t="n">
        <v>8561</v>
      </c>
      <c r="B16" s="8" t="inlineStr">
        <is>
          <t>C02020</t>
        </is>
      </c>
      <c r="C16" s="9" t="inlineStr">
        <is>
          <t>FUNDACIÓN FSU PROGRAMAS INTERNACIO</t>
        </is>
      </c>
      <c r="D16" s="8" t="inlineStr">
        <is>
          <t>Naturgy</t>
        </is>
      </c>
      <c r="E16" s="10">
        <f>'Detalle'!B169</f>
        <v/>
      </c>
      <c r="F16" s="11">
        <f>'Detalle'!D169</f>
        <v/>
      </c>
      <c r="G16" s="12" t="n">
        <v>0.2981</v>
      </c>
      <c r="H16" s="13" t="n">
        <v>3102.69</v>
      </c>
      <c r="I16" s="14">
        <f>IF('Detalle'!B169="","Falta PC real",IF('Detalle'!B169&gt;=0.3,"OK · registrar",IF('Detalle'!B169&gt;=0.2,"Revisar margen","Revisar PC/PV")))</f>
        <v/>
      </c>
      <c r="K16">
        <f>'Detalle'!AD169</f>
        <v/>
      </c>
    </row>
    <row r="17">
      <c r="A17" s="8" t="n">
        <v>8562</v>
      </c>
      <c r="B17" s="8" t="inlineStr">
        <is>
          <t>C01970</t>
        </is>
      </c>
      <c r="C17" s="9" t="inlineStr">
        <is>
          <t>FUNDACIÓN FSU PROGRAMAS INTERNACIO</t>
        </is>
      </c>
      <c r="D17" s="8" t="inlineStr">
        <is>
          <t>Naturgy</t>
        </is>
      </c>
      <c r="E17" s="10">
        <f>'Detalle'!B183</f>
        <v/>
      </c>
      <c r="F17" s="11">
        <f>'Detalle'!D183</f>
        <v/>
      </c>
      <c r="G17" s="12" t="n">
        <v>0.295</v>
      </c>
      <c r="H17" s="13" t="n">
        <v>2842.61</v>
      </c>
      <c r="I17" s="14">
        <f>IF('Detalle'!B183="","Falta PC real",IF('Detalle'!B183&gt;=0.3,"OK · registrar",IF('Detalle'!B183&gt;=0.2,"Revisar margen","Revisar PC/PV")))</f>
        <v/>
      </c>
      <c r="K17">
        <f>'Detalle'!AD183</f>
        <v/>
      </c>
    </row>
    <row r="18">
      <c r="A18" s="8" t="n">
        <v>8563</v>
      </c>
      <c r="B18" s="8" t="inlineStr">
        <is>
          <t>C01960</t>
        </is>
      </c>
      <c r="C18" s="9" t="inlineStr">
        <is>
          <t>FUNDACIÓN FSU PROGRAMAS INTERNACIO</t>
        </is>
      </c>
      <c r="D18" s="8" t="inlineStr">
        <is>
          <t>Naturgy</t>
        </is>
      </c>
      <c r="E18" s="10">
        <f>'Detalle'!B197</f>
        <v/>
      </c>
      <c r="F18" s="11">
        <f>'Detalle'!D197</f>
        <v/>
      </c>
      <c r="G18" s="12" t="n">
        <v>0.3206</v>
      </c>
      <c r="H18" s="13" t="n">
        <v>3731.12</v>
      </c>
      <c r="I18" s="14">
        <f>IF('Detalle'!B197="","Falta PC real",IF('Detalle'!B197&gt;=0.3,"OK · registrar",IF('Detalle'!B197&gt;=0.2,"Revisar margen","Revisar PC/PV")))</f>
        <v/>
      </c>
      <c r="K18">
        <f>'Detalle'!AD197</f>
        <v/>
      </c>
    </row>
    <row r="19">
      <c r="A19" s="8" t="n">
        <v>8568</v>
      </c>
      <c r="B19" s="8" t="inlineStr">
        <is>
          <t>C01400</t>
        </is>
      </c>
      <c r="C19" s="9" t="inlineStr">
        <is>
          <t>CHRISTOPH BLUME</t>
        </is>
      </c>
      <c r="D19" s="8" t="inlineStr">
        <is>
          <t>Naturgy</t>
        </is>
      </c>
      <c r="E19" s="10">
        <f>'Detalle'!B211</f>
        <v/>
      </c>
      <c r="F19" s="11">
        <f>'Detalle'!D211</f>
        <v/>
      </c>
      <c r="G19" s="12" t="n">
        <v>0.3031</v>
      </c>
      <c r="H19" s="13" t="n">
        <v>2280.53</v>
      </c>
      <c r="I19" s="14">
        <f>IF('Detalle'!B211="","Falta PC real",IF('Detalle'!B211&gt;=0.3,"OK · registrar",IF('Detalle'!B211&gt;=0.2,"Revisar margen","Revisar PC/PV")))</f>
        <v/>
      </c>
      <c r="K19">
        <f>'Detalle'!AD211</f>
        <v/>
      </c>
    </row>
    <row r="20">
      <c r="A20" s="8" t="n">
        <v>8569</v>
      </c>
      <c r="B20" s="8" t="inlineStr">
        <is>
          <t>C02560</t>
        </is>
      </c>
      <c r="C20" s="9" t="inlineStr">
        <is>
          <t>PEDRO IVARS TRO 2018, S.L.</t>
        </is>
      </c>
      <c r="D20" s="8" t="inlineStr">
        <is>
          <t>Naturgy</t>
        </is>
      </c>
      <c r="E20" s="10">
        <f>'Detalle'!B230</f>
        <v/>
      </c>
      <c r="F20" s="11">
        <f>'Detalle'!D230</f>
        <v/>
      </c>
      <c r="G20" s="12" t="n">
        <v>0.354</v>
      </c>
      <c r="H20" s="13" t="n">
        <v>452.94</v>
      </c>
      <c r="I20" s="14">
        <f>IF('Detalle'!B230="","Falta PC real",IF('Detalle'!B230&gt;=0.3,"OK · registrar",IF('Detalle'!B230&gt;=0.2,"Revisar margen","Revisar PC/PV")))</f>
        <v/>
      </c>
      <c r="K20">
        <f>'Detalle'!AD230</f>
        <v/>
      </c>
    </row>
    <row r="21">
      <c r="A21" s="8" t="n">
        <v>8570</v>
      </c>
      <c r="B21" s="8" t="inlineStr">
        <is>
          <t>C02680</t>
        </is>
      </c>
      <c r="C21" s="9" t="inlineStr">
        <is>
          <t>ALVARO DAVID OCHOA BIOSCA</t>
        </is>
      </c>
      <c r="D21" s="8" t="inlineStr">
        <is>
          <t>Naturgy</t>
        </is>
      </c>
      <c r="E21" s="10">
        <f>'Detalle'!B244</f>
        <v/>
      </c>
      <c r="F21" s="11">
        <f>'Detalle'!D244</f>
        <v/>
      </c>
      <c r="G21" s="12" t="n">
        <v>1</v>
      </c>
      <c r="H21" s="13" t="n">
        <v>2.65</v>
      </c>
      <c r="I21" s="14">
        <f>IF('Detalle'!B244="","Falta PC real",IF('Detalle'!B244&gt;=0.3,"OK · registrar",IF('Detalle'!B244&gt;=0.2,"Revisar margen","Revisar PC/PV")))</f>
        <v/>
      </c>
      <c r="K21">
        <f>'Detalle'!AD244</f>
        <v/>
      </c>
    </row>
    <row r="22">
      <c r="A22" s="8" t="n">
        <v>8571</v>
      </c>
      <c r="B22" s="8" t="inlineStr">
        <is>
          <t>C00700</t>
        </is>
      </c>
      <c r="C22" s="9" t="inlineStr">
        <is>
          <t>ELEEN VELTHOVEN</t>
        </is>
      </c>
      <c r="D22" s="8" t="inlineStr">
        <is>
          <t>Naturgy</t>
        </is>
      </c>
      <c r="E22" s="10">
        <f>'Detalle'!B258</f>
        <v/>
      </c>
      <c r="F22" s="11">
        <f>'Detalle'!D258</f>
        <v/>
      </c>
      <c r="G22" s="12" t="n">
        <v>0.1991</v>
      </c>
      <c r="H22" s="13" t="n">
        <v>1674.46</v>
      </c>
      <c r="I22" s="14">
        <f>IF('Detalle'!B258="","Falta PC real",IF('Detalle'!B258&gt;=0.3,"OK · registrar",IF('Detalle'!B258&gt;=0.2,"Revisar margen","Revisar PC/PV")))</f>
        <v/>
      </c>
      <c r="K22">
        <f>'Detalle'!AD258</f>
        <v/>
      </c>
    </row>
    <row r="23">
      <c r="A23" s="8" t="n">
        <v>8572</v>
      </c>
      <c r="B23" s="8" t="inlineStr">
        <is>
          <t>C01280</t>
        </is>
      </c>
      <c r="C23" s="9" t="inlineStr">
        <is>
          <t>Mª ISABEL HEVIA TENA</t>
        </is>
      </c>
      <c r="D23" s="8" t="inlineStr">
        <is>
          <t>Naturgy</t>
        </is>
      </c>
      <c r="E23" s="10">
        <f>'Detalle'!B277</f>
        <v/>
      </c>
      <c r="F23" s="11">
        <f>'Detalle'!D277</f>
        <v/>
      </c>
      <c r="G23" s="12" t="n">
        <v>0.3077</v>
      </c>
      <c r="H23" s="13" t="n">
        <v>2373.43</v>
      </c>
      <c r="I23" s="14">
        <f>IF('Detalle'!B277="","Falta PC real",IF('Detalle'!B277&gt;=0.3,"OK · registrar",IF('Detalle'!B277&gt;=0.2,"Revisar margen","Revisar PC/PV")))</f>
        <v/>
      </c>
      <c r="K23">
        <f>'Detalle'!AD277</f>
        <v/>
      </c>
    </row>
    <row r="24">
      <c r="A24" s="8" t="n">
        <v>8573</v>
      </c>
      <c r="B24" s="8" t="inlineStr">
        <is>
          <t>C01990</t>
        </is>
      </c>
      <c r="C24" s="9" t="inlineStr">
        <is>
          <t>GERRIT JONGEJAN</t>
        </is>
      </c>
      <c r="D24" s="8" t="inlineStr">
        <is>
          <t>Naturgy</t>
        </is>
      </c>
      <c r="E24" s="10">
        <f>'Detalle'!B296</f>
        <v/>
      </c>
      <c r="F24" s="11">
        <f>'Detalle'!D296</f>
        <v/>
      </c>
      <c r="G24" s="12" t="n">
        <v>0.0538</v>
      </c>
      <c r="H24" s="13" t="n">
        <v>609.46</v>
      </c>
      <c r="I24" s="14">
        <f>IF('Detalle'!B296="","Falta PC real",IF('Detalle'!B296&gt;=0.3,"OK · registrar",IF('Detalle'!B296&gt;=0.2,"Revisar margen","Revisar PC/PV")))</f>
        <v/>
      </c>
      <c r="K24">
        <f>'Detalle'!AD296</f>
        <v/>
      </c>
    </row>
    <row r="25">
      <c r="A25" s="8" t="n">
        <v>8574</v>
      </c>
      <c r="B25" s="8" t="inlineStr">
        <is>
          <t>C03260</t>
        </is>
      </c>
      <c r="C25" s="9" t="inlineStr">
        <is>
          <t>MICHAL CUKAN</t>
        </is>
      </c>
      <c r="D25" s="8" t="inlineStr">
        <is>
          <t>Naturgy</t>
        </is>
      </c>
      <c r="E25" s="10">
        <f>'Detalle'!B315</f>
        <v/>
      </c>
      <c r="F25" s="11">
        <f>'Detalle'!D315</f>
        <v/>
      </c>
      <c r="G25" s="12" t="n">
        <v>1</v>
      </c>
      <c r="H25" s="13" t="n">
        <v>0.86</v>
      </c>
      <c r="I25" s="14">
        <f>IF('Detalle'!B315="","Falta PC real",IF('Detalle'!B315&gt;=0.3,"OK · registrar",IF('Detalle'!B315&gt;=0.2,"Revisar margen","Revisar PC/PV")))</f>
        <v/>
      </c>
      <c r="K25">
        <f>'Detalle'!AD315</f>
        <v/>
      </c>
    </row>
    <row r="26">
      <c r="A26" s="8" t="n">
        <v>8575</v>
      </c>
      <c r="B26" s="8" t="inlineStr">
        <is>
          <t>C01140</t>
        </is>
      </c>
      <c r="C26" s="9" t="inlineStr">
        <is>
          <t>DESIRÉ ANNA GUSTAAF SCHUTTER</t>
        </is>
      </c>
      <c r="D26" s="8" t="inlineStr">
        <is>
          <t>Naturgy</t>
        </is>
      </c>
      <c r="E26" s="10">
        <f>'Detalle'!B329</f>
        <v/>
      </c>
      <c r="F26" s="11">
        <f>'Detalle'!D329</f>
        <v/>
      </c>
      <c r="G26" s="12" t="n">
        <v>0.2556</v>
      </c>
      <c r="H26" s="13" t="n">
        <v>1316.57</v>
      </c>
      <c r="I26" s="14">
        <f>IF('Detalle'!B329="","Falta PC real",IF('Detalle'!B329&gt;=0.3,"OK · registrar",IF('Detalle'!B329&gt;=0.2,"Revisar margen","Revisar PC/PV")))</f>
        <v/>
      </c>
      <c r="K26">
        <f>'Detalle'!AD329</f>
        <v/>
      </c>
    </row>
    <row r="27">
      <c r="A27" s="8" t="n">
        <v>8579</v>
      </c>
      <c r="B27" s="8" t="inlineStr">
        <is>
          <t>C01350</t>
        </is>
      </c>
      <c r="C27" s="9" t="inlineStr">
        <is>
          <t>CORDULA PETERS</t>
        </is>
      </c>
      <c r="D27" s="8" t="inlineStr">
        <is>
          <t>Naturgy</t>
        </is>
      </c>
      <c r="E27" s="10">
        <f>'Detalle'!B348</f>
        <v/>
      </c>
      <c r="F27" s="11">
        <f>'Detalle'!D348</f>
        <v/>
      </c>
      <c r="G27" s="12" t="n">
        <v>0.0004</v>
      </c>
      <c r="H27" s="13" t="n">
        <v>638.64</v>
      </c>
      <c r="I27" s="14">
        <f>IF('Detalle'!B348="","Falta PC real",IF('Detalle'!B348&gt;=0.3,"OK · registrar",IF('Detalle'!B348&gt;=0.2,"Revisar margen","Revisar PC/PV")))</f>
        <v/>
      </c>
      <c r="K27">
        <f>'Detalle'!AD348</f>
        <v/>
      </c>
    </row>
    <row r="28">
      <c r="A28" s="8" t="n">
        <v>8580</v>
      </c>
      <c r="B28" s="8" t="inlineStr">
        <is>
          <t>C00060</t>
        </is>
      </c>
      <c r="C28" s="9" t="inlineStr">
        <is>
          <t>HV LUXO SA</t>
        </is>
      </c>
      <c r="D28" s="8" t="inlineStr">
        <is>
          <t>Naturgy</t>
        </is>
      </c>
      <c r="E28" s="10">
        <f>'Detalle'!B367</f>
        <v/>
      </c>
      <c r="F28" s="11">
        <f>'Detalle'!D367</f>
        <v/>
      </c>
      <c r="G28" s="12" t="n">
        <v>0.4727</v>
      </c>
      <c r="H28" s="13" t="n">
        <v>1556.34</v>
      </c>
      <c r="I28" s="14">
        <f>IF('Detalle'!B367="","Falta PC real",IF('Detalle'!B367&gt;=0.3,"OK · registrar",IF('Detalle'!B367&gt;=0.2,"Revisar margen","Revisar PC/PV")))</f>
        <v/>
      </c>
      <c r="K28">
        <f>'Detalle'!AD367</f>
        <v/>
      </c>
    </row>
    <row r="29">
      <c r="A29" s="8" t="n">
        <v>8581</v>
      </c>
      <c r="B29" s="8" t="inlineStr"/>
      <c r="C29" s="9" t="inlineStr">
        <is>
          <t>MANUEL GARCÍA DEL VALLE CARLOS-ROC</t>
        </is>
      </c>
      <c r="D29" s="8" t="inlineStr">
        <is>
          <t>Naturgy</t>
        </is>
      </c>
      <c r="E29" s="10">
        <f>'Detalle'!B386</f>
        <v/>
      </c>
      <c r="F29" s="11">
        <f>'Detalle'!D386</f>
        <v/>
      </c>
      <c r="G29" s="12" t="n">
        <v>0.178</v>
      </c>
      <c r="H29" s="13" t="n">
        <v>3463.21</v>
      </c>
      <c r="I29" s="14">
        <f>IF('Detalle'!B386="","Falta PC real",IF('Detalle'!B386&gt;=0.3,"OK · registrar",IF('Detalle'!B386&gt;=0.2,"Revisar margen","Revisar PC/PV")))</f>
        <v/>
      </c>
      <c r="K29">
        <f>'Detalle'!AD386</f>
        <v/>
      </c>
    </row>
    <row r="30">
      <c r="A30" s="8" t="n">
        <v>8584</v>
      </c>
      <c r="B30" s="8" t="inlineStr">
        <is>
          <t>C00040</t>
        </is>
      </c>
      <c r="C30" s="9" t="inlineStr">
        <is>
          <t>Mª ROSARIO ORTOLÁ FERRER</t>
        </is>
      </c>
      <c r="D30" s="8" t="inlineStr">
        <is>
          <t>Naturgy</t>
        </is>
      </c>
      <c r="E30" s="10">
        <f>'Detalle'!B400</f>
        <v/>
      </c>
      <c r="F30" s="11">
        <f>'Detalle'!D400</f>
        <v/>
      </c>
      <c r="G30" s="12" t="n">
        <v>0.3577</v>
      </c>
      <c r="H30" s="13" t="n">
        <v>10840.8</v>
      </c>
      <c r="I30" s="14">
        <f>IF('Detalle'!B400="","Falta PC real",IF('Detalle'!B400&gt;=0.3,"OK · registrar",IF('Detalle'!B400&gt;=0.2,"Revisar margen","Revisar PC/PV")))</f>
        <v/>
      </c>
      <c r="K30">
        <f>'Detalle'!AD400</f>
        <v/>
      </c>
    </row>
    <row r="31">
      <c r="A31" s="8" t="n">
        <v>8585</v>
      </c>
      <c r="B31" s="8" t="inlineStr">
        <is>
          <t>C00050</t>
        </is>
      </c>
      <c r="C31" s="9" t="inlineStr">
        <is>
          <t>HELADOS ESPI</t>
        </is>
      </c>
      <c r="D31" s="8" t="inlineStr">
        <is>
          <t>Naturgy</t>
        </is>
      </c>
      <c r="E31" s="10">
        <f>'Detalle'!B419</f>
        <v/>
      </c>
      <c r="F31" s="11">
        <f>'Detalle'!D419</f>
        <v/>
      </c>
      <c r="G31" s="12" t="n">
        <v>0.301</v>
      </c>
      <c r="H31" s="13" t="n">
        <v>5330.72</v>
      </c>
      <c r="I31" s="14">
        <f>IF('Detalle'!B419="","Falta PC real",IF('Detalle'!B419&gt;=0.3,"OK · registrar",IF('Detalle'!B419&gt;=0.2,"Revisar margen","Revisar PC/PV")))</f>
        <v/>
      </c>
      <c r="K31">
        <f>'Detalle'!AD419</f>
        <v/>
      </c>
    </row>
    <row r="32">
      <c r="A32" s="8" t="n">
        <v>8586</v>
      </c>
      <c r="B32" s="8" t="inlineStr">
        <is>
          <t>C00060</t>
        </is>
      </c>
      <c r="C32" s="9" t="inlineStr">
        <is>
          <t>HV LUXO SA</t>
        </is>
      </c>
      <c r="D32" s="8" t="inlineStr">
        <is>
          <t>Naturgy</t>
        </is>
      </c>
      <c r="E32" s="10">
        <f>'Detalle'!B438</f>
        <v/>
      </c>
      <c r="F32" s="11">
        <f>'Detalle'!D438</f>
        <v/>
      </c>
      <c r="G32" s="12" t="n">
        <v>0.4727</v>
      </c>
      <c r="H32" s="13" t="n">
        <v>1556.34</v>
      </c>
      <c r="I32" s="14">
        <f>IF('Detalle'!B438="","Falta PC real",IF('Detalle'!B438&gt;=0.3,"OK · registrar",IF('Detalle'!B438&gt;=0.2,"Revisar margen","Revisar PC/PV")))</f>
        <v/>
      </c>
      <c r="K32">
        <f>'Detalle'!AD438</f>
        <v/>
      </c>
    </row>
    <row r="33">
      <c r="A33" s="8" t="n">
        <v>8588</v>
      </c>
      <c r="B33" s="8" t="inlineStr">
        <is>
          <t>C00100</t>
        </is>
      </c>
      <c r="C33" s="9" t="inlineStr">
        <is>
          <t>CRISTINA MARÍA FALCÓN ESCALONA</t>
        </is>
      </c>
      <c r="D33" s="8" t="inlineStr">
        <is>
          <t>Naturgy</t>
        </is>
      </c>
      <c r="E33" s="10">
        <f>'Detalle'!B457</f>
        <v/>
      </c>
      <c r="F33" s="11">
        <f>'Detalle'!D457</f>
        <v/>
      </c>
      <c r="G33" s="12" t="n">
        <v>0.4676</v>
      </c>
      <c r="H33" s="13" t="n">
        <v>1874.26</v>
      </c>
      <c r="I33" s="14">
        <f>IF('Detalle'!B457="","Falta PC real",IF('Detalle'!B457&gt;=0.3,"OK · registrar",IF('Detalle'!B457&gt;=0.2,"Revisar margen","Revisar PC/PV")))</f>
        <v/>
      </c>
      <c r="K33">
        <f>'Detalle'!AD457</f>
        <v/>
      </c>
    </row>
    <row r="34">
      <c r="A34" s="8" t="n">
        <v>8589</v>
      </c>
      <c r="B34" s="8" t="inlineStr">
        <is>
          <t>C00120</t>
        </is>
      </c>
      <c r="C34" s="9" t="inlineStr">
        <is>
          <t>STEPHEN RICHARD ROBINSON</t>
        </is>
      </c>
      <c r="D34" s="8" t="inlineStr">
        <is>
          <t>Naturgy</t>
        </is>
      </c>
      <c r="E34" s="10">
        <f>'Detalle'!B476</f>
        <v/>
      </c>
      <c r="F34" s="11">
        <f>'Detalle'!D476</f>
        <v/>
      </c>
      <c r="G34" s="12" t="n">
        <v>0.3197</v>
      </c>
      <c r="H34" s="13" t="n">
        <v>3583.48</v>
      </c>
      <c r="I34" s="14">
        <f>IF('Detalle'!B476="","Falta PC real",IF('Detalle'!B476&gt;=0.3,"OK · registrar",IF('Detalle'!B476&gt;=0.2,"Revisar margen","Revisar PC/PV")))</f>
        <v/>
      </c>
      <c r="K34">
        <f>'Detalle'!AD476</f>
        <v/>
      </c>
    </row>
    <row r="35">
      <c r="A35" s="8" t="n">
        <v>8590</v>
      </c>
      <c r="B35" s="8" t="inlineStr">
        <is>
          <t>C00130</t>
        </is>
      </c>
      <c r="C35" s="9" t="inlineStr">
        <is>
          <t>BIO JARDINSOSTENIBLE, S.L.U.</t>
        </is>
      </c>
      <c r="D35" s="8" t="inlineStr">
        <is>
          <t>Naturgy</t>
        </is>
      </c>
      <c r="E35" s="10">
        <f>'Detalle'!B495</f>
        <v/>
      </c>
      <c r="F35" s="11">
        <f>'Detalle'!D495</f>
        <v/>
      </c>
      <c r="G35" s="12" t="n">
        <v>0.4296</v>
      </c>
      <c r="H35" s="13" t="n">
        <v>3448.6</v>
      </c>
      <c r="I35" s="14">
        <f>IF('Detalle'!B495="","Falta PC real",IF('Detalle'!B495&gt;=0.3,"OK · registrar",IF('Detalle'!B495&gt;=0.2,"Revisar margen","Revisar PC/PV")))</f>
        <v/>
      </c>
      <c r="K35">
        <f>'Detalle'!AD495</f>
        <v/>
      </c>
    </row>
    <row r="36">
      <c r="A36" s="8" t="n">
        <v>8593</v>
      </c>
      <c r="B36" s="8" t="inlineStr">
        <is>
          <t>C00270</t>
        </is>
      </c>
      <c r="C36" s="9" t="inlineStr">
        <is>
          <t>CLAUDE JOSÉ GOFFINET</t>
        </is>
      </c>
      <c r="D36" s="8" t="inlineStr">
        <is>
          <t>Naturgy</t>
        </is>
      </c>
      <c r="E36" s="10">
        <f>'Detalle'!B514</f>
        <v/>
      </c>
      <c r="F36" s="11">
        <f>'Detalle'!D514</f>
        <v/>
      </c>
      <c r="G36" s="12" t="n">
        <v>0.46</v>
      </c>
      <c r="H36" s="13" t="n">
        <v>4468.12</v>
      </c>
      <c r="I36" s="14">
        <f>IF('Detalle'!B514="","Falta PC real",IF('Detalle'!B514&gt;=0.3,"OK · registrar",IF('Detalle'!B514&gt;=0.2,"Revisar margen","Revisar PC/PV")))</f>
        <v/>
      </c>
      <c r="K36">
        <f>'Detalle'!AD514</f>
        <v/>
      </c>
    </row>
    <row r="37">
      <c r="A37" s="8" t="n">
        <v>8594</v>
      </c>
      <c r="B37" s="8" t="inlineStr">
        <is>
          <t>C00310</t>
        </is>
      </c>
      <c r="C37" s="9" t="inlineStr">
        <is>
          <t>MICHAEL BALMER</t>
        </is>
      </c>
      <c r="D37" s="8" t="inlineStr">
        <is>
          <t>Naturgy</t>
        </is>
      </c>
      <c r="E37" s="10">
        <f>'Detalle'!B533</f>
        <v/>
      </c>
      <c r="F37" s="11">
        <f>'Detalle'!D533</f>
        <v/>
      </c>
      <c r="G37" s="12" t="n">
        <v>0.5097</v>
      </c>
      <c r="H37" s="13" t="n">
        <v>1087.08</v>
      </c>
      <c r="I37" s="14">
        <f>IF('Detalle'!B533="","Falta PC real",IF('Detalle'!B533&gt;=0.3,"OK · registrar",IF('Detalle'!B533&gt;=0.2,"Revisar margen","Revisar PC/PV")))</f>
        <v/>
      </c>
      <c r="K37">
        <f>'Detalle'!AD533</f>
        <v/>
      </c>
    </row>
    <row r="38">
      <c r="A38" s="8" t="n">
        <v>8597</v>
      </c>
      <c r="B38" s="8" t="inlineStr">
        <is>
          <t>C00410</t>
        </is>
      </c>
      <c r="C38" s="9" t="inlineStr">
        <is>
          <t>VALENTINA BARCA</t>
        </is>
      </c>
      <c r="D38" s="8" t="inlineStr">
        <is>
          <t>Naturgy</t>
        </is>
      </c>
      <c r="E38" s="10">
        <f>'Detalle'!B552</f>
        <v/>
      </c>
      <c r="F38" s="11">
        <f>'Detalle'!D552</f>
        <v/>
      </c>
      <c r="G38" s="12" t="n">
        <v>0.3904</v>
      </c>
      <c r="H38" s="13" t="n">
        <v>3173.99</v>
      </c>
      <c r="I38" s="14">
        <f>IF('Detalle'!B552="","Falta PC real",IF('Detalle'!B552&gt;=0.3,"OK · registrar",IF('Detalle'!B552&gt;=0.2,"Revisar margen","Revisar PC/PV")))</f>
        <v/>
      </c>
      <c r="K38">
        <f>'Detalle'!AD552</f>
        <v/>
      </c>
    </row>
    <row r="39">
      <c r="A39" s="8" t="n">
        <v>8599</v>
      </c>
      <c r="B39" s="8" t="inlineStr">
        <is>
          <t>C00540</t>
        </is>
      </c>
      <c r="C39" s="9" t="inlineStr">
        <is>
          <t>PEDRO CAÑADAS FERNANDEZ</t>
        </is>
      </c>
      <c r="D39" s="8" t="inlineStr">
        <is>
          <t>Naturgy</t>
        </is>
      </c>
      <c r="E39" s="10">
        <f>'Detalle'!B571</f>
        <v/>
      </c>
      <c r="F39" s="11">
        <f>'Detalle'!D571</f>
        <v/>
      </c>
      <c r="G39" s="12" t="n">
        <v>0.2884</v>
      </c>
      <c r="H39" s="13" t="n">
        <v>910.46</v>
      </c>
      <c r="I39" s="14">
        <f>IF('Detalle'!B571="","Falta PC real",IF('Detalle'!B571&gt;=0.3,"OK · registrar",IF('Detalle'!B571&gt;=0.2,"Revisar margen","Revisar PC/PV")))</f>
        <v/>
      </c>
      <c r="K39">
        <f>'Detalle'!AD571</f>
        <v/>
      </c>
    </row>
    <row r="40">
      <c r="A40" s="8" t="n">
        <v>8600</v>
      </c>
      <c r="B40" s="8" t="inlineStr">
        <is>
          <t>C00670</t>
        </is>
      </c>
      <c r="C40" s="9" t="inlineStr">
        <is>
          <t>CARLOS A. GAVILANES PAUCAR</t>
        </is>
      </c>
      <c r="D40" s="8" t="inlineStr">
        <is>
          <t>Naturgy</t>
        </is>
      </c>
      <c r="E40" s="10">
        <f>'Detalle'!B590</f>
        <v/>
      </c>
      <c r="F40" s="11">
        <f>'Detalle'!D590</f>
        <v/>
      </c>
      <c r="G40" s="12" t="n">
        <v>0.4352</v>
      </c>
      <c r="H40" s="13" t="n">
        <v>5027.47</v>
      </c>
      <c r="I40" s="14">
        <f>IF('Detalle'!B590="","Falta PC real",IF('Detalle'!B590&gt;=0.3,"OK · registrar",IF('Detalle'!B590&gt;=0.2,"Revisar margen","Revisar PC/PV")))</f>
        <v/>
      </c>
      <c r="K40">
        <f>'Detalle'!AD590</f>
        <v/>
      </c>
    </row>
    <row r="41">
      <c r="A41" s="8" t="n">
        <v>8601</v>
      </c>
      <c r="B41" s="8" t="inlineStr">
        <is>
          <t>C00700</t>
        </is>
      </c>
      <c r="C41" s="9" t="inlineStr">
        <is>
          <t>ELEEN VELTHOVEN</t>
        </is>
      </c>
      <c r="D41" s="8" t="inlineStr">
        <is>
          <t>Naturgy</t>
        </is>
      </c>
      <c r="E41" s="10">
        <f>'Detalle'!B604</f>
        <v/>
      </c>
      <c r="F41" s="11">
        <f>'Detalle'!D604</f>
        <v/>
      </c>
      <c r="G41" s="12" t="n">
        <v>0.1991</v>
      </c>
      <c r="H41" s="13" t="n">
        <v>1674.46</v>
      </c>
      <c r="I41" s="14">
        <f>IF('Detalle'!B604="","Falta PC real",IF('Detalle'!B604&gt;=0.3,"OK · registrar",IF('Detalle'!B604&gt;=0.2,"Revisar margen","Revisar PC/PV")))</f>
        <v/>
      </c>
      <c r="K41">
        <f>'Detalle'!AD604</f>
        <v/>
      </c>
    </row>
    <row r="42">
      <c r="A42" s="8" t="n">
        <v>8604</v>
      </c>
      <c r="B42" s="8" t="inlineStr">
        <is>
          <t>C00780</t>
        </is>
      </c>
      <c r="C42" s="9" t="inlineStr">
        <is>
          <t>MONTGO SEGURIDAD, S.L.</t>
        </is>
      </c>
      <c r="D42" s="8" t="inlineStr">
        <is>
          <t>Naturgy</t>
        </is>
      </c>
      <c r="E42" s="10">
        <f>'Detalle'!B623</f>
        <v/>
      </c>
      <c r="F42" s="11">
        <f>'Detalle'!D623</f>
        <v/>
      </c>
      <c r="G42" s="12" t="n">
        <v>0.09180000000000001</v>
      </c>
      <c r="H42" s="13" t="n">
        <v>1103.81</v>
      </c>
      <c r="I42" s="14">
        <f>IF('Detalle'!B623="","Falta PC real",IF('Detalle'!B623&gt;=0.3,"OK · registrar",IF('Detalle'!B623&gt;=0.2,"Revisar margen","Revisar PC/PV")))</f>
        <v/>
      </c>
      <c r="K42">
        <f>'Detalle'!AD623</f>
        <v/>
      </c>
    </row>
    <row r="43">
      <c r="A43" s="8" t="n">
        <v>8605</v>
      </c>
      <c r="B43" s="8" t="inlineStr">
        <is>
          <t>C00820</t>
        </is>
      </c>
      <c r="C43" s="9" t="inlineStr">
        <is>
          <t>JAIME VIVES LADRÓN DE GUEVARA</t>
        </is>
      </c>
      <c r="D43" s="8" t="inlineStr">
        <is>
          <t>Naturgy</t>
        </is>
      </c>
      <c r="E43" s="10">
        <f>'Detalle'!B642</f>
        <v/>
      </c>
      <c r="F43" s="11">
        <f>'Detalle'!D642</f>
        <v/>
      </c>
      <c r="G43" s="12" t="n">
        <v>0.3695</v>
      </c>
      <c r="H43" s="13" t="n">
        <v>1904.3</v>
      </c>
      <c r="I43" s="14">
        <f>IF('Detalle'!B642="","Falta PC real",IF('Detalle'!B642&gt;=0.3,"OK · registrar",IF('Detalle'!B642&gt;=0.2,"Revisar margen","Revisar PC/PV")))</f>
        <v/>
      </c>
      <c r="K43">
        <f>'Detalle'!AD642</f>
        <v/>
      </c>
    </row>
    <row r="44">
      <c r="A44" s="8" t="n">
        <v>8606</v>
      </c>
      <c r="B44" s="8" t="inlineStr">
        <is>
          <t>C00910</t>
        </is>
      </c>
      <c r="C44" s="9" t="inlineStr">
        <is>
          <t>PATRICE HERNEST HECQ</t>
        </is>
      </c>
      <c r="D44" s="8" t="inlineStr">
        <is>
          <t>Naturgy</t>
        </is>
      </c>
      <c r="E44" s="10">
        <f>'Detalle'!B661</f>
        <v/>
      </c>
      <c r="F44" s="11">
        <f>'Detalle'!D661</f>
        <v/>
      </c>
      <c r="G44" s="12" t="n">
        <v>0.4652</v>
      </c>
      <c r="H44" s="13" t="n">
        <v>1466.53</v>
      </c>
      <c r="I44" s="14">
        <f>IF('Detalle'!B661="","Falta PC real",IF('Detalle'!B661&gt;=0.3,"OK · registrar",IF('Detalle'!B661&gt;=0.2,"Revisar margen","Revisar PC/PV")))</f>
        <v/>
      </c>
      <c r="K44">
        <f>'Detalle'!AD661</f>
        <v/>
      </c>
    </row>
    <row r="45">
      <c r="A45" s="8" t="n">
        <v>8607</v>
      </c>
      <c r="B45" s="8" t="inlineStr">
        <is>
          <t>C00940</t>
        </is>
      </c>
      <c r="C45" s="9" t="inlineStr">
        <is>
          <t>ANDRE DOUTREVAL</t>
        </is>
      </c>
      <c r="D45" s="8" t="inlineStr">
        <is>
          <t>Naturgy</t>
        </is>
      </c>
      <c r="E45" s="10">
        <f>'Detalle'!B680</f>
        <v/>
      </c>
      <c r="F45" s="11">
        <f>'Detalle'!D680</f>
        <v/>
      </c>
      <c r="G45" s="12" t="n">
        <v>0.4936</v>
      </c>
      <c r="H45" s="13" t="n">
        <v>2318.26</v>
      </c>
      <c r="I45" s="14">
        <f>IF('Detalle'!B680="","Falta PC real",IF('Detalle'!B680&gt;=0.3,"OK · registrar",IF('Detalle'!B680&gt;=0.2,"Revisar margen","Revisar PC/PV")))</f>
        <v/>
      </c>
      <c r="K45">
        <f>'Detalle'!AD680</f>
        <v/>
      </c>
    </row>
    <row r="46">
      <c r="A46" s="8" t="n">
        <v>8611</v>
      </c>
      <c r="B46" s="8" t="inlineStr">
        <is>
          <t>C01140</t>
        </is>
      </c>
      <c r="C46" s="9" t="inlineStr">
        <is>
          <t>DESIRÉ ANNA GUSTAAF SCHUTTER</t>
        </is>
      </c>
      <c r="D46" s="8" t="inlineStr">
        <is>
          <t>Naturgy</t>
        </is>
      </c>
      <c r="E46" s="10">
        <f>'Detalle'!B699</f>
        <v/>
      </c>
      <c r="F46" s="11">
        <f>'Detalle'!D699</f>
        <v/>
      </c>
      <c r="G46" s="12" t="n">
        <v>0.2556</v>
      </c>
      <c r="H46" s="13" t="n">
        <v>1316.57</v>
      </c>
      <c r="I46" s="14">
        <f>IF('Detalle'!B699="","Falta PC real",IF('Detalle'!B699&gt;=0.3,"OK · registrar",IF('Detalle'!B699&gt;=0.2,"Revisar margen","Revisar PC/PV")))</f>
        <v/>
      </c>
      <c r="K46">
        <f>'Detalle'!AD699</f>
        <v/>
      </c>
    </row>
    <row r="47">
      <c r="A47" s="8" t="n">
        <v>8612</v>
      </c>
      <c r="B47" s="8" t="inlineStr">
        <is>
          <t>C01150</t>
        </is>
      </c>
      <c r="C47" s="9" t="inlineStr">
        <is>
          <t>ARIE PETER PETRI</t>
        </is>
      </c>
      <c r="D47" s="8" t="inlineStr">
        <is>
          <t>Naturgy</t>
        </is>
      </c>
      <c r="E47" s="10">
        <f>'Detalle'!B718</f>
        <v/>
      </c>
      <c r="F47" s="11">
        <f>'Detalle'!D718</f>
        <v/>
      </c>
      <c r="G47" s="12" t="n">
        <v>0.3724</v>
      </c>
      <c r="H47" s="13" t="n">
        <v>2947.02</v>
      </c>
      <c r="I47" s="14">
        <f>IF('Detalle'!B718="","Falta PC real",IF('Detalle'!B718&gt;=0.3,"OK · registrar",IF('Detalle'!B718&gt;=0.2,"Revisar margen","Revisar PC/PV")))</f>
        <v/>
      </c>
      <c r="K47">
        <f>'Detalle'!AD718</f>
        <v/>
      </c>
    </row>
    <row r="48">
      <c r="A48" s="8" t="n">
        <v>8613</v>
      </c>
      <c r="B48" s="8" t="inlineStr">
        <is>
          <t>C01160</t>
        </is>
      </c>
      <c r="C48" s="9" t="inlineStr">
        <is>
          <t>DEBORAH LEFFELAAR</t>
        </is>
      </c>
      <c r="D48" s="8" t="inlineStr">
        <is>
          <t>Naturgy</t>
        </is>
      </c>
      <c r="E48" s="10">
        <f>'Detalle'!B737</f>
        <v/>
      </c>
      <c r="F48" s="11">
        <f>'Detalle'!D737</f>
        <v/>
      </c>
      <c r="G48" s="12" t="n">
        <v>0.4239</v>
      </c>
      <c r="H48" s="13" t="n">
        <v>3342.92</v>
      </c>
      <c r="I48" s="14">
        <f>IF('Detalle'!B737="","Falta PC real",IF('Detalle'!B737&gt;=0.3,"OK · registrar",IF('Detalle'!B737&gt;=0.2,"Revisar margen","Revisar PC/PV")))</f>
        <v/>
      </c>
      <c r="K48">
        <f>'Detalle'!AD737</f>
        <v/>
      </c>
    </row>
    <row r="49">
      <c r="A49" s="8" t="n">
        <v>8614</v>
      </c>
      <c r="B49" s="8" t="inlineStr">
        <is>
          <t>C01190</t>
        </is>
      </c>
      <c r="C49" s="9" t="inlineStr">
        <is>
          <t>BART VAN OERLE JOZEF J.</t>
        </is>
      </c>
      <c r="D49" s="8" t="inlineStr">
        <is>
          <t>Naturgy</t>
        </is>
      </c>
      <c r="E49" s="10">
        <f>'Detalle'!B756</f>
        <v/>
      </c>
      <c r="F49" s="11">
        <f>'Detalle'!D756</f>
        <v/>
      </c>
      <c r="G49" s="12" t="n">
        <v>0.323</v>
      </c>
      <c r="H49" s="13" t="n">
        <v>755.04</v>
      </c>
      <c r="I49" s="14">
        <f>IF('Detalle'!B756="","Falta PC real",IF('Detalle'!B756&gt;=0.3,"OK · registrar",IF('Detalle'!B756&gt;=0.2,"Revisar margen","Revisar PC/PV")))</f>
        <v/>
      </c>
      <c r="K49">
        <f>'Detalle'!AD756</f>
        <v/>
      </c>
    </row>
    <row r="50">
      <c r="A50" s="8" t="n">
        <v>8617</v>
      </c>
      <c r="B50" s="8" t="inlineStr">
        <is>
          <t>C01250</t>
        </is>
      </c>
      <c r="C50" s="9" t="inlineStr">
        <is>
          <t>DANIELLE B. PAULI</t>
        </is>
      </c>
      <c r="D50" s="8" t="inlineStr">
        <is>
          <t>Naturgy</t>
        </is>
      </c>
      <c r="E50" s="10">
        <f>'Detalle'!B775</f>
        <v/>
      </c>
      <c r="F50" s="11">
        <f>'Detalle'!D775</f>
        <v/>
      </c>
      <c r="G50" s="12" t="n">
        <v>0.3445</v>
      </c>
      <c r="H50" s="13" t="n">
        <v>840.98</v>
      </c>
      <c r="I50" s="14">
        <f>IF('Detalle'!B775="","Falta PC real",IF('Detalle'!B775&gt;=0.3,"OK · registrar",IF('Detalle'!B775&gt;=0.2,"Revisar margen","Revisar PC/PV")))</f>
        <v/>
      </c>
      <c r="K50">
        <f>'Detalle'!AD775</f>
        <v/>
      </c>
    </row>
    <row r="51">
      <c r="A51" s="8" t="n">
        <v>8618</v>
      </c>
      <c r="B51" s="8" t="inlineStr">
        <is>
          <t>C01280</t>
        </is>
      </c>
      <c r="C51" s="9" t="inlineStr">
        <is>
          <t>Mª ISABEL HEVIA TENA</t>
        </is>
      </c>
      <c r="D51" s="8" t="inlineStr">
        <is>
          <t>Naturgy</t>
        </is>
      </c>
      <c r="E51" s="10">
        <f>'Detalle'!B794</f>
        <v/>
      </c>
      <c r="F51" s="11">
        <f>'Detalle'!D794</f>
        <v/>
      </c>
      <c r="G51" s="12" t="n">
        <v>0.3077</v>
      </c>
      <c r="H51" s="13" t="n">
        <v>2373.43</v>
      </c>
      <c r="I51" s="14">
        <f>IF('Detalle'!B794="","Falta PC real",IF('Detalle'!B794&gt;=0.3,"OK · registrar",IF('Detalle'!B794&gt;=0.2,"Revisar margen","Revisar PC/PV")))</f>
        <v/>
      </c>
      <c r="K51">
        <f>'Detalle'!AD794</f>
        <v/>
      </c>
    </row>
    <row r="52">
      <c r="A52" s="8" t="n">
        <v>8620</v>
      </c>
      <c r="B52" s="8" t="inlineStr">
        <is>
          <t>C01330</t>
        </is>
      </c>
      <c r="C52" s="9" t="inlineStr">
        <is>
          <t>ULF BALZER</t>
        </is>
      </c>
      <c r="D52" s="8" t="inlineStr">
        <is>
          <t>Naturgy</t>
        </is>
      </c>
      <c r="E52" s="10">
        <f>'Detalle'!B813</f>
        <v/>
      </c>
      <c r="F52" s="11">
        <f>'Detalle'!D813</f>
        <v/>
      </c>
      <c r="G52" s="12" t="n">
        <v>0.3424</v>
      </c>
      <c r="H52" s="13" t="n">
        <v>1175.92</v>
      </c>
      <c r="I52" s="14">
        <f>IF('Detalle'!B813="","Falta PC real",IF('Detalle'!B813&gt;=0.3,"OK · registrar",IF('Detalle'!B813&gt;=0.2,"Revisar margen","Revisar PC/PV")))</f>
        <v/>
      </c>
      <c r="K52">
        <f>'Detalle'!AD813</f>
        <v/>
      </c>
    </row>
    <row r="53">
      <c r="A53" s="8" t="n">
        <v>8621</v>
      </c>
      <c r="B53" s="8" t="inlineStr">
        <is>
          <t>C01350</t>
        </is>
      </c>
      <c r="C53" s="9" t="inlineStr">
        <is>
          <t>CORDULA PETERS</t>
        </is>
      </c>
      <c r="D53" s="8" t="inlineStr">
        <is>
          <t>Naturgy</t>
        </is>
      </c>
      <c r="E53" s="10">
        <f>'Detalle'!B832</f>
        <v/>
      </c>
      <c r="F53" s="11">
        <f>'Detalle'!D832</f>
        <v/>
      </c>
      <c r="G53" s="12" t="n">
        <v>0.0004</v>
      </c>
      <c r="H53" s="13" t="n">
        <v>638.64</v>
      </c>
      <c r="I53" s="14">
        <f>IF('Detalle'!B832="","Falta PC real",IF('Detalle'!B832&gt;=0.3,"OK · registrar",IF('Detalle'!B832&gt;=0.2,"Revisar margen","Revisar PC/PV")))</f>
        <v/>
      </c>
      <c r="K53">
        <f>'Detalle'!AD832</f>
        <v/>
      </c>
    </row>
    <row r="54">
      <c r="A54" s="8" t="n">
        <v>8622</v>
      </c>
      <c r="B54" s="8" t="inlineStr">
        <is>
          <t>C01390</t>
        </is>
      </c>
      <c r="C54" s="9" t="inlineStr">
        <is>
          <t>DANIEL DE WIT</t>
        </is>
      </c>
      <c r="D54" s="8" t="inlineStr">
        <is>
          <t>Naturgy</t>
        </is>
      </c>
      <c r="E54" s="10">
        <f>'Detalle'!B851</f>
        <v/>
      </c>
      <c r="F54" s="11">
        <f>'Detalle'!D851</f>
        <v/>
      </c>
      <c r="G54" s="12" t="n">
        <v>0.3128</v>
      </c>
      <c r="H54" s="13" t="n">
        <v>4238.97</v>
      </c>
      <c r="I54" s="14">
        <f>IF('Detalle'!B851="","Falta PC real",IF('Detalle'!B851&gt;=0.3,"OK · registrar",IF('Detalle'!B851&gt;=0.2,"Revisar margen","Revisar PC/PV")))</f>
        <v/>
      </c>
      <c r="K54">
        <f>'Detalle'!AD851</f>
        <v/>
      </c>
    </row>
    <row r="55">
      <c r="A55" s="8" t="n">
        <v>8623</v>
      </c>
      <c r="B55" s="8" t="inlineStr">
        <is>
          <t>C01400</t>
        </is>
      </c>
      <c r="C55" s="9" t="inlineStr">
        <is>
          <t>CHRISTOPH BLUME</t>
        </is>
      </c>
      <c r="D55" s="8" t="inlineStr">
        <is>
          <t>Naturgy</t>
        </is>
      </c>
      <c r="E55" s="10">
        <f>'Detalle'!B870</f>
        <v/>
      </c>
      <c r="F55" s="11">
        <f>'Detalle'!D870</f>
        <v/>
      </c>
      <c r="G55" s="12" t="n">
        <v>0.3031</v>
      </c>
      <c r="H55" s="13" t="n">
        <v>2280.53</v>
      </c>
      <c r="I55" s="14">
        <f>IF('Detalle'!B870="","Falta PC real",IF('Detalle'!B870&gt;=0.3,"OK · registrar",IF('Detalle'!B870&gt;=0.2,"Revisar margen","Revisar PC/PV")))</f>
        <v/>
      </c>
      <c r="K55">
        <f>'Detalle'!AD870</f>
        <v/>
      </c>
    </row>
    <row r="56">
      <c r="A56" s="8" t="n">
        <v>8624</v>
      </c>
      <c r="B56" s="8" t="inlineStr">
        <is>
          <t>C01420</t>
        </is>
      </c>
      <c r="C56" s="9" t="inlineStr">
        <is>
          <t>JAIME VIVES</t>
        </is>
      </c>
      <c r="D56" s="8" t="inlineStr">
        <is>
          <t>Naturgy</t>
        </is>
      </c>
      <c r="E56" s="10">
        <f>'Detalle'!B889</f>
        <v/>
      </c>
      <c r="F56" s="11">
        <f>'Detalle'!D889</f>
        <v/>
      </c>
      <c r="G56" s="12" t="n">
        <v>0.271</v>
      </c>
      <c r="H56" s="13" t="n">
        <v>3219.58</v>
      </c>
      <c r="I56" s="14">
        <f>IF('Detalle'!B889="","Falta PC real",IF('Detalle'!B889&gt;=0.3,"OK · registrar",IF('Detalle'!B889&gt;=0.2,"Revisar margen","Revisar PC/PV")))</f>
        <v/>
      </c>
      <c r="K56">
        <f>'Detalle'!AD889</f>
        <v/>
      </c>
    </row>
    <row r="57">
      <c r="A57" s="8" t="n">
        <v>8625</v>
      </c>
      <c r="B57" s="8" t="inlineStr">
        <is>
          <t>C01440</t>
        </is>
      </c>
      <c r="C57" s="9" t="inlineStr">
        <is>
          <t>VICENTE BAS ALENTADO</t>
        </is>
      </c>
      <c r="D57" s="8" t="inlineStr">
        <is>
          <t>Naturgy</t>
        </is>
      </c>
      <c r="E57" s="10">
        <f>'Detalle'!B903</f>
        <v/>
      </c>
      <c r="F57" s="11">
        <f>'Detalle'!D903</f>
        <v/>
      </c>
      <c r="G57" s="12" t="n">
        <v>0.2944</v>
      </c>
      <c r="H57" s="13" t="n">
        <v>1840.65</v>
      </c>
      <c r="I57" s="14">
        <f>IF('Detalle'!B903="","Falta PC real",IF('Detalle'!B903&gt;=0.3,"OK · registrar",IF('Detalle'!B903&gt;=0.2,"Revisar margen","Revisar PC/PV")))</f>
        <v/>
      </c>
      <c r="K57">
        <f>'Detalle'!AD903</f>
        <v/>
      </c>
    </row>
    <row r="58">
      <c r="A58" s="8" t="n">
        <v>8626</v>
      </c>
      <c r="B58" s="8" t="inlineStr">
        <is>
          <t>C01460</t>
        </is>
      </c>
      <c r="C58" s="9" t="inlineStr">
        <is>
          <t>MARCUS JOHANNES MULLER</t>
        </is>
      </c>
      <c r="D58" s="8" t="inlineStr">
        <is>
          <t>Naturgy</t>
        </is>
      </c>
      <c r="E58" s="10">
        <f>'Detalle'!B917</f>
        <v/>
      </c>
      <c r="F58" s="11">
        <f>'Detalle'!D917</f>
        <v/>
      </c>
      <c r="G58" s="12" t="n">
        <v>0.0856</v>
      </c>
      <c r="H58" s="13" t="n">
        <v>936.83</v>
      </c>
      <c r="I58" s="14">
        <f>IF('Detalle'!B917="","Falta PC real",IF('Detalle'!B917&gt;=0.3,"OK · registrar",IF('Detalle'!B917&gt;=0.2,"Revisar margen","Revisar PC/PV")))</f>
        <v/>
      </c>
      <c r="K58">
        <f>'Detalle'!AD917</f>
        <v/>
      </c>
    </row>
    <row r="59">
      <c r="A59" s="8" t="n">
        <v>8627</v>
      </c>
      <c r="B59" s="8" t="inlineStr">
        <is>
          <t>C01470</t>
        </is>
      </c>
      <c r="C59" s="9" t="inlineStr">
        <is>
          <t>LIEUWE KOOPMANS</t>
        </is>
      </c>
      <c r="D59" s="8" t="inlineStr">
        <is>
          <t>Naturgy</t>
        </is>
      </c>
      <c r="E59" s="10">
        <f>'Detalle'!B936</f>
        <v/>
      </c>
      <c r="F59" s="11">
        <f>'Detalle'!D936</f>
        <v/>
      </c>
      <c r="G59" s="12" t="n">
        <v>0.3038</v>
      </c>
      <c r="H59" s="13" t="n">
        <v>1173.88</v>
      </c>
      <c r="I59" s="14">
        <f>IF('Detalle'!B936="","Falta PC real",IF('Detalle'!B936&gt;=0.3,"OK · registrar",IF('Detalle'!B936&gt;=0.2,"Revisar margen","Revisar PC/PV")))</f>
        <v/>
      </c>
      <c r="K59">
        <f>'Detalle'!AD936</f>
        <v/>
      </c>
    </row>
    <row r="60">
      <c r="A60" s="8" t="n">
        <v>8628</v>
      </c>
      <c r="B60" s="8" t="inlineStr">
        <is>
          <t>C01490</t>
        </is>
      </c>
      <c r="C60" s="9" t="inlineStr">
        <is>
          <t>JOSE EDUARDO BAYONA SOTOS</t>
        </is>
      </c>
      <c r="D60" s="8" t="inlineStr">
        <is>
          <t>Naturgy</t>
        </is>
      </c>
      <c r="E60" s="10">
        <f>'Detalle'!B955</f>
        <v/>
      </c>
      <c r="F60" s="11">
        <f>'Detalle'!D955</f>
        <v/>
      </c>
      <c r="G60" s="12" t="n">
        <v>0.2292</v>
      </c>
      <c r="H60" s="13" t="n">
        <v>3231.67</v>
      </c>
      <c r="I60" s="14">
        <f>IF('Detalle'!B955="","Falta PC real",IF('Detalle'!B955&gt;=0.3,"OK · registrar",IF('Detalle'!B955&gt;=0.2,"Revisar margen","Revisar PC/PV")))</f>
        <v/>
      </c>
      <c r="K60">
        <f>'Detalle'!AD955</f>
        <v/>
      </c>
    </row>
    <row r="61">
      <c r="A61" s="8" t="n">
        <v>8630</v>
      </c>
      <c r="B61" s="8" t="inlineStr">
        <is>
          <t>C01530</t>
        </is>
      </c>
      <c r="C61" s="9" t="inlineStr">
        <is>
          <t>JUAN POCH FERNANDEZ</t>
        </is>
      </c>
      <c r="D61" s="8" t="inlineStr">
        <is>
          <t>Naturgy</t>
        </is>
      </c>
      <c r="E61" s="10">
        <f>'Detalle'!B969</f>
        <v/>
      </c>
      <c r="F61" s="11">
        <f>'Detalle'!D969</f>
        <v/>
      </c>
      <c r="G61" s="12" t="n">
        <v>0.378</v>
      </c>
      <c r="H61" s="13" t="n">
        <v>2148.32</v>
      </c>
      <c r="I61" s="14">
        <f>IF('Detalle'!B969="","Falta PC real",IF('Detalle'!B969&gt;=0.3,"OK · registrar",IF('Detalle'!B969&gt;=0.2,"Revisar margen","Revisar PC/PV")))</f>
        <v/>
      </c>
      <c r="K61">
        <f>'Detalle'!AD969</f>
        <v/>
      </c>
    </row>
    <row r="62">
      <c r="A62" s="8" t="n">
        <v>8631</v>
      </c>
      <c r="B62" s="8" t="inlineStr">
        <is>
          <t>C01540</t>
        </is>
      </c>
      <c r="C62" s="9" t="inlineStr">
        <is>
          <t>FORN MONICA S L</t>
        </is>
      </c>
      <c r="D62" s="8" t="inlineStr">
        <is>
          <t>Naturgy</t>
        </is>
      </c>
      <c r="E62" s="10">
        <f>'Detalle'!B988</f>
        <v/>
      </c>
      <c r="F62" s="11">
        <f>'Detalle'!D988</f>
        <v/>
      </c>
      <c r="G62" s="12" t="n">
        <v>0.3244</v>
      </c>
      <c r="H62" s="13" t="n">
        <v>13789.11</v>
      </c>
      <c r="I62" s="14">
        <f>IF('Detalle'!B988="","Falta PC real",IF('Detalle'!B988&gt;=0.3,"OK · registrar",IF('Detalle'!B988&gt;=0.2,"Revisar margen","Revisar PC/PV")))</f>
        <v/>
      </c>
      <c r="K62">
        <f>'Detalle'!AD988</f>
        <v/>
      </c>
    </row>
    <row r="63">
      <c r="A63" s="8" t="n">
        <v>8632</v>
      </c>
      <c r="B63" s="8" t="inlineStr">
        <is>
          <t>C01570</t>
        </is>
      </c>
      <c r="C63" s="9" t="inlineStr">
        <is>
          <t>FRANCISCO MULA ROBERTO</t>
        </is>
      </c>
      <c r="D63" s="8" t="inlineStr">
        <is>
          <t>Naturgy</t>
        </is>
      </c>
      <c r="E63" s="10">
        <f>'Detalle'!B1002</f>
        <v/>
      </c>
      <c r="F63" s="11">
        <f>'Detalle'!D1002</f>
        <v/>
      </c>
      <c r="G63" s="12" t="n">
        <v>0.368</v>
      </c>
      <c r="H63" s="13" t="n">
        <v>1850.34</v>
      </c>
      <c r="I63" s="14">
        <f>IF('Detalle'!B1002="","Falta PC real",IF('Detalle'!B1002&gt;=0.3,"OK · registrar",IF('Detalle'!B1002&gt;=0.2,"Revisar margen","Revisar PC/PV")))</f>
        <v/>
      </c>
      <c r="K63">
        <f>'Detalle'!AD1002</f>
        <v/>
      </c>
    </row>
    <row r="64">
      <c r="A64" s="8" t="n">
        <v>8633</v>
      </c>
      <c r="B64" s="8" t="inlineStr">
        <is>
          <t>C01600</t>
        </is>
      </c>
      <c r="C64" s="9" t="inlineStr">
        <is>
          <t>HAFELI BRIGITTE</t>
        </is>
      </c>
      <c r="D64" s="8" t="inlineStr">
        <is>
          <t>Naturgy</t>
        </is>
      </c>
      <c r="E64" s="10">
        <f>'Detalle'!B1016</f>
        <v/>
      </c>
      <c r="F64" s="11">
        <f>'Detalle'!D1016</f>
        <v/>
      </c>
      <c r="G64" s="12" t="n">
        <v>0.2792</v>
      </c>
      <c r="H64" s="13" t="n">
        <v>2070.05</v>
      </c>
      <c r="I64" s="14">
        <f>IF('Detalle'!B1016="","Falta PC real",IF('Detalle'!B1016&gt;=0.3,"OK · registrar",IF('Detalle'!B1016&gt;=0.2,"Revisar margen","Revisar PC/PV")))</f>
        <v/>
      </c>
      <c r="K64">
        <f>'Detalle'!AD1016</f>
        <v/>
      </c>
    </row>
    <row r="65">
      <c r="A65" s="8" t="n">
        <v>8634</v>
      </c>
      <c r="B65" s="8" t="inlineStr">
        <is>
          <t>C01620</t>
        </is>
      </c>
      <c r="C65" s="9" t="inlineStr">
        <is>
          <t>MIA EDELTRUDIS JOSEPHINA ZANTMAN</t>
        </is>
      </c>
      <c r="D65" s="8" t="inlineStr">
        <is>
          <t>Naturgy</t>
        </is>
      </c>
      <c r="E65" s="10">
        <f>'Detalle'!B1035</f>
        <v/>
      </c>
      <c r="F65" s="11">
        <f>'Detalle'!D1035</f>
        <v/>
      </c>
      <c r="G65" s="12" t="n">
        <v>-0.824</v>
      </c>
      <c r="H65" s="13" t="n">
        <v>282.36</v>
      </c>
      <c r="I65" s="14">
        <f>IF('Detalle'!B1035="","Falta PC real",IF('Detalle'!B1035&gt;=0.3,"OK · registrar",IF('Detalle'!B1035&gt;=0.2,"Revisar margen","Revisar PC/PV")))</f>
        <v/>
      </c>
      <c r="K65">
        <f>'Detalle'!AD1035</f>
        <v/>
      </c>
    </row>
    <row r="66">
      <c r="A66" s="8" t="n">
        <v>8636</v>
      </c>
      <c r="B66" s="8" t="inlineStr">
        <is>
          <t>C01660</t>
        </is>
      </c>
      <c r="C66" s="9" t="inlineStr">
        <is>
          <t>LIEUWE KOOPMANS (2)</t>
        </is>
      </c>
      <c r="D66" s="8" t="inlineStr">
        <is>
          <t>Naturgy</t>
        </is>
      </c>
      <c r="E66" s="10">
        <f>'Detalle'!B1054</f>
        <v/>
      </c>
      <c r="F66" s="11">
        <f>'Detalle'!D1054</f>
        <v/>
      </c>
      <c r="G66" s="12" t="n">
        <v>0.2775</v>
      </c>
      <c r="H66" s="13" t="n">
        <v>2326.68</v>
      </c>
      <c r="I66" s="14">
        <f>IF('Detalle'!B1054="","Falta PC real",IF('Detalle'!B1054&gt;=0.3,"OK · registrar",IF('Detalle'!B1054&gt;=0.2,"Revisar margen","Revisar PC/PV")))</f>
        <v/>
      </c>
      <c r="K66">
        <f>'Detalle'!AD1054</f>
        <v/>
      </c>
    </row>
    <row r="67">
      <c r="A67" s="8" t="n">
        <v>8637</v>
      </c>
      <c r="B67" s="8" t="inlineStr">
        <is>
          <t>C01670</t>
        </is>
      </c>
      <c r="C67" s="9" t="inlineStr">
        <is>
          <t>COCKTAIL BAR AYAHUMA</t>
        </is>
      </c>
      <c r="D67" s="8" t="inlineStr">
        <is>
          <t>Naturgy</t>
        </is>
      </c>
      <c r="E67" s="10">
        <f>'Detalle'!B1073</f>
        <v/>
      </c>
      <c r="F67" s="11">
        <f>'Detalle'!D1073</f>
        <v/>
      </c>
      <c r="G67" s="12" t="n">
        <v>0.3087</v>
      </c>
      <c r="H67" s="13" t="n">
        <v>5393.13</v>
      </c>
      <c r="I67" s="14">
        <f>IF('Detalle'!B1073="","Falta PC real",IF('Detalle'!B1073&gt;=0.3,"OK · registrar",IF('Detalle'!B1073&gt;=0.2,"Revisar margen","Revisar PC/PV")))</f>
        <v/>
      </c>
      <c r="K67">
        <f>'Detalle'!AD1073</f>
        <v/>
      </c>
    </row>
    <row r="68">
      <c r="A68" s="8" t="n">
        <v>8639</v>
      </c>
      <c r="B68" s="8" t="inlineStr">
        <is>
          <t>C01720</t>
        </is>
      </c>
      <c r="C68" s="9" t="inlineStr">
        <is>
          <t>AHMED DAHMAN</t>
        </is>
      </c>
      <c r="D68" s="8" t="inlineStr">
        <is>
          <t>Naturgy</t>
        </is>
      </c>
      <c r="E68" s="10">
        <f>'Detalle'!B1087</f>
        <v/>
      </c>
      <c r="F68" s="11">
        <f>'Detalle'!D1087</f>
        <v/>
      </c>
      <c r="G68" s="12" t="n">
        <v>0.336</v>
      </c>
      <c r="H68" s="13" t="n">
        <v>1989.67</v>
      </c>
      <c r="I68" s="14">
        <f>IF('Detalle'!B1087="","Falta PC real",IF('Detalle'!B1087&gt;=0.3,"OK · registrar",IF('Detalle'!B1087&gt;=0.2,"Revisar margen","Revisar PC/PV")))</f>
        <v/>
      </c>
      <c r="K68">
        <f>'Detalle'!AD1087</f>
        <v/>
      </c>
    </row>
    <row r="69">
      <c r="A69" s="8" t="n">
        <v>8640</v>
      </c>
      <c r="B69" s="8" t="inlineStr">
        <is>
          <t>C01730</t>
        </is>
      </c>
      <c r="C69" s="9" t="inlineStr">
        <is>
          <t>LORENA ROCIO PAUCAR LÓPEZ</t>
        </is>
      </c>
      <c r="D69" s="8" t="inlineStr">
        <is>
          <t>Naturgy</t>
        </is>
      </c>
      <c r="E69" s="10">
        <f>'Detalle'!B1101</f>
        <v/>
      </c>
      <c r="F69" s="11">
        <f>'Detalle'!D1101</f>
        <v/>
      </c>
      <c r="G69" s="12" t="n">
        <v>0.3488</v>
      </c>
      <c r="H69" s="13" t="n">
        <v>7310.54</v>
      </c>
      <c r="I69" s="14">
        <f>IF('Detalle'!B1101="","Falta PC real",IF('Detalle'!B1101&gt;=0.3,"OK · registrar",IF('Detalle'!B1101&gt;=0.2,"Revisar margen","Revisar PC/PV")))</f>
        <v/>
      </c>
      <c r="K69">
        <f>'Detalle'!AD1101</f>
        <v/>
      </c>
    </row>
    <row r="70">
      <c r="A70" s="8" t="n">
        <v>8642</v>
      </c>
      <c r="B70" s="8" t="inlineStr">
        <is>
          <t>C01800</t>
        </is>
      </c>
      <c r="C70" s="9" t="inlineStr">
        <is>
          <t>ROY SCHOLTEN</t>
        </is>
      </c>
      <c r="D70" s="8" t="inlineStr">
        <is>
          <t>Naturgy</t>
        </is>
      </c>
      <c r="E70" s="10">
        <f>'Detalle'!B1115</f>
        <v/>
      </c>
      <c r="F70" s="11">
        <f>'Detalle'!D1115</f>
        <v/>
      </c>
      <c r="G70" s="12" t="n">
        <v>0.2251</v>
      </c>
      <c r="H70" s="13" t="n">
        <v>1291.58</v>
      </c>
      <c r="I70" s="14">
        <f>IF('Detalle'!B1115="","Falta PC real",IF('Detalle'!B1115&gt;=0.3,"OK · registrar",IF('Detalle'!B1115&gt;=0.2,"Revisar margen","Revisar PC/PV")))</f>
        <v/>
      </c>
      <c r="K70">
        <f>'Detalle'!AD1115</f>
        <v/>
      </c>
    </row>
    <row r="71">
      <c r="A71" s="8" t="n">
        <v>8645</v>
      </c>
      <c r="B71" s="8" t="inlineStr">
        <is>
          <t>C01850</t>
        </is>
      </c>
      <c r="C71" s="9" t="inlineStr">
        <is>
          <t>GUILLERMO CHOLBI SART</t>
        </is>
      </c>
      <c r="D71" s="8" t="inlineStr">
        <is>
          <t>Naturgy</t>
        </is>
      </c>
      <c r="E71" s="10">
        <f>'Detalle'!B1134</f>
        <v/>
      </c>
      <c r="F71" s="11">
        <f>'Detalle'!D1134</f>
        <v/>
      </c>
      <c r="G71" s="12" t="n">
        <v>0.2601</v>
      </c>
      <c r="H71" s="13" t="n">
        <v>669.11</v>
      </c>
      <c r="I71" s="14">
        <f>IF('Detalle'!B1134="","Falta PC real",IF('Detalle'!B1134&gt;=0.3,"OK · registrar",IF('Detalle'!B1134&gt;=0.2,"Revisar margen","Revisar PC/PV")))</f>
        <v/>
      </c>
      <c r="K71">
        <f>'Detalle'!AD1134</f>
        <v/>
      </c>
    </row>
    <row r="72">
      <c r="A72" s="8" t="n">
        <v>8646</v>
      </c>
      <c r="B72" s="8" t="inlineStr">
        <is>
          <t>C01860</t>
        </is>
      </c>
      <c r="C72" s="9" t="inlineStr">
        <is>
          <t>GUILLERMO CHOLBI SART</t>
        </is>
      </c>
      <c r="D72" s="8" t="inlineStr">
        <is>
          <t>Naturgy</t>
        </is>
      </c>
      <c r="E72" s="10">
        <f>'Detalle'!B1148</f>
        <v/>
      </c>
      <c r="F72" s="11">
        <f>'Detalle'!D1148</f>
        <v/>
      </c>
      <c r="G72" s="12" t="n">
        <v>0.1345</v>
      </c>
      <c r="H72" s="13" t="n">
        <v>3661.58</v>
      </c>
      <c r="I72" s="14">
        <f>IF('Detalle'!B1148="","Falta PC real",IF('Detalle'!B1148&gt;=0.3,"OK · registrar",IF('Detalle'!B1148&gt;=0.2,"Revisar margen","Revisar PC/PV")))</f>
        <v/>
      </c>
      <c r="K72">
        <f>'Detalle'!AD1148</f>
        <v/>
      </c>
    </row>
    <row r="73">
      <c r="A73" s="8" t="n">
        <v>8647</v>
      </c>
      <c r="B73" s="8" t="inlineStr">
        <is>
          <t>C01870</t>
        </is>
      </c>
      <c r="C73" s="9" t="inlineStr">
        <is>
          <t>GUILLERMO CHOLBI SART</t>
        </is>
      </c>
      <c r="D73" s="8" t="inlineStr">
        <is>
          <t>Naturgy</t>
        </is>
      </c>
      <c r="E73" s="10">
        <f>'Detalle'!B1162</f>
        <v/>
      </c>
      <c r="F73" s="11">
        <f>'Detalle'!D1162</f>
        <v/>
      </c>
      <c r="G73" s="12" t="n">
        <v>0.1953</v>
      </c>
      <c r="H73" s="13" t="n">
        <v>1401.63</v>
      </c>
      <c r="I73" s="14">
        <f>IF('Detalle'!B1162="","Falta PC real",IF('Detalle'!B1162&gt;=0.3,"OK · registrar",IF('Detalle'!B1162&gt;=0.2,"Revisar margen","Revisar PC/PV")))</f>
        <v/>
      </c>
      <c r="K73">
        <f>'Detalle'!AD1162</f>
        <v/>
      </c>
    </row>
    <row r="74">
      <c r="A74" s="8" t="n">
        <v>8648</v>
      </c>
      <c r="B74" s="8" t="inlineStr">
        <is>
          <t>C01880</t>
        </is>
      </c>
      <c r="C74" s="9" t="inlineStr">
        <is>
          <t>ALEJANDRO BOX CANDELA</t>
        </is>
      </c>
      <c r="D74" s="8" t="inlineStr">
        <is>
          <t>Naturgy</t>
        </is>
      </c>
      <c r="E74" s="10">
        <f>'Detalle'!B1176</f>
        <v/>
      </c>
      <c r="F74" s="11">
        <f>'Detalle'!D1176</f>
        <v/>
      </c>
      <c r="G74" s="12" t="n">
        <v>0.2432</v>
      </c>
      <c r="H74" s="13" t="n">
        <v>1364.97</v>
      </c>
      <c r="I74" s="14">
        <f>IF('Detalle'!B1176="","Falta PC real",IF('Detalle'!B1176&gt;=0.3,"OK · registrar",IF('Detalle'!B1176&gt;=0.2,"Revisar margen","Revisar PC/PV")))</f>
        <v/>
      </c>
      <c r="K74">
        <f>'Detalle'!AD1176</f>
        <v/>
      </c>
    </row>
    <row r="75">
      <c r="A75" s="8" t="n">
        <v>8650</v>
      </c>
      <c r="B75" s="8" t="inlineStr">
        <is>
          <t>C01990</t>
        </is>
      </c>
      <c r="C75" s="9" t="inlineStr">
        <is>
          <t>GERRIT JONGEJAN</t>
        </is>
      </c>
      <c r="D75" s="8" t="inlineStr">
        <is>
          <t>Naturgy</t>
        </is>
      </c>
      <c r="E75" s="10">
        <f>'Detalle'!B1190</f>
        <v/>
      </c>
      <c r="F75" s="11">
        <f>'Detalle'!D1190</f>
        <v/>
      </c>
      <c r="G75" s="12" t="n">
        <v>0.0538</v>
      </c>
      <c r="H75" s="13" t="n">
        <v>609.46</v>
      </c>
      <c r="I75" s="14">
        <f>IF('Detalle'!B1190="","Falta PC real",IF('Detalle'!B1190&gt;=0.3,"OK · registrar",IF('Detalle'!B1190&gt;=0.2,"Revisar margen","Revisar PC/PV")))</f>
        <v/>
      </c>
      <c r="K75">
        <f>'Detalle'!AD1190</f>
        <v/>
      </c>
    </row>
    <row r="76">
      <c r="A76" s="8" t="n">
        <v>8651</v>
      </c>
      <c r="B76" s="8" t="inlineStr">
        <is>
          <t>C02160</t>
        </is>
      </c>
      <c r="C76" s="9" t="inlineStr">
        <is>
          <t>CASA LILI SL (V)</t>
        </is>
      </c>
      <c r="D76" s="8" t="inlineStr">
        <is>
          <t>Naturgy</t>
        </is>
      </c>
      <c r="E76" s="10">
        <f>'Detalle'!B1209</f>
        <v/>
      </c>
      <c r="F76" s="11">
        <f>'Detalle'!D1209</f>
        <v/>
      </c>
      <c r="G76" s="12" t="n">
        <v>0.3125</v>
      </c>
      <c r="H76" s="13" t="n">
        <v>2035.12</v>
      </c>
      <c r="I76" s="14">
        <f>IF('Detalle'!B1209="","Falta PC real",IF('Detalle'!B1209&gt;=0.3,"OK · registrar",IF('Detalle'!B1209&gt;=0.2,"Revisar margen","Revisar PC/PV")))</f>
        <v/>
      </c>
      <c r="K76">
        <f>'Detalle'!AD1209</f>
        <v/>
      </c>
    </row>
    <row r="77">
      <c r="A77" s="8" t="n">
        <v>8653</v>
      </c>
      <c r="B77" s="8" t="inlineStr">
        <is>
          <t>C02190</t>
        </is>
      </c>
      <c r="C77" s="9" t="inlineStr">
        <is>
          <t>TAIRÉ VERA</t>
        </is>
      </c>
      <c r="D77" s="8" t="inlineStr">
        <is>
          <t>Naturgy</t>
        </is>
      </c>
      <c r="E77" s="10">
        <f>'Detalle'!B1223</f>
        <v/>
      </c>
      <c r="F77" s="11">
        <f>'Detalle'!D1223</f>
        <v/>
      </c>
      <c r="G77" s="12" t="n">
        <v>0.1189</v>
      </c>
      <c r="H77" s="13" t="n">
        <v>597.6799999999999</v>
      </c>
      <c r="I77" s="14">
        <f>IF('Detalle'!B1223="","Falta PC real",IF('Detalle'!B1223&gt;=0.3,"OK · registrar",IF('Detalle'!B1223&gt;=0.2,"Revisar margen","Revisar PC/PV")))</f>
        <v/>
      </c>
      <c r="K77">
        <f>'Detalle'!AD1223</f>
        <v/>
      </c>
    </row>
    <row r="78">
      <c r="A78" s="8" t="n">
        <v>8655</v>
      </c>
      <c r="B78" s="8" t="inlineStr">
        <is>
          <t>C02240</t>
        </is>
      </c>
      <c r="C78" s="9" t="inlineStr">
        <is>
          <t>SANDRA GONZALEZ LECHUGA</t>
        </is>
      </c>
      <c r="D78" s="8" t="inlineStr">
        <is>
          <t>Naturgy</t>
        </is>
      </c>
      <c r="E78" s="10">
        <f>'Detalle'!B1237</f>
        <v/>
      </c>
      <c r="F78" s="11">
        <f>'Detalle'!D1237</f>
        <v/>
      </c>
      <c r="G78" s="12" t="n">
        <v>-0.1267</v>
      </c>
      <c r="H78" s="13" t="n">
        <v>194.94</v>
      </c>
      <c r="I78" s="14">
        <f>IF('Detalle'!B1237="","Falta PC real",IF('Detalle'!B1237&gt;=0.3,"OK · registrar",IF('Detalle'!B1237&gt;=0.2,"Revisar margen","Revisar PC/PV")))</f>
        <v/>
      </c>
      <c r="K78">
        <f>'Detalle'!AD1237</f>
        <v/>
      </c>
    </row>
    <row r="79">
      <c r="A79" s="8" t="n">
        <v>8656</v>
      </c>
      <c r="B79" s="8" t="inlineStr">
        <is>
          <t>C02340</t>
        </is>
      </c>
      <c r="C79" s="9" t="inlineStr">
        <is>
          <t>PRISCILA WELTER CARRASCO</t>
        </is>
      </c>
      <c r="D79" s="8" t="inlineStr">
        <is>
          <t>Naturgy</t>
        </is>
      </c>
      <c r="E79" s="10">
        <f>'Detalle'!B1251</f>
        <v/>
      </c>
      <c r="F79" s="11">
        <f>'Detalle'!D1251</f>
        <v/>
      </c>
      <c r="G79" s="12" t="n">
        <v>-0.017</v>
      </c>
      <c r="H79" s="13" t="n">
        <v>1439.26</v>
      </c>
      <c r="I79" s="14">
        <f>IF('Detalle'!B1251="","Falta PC real",IF('Detalle'!B1251&gt;=0.3,"OK · registrar",IF('Detalle'!B1251&gt;=0.2,"Revisar margen","Revisar PC/PV")))</f>
        <v/>
      </c>
      <c r="K79">
        <f>'Detalle'!AD1251</f>
        <v/>
      </c>
    </row>
    <row r="80">
      <c r="A80" s="8" t="n">
        <v>8657</v>
      </c>
      <c r="B80" s="8" t="inlineStr">
        <is>
          <t>C02350</t>
        </is>
      </c>
      <c r="C80" s="9" t="inlineStr">
        <is>
          <t>YANIS DAHIANA JIMENEZ JIMENEZ</t>
        </is>
      </c>
      <c r="D80" s="8" t="inlineStr">
        <is>
          <t>Naturgy</t>
        </is>
      </c>
      <c r="E80" s="10">
        <f>'Detalle'!B1265</f>
        <v/>
      </c>
      <c r="F80" s="11">
        <f>'Detalle'!D1265</f>
        <v/>
      </c>
      <c r="G80" s="12" t="n">
        <v>0.0806</v>
      </c>
      <c r="H80" s="13" t="n">
        <v>4242.23</v>
      </c>
      <c r="I80" s="14">
        <f>IF('Detalle'!B1265="","Falta PC real",IF('Detalle'!B1265&gt;=0.3,"OK · registrar",IF('Detalle'!B1265&gt;=0.2,"Revisar margen","Revisar PC/PV")))</f>
        <v/>
      </c>
      <c r="K80">
        <f>'Detalle'!AD1265</f>
        <v/>
      </c>
    </row>
    <row r="81">
      <c r="A81" s="8" t="n">
        <v>8658</v>
      </c>
      <c r="B81" s="8" t="inlineStr">
        <is>
          <t>C02380</t>
        </is>
      </c>
      <c r="C81" s="9" t="inlineStr">
        <is>
          <t>FORMATGES MÓNICA</t>
        </is>
      </c>
      <c r="D81" s="8" t="inlineStr">
        <is>
          <t>Naturgy</t>
        </is>
      </c>
      <c r="E81" s="10">
        <f>'Detalle'!B1279</f>
        <v/>
      </c>
      <c r="F81" s="11">
        <f>'Detalle'!D1279</f>
        <v/>
      </c>
      <c r="G81" s="12" t="n">
        <v>0.3502</v>
      </c>
      <c r="H81" s="13" t="n">
        <v>944.84</v>
      </c>
      <c r="I81" s="14">
        <f>IF('Detalle'!B1279="","Falta PC real",IF('Detalle'!B1279&gt;=0.3,"OK · registrar",IF('Detalle'!B1279&gt;=0.2,"Revisar margen","Revisar PC/PV")))</f>
        <v/>
      </c>
      <c r="K81">
        <f>'Detalle'!AD1279</f>
        <v/>
      </c>
    </row>
    <row r="82">
      <c r="A82" s="8" t="n">
        <v>8659</v>
      </c>
      <c r="B82" s="8" t="inlineStr">
        <is>
          <t>C02400</t>
        </is>
      </c>
      <c r="C82" s="9" t="inlineStr">
        <is>
          <t>MARUJA CHOLBI PUIG</t>
        </is>
      </c>
      <c r="D82" s="8" t="inlineStr">
        <is>
          <t>Naturgy</t>
        </is>
      </c>
      <c r="E82" s="10">
        <f>'Detalle'!B1293</f>
        <v/>
      </c>
      <c r="F82" s="11">
        <f>'Detalle'!D1293</f>
        <v/>
      </c>
      <c r="G82" s="12" t="n">
        <v>0.2926</v>
      </c>
      <c r="H82" s="13" t="n">
        <v>416.78</v>
      </c>
      <c r="I82" s="14">
        <f>IF('Detalle'!B1293="","Falta PC real",IF('Detalle'!B1293&gt;=0.3,"OK · registrar",IF('Detalle'!B1293&gt;=0.2,"Revisar margen","Revisar PC/PV")))</f>
        <v/>
      </c>
      <c r="K82">
        <f>'Detalle'!AD1293</f>
        <v/>
      </c>
    </row>
    <row r="83">
      <c r="A83" s="8" t="n">
        <v>8660</v>
      </c>
      <c r="B83" s="8" t="inlineStr">
        <is>
          <t>C02420</t>
        </is>
      </c>
      <c r="C83" s="9" t="inlineStr">
        <is>
          <t>KHALID EL JEBLI</t>
        </is>
      </c>
      <c r="D83" s="8" t="inlineStr">
        <is>
          <t>Naturgy</t>
        </is>
      </c>
      <c r="E83" s="10">
        <f>'Detalle'!B1307</f>
        <v/>
      </c>
      <c r="F83" s="11">
        <f>'Detalle'!D1307</f>
        <v/>
      </c>
      <c r="G83" s="12" t="n">
        <v>0.2427</v>
      </c>
      <c r="H83" s="13" t="n">
        <v>1451.67</v>
      </c>
      <c r="I83" s="14">
        <f>IF('Detalle'!B1307="","Falta PC real",IF('Detalle'!B1307&gt;=0.3,"OK · registrar",IF('Detalle'!B1307&gt;=0.2,"Revisar margen","Revisar PC/PV")))</f>
        <v/>
      </c>
      <c r="K83">
        <f>'Detalle'!AD1307</f>
        <v/>
      </c>
    </row>
    <row r="84">
      <c r="A84" s="8" t="n">
        <v>8662</v>
      </c>
      <c r="B84" s="8" t="inlineStr">
        <is>
          <t>C02470</t>
        </is>
      </c>
      <c r="C84" s="9" t="inlineStr">
        <is>
          <t>TALLER SENDRA CUELLO, S.L.</t>
        </is>
      </c>
      <c r="D84" s="8" t="inlineStr">
        <is>
          <t>Naturgy</t>
        </is>
      </c>
      <c r="E84" s="10">
        <f>'Detalle'!B1321</f>
        <v/>
      </c>
      <c r="F84" s="11">
        <f>'Detalle'!D1321</f>
        <v/>
      </c>
      <c r="G84" s="12" t="n">
        <v>0.2053</v>
      </c>
      <c r="H84" s="13" t="n">
        <v>338.33</v>
      </c>
      <c r="I84" s="14">
        <f>IF('Detalle'!B1321="","Falta PC real",IF('Detalle'!B1321&gt;=0.3,"OK · registrar",IF('Detalle'!B1321&gt;=0.2,"Revisar margen","Revisar PC/PV")))</f>
        <v/>
      </c>
      <c r="K84">
        <f>'Detalle'!AD1321</f>
        <v/>
      </c>
    </row>
    <row r="85">
      <c r="A85" s="8" t="n">
        <v>8663</v>
      </c>
      <c r="B85" s="8" t="inlineStr">
        <is>
          <t>C02510</t>
        </is>
      </c>
      <c r="C85" s="9" t="inlineStr">
        <is>
          <t>ANTONIO LLIDO ESPASA</t>
        </is>
      </c>
      <c r="D85" s="8" t="inlineStr">
        <is>
          <t>Naturgy</t>
        </is>
      </c>
      <c r="E85" s="10">
        <f>'Detalle'!B1335</f>
        <v/>
      </c>
      <c r="F85" s="11">
        <f>'Detalle'!D1335</f>
        <v/>
      </c>
      <c r="G85" s="12" t="n">
        <v>0.1704</v>
      </c>
      <c r="H85" s="13" t="n">
        <v>233.61</v>
      </c>
      <c r="I85" s="14">
        <f>IF('Detalle'!B1335="","Falta PC real",IF('Detalle'!B1335&gt;=0.3,"OK · registrar",IF('Detalle'!B1335&gt;=0.2,"Revisar margen","Revisar PC/PV")))</f>
        <v/>
      </c>
      <c r="K85">
        <f>'Detalle'!AD1335</f>
        <v/>
      </c>
    </row>
    <row r="86">
      <c r="A86" s="8" t="n">
        <v>8665</v>
      </c>
      <c r="B86" s="8" t="inlineStr">
        <is>
          <t>C02530</t>
        </is>
      </c>
      <c r="C86" s="9" t="inlineStr">
        <is>
          <t>JUAN SANCHEZ RONDA</t>
        </is>
      </c>
      <c r="D86" s="8" t="inlineStr">
        <is>
          <t>Naturgy</t>
        </is>
      </c>
      <c r="E86" s="10">
        <f>'Detalle'!B1349</f>
        <v/>
      </c>
      <c r="F86" s="11">
        <f>'Detalle'!D1349</f>
        <v/>
      </c>
      <c r="G86" s="12" t="n">
        <v>0.1939</v>
      </c>
      <c r="H86" s="13" t="n">
        <v>274.94</v>
      </c>
      <c r="I86" s="14">
        <f>IF('Detalle'!B1349="","Falta PC real",IF('Detalle'!B1349&gt;=0.3,"OK · registrar",IF('Detalle'!B1349&gt;=0.2,"Revisar margen","Revisar PC/PV")))</f>
        <v/>
      </c>
      <c r="K86">
        <f>'Detalle'!AD1349</f>
        <v/>
      </c>
    </row>
    <row r="87">
      <c r="A87" s="8" t="n">
        <v>8666</v>
      </c>
      <c r="B87" s="8" t="inlineStr">
        <is>
          <t>C02540</t>
        </is>
      </c>
      <c r="C87" s="9" t="inlineStr">
        <is>
          <t>TERESA MENGUAL ALBEROLA</t>
        </is>
      </c>
      <c r="D87" s="8" t="inlineStr">
        <is>
          <t>Naturgy</t>
        </is>
      </c>
      <c r="E87" s="10">
        <f>'Detalle'!B1363</f>
        <v/>
      </c>
      <c r="F87" s="11">
        <f>'Detalle'!D1363</f>
        <v/>
      </c>
      <c r="G87" s="12" t="n">
        <v>0.2397</v>
      </c>
      <c r="H87" s="13" t="n">
        <v>167.54</v>
      </c>
      <c r="I87" s="14">
        <f>IF('Detalle'!B1363="","Falta PC real",IF('Detalle'!B1363&gt;=0.3,"OK · registrar",IF('Detalle'!B1363&gt;=0.2,"Revisar margen","Revisar PC/PV")))</f>
        <v/>
      </c>
      <c r="K87">
        <f>'Detalle'!AD1363</f>
        <v/>
      </c>
    </row>
    <row r="88">
      <c r="A88" s="8" t="n">
        <v>8667</v>
      </c>
      <c r="B88" s="8" t="inlineStr">
        <is>
          <t>C02560</t>
        </is>
      </c>
      <c r="C88" s="9" t="inlineStr">
        <is>
          <t>PEDRO IVARS TRO 2018, S.L.</t>
        </is>
      </c>
      <c r="D88" s="8" t="inlineStr">
        <is>
          <t>Naturgy</t>
        </is>
      </c>
      <c r="E88" s="10">
        <f>'Detalle'!B1377</f>
        <v/>
      </c>
      <c r="F88" s="11">
        <f>'Detalle'!D1377</f>
        <v/>
      </c>
      <c r="G88" s="12" t="n">
        <v>0.354</v>
      </c>
      <c r="H88" s="13" t="n">
        <v>452.94</v>
      </c>
      <c r="I88" s="14">
        <f>IF('Detalle'!B1377="","Falta PC real",IF('Detalle'!B1377&gt;=0.3,"OK · registrar",IF('Detalle'!B1377&gt;=0.2,"Revisar margen","Revisar PC/PV")))</f>
        <v/>
      </c>
      <c r="K88">
        <f>'Detalle'!AD1377</f>
        <v/>
      </c>
    </row>
    <row r="89">
      <c r="A89" s="8" t="n">
        <v>8670</v>
      </c>
      <c r="B89" s="8" t="inlineStr">
        <is>
          <t>C02610</t>
        </is>
      </c>
      <c r="C89" s="9" t="inlineStr">
        <is>
          <t>VEHICULOS ANDRADA, S.L.</t>
        </is>
      </c>
      <c r="D89" s="8" t="inlineStr">
        <is>
          <t>Naturgy</t>
        </is>
      </c>
      <c r="E89" s="10">
        <f>'Detalle'!B1391</f>
        <v/>
      </c>
      <c r="F89" s="11">
        <f>'Detalle'!D1391</f>
        <v/>
      </c>
      <c r="G89" s="12" t="n">
        <v>0.28</v>
      </c>
      <c r="H89" s="13" t="n">
        <v>563.4299999999999</v>
      </c>
      <c r="I89" s="14">
        <f>IF('Detalle'!B1391="","Falta PC real",IF('Detalle'!B1391&gt;=0.3,"OK · registrar",IF('Detalle'!B1391&gt;=0.2,"Revisar margen","Revisar PC/PV")))</f>
        <v/>
      </c>
      <c r="K89">
        <f>'Detalle'!AD1391</f>
        <v/>
      </c>
    </row>
    <row r="90">
      <c r="A90" s="8" t="n">
        <v>8671</v>
      </c>
      <c r="B90" s="8" t="inlineStr">
        <is>
          <t>C02630</t>
        </is>
      </c>
      <c r="C90" s="9" t="inlineStr">
        <is>
          <t>AUTOCENTER MARINA ALTA S.L.</t>
        </is>
      </c>
      <c r="D90" s="8" t="inlineStr">
        <is>
          <t>Naturgy</t>
        </is>
      </c>
      <c r="E90" s="10">
        <f>'Detalle'!B1405</f>
        <v/>
      </c>
      <c r="F90" s="11">
        <f>'Detalle'!D1405</f>
        <v/>
      </c>
      <c r="G90" s="12" t="n">
        <v>0.2041</v>
      </c>
      <c r="H90" s="13" t="n">
        <v>145.2</v>
      </c>
      <c r="I90" s="14">
        <f>IF('Detalle'!B1405="","Falta PC real",IF('Detalle'!B1405&gt;=0.3,"OK · registrar",IF('Detalle'!B1405&gt;=0.2,"Revisar margen","Revisar PC/PV")))</f>
        <v/>
      </c>
      <c r="K90">
        <f>'Detalle'!AD1405</f>
        <v/>
      </c>
    </row>
    <row r="91">
      <c r="A91" s="8" t="n">
        <v>8672</v>
      </c>
      <c r="B91" s="8" t="inlineStr">
        <is>
          <t>C02640</t>
        </is>
      </c>
      <c r="C91" s="9" t="inlineStr">
        <is>
          <t>JUAN CARLOS HERNANDEZ MELERO</t>
        </is>
      </c>
      <c r="D91" s="8" t="inlineStr">
        <is>
          <t>Naturgy</t>
        </is>
      </c>
      <c r="E91" s="10">
        <f>'Detalle'!B1419</f>
        <v/>
      </c>
      <c r="F91" s="11">
        <f>'Detalle'!D1419</f>
        <v/>
      </c>
      <c r="G91" s="9" t="n"/>
      <c r="H91" s="9" t="n"/>
      <c r="I91" s="14">
        <f>IF('Detalle'!B1419="","Falta PC real",IF('Detalle'!B1419&gt;=0.3,"OK · registrar",IF('Detalle'!B1419&gt;=0.2,"Revisar margen","Revisar PC/PV")))</f>
        <v/>
      </c>
      <c r="K91">
        <f>'Detalle'!AD1419</f>
        <v/>
      </c>
    </row>
    <row r="92">
      <c r="A92" s="8" t="n">
        <v>8674</v>
      </c>
      <c r="B92" s="8" t="inlineStr">
        <is>
          <t>C02680</t>
        </is>
      </c>
      <c r="C92" s="9" t="inlineStr">
        <is>
          <t>ALVARO DAVID OCHOA BIOSCA</t>
        </is>
      </c>
      <c r="D92" s="8" t="inlineStr">
        <is>
          <t>Naturgy</t>
        </is>
      </c>
      <c r="E92" s="10">
        <f>'Detalle'!B1433</f>
        <v/>
      </c>
      <c r="F92" s="11">
        <f>'Detalle'!D1433</f>
        <v/>
      </c>
      <c r="G92" s="12" t="n">
        <v>1</v>
      </c>
      <c r="H92" s="13" t="n">
        <v>2.65</v>
      </c>
      <c r="I92" s="14">
        <f>IF('Detalle'!B1433="","Falta PC real",IF('Detalle'!B1433&gt;=0.3,"OK · registrar",IF('Detalle'!B1433&gt;=0.2,"Revisar margen","Revisar PC/PV")))</f>
        <v/>
      </c>
      <c r="K92">
        <f>'Detalle'!AD1433</f>
        <v/>
      </c>
    </row>
    <row r="93">
      <c r="A93" s="8" t="n">
        <v>8676</v>
      </c>
      <c r="B93" s="8" t="inlineStr">
        <is>
          <t>C02710</t>
        </is>
      </c>
      <c r="C93" s="9" t="inlineStr">
        <is>
          <t>CASA LILI S.L. AUTOS (EXPOSICIÓN)</t>
        </is>
      </c>
      <c r="D93" s="8" t="inlineStr">
        <is>
          <t>Naturgy</t>
        </is>
      </c>
      <c r="E93" s="10">
        <f>'Detalle'!B1447</f>
        <v/>
      </c>
      <c r="F93" s="11">
        <f>'Detalle'!D1447</f>
        <v/>
      </c>
      <c r="G93" s="12" t="n">
        <v>1</v>
      </c>
      <c r="H93" s="13" t="n">
        <v>3.77</v>
      </c>
      <c r="I93" s="14">
        <f>IF('Detalle'!B1447="","Falta PC real",IF('Detalle'!B1447&gt;=0.3,"OK · registrar",IF('Detalle'!B1447&gt;=0.2,"Revisar margen","Revisar PC/PV")))</f>
        <v/>
      </c>
      <c r="K93">
        <f>'Detalle'!AD1447</f>
        <v/>
      </c>
    </row>
    <row r="94">
      <c r="A94" s="8" t="n">
        <v>8677</v>
      </c>
      <c r="B94" s="8" t="inlineStr">
        <is>
          <t>C02740</t>
        </is>
      </c>
      <c r="C94" s="9" t="inlineStr">
        <is>
          <t>FRANCISCO DANIEL GUIJARRO ORTEGA</t>
        </is>
      </c>
      <c r="D94" s="8" t="inlineStr">
        <is>
          <t>Naturgy</t>
        </is>
      </c>
      <c r="E94" s="10">
        <f>'Detalle'!B1461</f>
        <v/>
      </c>
      <c r="F94" s="11">
        <f>'Detalle'!D1461</f>
        <v/>
      </c>
      <c r="G94" s="12" t="n">
        <v>1</v>
      </c>
      <c r="H94" s="13" t="n">
        <v>3.17</v>
      </c>
      <c r="I94" s="14">
        <f>IF('Detalle'!B1461="","Falta PC real",IF('Detalle'!B1461&gt;=0.3,"OK · registrar",IF('Detalle'!B1461&gt;=0.2,"Revisar margen","Revisar PC/PV")))</f>
        <v/>
      </c>
      <c r="K94">
        <f>'Detalle'!AD1461</f>
        <v/>
      </c>
    </row>
    <row r="95">
      <c r="A95" s="8" t="n">
        <v>8678</v>
      </c>
      <c r="B95" s="8" t="inlineStr">
        <is>
          <t>C02760</t>
        </is>
      </c>
      <c r="C95" s="9" t="inlineStr">
        <is>
          <t>ISABEL RAMIREZ CAPDEVILA</t>
        </is>
      </c>
      <c r="D95" s="8" t="inlineStr">
        <is>
          <t>Naturgy</t>
        </is>
      </c>
      <c r="E95" s="10">
        <f>'Detalle'!B1475</f>
        <v/>
      </c>
      <c r="F95" s="11">
        <f>'Detalle'!D1475</f>
        <v/>
      </c>
      <c r="G95" s="12" t="n">
        <v>1</v>
      </c>
      <c r="H95" s="13" t="n">
        <v>3.07</v>
      </c>
      <c r="I95" s="14">
        <f>IF('Detalle'!B1475="","Falta PC real",IF('Detalle'!B1475&gt;=0.3,"OK · registrar",IF('Detalle'!B1475&gt;=0.2,"Revisar margen","Revisar PC/PV")))</f>
        <v/>
      </c>
      <c r="K95">
        <f>'Detalle'!AD1475</f>
        <v/>
      </c>
    </row>
    <row r="96">
      <c r="A96" s="8" t="n">
        <v>8679</v>
      </c>
      <c r="B96" s="8" t="inlineStr">
        <is>
          <t>C02780</t>
        </is>
      </c>
      <c r="C96" s="9" t="inlineStr">
        <is>
          <t>MARIA PILAR CATALA SANTAMARIA</t>
        </is>
      </c>
      <c r="D96" s="8" t="inlineStr">
        <is>
          <t>Naturgy</t>
        </is>
      </c>
      <c r="E96" s="10">
        <f>'Detalle'!B1489</f>
        <v/>
      </c>
      <c r="F96" s="11">
        <f>'Detalle'!D1489</f>
        <v/>
      </c>
      <c r="G96" s="12" t="n">
        <v>1</v>
      </c>
      <c r="H96" s="13" t="n">
        <v>3.15</v>
      </c>
      <c r="I96" s="14">
        <f>IF('Detalle'!B1489="","Falta PC real",IF('Detalle'!B1489&gt;=0.3,"OK · registrar",IF('Detalle'!B1489&gt;=0.2,"Revisar margen","Revisar PC/PV")))</f>
        <v/>
      </c>
      <c r="K96">
        <f>'Detalle'!AD1489</f>
        <v/>
      </c>
    </row>
    <row r="97">
      <c r="A97" s="8" t="n">
        <v>8680</v>
      </c>
      <c r="B97" s="8" t="inlineStr">
        <is>
          <t>C02800</t>
        </is>
      </c>
      <c r="C97" s="9" t="inlineStr">
        <is>
          <t>ABDESLAM LAMRANI</t>
        </is>
      </c>
      <c r="D97" s="8" t="inlineStr">
        <is>
          <t>Iberdrola</t>
        </is>
      </c>
      <c r="E97" s="10">
        <f>'Detalle'!B1503</f>
        <v/>
      </c>
      <c r="F97" s="11">
        <f>'Detalle'!D1503</f>
        <v/>
      </c>
      <c r="G97" s="9" t="n"/>
      <c r="H97" s="9" t="n"/>
      <c r="I97" s="14">
        <f>IF('Detalle'!B1503="","Falta PC real",IF('Detalle'!B1503&gt;=0.3,"OK · registrar",IF('Detalle'!B1503&gt;=0.2,"Revisar margen","Revisar PC/PV")))</f>
        <v/>
      </c>
      <c r="K97">
        <f>'Detalle'!AD1503</f>
        <v/>
      </c>
    </row>
    <row r="98">
      <c r="A98" s="8" t="n">
        <v>8681</v>
      </c>
      <c r="B98" s="8" t="inlineStr">
        <is>
          <t>C02820</t>
        </is>
      </c>
      <c r="C98" s="9" t="inlineStr">
        <is>
          <t>FRANCISCO DANIEL GUIJARRO ORTEGA</t>
        </is>
      </c>
      <c r="D98" s="8" t="inlineStr">
        <is>
          <t>Iberdrola</t>
        </is>
      </c>
      <c r="E98" s="10">
        <f>'Detalle'!B1517</f>
        <v/>
      </c>
      <c r="F98" s="11">
        <f>'Detalle'!D1517</f>
        <v/>
      </c>
      <c r="G98" s="12" t="n">
        <v>1</v>
      </c>
      <c r="H98" s="13" t="n">
        <v>1.22</v>
      </c>
      <c r="I98" s="14">
        <f>IF('Detalle'!B1517="","Falta PC real",IF('Detalle'!B1517&gt;=0.3,"OK · registrar",IF('Detalle'!B1517&gt;=0.2,"Revisar margen","Revisar PC/PV")))</f>
        <v/>
      </c>
      <c r="K98">
        <f>'Detalle'!AD1517</f>
        <v/>
      </c>
    </row>
    <row r="99">
      <c r="A99" s="8" t="n">
        <v>8682</v>
      </c>
      <c r="B99" s="8" t="inlineStr">
        <is>
          <t>C02840</t>
        </is>
      </c>
      <c r="C99" s="9" t="inlineStr">
        <is>
          <t>VICENTE BAS ALENTADO</t>
        </is>
      </c>
      <c r="D99" s="8" t="inlineStr">
        <is>
          <t>Naturgy</t>
        </is>
      </c>
      <c r="E99" s="10">
        <f>'Detalle'!B1531</f>
        <v/>
      </c>
      <c r="F99" s="11">
        <f>'Detalle'!D1531</f>
        <v/>
      </c>
      <c r="G99" s="12" t="n">
        <v>1</v>
      </c>
      <c r="H99" s="13" t="n">
        <v>3.47</v>
      </c>
      <c r="I99" s="14">
        <f>IF('Detalle'!B1531="","Falta PC real",IF('Detalle'!B1531&gt;=0.3,"OK · registrar",IF('Detalle'!B1531&gt;=0.2,"Revisar margen","Revisar PC/PV")))</f>
        <v/>
      </c>
      <c r="K99">
        <f>'Detalle'!AD1531</f>
        <v/>
      </c>
    </row>
    <row r="100">
      <c r="A100" s="8" t="n">
        <v>8683</v>
      </c>
      <c r="B100" s="8" t="inlineStr">
        <is>
          <t>C02860</t>
        </is>
      </c>
      <c r="C100" s="9" t="inlineStr">
        <is>
          <t>SALVADOR TORRES BISQUERT</t>
        </is>
      </c>
      <c r="D100" s="8" t="inlineStr">
        <is>
          <t>Naturgy</t>
        </is>
      </c>
      <c r="E100" s="10">
        <f>'Detalle'!B1545</f>
        <v/>
      </c>
      <c r="F100" s="11">
        <f>'Detalle'!D1545</f>
        <v/>
      </c>
      <c r="G100" s="12" t="n">
        <v>1</v>
      </c>
      <c r="H100" s="13" t="n">
        <v>3.75</v>
      </c>
      <c r="I100" s="14">
        <f>IF('Detalle'!B1545="","Falta PC real",IF('Detalle'!B1545&gt;=0.3,"OK · registrar",IF('Detalle'!B1545&gt;=0.2,"Revisar margen","Revisar PC/PV")))</f>
        <v/>
      </c>
      <c r="K100">
        <f>'Detalle'!AD1545</f>
        <v/>
      </c>
    </row>
    <row r="101">
      <c r="A101" s="8" t="n">
        <v>8685</v>
      </c>
      <c r="B101" s="8" t="inlineStr">
        <is>
          <t>C02920</t>
        </is>
      </c>
      <c r="C101" s="9" t="inlineStr">
        <is>
          <t>JAKUB JAN PICHOLA</t>
        </is>
      </c>
      <c r="D101" s="8" t="inlineStr">
        <is>
          <t>Naturgy</t>
        </is>
      </c>
      <c r="E101" s="10">
        <f>'Detalle'!B1559</f>
        <v/>
      </c>
      <c r="F101" s="11">
        <f>'Detalle'!D1559</f>
        <v/>
      </c>
      <c r="G101" s="12" t="n">
        <v>1</v>
      </c>
      <c r="H101" s="13" t="n">
        <v>1.24</v>
      </c>
      <c r="I101" s="14">
        <f>IF('Detalle'!B1559="","Falta PC real",IF('Detalle'!B1559&gt;=0.3,"OK · registrar",IF('Detalle'!B1559&gt;=0.2,"Revisar margen","Revisar PC/PV")))</f>
        <v/>
      </c>
      <c r="K101">
        <f>'Detalle'!AD1559</f>
        <v/>
      </c>
    </row>
    <row r="102">
      <c r="A102" s="8" t="n">
        <v>8686</v>
      </c>
      <c r="B102" s="8" t="inlineStr">
        <is>
          <t>C02930</t>
        </is>
      </c>
      <c r="C102" s="9" t="inlineStr">
        <is>
          <t>UWE HEINZ WERNER SCHMUCK</t>
        </is>
      </c>
      <c r="D102" s="8" t="inlineStr">
        <is>
          <t>Naturgy</t>
        </is>
      </c>
      <c r="E102" s="10">
        <f>'Detalle'!B1573</f>
        <v/>
      </c>
      <c r="F102" s="11">
        <f>'Detalle'!D1573</f>
        <v/>
      </c>
      <c r="G102" s="12" t="n">
        <v>1</v>
      </c>
      <c r="H102" s="13" t="n">
        <v>2.17</v>
      </c>
      <c r="I102" s="14">
        <f>IF('Detalle'!B1573="","Falta PC real",IF('Detalle'!B1573&gt;=0.3,"OK · registrar",IF('Detalle'!B1573&gt;=0.2,"Revisar margen","Revisar PC/PV")))</f>
        <v/>
      </c>
      <c r="K102">
        <f>'Detalle'!AD1573</f>
        <v/>
      </c>
    </row>
    <row r="103">
      <c r="A103" s="8" t="n">
        <v>8687</v>
      </c>
      <c r="B103" s="8" t="inlineStr">
        <is>
          <t>C02950</t>
        </is>
      </c>
      <c r="C103" s="9" t="inlineStr">
        <is>
          <t>TALLERES MARTINEZ JAVEA, S.L.</t>
        </is>
      </c>
      <c r="D103" s="8" t="inlineStr">
        <is>
          <t>Naturgy</t>
        </is>
      </c>
      <c r="E103" s="10">
        <f>'Detalle'!B1587</f>
        <v/>
      </c>
      <c r="F103" s="11">
        <f>'Detalle'!D1587</f>
        <v/>
      </c>
      <c r="G103" s="12" t="n">
        <v>1</v>
      </c>
      <c r="H103" s="13" t="n">
        <v>-2.42</v>
      </c>
      <c r="I103" s="14">
        <f>IF('Detalle'!B1587="","Falta PC real",IF('Detalle'!B1587&gt;=0.3,"OK · registrar",IF('Detalle'!B1587&gt;=0.2,"Revisar margen","Revisar PC/PV")))</f>
        <v/>
      </c>
      <c r="K103">
        <f>'Detalle'!AD1587</f>
        <v/>
      </c>
    </row>
    <row r="104">
      <c r="A104" s="8" t="n">
        <v>8688</v>
      </c>
      <c r="B104" s="8" t="inlineStr">
        <is>
          <t>C02960</t>
        </is>
      </c>
      <c r="C104" s="9" t="inlineStr">
        <is>
          <t>FRANK CLEMENT</t>
        </is>
      </c>
      <c r="D104" s="8" t="inlineStr">
        <is>
          <t>Naturgy</t>
        </is>
      </c>
      <c r="E104" s="10">
        <f>'Detalle'!B1601</f>
        <v/>
      </c>
      <c r="F104" s="11">
        <f>'Detalle'!D1601</f>
        <v/>
      </c>
      <c r="G104" s="12" t="n">
        <v>1</v>
      </c>
      <c r="H104" s="13" t="n">
        <v>2.19</v>
      </c>
      <c r="I104" s="14">
        <f>IF('Detalle'!B1601="","Falta PC real",IF('Detalle'!B1601&gt;=0.3,"OK · registrar",IF('Detalle'!B1601&gt;=0.2,"Revisar margen","Revisar PC/PV")))</f>
        <v/>
      </c>
      <c r="K104">
        <f>'Detalle'!AD1601</f>
        <v/>
      </c>
    </row>
    <row r="105">
      <c r="A105" s="8" t="n">
        <v>8689</v>
      </c>
      <c r="B105" s="8" t="inlineStr">
        <is>
          <t>C02970</t>
        </is>
      </c>
      <c r="C105" s="9" t="inlineStr">
        <is>
          <t>SARA HERMINA NIJENHUIJS GREVE</t>
        </is>
      </c>
      <c r="D105" s="8" t="inlineStr">
        <is>
          <t>Iberdrola</t>
        </is>
      </c>
      <c r="E105" s="10">
        <f>'Detalle'!B1615</f>
        <v/>
      </c>
      <c r="F105" s="11">
        <f>'Detalle'!D1615</f>
        <v/>
      </c>
      <c r="G105" s="12" t="n">
        <v>1</v>
      </c>
      <c r="H105" s="13" t="n">
        <v>-0.04</v>
      </c>
      <c r="I105" s="14">
        <f>IF('Detalle'!B1615="","Falta PC real",IF('Detalle'!B1615&gt;=0.3,"OK · registrar",IF('Detalle'!B1615&gt;=0.2,"Revisar margen","Revisar PC/PV")))</f>
        <v/>
      </c>
      <c r="K105">
        <f>'Detalle'!AD1615</f>
        <v/>
      </c>
    </row>
    <row r="106">
      <c r="A106" s="8" t="n">
        <v>8690</v>
      </c>
      <c r="B106" s="8" t="inlineStr">
        <is>
          <t>C02990</t>
        </is>
      </c>
      <c r="C106" s="9" t="inlineStr">
        <is>
          <t>AMARE BOTEGA SL</t>
        </is>
      </c>
      <c r="D106" s="8" t="inlineStr">
        <is>
          <t>Naturgy</t>
        </is>
      </c>
      <c r="E106" s="10">
        <f>'Detalle'!B1634</f>
        <v/>
      </c>
      <c r="F106" s="11">
        <f>'Detalle'!D1634</f>
        <v/>
      </c>
      <c r="G106" s="12" t="n">
        <v>1</v>
      </c>
      <c r="H106" s="13" t="n">
        <v>1.71</v>
      </c>
      <c r="I106" s="14">
        <f>IF('Detalle'!B1634="","Falta PC real",IF('Detalle'!B1634&gt;=0.3,"OK · registrar",IF('Detalle'!B1634&gt;=0.2,"Revisar margen","Revisar PC/PV")))</f>
        <v/>
      </c>
      <c r="K106">
        <f>'Detalle'!AD1634</f>
        <v/>
      </c>
    </row>
    <row r="107">
      <c r="A107" s="8" t="n">
        <v>8692</v>
      </c>
      <c r="B107" s="8" t="inlineStr">
        <is>
          <t>C03030</t>
        </is>
      </c>
      <c r="C107" s="9" t="inlineStr">
        <is>
          <t>JUAN MANUEL CAMACHO GONZALEZ</t>
        </is>
      </c>
      <c r="D107" s="8" t="inlineStr">
        <is>
          <t>Iberdrola</t>
        </is>
      </c>
      <c r="E107" s="10">
        <f>'Detalle'!B1648</f>
        <v/>
      </c>
      <c r="F107" s="11">
        <f>'Detalle'!D1648</f>
        <v/>
      </c>
      <c r="G107" s="12" t="n">
        <v>1</v>
      </c>
      <c r="H107" s="13" t="n">
        <v>1.27</v>
      </c>
      <c r="I107" s="14">
        <f>IF('Detalle'!B1648="","Falta PC real",IF('Detalle'!B1648&gt;=0.3,"OK · registrar",IF('Detalle'!B1648&gt;=0.2,"Revisar margen","Revisar PC/PV")))</f>
        <v/>
      </c>
      <c r="K107">
        <f>'Detalle'!AD1648</f>
        <v/>
      </c>
    </row>
    <row r="108">
      <c r="A108" s="8" t="n">
        <v>8693</v>
      </c>
      <c r="B108" s="8" t="inlineStr">
        <is>
          <t>C03040</t>
        </is>
      </c>
      <c r="C108" s="9" t="inlineStr">
        <is>
          <t>JUAN MANUEL CAMACHO GONZALEZ</t>
        </is>
      </c>
      <c r="D108" s="8" t="inlineStr">
        <is>
          <t>Naturgy</t>
        </is>
      </c>
      <c r="E108" s="10">
        <f>'Detalle'!B1662</f>
        <v/>
      </c>
      <c r="F108" s="11">
        <f>'Detalle'!D1662</f>
        <v/>
      </c>
      <c r="G108" s="12" t="n">
        <v>1</v>
      </c>
      <c r="H108" s="13" t="n">
        <v>1.2</v>
      </c>
      <c r="I108" s="14">
        <f>IF('Detalle'!B1662="","Falta PC real",IF('Detalle'!B1662&gt;=0.3,"OK · registrar",IF('Detalle'!B1662&gt;=0.2,"Revisar margen","Revisar PC/PV")))</f>
        <v/>
      </c>
      <c r="K108">
        <f>'Detalle'!AD1662</f>
        <v/>
      </c>
    </row>
    <row r="109">
      <c r="A109" s="8" t="n">
        <v>8694</v>
      </c>
      <c r="B109" s="8" t="inlineStr">
        <is>
          <t>C03050</t>
        </is>
      </c>
      <c r="C109" s="9" t="inlineStr">
        <is>
          <t>JAN ANDERS ANSEHN</t>
        </is>
      </c>
      <c r="D109" s="8" t="inlineStr">
        <is>
          <t>Naturgy</t>
        </is>
      </c>
      <c r="E109" s="10">
        <f>'Detalle'!B1676</f>
        <v/>
      </c>
      <c r="F109" s="11">
        <f>'Detalle'!D1676</f>
        <v/>
      </c>
      <c r="G109" s="12" t="n">
        <v>1</v>
      </c>
      <c r="H109" s="13" t="n">
        <v>1.77</v>
      </c>
      <c r="I109" s="14">
        <f>IF('Detalle'!B1676="","Falta PC real",IF('Detalle'!B1676&gt;=0.3,"OK · registrar",IF('Detalle'!B1676&gt;=0.2,"Revisar margen","Revisar PC/PV")))</f>
        <v/>
      </c>
      <c r="K109">
        <f>'Detalle'!AD1676</f>
        <v/>
      </c>
    </row>
    <row r="110">
      <c r="A110" s="8" t="n">
        <v>8695</v>
      </c>
      <c r="B110" s="8" t="inlineStr">
        <is>
          <t>C03060</t>
        </is>
      </c>
      <c r="C110" s="9" t="inlineStr">
        <is>
          <t>MARIA TERESA PONS DEVESA</t>
        </is>
      </c>
      <c r="D110" s="8" t="inlineStr">
        <is>
          <t>Naturgy</t>
        </is>
      </c>
      <c r="E110" s="10">
        <f>'Detalle'!B1690</f>
        <v/>
      </c>
      <c r="F110" s="11">
        <f>'Detalle'!D1690</f>
        <v/>
      </c>
      <c r="G110" s="12" t="n">
        <v>1</v>
      </c>
      <c r="H110" s="13" t="n">
        <v>1.43</v>
      </c>
      <c r="I110" s="14">
        <f>IF('Detalle'!B1690="","Falta PC real",IF('Detalle'!B1690&gt;=0.3,"OK · registrar",IF('Detalle'!B1690&gt;=0.2,"Revisar margen","Revisar PC/PV")))</f>
        <v/>
      </c>
      <c r="K110">
        <f>'Detalle'!AD1690</f>
        <v/>
      </c>
    </row>
    <row r="111">
      <c r="A111" s="8" t="n">
        <v>8696</v>
      </c>
      <c r="B111" s="8" t="inlineStr">
        <is>
          <t>C03070</t>
        </is>
      </c>
      <c r="C111" s="9" t="inlineStr">
        <is>
          <t>CONGLI WANG</t>
        </is>
      </c>
      <c r="D111" s="8" t="inlineStr">
        <is>
          <t>Naturgy</t>
        </is>
      </c>
      <c r="E111" s="10">
        <f>'Detalle'!B1704</f>
        <v/>
      </c>
      <c r="F111" s="11">
        <f>'Detalle'!D1704</f>
        <v/>
      </c>
      <c r="G111" s="12" t="n">
        <v>1</v>
      </c>
      <c r="H111" s="13" t="n">
        <v>1.01</v>
      </c>
      <c r="I111" s="14">
        <f>IF('Detalle'!B1704="","Falta PC real",IF('Detalle'!B1704&gt;=0.3,"OK · registrar",IF('Detalle'!B1704&gt;=0.2,"Revisar margen","Revisar PC/PV")))</f>
        <v/>
      </c>
      <c r="K111">
        <f>'Detalle'!AD1704</f>
        <v/>
      </c>
    </row>
    <row r="112">
      <c r="A112" s="8" t="n">
        <v>8697</v>
      </c>
      <c r="B112" s="8" t="inlineStr">
        <is>
          <t>C03110</t>
        </is>
      </c>
      <c r="C112" s="9" t="inlineStr">
        <is>
          <t>RUBÉN CAMACHO PATRICIO</t>
        </is>
      </c>
      <c r="D112" s="8" t="inlineStr">
        <is>
          <t>Naturgy</t>
        </is>
      </c>
      <c r="E112" s="10">
        <f>'Detalle'!B1718</f>
        <v/>
      </c>
      <c r="F112" s="11">
        <f>'Detalle'!D1718</f>
        <v/>
      </c>
      <c r="G112" s="12" t="n">
        <v>1</v>
      </c>
      <c r="H112" s="13" t="n">
        <v>-0.06</v>
      </c>
      <c r="I112" s="14">
        <f>IF('Detalle'!B1718="","Falta PC real",IF('Detalle'!B1718&gt;=0.3,"OK · registrar",IF('Detalle'!B1718&gt;=0.2,"Revisar margen","Revisar PC/PV")))</f>
        <v/>
      </c>
      <c r="K112">
        <f>'Detalle'!AD1718</f>
        <v/>
      </c>
    </row>
    <row r="113">
      <c r="A113" s="8" t="n">
        <v>8698</v>
      </c>
      <c r="B113" s="8" t="inlineStr">
        <is>
          <t>C03130</t>
        </is>
      </c>
      <c r="C113" s="9" t="inlineStr">
        <is>
          <t>MARCELLO RAUCCI</t>
        </is>
      </c>
      <c r="D113" s="8" t="inlineStr">
        <is>
          <t>Naturgy</t>
        </is>
      </c>
      <c r="E113" s="10">
        <f>'Detalle'!B1732</f>
        <v/>
      </c>
      <c r="F113" s="11">
        <f>'Detalle'!D1732</f>
        <v/>
      </c>
      <c r="G113" s="12" t="n">
        <v>1</v>
      </c>
      <c r="H113" s="13" t="n">
        <v>1.93</v>
      </c>
      <c r="I113" s="14">
        <f>IF('Detalle'!B1732="","Falta PC real",IF('Detalle'!B1732&gt;=0.3,"OK · registrar",IF('Detalle'!B1732&gt;=0.2,"Revisar margen","Revisar PC/PV")))</f>
        <v/>
      </c>
      <c r="K113">
        <f>'Detalle'!AD1732</f>
        <v/>
      </c>
    </row>
    <row r="114">
      <c r="A114" s="8" t="n">
        <v>8702</v>
      </c>
      <c r="B114" s="8" t="inlineStr">
        <is>
          <t>C03170</t>
        </is>
      </c>
      <c r="C114" s="9" t="inlineStr">
        <is>
          <t>THOMAS CHRISTIAAN GREVE</t>
        </is>
      </c>
      <c r="D114" s="8" t="inlineStr">
        <is>
          <t>Naturgy</t>
        </is>
      </c>
      <c r="E114" s="10">
        <f>'Detalle'!B1751</f>
        <v/>
      </c>
      <c r="F114" s="11">
        <f>'Detalle'!D1751</f>
        <v/>
      </c>
      <c r="G114" s="12" t="n">
        <v>1</v>
      </c>
      <c r="H114" s="13" t="n">
        <v>1.42</v>
      </c>
      <c r="I114" s="14">
        <f>IF('Detalle'!B1751="","Falta PC real",IF('Detalle'!B1751&gt;=0.3,"OK · registrar",IF('Detalle'!B1751&gt;=0.2,"Revisar margen","Revisar PC/PV")))</f>
        <v/>
      </c>
      <c r="K114">
        <f>'Detalle'!AD1751</f>
        <v/>
      </c>
    </row>
    <row r="115">
      <c r="A115" s="8" t="n">
        <v>8703</v>
      </c>
      <c r="B115" s="8" t="inlineStr">
        <is>
          <t>C03180</t>
        </is>
      </c>
      <c r="C115" s="9" t="inlineStr">
        <is>
          <t>LERWIN SANTIAGO AVENDAÑO ANDRADE</t>
        </is>
      </c>
      <c r="D115" s="8" t="inlineStr">
        <is>
          <t>Naturgy</t>
        </is>
      </c>
      <c r="E115" s="10">
        <f>'Detalle'!B1765</f>
        <v/>
      </c>
      <c r="F115" s="11">
        <f>'Detalle'!D1765</f>
        <v/>
      </c>
      <c r="G115" s="12" t="n">
        <v>1</v>
      </c>
      <c r="H115" s="13" t="n">
        <v>1.48</v>
      </c>
      <c r="I115" s="14">
        <f>IF('Detalle'!B1765="","Falta PC real",IF('Detalle'!B1765&gt;=0.3,"OK · registrar",IF('Detalle'!B1765&gt;=0.2,"Revisar margen","Revisar PC/PV")))</f>
        <v/>
      </c>
      <c r="K115">
        <f>'Detalle'!AD1765</f>
        <v/>
      </c>
    </row>
    <row r="116">
      <c r="A116" s="8" t="n">
        <v>8704</v>
      </c>
      <c r="B116" s="8" t="inlineStr">
        <is>
          <t>C03190</t>
        </is>
      </c>
      <c r="C116" s="9" t="inlineStr">
        <is>
          <t>2 HANDS FULL S.L</t>
        </is>
      </c>
      <c r="D116" s="8" t="inlineStr">
        <is>
          <t>Naturgy</t>
        </is>
      </c>
      <c r="E116" s="10">
        <f>'Detalle'!B1779</f>
        <v/>
      </c>
      <c r="F116" s="11">
        <f>'Detalle'!D1779</f>
        <v/>
      </c>
      <c r="G116" s="12" t="n">
        <v>1</v>
      </c>
      <c r="H116" s="13" t="n">
        <v>1.75</v>
      </c>
      <c r="I116" s="14">
        <f>IF('Detalle'!B1779="","Falta PC real",IF('Detalle'!B1779&gt;=0.3,"OK · registrar",IF('Detalle'!B1779&gt;=0.2,"Revisar margen","Revisar PC/PV")))</f>
        <v/>
      </c>
      <c r="K116">
        <f>'Detalle'!AD1779</f>
        <v/>
      </c>
    </row>
    <row r="117">
      <c r="A117" s="8" t="n">
        <v>8706</v>
      </c>
      <c r="B117" s="8" t="inlineStr">
        <is>
          <t>C03210</t>
        </is>
      </c>
      <c r="C117" s="9" t="inlineStr">
        <is>
          <t>VLADIMIR KREMPASKY</t>
        </is>
      </c>
      <c r="D117" s="8" t="inlineStr">
        <is>
          <t>Naturgy</t>
        </is>
      </c>
      <c r="E117" s="10">
        <f>'Detalle'!B1793</f>
        <v/>
      </c>
      <c r="F117" s="11">
        <f>'Detalle'!D1793</f>
        <v/>
      </c>
      <c r="G117" s="12" t="n">
        <v>1</v>
      </c>
      <c r="H117" s="13" t="n">
        <v>0.61</v>
      </c>
      <c r="I117" s="14">
        <f>IF('Detalle'!B1793="","Falta PC real",IF('Detalle'!B1793&gt;=0.3,"OK · registrar",IF('Detalle'!B1793&gt;=0.2,"Revisar margen","Revisar PC/PV")))</f>
        <v/>
      </c>
      <c r="K117">
        <f>'Detalle'!AD1793</f>
        <v/>
      </c>
    </row>
    <row r="118">
      <c r="A118" s="8" t="n">
        <v>8707</v>
      </c>
      <c r="B118" s="8" t="inlineStr">
        <is>
          <t>C03220</t>
        </is>
      </c>
      <c r="C118" s="9" t="inlineStr">
        <is>
          <t>EVA ROHRMAN MADOVA</t>
        </is>
      </c>
      <c r="D118" s="8" t="inlineStr">
        <is>
          <t>Naturgy</t>
        </is>
      </c>
      <c r="E118" s="10">
        <f>'Detalle'!B1807</f>
        <v/>
      </c>
      <c r="F118" s="11">
        <f>'Detalle'!D1807</f>
        <v/>
      </c>
      <c r="G118" s="12" t="n">
        <v>1</v>
      </c>
      <c r="H118" s="13" t="n">
        <v>0.65</v>
      </c>
      <c r="I118" s="14">
        <f>IF('Detalle'!B1807="","Falta PC real",IF('Detalle'!B1807&gt;=0.3,"OK · registrar",IF('Detalle'!B1807&gt;=0.2,"Revisar margen","Revisar PC/PV")))</f>
        <v/>
      </c>
      <c r="K118">
        <f>'Detalle'!AD1807</f>
        <v/>
      </c>
    </row>
    <row r="119">
      <c r="A119" s="8" t="n">
        <v>8708</v>
      </c>
      <c r="B119" s="8" t="inlineStr">
        <is>
          <t>C03230</t>
        </is>
      </c>
      <c r="C119" s="9" t="inlineStr">
        <is>
          <t>OLDRICH PETRAS</t>
        </is>
      </c>
      <c r="D119" s="8" t="inlineStr">
        <is>
          <t>Naturgy</t>
        </is>
      </c>
      <c r="E119" s="10">
        <f>'Detalle'!B1821</f>
        <v/>
      </c>
      <c r="F119" s="11">
        <f>'Detalle'!D1821</f>
        <v/>
      </c>
      <c r="G119" s="12" t="n">
        <v>1</v>
      </c>
      <c r="H119" s="13" t="n">
        <v>0.57</v>
      </c>
      <c r="I119" s="14">
        <f>IF('Detalle'!B1821="","Falta PC real",IF('Detalle'!B1821&gt;=0.3,"OK · registrar",IF('Detalle'!B1821&gt;=0.2,"Revisar margen","Revisar PC/PV")))</f>
        <v/>
      </c>
      <c r="K119">
        <f>'Detalle'!AD1821</f>
        <v/>
      </c>
    </row>
    <row r="120">
      <c r="A120" s="8" t="n">
        <v>8709</v>
      </c>
      <c r="B120" s="8" t="inlineStr">
        <is>
          <t>C03240</t>
        </is>
      </c>
      <c r="C120" s="9" t="inlineStr">
        <is>
          <t>SPAINLIFE AND HOUSES S.L.</t>
        </is>
      </c>
      <c r="D120" s="8" t="inlineStr">
        <is>
          <t>Naturgy</t>
        </is>
      </c>
      <c r="E120" s="10">
        <f>'Detalle'!B1835</f>
        <v/>
      </c>
      <c r="F120" s="11">
        <f>'Detalle'!D1835</f>
        <v/>
      </c>
      <c r="G120" s="12" t="n">
        <v>1</v>
      </c>
      <c r="H120" s="13" t="n">
        <v>1.23</v>
      </c>
      <c r="I120" s="14">
        <f>IF('Detalle'!B1835="","Falta PC real",IF('Detalle'!B1835&gt;=0.3,"OK · registrar",IF('Detalle'!B1835&gt;=0.2,"Revisar margen","Revisar PC/PV")))</f>
        <v/>
      </c>
      <c r="K120">
        <f>'Detalle'!AD1835</f>
        <v/>
      </c>
    </row>
    <row r="121">
      <c r="A121" s="8" t="n">
        <v>8710</v>
      </c>
      <c r="B121" s="8" t="inlineStr">
        <is>
          <t>C03250</t>
        </is>
      </c>
      <c r="C121" s="9" t="inlineStr">
        <is>
          <t>SPAINLIFE AND HOUSES S.L.</t>
        </is>
      </c>
      <c r="D121" s="8" t="inlineStr">
        <is>
          <t>Naturgy</t>
        </is>
      </c>
      <c r="E121" s="10">
        <f>'Detalle'!B1849</f>
        <v/>
      </c>
      <c r="F121" s="11">
        <f>'Detalle'!D1849</f>
        <v/>
      </c>
      <c r="G121" s="12" t="n">
        <v>1</v>
      </c>
      <c r="H121" s="13" t="n">
        <v>1</v>
      </c>
      <c r="I121" s="14">
        <f>IF('Detalle'!B1849="","Falta PC real",IF('Detalle'!B1849&gt;=0.3,"OK · registrar",IF('Detalle'!B1849&gt;=0.2,"Revisar margen","Revisar PC/PV")))</f>
        <v/>
      </c>
      <c r="K121">
        <f>'Detalle'!AD1849</f>
        <v/>
      </c>
    </row>
    <row r="122">
      <c r="A122" s="8" t="n">
        <v>8711</v>
      </c>
      <c r="B122" s="8" t="inlineStr">
        <is>
          <t>C03260</t>
        </is>
      </c>
      <c r="C122" s="9" t="inlineStr">
        <is>
          <t>MICHAL CUKAN</t>
        </is>
      </c>
      <c r="D122" s="8" t="inlineStr">
        <is>
          <t>Naturgy</t>
        </is>
      </c>
      <c r="E122" s="10">
        <f>'Detalle'!B1863</f>
        <v/>
      </c>
      <c r="F122" s="11">
        <f>'Detalle'!D1863</f>
        <v/>
      </c>
      <c r="G122" s="12" t="n">
        <v>1</v>
      </c>
      <c r="H122" s="13" t="n">
        <v>0.86</v>
      </c>
      <c r="I122" s="14">
        <f>IF('Detalle'!B1863="","Falta PC real",IF('Detalle'!B1863&gt;=0.3,"OK · registrar",IF('Detalle'!B1863&gt;=0.2,"Revisar margen","Revisar PC/PV")))</f>
        <v/>
      </c>
      <c r="K122">
        <f>'Detalle'!AD1863</f>
        <v/>
      </c>
    </row>
    <row r="123">
      <c r="A123" s="8" t="n">
        <v>8712</v>
      </c>
      <c r="B123" s="8" t="inlineStr">
        <is>
          <t>C03280</t>
        </is>
      </c>
      <c r="C123" s="9" t="inlineStr">
        <is>
          <t>SOPHIA ROSE WADLE</t>
        </is>
      </c>
      <c r="D123" s="8" t="inlineStr">
        <is>
          <t>Naturgy</t>
        </is>
      </c>
      <c r="E123" s="10">
        <f>'Detalle'!B1877</f>
        <v/>
      </c>
      <c r="F123" s="11">
        <f>'Detalle'!D1877</f>
        <v/>
      </c>
      <c r="G123" s="12" t="n">
        <v>1</v>
      </c>
      <c r="H123" s="13" t="n">
        <v>1.39</v>
      </c>
      <c r="I123" s="14">
        <f>IF('Detalle'!B1877="","Falta PC real",IF('Detalle'!B1877&gt;=0.3,"OK · registrar",IF('Detalle'!B1877&gt;=0.2,"Revisar margen","Revisar PC/PV")))</f>
        <v/>
      </c>
      <c r="K123">
        <f>'Detalle'!AD1877</f>
        <v/>
      </c>
    </row>
    <row r="124">
      <c r="A124" s="8" t="n">
        <v>8714</v>
      </c>
      <c r="B124" s="8" t="inlineStr">
        <is>
          <t>C03300</t>
        </is>
      </c>
      <c r="C124" s="9" t="inlineStr">
        <is>
          <t>COMPASS IBERICA 2007 SL</t>
        </is>
      </c>
      <c r="D124" s="8" t="inlineStr">
        <is>
          <t>Naturgy</t>
        </is>
      </c>
      <c r="E124" s="10">
        <f>'Detalle'!B1891</f>
        <v/>
      </c>
      <c r="F124" s="11">
        <f>'Detalle'!D1891</f>
        <v/>
      </c>
      <c r="G124" s="12" t="n">
        <v>1</v>
      </c>
      <c r="H124" s="13" t="n">
        <v>1.21</v>
      </c>
      <c r="I124" s="14">
        <f>IF('Detalle'!B1891="","Falta PC real",IF('Detalle'!B1891&gt;=0.3,"OK · registrar",IF('Detalle'!B1891&gt;=0.2,"Revisar margen","Revisar PC/PV")))</f>
        <v/>
      </c>
      <c r="K124">
        <f>'Detalle'!AD1891</f>
        <v/>
      </c>
    </row>
    <row r="125">
      <c r="A125" s="8" t="n">
        <v>8715</v>
      </c>
      <c r="B125" s="8" t="inlineStr">
        <is>
          <t>C03310</t>
        </is>
      </c>
      <c r="C125" s="9" t="inlineStr">
        <is>
          <t>AMANDA APARICI MARTINEZ</t>
        </is>
      </c>
      <c r="D125" s="8" t="inlineStr">
        <is>
          <t>Naturgy</t>
        </is>
      </c>
      <c r="E125" s="10">
        <f>'Detalle'!B1905</f>
        <v/>
      </c>
      <c r="F125" s="11">
        <f>'Detalle'!D1905</f>
        <v/>
      </c>
      <c r="G125" s="12" t="n">
        <v>1</v>
      </c>
      <c r="H125" s="13" t="n">
        <v>1.11</v>
      </c>
      <c r="I125" s="14">
        <f>IF('Detalle'!B1905="","Falta PC real",IF('Detalle'!B1905&gt;=0.3,"OK · registrar",IF('Detalle'!B1905&gt;=0.2,"Revisar margen","Revisar PC/PV")))</f>
        <v/>
      </c>
      <c r="K125">
        <f>'Detalle'!AD1905</f>
        <v/>
      </c>
    </row>
    <row r="126">
      <c r="A126" s="8" t="n">
        <v>8716</v>
      </c>
      <c r="B126" s="8" t="inlineStr">
        <is>
          <t>C03320</t>
        </is>
      </c>
      <c r="C126" s="9" t="inlineStr">
        <is>
          <t>ELISABETH M. PAREDES DE QUINTERO</t>
        </is>
      </c>
      <c r="D126" s="8" t="inlineStr">
        <is>
          <t>Naturgy</t>
        </is>
      </c>
      <c r="E126" s="10">
        <f>'Detalle'!B1919</f>
        <v/>
      </c>
      <c r="F126" s="11">
        <f>'Detalle'!D1919</f>
        <v/>
      </c>
      <c r="G126" s="12" t="n">
        <v>1</v>
      </c>
      <c r="H126" s="13" t="n">
        <v>0.92</v>
      </c>
      <c r="I126" s="14">
        <f>IF('Detalle'!B1919="","Falta PC real",IF('Detalle'!B1919&gt;=0.3,"OK · registrar",IF('Detalle'!B1919&gt;=0.2,"Revisar margen","Revisar PC/PV")))</f>
        <v/>
      </c>
      <c r="K126">
        <f>'Detalle'!AD1919</f>
        <v/>
      </c>
    </row>
    <row r="127">
      <c r="A127" s="8" t="n">
        <v>8717</v>
      </c>
      <c r="B127" s="8" t="inlineStr">
        <is>
          <t>C03330</t>
        </is>
      </c>
      <c r="C127" s="9" t="inlineStr">
        <is>
          <t>MARIA SOLEDAD ANSOLA ESTRADA</t>
        </is>
      </c>
      <c r="D127" s="8" t="inlineStr">
        <is>
          <t>Naturgy</t>
        </is>
      </c>
      <c r="E127" s="10">
        <f>'Detalle'!B1933</f>
        <v/>
      </c>
      <c r="F127" s="11">
        <f>'Detalle'!D1933</f>
        <v/>
      </c>
      <c r="G127" s="12" t="n">
        <v>1</v>
      </c>
      <c r="H127" s="13" t="n">
        <v>0.21</v>
      </c>
      <c r="I127" s="14">
        <f>IF('Detalle'!B1933="","Falta PC real",IF('Detalle'!B1933&gt;=0.3,"OK · registrar",IF('Detalle'!B1933&gt;=0.2,"Revisar margen","Revisar PC/PV")))</f>
        <v/>
      </c>
      <c r="K127">
        <f>'Detalle'!AD1933</f>
        <v/>
      </c>
    </row>
    <row r="128">
      <c r="A128" s="8" t="n">
        <v>8718</v>
      </c>
      <c r="B128" s="8" t="inlineStr">
        <is>
          <t>C03340</t>
        </is>
      </c>
      <c r="C128" s="9" t="inlineStr">
        <is>
          <t>CRISTIAN DAVID BETANCUR BARRERA</t>
        </is>
      </c>
      <c r="D128" s="8" t="inlineStr">
        <is>
          <t>Naturgy</t>
        </is>
      </c>
      <c r="E128" s="10">
        <f>'Detalle'!B1947</f>
        <v/>
      </c>
      <c r="F128" s="11">
        <f>'Detalle'!D1947</f>
        <v/>
      </c>
      <c r="G128" s="12" t="n">
        <v>1</v>
      </c>
      <c r="H128" s="13" t="n">
        <v>0.7</v>
      </c>
      <c r="I128" s="14">
        <f>IF('Detalle'!B1947="","Falta PC real",IF('Detalle'!B1947&gt;=0.3,"OK · registrar",IF('Detalle'!B1947&gt;=0.2,"Revisar margen","Revisar PC/PV")))</f>
        <v/>
      </c>
      <c r="K128">
        <f>'Detalle'!AD1947</f>
        <v/>
      </c>
    </row>
    <row r="129">
      <c r="A129" s="8" t="n">
        <v>8719</v>
      </c>
      <c r="B129" s="8" t="inlineStr">
        <is>
          <t>C03350</t>
        </is>
      </c>
      <c r="C129" s="9" t="inlineStr">
        <is>
          <t>SARA BARBERA SOLA</t>
        </is>
      </c>
      <c r="D129" s="8" t="inlineStr">
        <is>
          <t>Naturgy</t>
        </is>
      </c>
      <c r="E129" s="10">
        <f>'Detalle'!B1961</f>
        <v/>
      </c>
      <c r="F129" s="11">
        <f>'Detalle'!D1961</f>
        <v/>
      </c>
      <c r="G129" s="12" t="n">
        <v>1</v>
      </c>
      <c r="H129" s="13" t="n">
        <v>0.48</v>
      </c>
      <c r="I129" s="14">
        <f>IF('Detalle'!B1961="","Falta PC real",IF('Detalle'!B1961&gt;=0.3,"OK · registrar",IF('Detalle'!B1961&gt;=0.2,"Revisar margen","Revisar PC/PV")))</f>
        <v/>
      </c>
      <c r="K129">
        <f>'Detalle'!AD1961</f>
        <v/>
      </c>
    </row>
    <row r="130">
      <c r="A130" s="8" t="n">
        <v>8720</v>
      </c>
      <c r="B130" s="8" t="inlineStr">
        <is>
          <t>C03360</t>
        </is>
      </c>
      <c r="C130" s="9" t="inlineStr">
        <is>
          <t>CBDSROLL,S.L.</t>
        </is>
      </c>
      <c r="D130" s="8" t="inlineStr">
        <is>
          <t>Naturgy</t>
        </is>
      </c>
      <c r="E130" s="10">
        <f>'Detalle'!B1975</f>
        <v/>
      </c>
      <c r="F130" s="11">
        <f>'Detalle'!D1975</f>
        <v/>
      </c>
      <c r="G130" s="12" t="n">
        <v>1</v>
      </c>
      <c r="H130" s="13" t="n">
        <v>0.48</v>
      </c>
      <c r="I130" s="14">
        <f>IF('Detalle'!B1975="","Falta PC real",IF('Detalle'!B1975&gt;=0.3,"OK · registrar",IF('Detalle'!B1975&gt;=0.2,"Revisar margen","Revisar PC/PV")))</f>
        <v/>
      </c>
      <c r="K130">
        <f>'Detalle'!AD1975</f>
        <v/>
      </c>
    </row>
    <row r="131">
      <c r="A131" s="8" t="n">
        <v>8721</v>
      </c>
      <c r="B131" s="8" t="inlineStr">
        <is>
          <t>C03380</t>
        </is>
      </c>
      <c r="C131" s="9" t="inlineStr"/>
      <c r="D131" s="8" t="inlineStr">
        <is>
          <t>Naturgy</t>
        </is>
      </c>
      <c r="E131" s="10">
        <f>'Detalle'!B1989</f>
        <v/>
      </c>
      <c r="F131" s="11">
        <f>'Detalle'!D1989</f>
        <v/>
      </c>
      <c r="G131" s="12" t="n">
        <v>1</v>
      </c>
      <c r="H131" s="13" t="n">
        <v>1.16</v>
      </c>
      <c r="I131" s="14">
        <f>IF('Detalle'!B1989="","Falta PC real",IF('Detalle'!B1989&gt;=0.3,"OK · registrar",IF('Detalle'!B1989&gt;=0.2,"Revisar margen","Revisar PC/PV")))</f>
        <v/>
      </c>
      <c r="K131">
        <f>'Detalle'!AD1989</f>
        <v/>
      </c>
    </row>
    <row r="132">
      <c r="A132" s="8" t="n">
        <v>8722</v>
      </c>
      <c r="B132" s="8" t="inlineStr">
        <is>
          <t>C03390</t>
        </is>
      </c>
      <c r="C132" s="9" t="inlineStr">
        <is>
          <t>MAGDALENA ORTOLÁ FERRER</t>
        </is>
      </c>
      <c r="D132" s="8" t="inlineStr">
        <is>
          <t>Naturgy</t>
        </is>
      </c>
      <c r="E132" s="10">
        <f>'Detalle'!B2003</f>
        <v/>
      </c>
      <c r="F132" s="11">
        <f>'Detalle'!D2003</f>
        <v/>
      </c>
      <c r="G132" s="12" t="n">
        <v>1</v>
      </c>
      <c r="H132" s="13" t="n">
        <v>0.67</v>
      </c>
      <c r="I132" s="14">
        <f>IF('Detalle'!B2003="","Falta PC real",IF('Detalle'!B2003&gt;=0.3,"OK · registrar",IF('Detalle'!B2003&gt;=0.2,"Revisar margen","Revisar PC/PV")))</f>
        <v/>
      </c>
      <c r="K132">
        <f>'Detalle'!AD2003</f>
        <v/>
      </c>
    </row>
    <row r="133">
      <c r="A133" s="8" t="n">
        <v>8723</v>
      </c>
      <c r="B133" s="8" t="inlineStr">
        <is>
          <t>C03400</t>
        </is>
      </c>
      <c r="C133" s="9" t="inlineStr">
        <is>
          <t>ZISKO SLAVOMIR</t>
        </is>
      </c>
      <c r="D133" s="8" t="inlineStr">
        <is>
          <t>Naturgy</t>
        </is>
      </c>
      <c r="E133" s="10">
        <f>'Detalle'!B2017</f>
        <v/>
      </c>
      <c r="F133" s="11">
        <f>'Detalle'!D2017</f>
        <v/>
      </c>
      <c r="G133" s="12" t="n">
        <v>1</v>
      </c>
      <c r="H133" s="13" t="n">
        <v>0.68</v>
      </c>
      <c r="I133" s="14">
        <f>IF('Detalle'!B2017="","Falta PC real",IF('Detalle'!B2017&gt;=0.3,"OK · registrar",IF('Detalle'!B2017&gt;=0.2,"Revisar margen","Revisar PC/PV")))</f>
        <v/>
      </c>
      <c r="K133">
        <f>'Detalle'!AD2017</f>
        <v/>
      </c>
    </row>
    <row r="134">
      <c r="A134" s="8" t="n">
        <v>8724</v>
      </c>
      <c r="B134" s="8" t="inlineStr">
        <is>
          <t>C03430</t>
        </is>
      </c>
      <c r="C134" s="9" t="inlineStr">
        <is>
          <t>MARIA DEL MAR FERRANDO GUILLEM</t>
        </is>
      </c>
      <c r="D134" s="8" t="inlineStr">
        <is>
          <t>Naturgy</t>
        </is>
      </c>
      <c r="E134" s="10">
        <f>'Detalle'!B2031</f>
        <v/>
      </c>
      <c r="F134" s="11">
        <f>'Detalle'!D2031</f>
        <v/>
      </c>
      <c r="G134" s="12" t="n">
        <v>1</v>
      </c>
      <c r="H134" s="13" t="n">
        <v>0.65</v>
      </c>
      <c r="I134" s="14">
        <f>IF('Detalle'!B2031="","Falta PC real",IF('Detalle'!B2031&gt;=0.3,"OK · registrar",IF('Detalle'!B2031&gt;=0.2,"Revisar margen","Revisar PC/PV")))</f>
        <v/>
      </c>
      <c r="K134">
        <f>'Detalle'!AD2031</f>
        <v/>
      </c>
    </row>
    <row r="135">
      <c r="A135" s="8" t="n">
        <v>8725</v>
      </c>
      <c r="B135" s="8" t="inlineStr">
        <is>
          <t>C03440</t>
        </is>
      </c>
      <c r="C135" s="9" t="inlineStr">
        <is>
          <t>DIEGO BARQUERO PEREZ</t>
        </is>
      </c>
      <c r="D135" s="8" t="inlineStr">
        <is>
          <t>Naturgy</t>
        </is>
      </c>
      <c r="E135" s="10">
        <f>'Detalle'!B2045</f>
        <v/>
      </c>
      <c r="F135" s="11">
        <f>'Detalle'!D2045</f>
        <v/>
      </c>
      <c r="G135" s="12" t="n">
        <v>1</v>
      </c>
      <c r="H135" s="13" t="n">
        <v>0.41</v>
      </c>
      <c r="I135" s="14">
        <f>IF('Detalle'!B2045="","Falta PC real",IF('Detalle'!B2045&gt;=0.3,"OK · registrar",IF('Detalle'!B2045&gt;=0.2,"Revisar margen","Revisar PC/PV")))</f>
        <v/>
      </c>
      <c r="K135">
        <f>'Detalle'!AD2045</f>
        <v/>
      </c>
    </row>
    <row r="136">
      <c r="A136" s="8" t="n">
        <v>8726</v>
      </c>
      <c r="B136" s="8" t="inlineStr">
        <is>
          <t>C03450</t>
        </is>
      </c>
      <c r="C136" s="9" t="inlineStr">
        <is>
          <t>RADEK ERBEN</t>
        </is>
      </c>
      <c r="D136" s="8" t="inlineStr">
        <is>
          <t>Naturgy</t>
        </is>
      </c>
      <c r="E136" s="10">
        <f>'Detalle'!B2059</f>
        <v/>
      </c>
      <c r="F136" s="11">
        <f>'Detalle'!D2059</f>
        <v/>
      </c>
      <c r="G136" s="12" t="n">
        <v>1</v>
      </c>
      <c r="H136" s="13" t="n">
        <v>0.54</v>
      </c>
      <c r="I136" s="14">
        <f>IF('Detalle'!B2059="","Falta PC real",IF('Detalle'!B2059&gt;=0.3,"OK · registrar",IF('Detalle'!B2059&gt;=0.2,"Revisar margen","Revisar PC/PV")))</f>
        <v/>
      </c>
      <c r="K136">
        <f>'Detalle'!AD2059</f>
        <v/>
      </c>
    </row>
    <row r="137">
      <c r="A137" s="8" t="n">
        <v>8727</v>
      </c>
      <c r="B137" s="8" t="inlineStr">
        <is>
          <t>C03460</t>
        </is>
      </c>
      <c r="C137" s="9" t="inlineStr">
        <is>
          <t>SILVIA KREMPASKA</t>
        </is>
      </c>
      <c r="D137" s="8" t="inlineStr">
        <is>
          <t>Naturgy</t>
        </is>
      </c>
      <c r="E137" s="10">
        <f>'Detalle'!B2073</f>
        <v/>
      </c>
      <c r="F137" s="11">
        <f>'Detalle'!D2073</f>
        <v/>
      </c>
      <c r="G137" s="12" t="n">
        <v>1</v>
      </c>
      <c r="H137" s="13" t="n">
        <v>0.3</v>
      </c>
      <c r="I137" s="14">
        <f>IF('Detalle'!B2073="","Falta PC real",IF('Detalle'!B2073&gt;=0.3,"OK · registrar",IF('Detalle'!B2073&gt;=0.2,"Revisar margen","Revisar PC/PV")))</f>
        <v/>
      </c>
      <c r="K137">
        <f>'Detalle'!AD2073</f>
        <v/>
      </c>
    </row>
    <row r="138">
      <c r="A138" s="8" t="n">
        <v>8728</v>
      </c>
      <c r="B138" s="8" t="inlineStr">
        <is>
          <t>C03470</t>
        </is>
      </c>
      <c r="C138" s="9" t="inlineStr"/>
      <c r="D138" s="8" t="inlineStr">
        <is>
          <t>Naturgy</t>
        </is>
      </c>
      <c r="E138" s="10">
        <f>'Detalle'!B2087</f>
        <v/>
      </c>
      <c r="F138" s="11">
        <f>'Detalle'!D2087</f>
        <v/>
      </c>
      <c r="G138" s="9" t="n"/>
      <c r="H138" s="9" t="n"/>
      <c r="I138" s="14">
        <f>IF('Detalle'!B2087="","Falta PC real",IF('Detalle'!B2087&gt;=0.3,"OK · registrar",IF('Detalle'!B2087&gt;=0.2,"Revisar margen","Revisar PC/PV")))</f>
        <v/>
      </c>
      <c r="K138">
        <f>'Detalle'!AD2087</f>
        <v/>
      </c>
    </row>
    <row r="139">
      <c r="A139" s="8" t="n">
        <v>8729</v>
      </c>
      <c r="B139" s="8" t="inlineStr">
        <is>
          <t>C03480</t>
        </is>
      </c>
      <c r="C139" s="9" t="inlineStr">
        <is>
          <t>MICHAL GLOSIK</t>
        </is>
      </c>
      <c r="D139" s="8" t="inlineStr">
        <is>
          <t>Naturgy</t>
        </is>
      </c>
      <c r="E139" s="10">
        <f>'Detalle'!B2101</f>
        <v/>
      </c>
      <c r="F139" s="11">
        <f>'Detalle'!D2101</f>
        <v/>
      </c>
      <c r="G139" s="12" t="n">
        <v>1</v>
      </c>
      <c r="H139" s="13" t="n">
        <v>0.6899999999999999</v>
      </c>
      <c r="I139" s="14">
        <f>IF('Detalle'!B2101="","Falta PC real",IF('Detalle'!B2101&gt;=0.3,"OK · registrar",IF('Detalle'!B2101&gt;=0.2,"Revisar margen","Revisar PC/PV")))</f>
        <v/>
      </c>
      <c r="K139">
        <f>'Detalle'!AD2101</f>
        <v/>
      </c>
    </row>
    <row r="140">
      <c r="A140" s="8" t="n">
        <v>8730</v>
      </c>
      <c r="B140" s="8" t="inlineStr">
        <is>
          <t>C00760</t>
        </is>
      </c>
      <c r="C140" s="9" t="inlineStr">
        <is>
          <t>SALVADOR TORRES BISQUERT</t>
        </is>
      </c>
      <c r="D140" s="8" t="inlineStr">
        <is>
          <t>Naturgy</t>
        </is>
      </c>
      <c r="E140" s="10">
        <f>'Detalle'!B2115</f>
        <v/>
      </c>
      <c r="F140" s="11">
        <f>'Detalle'!D2115</f>
        <v/>
      </c>
      <c r="G140" s="12" t="n">
        <v>0.2414</v>
      </c>
      <c r="H140" s="13" t="n">
        <v>17622.2</v>
      </c>
      <c r="I140" s="14">
        <f>IF('Detalle'!B2115="","Falta PC real",IF('Detalle'!B2115&gt;=0.3,"OK · registrar",IF('Detalle'!B2115&gt;=0.2,"Revisar margen","Revisar PC/PV")))</f>
        <v/>
      </c>
      <c r="K140">
        <f>'Detalle'!AD2115</f>
        <v/>
      </c>
    </row>
  </sheetData>
  <mergeCells count="4">
    <mergeCell ref="A1:I1"/>
    <mergeCell ref="A3:C3"/>
    <mergeCell ref="A2:I2"/>
    <mergeCell ref="H3:I3"/>
  </mergeCells>
  <conditionalFormatting sqref="D3">
    <cfRule type="cellIs" priority="1" operator="equal" dxfId="0">
      <formula>"OPTIMIZAR"</formula>
    </cfRule>
  </conditionalFormatting>
  <conditionalFormatting sqref="F5:F140">
    <cfRule type="cellIs" priority="2" operator="equal" dxfId="0">
      <formula>"APROBAR"</formula>
    </cfRule>
    <cfRule type="cellIs" priority="3" operator="equal" dxfId="1">
      <formula>"REVISAR"</formula>
    </cfRule>
    <cfRule type="cellIs" priority="4" operator="equal" dxfId="2">
      <formula>"RECHAZAR"</formula>
    </cfRule>
  </conditionalFormatting>
  <dataValidations count="1">
    <dataValidation sqref="D3" showDropDown="0" showInputMessage="0" showErrorMessage="0" allowBlank="0" type="list">
      <formula1>"INICIAL,OPTIMIZAR"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D211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6" customWidth="1" min="3" max="3"/>
    <col width="10" customWidth="1" min="4" max="4"/>
    <col width="9" customWidth="1" min="5" max="5"/>
    <col width="11" customWidth="1" min="6" max="6"/>
    <col width="1.5" customWidth="1" min="7" max="7"/>
    <col width="8" customWidth="1" min="8" max="8"/>
    <col width="9" customWidth="1" min="9" max="9"/>
    <col width="11" customWidth="1" min="10" max="10"/>
    <col width="1.5" customWidth="1" min="11" max="11"/>
    <col width="9" customWidth="1" min="12" max="12"/>
    <col width="3" customWidth="1" min="13" max="13"/>
    <col width="9" customWidth="1" min="14" max="14"/>
    <col width="20" customWidth="1" min="15" max="15"/>
    <col width="9" customWidth="1" min="16" max="16"/>
    <col width="1.5" customWidth="1" min="17" max="17"/>
    <col width="26" customWidth="1" min="18" max="18"/>
    <col hidden="1" width="13" customWidth="1" min="27" max="27"/>
    <col hidden="1" width="13" customWidth="1" min="28" max="28"/>
    <col hidden="1" width="13" customWidth="1" min="30" max="30"/>
  </cols>
  <sheetData>
    <row r="1">
      <c r="A1" s="15" t="inlineStr">
        <is>
          <t>VALIDACIÓN FACTURAS 2.0TD · abril 2026 · Transactiva 2000 S.L.   (Días = solo potencia/alquiler/bono · PC ámbar editable · margen objetivo editable por factura)</t>
        </is>
      </c>
    </row>
    <row r="3">
      <c r="A3" s="15" t="inlineStr">
        <is>
          <t>Factura 8550 · C02150 · FUNDACIÓN FSU PROGRAMAS INTERNACIONALES</t>
        </is>
      </c>
      <c r="H3" s="15" t="inlineStr">
        <is>
          <t>ES0021000020111640FT · Naturgy</t>
        </is>
      </c>
      <c r="L3" s="16" t="n">
        <v>46113</v>
      </c>
      <c r="M3" s="17" t="inlineStr">
        <is>
          <t>a</t>
        </is>
      </c>
      <c r="N3" s="16" t="n">
        <v>46142</v>
      </c>
      <c r="R3" s="18" t="inlineStr">
        <is>
          <t>HISTÓRICO DEL CUPS · HOJA TTVA LUZ</t>
        </is>
      </c>
    </row>
    <row r="4">
      <c r="A4" s="19" t="inlineStr">
        <is>
          <t>Concepto</t>
        </is>
      </c>
      <c r="B4" s="20" t="inlineStr">
        <is>
          <t>PENDIENTE (sin registrar)</t>
        </is>
      </c>
      <c r="C4" s="21" t="n"/>
      <c r="D4" s="21" t="n"/>
      <c r="E4" s="21" t="n"/>
      <c r="F4" s="21" t="n"/>
      <c r="H4" s="22" t="inlineStr">
        <is>
          <t>MES ANTERIOR · Fact.6304</t>
        </is>
      </c>
      <c r="I4" s="23" t="n"/>
      <c r="J4" s="23" t="n"/>
      <c r="L4" s="24" t="inlineStr">
        <is>
          <t>AÑO ANTERIOR · Fact.4583</t>
        </is>
      </c>
      <c r="M4" s="25" t="n"/>
      <c r="N4" s="25" t="n"/>
      <c r="R4" s="26" t="inlineStr">
        <is>
          <t>Cobrado total: 2.436 €</t>
        </is>
      </c>
    </row>
    <row r="5">
      <c r="B5" s="7" t="inlineStr">
        <is>
          <t>Cant</t>
        </is>
      </c>
      <c r="C5" s="7" t="inlineStr">
        <is>
          <t>Días</t>
        </is>
      </c>
      <c r="D5" s="7" t="inlineStr">
        <is>
          <t>PC real</t>
        </is>
      </c>
      <c r="E5" s="7" t="inlineStr">
        <is>
          <t>PV</t>
        </is>
      </c>
      <c r="F5" s="7" t="inlineStr">
        <is>
          <t>Importe</t>
        </is>
      </c>
      <c r="H5" s="27" t="inlineStr">
        <is>
          <t>Cant</t>
        </is>
      </c>
      <c r="I5" s="27" t="inlineStr">
        <is>
          <t>PV</t>
        </is>
      </c>
      <c r="J5" s="27" t="inlineStr">
        <is>
          <t>Importe</t>
        </is>
      </c>
      <c r="L5" s="28" t="inlineStr">
        <is>
          <t>Cant</t>
        </is>
      </c>
      <c r="M5" s="28" t="inlineStr">
        <is>
          <t>PV</t>
        </is>
      </c>
      <c r="N5" s="28" t="inlineStr">
        <is>
          <t>Importe</t>
        </is>
      </c>
      <c r="R5" s="29" t="inlineStr">
        <is>
          <t>Pagado total: 1.753 €</t>
        </is>
      </c>
    </row>
    <row r="6">
      <c r="A6" s="30" t="inlineStr">
        <is>
          <t>P1 Potencia</t>
        </is>
      </c>
      <c r="B6" s="31" t="n">
        <v>10.392</v>
      </c>
      <c r="C6" s="32">
        <f>$N$3-$L$3+1</f>
        <v/>
      </c>
      <c r="D6" s="33" t="n">
        <v>3.68919</v>
      </c>
      <c r="E6" s="34" t="n">
        <v>4.82</v>
      </c>
      <c r="F6" s="35">
        <f>ROUND(B6*E6,2)</f>
        <v/>
      </c>
      <c r="H6" s="36" t="n">
        <v>10.392</v>
      </c>
      <c r="I6" s="37" t="n">
        <v>4.82</v>
      </c>
      <c r="J6" s="38">
        <f>ROUND(H6*I6,2)</f>
        <v/>
      </c>
      <c r="L6" s="39" t="n">
        <v>10.392</v>
      </c>
      <c r="M6" s="40" t="n">
        <v>4.82</v>
      </c>
      <c r="N6" s="41">
        <f>ROUND(L6*M6,2)</f>
        <v/>
      </c>
      <c r="R6" s="42" t="inlineStr">
        <is>
          <t>DIF: 682 €   ·   Margen hist.: 28.0%</t>
        </is>
      </c>
    </row>
    <row r="7">
      <c r="A7" s="30" t="inlineStr">
        <is>
          <t>P2 Potencia</t>
        </is>
      </c>
      <c r="B7" s="31" t="n">
        <v>10.392</v>
      </c>
      <c r="C7" s="32">
        <f>$N$3-$L$3+1</f>
        <v/>
      </c>
      <c r="D7" s="33" t="n">
        <v>1.31928</v>
      </c>
      <c r="E7" s="34" t="n">
        <v>2.37</v>
      </c>
      <c r="F7" s="35">
        <f>ROUND(B7*E7,2)</f>
        <v/>
      </c>
      <c r="H7" s="36" t="n">
        <v>10.392</v>
      </c>
      <c r="I7" s="37" t="n">
        <v>2.37</v>
      </c>
      <c r="J7" s="38">
        <f>ROUND(H7*I7,2)</f>
        <v/>
      </c>
      <c r="L7" s="39" t="n">
        <v>10.392</v>
      </c>
      <c r="M7" s="40" t="n">
        <v>2.37</v>
      </c>
      <c r="N7" s="41">
        <f>ROUND(L7*M7,2)</f>
        <v/>
      </c>
      <c r="R7" s="43" t="inlineStr">
        <is>
          <t>Mejor mes: 2024-09 · 526 € · margen 197%</t>
        </is>
      </c>
    </row>
    <row r="8">
      <c r="A8" s="30" t="inlineStr">
        <is>
          <t>P1 Energía</t>
        </is>
      </c>
      <c r="B8" s="31">
        <f>IF($P$8&lt;&gt;"",ROUND(AA8*(($AB$8/(1-$P$8))-74.7185)/113.0879,2),IF('Resumen'!$D$3="OPTIMIZAR",ROUND(MAX(AA8,MIN(AA8*(($AB$8/(1-'Resumen'!$F$3))-74.7185)/113.0879,AA8*(439.4393)/113.0879)),3),AA8))</f>
        <v/>
      </c>
      <c r="C8" s="44" t="n"/>
      <c r="D8" s="33" t="n">
        <v>0.111171</v>
      </c>
      <c r="E8" s="34" t="n">
        <v>0.17</v>
      </c>
      <c r="F8" s="35">
        <f>ROUND(B8*E8,2)</f>
        <v/>
      </c>
      <c r="H8" s="36" t="n">
        <v>477.269</v>
      </c>
      <c r="I8" s="37" t="n">
        <v>0.175</v>
      </c>
      <c r="J8" s="38">
        <f>ROUND(H8*I8,2)</f>
        <v/>
      </c>
      <c r="L8" s="39" t="n">
        <v>95.26300000000001</v>
      </c>
      <c r="M8" s="40" t="n">
        <v>0.175</v>
      </c>
      <c r="N8" s="41">
        <f>ROUND(L8*M8,2)</f>
        <v/>
      </c>
      <c r="O8" s="45" t="inlineStr">
        <is>
          <t>Margen objetivo (edita % aquí) ▶</t>
        </is>
      </c>
      <c r="P8" s="5" t="n"/>
      <c r="R8" s="43" t="inlineStr">
        <is>
          <t>Peor mes: 2024-08 · 66 € · margen 66%</t>
        </is>
      </c>
      <c r="AA8" t="n">
        <v>195.263</v>
      </c>
      <c r="AB8">
        <f>B6*D6+B7*D7+AA8*D8+AA9*D9+AA10*D10</f>
        <v/>
      </c>
    </row>
    <row r="9">
      <c r="A9" s="30" t="inlineStr">
        <is>
          <t>P2 Energía</t>
        </is>
      </c>
      <c r="B9" s="31">
        <f>IF($P$8&lt;&gt;"",ROUND(AA9*(($AB$8/(1-$P$8))-74.7185)/113.0879,2),IF('Resumen'!$D$3="OPTIMIZAR",ROUND(MAX(AA9,MIN(AA9*(($AB$8/(1-'Resumen'!$F$3))-74.7185)/113.0879,AA9*(439.4393)/113.0879)),3),AA9))</f>
        <v/>
      </c>
      <c r="C9" s="44" t="n"/>
      <c r="D9" s="33" t="n">
        <v>0.111171</v>
      </c>
      <c r="E9" s="34" t="n">
        <v>0.17</v>
      </c>
      <c r="F9" s="35">
        <f>ROUND(B9*E9,2)</f>
        <v/>
      </c>
      <c r="H9" s="36" t="n">
        <v>460.686</v>
      </c>
      <c r="I9" s="37" t="n">
        <v>0.175</v>
      </c>
      <c r="J9" s="38">
        <f>ROUND(H9*I9,2)</f>
        <v/>
      </c>
      <c r="L9" s="39" t="n">
        <v>99.672</v>
      </c>
      <c r="M9" s="40" t="n">
        <v>0.175</v>
      </c>
      <c r="N9" s="41">
        <f>ROUND(L9*M9,2)</f>
        <v/>
      </c>
      <c r="O9" s="46" t="inlineStr">
        <is>
          <t>Cant. P1/P2/P3 energía suben</t>
        </is>
      </c>
      <c r="R9" s="43" t="inlineStr">
        <is>
          <t>Importe mensual cobrado (€) · 24 meses ▾</t>
        </is>
      </c>
      <c r="AA9" t="n">
        <v>199.672</v>
      </c>
    </row>
    <row r="10">
      <c r="A10" s="30" t="inlineStr">
        <is>
          <t>P3 Energía</t>
        </is>
      </c>
      <c r="B10" s="31">
        <f>IF($P$8&lt;&gt;"",ROUND(AA10*(($AB$8/(1-$P$8))-74.7185)/113.0879,2),IF('Resumen'!$D$3="OPTIMIZAR",ROUND(MAX(AA10,MIN(AA10*(($AB$8/(1-'Resumen'!$F$3))-74.7185)/113.0879,AA10*(439.4393)/113.0879)),3),AA10))</f>
        <v/>
      </c>
      <c r="C10" s="44" t="n"/>
      <c r="D10" s="33" t="n">
        <v>0.111171</v>
      </c>
      <c r="E10" s="34" t="n">
        <v>0.17</v>
      </c>
      <c r="F10" s="35">
        <f>ROUND(B10*E10,2)</f>
        <v/>
      </c>
      <c r="H10" s="36" t="n">
        <v>525.938</v>
      </c>
      <c r="I10" s="37" t="n">
        <v>0.175</v>
      </c>
      <c r="J10" s="38">
        <f>ROUND(H10*I10,2)</f>
        <v/>
      </c>
      <c r="L10" s="39" t="n">
        <v>170.288</v>
      </c>
      <c r="M10" s="40" t="n">
        <v>0.175</v>
      </c>
      <c r="N10" s="41">
        <f>ROUND(L10*M10,2)</f>
        <v/>
      </c>
      <c r="O10" s="46" t="inlineStr">
        <is>
          <t>en proporción para ese margen</t>
        </is>
      </c>
      <c r="AA10" t="n">
        <v>270.288</v>
      </c>
    </row>
    <row r="11">
      <c r="A11" s="30" t="inlineStr">
        <is>
          <t>Alquiler contador</t>
        </is>
      </c>
      <c r="B11" s="31" t="n">
        <v>1</v>
      </c>
      <c r="C11" s="32">
        <f>$N$3-$L$3+1</f>
        <v/>
      </c>
      <c r="D11" s="33" t="n">
        <v>1.3414</v>
      </c>
      <c r="E11" s="34" t="n">
        <v>1</v>
      </c>
      <c r="F11" s="35">
        <f>ROUND(B11*E11,2)</f>
        <v/>
      </c>
      <c r="H11" s="36" t="n">
        <v>1</v>
      </c>
      <c r="I11" s="37" t="n">
        <v>1</v>
      </c>
      <c r="J11" s="38">
        <f>ROUND(H11*I11,2)</f>
        <v/>
      </c>
      <c r="L11" s="39" t="n">
        <v>1</v>
      </c>
      <c r="M11" s="40" t="n">
        <v>1</v>
      </c>
      <c r="N11" s="41">
        <f>ROUND(L11*M11,2)</f>
        <v/>
      </c>
    </row>
    <row r="12">
      <c r="A12" s="30" t="inlineStr">
        <is>
          <t>Bono social</t>
        </is>
      </c>
      <c r="B12" s="31" t="n">
        <v>30</v>
      </c>
      <c r="C12" s="32">
        <f>$N$3-$L$3+1</f>
        <v/>
      </c>
      <c r="D12" s="33" t="n">
        <v>0.5736</v>
      </c>
      <c r="E12" s="34" t="n">
        <v>0.01274</v>
      </c>
      <c r="F12" s="35">
        <f>ROUND(B12*E12,2)</f>
        <v/>
      </c>
      <c r="H12" s="36" t="n">
        <v>30</v>
      </c>
      <c r="I12" s="37" t="n">
        <v>0.01274</v>
      </c>
      <c r="J12" s="38">
        <f>ROUND(H12*I12,2)</f>
        <v/>
      </c>
      <c r="L12" s="39" t="n">
        <v>30</v>
      </c>
      <c r="M12" s="40" t="n">
        <v>0.00685</v>
      </c>
      <c r="N12" s="41">
        <f>ROUND(L12*M12,2)</f>
        <v/>
      </c>
    </row>
    <row r="13">
      <c r="A13" s="30" t="inlineStr">
        <is>
          <t>Tasa eléctrica</t>
        </is>
      </c>
      <c r="B13" s="31" t="n">
        <v>10.03</v>
      </c>
      <c r="C13" s="44" t="n"/>
      <c r="D13" s="33" t="n">
        <v>0.27312</v>
      </c>
      <c r="E13" s="34" t="n">
        <v>1</v>
      </c>
      <c r="F13" s="35">
        <f>ROUND(B13*E13,2)</f>
        <v/>
      </c>
      <c r="H13" s="36" t="n">
        <v>17.16</v>
      </c>
      <c r="I13" s="37" t="n">
        <v>1</v>
      </c>
      <c r="J13" s="38">
        <f>ROUND(H13*I13,2)</f>
        <v/>
      </c>
      <c r="L13" s="39" t="n">
        <v>7.09</v>
      </c>
      <c r="M13" s="40" t="n">
        <v>1</v>
      </c>
      <c r="N13" s="41">
        <f>ROUND(L13*M13,2)</f>
        <v/>
      </c>
    </row>
    <row r="14">
      <c r="A14" s="47" t="inlineStr">
        <is>
          <t>TOTAL c/IVA</t>
        </is>
      </c>
      <c r="F14" s="48">
        <f>ROUND((SUM(F6:F13)-F13)*1.1+F13,2)</f>
        <v/>
      </c>
      <c r="J14" s="49">
        <f>ROUND(SUM(J6:J13),2)</f>
        <v/>
      </c>
      <c r="N14" s="50">
        <f>ROUND(SUM(N6:N13),2)</f>
        <v/>
      </c>
    </row>
    <row r="15">
      <c r="A15" s="19" t="inlineStr">
        <is>
          <t>MARGEN sin registrar</t>
        </is>
      </c>
      <c r="B15" s="51">
        <f>IF((F9+F6+F8+F10+F7)=0,"",((F9+F6+F8+F10+F7)-$AB$8)/(F9+F6+F8+F10+F7))</f>
        <v/>
      </c>
      <c r="D15" s="52">
        <f>IF(B15="","SIN PC",IF(B15&gt;=0.3,"APROBAR",IF(B15&gt;=0.2,"REVISAR","RECHAZAR")))</f>
        <v/>
      </c>
      <c r="E15" s="53" t="n"/>
      <c r="F15" s="54" t="n"/>
      <c r="AD15">
        <f>SUM(F8:F10)-113.0879</f>
        <v/>
      </c>
    </row>
    <row r="17">
      <c r="A17" s="15" t="inlineStr">
        <is>
          <t>Factura 8551 · C02140 · FUNDACIÓN FSU PROGRAMAS INTERNACIONALES</t>
        </is>
      </c>
      <c r="H17" s="15" t="inlineStr">
        <is>
          <t>ES0021000008997145KW · Naturgy</t>
        </is>
      </c>
      <c r="L17" s="16" t="n">
        <v>46113</v>
      </c>
      <c r="M17" s="17" t="inlineStr">
        <is>
          <t>a</t>
        </is>
      </c>
      <c r="N17" s="16" t="n">
        <v>46142</v>
      </c>
      <c r="R17" s="18" t="inlineStr">
        <is>
          <t>HISTÓRICO DEL CUPS · HOJA TTVA LUZ</t>
        </is>
      </c>
    </row>
    <row r="18">
      <c r="A18" s="19" t="inlineStr">
        <is>
          <t>Concepto</t>
        </is>
      </c>
      <c r="B18" s="20" t="inlineStr">
        <is>
          <t>PENDIENTE (sin registrar)</t>
        </is>
      </c>
      <c r="C18" s="21" t="n"/>
      <c r="D18" s="21" t="n"/>
      <c r="E18" s="21" t="n"/>
      <c r="F18" s="21" t="n"/>
      <c r="H18" s="22" t="inlineStr">
        <is>
          <t>MES ANTERIOR · Fact.6308</t>
        </is>
      </c>
      <c r="I18" s="23" t="n"/>
      <c r="J18" s="23" t="n"/>
      <c r="L18" s="24" t="inlineStr">
        <is>
          <t>AÑO ANTERIOR · Fact.4584</t>
        </is>
      </c>
      <c r="M18" s="25" t="n"/>
      <c r="N18" s="25" t="n"/>
      <c r="R18" s="26" t="inlineStr">
        <is>
          <t>Cobrado total: 2.120 €</t>
        </is>
      </c>
    </row>
    <row r="19">
      <c r="B19" s="7" t="inlineStr">
        <is>
          <t>Cant</t>
        </is>
      </c>
      <c r="C19" s="7" t="inlineStr">
        <is>
          <t>Días</t>
        </is>
      </c>
      <c r="D19" s="7" t="inlineStr">
        <is>
          <t>PC real</t>
        </is>
      </c>
      <c r="E19" s="7" t="inlineStr">
        <is>
          <t>PV</t>
        </is>
      </c>
      <c r="F19" s="7" t="inlineStr">
        <is>
          <t>Importe</t>
        </is>
      </c>
      <c r="H19" s="27" t="inlineStr">
        <is>
          <t>Cant</t>
        </is>
      </c>
      <c r="I19" s="27" t="inlineStr">
        <is>
          <t>PV</t>
        </is>
      </c>
      <c r="J19" s="27" t="inlineStr">
        <is>
          <t>Importe</t>
        </is>
      </c>
      <c r="L19" s="28" t="inlineStr">
        <is>
          <t>Cant</t>
        </is>
      </c>
      <c r="M19" s="28" t="inlineStr">
        <is>
          <t>PV</t>
        </is>
      </c>
      <c r="N19" s="28" t="inlineStr">
        <is>
          <t>Importe</t>
        </is>
      </c>
      <c r="R19" s="29" t="inlineStr">
        <is>
          <t>Pagado total: 1.617 €</t>
        </is>
      </c>
    </row>
    <row r="20">
      <c r="A20" s="30" t="inlineStr">
        <is>
          <t>P1 Potencia</t>
        </is>
      </c>
      <c r="B20" s="31" t="n">
        <v>10.392</v>
      </c>
      <c r="C20" s="32">
        <f>$N$17-$L$17+1</f>
        <v/>
      </c>
      <c r="D20" s="33" t="n">
        <v>3.68919</v>
      </c>
      <c r="E20" s="34" t="n">
        <v>4.82</v>
      </c>
      <c r="F20" s="35">
        <f>ROUND(B20*E20,2)</f>
        <v/>
      </c>
      <c r="H20" s="36" t="n">
        <v>10.392</v>
      </c>
      <c r="I20" s="37" t="n">
        <v>4.82</v>
      </c>
      <c r="J20" s="38">
        <f>ROUND(H20*I20,2)</f>
        <v/>
      </c>
      <c r="L20" s="39" t="n">
        <v>10.392</v>
      </c>
      <c r="M20" s="40" t="n">
        <v>4.82</v>
      </c>
      <c r="N20" s="41">
        <f>ROUND(L20*M20,2)</f>
        <v/>
      </c>
      <c r="R20" s="42" t="inlineStr">
        <is>
          <t>DIF: 503 €   ·   Margen hist.: 23.7%</t>
        </is>
      </c>
    </row>
    <row r="21">
      <c r="A21" s="30" t="inlineStr">
        <is>
          <t>P2 Potencia</t>
        </is>
      </c>
      <c r="B21" s="31" t="n">
        <v>10.392</v>
      </c>
      <c r="C21" s="32">
        <f>$N$17-$L$17+1</f>
        <v/>
      </c>
      <c r="D21" s="33" t="n">
        <v>1.31928</v>
      </c>
      <c r="E21" s="34" t="n">
        <v>2.37</v>
      </c>
      <c r="F21" s="35">
        <f>ROUND(B21*E21,2)</f>
        <v/>
      </c>
      <c r="H21" s="36" t="n">
        <v>10.392</v>
      </c>
      <c r="I21" s="37" t="n">
        <v>2.37</v>
      </c>
      <c r="J21" s="38">
        <f>ROUND(H21*I21,2)</f>
        <v/>
      </c>
      <c r="L21" s="39" t="n">
        <v>10.392</v>
      </c>
      <c r="M21" s="40" t="n">
        <v>2.37</v>
      </c>
      <c r="N21" s="41">
        <f>ROUND(L21*M21,2)</f>
        <v/>
      </c>
      <c r="R21" s="43" t="inlineStr">
        <is>
          <t>Mejor mes: 2024-07 · 345 € · margen 79%</t>
        </is>
      </c>
    </row>
    <row r="22">
      <c r="A22" s="30" t="inlineStr">
        <is>
          <t>P1 Energía</t>
        </is>
      </c>
      <c r="B22" s="31">
        <f>IF($P$22&lt;&gt;"",ROUND(AA22*(($AB$22/(1-$P$22))-74.7185)/100.7259,2),IF('Resumen'!$D$3="OPTIMIZAR",ROUND(MAX(AA22,MIN(AA22*(($AB$22/(1-'Resumen'!$F$3))-74.7185)/100.7259,AA22*(259.0793)/100.7259)),3),AA22))</f>
        <v/>
      </c>
      <c r="C22" s="44" t="n"/>
      <c r="D22" s="33" t="n">
        <v>0.111171</v>
      </c>
      <c r="E22" s="34" t="n">
        <v>0.17</v>
      </c>
      <c r="F22" s="35">
        <f>ROUND(B22*E22,2)</f>
        <v/>
      </c>
      <c r="H22" s="36" t="n">
        <v>309.614</v>
      </c>
      <c r="I22" s="37" t="n">
        <v>0.175</v>
      </c>
      <c r="J22" s="38">
        <f>ROUND(H22*I22,2)</f>
        <v/>
      </c>
      <c r="L22" s="39" t="n">
        <v>77.5</v>
      </c>
      <c r="M22" s="40" t="n">
        <v>0.175</v>
      </c>
      <c r="N22" s="41">
        <f>ROUND(L22*M22,2)</f>
        <v/>
      </c>
      <c r="O22" s="45" t="inlineStr">
        <is>
          <t>Margen objetivo (edita % aquí) ▶</t>
        </is>
      </c>
      <c r="P22" s="5" t="n"/>
      <c r="R22" s="43" t="inlineStr">
        <is>
          <t>Peor mes: 2024-08 · 84 € · margen 37%</t>
        </is>
      </c>
      <c r="AA22" t="n">
        <v>177.5</v>
      </c>
      <c r="AB22">
        <f>B20*D20+B21*D21+AA22*D22+AA23*D23+AA24*D24</f>
        <v/>
      </c>
    </row>
    <row r="23">
      <c r="A23" s="30" t="inlineStr">
        <is>
          <t>P2 Energía</t>
        </is>
      </c>
      <c r="B23" s="31">
        <f>IF($P$22&lt;&gt;"",ROUND(AA23*(($AB$22/(1-$P$22))-74.7185)/100.7259,2),IF('Resumen'!$D$3="OPTIMIZAR",ROUND(MAX(AA23,MIN(AA23*(($AB$22/(1-'Resumen'!$F$3))-74.7185)/100.7259,AA23*(259.0793)/100.7259)),3),AA23))</f>
        <v/>
      </c>
      <c r="C23" s="44" t="n"/>
      <c r="D23" s="33" t="n">
        <v>0.111171</v>
      </c>
      <c r="E23" s="34" t="n">
        <v>0.17</v>
      </c>
      <c r="F23" s="35">
        <f>ROUND(B23*E23,2)</f>
        <v/>
      </c>
      <c r="H23" s="36" t="n">
        <v>186.461</v>
      </c>
      <c r="I23" s="37" t="n">
        <v>0.175</v>
      </c>
      <c r="J23" s="38">
        <f>ROUND(H23*I23,2)</f>
        <v/>
      </c>
      <c r="L23" s="39" t="n">
        <v>68.86</v>
      </c>
      <c r="M23" s="40" t="n">
        <v>0.175</v>
      </c>
      <c r="N23" s="41">
        <f>ROUND(L23*M23,2)</f>
        <v/>
      </c>
      <c r="O23" s="46" t="inlineStr">
        <is>
          <t>Cant. P1/P2/P3 energía suben</t>
        </is>
      </c>
      <c r="R23" s="43" t="inlineStr">
        <is>
          <t>Importe mensual cobrado (€) · 24 meses ▾</t>
        </is>
      </c>
      <c r="AA23" t="n">
        <v>168.86</v>
      </c>
    </row>
    <row r="24">
      <c r="A24" s="30" t="inlineStr">
        <is>
          <t>P3 Energía</t>
        </is>
      </c>
      <c r="B24" s="31">
        <f>IF($P$22&lt;&gt;"",ROUND(AA24*(($AB$22/(1-$P$22))-74.7185)/100.7259,2),IF('Resumen'!$D$3="OPTIMIZAR",ROUND(MAX(AA24,MIN(AA24*(($AB$22/(1-'Resumen'!$F$3))-74.7185)/100.7259,AA24*(259.0793)/100.7259)),3),AA24))</f>
        <v/>
      </c>
      <c r="C24" s="44" t="n"/>
      <c r="D24" s="33" t="n">
        <v>0.111171</v>
      </c>
      <c r="E24" s="34" t="n">
        <v>0.17</v>
      </c>
      <c r="F24" s="35">
        <f>ROUND(B24*E24,2)</f>
        <v/>
      </c>
      <c r="H24" s="36" t="n">
        <v>355.272</v>
      </c>
      <c r="I24" s="37" t="n">
        <v>0.175</v>
      </c>
      <c r="J24" s="38">
        <f>ROUND(H24*I24,2)</f>
        <v/>
      </c>
      <c r="L24" s="39" t="n">
        <v>146.145</v>
      </c>
      <c r="M24" s="40" t="n">
        <v>0.175</v>
      </c>
      <c r="N24" s="41">
        <f>ROUND(L24*M24,2)</f>
        <v/>
      </c>
      <c r="O24" s="46" t="inlineStr">
        <is>
          <t>en proporción para ese margen</t>
        </is>
      </c>
      <c r="AA24" t="n">
        <v>246.145</v>
      </c>
    </row>
    <row r="25">
      <c r="A25" s="30" t="inlineStr">
        <is>
          <t>Alquiler contador</t>
        </is>
      </c>
      <c r="B25" s="31" t="n">
        <v>1</v>
      </c>
      <c r="C25" s="32">
        <f>$N$17-$L$17+1</f>
        <v/>
      </c>
      <c r="D25" s="33" t="n">
        <v>1.3414</v>
      </c>
      <c r="E25" s="34" t="n">
        <v>1</v>
      </c>
      <c r="F25" s="35">
        <f>ROUND(B25*E25,2)</f>
        <v/>
      </c>
      <c r="H25" s="36" t="n">
        <v>1</v>
      </c>
      <c r="I25" s="37" t="n">
        <v>1</v>
      </c>
      <c r="J25" s="38">
        <f>ROUND(H25*I25,2)</f>
        <v/>
      </c>
      <c r="L25" s="39" t="n">
        <v>1</v>
      </c>
      <c r="M25" s="40" t="n">
        <v>1</v>
      </c>
      <c r="N25" s="41">
        <f>ROUND(L25*M25,2)</f>
        <v/>
      </c>
    </row>
    <row r="26">
      <c r="A26" s="30" t="inlineStr">
        <is>
          <t>Bono social</t>
        </is>
      </c>
      <c r="B26" s="31" t="n">
        <v>30</v>
      </c>
      <c r="C26" s="32">
        <f>$N$17-$L$17+1</f>
        <v/>
      </c>
      <c r="D26" s="33" t="n">
        <v>0.5736</v>
      </c>
      <c r="E26" s="34" t="n">
        <v>0.01274</v>
      </c>
      <c r="F26" s="35">
        <f>ROUND(B26*E26,2)</f>
        <v/>
      </c>
      <c r="H26" s="36" t="n">
        <v>30</v>
      </c>
      <c r="I26" s="37" t="n">
        <v>0.01274</v>
      </c>
      <c r="J26" s="38">
        <f>ROUND(H26*I26,2)</f>
        <v/>
      </c>
      <c r="L26" s="39" t="n">
        <v>30</v>
      </c>
      <c r="M26" s="40" t="n">
        <v>0.00685</v>
      </c>
      <c r="N26" s="41">
        <f>ROUND(L26*M26,2)</f>
        <v/>
      </c>
    </row>
    <row r="27">
      <c r="A27" s="30" t="inlineStr">
        <is>
          <t>Tasa eléctrica</t>
        </is>
      </c>
      <c r="B27" s="31" t="n">
        <v>9.369999999999999</v>
      </c>
      <c r="C27" s="44" t="n"/>
      <c r="D27" s="33" t="n">
        <v>0.27312</v>
      </c>
      <c r="E27" s="34" t="n">
        <v>1</v>
      </c>
      <c r="F27" s="35">
        <f>ROUND(B27*E27,2)</f>
        <v/>
      </c>
      <c r="H27" s="36" t="n">
        <v>12.1</v>
      </c>
      <c r="I27" s="37" t="n">
        <v>1</v>
      </c>
      <c r="J27" s="38">
        <f>ROUND(H27*I27,2)</f>
        <v/>
      </c>
      <c r="L27" s="39" t="n">
        <v>6.44</v>
      </c>
      <c r="M27" s="40" t="n">
        <v>1</v>
      </c>
      <c r="N27" s="41">
        <f>ROUND(L27*M27,2)</f>
        <v/>
      </c>
    </row>
    <row r="28">
      <c r="A28" s="47" t="inlineStr">
        <is>
          <t>TOTAL c/IVA</t>
        </is>
      </c>
      <c r="F28" s="48">
        <f>ROUND((SUM(F20:F27)-F27)*1.1+F27,2)</f>
        <v/>
      </c>
      <c r="J28" s="49">
        <f>ROUND(SUM(J20:J27),2)</f>
        <v/>
      </c>
      <c r="N28" s="50">
        <f>ROUND(SUM(N20:N27),2)</f>
        <v/>
      </c>
    </row>
    <row r="29">
      <c r="A29" s="19" t="inlineStr">
        <is>
          <t>MARGEN sin registrar</t>
        </is>
      </c>
      <c r="B29" s="51">
        <f>IF((F23+F20+F22+F24+F21)=0,"",((F23+F20+F22+F24+F21)-$AB$22)/(F23+F20+F22+F24+F21))</f>
        <v/>
      </c>
      <c r="D29" s="52">
        <f>IF(B29="","SIN PC",IF(B29&gt;=0.3,"APROBAR",IF(B29&gt;=0.2,"REVISAR","RECHAZAR")))</f>
        <v/>
      </c>
      <c r="E29" s="53" t="n"/>
      <c r="F29" s="54" t="n"/>
      <c r="AD29">
        <f>SUM(F22:F24)-100.7259</f>
        <v/>
      </c>
    </row>
    <row r="31">
      <c r="A31" s="15" t="inlineStr">
        <is>
          <t>Factura 8552 · C02130 · FUNDACIÓN FSU PROGRAMAS INTERNACIONALES</t>
        </is>
      </c>
      <c r="H31" s="15" t="inlineStr">
        <is>
          <t>ES0021000012268833JD · Naturgy</t>
        </is>
      </c>
      <c r="L31" s="16" t="n">
        <v>46113</v>
      </c>
      <c r="M31" s="17" t="inlineStr">
        <is>
          <t>a</t>
        </is>
      </c>
      <c r="N31" s="16" t="n">
        <v>46142</v>
      </c>
      <c r="R31" s="18" t="inlineStr">
        <is>
          <t>HISTÓRICO DEL CUPS · HOJA TTVA LUZ</t>
        </is>
      </c>
    </row>
    <row r="32">
      <c r="A32" s="19" t="inlineStr">
        <is>
          <t>Concepto</t>
        </is>
      </c>
      <c r="B32" s="20" t="inlineStr">
        <is>
          <t>PENDIENTE (sin registrar)</t>
        </is>
      </c>
      <c r="C32" s="21" t="n"/>
      <c r="D32" s="21" t="n"/>
      <c r="E32" s="21" t="n"/>
      <c r="F32" s="21" t="n"/>
      <c r="H32" s="22" t="inlineStr">
        <is>
          <t>MES ANTERIOR · Fact.6311</t>
        </is>
      </c>
      <c r="I32" s="23" t="n"/>
      <c r="J32" s="23" t="n"/>
      <c r="L32" s="24" t="inlineStr">
        <is>
          <t>AÑO ANTERIOR · Fact.4585</t>
        </is>
      </c>
      <c r="M32" s="25" t="n"/>
      <c r="N32" s="25" t="n"/>
      <c r="R32" s="26" t="inlineStr">
        <is>
          <t>Cobrado total: 3.194 €</t>
        </is>
      </c>
    </row>
    <row r="33">
      <c r="B33" s="7" t="inlineStr">
        <is>
          <t>Cant</t>
        </is>
      </c>
      <c r="C33" s="7" t="inlineStr">
        <is>
          <t>Días</t>
        </is>
      </c>
      <c r="D33" s="7" t="inlineStr">
        <is>
          <t>PC real</t>
        </is>
      </c>
      <c r="E33" s="7" t="inlineStr">
        <is>
          <t>PV</t>
        </is>
      </c>
      <c r="F33" s="7" t="inlineStr">
        <is>
          <t>Importe</t>
        </is>
      </c>
      <c r="H33" s="27" t="inlineStr">
        <is>
          <t>Cant</t>
        </is>
      </c>
      <c r="I33" s="27" t="inlineStr">
        <is>
          <t>PV</t>
        </is>
      </c>
      <c r="J33" s="27" t="inlineStr">
        <is>
          <t>Importe</t>
        </is>
      </c>
      <c r="L33" s="28" t="inlineStr">
        <is>
          <t>Cant</t>
        </is>
      </c>
      <c r="M33" s="28" t="inlineStr">
        <is>
          <t>PV</t>
        </is>
      </c>
      <c r="N33" s="28" t="inlineStr">
        <is>
          <t>Importe</t>
        </is>
      </c>
      <c r="R33" s="29" t="inlineStr">
        <is>
          <t>Pagado total: 2.235 €</t>
        </is>
      </c>
    </row>
    <row r="34">
      <c r="A34" s="30" t="inlineStr">
        <is>
          <t>P1 Potencia</t>
        </is>
      </c>
      <c r="B34" s="31" t="n">
        <v>6.928</v>
      </c>
      <c r="C34" s="32">
        <f>$N$31-$L$31+1</f>
        <v/>
      </c>
      <c r="D34" s="33" t="n">
        <v>3.68919</v>
      </c>
      <c r="E34" s="34" t="n">
        <v>4.82</v>
      </c>
      <c r="F34" s="35">
        <f>ROUND(B34*E34,2)</f>
        <v/>
      </c>
      <c r="H34" s="36" t="n">
        <v>6.928</v>
      </c>
      <c r="I34" s="37" t="n">
        <v>4.82</v>
      </c>
      <c r="J34" s="38">
        <f>ROUND(H34*I34,2)</f>
        <v/>
      </c>
      <c r="L34" s="39" t="n">
        <v>6.928</v>
      </c>
      <c r="M34" s="40" t="n">
        <v>4.82</v>
      </c>
      <c r="N34" s="41">
        <f>ROUND(L34*M34,2)</f>
        <v/>
      </c>
      <c r="R34" s="42" t="inlineStr">
        <is>
          <t>DIF: 960 €   ·   Margen hist.: 30.0%</t>
        </is>
      </c>
    </row>
    <row r="35">
      <c r="A35" s="30" t="inlineStr">
        <is>
          <t>P2 Potencia</t>
        </is>
      </c>
      <c r="B35" s="31" t="n">
        <v>6.928</v>
      </c>
      <c r="C35" s="32">
        <f>$N$31-$L$31+1</f>
        <v/>
      </c>
      <c r="D35" s="33" t="n">
        <v>1.31928</v>
      </c>
      <c r="E35" s="34" t="n">
        <v>2.37</v>
      </c>
      <c r="F35" s="35">
        <f>ROUND(B35*E35,2)</f>
        <v/>
      </c>
      <c r="H35" s="36" t="n">
        <v>6.928</v>
      </c>
      <c r="I35" s="37" t="n">
        <v>2.37</v>
      </c>
      <c r="J35" s="38">
        <f>ROUND(H35*I35,2)</f>
        <v/>
      </c>
      <c r="L35" s="39" t="n">
        <v>6.928</v>
      </c>
      <c r="M35" s="40" t="n">
        <v>2.37</v>
      </c>
      <c r="N35" s="41">
        <f>ROUND(L35*M35,2)</f>
        <v/>
      </c>
      <c r="R35" s="43" t="inlineStr">
        <is>
          <t>Mejor mes: 2024-07 · 613 € · margen 71%</t>
        </is>
      </c>
    </row>
    <row r="36">
      <c r="A36" s="30" t="inlineStr">
        <is>
          <t>P1 Energía</t>
        </is>
      </c>
      <c r="B36" s="31">
        <f>IF($P$36&lt;&gt;"",ROUND(AA36*(($AB$36/(1-$P$36))-49.8123)/207.1457,2),IF('Resumen'!$D$3="OPTIMIZAR",ROUND(MAX(AA36,MIN(AA36*(($AB$36/(1-'Resumen'!$F$3))-49.8123)/207.1457,AA36*(548.5955)/207.1457)),3),AA36))</f>
        <v/>
      </c>
      <c r="C36" s="44" t="n"/>
      <c r="D36" s="33" t="n">
        <v>0.111171</v>
      </c>
      <c r="E36" s="34" t="n">
        <v>0.17</v>
      </c>
      <c r="F36" s="35">
        <f>ROUND(B36*E36,2)</f>
        <v/>
      </c>
      <c r="H36" s="36" t="n">
        <v>250.417</v>
      </c>
      <c r="I36" s="37" t="n">
        <v>0.175</v>
      </c>
      <c r="J36" s="38">
        <f>ROUND(H36*I36,2)</f>
        <v/>
      </c>
      <c r="L36" s="39" t="n">
        <v>201.884</v>
      </c>
      <c r="M36" s="40" t="n">
        <v>0.175</v>
      </c>
      <c r="N36" s="41">
        <f>ROUND(L36*M36,2)</f>
        <v/>
      </c>
      <c r="O36" s="45" t="inlineStr">
        <is>
          <t>Margen objetivo (edita % aquí) ▶</t>
        </is>
      </c>
      <c r="P36" s="5" t="n"/>
      <c r="R36" s="43" t="inlineStr">
        <is>
          <t>Peor mes: 2024-08 · 129 € · margen 25%</t>
        </is>
      </c>
      <c r="AA36" t="n">
        <v>301.884</v>
      </c>
      <c r="AB36">
        <f>B34*D34+B35*D35+AA36*D36+AA37*D37+AA38*D38</f>
        <v/>
      </c>
    </row>
    <row r="37">
      <c r="A37" s="30" t="inlineStr">
        <is>
          <t>P2 Energía</t>
        </is>
      </c>
      <c r="B37" s="31">
        <f>IF($P$36&lt;&gt;"",ROUND(AA37*(($AB$36/(1-$P$36))-49.8123)/207.1457,2),IF('Resumen'!$D$3="OPTIMIZAR",ROUND(MAX(AA37,MIN(AA37*(($AB$36/(1-'Resumen'!$F$3))-49.8123)/207.1457,AA37*(548.5955)/207.1457)),3),AA37))</f>
        <v/>
      </c>
      <c r="C37" s="44" t="n"/>
      <c r="D37" s="33" t="n">
        <v>0.111171</v>
      </c>
      <c r="E37" s="34" t="n">
        <v>0.17</v>
      </c>
      <c r="F37" s="35">
        <f>ROUND(B37*E37,2)</f>
        <v/>
      </c>
      <c r="H37" s="36" t="n">
        <v>234.006</v>
      </c>
      <c r="I37" s="37" t="n">
        <v>0.175</v>
      </c>
      <c r="J37" s="38">
        <f>ROUND(H37*I37,2)</f>
        <v/>
      </c>
      <c r="L37" s="39" t="n">
        <v>174.313</v>
      </c>
      <c r="M37" s="40" t="n">
        <v>0.175</v>
      </c>
      <c r="N37" s="41">
        <f>ROUND(L37*M37,2)</f>
        <v/>
      </c>
      <c r="O37" s="46" t="inlineStr">
        <is>
          <t>Cant. P1/P2/P3 energía suben</t>
        </is>
      </c>
      <c r="R37" s="43" t="inlineStr">
        <is>
          <t>Importe mensual cobrado (€) · 24 meses ▾</t>
        </is>
      </c>
      <c r="AA37" t="n">
        <v>374.313</v>
      </c>
    </row>
    <row r="38">
      <c r="A38" s="30" t="inlineStr">
        <is>
          <t>P3 Energía</t>
        </is>
      </c>
      <c r="B38" s="31">
        <f>IF($P$36&lt;&gt;"",ROUND(AA38*(($AB$36/(1-$P$36))-49.8123)/207.1457,2),IF('Resumen'!$D$3="OPTIMIZAR",ROUND(MAX(AA38,MIN(AA38*(($AB$36/(1-'Resumen'!$F$3))-49.8123)/207.1457,AA38*(548.5955)/207.1457)),3),AA38))</f>
        <v/>
      </c>
      <c r="C38" s="44" t="n"/>
      <c r="D38" s="33" t="n">
        <v>0.111171</v>
      </c>
      <c r="E38" s="34" t="n">
        <v>0.17</v>
      </c>
      <c r="F38" s="35">
        <f>ROUND(B38*E38,2)</f>
        <v/>
      </c>
      <c r="H38" s="36" t="n">
        <v>376.925</v>
      </c>
      <c r="I38" s="37" t="n">
        <v>0.175</v>
      </c>
      <c r="J38" s="38">
        <f>ROUND(H38*I38,2)</f>
        <v/>
      </c>
      <c r="L38" s="39" t="n">
        <v>342.307</v>
      </c>
      <c r="M38" s="40" t="n">
        <v>0.175</v>
      </c>
      <c r="N38" s="41">
        <f>ROUND(L38*M38,2)</f>
        <v/>
      </c>
      <c r="O38" s="46" t="inlineStr">
        <is>
          <t>en proporción para ese margen</t>
        </is>
      </c>
      <c r="AA38" t="n">
        <v>542.307</v>
      </c>
    </row>
    <row r="39">
      <c r="A39" s="30" t="inlineStr">
        <is>
          <t>Alquiler contador</t>
        </is>
      </c>
      <c r="B39" s="31" t="n">
        <v>1</v>
      </c>
      <c r="C39" s="32">
        <f>$N$31-$L$31+1</f>
        <v/>
      </c>
      <c r="D39" s="33" t="n">
        <v>1.3414</v>
      </c>
      <c r="E39" s="34" t="n">
        <v>1</v>
      </c>
      <c r="F39" s="35">
        <f>ROUND(B39*E39,2)</f>
        <v/>
      </c>
      <c r="H39" s="36" t="n">
        <v>1</v>
      </c>
      <c r="I39" s="37" t="n">
        <v>1</v>
      </c>
      <c r="J39" s="38">
        <f>ROUND(H39*I39,2)</f>
        <v/>
      </c>
      <c r="L39" s="39" t="n">
        <v>1</v>
      </c>
      <c r="M39" s="40" t="n">
        <v>1</v>
      </c>
      <c r="N39" s="41">
        <f>ROUND(L39*M39,2)</f>
        <v/>
      </c>
    </row>
    <row r="40">
      <c r="A40" s="30" t="inlineStr">
        <is>
          <t>Bono social</t>
        </is>
      </c>
      <c r="B40" s="31" t="n">
        <v>30</v>
      </c>
      <c r="C40" s="32">
        <f>$N$31-$L$31+1</f>
        <v/>
      </c>
      <c r="D40" s="33" t="n">
        <v>0.5736</v>
      </c>
      <c r="E40" s="34" t="n">
        <v>0.01274</v>
      </c>
      <c r="F40" s="35">
        <f>ROUND(B40*E40,2)</f>
        <v/>
      </c>
      <c r="H40" s="36" t="n">
        <v>30</v>
      </c>
      <c r="I40" s="37" t="n">
        <v>0.01274</v>
      </c>
      <c r="J40" s="38">
        <f>ROUND(H40*I40,2)</f>
        <v/>
      </c>
      <c r="L40" s="39" t="n">
        <v>30</v>
      </c>
      <c r="M40" s="40" t="n">
        <v>0.00685</v>
      </c>
      <c r="N40" s="41">
        <f>ROUND(L40*M40,2)</f>
        <v/>
      </c>
    </row>
    <row r="41">
      <c r="A41" s="30" t="inlineStr">
        <is>
          <t>Tasa eléctrica</t>
        </is>
      </c>
      <c r="B41" s="31" t="n">
        <v>13.65</v>
      </c>
      <c r="C41" s="44" t="n"/>
      <c r="D41" s="33" t="n">
        <v>0.27312</v>
      </c>
      <c r="E41" s="34" t="n">
        <v>1</v>
      </c>
      <c r="F41" s="35">
        <f>ROUND(B41*E41,2)</f>
        <v/>
      </c>
      <c r="H41" s="36" t="n">
        <v>12.86</v>
      </c>
      <c r="I41" s="37" t="n">
        <v>1</v>
      </c>
      <c r="J41" s="38">
        <f>ROUND(H41*I41,2)</f>
        <v/>
      </c>
      <c r="L41" s="39" t="n">
        <v>8.83</v>
      </c>
      <c r="M41" s="40" t="n">
        <v>1</v>
      </c>
      <c r="N41" s="41">
        <f>ROUND(L41*M41,2)</f>
        <v/>
      </c>
    </row>
    <row r="42">
      <c r="A42" s="47" t="inlineStr">
        <is>
          <t>TOTAL c/IVA</t>
        </is>
      </c>
      <c r="F42" s="48">
        <f>ROUND((SUM(F34:F41)-F41)*1.1+F41,2)</f>
        <v/>
      </c>
      <c r="J42" s="49">
        <f>ROUND(SUM(J34:J41),2)</f>
        <v/>
      </c>
      <c r="N42" s="50">
        <f>ROUND(SUM(N34:N41),2)</f>
        <v/>
      </c>
    </row>
    <row r="43">
      <c r="A43" s="19" t="inlineStr">
        <is>
          <t>MARGEN sin registrar</t>
        </is>
      </c>
      <c r="B43" s="51">
        <f>IF((F37+F34+F36+F38+F35)=0,"",((F37+F34+F36+F38+F35)-$AB$36)/(F37+F34+F36+F38+F35))</f>
        <v/>
      </c>
      <c r="D43" s="52">
        <f>IF(B43="","SIN PC",IF(B43&gt;=0.3,"APROBAR",IF(B43&gt;=0.2,"REVISAR","RECHAZAR")))</f>
        <v/>
      </c>
      <c r="E43" s="53" t="n"/>
      <c r="F43" s="54" t="n"/>
      <c r="AD43">
        <f>SUM(F36:F38)-207.1457</f>
        <v/>
      </c>
    </row>
    <row r="45">
      <c r="A45" s="15" t="inlineStr">
        <is>
          <t>Factura 8553 · C02120 · FUNDACIÓN FSU PROGRAMAS INTERNACIONALES</t>
        </is>
      </c>
      <c r="H45" s="15" t="inlineStr">
        <is>
          <t>ES0021000012268831JF · Naturgy</t>
        </is>
      </c>
      <c r="L45" s="16" t="n">
        <v>46113</v>
      </c>
      <c r="M45" s="17" t="inlineStr">
        <is>
          <t>a</t>
        </is>
      </c>
      <c r="N45" s="16" t="n">
        <v>46142</v>
      </c>
      <c r="R45" s="18" t="inlineStr">
        <is>
          <t>HISTÓRICO DEL CUPS · HOJA TTVA LUZ</t>
        </is>
      </c>
    </row>
    <row r="46">
      <c r="A46" s="19" t="inlineStr">
        <is>
          <t>Concepto</t>
        </is>
      </c>
      <c r="B46" s="20" t="inlineStr">
        <is>
          <t>PENDIENTE (sin registrar)</t>
        </is>
      </c>
      <c r="C46" s="21" t="n"/>
      <c r="D46" s="21" t="n"/>
      <c r="E46" s="21" t="n"/>
      <c r="F46" s="21" t="n"/>
      <c r="H46" s="22" t="inlineStr">
        <is>
          <t>MES ANTERIOR · Fact.6314</t>
        </is>
      </c>
      <c r="I46" s="23" t="n"/>
      <c r="J46" s="23" t="n"/>
      <c r="L46" s="24" t="inlineStr">
        <is>
          <t>AÑO ANTERIOR · Fact.4586</t>
        </is>
      </c>
      <c r="M46" s="25" t="n"/>
      <c r="N46" s="25" t="n"/>
      <c r="R46" s="26" t="inlineStr">
        <is>
          <t>Cobrado total: 2.606 €</t>
        </is>
      </c>
    </row>
    <row r="47">
      <c r="B47" s="7" t="inlineStr">
        <is>
          <t>Cant</t>
        </is>
      </c>
      <c r="C47" s="7" t="inlineStr">
        <is>
          <t>Días</t>
        </is>
      </c>
      <c r="D47" s="7" t="inlineStr">
        <is>
          <t>PC real</t>
        </is>
      </c>
      <c r="E47" s="7" t="inlineStr">
        <is>
          <t>PV</t>
        </is>
      </c>
      <c r="F47" s="7" t="inlineStr">
        <is>
          <t>Importe</t>
        </is>
      </c>
      <c r="H47" s="27" t="inlineStr">
        <is>
          <t>Cant</t>
        </is>
      </c>
      <c r="I47" s="27" t="inlineStr">
        <is>
          <t>PV</t>
        </is>
      </c>
      <c r="J47" s="27" t="inlineStr">
        <is>
          <t>Importe</t>
        </is>
      </c>
      <c r="L47" s="28" t="inlineStr">
        <is>
          <t>Cant</t>
        </is>
      </c>
      <c r="M47" s="28" t="inlineStr">
        <is>
          <t>PV</t>
        </is>
      </c>
      <c r="N47" s="28" t="inlineStr">
        <is>
          <t>Importe</t>
        </is>
      </c>
      <c r="R47" s="29" t="inlineStr">
        <is>
          <t>Pagado total: 1.842 €</t>
        </is>
      </c>
    </row>
    <row r="48">
      <c r="A48" s="30" t="inlineStr">
        <is>
          <t>P1 Potencia</t>
        </is>
      </c>
      <c r="B48" s="31" t="n">
        <v>6.928</v>
      </c>
      <c r="C48" s="32">
        <f>$N$45-$L$45+1</f>
        <v/>
      </c>
      <c r="D48" s="33" t="n">
        <v>3.68919</v>
      </c>
      <c r="E48" s="34" t="n">
        <v>4.82</v>
      </c>
      <c r="F48" s="35">
        <f>ROUND(B48*E48,2)</f>
        <v/>
      </c>
      <c r="H48" s="36" t="n">
        <v>6.928</v>
      </c>
      <c r="I48" s="37" t="n">
        <v>4.82</v>
      </c>
      <c r="J48" s="38">
        <f>ROUND(H48*I48,2)</f>
        <v/>
      </c>
      <c r="L48" s="39" t="n">
        <v>6.928</v>
      </c>
      <c r="M48" s="40" t="n">
        <v>4.82</v>
      </c>
      <c r="N48" s="41">
        <f>ROUND(L48*M48,2)</f>
        <v/>
      </c>
      <c r="R48" s="42" t="inlineStr">
        <is>
          <t>DIF: 764 €   ·   Margen hist.: 29.3%</t>
        </is>
      </c>
    </row>
    <row r="49">
      <c r="A49" s="30" t="inlineStr">
        <is>
          <t>P2 Potencia</t>
        </is>
      </c>
      <c r="B49" s="31" t="n">
        <v>6.928</v>
      </c>
      <c r="C49" s="32">
        <f>$N$45-$L$45+1</f>
        <v/>
      </c>
      <c r="D49" s="33" t="n">
        <v>1.31928</v>
      </c>
      <c r="E49" s="34" t="n">
        <v>2.37</v>
      </c>
      <c r="F49" s="35">
        <f>ROUND(B49*E49,2)</f>
        <v/>
      </c>
      <c r="H49" s="36" t="n">
        <v>6.928</v>
      </c>
      <c r="I49" s="37" t="n">
        <v>2.37</v>
      </c>
      <c r="J49" s="38">
        <f>ROUND(H49*I49,2)</f>
        <v/>
      </c>
      <c r="L49" s="39" t="n">
        <v>6.928</v>
      </c>
      <c r="M49" s="40" t="n">
        <v>2.37</v>
      </c>
      <c r="N49" s="41">
        <f>ROUND(L49*M49,2)</f>
        <v/>
      </c>
      <c r="R49" s="43" t="inlineStr">
        <is>
          <t>Mejor mes: 2024-07 · 518 € · margen 75%</t>
        </is>
      </c>
    </row>
    <row r="50">
      <c r="A50" s="30" t="inlineStr">
        <is>
          <t>P1 Energía</t>
        </is>
      </c>
      <c r="B50" s="31">
        <f>IF($P$50&lt;&gt;"",ROUND(AA50*(($AB$50/(1-$P$50))-49.8123)/214.3328,2),IF('Resumen'!$D$3="OPTIMIZAR",ROUND(MAX(AA50,MIN(AA50*(($AB$50/(1-'Resumen'!$F$3))-49.8123)/214.3328,AA50*(452.4655)/214.3328)),3),AA50))</f>
        <v/>
      </c>
      <c r="C50" s="44" t="n"/>
      <c r="D50" s="33" t="n">
        <v>0.142913</v>
      </c>
      <c r="E50" s="34" t="n">
        <v>0.17</v>
      </c>
      <c r="F50" s="35">
        <f>ROUND(B50*E50,2)</f>
        <v/>
      </c>
      <c r="H50" s="36" t="n">
        <v>258.447</v>
      </c>
      <c r="I50" s="37" t="n">
        <v>0.175</v>
      </c>
      <c r="J50" s="38">
        <f>ROUND(H50*I50,2)</f>
        <v/>
      </c>
      <c r="L50" s="39" t="n">
        <v>173.974</v>
      </c>
      <c r="M50" s="40" t="n">
        <v>0.175</v>
      </c>
      <c r="N50" s="41">
        <f>ROUND(L50*M50,2)</f>
        <v/>
      </c>
      <c r="O50" s="45" t="inlineStr">
        <is>
          <t>Margen objetivo (edita % aquí) ▶</t>
        </is>
      </c>
      <c r="P50" s="5" t="n"/>
      <c r="R50" s="43" t="inlineStr">
        <is>
          <t>Peor mes: 2024-08 · 116 € · margen 27%</t>
        </is>
      </c>
      <c r="AA50" t="n">
        <v>373.974</v>
      </c>
      <c r="AB50">
        <f>B48*D48+B49*D49+AA50*D50+AA51*D51+AA52*D52</f>
        <v/>
      </c>
    </row>
    <row r="51">
      <c r="A51" s="30" t="inlineStr">
        <is>
          <t>P2 Energía</t>
        </is>
      </c>
      <c r="B51" s="31">
        <f>IF($P$50&lt;&gt;"",ROUND(AA51*(($AB$50/(1-$P$50))-49.8123)/214.3328,2),IF('Resumen'!$D$3="OPTIMIZAR",ROUND(MAX(AA51,MIN(AA51*(($AB$50/(1-'Resumen'!$F$3))-49.8123)/214.3328,AA51*(452.4655)/214.3328)),3),AA51))</f>
        <v/>
      </c>
      <c r="C51" s="44" t="n"/>
      <c r="D51" s="33" t="n">
        <v>0.142913</v>
      </c>
      <c r="E51" s="34" t="n">
        <v>0.17</v>
      </c>
      <c r="F51" s="35">
        <f>ROUND(B51*E51,2)</f>
        <v/>
      </c>
      <c r="H51" s="36" t="n">
        <v>239.045</v>
      </c>
      <c r="I51" s="37" t="n">
        <v>0.175</v>
      </c>
      <c r="J51" s="38">
        <f>ROUND(H51*I51,2)</f>
        <v/>
      </c>
      <c r="L51" s="39" t="n">
        <v>156.102</v>
      </c>
      <c r="M51" s="40" t="n">
        <v>0.175</v>
      </c>
      <c r="N51" s="41">
        <f>ROUND(L51*M51,2)</f>
        <v/>
      </c>
      <c r="O51" s="46" t="inlineStr">
        <is>
          <t>Cant. P1/P2/P3 energía suben</t>
        </is>
      </c>
      <c r="R51" s="43" t="inlineStr">
        <is>
          <t>Importe mensual cobrado (€) · 24 meses ▾</t>
        </is>
      </c>
      <c r="AA51" t="n">
        <v>356.102</v>
      </c>
    </row>
    <row r="52">
      <c r="A52" s="30" t="inlineStr">
        <is>
          <t>P3 Energía</t>
        </is>
      </c>
      <c r="B52" s="31">
        <f>IF($P$50&lt;&gt;"",ROUND(AA52*(($AB$50/(1-$P$50))-49.8123)/214.3328,2),IF('Resumen'!$D$3="OPTIMIZAR",ROUND(MAX(AA52,MIN(AA52*(($AB$50/(1-'Resumen'!$F$3))-49.8123)/214.3328,AA52*(452.4655)/214.3328)),3),AA52))</f>
        <v/>
      </c>
      <c r="C52" s="44" t="n"/>
      <c r="D52" s="33" t="n">
        <v>0.142913</v>
      </c>
      <c r="E52" s="34" t="n">
        <v>0.17</v>
      </c>
      <c r="F52" s="35">
        <f>ROUND(B52*E52,2)</f>
        <v/>
      </c>
      <c r="H52" s="36" t="n">
        <v>473.601</v>
      </c>
      <c r="I52" s="37" t="n">
        <v>0.175</v>
      </c>
      <c r="J52" s="38">
        <f>ROUND(H52*I52,2)</f>
        <v/>
      </c>
      <c r="L52" s="39" t="n">
        <v>330.705</v>
      </c>
      <c r="M52" s="40" t="n">
        <v>0.175</v>
      </c>
      <c r="N52" s="41">
        <f>ROUND(L52*M52,2)</f>
        <v/>
      </c>
      <c r="O52" s="46" t="inlineStr">
        <is>
          <t>en proporción para ese margen</t>
        </is>
      </c>
      <c r="AA52" t="n">
        <v>530.705</v>
      </c>
    </row>
    <row r="53">
      <c r="A53" s="30" t="inlineStr">
        <is>
          <t>Alquiler contador</t>
        </is>
      </c>
      <c r="B53" s="31" t="n">
        <v>1</v>
      </c>
      <c r="C53" s="32">
        <f>$N$45-$L$45+1</f>
        <v/>
      </c>
      <c r="D53" s="33" t="n">
        <v>1.3414</v>
      </c>
      <c r="E53" s="34" t="n">
        <v>1</v>
      </c>
      <c r="F53" s="35">
        <f>ROUND(B53*E53,2)</f>
        <v/>
      </c>
      <c r="H53" s="36" t="n">
        <v>1</v>
      </c>
      <c r="I53" s="37" t="n">
        <v>1</v>
      </c>
      <c r="J53" s="38">
        <f>ROUND(H53*I53,2)</f>
        <v/>
      </c>
      <c r="L53" s="39" t="n">
        <v>1</v>
      </c>
      <c r="M53" s="40" t="n">
        <v>1</v>
      </c>
      <c r="N53" s="41">
        <f>ROUND(L53*M53,2)</f>
        <v/>
      </c>
    </row>
    <row r="54">
      <c r="A54" s="30" t="inlineStr">
        <is>
          <t>Bono social</t>
        </is>
      </c>
      <c r="B54" s="31" t="n">
        <v>30</v>
      </c>
      <c r="C54" s="32">
        <f>$N$45-$L$45+1</f>
        <v/>
      </c>
      <c r="D54" s="33" t="n">
        <v>0.5736</v>
      </c>
      <c r="E54" s="34" t="n">
        <v>0.01274</v>
      </c>
      <c r="F54" s="35">
        <f>ROUND(B54*E54,2)</f>
        <v/>
      </c>
      <c r="H54" s="36" t="n">
        <v>30</v>
      </c>
      <c r="I54" s="37" t="n">
        <v>0.00685</v>
      </c>
      <c r="J54" s="38">
        <f>ROUND(H54*I54,2)</f>
        <v/>
      </c>
      <c r="L54" s="39" t="n">
        <v>30</v>
      </c>
      <c r="M54" s="40" t="n">
        <v>0.00685</v>
      </c>
      <c r="N54" s="41">
        <f>ROUND(L54*M54,2)</f>
        <v/>
      </c>
    </row>
    <row r="55">
      <c r="A55" s="30" t="inlineStr">
        <is>
          <t>Tasa eléctrica</t>
        </is>
      </c>
      <c r="B55" s="31" t="n">
        <v>14.01</v>
      </c>
      <c r="C55" s="44" t="n"/>
      <c r="D55" s="33" t="n">
        <v>0.27799</v>
      </c>
      <c r="E55" s="34" t="n">
        <v>1</v>
      </c>
      <c r="F55" s="35">
        <f>ROUND(B55*E55,2)</f>
        <v/>
      </c>
      <c r="H55" s="36" t="n">
        <v>11.67</v>
      </c>
      <c r="I55" s="37" t="n">
        <v>1</v>
      </c>
      <c r="J55" s="38">
        <f>ROUND(H55*I55,2)</f>
        <v/>
      </c>
      <c r="L55" s="39" t="n">
        <v>8.460000000000001</v>
      </c>
      <c r="M55" s="40" t="n">
        <v>1</v>
      </c>
      <c r="N55" s="41">
        <f>ROUND(L55*M55,2)</f>
        <v/>
      </c>
    </row>
    <row r="56">
      <c r="A56" s="47" t="inlineStr">
        <is>
          <t>TOTAL c/IVA</t>
        </is>
      </c>
      <c r="F56" s="48">
        <f>ROUND((SUM(F48:F55)-F55)*1.1+F55,2)</f>
        <v/>
      </c>
      <c r="J56" s="49">
        <f>ROUND(SUM(J48:J55),2)</f>
        <v/>
      </c>
      <c r="N56" s="50">
        <f>ROUND(SUM(N48:N55),2)</f>
        <v/>
      </c>
    </row>
    <row r="57">
      <c r="A57" s="19" t="inlineStr">
        <is>
          <t>MARGEN sin registrar</t>
        </is>
      </c>
      <c r="B57" s="51">
        <f>IF((F51+F48+F50+F52+F49)=0,"",((F51+F48+F50+F52+F49)-$AB$50)/(F51+F48+F50+F52+F49))</f>
        <v/>
      </c>
      <c r="D57" s="52">
        <f>IF(B57="","SIN PC",IF(B57&gt;=0.3,"APROBAR",IF(B57&gt;=0.2,"REVISAR","RECHAZAR")))</f>
        <v/>
      </c>
      <c r="E57" s="53" t="n"/>
      <c r="F57" s="54" t="n"/>
      <c r="AD57">
        <f>SUM(F50:F52)-214.3328</f>
        <v/>
      </c>
    </row>
    <row r="59">
      <c r="A59" s="15" t="inlineStr">
        <is>
          <t>Factura 8554 · C02110 · FUNDACIÓN FSU PROGRAMAS INTERNACIONALES</t>
        </is>
      </c>
      <c r="H59" s="15" t="inlineStr">
        <is>
          <t>ES0021000012268829JM · Naturgy</t>
        </is>
      </c>
      <c r="L59" s="16" t="n">
        <v>46113</v>
      </c>
      <c r="M59" s="17" t="inlineStr">
        <is>
          <t>a</t>
        </is>
      </c>
      <c r="N59" s="16" t="n">
        <v>46142</v>
      </c>
      <c r="R59" s="18" t="inlineStr">
        <is>
          <t>HISTÓRICO DEL CUPS · HOJA TTVA LUZ</t>
        </is>
      </c>
    </row>
    <row r="60">
      <c r="A60" s="19" t="inlineStr">
        <is>
          <t>Concepto</t>
        </is>
      </c>
      <c r="B60" s="20" t="inlineStr">
        <is>
          <t>PENDIENTE (sin registrar)</t>
        </is>
      </c>
      <c r="C60" s="21" t="n"/>
      <c r="D60" s="21" t="n"/>
      <c r="E60" s="21" t="n"/>
      <c r="F60" s="21" t="n"/>
      <c r="H60" s="22" t="inlineStr">
        <is>
          <t>MES ANTERIOR · Fact.6312</t>
        </is>
      </c>
      <c r="I60" s="23" t="n"/>
      <c r="J60" s="23" t="n"/>
      <c r="L60" s="24" t="inlineStr">
        <is>
          <t>AÑO ANTERIOR · Fact.4587</t>
        </is>
      </c>
      <c r="M60" s="25" t="n"/>
      <c r="N60" s="25" t="n"/>
      <c r="R60" s="26" t="inlineStr">
        <is>
          <t>Cobrado total: 5.249 €</t>
        </is>
      </c>
    </row>
    <row r="61">
      <c r="B61" s="7" t="inlineStr">
        <is>
          <t>Cant</t>
        </is>
      </c>
      <c r="C61" s="7" t="inlineStr">
        <is>
          <t>Días</t>
        </is>
      </c>
      <c r="D61" s="7" t="inlineStr">
        <is>
          <t>PC real</t>
        </is>
      </c>
      <c r="E61" s="7" t="inlineStr">
        <is>
          <t>PV</t>
        </is>
      </c>
      <c r="F61" s="7" t="inlineStr">
        <is>
          <t>Importe</t>
        </is>
      </c>
      <c r="H61" s="27" t="inlineStr">
        <is>
          <t>Cant</t>
        </is>
      </c>
      <c r="I61" s="27" t="inlineStr">
        <is>
          <t>PV</t>
        </is>
      </c>
      <c r="J61" s="27" t="inlineStr">
        <is>
          <t>Importe</t>
        </is>
      </c>
      <c r="L61" s="28" t="inlineStr">
        <is>
          <t>Cant</t>
        </is>
      </c>
      <c r="M61" s="28" t="inlineStr">
        <is>
          <t>PV</t>
        </is>
      </c>
      <c r="N61" s="28" t="inlineStr">
        <is>
          <t>Importe</t>
        </is>
      </c>
      <c r="R61" s="29" t="inlineStr">
        <is>
          <t>Pagado total: 3.622 €</t>
        </is>
      </c>
    </row>
    <row r="62">
      <c r="A62" s="30" t="inlineStr">
        <is>
          <t>P1 Potencia</t>
        </is>
      </c>
      <c r="B62" s="31" t="n">
        <v>6.928</v>
      </c>
      <c r="C62" s="32">
        <f>$N$59-$L$59+1</f>
        <v/>
      </c>
      <c r="D62" s="33" t="n">
        <v>3.68919</v>
      </c>
      <c r="E62" s="34" t="n">
        <v>4.82</v>
      </c>
      <c r="F62" s="35">
        <f>ROUND(B62*E62,2)</f>
        <v/>
      </c>
      <c r="H62" s="36" t="n">
        <v>6.928</v>
      </c>
      <c r="I62" s="37" t="n">
        <v>4.82</v>
      </c>
      <c r="J62" s="38">
        <f>ROUND(H62*I62,2)</f>
        <v/>
      </c>
      <c r="L62" s="39" t="n">
        <v>6.928</v>
      </c>
      <c r="M62" s="40" t="n">
        <v>4.82</v>
      </c>
      <c r="N62" s="41">
        <f>ROUND(L62*M62,2)</f>
        <v/>
      </c>
      <c r="R62" s="42" t="inlineStr">
        <is>
          <t>DIF: 1.627 €   ·   Margen hist.: 31.0%</t>
        </is>
      </c>
    </row>
    <row r="63">
      <c r="A63" s="30" t="inlineStr">
        <is>
          <t>P2 Potencia</t>
        </is>
      </c>
      <c r="B63" s="31" t="n">
        <v>6.928</v>
      </c>
      <c r="C63" s="32">
        <f>$N$59-$L$59+1</f>
        <v/>
      </c>
      <c r="D63" s="33" t="n">
        <v>1.31928</v>
      </c>
      <c r="E63" s="34" t="n">
        <v>2.37</v>
      </c>
      <c r="F63" s="35">
        <f>ROUND(B63*E63,2)</f>
        <v/>
      </c>
      <c r="H63" s="36" t="n">
        <v>6.928</v>
      </c>
      <c r="I63" s="37" t="n">
        <v>2.37</v>
      </c>
      <c r="J63" s="38">
        <f>ROUND(H63*I63,2)</f>
        <v/>
      </c>
      <c r="L63" s="39" t="n">
        <v>6.928</v>
      </c>
      <c r="M63" s="40" t="n">
        <v>2.37</v>
      </c>
      <c r="N63" s="41">
        <f>ROUND(L63*M63,2)</f>
        <v/>
      </c>
      <c r="R63" s="43" t="inlineStr">
        <is>
          <t>Mejor mes: 2024-07 · 895 € · margen 66%</t>
        </is>
      </c>
    </row>
    <row r="64">
      <c r="A64" s="30" t="inlineStr">
        <is>
          <t>P1 Energía</t>
        </is>
      </c>
      <c r="B64" s="31">
        <f>IF($P$64&lt;&gt;"",ROUND(AA64*(($AB$64/(1-$P$64))-49.8123)/244.6972,2),IF('Resumen'!$D$3="OPTIMIZAR",ROUND(MAX(AA64,MIN(AA64*(($AB$64/(1-'Resumen'!$F$3))-49.8123)/244.6972,AA64*(827.8755)/244.6972)),3),AA64))</f>
        <v/>
      </c>
      <c r="C64" s="44" t="n"/>
      <c r="D64" s="33" t="n">
        <v>0.111171</v>
      </c>
      <c r="E64" s="34" t="n">
        <v>0.17</v>
      </c>
      <c r="F64" s="35">
        <f>ROUND(B64*E64,2)</f>
        <v/>
      </c>
      <c r="H64" s="36" t="n">
        <v>254.599</v>
      </c>
      <c r="I64" s="37" t="n">
        <v>0.1724</v>
      </c>
      <c r="J64" s="38">
        <f>ROUND(H64*I64,2)</f>
        <v/>
      </c>
      <c r="L64" s="39" t="n">
        <v>225.199</v>
      </c>
      <c r="M64" s="40" t="n">
        <v>0.175</v>
      </c>
      <c r="N64" s="41">
        <f>ROUND(L64*M64,2)</f>
        <v/>
      </c>
      <c r="O64" s="45" t="inlineStr">
        <is>
          <t>Margen objetivo (edita % aquí) ▶</t>
        </is>
      </c>
      <c r="P64" s="5" t="n"/>
      <c r="R64" s="43" t="inlineStr">
        <is>
          <t>Peor mes: 2024-11 · 187 € · margen 1%</t>
        </is>
      </c>
      <c r="AA64" t="n">
        <v>425.199</v>
      </c>
      <c r="AB64">
        <f>B62*D62+B63*D63+AA64*D64+AA65*D65+AA66*D66</f>
        <v/>
      </c>
    </row>
    <row r="65">
      <c r="A65" s="30" t="inlineStr">
        <is>
          <t>P2 Energía</t>
        </is>
      </c>
      <c r="B65" s="31">
        <f>IF($P$64&lt;&gt;"",ROUND(AA65*(($AB$64/(1-$P$64))-49.8123)/244.6972,2),IF('Resumen'!$D$3="OPTIMIZAR",ROUND(MAX(AA65,MIN(AA65*(($AB$64/(1-'Resumen'!$F$3))-49.8123)/244.6972,AA65*(827.8755)/244.6972)),3),AA65))</f>
        <v/>
      </c>
      <c r="C65" s="44" t="n"/>
      <c r="D65" s="33" t="n">
        <v>0.111171</v>
      </c>
      <c r="E65" s="34" t="n">
        <v>0.17</v>
      </c>
      <c r="F65" s="35">
        <f>ROUND(B65*E65,2)</f>
        <v/>
      </c>
      <c r="H65" s="36" t="n">
        <v>235.376</v>
      </c>
      <c r="I65" s="37" t="n">
        <v>0.1724</v>
      </c>
      <c r="J65" s="38">
        <f>ROUND(H65*I65,2)</f>
        <v/>
      </c>
      <c r="L65" s="39" t="n">
        <v>207.266</v>
      </c>
      <c r="M65" s="40" t="n">
        <v>0.175</v>
      </c>
      <c r="N65" s="41">
        <f>ROUND(L65*M65,2)</f>
        <v/>
      </c>
      <c r="O65" s="46" t="inlineStr">
        <is>
          <t>Cant. P1/P2/P3 energía suben</t>
        </is>
      </c>
      <c r="R65" s="43" t="inlineStr">
        <is>
          <t>Importe mensual cobrado (€) · 24 meses ▾</t>
        </is>
      </c>
      <c r="AA65" t="n">
        <v>407.266</v>
      </c>
    </row>
    <row r="66">
      <c r="A66" s="30" t="inlineStr">
        <is>
          <t>P3 Energía</t>
        </is>
      </c>
      <c r="B66" s="31">
        <f>IF($P$64&lt;&gt;"",ROUND(AA66*(($AB$64/(1-$P$64))-49.8123)/244.6972,2),IF('Resumen'!$D$3="OPTIMIZAR",ROUND(MAX(AA66,MIN(AA66*(($AB$64/(1-'Resumen'!$F$3))-49.8123)/244.6972,AA66*(827.8755)/244.6972)),3),AA66))</f>
        <v/>
      </c>
      <c r="C66" s="44" t="n"/>
      <c r="D66" s="33" t="n">
        <v>0.111171</v>
      </c>
      <c r="E66" s="34" t="n">
        <v>0.17</v>
      </c>
      <c r="F66" s="35">
        <f>ROUND(B66*E66,2)</f>
        <v/>
      </c>
      <c r="H66" s="36" t="n">
        <v>414.585</v>
      </c>
      <c r="I66" s="37" t="n">
        <v>0.1724</v>
      </c>
      <c r="J66" s="38">
        <f>ROUND(H66*I66,2)</f>
        <v/>
      </c>
      <c r="L66" s="39" t="n">
        <v>406.93</v>
      </c>
      <c r="M66" s="40" t="n">
        <v>0.175</v>
      </c>
      <c r="N66" s="41">
        <f>ROUND(L66*M66,2)</f>
        <v/>
      </c>
      <c r="O66" s="46" t="inlineStr">
        <is>
          <t>en proporción para ese margen</t>
        </is>
      </c>
      <c r="AA66" t="n">
        <v>606.9299999999999</v>
      </c>
    </row>
    <row r="67">
      <c r="A67" s="30" t="inlineStr">
        <is>
          <t>Alquiler contador</t>
        </is>
      </c>
      <c r="B67" s="31" t="n">
        <v>1</v>
      </c>
      <c r="C67" s="32">
        <f>$N$59-$L$59+1</f>
        <v/>
      </c>
      <c r="D67" s="33" t="n">
        <v>1.3414</v>
      </c>
      <c r="E67" s="34" t="n">
        <v>1</v>
      </c>
      <c r="F67" s="35">
        <f>ROUND(B67*E67,2)</f>
        <v/>
      </c>
      <c r="H67" s="36" t="n">
        <v>1</v>
      </c>
      <c r="I67" s="37" t="n">
        <v>1</v>
      </c>
      <c r="J67" s="38">
        <f>ROUND(H67*I67,2)</f>
        <v/>
      </c>
      <c r="L67" s="39" t="n">
        <v>1</v>
      </c>
      <c r="M67" s="40" t="n">
        <v>1</v>
      </c>
      <c r="N67" s="41">
        <f>ROUND(L67*M67,2)</f>
        <v/>
      </c>
    </row>
    <row r="68">
      <c r="A68" s="30" t="inlineStr">
        <is>
          <t>Bono social</t>
        </is>
      </c>
      <c r="B68" s="31" t="n">
        <v>30</v>
      </c>
      <c r="C68" s="32">
        <f>$N$59-$L$59+1</f>
        <v/>
      </c>
      <c r="D68" s="33" t="n">
        <v>0.5736</v>
      </c>
      <c r="E68" s="34" t="n">
        <v>0.01274</v>
      </c>
      <c r="F68" s="35">
        <f>ROUND(B68*E68,2)</f>
        <v/>
      </c>
      <c r="H68" s="36" t="n">
        <v>30</v>
      </c>
      <c r="I68" s="37" t="n">
        <v>0.01274</v>
      </c>
      <c r="J68" s="38">
        <f>ROUND(H68*I68,2)</f>
        <v/>
      </c>
      <c r="L68" s="39" t="n">
        <v>30</v>
      </c>
      <c r="M68" s="40" t="n">
        <v>0.00685</v>
      </c>
      <c r="N68" s="41">
        <f>ROUND(L68*M68,2)</f>
        <v/>
      </c>
    </row>
    <row r="69">
      <c r="A69" s="30" t="inlineStr">
        <is>
          <t>Tasa eléctrica</t>
        </is>
      </c>
      <c r="B69" s="31" t="n">
        <v>15.66</v>
      </c>
      <c r="C69" s="44" t="n"/>
      <c r="D69" s="33" t="n">
        <v>0.27312</v>
      </c>
      <c r="E69" s="34" t="n">
        <v>1</v>
      </c>
      <c r="F69" s="35">
        <f>ROUND(B69*E69,2)</f>
        <v/>
      </c>
      <c r="H69" s="36" t="n">
        <v>10.98</v>
      </c>
      <c r="I69" s="37" t="n">
        <v>1</v>
      </c>
      <c r="J69" s="38">
        <f>ROUND(H69*I69,2)</f>
        <v/>
      </c>
      <c r="L69" s="39" t="n">
        <v>10.57</v>
      </c>
      <c r="M69" s="40" t="n">
        <v>1</v>
      </c>
      <c r="N69" s="41">
        <f>ROUND(L69*M69,2)</f>
        <v/>
      </c>
    </row>
    <row r="70">
      <c r="A70" s="47" t="inlineStr">
        <is>
          <t>TOTAL c/IVA</t>
        </is>
      </c>
      <c r="F70" s="48">
        <f>ROUND((SUM(F62:F69)-F69)*1.1+F69,2)</f>
        <v/>
      </c>
      <c r="J70" s="49">
        <f>ROUND(SUM(J62:J69),2)</f>
        <v/>
      </c>
      <c r="N70" s="50">
        <f>ROUND(SUM(N62:N69),2)</f>
        <v/>
      </c>
    </row>
    <row r="71">
      <c r="A71" s="19" t="inlineStr">
        <is>
          <t>MARGEN sin registrar</t>
        </is>
      </c>
      <c r="B71" s="51">
        <f>IF((F65+F62+F64+F66+F63)=0,"",((F65+F62+F64+F66+F63)-$AB$64)/(F65+F62+F64+F66+F63))</f>
        <v/>
      </c>
      <c r="D71" s="52">
        <f>IF(B71="","SIN PC",IF(B71&gt;=0.3,"APROBAR",IF(B71&gt;=0.2,"REVISAR","RECHAZAR")))</f>
        <v/>
      </c>
      <c r="E71" s="53" t="n"/>
      <c r="F71" s="54" t="n"/>
      <c r="AD71">
        <f>SUM(F64:F66)-244.6972</f>
        <v/>
      </c>
    </row>
    <row r="73">
      <c r="A73" s="15" t="inlineStr">
        <is>
          <t>Factura 8555 · C02100 · FUNDACIÓN FSU PROGRAMAS INTERNACIONALES</t>
        </is>
      </c>
      <c r="H73" s="15" t="inlineStr">
        <is>
          <t>ES0021000012268826JW · Naturgy</t>
        </is>
      </c>
      <c r="L73" s="16" t="n">
        <v>46113</v>
      </c>
      <c r="M73" s="17" t="inlineStr">
        <is>
          <t>a</t>
        </is>
      </c>
      <c r="N73" s="16" t="n">
        <v>46142</v>
      </c>
      <c r="R73" s="18" t="inlineStr">
        <is>
          <t>HISTÓRICO DEL CUPS · HOJA TTVA LUZ</t>
        </is>
      </c>
    </row>
    <row r="74">
      <c r="A74" s="19" t="inlineStr">
        <is>
          <t>Concepto</t>
        </is>
      </c>
      <c r="B74" s="20" t="inlineStr">
        <is>
          <t>PENDIENTE (sin registrar)</t>
        </is>
      </c>
      <c r="C74" s="21" t="n"/>
      <c r="D74" s="21" t="n"/>
      <c r="E74" s="21" t="n"/>
      <c r="F74" s="21" t="n"/>
      <c r="H74" s="22" t="inlineStr">
        <is>
          <t>MES ANTERIOR · Fact.6313</t>
        </is>
      </c>
      <c r="I74" s="23" t="n"/>
      <c r="J74" s="23" t="n"/>
      <c r="L74" s="24" t="inlineStr">
        <is>
          <t>AÑO ANTERIOR · Fact.4588</t>
        </is>
      </c>
      <c r="M74" s="25" t="n"/>
      <c r="N74" s="25" t="n"/>
      <c r="R74" s="26" t="inlineStr">
        <is>
          <t>Cobrado total: 1.842 €</t>
        </is>
      </c>
    </row>
    <row r="75">
      <c r="B75" s="7" t="inlineStr">
        <is>
          <t>Cant</t>
        </is>
      </c>
      <c r="C75" s="7" t="inlineStr">
        <is>
          <t>Días</t>
        </is>
      </c>
      <c r="D75" s="7" t="inlineStr">
        <is>
          <t>PC real</t>
        </is>
      </c>
      <c r="E75" s="7" t="inlineStr">
        <is>
          <t>PV</t>
        </is>
      </c>
      <c r="F75" s="7" t="inlineStr">
        <is>
          <t>Importe</t>
        </is>
      </c>
      <c r="H75" s="27" t="inlineStr">
        <is>
          <t>Cant</t>
        </is>
      </c>
      <c r="I75" s="27" t="inlineStr">
        <is>
          <t>PV</t>
        </is>
      </c>
      <c r="J75" s="27" t="inlineStr">
        <is>
          <t>Importe</t>
        </is>
      </c>
      <c r="L75" s="28" t="inlineStr">
        <is>
          <t>Cant</t>
        </is>
      </c>
      <c r="M75" s="28" t="inlineStr">
        <is>
          <t>PV</t>
        </is>
      </c>
      <c r="N75" s="28" t="inlineStr">
        <is>
          <t>Importe</t>
        </is>
      </c>
      <c r="R75" s="29" t="inlineStr">
        <is>
          <t>Pagado total: 1.285 €</t>
        </is>
      </c>
    </row>
    <row r="76">
      <c r="A76" s="30" t="inlineStr">
        <is>
          <t>P1 Potencia</t>
        </is>
      </c>
      <c r="B76" s="31" t="n">
        <v>6.928</v>
      </c>
      <c r="C76" s="32">
        <f>$N$73-$L$73+1</f>
        <v/>
      </c>
      <c r="D76" s="33" t="n">
        <v>3.68919</v>
      </c>
      <c r="E76" s="34" t="n">
        <v>4.82</v>
      </c>
      <c r="F76" s="35">
        <f>ROUND(B76*E76,2)</f>
        <v/>
      </c>
      <c r="H76" s="36" t="n">
        <v>6.928</v>
      </c>
      <c r="I76" s="37" t="n">
        <v>4.82</v>
      </c>
      <c r="J76" s="38">
        <f>ROUND(H76*I76,2)</f>
        <v/>
      </c>
      <c r="L76" s="39" t="n">
        <v>6.928</v>
      </c>
      <c r="M76" s="40" t="n">
        <v>4.82</v>
      </c>
      <c r="N76" s="41">
        <f>ROUND(L76*M76,2)</f>
        <v/>
      </c>
      <c r="R76" s="42" t="inlineStr">
        <is>
          <t>DIF: 557 €   ·   Margen hist.: 30.2%</t>
        </is>
      </c>
    </row>
    <row r="77">
      <c r="A77" s="30" t="inlineStr">
        <is>
          <t>P2 Potencia</t>
        </is>
      </c>
      <c r="B77" s="31" t="n">
        <v>6.928</v>
      </c>
      <c r="C77" s="32">
        <f>$N$73-$L$73+1</f>
        <v/>
      </c>
      <c r="D77" s="33" t="n">
        <v>1.31928</v>
      </c>
      <c r="E77" s="34" t="n">
        <v>2.37</v>
      </c>
      <c r="F77" s="35">
        <f>ROUND(B77*E77,2)</f>
        <v/>
      </c>
      <c r="H77" s="36" t="n">
        <v>6.928</v>
      </c>
      <c r="I77" s="37" t="n">
        <v>2.37</v>
      </c>
      <c r="J77" s="38">
        <f>ROUND(H77*I77,2)</f>
        <v/>
      </c>
      <c r="L77" s="39" t="n">
        <v>6.928</v>
      </c>
      <c r="M77" s="40" t="n">
        <v>2.37</v>
      </c>
      <c r="N77" s="41">
        <f>ROUND(L77*M77,2)</f>
        <v/>
      </c>
      <c r="R77" s="43" t="inlineStr">
        <is>
          <t>Mejor mes: 2024-07 · 336 € · margen 67%</t>
        </is>
      </c>
    </row>
    <row r="78">
      <c r="A78" s="30" t="inlineStr">
        <is>
          <t>P1 Energía</t>
        </is>
      </c>
      <c r="B78" s="31">
        <f>IF($P$78&lt;&gt;"",ROUND(AA78*(($AB$78/(1-$P$78))-49.8123)/104.6752,2),IF('Resumen'!$D$3="OPTIMIZAR",ROUND(MAX(AA78,MIN(AA78*(($AB$78/(1-'Resumen'!$F$3))-49.8123)/104.6752,AA78*(276.9555)/104.6752)),3),AA78))</f>
        <v/>
      </c>
      <c r="C78" s="44" t="n"/>
      <c r="D78" s="33" t="n">
        <v>0.111171</v>
      </c>
      <c r="E78" s="34" t="n">
        <v>0.1724</v>
      </c>
      <c r="F78" s="35">
        <f>ROUND(B78*E78,2)</f>
        <v/>
      </c>
      <c r="H78" s="36" t="n">
        <v>241.525</v>
      </c>
      <c r="I78" s="37" t="n">
        <v>0.1724</v>
      </c>
      <c r="J78" s="38">
        <f>ROUND(H78*I78,2)</f>
        <v/>
      </c>
      <c r="L78" s="39" t="n">
        <v>98.223</v>
      </c>
      <c r="M78" s="40" t="n">
        <v>0.175</v>
      </c>
      <c r="N78" s="41">
        <f>ROUND(L78*M78,2)</f>
        <v/>
      </c>
      <c r="O78" s="45" t="inlineStr">
        <is>
          <t>Margen objetivo (edita % aquí) ▶</t>
        </is>
      </c>
      <c r="P78" s="5" t="n"/>
      <c r="R78" s="43" t="inlineStr">
        <is>
          <t>Peor mes: 2024-11 · 76 € · margen -7%</t>
        </is>
      </c>
      <c r="AA78" t="n">
        <v>191.223</v>
      </c>
      <c r="AB78">
        <f>B76*D76+B77*D77+AA78*D78+AA79*D79+AA80*D80</f>
        <v/>
      </c>
    </row>
    <row r="79">
      <c r="A79" s="30" t="inlineStr">
        <is>
          <t>P2 Energía</t>
        </is>
      </c>
      <c r="B79" s="31">
        <f>IF($P$78&lt;&gt;"",ROUND(AA79*(($AB$78/(1-$P$78))-49.8123)/104.6752,2),IF('Resumen'!$D$3="OPTIMIZAR",ROUND(MAX(AA79,MIN(AA79*(($AB$78/(1-'Resumen'!$F$3))-49.8123)/104.6752,AA79*(276.9555)/104.6752)),3),AA79))</f>
        <v/>
      </c>
      <c r="C79" s="44" t="n"/>
      <c r="D79" s="33" t="n">
        <v>0.111171</v>
      </c>
      <c r="E79" s="34" t="n">
        <v>0.1724</v>
      </c>
      <c r="F79" s="35">
        <f>ROUND(B79*E79,2)</f>
        <v/>
      </c>
      <c r="H79" s="36" t="n">
        <v>215.785</v>
      </c>
      <c r="I79" s="37" t="n">
        <v>0.1724</v>
      </c>
      <c r="J79" s="38">
        <f>ROUND(H79*I79,2)</f>
        <v/>
      </c>
      <c r="L79" s="39" t="n">
        <v>75.381</v>
      </c>
      <c r="M79" s="40" t="n">
        <v>0.175</v>
      </c>
      <c r="N79" s="41">
        <f>ROUND(L79*M79,2)</f>
        <v/>
      </c>
      <c r="O79" s="46" t="inlineStr">
        <is>
          <t>Cant. P1/P2/P3 energía suben</t>
        </is>
      </c>
      <c r="R79" s="43" t="inlineStr">
        <is>
          <t>Importe mensual cobrado (€) · 24 meses ▾</t>
        </is>
      </c>
      <c r="AA79" t="n">
        <v>176.381</v>
      </c>
    </row>
    <row r="80">
      <c r="A80" s="30" t="inlineStr">
        <is>
          <t>P3 Energía</t>
        </is>
      </c>
      <c r="B80" s="31">
        <f>IF($P$78&lt;&gt;"",ROUND(AA80*(($AB$78/(1-$P$78))-49.8123)/104.6752,2),IF('Resumen'!$D$3="OPTIMIZAR",ROUND(MAX(AA80,MIN(AA80*(($AB$78/(1-'Resumen'!$F$3))-49.8123)/104.6752,AA80*(276.9555)/104.6752)),3),AA80))</f>
        <v/>
      </c>
      <c r="C80" s="44" t="n"/>
      <c r="D80" s="33" t="n">
        <v>0.111171</v>
      </c>
      <c r="E80" s="34" t="n">
        <v>0.17</v>
      </c>
      <c r="F80" s="35">
        <f>ROUND(B80*E80,2)</f>
        <v/>
      </c>
      <c r="H80" s="36" t="n">
        <v>326.045</v>
      </c>
      <c r="I80" s="37" t="n">
        <v>0.1724</v>
      </c>
      <c r="J80" s="38">
        <f>ROUND(H80*I80,2)</f>
        <v/>
      </c>
      <c r="L80" s="39" t="n">
        <v>142.943</v>
      </c>
      <c r="M80" s="40" t="n">
        <v>0.175</v>
      </c>
      <c r="N80" s="41">
        <f>ROUND(L80*M80,2)</f>
        <v/>
      </c>
      <c r="O80" s="46" t="inlineStr">
        <is>
          <t>en proporción para ese margen</t>
        </is>
      </c>
      <c r="AA80" t="n">
        <v>242.943</v>
      </c>
    </row>
    <row r="81">
      <c r="A81" s="30" t="inlineStr">
        <is>
          <t>Alquiler contador</t>
        </is>
      </c>
      <c r="B81" s="31" t="n">
        <v>1</v>
      </c>
      <c r="C81" s="32">
        <f>$N$73-$L$73+1</f>
        <v/>
      </c>
      <c r="D81" s="33" t="n">
        <v>1.3414</v>
      </c>
      <c r="E81" s="34" t="n">
        <v>1</v>
      </c>
      <c r="F81" s="35">
        <f>ROUND(B81*E81,2)</f>
        <v/>
      </c>
      <c r="H81" s="36" t="n">
        <v>1</v>
      </c>
      <c r="I81" s="37" t="n">
        <v>1</v>
      </c>
      <c r="J81" s="38">
        <f>ROUND(H81*I81,2)</f>
        <v/>
      </c>
      <c r="L81" s="39" t="n">
        <v>1</v>
      </c>
      <c r="M81" s="40" t="n">
        <v>1</v>
      </c>
      <c r="N81" s="41">
        <f>ROUND(L81*M81,2)</f>
        <v/>
      </c>
    </row>
    <row r="82">
      <c r="A82" s="30" t="inlineStr">
        <is>
          <t>Bono social</t>
        </is>
      </c>
      <c r="B82" s="31" t="n">
        <v>30</v>
      </c>
      <c r="C82" s="32">
        <f>$N$73-$L$73+1</f>
        <v/>
      </c>
      <c r="D82" s="33" t="n">
        <v>0.5736</v>
      </c>
      <c r="E82" s="34" t="n">
        <v>0.01274</v>
      </c>
      <c r="F82" s="35">
        <f>ROUND(B82*E82,2)</f>
        <v/>
      </c>
      <c r="H82" s="36" t="n">
        <v>30</v>
      </c>
      <c r="I82" s="37" t="n">
        <v>0.01274</v>
      </c>
      <c r="J82" s="38">
        <f>ROUND(H82*I82,2)</f>
        <v/>
      </c>
      <c r="L82" s="39" t="n">
        <v>30</v>
      </c>
      <c r="M82" s="40" t="n">
        <v>0.00685</v>
      </c>
      <c r="N82" s="41">
        <f>ROUND(L82*M82,2)</f>
        <v/>
      </c>
    </row>
    <row r="83">
      <c r="A83" s="30" t="inlineStr">
        <is>
          <t>Tasa eléctrica</t>
        </is>
      </c>
      <c r="B83" s="31" t="n">
        <v>8.24</v>
      </c>
      <c r="C83" s="44" t="n"/>
      <c r="D83" s="33" t="n">
        <v>0.27312</v>
      </c>
      <c r="E83" s="34" t="n">
        <v>1</v>
      </c>
      <c r="F83" s="35">
        <f>ROUND(B83*E83,2)</f>
        <v/>
      </c>
      <c r="H83" s="36" t="n">
        <v>9.859999999999999</v>
      </c>
      <c r="I83" s="37" t="n">
        <v>1</v>
      </c>
      <c r="J83" s="38">
        <f>ROUND(H83*I83,2)</f>
        <v/>
      </c>
      <c r="L83" s="39" t="n">
        <v>5.39</v>
      </c>
      <c r="M83" s="40" t="n">
        <v>1</v>
      </c>
      <c r="N83" s="41">
        <f>ROUND(L83*M83,2)</f>
        <v/>
      </c>
    </row>
    <row r="84">
      <c r="A84" s="47" t="inlineStr">
        <is>
          <t>TOTAL c/IVA</t>
        </is>
      </c>
      <c r="F84" s="48">
        <f>ROUND((SUM(F76:F83)-F83)*1.1+F83,2)</f>
        <v/>
      </c>
      <c r="J84" s="49">
        <f>ROUND(SUM(J76:J83),2)</f>
        <v/>
      </c>
      <c r="N84" s="50">
        <f>ROUND(SUM(N76:N83),2)</f>
        <v/>
      </c>
    </row>
    <row r="85">
      <c r="A85" s="19" t="inlineStr">
        <is>
          <t>MARGEN sin registrar</t>
        </is>
      </c>
      <c r="B85" s="51">
        <f>IF((F79+F76+F78+F80+F77)=0,"",((F79+F76+F78+F80+F77)-$AB$78)/(F79+F76+F78+F80+F77))</f>
        <v/>
      </c>
      <c r="D85" s="52">
        <f>IF(B85="","SIN PC",IF(B85&gt;=0.3,"APROBAR",IF(B85&gt;=0.2,"REVISAR","RECHAZAR")))</f>
        <v/>
      </c>
      <c r="E85" s="53" t="n"/>
      <c r="F85" s="54" t="n"/>
      <c r="AD85">
        <f>SUM(F78:F80)-104.6752</f>
        <v/>
      </c>
    </row>
    <row r="87">
      <c r="A87" s="15" t="inlineStr">
        <is>
          <t>Factura 8556 · C02090 · FUNDACIÓN FSU PROGRAMAS INTERNACIONALES</t>
        </is>
      </c>
      <c r="H87" s="15" t="inlineStr">
        <is>
          <t>ES0021000012268828JG · Naturgy</t>
        </is>
      </c>
      <c r="L87" s="16" t="n">
        <v>46113</v>
      </c>
      <c r="M87" s="17" t="inlineStr">
        <is>
          <t>a</t>
        </is>
      </c>
      <c r="N87" s="16" t="n">
        <v>46142</v>
      </c>
      <c r="R87" s="18" t="inlineStr">
        <is>
          <t>HISTÓRICO DEL CUPS · HOJA TTVA LUZ</t>
        </is>
      </c>
    </row>
    <row r="88">
      <c r="A88" s="19" t="inlineStr">
        <is>
          <t>Concepto</t>
        </is>
      </c>
      <c r="B88" s="20" t="inlineStr">
        <is>
          <t>PENDIENTE (sin registrar)</t>
        </is>
      </c>
      <c r="C88" s="21" t="n"/>
      <c r="D88" s="21" t="n"/>
      <c r="E88" s="21" t="n"/>
      <c r="F88" s="21" t="n"/>
      <c r="H88" s="22" t="inlineStr">
        <is>
          <t>MES ANTERIOR · Fact.6306</t>
        </is>
      </c>
      <c r="I88" s="23" t="n"/>
      <c r="J88" s="23" t="n"/>
      <c r="L88" s="24" t="inlineStr">
        <is>
          <t>AÑO ANTERIOR · Fact.4589</t>
        </is>
      </c>
      <c r="M88" s="25" t="n"/>
      <c r="N88" s="25" t="n"/>
      <c r="R88" s="26" t="inlineStr">
        <is>
          <t>Cobrado total: 2.954 €</t>
        </is>
      </c>
    </row>
    <row r="89">
      <c r="B89" s="7" t="inlineStr">
        <is>
          <t>Cant</t>
        </is>
      </c>
      <c r="C89" s="7" t="inlineStr">
        <is>
          <t>Días</t>
        </is>
      </c>
      <c r="D89" s="7" t="inlineStr">
        <is>
          <t>PC real</t>
        </is>
      </c>
      <c r="E89" s="7" t="inlineStr">
        <is>
          <t>PV</t>
        </is>
      </c>
      <c r="F89" s="7" t="inlineStr">
        <is>
          <t>Importe</t>
        </is>
      </c>
      <c r="H89" s="27" t="inlineStr">
        <is>
          <t>Cant</t>
        </is>
      </c>
      <c r="I89" s="27" t="inlineStr">
        <is>
          <t>PV</t>
        </is>
      </c>
      <c r="J89" s="27" t="inlineStr">
        <is>
          <t>Importe</t>
        </is>
      </c>
      <c r="L89" s="28" t="inlineStr">
        <is>
          <t>Cant</t>
        </is>
      </c>
      <c r="M89" s="28" t="inlineStr">
        <is>
          <t>PV</t>
        </is>
      </c>
      <c r="N89" s="28" t="inlineStr">
        <is>
          <t>Importe</t>
        </is>
      </c>
      <c r="R89" s="29" t="inlineStr">
        <is>
          <t>Pagado total: 2.099 €</t>
        </is>
      </c>
    </row>
    <row r="90">
      <c r="A90" s="30" t="inlineStr">
        <is>
          <t>P1 Potencia</t>
        </is>
      </c>
      <c r="B90" s="31" t="n">
        <v>6.928</v>
      </c>
      <c r="C90" s="32">
        <f>$N$87-$L$87+1</f>
        <v/>
      </c>
      <c r="D90" s="33" t="n">
        <v>3.68919</v>
      </c>
      <c r="E90" s="34" t="n">
        <v>4.82</v>
      </c>
      <c r="F90" s="35">
        <f>ROUND(B90*E90,2)</f>
        <v/>
      </c>
      <c r="H90" s="36" t="n">
        <v>6.928</v>
      </c>
      <c r="I90" s="37" t="n">
        <v>4.82</v>
      </c>
      <c r="J90" s="38">
        <f>ROUND(H90*I90,2)</f>
        <v/>
      </c>
      <c r="L90" s="39" t="n">
        <v>6.928</v>
      </c>
      <c r="M90" s="40" t="n">
        <v>4.82</v>
      </c>
      <c r="N90" s="41">
        <f>ROUND(L90*M90,2)</f>
        <v/>
      </c>
      <c r="R90" s="42" t="inlineStr">
        <is>
          <t>DIF: 855 €   ·   Margen hist.: 28.9%</t>
        </is>
      </c>
    </row>
    <row r="91">
      <c r="A91" s="30" t="inlineStr">
        <is>
          <t>P2 Potencia</t>
        </is>
      </c>
      <c r="B91" s="31" t="n">
        <v>6.928</v>
      </c>
      <c r="C91" s="32">
        <f>$N$87-$L$87+1</f>
        <v/>
      </c>
      <c r="D91" s="33" t="n">
        <v>1.31928</v>
      </c>
      <c r="E91" s="34" t="n">
        <v>2.37</v>
      </c>
      <c r="F91" s="35">
        <f>ROUND(B91*E91,2)</f>
        <v/>
      </c>
      <c r="H91" s="36" t="n">
        <v>6.928</v>
      </c>
      <c r="I91" s="37" t="n">
        <v>2.37</v>
      </c>
      <c r="J91" s="38">
        <f>ROUND(H91*I91,2)</f>
        <v/>
      </c>
      <c r="L91" s="39" t="n">
        <v>6.928</v>
      </c>
      <c r="M91" s="40" t="n">
        <v>2.37</v>
      </c>
      <c r="N91" s="41">
        <f>ROUND(L91*M91,2)</f>
        <v/>
      </c>
      <c r="R91" s="43" t="inlineStr">
        <is>
          <t>Mejor mes: 2024-07 · 599 € · margen 71%</t>
        </is>
      </c>
    </row>
    <row r="92">
      <c r="A92" s="30" t="inlineStr">
        <is>
          <t>P1 Energía</t>
        </is>
      </c>
      <c r="B92" s="31">
        <f>IF($P$92&lt;&gt;"",ROUND(AA92*(($AB$92/(1-$P$92))-49.8123)/247.3293,2),IF('Resumen'!$D$3="OPTIMIZAR",ROUND(MAX(AA92,MIN(AA92*(($AB$92/(1-'Resumen'!$F$3))-49.8123)/247.3293,AA92*(532.4255)/247.3293)),3),AA92))</f>
        <v/>
      </c>
      <c r="C92" s="44" t="n"/>
      <c r="D92" s="33" t="n">
        <v>0.111171</v>
      </c>
      <c r="E92" s="34" t="n">
        <v>0.17</v>
      </c>
      <c r="F92" s="35">
        <f>ROUND(B92*E92,2)</f>
        <v/>
      </c>
      <c r="H92" s="36" t="n">
        <v>372.052</v>
      </c>
      <c r="I92" s="37" t="n">
        <v>0.175</v>
      </c>
      <c r="J92" s="38">
        <f>ROUND(H92*I92,2)</f>
        <v/>
      </c>
      <c r="L92" s="39" t="n">
        <v>284.461</v>
      </c>
      <c r="M92" s="40" t="n">
        <v>0.175</v>
      </c>
      <c r="N92" s="41">
        <f>ROUND(L92*M92,2)</f>
        <v/>
      </c>
      <c r="O92" s="45" t="inlineStr">
        <is>
          <t>Margen objetivo (edita % aquí) ▶</t>
        </is>
      </c>
      <c r="P92" s="5" t="n"/>
      <c r="R92" s="43" t="inlineStr">
        <is>
          <t>Peor mes: 2024-11 · 92 € · margen -67%</t>
        </is>
      </c>
      <c r="AA92" t="n">
        <v>374.461</v>
      </c>
      <c r="AB92">
        <f>B90*D90+B91*D91+AA92*D92+AA93*D93+AA94*D94</f>
        <v/>
      </c>
    </row>
    <row r="93">
      <c r="A93" s="30" t="inlineStr">
        <is>
          <t>P2 Energía</t>
        </is>
      </c>
      <c r="B93" s="31">
        <f>IF($P$92&lt;&gt;"",ROUND(AA93*(($AB$92/(1-$P$92))-49.8123)/247.3293,2),IF('Resumen'!$D$3="OPTIMIZAR",ROUND(MAX(AA93,MIN(AA93*(($AB$92/(1-'Resumen'!$F$3))-49.8123)/247.3293,AA93*(532.4255)/247.3293)),3),AA93))</f>
        <v/>
      </c>
      <c r="C93" s="44" t="n"/>
      <c r="D93" s="33" t="n">
        <v>0.111171</v>
      </c>
      <c r="E93" s="34" t="n">
        <v>0.17</v>
      </c>
      <c r="F93" s="35">
        <f>ROUND(B93*E93,2)</f>
        <v/>
      </c>
      <c r="H93" s="36" t="n">
        <v>370.213</v>
      </c>
      <c r="I93" s="37" t="n">
        <v>0.175</v>
      </c>
      <c r="J93" s="38">
        <f>ROUND(H93*I93,2)</f>
        <v/>
      </c>
      <c r="L93" s="39" t="n">
        <v>259.208</v>
      </c>
      <c r="M93" s="40" t="n">
        <v>0.175</v>
      </c>
      <c r="N93" s="41">
        <f>ROUND(L93*M93,2)</f>
        <v/>
      </c>
      <c r="O93" s="46" t="inlineStr">
        <is>
          <t>Cant. P1/P2/P3 energía suben</t>
        </is>
      </c>
      <c r="R93" s="43" t="inlineStr">
        <is>
          <t>Importe mensual cobrado (€) · 24 meses ▾</t>
        </is>
      </c>
      <c r="AA93" t="n">
        <v>399.208</v>
      </c>
    </row>
    <row r="94">
      <c r="A94" s="30" t="inlineStr">
        <is>
          <t>P3 Energía</t>
        </is>
      </c>
      <c r="B94" s="31">
        <f>IF($P$92&lt;&gt;"",ROUND(AA94*(($AB$92/(1-$P$92))-49.8123)/247.3293,2),IF('Resumen'!$D$3="OPTIMIZAR",ROUND(MAX(AA94,MIN(AA94*(($AB$92/(1-'Resumen'!$F$3))-49.8123)/247.3293,AA94*(532.4255)/247.3293)),3),AA94))</f>
        <v/>
      </c>
      <c r="C94" s="44" t="n"/>
      <c r="D94" s="33" t="n">
        <v>0.111171</v>
      </c>
      <c r="E94" s="34" t="n">
        <v>0.17</v>
      </c>
      <c r="F94" s="35">
        <f>ROUND(B94*E94,2)</f>
        <v/>
      </c>
      <c r="H94" s="36" t="n">
        <v>657.524</v>
      </c>
      <c r="I94" s="37" t="n">
        <v>0.175</v>
      </c>
      <c r="J94" s="38">
        <f>ROUND(H94*I94,2)</f>
        <v/>
      </c>
      <c r="L94" s="39" t="n">
        <v>485.209</v>
      </c>
      <c r="M94" s="40" t="n">
        <v>0.175</v>
      </c>
      <c r="N94" s="41">
        <f>ROUND(L94*M94,2)</f>
        <v/>
      </c>
      <c r="O94" s="46" t="inlineStr">
        <is>
          <t>en proporción para ese margen</t>
        </is>
      </c>
      <c r="AA94" t="n">
        <v>681.2089999999999</v>
      </c>
    </row>
    <row r="95">
      <c r="A95" s="30" t="inlineStr">
        <is>
          <t>Alquiler contador</t>
        </is>
      </c>
      <c r="B95" s="31" t="n">
        <v>1</v>
      </c>
      <c r="C95" s="32">
        <f>$N$87-$L$87+1</f>
        <v/>
      </c>
      <c r="D95" s="33" t="n">
        <v>1.3414</v>
      </c>
      <c r="E95" s="34" t="n">
        <v>1</v>
      </c>
      <c r="F95" s="35">
        <f>ROUND(B95*E95,2)</f>
        <v/>
      </c>
      <c r="H95" s="36" t="n">
        <v>1</v>
      </c>
      <c r="I95" s="37" t="n">
        <v>1</v>
      </c>
      <c r="J95" s="38">
        <f>ROUND(H95*I95,2)</f>
        <v/>
      </c>
      <c r="L95" s="39" t="n">
        <v>1</v>
      </c>
      <c r="M95" s="40" t="n">
        <v>1</v>
      </c>
      <c r="N95" s="41">
        <f>ROUND(L95*M95,2)</f>
        <v/>
      </c>
    </row>
    <row r="96">
      <c r="A96" s="30" t="inlineStr">
        <is>
          <t>Bono social</t>
        </is>
      </c>
      <c r="B96" s="31" t="n">
        <v>30</v>
      </c>
      <c r="C96" s="32">
        <f>$N$87-$L$87+1</f>
        <v/>
      </c>
      <c r="D96" s="33" t="n">
        <v>0.5736</v>
      </c>
      <c r="E96" s="34" t="n">
        <v>0.01274</v>
      </c>
      <c r="F96" s="35">
        <f>ROUND(B96*E96,2)</f>
        <v/>
      </c>
      <c r="H96" s="36" t="n">
        <v>30</v>
      </c>
      <c r="I96" s="37" t="n">
        <v>0.01274</v>
      </c>
      <c r="J96" s="38">
        <f>ROUND(H96*I96,2)</f>
        <v/>
      </c>
      <c r="L96" s="39" t="n">
        <v>30</v>
      </c>
      <c r="M96" s="40" t="n">
        <v>0.00685</v>
      </c>
      <c r="N96" s="41">
        <f>ROUND(L96*M96,2)</f>
        <v/>
      </c>
    </row>
    <row r="97">
      <c r="A97" s="30" t="inlineStr">
        <is>
          <t>Tasa eléctrica</t>
        </is>
      </c>
      <c r="B97" s="31" t="n">
        <v>15.86</v>
      </c>
      <c r="C97" s="44" t="n"/>
      <c r="D97" s="33" t="n">
        <v>0.27312</v>
      </c>
      <c r="E97" s="34" t="n">
        <v>1</v>
      </c>
      <c r="F97" s="35">
        <f>ROUND(B97*E97,2)</f>
        <v/>
      </c>
      <c r="H97" s="36" t="n">
        <v>15.75</v>
      </c>
      <c r="I97" s="37" t="n">
        <v>1</v>
      </c>
      <c r="J97" s="38">
        <f>ROUND(H97*I97,2)</f>
        <v/>
      </c>
      <c r="L97" s="39" t="n">
        <v>11.76</v>
      </c>
      <c r="M97" s="40" t="n">
        <v>1</v>
      </c>
      <c r="N97" s="41">
        <f>ROUND(L97*M97,2)</f>
        <v/>
      </c>
    </row>
    <row r="98">
      <c r="A98" s="47" t="inlineStr">
        <is>
          <t>TOTAL c/IVA</t>
        </is>
      </c>
      <c r="F98" s="48">
        <f>ROUND((SUM(F90:F97)-F97)*1.1+F97,2)</f>
        <v/>
      </c>
      <c r="J98" s="49">
        <f>ROUND(SUM(J90:J97),2)</f>
        <v/>
      </c>
      <c r="N98" s="50">
        <f>ROUND(SUM(N90:N97),2)</f>
        <v/>
      </c>
    </row>
    <row r="99">
      <c r="A99" s="19" t="inlineStr">
        <is>
          <t>MARGEN sin registrar</t>
        </is>
      </c>
      <c r="B99" s="51">
        <f>IF((F93+F90+F92+F94+F91)=0,"",((F93+F90+F92+F94+F91)-$AB$92)/(F93+F90+F92+F94+F91))</f>
        <v/>
      </c>
      <c r="D99" s="52">
        <f>IF(B99="","SIN PC",IF(B99&gt;=0.3,"APROBAR",IF(B99&gt;=0.2,"REVISAR","RECHAZAR")))</f>
        <v/>
      </c>
      <c r="E99" s="53" t="n"/>
      <c r="F99" s="54" t="n"/>
      <c r="AD99">
        <f>SUM(F92:F94)-247.3293</f>
        <v/>
      </c>
    </row>
    <row r="101">
      <c r="A101" s="15" t="inlineStr">
        <is>
          <t>Factura 8557 · C02080 · FUNDACIÓN FSU PROGRAMAS INTERNACIONALES</t>
        </is>
      </c>
      <c r="H101" s="15" t="inlineStr">
        <is>
          <t>ES0021000012268825JR · Naturgy</t>
        </is>
      </c>
      <c r="L101" s="16" t="n">
        <v>46113</v>
      </c>
      <c r="M101" s="17" t="inlineStr">
        <is>
          <t>a</t>
        </is>
      </c>
      <c r="N101" s="16" t="n">
        <v>46142</v>
      </c>
      <c r="R101" s="18" t="inlineStr">
        <is>
          <t>HISTÓRICO DEL CUPS · HOJA TTVA LUZ</t>
        </is>
      </c>
    </row>
    <row r="102">
      <c r="A102" s="19" t="inlineStr">
        <is>
          <t>Concepto</t>
        </is>
      </c>
      <c r="B102" s="20" t="inlineStr">
        <is>
          <t>PENDIENTE (sin registrar)</t>
        </is>
      </c>
      <c r="C102" s="21" t="n"/>
      <c r="D102" s="21" t="n"/>
      <c r="E102" s="21" t="n"/>
      <c r="F102" s="21" t="n"/>
      <c r="H102" s="22" t="inlineStr">
        <is>
          <t>MES ANTERIOR · Fact.6303</t>
        </is>
      </c>
      <c r="I102" s="23" t="n"/>
      <c r="J102" s="23" t="n"/>
      <c r="L102" s="24" t="inlineStr">
        <is>
          <t>AÑO ANTERIOR · Fact.4590</t>
        </is>
      </c>
      <c r="M102" s="25" t="n"/>
      <c r="N102" s="25" t="n"/>
    </row>
    <row r="103">
      <c r="B103" s="7" t="inlineStr">
        <is>
          <t>Cant</t>
        </is>
      </c>
      <c r="C103" s="7" t="inlineStr">
        <is>
          <t>Días</t>
        </is>
      </c>
      <c r="D103" s="7" t="inlineStr">
        <is>
          <t>PC real</t>
        </is>
      </c>
      <c r="E103" s="7" t="inlineStr">
        <is>
          <t>PV</t>
        </is>
      </c>
      <c r="F103" s="7" t="inlineStr">
        <is>
          <t>Importe</t>
        </is>
      </c>
      <c r="H103" s="27" t="inlineStr">
        <is>
          <t>Cant</t>
        </is>
      </c>
      <c r="I103" s="27" t="inlineStr">
        <is>
          <t>PV</t>
        </is>
      </c>
      <c r="J103" s="27" t="inlineStr">
        <is>
          <t>Importe</t>
        </is>
      </c>
      <c r="L103" s="28" t="inlineStr">
        <is>
          <t>Cant</t>
        </is>
      </c>
      <c r="M103" s="28" t="inlineStr">
        <is>
          <t>PV</t>
        </is>
      </c>
      <c r="N103" s="28" t="inlineStr">
        <is>
          <t>Importe</t>
        </is>
      </c>
    </row>
    <row r="104">
      <c r="A104" s="30" t="inlineStr">
        <is>
          <t>P1 Potencia</t>
        </is>
      </c>
      <c r="B104" s="31" t="n">
        <v>6.928</v>
      </c>
      <c r="C104" s="32">
        <f>$N$101-$L$101+1</f>
        <v/>
      </c>
      <c r="D104" s="33" t="n">
        <v>3.68919</v>
      </c>
      <c r="E104" s="34" t="n">
        <v>4.82</v>
      </c>
      <c r="F104" s="35">
        <f>ROUND(B104*E104,2)</f>
        <v/>
      </c>
      <c r="H104" s="36" t="n">
        <v>6.928</v>
      </c>
      <c r="I104" s="37" t="n">
        <v>4.82</v>
      </c>
      <c r="J104" s="38">
        <f>ROUND(H104*I104,2)</f>
        <v/>
      </c>
      <c r="L104" s="39" t="n">
        <v>6.928</v>
      </c>
      <c r="M104" s="40" t="n">
        <v>4.82</v>
      </c>
      <c r="N104" s="41">
        <f>ROUND(L104*M104,2)</f>
        <v/>
      </c>
    </row>
    <row r="105">
      <c r="A105" s="30" t="inlineStr">
        <is>
          <t>P2 Potencia</t>
        </is>
      </c>
      <c r="B105" s="31" t="n">
        <v>6.928</v>
      </c>
      <c r="C105" s="32">
        <f>$N$101-$L$101+1</f>
        <v/>
      </c>
      <c r="D105" s="33" t="n">
        <v>1.31928</v>
      </c>
      <c r="E105" s="34" t="n">
        <v>2.37</v>
      </c>
      <c r="F105" s="35">
        <f>ROUND(B105*E105,2)</f>
        <v/>
      </c>
      <c r="H105" s="36" t="n">
        <v>6.928</v>
      </c>
      <c r="I105" s="37" t="n">
        <v>2.37</v>
      </c>
      <c r="J105" s="38">
        <f>ROUND(H105*I105,2)</f>
        <v/>
      </c>
      <c r="L105" s="39" t="n">
        <v>6.928</v>
      </c>
      <c r="M105" s="40" t="n">
        <v>2.37</v>
      </c>
      <c r="N105" s="41">
        <f>ROUND(L105*M105,2)</f>
        <v/>
      </c>
    </row>
    <row r="106">
      <c r="A106" s="30" t="inlineStr">
        <is>
          <t>P1 Energía</t>
        </is>
      </c>
      <c r="B106" s="31">
        <f>IF($P$106&lt;&gt;"",ROUND(AA106*(($AB$106/(1-$P$106))-49.8123)/106.8557,2),IF('Resumen'!$D$3="OPTIMIZAR",AA106,AA106))</f>
        <v/>
      </c>
      <c r="C106" s="44" t="n"/>
      <c r="D106" s="33" t="n">
        <v>0.111171</v>
      </c>
      <c r="E106" s="34" t="n">
        <v>0.17</v>
      </c>
      <c r="F106" s="35">
        <f>ROUND(B106*E106,2)</f>
        <v/>
      </c>
      <c r="H106" s="36" t="n">
        <v>381.405</v>
      </c>
      <c r="I106" s="37" t="n">
        <v>0.1724</v>
      </c>
      <c r="J106" s="38">
        <f>ROUND(H106*I106,2)</f>
        <v/>
      </c>
      <c r="L106" s="39" t="n">
        <v>82.17</v>
      </c>
      <c r="M106" s="40" t="n">
        <v>0.175</v>
      </c>
      <c r="N106" s="41">
        <f>ROUND(L106*M106,2)</f>
        <v/>
      </c>
      <c r="O106" s="45" t="inlineStr">
        <is>
          <t>Margen objetivo (edita % aquí) ▶</t>
        </is>
      </c>
      <c r="P106" s="5" t="n"/>
      <c r="AA106" t="n">
        <v>182.17</v>
      </c>
      <c r="AB106">
        <f>B104*D104+B105*D105+AA106*D106+AA107*D107+AA108*D108</f>
        <v/>
      </c>
    </row>
    <row r="107">
      <c r="A107" s="30" t="inlineStr">
        <is>
          <t>P2 Energía</t>
        </is>
      </c>
      <c r="B107" s="31">
        <f>IF($P$106&lt;&gt;"",ROUND(AA107*(($AB$106/(1-$P$106))-49.8123)/106.8557,2),IF('Resumen'!$D$3="OPTIMIZAR",AA107,AA107))</f>
        <v/>
      </c>
      <c r="C107" s="44" t="n"/>
      <c r="D107" s="33" t="n">
        <v>0.111171</v>
      </c>
      <c r="E107" s="34" t="n">
        <v>0.17</v>
      </c>
      <c r="F107" s="35">
        <f>ROUND(B107*E107,2)</f>
        <v/>
      </c>
      <c r="H107" s="36" t="n">
        <v>356.448</v>
      </c>
      <c r="I107" s="37" t="n">
        <v>0.1724</v>
      </c>
      <c r="J107" s="38">
        <f>ROUND(H107*I107,2)</f>
        <v/>
      </c>
      <c r="L107" s="39" t="n">
        <v>76.133</v>
      </c>
      <c r="M107" s="40" t="n">
        <v>0.175</v>
      </c>
      <c r="N107" s="41">
        <f>ROUND(L107*M107,2)</f>
        <v/>
      </c>
      <c r="O107" s="46" t="inlineStr">
        <is>
          <t>Cant. P1/P2/P3 energía suben</t>
        </is>
      </c>
      <c r="AA107" t="n">
        <v>176.133</v>
      </c>
    </row>
    <row r="108">
      <c r="A108" s="30" t="inlineStr">
        <is>
          <t>P3 Energía</t>
        </is>
      </c>
      <c r="B108" s="31">
        <f>IF($P$106&lt;&gt;"",ROUND(AA108*(($AB$106/(1-$P$106))-49.8123)/106.8557,2),IF('Resumen'!$D$3="OPTIMIZAR",AA108,AA108))</f>
        <v/>
      </c>
      <c r="C108" s="44" t="n"/>
      <c r="D108" s="33" t="n">
        <v>0.111171</v>
      </c>
      <c r="E108" s="34" t="n">
        <v>0.17</v>
      </c>
      <c r="F108" s="35">
        <f>ROUND(B108*E108,2)</f>
        <v/>
      </c>
      <c r="H108" s="36" t="n">
        <v>667.21</v>
      </c>
      <c r="I108" s="37" t="n">
        <v>0.1724</v>
      </c>
      <c r="J108" s="38">
        <f>ROUND(H108*I108,2)</f>
        <v/>
      </c>
      <c r="L108" s="39" t="n">
        <v>170.26</v>
      </c>
      <c r="M108" s="40" t="n">
        <v>0.175</v>
      </c>
      <c r="N108" s="41">
        <f>ROUND(L108*M108,2)</f>
        <v/>
      </c>
      <c r="O108" s="46" t="inlineStr">
        <is>
          <t>en proporción para ese margen</t>
        </is>
      </c>
      <c r="AA108" t="n">
        <v>270.26</v>
      </c>
    </row>
    <row r="109">
      <c r="A109" s="30" t="inlineStr">
        <is>
          <t>Alquiler contador</t>
        </is>
      </c>
      <c r="B109" s="31" t="n">
        <v>1</v>
      </c>
      <c r="C109" s="32">
        <f>$N$101-$L$101+1</f>
        <v/>
      </c>
      <c r="D109" s="33" t="n">
        <v>1.3414</v>
      </c>
      <c r="E109" s="34" t="n">
        <v>1</v>
      </c>
      <c r="F109" s="35">
        <f>ROUND(B109*E109,2)</f>
        <v/>
      </c>
      <c r="H109" s="36" t="n">
        <v>1</v>
      </c>
      <c r="I109" s="37" t="n">
        <v>1</v>
      </c>
      <c r="J109" s="38">
        <f>ROUND(H109*I109,2)</f>
        <v/>
      </c>
      <c r="L109" s="39" t="n">
        <v>1</v>
      </c>
      <c r="M109" s="40" t="n">
        <v>1</v>
      </c>
      <c r="N109" s="41">
        <f>ROUND(L109*M109,2)</f>
        <v/>
      </c>
    </row>
    <row r="110">
      <c r="A110" s="30" t="inlineStr">
        <is>
          <t>Bono social</t>
        </is>
      </c>
      <c r="B110" s="31" t="n">
        <v>30</v>
      </c>
      <c r="C110" s="32">
        <f>$N$101-$L$101+1</f>
        <v/>
      </c>
      <c r="D110" s="33" t="n">
        <v>0.5736</v>
      </c>
      <c r="E110" s="34" t="n">
        <v>0.01274</v>
      </c>
      <c r="F110" s="35">
        <f>ROUND(B110*E110,2)</f>
        <v/>
      </c>
      <c r="H110" s="36" t="n">
        <v>30</v>
      </c>
      <c r="I110" s="37" t="n">
        <v>0.01274</v>
      </c>
      <c r="J110" s="38">
        <f>ROUND(H110*I110,2)</f>
        <v/>
      </c>
      <c r="L110" s="39" t="n">
        <v>30</v>
      </c>
      <c r="M110" s="40" t="n">
        <v>0.00685</v>
      </c>
      <c r="N110" s="41">
        <f>ROUND(L110*M110,2)</f>
        <v/>
      </c>
    </row>
    <row r="111">
      <c r="A111" s="30" t="inlineStr">
        <is>
          <t>Tasa eléctrica</t>
        </is>
      </c>
      <c r="B111" s="31" t="n">
        <v>8.359999999999999</v>
      </c>
      <c r="C111" s="44" t="n"/>
      <c r="D111" s="33" t="n">
        <v>0.27312</v>
      </c>
      <c r="E111" s="34" t="n">
        <v>1</v>
      </c>
      <c r="F111" s="35">
        <f>ROUND(B111*E111,2)</f>
        <v/>
      </c>
      <c r="H111" s="36" t="n">
        <v>15.61</v>
      </c>
      <c r="I111" s="37" t="n">
        <v>1</v>
      </c>
      <c r="J111" s="38">
        <f>ROUND(H111*I111,2)</f>
        <v/>
      </c>
      <c r="L111" s="39" t="n">
        <v>5.49</v>
      </c>
      <c r="M111" s="40" t="n">
        <v>1</v>
      </c>
      <c r="N111" s="41">
        <f>ROUND(L111*M111,2)</f>
        <v/>
      </c>
    </row>
    <row r="112">
      <c r="A112" s="47" t="inlineStr">
        <is>
          <t>TOTAL c/IVA</t>
        </is>
      </c>
      <c r="F112" s="48">
        <f>ROUND((SUM(F104:F111)-F111)*1.1+F111,2)</f>
        <v/>
      </c>
      <c r="J112" s="49">
        <f>ROUND(SUM(J104:J111),2)</f>
        <v/>
      </c>
      <c r="N112" s="50">
        <f>ROUND(SUM(N104:N111),2)</f>
        <v/>
      </c>
    </row>
    <row r="113">
      <c r="A113" s="19" t="inlineStr">
        <is>
          <t>MARGEN sin registrar</t>
        </is>
      </c>
      <c r="B113" s="51">
        <f>IF((F107+F104+F106+F108+F105)=0,"",((F107+F104+F106+F108+F105)-$AB$106)/(F107+F104+F106+F108+F105))</f>
        <v/>
      </c>
      <c r="D113" s="52">
        <f>IF(B113="","SIN PC",IF(B113&gt;=0.3,"APROBAR",IF(B113&gt;=0.2,"REVISAR","RECHAZAR")))</f>
        <v/>
      </c>
      <c r="E113" s="53" t="n"/>
      <c r="F113" s="54" t="n"/>
      <c r="AD113">
        <f>SUM(F106:F108)-106.8557</f>
        <v/>
      </c>
    </row>
    <row r="115">
      <c r="A115" s="15" t="inlineStr">
        <is>
          <t>Factura 8558 · C02060 · FUNDACIÓN FSU PROGRAMAS INTERNACIONALES</t>
        </is>
      </c>
      <c r="H115" s="15" t="inlineStr">
        <is>
          <t>ES0021000008997147KG · Naturgy</t>
        </is>
      </c>
      <c r="L115" s="16" t="n">
        <v>46113</v>
      </c>
      <c r="M115" s="17" t="inlineStr">
        <is>
          <t>a</t>
        </is>
      </c>
      <c r="N115" s="16" t="n">
        <v>46142</v>
      </c>
      <c r="R115" s="18" t="inlineStr">
        <is>
          <t>HISTÓRICO DEL CUPS · HOJA TTVA LUZ</t>
        </is>
      </c>
    </row>
    <row r="116">
      <c r="A116" s="19" t="inlineStr">
        <is>
          <t>Concepto</t>
        </is>
      </c>
      <c r="B116" s="20" t="inlineStr">
        <is>
          <t>PENDIENTE (sin registrar)</t>
        </is>
      </c>
      <c r="C116" s="21" t="n"/>
      <c r="D116" s="21" t="n"/>
      <c r="E116" s="21" t="n"/>
      <c r="F116" s="21" t="n"/>
      <c r="H116" s="22" t="inlineStr">
        <is>
          <t>MES ANTERIOR · Fact.6307</t>
        </is>
      </c>
      <c r="I116" s="23" t="n"/>
      <c r="J116" s="23" t="n"/>
      <c r="L116" s="24" t="inlineStr">
        <is>
          <t>AÑO ANTERIOR · Fact.4591</t>
        </is>
      </c>
      <c r="M116" s="25" t="n"/>
      <c r="N116" s="25" t="n"/>
      <c r="R116" s="26" t="inlineStr">
        <is>
          <t>Cobrado total: 3.233 €</t>
        </is>
      </c>
    </row>
    <row r="117">
      <c r="B117" s="7" t="inlineStr">
        <is>
          <t>Cant</t>
        </is>
      </c>
      <c r="C117" s="7" t="inlineStr">
        <is>
          <t>Días</t>
        </is>
      </c>
      <c r="D117" s="7" t="inlineStr">
        <is>
          <t>PC real</t>
        </is>
      </c>
      <c r="E117" s="7" t="inlineStr">
        <is>
          <t>PV</t>
        </is>
      </c>
      <c r="F117" s="7" t="inlineStr">
        <is>
          <t>Importe</t>
        </is>
      </c>
      <c r="H117" s="27" t="inlineStr">
        <is>
          <t>Cant</t>
        </is>
      </c>
      <c r="I117" s="27" t="inlineStr">
        <is>
          <t>PV</t>
        </is>
      </c>
      <c r="J117" s="27" t="inlineStr">
        <is>
          <t>Importe</t>
        </is>
      </c>
      <c r="L117" s="28" t="inlineStr">
        <is>
          <t>Cant</t>
        </is>
      </c>
      <c r="M117" s="28" t="inlineStr">
        <is>
          <t>PV</t>
        </is>
      </c>
      <c r="N117" s="28" t="inlineStr">
        <is>
          <t>Importe</t>
        </is>
      </c>
      <c r="R117" s="29" t="inlineStr">
        <is>
          <t>Pagado total: 2.286 €</t>
        </is>
      </c>
    </row>
    <row r="118">
      <c r="A118" s="30" t="inlineStr">
        <is>
          <t>P1 Potencia</t>
        </is>
      </c>
      <c r="B118" s="31" t="n">
        <v>6.928</v>
      </c>
      <c r="C118" s="32">
        <f>$N$115-$L$115+1</f>
        <v/>
      </c>
      <c r="D118" s="33" t="n">
        <v>3.68919</v>
      </c>
      <c r="E118" s="34" t="n">
        <v>4.82</v>
      </c>
      <c r="F118" s="35">
        <f>ROUND(B118*E118,2)</f>
        <v/>
      </c>
      <c r="H118" s="36" t="n">
        <v>6.928</v>
      </c>
      <c r="I118" s="37" t="n">
        <v>4.82</v>
      </c>
      <c r="J118" s="38">
        <f>ROUND(H118*I118,2)</f>
        <v/>
      </c>
      <c r="L118" s="39" t="n">
        <v>6.928</v>
      </c>
      <c r="M118" s="40" t="n">
        <v>4.82</v>
      </c>
      <c r="N118" s="41">
        <f>ROUND(L118*M118,2)</f>
        <v/>
      </c>
      <c r="R118" s="42" t="inlineStr">
        <is>
          <t>DIF: 947 €   ·   Margen hist.: 29.3%</t>
        </is>
      </c>
    </row>
    <row r="119">
      <c r="A119" s="30" t="inlineStr">
        <is>
          <t>P2 Potencia</t>
        </is>
      </c>
      <c r="B119" s="31" t="n">
        <v>6.928</v>
      </c>
      <c r="C119" s="32">
        <f>$N$115-$L$115+1</f>
        <v/>
      </c>
      <c r="D119" s="33" t="n">
        <v>1.31928</v>
      </c>
      <c r="E119" s="34" t="n">
        <v>2.37</v>
      </c>
      <c r="F119" s="35">
        <f>ROUND(B119*E119,2)</f>
        <v/>
      </c>
      <c r="H119" s="36" t="n">
        <v>6.928</v>
      </c>
      <c r="I119" s="37" t="n">
        <v>2.37</v>
      </c>
      <c r="J119" s="38">
        <f>ROUND(H119*I119,2)</f>
        <v/>
      </c>
      <c r="L119" s="39" t="n">
        <v>6.928</v>
      </c>
      <c r="M119" s="40" t="n">
        <v>2.37</v>
      </c>
      <c r="N119" s="41">
        <f>ROUND(L119*M119,2)</f>
        <v/>
      </c>
      <c r="R119" s="43" t="inlineStr">
        <is>
          <t>Mejor mes: 2024-06 · 504 € · margen 58%</t>
        </is>
      </c>
    </row>
    <row r="120">
      <c r="A120" s="30" t="inlineStr">
        <is>
          <t>P1 Energía</t>
        </is>
      </c>
      <c r="B120" s="31">
        <f>IF($P$120&lt;&gt;"",ROUND(AA120*(($AB$120/(1-$P$120))-49.8123)/153.7504,2),IF('Resumen'!$D$3="OPTIMIZAR",ROUND(MAX(AA120,MIN(AA120*(($AB$120/(1-'Resumen'!$F$3))-49.8123)/153.7504,AA120*(442.3855)/153.7504)),3),AA120))</f>
        <v/>
      </c>
      <c r="C120" s="44" t="n"/>
      <c r="D120" s="33" t="n">
        <v>0.111171</v>
      </c>
      <c r="E120" s="34" t="n">
        <v>0.17</v>
      </c>
      <c r="F120" s="35">
        <f>ROUND(B120*E120,2)</f>
        <v/>
      </c>
      <c r="H120" s="36" t="n">
        <v>277.885</v>
      </c>
      <c r="I120" s="37" t="n">
        <v>0.1724</v>
      </c>
      <c r="J120" s="38">
        <f>ROUND(H120*I120,2)</f>
        <v/>
      </c>
      <c r="L120" s="39" t="n">
        <v>158.876</v>
      </c>
      <c r="M120" s="40" t="n">
        <v>0.175</v>
      </c>
      <c r="N120" s="41">
        <f>ROUND(L120*M120,2)</f>
        <v/>
      </c>
      <c r="O120" s="45" t="inlineStr">
        <is>
          <t>Margen objetivo (edita % aquí) ▶</t>
        </is>
      </c>
      <c r="P120" s="5" t="n"/>
      <c r="R120" s="43" t="inlineStr">
        <is>
          <t>Peor mes: 2024-08 · 71 € · margen 50%</t>
        </is>
      </c>
      <c r="AA120" t="n">
        <v>278.876</v>
      </c>
      <c r="AB120">
        <f>B118*D118+B119*D119+AA120*D120+AA121*D121+AA122*D122</f>
        <v/>
      </c>
    </row>
    <row r="121">
      <c r="A121" s="30" t="inlineStr">
        <is>
          <t>P2 Energía</t>
        </is>
      </c>
      <c r="B121" s="31">
        <f>IF($P$120&lt;&gt;"",ROUND(AA121*(($AB$120/(1-$P$120))-49.8123)/153.7504,2),IF('Resumen'!$D$3="OPTIMIZAR",ROUND(MAX(AA121,MIN(AA121*(($AB$120/(1-'Resumen'!$F$3))-49.8123)/153.7504,AA121*(442.3855)/153.7504)),3),AA121))</f>
        <v/>
      </c>
      <c r="C121" s="44" t="n"/>
      <c r="D121" s="33" t="n">
        <v>0.111171</v>
      </c>
      <c r="E121" s="34" t="n">
        <v>0.17</v>
      </c>
      <c r="F121" s="35">
        <f>ROUND(B121*E121,2)</f>
        <v/>
      </c>
      <c r="H121" s="36" t="n">
        <v>264.796</v>
      </c>
      <c r="I121" s="37" t="n">
        <v>0.1724</v>
      </c>
      <c r="J121" s="38">
        <f>ROUND(H121*I121,2)</f>
        <v/>
      </c>
      <c r="L121" s="39" t="n">
        <v>147.069</v>
      </c>
      <c r="M121" s="40" t="n">
        <v>0.175</v>
      </c>
      <c r="N121" s="41">
        <f>ROUND(L121*M121,2)</f>
        <v/>
      </c>
      <c r="O121" s="46" t="inlineStr">
        <is>
          <t>Cant. P1/P2/P3 energía suben</t>
        </is>
      </c>
      <c r="R121" s="43" t="inlineStr">
        <is>
          <t>Importe mensual cobrado (€) · 24 meses ▾</t>
        </is>
      </c>
      <c r="AA121" t="n">
        <v>267.069</v>
      </c>
    </row>
    <row r="122">
      <c r="A122" s="30" t="inlineStr">
        <is>
          <t>P3 Energía</t>
        </is>
      </c>
      <c r="B122" s="31">
        <f>IF($P$120&lt;&gt;"",ROUND(AA122*(($AB$120/(1-$P$120))-49.8123)/153.7504,2),IF('Resumen'!$D$3="OPTIMIZAR",ROUND(MAX(AA122,MIN(AA122*(($AB$120/(1-'Resumen'!$F$3))-49.8123)/153.7504,AA122*(442.3855)/153.7504)),3),AA122))</f>
        <v/>
      </c>
      <c r="C122" s="44" t="n"/>
      <c r="D122" s="33" t="n">
        <v>0.111171</v>
      </c>
      <c r="E122" s="34" t="n">
        <v>0.17</v>
      </c>
      <c r="F122" s="35">
        <f>ROUND(B122*E122,2)</f>
        <v/>
      </c>
      <c r="H122" s="36" t="n">
        <v>404.897</v>
      </c>
      <c r="I122" s="37" t="n">
        <v>0.1724</v>
      </c>
      <c r="J122" s="38">
        <f>ROUND(H122*I122,2)</f>
        <v/>
      </c>
      <c r="L122" s="39" t="n">
        <v>228.469</v>
      </c>
      <c r="M122" s="40" t="n">
        <v>0.175</v>
      </c>
      <c r="N122" s="41">
        <f>ROUND(L122*M122,2)</f>
        <v/>
      </c>
      <c r="O122" s="46" t="inlineStr">
        <is>
          <t>en proporción para ese margen</t>
        </is>
      </c>
      <c r="AA122" t="n">
        <v>358.469</v>
      </c>
    </row>
    <row r="123">
      <c r="A123" s="30" t="inlineStr">
        <is>
          <t>Alquiler contador</t>
        </is>
      </c>
      <c r="B123" s="31" t="n">
        <v>1</v>
      </c>
      <c r="C123" s="32">
        <f>$N$115-$L$115+1</f>
        <v/>
      </c>
      <c r="D123" s="33" t="n">
        <v>1.3414</v>
      </c>
      <c r="E123" s="34" t="n">
        <v>1</v>
      </c>
      <c r="F123" s="35">
        <f>ROUND(B123*E123,2)</f>
        <v/>
      </c>
      <c r="H123" s="36" t="n">
        <v>1</v>
      </c>
      <c r="I123" s="37" t="n">
        <v>1</v>
      </c>
      <c r="J123" s="38">
        <f>ROUND(H123*I123,2)</f>
        <v/>
      </c>
      <c r="L123" s="39" t="n">
        <v>1</v>
      </c>
      <c r="M123" s="40" t="n">
        <v>1</v>
      </c>
      <c r="N123" s="41">
        <f>ROUND(L123*M123,2)</f>
        <v/>
      </c>
    </row>
    <row r="124">
      <c r="A124" s="30" t="inlineStr">
        <is>
          <t>Bono social</t>
        </is>
      </c>
      <c r="B124" s="31" t="n">
        <v>30</v>
      </c>
      <c r="C124" s="32">
        <f>$N$115-$L$115+1</f>
        <v/>
      </c>
      <c r="D124" s="33" t="n">
        <v>0.5736</v>
      </c>
      <c r="E124" s="34" t="n">
        <v>0.01274</v>
      </c>
      <c r="F124" s="35">
        <f>ROUND(B124*E124,2)</f>
        <v/>
      </c>
      <c r="H124" s="36" t="n">
        <v>30</v>
      </c>
      <c r="I124" s="37" t="n">
        <v>0.01274</v>
      </c>
      <c r="J124" s="38">
        <f>ROUND(H124*I124,2)</f>
        <v/>
      </c>
      <c r="L124" s="39" t="n">
        <v>30</v>
      </c>
      <c r="M124" s="40" t="n">
        <v>0.00685</v>
      </c>
      <c r="N124" s="41">
        <f>ROUND(L124*M124,2)</f>
        <v/>
      </c>
    </row>
    <row r="125">
      <c r="A125" s="30" t="inlineStr">
        <is>
          <t>Tasa eléctrica</t>
        </is>
      </c>
      <c r="B125" s="31" t="n">
        <v>10.85</v>
      </c>
      <c r="C125" s="44" t="n"/>
      <c r="D125" s="33" t="n">
        <v>0.27312</v>
      </c>
      <c r="E125" s="34" t="n">
        <v>1</v>
      </c>
      <c r="F125" s="35">
        <f>ROUND(B125*E125,2)</f>
        <v/>
      </c>
      <c r="H125" s="36" t="n">
        <v>11.38</v>
      </c>
      <c r="I125" s="37" t="n">
        <v>1</v>
      </c>
      <c r="J125" s="38">
        <f>ROUND(H125*I125,2)</f>
        <v/>
      </c>
      <c r="L125" s="39" t="n">
        <v>7.33</v>
      </c>
      <c r="M125" s="40" t="n">
        <v>1</v>
      </c>
      <c r="N125" s="41">
        <f>ROUND(L125*M125,2)</f>
        <v/>
      </c>
    </row>
    <row r="126">
      <c r="A126" s="47" t="inlineStr">
        <is>
          <t>TOTAL c/IVA</t>
        </is>
      </c>
      <c r="F126" s="48">
        <f>ROUND((SUM(F118:F125)-F125)*1.1+F125,2)</f>
        <v/>
      </c>
      <c r="J126" s="49">
        <f>ROUND(SUM(J118:J125),2)</f>
        <v/>
      </c>
      <c r="N126" s="50">
        <f>ROUND(SUM(N118:N125),2)</f>
        <v/>
      </c>
    </row>
    <row r="127">
      <c r="A127" s="19" t="inlineStr">
        <is>
          <t>MARGEN sin registrar</t>
        </is>
      </c>
      <c r="B127" s="51">
        <f>IF((F121+F118+F120+F122+F119)=0,"",((F121+F118+F120+F122+F119)-$AB$120)/(F121+F118+F120+F122+F119))</f>
        <v/>
      </c>
      <c r="D127" s="52">
        <f>IF(B127="","SIN PC",IF(B127&gt;=0.3,"APROBAR",IF(B127&gt;=0.2,"REVISAR","RECHAZAR")))</f>
        <v/>
      </c>
      <c r="E127" s="53" t="n"/>
      <c r="F127" s="54" t="n"/>
      <c r="AD127">
        <f>SUM(F120:F122)-153.7504</f>
        <v/>
      </c>
    </row>
    <row r="129">
      <c r="A129" s="15" t="inlineStr">
        <is>
          <t>Factura 8559 · C02040 · FUNDACIÓN FSU PROGRAMAS INTERNACIONALES</t>
        </is>
      </c>
      <c r="H129" s="15" t="inlineStr">
        <is>
          <t>ES0021000009023658TL · Naturgy</t>
        </is>
      </c>
      <c r="L129" s="16" t="n">
        <v>46113</v>
      </c>
      <c r="M129" s="17" t="inlineStr">
        <is>
          <t>a</t>
        </is>
      </c>
      <c r="N129" s="16" t="n">
        <v>46142</v>
      </c>
      <c r="R129" s="18" t="inlineStr">
        <is>
          <t>HISTÓRICO DEL CUPS · HOJA TTVA LUZ</t>
        </is>
      </c>
    </row>
    <row r="130">
      <c r="A130" s="19" t="inlineStr">
        <is>
          <t>Concepto</t>
        </is>
      </c>
      <c r="B130" s="20" t="inlineStr">
        <is>
          <t>PENDIENTE (sin registrar)</t>
        </is>
      </c>
      <c r="C130" s="21" t="n"/>
      <c r="D130" s="21" t="n"/>
      <c r="E130" s="21" t="n"/>
      <c r="F130" s="21" t="n"/>
      <c r="H130" s="22" t="inlineStr">
        <is>
          <t>MES ANTERIOR · Fact.6315</t>
        </is>
      </c>
      <c r="I130" s="23" t="n"/>
      <c r="J130" s="23" t="n"/>
      <c r="L130" s="24" t="inlineStr">
        <is>
          <t>AÑO ANTERIOR · Fact.4592</t>
        </is>
      </c>
      <c r="M130" s="25" t="n"/>
      <c r="N130" s="25" t="n"/>
      <c r="R130" s="26" t="inlineStr">
        <is>
          <t>Cobrado total: 990 €</t>
        </is>
      </c>
    </row>
    <row r="131">
      <c r="B131" s="7" t="inlineStr">
        <is>
          <t>Cant</t>
        </is>
      </c>
      <c r="C131" s="7" t="inlineStr">
        <is>
          <t>Días</t>
        </is>
      </c>
      <c r="D131" s="7" t="inlineStr">
        <is>
          <t>PC real</t>
        </is>
      </c>
      <c r="E131" s="7" t="inlineStr">
        <is>
          <t>PV</t>
        </is>
      </c>
      <c r="F131" s="7" t="inlineStr">
        <is>
          <t>Importe</t>
        </is>
      </c>
      <c r="H131" s="27" t="inlineStr">
        <is>
          <t>Cant</t>
        </is>
      </c>
      <c r="I131" s="27" t="inlineStr">
        <is>
          <t>PV</t>
        </is>
      </c>
      <c r="J131" s="27" t="inlineStr">
        <is>
          <t>Importe</t>
        </is>
      </c>
      <c r="L131" s="28" t="inlineStr">
        <is>
          <t>Cant</t>
        </is>
      </c>
      <c r="M131" s="28" t="inlineStr">
        <is>
          <t>PV</t>
        </is>
      </c>
      <c r="N131" s="28" t="inlineStr">
        <is>
          <t>Importe</t>
        </is>
      </c>
      <c r="R131" s="29" t="inlineStr">
        <is>
          <t>Pagado total: 662 €</t>
        </is>
      </c>
    </row>
    <row r="132">
      <c r="A132" s="30" t="inlineStr">
        <is>
          <t>P1 Potencia</t>
        </is>
      </c>
      <c r="B132" s="31" t="n">
        <v>6.9</v>
      </c>
      <c r="C132" s="32">
        <f>$N$129-$L$129+1</f>
        <v/>
      </c>
      <c r="D132" s="33" t="n">
        <v>3.68919</v>
      </c>
      <c r="E132" s="34" t="n">
        <v>4.82</v>
      </c>
      <c r="F132" s="35">
        <f>ROUND(B132*E132,2)</f>
        <v/>
      </c>
      <c r="H132" s="36" t="n">
        <v>6.9</v>
      </c>
      <c r="I132" s="37" t="n">
        <v>4.82</v>
      </c>
      <c r="J132" s="38">
        <f>ROUND(H132*I132,2)</f>
        <v/>
      </c>
      <c r="L132" s="39" t="n">
        <v>6.9</v>
      </c>
      <c r="M132" s="40" t="n">
        <v>4.82</v>
      </c>
      <c r="N132" s="41">
        <f>ROUND(L132*M132,2)</f>
        <v/>
      </c>
      <c r="R132" s="42" t="inlineStr">
        <is>
          <t>DIF: 328 €   ·   Margen hist.: 33.1%</t>
        </is>
      </c>
    </row>
    <row r="133">
      <c r="A133" s="30" t="inlineStr">
        <is>
          <t>P2 Potencia</t>
        </is>
      </c>
      <c r="B133" s="31" t="n">
        <v>6.9</v>
      </c>
      <c r="C133" s="32">
        <f>$N$129-$L$129+1</f>
        <v/>
      </c>
      <c r="D133" s="33" t="n">
        <v>1.31928</v>
      </c>
      <c r="E133" s="34" t="n">
        <v>2.37</v>
      </c>
      <c r="F133" s="35">
        <f>ROUND(B133*E133,2)</f>
        <v/>
      </c>
      <c r="H133" s="36" t="n">
        <v>6.9</v>
      </c>
      <c r="I133" s="37" t="n">
        <v>2.37</v>
      </c>
      <c r="J133" s="38">
        <f>ROUND(H133*I133,2)</f>
        <v/>
      </c>
      <c r="L133" s="39" t="n">
        <v>6.9</v>
      </c>
      <c r="M133" s="40" t="n">
        <v>2.37</v>
      </c>
      <c r="N133" s="41">
        <f>ROUND(L133*M133,2)</f>
        <v/>
      </c>
      <c r="R133" s="43" t="inlineStr">
        <is>
          <t>Mejor mes: 2024-07 · 195 € · margen 65%</t>
        </is>
      </c>
    </row>
    <row r="134">
      <c r="A134" s="30" t="inlineStr">
        <is>
          <t>P1 Energía</t>
        </is>
      </c>
      <c r="B134" s="31">
        <f>IF($P$134&lt;&gt;"",ROUND(AA134*(($AB$134/(1-$P$134))-49.6110)/37.2696,2),IF('Resumen'!$D$3="OPTIMIZAR",ROUND(MAX(AA134,MIN(AA134*(($AB$134/(1-'Resumen'!$F$3))-49.6110)/37.2696,AA134*(138.8368)/37.2696)),3),AA134))</f>
        <v/>
      </c>
      <c r="C134" s="44" t="n"/>
      <c r="D134" s="33" t="n">
        <v>0.111171</v>
      </c>
      <c r="E134" s="34" t="n">
        <v>0.17</v>
      </c>
      <c r="F134" s="35">
        <f>ROUND(B134*E134,2)</f>
        <v/>
      </c>
      <c r="H134" s="36" t="n">
        <v>82.004</v>
      </c>
      <c r="I134" s="37" t="n">
        <v>0.1724</v>
      </c>
      <c r="J134" s="38">
        <f>ROUND(H134*I134,2)</f>
        <v/>
      </c>
      <c r="L134" s="39" t="n">
        <v>19.458</v>
      </c>
      <c r="M134" s="40" t="n">
        <v>0.175</v>
      </c>
      <c r="N134" s="41">
        <f>ROUND(L134*M134,2)</f>
        <v/>
      </c>
      <c r="O134" s="45" t="inlineStr">
        <is>
          <t>Margen objetivo (edita % aquí) ▶</t>
        </is>
      </c>
      <c r="P134" s="5" t="n"/>
      <c r="R134" s="43" t="inlineStr">
        <is>
          <t>Peor mes: 2024-08 · 59 € · margen 12%</t>
        </is>
      </c>
      <c r="AA134" t="n">
        <v>39.458</v>
      </c>
      <c r="AB134">
        <f>B132*D132+B133*D133+AA134*D134+AA135*D135+AA136*D136</f>
        <v/>
      </c>
    </row>
    <row r="135">
      <c r="A135" s="30" t="inlineStr">
        <is>
          <t>P2 Energía</t>
        </is>
      </c>
      <c r="B135" s="31">
        <f>IF($P$134&lt;&gt;"",ROUND(AA135*(($AB$134/(1-$P$134))-49.6110)/37.2696,2),IF('Resumen'!$D$3="OPTIMIZAR",ROUND(MAX(AA135,MIN(AA135*(($AB$134/(1-'Resumen'!$F$3))-49.6110)/37.2696,AA135*(138.8368)/37.2696)),3),AA135))</f>
        <v/>
      </c>
      <c r="C135" s="44" t="n"/>
      <c r="D135" s="33" t="n">
        <v>0.111171</v>
      </c>
      <c r="E135" s="34" t="n">
        <v>0.17</v>
      </c>
      <c r="F135" s="35">
        <f>ROUND(B135*E135,2)</f>
        <v/>
      </c>
      <c r="H135" s="36" t="n">
        <v>34.272</v>
      </c>
      <c r="I135" s="37" t="n">
        <v>0.1724</v>
      </c>
      <c r="J135" s="38">
        <f>ROUND(H135*I135,2)</f>
        <v/>
      </c>
      <c r="L135" s="39" t="n">
        <v>17.216</v>
      </c>
      <c r="M135" s="40" t="n">
        <v>0.175</v>
      </c>
      <c r="N135" s="41">
        <f>ROUND(L135*M135,2)</f>
        <v/>
      </c>
      <c r="O135" s="46" t="inlineStr">
        <is>
          <t>Cant. P1/P2/P3 energía suben</t>
        </is>
      </c>
      <c r="R135" s="43" t="inlineStr">
        <is>
          <t>Importe mensual cobrado (€) · 24 meses ▾</t>
        </is>
      </c>
      <c r="AA135" t="n">
        <v>37.216</v>
      </c>
    </row>
    <row r="136">
      <c r="A136" s="30" t="inlineStr">
        <is>
          <t>P3 Energía</t>
        </is>
      </c>
      <c r="B136" s="31">
        <f>IF($P$134&lt;&gt;"",ROUND(AA136*(($AB$134/(1-$P$134))-49.6110)/37.2696,2),IF('Resumen'!$D$3="OPTIMIZAR",ROUND(MAX(AA136,MIN(AA136*(($AB$134/(1-'Resumen'!$F$3))-49.6110)/37.2696,AA136*(138.8368)/37.2696)),3),AA136))</f>
        <v/>
      </c>
      <c r="C136" s="44" t="n"/>
      <c r="D136" s="33" t="n">
        <v>0.111171</v>
      </c>
      <c r="E136" s="34" t="n">
        <v>0.17</v>
      </c>
      <c r="F136" s="35">
        <f>ROUND(B136*E136,2)</f>
        <v/>
      </c>
      <c r="H136" s="36" t="n">
        <v>48.34</v>
      </c>
      <c r="I136" s="37" t="n">
        <v>0.1724</v>
      </c>
      <c r="J136" s="38">
        <f>ROUND(H136*I136,2)</f>
        <v/>
      </c>
      <c r="L136" s="39" t="n">
        <v>42.559</v>
      </c>
      <c r="M136" s="40" t="n">
        <v>0.175</v>
      </c>
      <c r="N136" s="41">
        <f>ROUND(L136*M136,2)</f>
        <v/>
      </c>
      <c r="O136" s="46" t="inlineStr">
        <is>
          <t>en proporción para ese margen</t>
        </is>
      </c>
      <c r="AA136" t="n">
        <v>142.559</v>
      </c>
    </row>
    <row r="137">
      <c r="A137" s="30" t="inlineStr">
        <is>
          <t>Alquiler contador</t>
        </is>
      </c>
      <c r="B137" s="31" t="n">
        <v>1</v>
      </c>
      <c r="C137" s="32">
        <f>$N$129-$L$129+1</f>
        <v/>
      </c>
      <c r="D137" s="33" t="n">
        <v>0.7989000000000001</v>
      </c>
      <c r="E137" s="34" t="n">
        <v>1</v>
      </c>
      <c r="F137" s="35">
        <f>ROUND(B137*E137,2)</f>
        <v/>
      </c>
      <c r="H137" s="36" t="n">
        <v>1</v>
      </c>
      <c r="I137" s="37" t="n">
        <v>1</v>
      </c>
      <c r="J137" s="38">
        <f>ROUND(H137*I137,2)</f>
        <v/>
      </c>
      <c r="L137" s="39" t="n">
        <v>1</v>
      </c>
      <c r="M137" s="40" t="n">
        <v>1</v>
      </c>
      <c r="N137" s="41">
        <f>ROUND(L137*M137,2)</f>
        <v/>
      </c>
    </row>
    <row r="138">
      <c r="A138" s="30" t="inlineStr">
        <is>
          <t>Bono social</t>
        </is>
      </c>
      <c r="B138" s="31" t="n">
        <v>30</v>
      </c>
      <c r="C138" s="32">
        <f>$N$129-$L$129+1</f>
        <v/>
      </c>
      <c r="D138" s="33" t="n">
        <v>0.5736</v>
      </c>
      <c r="E138" s="34" t="n">
        <v>0.01274</v>
      </c>
      <c r="F138" s="35">
        <f>ROUND(B138*E138,2)</f>
        <v/>
      </c>
      <c r="H138" s="36" t="n">
        <v>30</v>
      </c>
      <c r="I138" s="37" t="n">
        <v>0.01274</v>
      </c>
      <c r="J138" s="38">
        <f>ROUND(H138*I138,2)</f>
        <v/>
      </c>
      <c r="L138" s="39" t="n">
        <v>30</v>
      </c>
      <c r="M138" s="40" t="n">
        <v>0.00685</v>
      </c>
      <c r="N138" s="41">
        <f>ROUND(L138*M138,2)</f>
        <v/>
      </c>
    </row>
    <row r="139">
      <c r="A139" s="30" t="inlineStr">
        <is>
          <t>Tasa eléctrica</t>
        </is>
      </c>
      <c r="B139" s="31" t="n">
        <v>4.68</v>
      </c>
      <c r="C139" s="44" t="n"/>
      <c r="D139" s="33" t="n">
        <v>0.27312</v>
      </c>
      <c r="E139" s="34" t="n">
        <v>1</v>
      </c>
      <c r="F139" s="35">
        <f>ROUND(B139*E139,2)</f>
        <v/>
      </c>
      <c r="H139" s="36" t="n">
        <v>4.21</v>
      </c>
      <c r="I139" s="37" t="n">
        <v>1</v>
      </c>
      <c r="J139" s="38">
        <f>ROUND(H139*I139,2)</f>
        <v/>
      </c>
      <c r="L139" s="39" t="n">
        <v>3.25</v>
      </c>
      <c r="M139" s="40" t="n">
        <v>1</v>
      </c>
      <c r="N139" s="41">
        <f>ROUND(L139*M139,2)</f>
        <v/>
      </c>
    </row>
    <row r="140">
      <c r="A140" s="47" t="inlineStr">
        <is>
          <t>TOTAL c/IVA</t>
        </is>
      </c>
      <c r="F140" s="48">
        <f>ROUND((SUM(F132:F139)-F139)*1.1+F139,2)</f>
        <v/>
      </c>
      <c r="J140" s="49">
        <f>ROUND(SUM(J132:J139),2)</f>
        <v/>
      </c>
      <c r="N140" s="50">
        <f>ROUND(SUM(N132:N139),2)</f>
        <v/>
      </c>
    </row>
    <row r="141">
      <c r="A141" s="19" t="inlineStr">
        <is>
          <t>MARGEN sin registrar</t>
        </is>
      </c>
      <c r="B141" s="51">
        <f>IF((F135+F132+F134+F136+F133)=0,"",((F135+F132+F134+F136+F133)-$AB$134)/(F135+F132+F134+F136+F133))</f>
        <v/>
      </c>
      <c r="D141" s="52">
        <f>IF(B141="","SIN PC",IF(B141&gt;=0.3,"APROBAR",IF(B141&gt;=0.2,"REVISAR","RECHAZAR")))</f>
        <v/>
      </c>
      <c r="E141" s="53" t="n"/>
      <c r="F141" s="54" t="n"/>
      <c r="AD141">
        <f>SUM(F134:F136)-37.2696</f>
        <v/>
      </c>
    </row>
    <row r="143">
      <c r="A143" s="15" t="inlineStr">
        <is>
          <t>Factura 8560 · C02030 · FUNDACIÓN FSU PROGRAMAS INTERNACIONALES</t>
        </is>
      </c>
      <c r="H143" s="15" t="inlineStr">
        <is>
          <t>ES0021000009023659TC · Naturgy</t>
        </is>
      </c>
      <c r="L143" s="16" t="n">
        <v>46113</v>
      </c>
      <c r="M143" s="17" t="inlineStr">
        <is>
          <t>a</t>
        </is>
      </c>
      <c r="N143" s="16" t="n">
        <v>46142</v>
      </c>
      <c r="R143" s="18" t="inlineStr">
        <is>
          <t>HISTÓRICO DEL CUPS · HOJA TTVA LUZ</t>
        </is>
      </c>
    </row>
    <row r="144">
      <c r="A144" s="19" t="inlineStr">
        <is>
          <t>Concepto</t>
        </is>
      </c>
      <c r="B144" s="20" t="inlineStr">
        <is>
          <t>PENDIENTE (sin registrar)</t>
        </is>
      </c>
      <c r="C144" s="21" t="n"/>
      <c r="D144" s="21" t="n"/>
      <c r="E144" s="21" t="n"/>
      <c r="F144" s="21" t="n"/>
      <c r="H144" s="22" t="inlineStr">
        <is>
          <t>MES ANTERIOR · Fact.6309</t>
        </is>
      </c>
      <c r="I144" s="23" t="n"/>
      <c r="J144" s="23" t="n"/>
      <c r="L144" s="24" t="inlineStr">
        <is>
          <t>AÑO ANTERIOR · Fact.4593</t>
        </is>
      </c>
      <c r="M144" s="25" t="n"/>
      <c r="N144" s="25" t="n"/>
      <c r="R144" s="26" t="inlineStr">
        <is>
          <t>Cobrado total: 837 €</t>
        </is>
      </c>
    </row>
    <row r="145">
      <c r="B145" s="7" t="inlineStr">
        <is>
          <t>Cant</t>
        </is>
      </c>
      <c r="C145" s="7" t="inlineStr">
        <is>
          <t>Días</t>
        </is>
      </c>
      <c r="D145" s="7" t="inlineStr">
        <is>
          <t>PC real</t>
        </is>
      </c>
      <c r="E145" s="7" t="inlineStr">
        <is>
          <t>PV</t>
        </is>
      </c>
      <c r="F145" s="7" t="inlineStr">
        <is>
          <t>Importe</t>
        </is>
      </c>
      <c r="H145" s="27" t="inlineStr">
        <is>
          <t>Cant</t>
        </is>
      </c>
      <c r="I145" s="27" t="inlineStr">
        <is>
          <t>PV</t>
        </is>
      </c>
      <c r="J145" s="27" t="inlineStr">
        <is>
          <t>Importe</t>
        </is>
      </c>
      <c r="L145" s="28" t="inlineStr">
        <is>
          <t>Cant</t>
        </is>
      </c>
      <c r="M145" s="28" t="inlineStr">
        <is>
          <t>PV</t>
        </is>
      </c>
      <c r="N145" s="28" t="inlineStr">
        <is>
          <t>Importe</t>
        </is>
      </c>
      <c r="R145" s="29" t="inlineStr">
        <is>
          <t>Pagado total: 629 €</t>
        </is>
      </c>
    </row>
    <row r="146">
      <c r="A146" s="30" t="inlineStr">
        <is>
          <t>P1 Potencia</t>
        </is>
      </c>
      <c r="B146" s="31" t="n">
        <v>6.9</v>
      </c>
      <c r="C146" s="32">
        <f>$N$143-$L$143+1</f>
        <v/>
      </c>
      <c r="D146" s="33" t="n">
        <v>3.68919</v>
      </c>
      <c r="E146" s="34" t="n">
        <v>4.82</v>
      </c>
      <c r="F146" s="35">
        <f>ROUND(B146*E146,2)</f>
        <v/>
      </c>
      <c r="H146" s="36" t="n">
        <v>6.9</v>
      </c>
      <c r="I146" s="37" t="n">
        <v>4.82</v>
      </c>
      <c r="J146" s="38">
        <f>ROUND(H146*I146,2)</f>
        <v/>
      </c>
      <c r="L146" s="39" t="n">
        <v>6.9</v>
      </c>
      <c r="M146" s="40" t="n">
        <v>4.82</v>
      </c>
      <c r="N146" s="41">
        <f>ROUND(L146*M146,2)</f>
        <v/>
      </c>
      <c r="R146" s="42" t="inlineStr">
        <is>
          <t>DIF: 208 €   ·   Margen hist.: 24.8%</t>
        </is>
      </c>
    </row>
    <row r="147">
      <c r="A147" s="30" t="inlineStr">
        <is>
          <t>P2 Potencia</t>
        </is>
      </c>
      <c r="B147" s="31" t="n">
        <v>6.9</v>
      </c>
      <c r="C147" s="32">
        <f>$N$143-$L$143+1</f>
        <v/>
      </c>
      <c r="D147" s="33" t="n">
        <v>1.31928</v>
      </c>
      <c r="E147" s="34" t="n">
        <v>2.37</v>
      </c>
      <c r="F147" s="35">
        <f>ROUND(B147*E147,2)</f>
        <v/>
      </c>
      <c r="H147" s="36" t="n">
        <v>6.9</v>
      </c>
      <c r="I147" s="37" t="n">
        <v>2.37</v>
      </c>
      <c r="J147" s="38">
        <f>ROUND(H147*I147,2)</f>
        <v/>
      </c>
      <c r="L147" s="39" t="n">
        <v>6.9</v>
      </c>
      <c r="M147" s="40" t="n">
        <v>2.37</v>
      </c>
      <c r="N147" s="41">
        <f>ROUND(L147*M147,2)</f>
        <v/>
      </c>
      <c r="R147" s="43" t="inlineStr">
        <is>
          <t>Mejor mes: 2024-06 · 143 € · margen 50%</t>
        </is>
      </c>
    </row>
    <row r="148">
      <c r="A148" s="30" t="inlineStr">
        <is>
          <t>P1 Energía</t>
        </is>
      </c>
      <c r="B148" s="31">
        <f>IF($P$148&lt;&gt;"",ROUND(AA148*(($AB$148/(1-$P$148))-49.6110)/59.1483,2),IF('Resumen'!$D$3="OPTIMIZAR",ROUND(MAX(AA148,MIN(AA148*(($AB$148/(1-'Resumen'!$F$3))-49.6110)/59.1483,AA148*(86.4268)/59.1483)),3),AA148))</f>
        <v/>
      </c>
      <c r="C148" s="44" t="n"/>
      <c r="D148" s="33" t="n">
        <v>0.111171</v>
      </c>
      <c r="E148" s="34" t="n">
        <v>0.17</v>
      </c>
      <c r="F148" s="35">
        <f>ROUND(B148*E148,2)</f>
        <v/>
      </c>
      <c r="H148" s="36" t="n">
        <v>202.68</v>
      </c>
      <c r="I148" s="37" t="n">
        <v>0.175</v>
      </c>
      <c r="J148" s="38">
        <f>ROUND(H148*I148,2)</f>
        <v/>
      </c>
      <c r="L148" s="39" t="n">
        <v>43.204</v>
      </c>
      <c r="M148" s="40" t="n">
        <v>0.175</v>
      </c>
      <c r="N148" s="41">
        <f>ROUND(L148*M148,2)</f>
        <v/>
      </c>
      <c r="O148" s="45" t="inlineStr">
        <is>
          <t>Margen objetivo (edita % aquí) ▶</t>
        </is>
      </c>
      <c r="P148" s="5" t="n"/>
      <c r="R148" s="43" t="inlineStr">
        <is>
          <t>Peor mes: 2024-11 · 53 € · margen 7%</t>
        </is>
      </c>
      <c r="AA148" t="n">
        <v>73.20399999999999</v>
      </c>
      <c r="AB148">
        <f>B146*D146+B147*D147+AA148*D148+AA149*D149+AA150*D150</f>
        <v/>
      </c>
    </row>
    <row r="149">
      <c r="A149" s="30" t="inlineStr">
        <is>
          <t>P2 Energía</t>
        </is>
      </c>
      <c r="B149" s="31">
        <f>IF($P$148&lt;&gt;"",ROUND(AA149*(($AB$148/(1-$P$148))-49.6110)/59.1483,2),IF('Resumen'!$D$3="OPTIMIZAR",ROUND(MAX(AA149,MIN(AA149*(($AB$148/(1-'Resumen'!$F$3))-49.6110)/59.1483,AA149*(86.4268)/59.1483)),3),AA149))</f>
        <v/>
      </c>
      <c r="C149" s="44" t="n"/>
      <c r="D149" s="33" t="n">
        <v>0.111171</v>
      </c>
      <c r="E149" s="34" t="n">
        <v>0.17</v>
      </c>
      <c r="F149" s="35">
        <f>ROUND(B149*E149,2)</f>
        <v/>
      </c>
      <c r="H149" s="36" t="n">
        <v>210.47</v>
      </c>
      <c r="I149" s="37" t="n">
        <v>0.175</v>
      </c>
      <c r="J149" s="38">
        <f>ROUND(H149*I149,2)</f>
        <v/>
      </c>
      <c r="L149" s="39" t="n">
        <v>39.657</v>
      </c>
      <c r="M149" s="40" t="n">
        <v>0.175</v>
      </c>
      <c r="N149" s="41">
        <f>ROUND(L149*M149,2)</f>
        <v/>
      </c>
      <c r="O149" s="46" t="inlineStr">
        <is>
          <t>Cant. P1/P2/P3 energía suben</t>
        </is>
      </c>
      <c r="R149" s="43" t="inlineStr">
        <is>
          <t>Importe mensual cobrado (€) · 24 meses ▾</t>
        </is>
      </c>
      <c r="AA149" t="n">
        <v>49.657</v>
      </c>
    </row>
    <row r="150">
      <c r="A150" s="30" t="inlineStr">
        <is>
          <t>P3 Energía</t>
        </is>
      </c>
      <c r="B150" s="31">
        <f>IF($P$148&lt;&gt;"",ROUND(AA150*(($AB$148/(1-$P$148))-49.6110)/59.1483,2),IF('Resumen'!$D$3="OPTIMIZAR",ROUND(MAX(AA150,MIN(AA150*(($AB$148/(1-'Resumen'!$F$3))-49.6110)/59.1483,AA150*(86.4268)/59.1483)),3),AA150))</f>
        <v/>
      </c>
      <c r="C150" s="44" t="n"/>
      <c r="D150" s="33" t="n">
        <v>0.111171</v>
      </c>
      <c r="E150" s="34" t="n">
        <v>0.17</v>
      </c>
      <c r="F150" s="35">
        <f>ROUND(B150*E150,2)</f>
        <v/>
      </c>
      <c r="H150" s="36" t="n">
        <v>303.619</v>
      </c>
      <c r="I150" s="37" t="n">
        <v>0.175</v>
      </c>
      <c r="J150" s="38">
        <f>ROUND(H150*I150,2)</f>
        <v/>
      </c>
      <c r="L150" s="39" t="n">
        <v>125.07</v>
      </c>
      <c r="M150" s="40" t="n">
        <v>0.175</v>
      </c>
      <c r="N150" s="41">
        <f>ROUND(L150*M150,2)</f>
        <v/>
      </c>
      <c r="O150" s="46" t="inlineStr">
        <is>
          <t>en proporción para ese margen</t>
        </is>
      </c>
      <c r="AA150" t="n">
        <v>225.07</v>
      </c>
    </row>
    <row r="151">
      <c r="A151" s="30" t="inlineStr">
        <is>
          <t>Alquiler contador</t>
        </is>
      </c>
      <c r="B151" s="31" t="n">
        <v>1</v>
      </c>
      <c r="C151" s="32">
        <f>$N$143-$L$143+1</f>
        <v/>
      </c>
      <c r="D151" s="33" t="n">
        <v>0.7989000000000001</v>
      </c>
      <c r="E151" s="34" t="n">
        <v>1</v>
      </c>
      <c r="F151" s="35">
        <f>ROUND(B151*E151,2)</f>
        <v/>
      </c>
      <c r="H151" s="36" t="n">
        <v>1</v>
      </c>
      <c r="I151" s="37" t="n">
        <v>1</v>
      </c>
      <c r="J151" s="38">
        <f>ROUND(H151*I151,2)</f>
        <v/>
      </c>
      <c r="L151" s="39" t="n">
        <v>1</v>
      </c>
      <c r="M151" s="40" t="n">
        <v>1</v>
      </c>
      <c r="N151" s="41">
        <f>ROUND(L151*M151,2)</f>
        <v/>
      </c>
    </row>
    <row r="152">
      <c r="A152" s="30" t="inlineStr">
        <is>
          <t>Bono social</t>
        </is>
      </c>
      <c r="B152" s="31" t="n">
        <v>30</v>
      </c>
      <c r="C152" s="32">
        <f>$N$143-$L$143+1</f>
        <v/>
      </c>
      <c r="D152" s="33" t="n">
        <v>0.5736</v>
      </c>
      <c r="E152" s="34" t="n">
        <v>0.01274</v>
      </c>
      <c r="F152" s="35">
        <f>ROUND(B152*E152,2)</f>
        <v/>
      </c>
      <c r="H152" s="36" t="n">
        <v>30</v>
      </c>
      <c r="I152" s="37" t="n">
        <v>0.01274</v>
      </c>
      <c r="J152" s="38">
        <f>ROUND(H152*I152,2)</f>
        <v/>
      </c>
      <c r="L152" s="39" t="n">
        <v>30</v>
      </c>
      <c r="M152" s="40" t="n">
        <v>0.00685</v>
      </c>
      <c r="N152" s="41">
        <f>ROUND(L152*M152,2)</f>
        <v/>
      </c>
    </row>
    <row r="153">
      <c r="A153" s="30" t="inlineStr">
        <is>
          <t>Tasa eléctrica</t>
        </is>
      </c>
      <c r="B153" s="31" t="n">
        <v>5.85</v>
      </c>
      <c r="C153" s="44" t="n"/>
      <c r="D153" s="33" t="n">
        <v>0.27312</v>
      </c>
      <c r="E153" s="34" t="n">
        <v>1</v>
      </c>
      <c r="F153" s="35">
        <f>ROUND(B153*E153,2)</f>
        <v/>
      </c>
      <c r="H153" s="36" t="n">
        <v>9.33</v>
      </c>
      <c r="I153" s="37" t="n">
        <v>1</v>
      </c>
      <c r="J153" s="38">
        <f>ROUND(H153*I153,2)</f>
        <v/>
      </c>
      <c r="L153" s="39" t="n">
        <v>4.4</v>
      </c>
      <c r="M153" s="40" t="n">
        <v>1</v>
      </c>
      <c r="N153" s="41">
        <f>ROUND(L153*M153,2)</f>
        <v/>
      </c>
    </row>
    <row r="154">
      <c r="A154" s="47" t="inlineStr">
        <is>
          <t>TOTAL c/IVA</t>
        </is>
      </c>
      <c r="F154" s="48">
        <f>ROUND((SUM(F146:F153)-F153)*1.1+F153,2)</f>
        <v/>
      </c>
      <c r="J154" s="49">
        <f>ROUND(SUM(J146:J153),2)</f>
        <v/>
      </c>
      <c r="N154" s="50">
        <f>ROUND(SUM(N146:N153),2)</f>
        <v/>
      </c>
    </row>
    <row r="155">
      <c r="A155" s="19" t="inlineStr">
        <is>
          <t>MARGEN sin registrar</t>
        </is>
      </c>
      <c r="B155" s="51">
        <f>IF((F149+F146+F148+F150+F147)=0,"",((F149+F146+F148+F150+F147)-$AB$148)/(F149+F146+F148+F150+F147))</f>
        <v/>
      </c>
      <c r="D155" s="52">
        <f>IF(B155="","SIN PC",IF(B155&gt;=0.3,"APROBAR",IF(B155&gt;=0.2,"REVISAR","RECHAZAR")))</f>
        <v/>
      </c>
      <c r="E155" s="53" t="n"/>
      <c r="F155" s="54" t="n"/>
      <c r="AD155">
        <f>SUM(F148:F150)-59.1483</f>
        <v/>
      </c>
    </row>
    <row r="157">
      <c r="A157" s="15" t="inlineStr">
        <is>
          <t>Factura 8561 · C02020 · FUNDACIÓN FSU PROGRAMAS INTERNACIONALES</t>
        </is>
      </c>
      <c r="H157" s="15" t="inlineStr">
        <is>
          <t>ES0021000008997146KA · Naturgy</t>
        </is>
      </c>
      <c r="L157" s="16" t="n">
        <v>46113</v>
      </c>
      <c r="M157" s="17" t="inlineStr">
        <is>
          <t>a</t>
        </is>
      </c>
      <c r="N157" s="16" t="n">
        <v>46142</v>
      </c>
      <c r="R157" s="18" t="inlineStr">
        <is>
          <t>HISTÓRICO DEL CUPS · HOJA TTVA LUZ</t>
        </is>
      </c>
    </row>
    <row r="158">
      <c r="A158" s="19" t="inlineStr">
        <is>
          <t>Concepto</t>
        </is>
      </c>
      <c r="B158" s="20" t="inlineStr">
        <is>
          <t>PENDIENTE (sin registrar)</t>
        </is>
      </c>
      <c r="C158" s="21" t="n"/>
      <c r="D158" s="21" t="n"/>
      <c r="E158" s="21" t="n"/>
      <c r="F158" s="21" t="n"/>
      <c r="H158" s="22" t="inlineStr">
        <is>
          <t>MES ANTERIOR · Fact.6310</t>
        </is>
      </c>
      <c r="I158" s="23" t="n"/>
      <c r="J158" s="23" t="n"/>
      <c r="L158" s="24" t="inlineStr">
        <is>
          <t>AÑO ANTERIOR · Fact.4594</t>
        </is>
      </c>
      <c r="M158" s="25" t="n"/>
      <c r="N158" s="25" t="n"/>
      <c r="R158" s="26" t="inlineStr">
        <is>
          <t>Cobrado total: 3.103 €</t>
        </is>
      </c>
    </row>
    <row r="159">
      <c r="B159" s="7" t="inlineStr">
        <is>
          <t>Cant</t>
        </is>
      </c>
      <c r="C159" s="7" t="inlineStr">
        <is>
          <t>Días</t>
        </is>
      </c>
      <c r="D159" s="7" t="inlineStr">
        <is>
          <t>PC real</t>
        </is>
      </c>
      <c r="E159" s="7" t="inlineStr">
        <is>
          <t>PV</t>
        </is>
      </c>
      <c r="F159" s="7" t="inlineStr">
        <is>
          <t>Importe</t>
        </is>
      </c>
      <c r="H159" s="27" t="inlineStr">
        <is>
          <t>Cant</t>
        </is>
      </c>
      <c r="I159" s="27" t="inlineStr">
        <is>
          <t>PV</t>
        </is>
      </c>
      <c r="J159" s="27" t="inlineStr">
        <is>
          <t>Importe</t>
        </is>
      </c>
      <c r="L159" s="28" t="inlineStr">
        <is>
          <t>Cant</t>
        </is>
      </c>
      <c r="M159" s="28" t="inlineStr">
        <is>
          <t>PV</t>
        </is>
      </c>
      <c r="N159" s="28" t="inlineStr">
        <is>
          <t>Importe</t>
        </is>
      </c>
      <c r="R159" s="29" t="inlineStr">
        <is>
          <t>Pagado total: 2.178 €</t>
        </is>
      </c>
    </row>
    <row r="160">
      <c r="A160" s="30" t="inlineStr">
        <is>
          <t>P1 Potencia</t>
        </is>
      </c>
      <c r="B160" s="31" t="n">
        <v>6.928</v>
      </c>
      <c r="C160" s="32">
        <f>$N$157-$L$157+1</f>
        <v/>
      </c>
      <c r="D160" s="33" t="n">
        <v>3.68919</v>
      </c>
      <c r="E160" s="34" t="n">
        <v>4.82</v>
      </c>
      <c r="F160" s="35">
        <f>ROUND(B160*E160,2)</f>
        <v/>
      </c>
      <c r="H160" s="36" t="n">
        <v>6.928</v>
      </c>
      <c r="I160" s="37" t="n">
        <v>4.82</v>
      </c>
      <c r="J160" s="38">
        <f>ROUND(H160*I160,2)</f>
        <v/>
      </c>
      <c r="L160" s="39" t="n">
        <v>6.928</v>
      </c>
      <c r="M160" s="40" t="n">
        <v>4.82</v>
      </c>
      <c r="N160" s="41">
        <f>ROUND(L160*M160,2)</f>
        <v/>
      </c>
      <c r="R160" s="42" t="inlineStr">
        <is>
          <t>DIF: 925 €   ·   Margen hist.: 29.8%</t>
        </is>
      </c>
    </row>
    <row r="161">
      <c r="A161" s="30" t="inlineStr">
        <is>
          <t>P2 Potencia</t>
        </is>
      </c>
      <c r="B161" s="31" t="n">
        <v>6.928</v>
      </c>
      <c r="C161" s="32">
        <f>$N$157-$L$157+1</f>
        <v/>
      </c>
      <c r="D161" s="33" t="n">
        <v>1.31928</v>
      </c>
      <c r="E161" s="34" t="n">
        <v>2.37</v>
      </c>
      <c r="F161" s="35">
        <f>ROUND(B161*E161,2)</f>
        <v/>
      </c>
      <c r="H161" s="36" t="n">
        <v>6.928</v>
      </c>
      <c r="I161" s="37" t="n">
        <v>2.37</v>
      </c>
      <c r="J161" s="38">
        <f>ROUND(H161*I161,2)</f>
        <v/>
      </c>
      <c r="L161" s="39" t="n">
        <v>6.928</v>
      </c>
      <c r="M161" s="40" t="n">
        <v>2.37</v>
      </c>
      <c r="N161" s="41">
        <f>ROUND(L161*M161,2)</f>
        <v/>
      </c>
      <c r="R161" s="43" t="inlineStr">
        <is>
          <t>Mejor mes: 2024-07 · 580 € · margen 83%</t>
        </is>
      </c>
    </row>
    <row r="162">
      <c r="A162" s="30" t="inlineStr">
        <is>
          <t>P1 Energía</t>
        </is>
      </c>
      <c r="B162" s="31">
        <f>IF($P$162&lt;&gt;"",ROUND(AA162*(($AB$162/(1-$P$162))-49.8123)/187.2457,2),IF('Resumen'!$D$3="OPTIMIZAR",ROUND(MAX(AA162,MIN(AA162*(($AB$162/(1-'Resumen'!$F$3))-49.8123)/187.2457,AA162*(516.2155)/187.2457)),3),AA162))</f>
        <v/>
      </c>
      <c r="C162" s="44" t="n"/>
      <c r="D162" s="33" t="n">
        <v>0.111171</v>
      </c>
      <c r="E162" s="34" t="n">
        <v>0.17</v>
      </c>
      <c r="F162" s="35">
        <f>ROUND(B162*E162,2)</f>
        <v/>
      </c>
      <c r="H162" s="36" t="n">
        <v>391.159</v>
      </c>
      <c r="I162" s="37" t="n">
        <v>0.175</v>
      </c>
      <c r="J162" s="38">
        <f>ROUND(H162*I162,2)</f>
        <v/>
      </c>
      <c r="L162" s="39" t="n">
        <v>173.6</v>
      </c>
      <c r="M162" s="40" t="n">
        <v>0.175</v>
      </c>
      <c r="N162" s="41">
        <f>ROUND(L162*M162,2)</f>
        <v/>
      </c>
      <c r="O162" s="45" t="inlineStr">
        <is>
          <t>Margen objetivo (edita % aquí) ▶</t>
        </is>
      </c>
      <c r="P162" s="5" t="n"/>
      <c r="R162" s="43" t="inlineStr">
        <is>
          <t>Peor mes: 2024-08 · 117 € · margen 38%</t>
        </is>
      </c>
      <c r="AA162" t="n">
        <v>271.4</v>
      </c>
      <c r="AB162">
        <f>B160*D160+B161*D161+AA162*D162+AA163*D163+AA164*D164</f>
        <v/>
      </c>
    </row>
    <row r="163">
      <c r="A163" s="30" t="inlineStr">
        <is>
          <t>P2 Energía</t>
        </is>
      </c>
      <c r="B163" s="31">
        <f>IF($P$162&lt;&gt;"",ROUND(AA163*(($AB$162/(1-$P$162))-49.8123)/187.2457,2),IF('Resumen'!$D$3="OPTIMIZAR",ROUND(MAX(AA163,MIN(AA163*(($AB$162/(1-'Resumen'!$F$3))-49.8123)/187.2457,AA163*(516.2155)/187.2457)),3),AA163))</f>
        <v/>
      </c>
      <c r="C163" s="44" t="n"/>
      <c r="D163" s="33" t="n">
        <v>0.111171</v>
      </c>
      <c r="E163" s="34" t="n">
        <v>0.17</v>
      </c>
      <c r="F163" s="35">
        <f>ROUND(B163*E163,2)</f>
        <v/>
      </c>
      <c r="H163" s="36" t="n">
        <v>483.221</v>
      </c>
      <c r="I163" s="37" t="n">
        <v>0.175</v>
      </c>
      <c r="J163" s="38">
        <f>ROUND(H163*I163,2)</f>
        <v/>
      </c>
      <c r="L163" s="39" t="n">
        <v>168.922</v>
      </c>
      <c r="M163" s="40" t="n">
        <v>0.175</v>
      </c>
      <c r="N163" s="41">
        <f>ROUND(L163*M163,2)</f>
        <v/>
      </c>
      <c r="O163" s="46" t="inlineStr">
        <is>
          <t>Cant. P1/P2/P3 energía suben</t>
        </is>
      </c>
      <c r="R163" s="43" t="inlineStr">
        <is>
          <t>Importe mensual cobrado (€) · 24 meses ▾</t>
        </is>
      </c>
      <c r="AA163" t="n">
        <v>278.922</v>
      </c>
    </row>
    <row r="164">
      <c r="A164" s="30" t="inlineStr">
        <is>
          <t>P3 Energía</t>
        </is>
      </c>
      <c r="B164" s="31">
        <f>IF($P$162&lt;&gt;"",ROUND(AA164*(($AB$162/(1-$P$162))-49.8123)/187.2457,2),IF('Resumen'!$D$3="OPTIMIZAR",ROUND(MAX(AA164,MIN(AA164*(($AB$162/(1-'Resumen'!$F$3))-49.8123)/187.2457,AA164*(516.2155)/187.2457)),3),AA164))</f>
        <v/>
      </c>
      <c r="C164" s="44" t="n"/>
      <c r="D164" s="33" t="n">
        <v>0.111171</v>
      </c>
      <c r="E164" s="34" t="n">
        <v>0.17</v>
      </c>
      <c r="F164" s="35">
        <f>ROUND(B164*E164,2)</f>
        <v/>
      </c>
      <c r="H164" s="36" t="n">
        <v>671.558</v>
      </c>
      <c r="I164" s="37" t="n">
        <v>0.175</v>
      </c>
      <c r="J164" s="38">
        <f>ROUND(H164*I164,2)</f>
        <v/>
      </c>
      <c r="L164" s="39" t="n">
        <v>341.123</v>
      </c>
      <c r="M164" s="40" t="n">
        <v>0.175</v>
      </c>
      <c r="N164" s="41">
        <f>ROUND(L164*M164,2)</f>
        <v/>
      </c>
      <c r="O164" s="46" t="inlineStr">
        <is>
          <t>en proporción para ese margen</t>
        </is>
      </c>
      <c r="AA164" t="n">
        <v>551.123</v>
      </c>
    </row>
    <row r="165">
      <c r="A165" s="30" t="inlineStr">
        <is>
          <t>Alquiler contador</t>
        </is>
      </c>
      <c r="B165" s="31" t="n">
        <v>1</v>
      </c>
      <c r="C165" s="32">
        <f>$N$157-$L$157+1</f>
        <v/>
      </c>
      <c r="D165" s="33" t="n">
        <v>1.3414</v>
      </c>
      <c r="E165" s="34" t="n">
        <v>1</v>
      </c>
      <c r="F165" s="35">
        <f>ROUND(B165*E165,2)</f>
        <v/>
      </c>
      <c r="H165" s="36" t="n">
        <v>1</v>
      </c>
      <c r="I165" s="37" t="n">
        <v>1</v>
      </c>
      <c r="J165" s="38">
        <f>ROUND(H165*I165,2)</f>
        <v/>
      </c>
      <c r="L165" s="39" t="n">
        <v>1</v>
      </c>
      <c r="M165" s="40" t="n">
        <v>1</v>
      </c>
      <c r="N165" s="41">
        <f>ROUND(L165*M165,2)</f>
        <v/>
      </c>
    </row>
    <row r="166">
      <c r="A166" s="30" t="inlineStr">
        <is>
          <t>Bono social</t>
        </is>
      </c>
      <c r="B166" s="31" t="n">
        <v>30</v>
      </c>
      <c r="C166" s="32">
        <f>$N$157-$L$157+1</f>
        <v/>
      </c>
      <c r="D166" s="33" t="n">
        <v>0.5736</v>
      </c>
      <c r="E166" s="34" t="n">
        <v>0.01274</v>
      </c>
      <c r="F166" s="35">
        <f>ROUND(B166*E166,2)</f>
        <v/>
      </c>
      <c r="H166" s="36" t="n">
        <v>30</v>
      </c>
      <c r="I166" s="37" t="n">
        <v>0.01274</v>
      </c>
      <c r="J166" s="38">
        <f>ROUND(H166*I166,2)</f>
        <v/>
      </c>
      <c r="L166" s="39" t="n">
        <v>30</v>
      </c>
      <c r="M166" s="40" t="n">
        <v>0.00685</v>
      </c>
      <c r="N166" s="41">
        <f>ROUND(L166*M166,2)</f>
        <v/>
      </c>
    </row>
    <row r="167">
      <c r="A167" s="30" t="inlineStr">
        <is>
          <t>Tasa eléctrica</t>
        </is>
      </c>
      <c r="B167" s="31" t="n">
        <v>12.63</v>
      </c>
      <c r="C167" s="44" t="n"/>
      <c r="D167" s="33" t="n">
        <v>0.27312</v>
      </c>
      <c r="E167" s="34" t="n">
        <v>1</v>
      </c>
      <c r="F167" s="35">
        <f>ROUND(B167*E167,2)</f>
        <v/>
      </c>
      <c r="H167" s="36" t="n">
        <v>17.29</v>
      </c>
      <c r="I167" s="37" t="n">
        <v>1</v>
      </c>
      <c r="J167" s="38">
        <f>ROUND(H167*I167,2)</f>
        <v/>
      </c>
      <c r="L167" s="39" t="n">
        <v>8.67</v>
      </c>
      <c r="M167" s="40" t="n">
        <v>1</v>
      </c>
      <c r="N167" s="41">
        <f>ROUND(L167*M167,2)</f>
        <v/>
      </c>
    </row>
    <row r="168">
      <c r="A168" s="47" t="inlineStr">
        <is>
          <t>TOTAL c/IVA</t>
        </is>
      </c>
      <c r="F168" s="48">
        <f>ROUND((SUM(F160:F167)-F167)*1.1+F167,2)</f>
        <v/>
      </c>
      <c r="J168" s="49">
        <f>ROUND(SUM(J160:J167),2)</f>
        <v/>
      </c>
      <c r="N168" s="50">
        <f>ROUND(SUM(N160:N167),2)</f>
        <v/>
      </c>
    </row>
    <row r="169">
      <c r="A169" s="19" t="inlineStr">
        <is>
          <t>MARGEN sin registrar</t>
        </is>
      </c>
      <c r="B169" s="51">
        <f>IF((F163+F160+F162+F164+F161)=0,"",((F163+F160+F162+F164+F161)-$AB$162)/(F163+F160+F162+F164+F161))</f>
        <v/>
      </c>
      <c r="D169" s="52">
        <f>IF(B169="","SIN PC",IF(B169&gt;=0.3,"APROBAR",IF(B169&gt;=0.2,"REVISAR","RECHAZAR")))</f>
        <v/>
      </c>
      <c r="E169" s="53" t="n"/>
      <c r="F169" s="54" t="n"/>
      <c r="AD169">
        <f>SUM(F162:F164)-187.2457</f>
        <v/>
      </c>
    </row>
    <row r="171">
      <c r="A171" s="15" t="inlineStr">
        <is>
          <t>Factura 8562 · C01970 · FUNDACIÓN FSU PROGRAMAS INTERNACIONALES</t>
        </is>
      </c>
      <c r="H171" s="15" t="inlineStr">
        <is>
          <t>ES0021000020111637YC · Naturgy</t>
        </is>
      </c>
      <c r="L171" s="16" t="n">
        <v>46113</v>
      </c>
      <c r="M171" s="17" t="inlineStr">
        <is>
          <t>a</t>
        </is>
      </c>
      <c r="N171" s="16" t="n">
        <v>46142</v>
      </c>
      <c r="R171" s="18" t="inlineStr">
        <is>
          <t>HISTÓRICO DEL CUPS · HOJA TTVA LUZ</t>
        </is>
      </c>
    </row>
    <row r="172">
      <c r="A172" s="19" t="inlineStr">
        <is>
          <t>Concepto</t>
        </is>
      </c>
      <c r="B172" s="20" t="inlineStr">
        <is>
          <t>PENDIENTE (sin registrar)</t>
        </is>
      </c>
      <c r="C172" s="21" t="n"/>
      <c r="D172" s="21" t="n"/>
      <c r="E172" s="21" t="n"/>
      <c r="F172" s="21" t="n"/>
      <c r="H172" s="22" t="inlineStr">
        <is>
          <t>MES ANTERIOR · Fact.6305</t>
        </is>
      </c>
      <c r="I172" s="23" t="n"/>
      <c r="J172" s="23" t="n"/>
      <c r="L172" s="24" t="inlineStr">
        <is>
          <t>AÑO ANTERIOR · Fact.4596</t>
        </is>
      </c>
      <c r="M172" s="25" t="n"/>
      <c r="N172" s="25" t="n"/>
      <c r="R172" s="26" t="inlineStr">
        <is>
          <t>Cobrado total: 2.843 €</t>
        </is>
      </c>
    </row>
    <row r="173">
      <c r="B173" s="7" t="inlineStr">
        <is>
          <t>Cant</t>
        </is>
      </c>
      <c r="C173" s="7" t="inlineStr">
        <is>
          <t>Días</t>
        </is>
      </c>
      <c r="D173" s="7" t="inlineStr">
        <is>
          <t>PC real</t>
        </is>
      </c>
      <c r="E173" s="7" t="inlineStr">
        <is>
          <t>PV</t>
        </is>
      </c>
      <c r="F173" s="7" t="inlineStr">
        <is>
          <t>Importe</t>
        </is>
      </c>
      <c r="H173" s="27" t="inlineStr">
        <is>
          <t>Cant</t>
        </is>
      </c>
      <c r="I173" s="27" t="inlineStr">
        <is>
          <t>PV</t>
        </is>
      </c>
      <c r="J173" s="27" t="inlineStr">
        <is>
          <t>Importe</t>
        </is>
      </c>
      <c r="L173" s="28" t="inlineStr">
        <is>
          <t>Cant</t>
        </is>
      </c>
      <c r="M173" s="28" t="inlineStr">
        <is>
          <t>PV</t>
        </is>
      </c>
      <c r="N173" s="28" t="inlineStr">
        <is>
          <t>Importe</t>
        </is>
      </c>
      <c r="R173" s="29" t="inlineStr">
        <is>
          <t>Pagado total: 2.004 €</t>
        </is>
      </c>
    </row>
    <row r="174">
      <c r="A174" s="30" t="inlineStr">
        <is>
          <t>P1 Potencia</t>
        </is>
      </c>
      <c r="B174" s="31" t="n">
        <v>13.856</v>
      </c>
      <c r="C174" s="32">
        <f>$N$171-$L$171+1</f>
        <v/>
      </c>
      <c r="D174" s="33" t="n">
        <v>3.68919</v>
      </c>
      <c r="E174" s="34" t="n">
        <v>4.82</v>
      </c>
      <c r="F174" s="35">
        <f>ROUND(B174*E174,2)</f>
        <v/>
      </c>
      <c r="H174" s="36" t="n">
        <v>13.856</v>
      </c>
      <c r="I174" s="37" t="n">
        <v>4.82</v>
      </c>
      <c r="J174" s="38">
        <f>ROUND(H174*I174,2)</f>
        <v/>
      </c>
      <c r="L174" s="39" t="n">
        <v>13.856</v>
      </c>
      <c r="M174" s="40" t="n">
        <v>4.82</v>
      </c>
      <c r="N174" s="41">
        <f>ROUND(L174*M174,2)</f>
        <v/>
      </c>
      <c r="R174" s="42" t="inlineStr">
        <is>
          <t>DIF: 839 €   ·   Margen hist.: 29.5%</t>
        </is>
      </c>
    </row>
    <row r="175">
      <c r="A175" s="30" t="inlineStr">
        <is>
          <t>P2 Potencia</t>
        </is>
      </c>
      <c r="B175" s="31" t="n">
        <v>13.856</v>
      </c>
      <c r="C175" s="32">
        <f>$N$171-$L$171+1</f>
        <v/>
      </c>
      <c r="D175" s="33" t="n">
        <v>1.31928</v>
      </c>
      <c r="E175" s="34" t="n">
        <v>2.37</v>
      </c>
      <c r="F175" s="35">
        <f>ROUND(B175*E175,2)</f>
        <v/>
      </c>
      <c r="H175" s="36" t="n">
        <v>13.856</v>
      </c>
      <c r="I175" s="37" t="n">
        <v>2.37</v>
      </c>
      <c r="J175" s="38">
        <f>ROUND(H175*I175,2)</f>
        <v/>
      </c>
      <c r="L175" s="39" t="n">
        <v>13.856</v>
      </c>
      <c r="M175" s="40" t="n">
        <v>2.37</v>
      </c>
      <c r="N175" s="41">
        <f>ROUND(L175*M175,2)</f>
        <v/>
      </c>
      <c r="R175" s="43" t="inlineStr">
        <is>
          <t>Mejor mes: 2024-09 · 476 € · margen 184%</t>
        </is>
      </c>
    </row>
    <row r="176">
      <c r="A176" s="30" t="inlineStr">
        <is>
          <t>P1 Energía</t>
        </is>
      </c>
      <c r="B176" s="31">
        <f>IF($P$176&lt;&gt;"",ROUND(AA176*(($AB$176/(1-$P$176))-99.6246)/182.9695,2),IF('Resumen'!$D$3="OPTIMIZAR",ROUND(MAX(AA176,MIN(AA176*(($AB$176/(1-'Resumen'!$F$3))-99.6246)/182.9695,AA176*(360.0699)/182.9695)),3),AA176))</f>
        <v/>
      </c>
      <c r="C176" s="44" t="n"/>
      <c r="D176" s="33" t="n">
        <v>0.111171</v>
      </c>
      <c r="E176" s="34" t="n">
        <v>0.17</v>
      </c>
      <c r="F176" s="35">
        <f>ROUND(B176*E176,2)</f>
        <v/>
      </c>
      <c r="H176" s="36" t="n">
        <v>482.776</v>
      </c>
      <c r="I176" s="37" t="n">
        <v>0.175</v>
      </c>
      <c r="J176" s="38">
        <f>ROUND(H176*I176,2)</f>
        <v/>
      </c>
      <c r="L176" s="39" t="n">
        <v>183.219</v>
      </c>
      <c r="M176" s="40" t="n">
        <v>0.175</v>
      </c>
      <c r="N176" s="41">
        <f>ROUND(L176*M176,2)</f>
        <v/>
      </c>
      <c r="O176" s="45" t="inlineStr">
        <is>
          <t>Margen objetivo (edita % aquí) ▶</t>
        </is>
      </c>
      <c r="P176" s="5" t="n"/>
      <c r="R176" s="43" t="inlineStr">
        <is>
          <t>Peor mes: 2024-08 · 75 € · margen 47%</t>
        </is>
      </c>
      <c r="AA176" t="n">
        <v>285.219</v>
      </c>
      <c r="AB176">
        <f>B174*D174+B175*D175+AA176*D176+AA177*D177+AA178*D178</f>
        <v/>
      </c>
    </row>
    <row r="177">
      <c r="A177" s="30" t="inlineStr">
        <is>
          <t>P2 Energía</t>
        </is>
      </c>
      <c r="B177" s="31">
        <f>IF($P$176&lt;&gt;"",ROUND(AA177*(($AB$176/(1-$P$176))-99.6246)/182.9695,2),IF('Resumen'!$D$3="OPTIMIZAR",ROUND(MAX(AA177,MIN(AA177*(($AB$176/(1-'Resumen'!$F$3))-99.6246)/182.9695,AA177*(360.0699)/182.9695)),3),AA177))</f>
        <v/>
      </c>
      <c r="C177" s="44" t="n"/>
      <c r="D177" s="33" t="n">
        <v>0.111171</v>
      </c>
      <c r="E177" s="34" t="n">
        <v>0.17</v>
      </c>
      <c r="F177" s="35">
        <f>ROUND(B177*E177,2)</f>
        <v/>
      </c>
      <c r="H177" s="36" t="n">
        <v>456.212</v>
      </c>
      <c r="I177" s="37" t="n">
        <v>0.175</v>
      </c>
      <c r="J177" s="38">
        <f>ROUND(H177*I177,2)</f>
        <v/>
      </c>
      <c r="L177" s="39" t="n">
        <v>180.554</v>
      </c>
      <c r="M177" s="40" t="n">
        <v>0.175</v>
      </c>
      <c r="N177" s="41">
        <f>ROUND(L177*M177,2)</f>
        <v/>
      </c>
      <c r="O177" s="46" t="inlineStr">
        <is>
          <t>Cant. P1/P2/P3 energía suben</t>
        </is>
      </c>
      <c r="R177" s="43" t="inlineStr">
        <is>
          <t>Importe mensual cobrado (€) · 24 meses ▾</t>
        </is>
      </c>
      <c r="AA177" t="n">
        <v>266.554</v>
      </c>
    </row>
    <row r="178">
      <c r="A178" s="30" t="inlineStr">
        <is>
          <t>P3 Energía</t>
        </is>
      </c>
      <c r="B178" s="31">
        <f>IF($P$176&lt;&gt;"",ROUND(AA178*(($AB$176/(1-$P$176))-99.6246)/182.9695,2),IF('Resumen'!$D$3="OPTIMIZAR",ROUND(MAX(AA178,MIN(AA178*(($AB$176/(1-'Resumen'!$F$3))-99.6246)/182.9695,AA178*(360.0699)/182.9695)),3),AA178))</f>
        <v/>
      </c>
      <c r="C178" s="44" t="n"/>
      <c r="D178" s="33" t="n">
        <v>0.111171</v>
      </c>
      <c r="E178" s="34" t="n">
        <v>0.17</v>
      </c>
      <c r="F178" s="35">
        <f>ROUND(B178*E178,2)</f>
        <v/>
      </c>
      <c r="H178" s="36" t="n">
        <v>661.457</v>
      </c>
      <c r="I178" s="37" t="n">
        <v>0.175</v>
      </c>
      <c r="J178" s="38">
        <f>ROUND(H178*I178,2)</f>
        <v/>
      </c>
      <c r="L178" s="39" t="n">
        <v>320.618</v>
      </c>
      <c r="M178" s="40" t="n">
        <v>0.175</v>
      </c>
      <c r="N178" s="41">
        <f>ROUND(L178*M178,2)</f>
        <v/>
      </c>
      <c r="O178" s="46" t="inlineStr">
        <is>
          <t>en proporción para ese margen</t>
        </is>
      </c>
      <c r="AA178" t="n">
        <v>524.518</v>
      </c>
    </row>
    <row r="179">
      <c r="A179" s="30" t="inlineStr">
        <is>
          <t>Alquiler contador</t>
        </is>
      </c>
      <c r="B179" s="31" t="n">
        <v>1</v>
      </c>
      <c r="C179" s="32">
        <f>$N$171-$L$171+1</f>
        <v/>
      </c>
      <c r="D179" s="33" t="n">
        <v>1.3414</v>
      </c>
      <c r="E179" s="34" t="n">
        <v>1</v>
      </c>
      <c r="F179" s="35">
        <f>ROUND(B179*E179,2)</f>
        <v/>
      </c>
      <c r="H179" s="36" t="n">
        <v>1</v>
      </c>
      <c r="I179" s="37" t="n">
        <v>1</v>
      </c>
      <c r="J179" s="38">
        <f>ROUND(H179*I179,2)</f>
        <v/>
      </c>
      <c r="L179" s="39" t="n">
        <v>1</v>
      </c>
      <c r="M179" s="40" t="n">
        <v>1</v>
      </c>
      <c r="N179" s="41">
        <f>ROUND(L179*M179,2)</f>
        <v/>
      </c>
    </row>
    <row r="180">
      <c r="A180" s="30" t="inlineStr">
        <is>
          <t>Bono social</t>
        </is>
      </c>
      <c r="B180" s="31" t="n">
        <v>30</v>
      </c>
      <c r="C180" s="32">
        <f>$N$171-$L$171+1</f>
        <v/>
      </c>
      <c r="D180" s="33" t="n">
        <v>0.5736</v>
      </c>
      <c r="E180" s="34" t="n">
        <v>0.00685</v>
      </c>
      <c r="F180" s="35">
        <f>ROUND(B180*E180,2)</f>
        <v/>
      </c>
      <c r="H180" s="36" t="n">
        <v>30</v>
      </c>
      <c r="I180" s="37" t="n">
        <v>0.01274</v>
      </c>
      <c r="J180" s="38">
        <f>ROUND(H180*I180,2)</f>
        <v/>
      </c>
      <c r="L180" s="39" t="n">
        <v>30</v>
      </c>
      <c r="M180" s="40" t="n">
        <v>0.00685</v>
      </c>
      <c r="N180" s="41">
        <f>ROUND(L180*M180,2)</f>
        <v/>
      </c>
    </row>
    <row r="181">
      <c r="A181" s="30" t="inlineStr">
        <is>
          <t>Tasa eléctrica</t>
        </is>
      </c>
      <c r="B181" s="31" t="n">
        <v>15.11</v>
      </c>
      <c r="C181" s="44" t="n"/>
      <c r="D181" s="33" t="n">
        <v>0.27312</v>
      </c>
      <c r="E181" s="34" t="n">
        <v>1</v>
      </c>
      <c r="F181" s="35">
        <f>ROUND(B181*E181,2)</f>
        <v/>
      </c>
      <c r="H181" s="36" t="n">
        <v>20.3</v>
      </c>
      <c r="I181" s="37" t="n">
        <v>1</v>
      </c>
      <c r="J181" s="38">
        <f>ROUND(H181*I181,2)</f>
        <v/>
      </c>
      <c r="L181" s="39" t="n">
        <v>11.79</v>
      </c>
      <c r="M181" s="40" t="n">
        <v>1</v>
      </c>
      <c r="N181" s="41">
        <f>ROUND(L181*M181,2)</f>
        <v/>
      </c>
    </row>
    <row r="182">
      <c r="A182" s="47" t="inlineStr">
        <is>
          <t>TOTAL c/IVA</t>
        </is>
      </c>
      <c r="F182" s="48">
        <f>ROUND((SUM(F174:F181)-F181)*1.1+F181,2)</f>
        <v/>
      </c>
      <c r="J182" s="49">
        <f>ROUND(SUM(J174:J181),2)</f>
        <v/>
      </c>
      <c r="N182" s="50">
        <f>ROUND(SUM(N174:N181),2)</f>
        <v/>
      </c>
    </row>
    <row r="183">
      <c r="A183" s="19" t="inlineStr">
        <is>
          <t>MARGEN sin registrar</t>
        </is>
      </c>
      <c r="B183" s="51">
        <f>IF((F177+F174+F176+F178+F175)=0,"",((F177+F174+F176+F178+F175)-$AB$176)/(F177+F174+F176+F178+F175))</f>
        <v/>
      </c>
      <c r="D183" s="52">
        <f>IF(B183="","SIN PC",IF(B183&gt;=0.3,"APROBAR",IF(B183&gt;=0.2,"REVISAR","RECHAZAR")))</f>
        <v/>
      </c>
      <c r="E183" s="53" t="n"/>
      <c r="F183" s="54" t="n"/>
      <c r="AD183">
        <f>SUM(F176:F178)-182.9695</f>
        <v/>
      </c>
    </row>
    <row r="185">
      <c r="A185" s="15" t="inlineStr">
        <is>
          <t>Factura 8563 · C01960 · FUNDACIÓN FSU PROGRAMAS INTERNACIONALES</t>
        </is>
      </c>
      <c r="H185" s="15" t="inlineStr">
        <is>
          <t>ES0021000020111638YK · Naturgy</t>
        </is>
      </c>
      <c r="L185" s="16" t="n">
        <v>46113</v>
      </c>
      <c r="M185" s="17" t="inlineStr">
        <is>
          <t>a</t>
        </is>
      </c>
      <c r="N185" s="16" t="n">
        <v>46142</v>
      </c>
      <c r="R185" s="18" t="inlineStr">
        <is>
          <t>HISTÓRICO DEL CUPS · HOJA TTVA LUZ</t>
        </is>
      </c>
    </row>
    <row r="186">
      <c r="A186" s="19" t="inlineStr">
        <is>
          <t>Concepto</t>
        </is>
      </c>
      <c r="B186" s="20" t="inlineStr">
        <is>
          <t>PENDIENTE (sin registrar)</t>
        </is>
      </c>
      <c r="C186" s="21" t="n"/>
      <c r="D186" s="21" t="n"/>
      <c r="E186" s="21" t="n"/>
      <c r="F186" s="21" t="n"/>
      <c r="H186" s="22" t="inlineStr">
        <is>
          <t>MES ANTERIOR · Fact.6301</t>
        </is>
      </c>
      <c r="I186" s="23" t="n"/>
      <c r="J186" s="23" t="n"/>
      <c r="L186" s="24" t="inlineStr">
        <is>
          <t>AÑO ANTERIOR · Fact.4597</t>
        </is>
      </c>
      <c r="M186" s="25" t="n"/>
      <c r="N186" s="25" t="n"/>
      <c r="R186" s="26" t="inlineStr">
        <is>
          <t>Cobrado total: 3.731 €</t>
        </is>
      </c>
    </row>
    <row r="187">
      <c r="B187" s="7" t="inlineStr">
        <is>
          <t>Cant</t>
        </is>
      </c>
      <c r="C187" s="7" t="inlineStr">
        <is>
          <t>Días</t>
        </is>
      </c>
      <c r="D187" s="7" t="inlineStr">
        <is>
          <t>PC real</t>
        </is>
      </c>
      <c r="E187" s="7" t="inlineStr">
        <is>
          <t>PV</t>
        </is>
      </c>
      <c r="F187" s="7" t="inlineStr">
        <is>
          <t>Importe</t>
        </is>
      </c>
      <c r="H187" s="27" t="inlineStr">
        <is>
          <t>Cant</t>
        </is>
      </c>
      <c r="I187" s="27" t="inlineStr">
        <is>
          <t>PV</t>
        </is>
      </c>
      <c r="J187" s="27" t="inlineStr">
        <is>
          <t>Importe</t>
        </is>
      </c>
      <c r="L187" s="28" t="inlineStr">
        <is>
          <t>Cant</t>
        </is>
      </c>
      <c r="M187" s="28" t="inlineStr">
        <is>
          <t>PV</t>
        </is>
      </c>
      <c r="N187" s="28" t="inlineStr">
        <is>
          <t>Importe</t>
        </is>
      </c>
      <c r="R187" s="29" t="inlineStr">
        <is>
          <t>Pagado total: 2.535 €</t>
        </is>
      </c>
    </row>
    <row r="188">
      <c r="A188" s="30" t="inlineStr">
        <is>
          <t>P1 Potencia</t>
        </is>
      </c>
      <c r="B188" s="31" t="n">
        <v>13.856</v>
      </c>
      <c r="C188" s="32">
        <f>$N$185-$L$185+1</f>
        <v/>
      </c>
      <c r="D188" s="33" t="n">
        <v>3.68919</v>
      </c>
      <c r="E188" s="34" t="n">
        <v>4.82</v>
      </c>
      <c r="F188" s="35">
        <f>ROUND(B188*E188,2)</f>
        <v/>
      </c>
      <c r="H188" s="36" t="n">
        <v>13.856</v>
      </c>
      <c r="I188" s="37" t="n">
        <v>4.82</v>
      </c>
      <c r="J188" s="38">
        <f>ROUND(H188*I188,2)</f>
        <v/>
      </c>
      <c r="L188" s="39" t="n">
        <v>13.856</v>
      </c>
      <c r="M188" s="40" t="n">
        <v>4.82</v>
      </c>
      <c r="N188" s="41">
        <f>ROUND(L188*M188,2)</f>
        <v/>
      </c>
      <c r="R188" s="42" t="inlineStr">
        <is>
          <t>DIF: 1.196 €   ·   Margen hist.: 32.1%</t>
        </is>
      </c>
    </row>
    <row r="189">
      <c r="A189" s="30" t="inlineStr">
        <is>
          <t>P2 Potencia</t>
        </is>
      </c>
      <c r="B189" s="31" t="n">
        <v>13.856</v>
      </c>
      <c r="C189" s="32">
        <f>$N$185-$L$185+1</f>
        <v/>
      </c>
      <c r="D189" s="33" t="n">
        <v>1.31928</v>
      </c>
      <c r="E189" s="34" t="n">
        <v>2.37</v>
      </c>
      <c r="F189" s="35">
        <f>ROUND(B189*E189,2)</f>
        <v/>
      </c>
      <c r="H189" s="36" t="n">
        <v>13.856</v>
      </c>
      <c r="I189" s="37" t="n">
        <v>2.37</v>
      </c>
      <c r="J189" s="38">
        <f>ROUND(H189*I189,2)</f>
        <v/>
      </c>
      <c r="L189" s="39" t="n">
        <v>13.856</v>
      </c>
      <c r="M189" s="40" t="n">
        <v>2.37</v>
      </c>
      <c r="N189" s="41">
        <f>ROUND(L189*M189,2)</f>
        <v/>
      </c>
      <c r="R189" s="43" t="inlineStr">
        <is>
          <t>Mejor mes: 2024-07 · 597 € · margen 324%</t>
        </is>
      </c>
    </row>
    <row r="190">
      <c r="A190" s="30" t="inlineStr">
        <is>
          <t>P1 Energía</t>
        </is>
      </c>
      <c r="B190" s="31">
        <f>IF($P$190&lt;&gt;"",ROUND(AA190*(($AB$190/(1-$P$190))-99.6246)/227.3937,2),IF('Resumen'!$D$3="OPTIMIZAR",ROUND(MAX(AA190,MIN(AA190*(($AB$190/(1-'Resumen'!$F$3))-99.6246)/227.3937,AA190*(478.3832)/227.3937)),3),AA190))</f>
        <v/>
      </c>
      <c r="C190" s="44" t="n"/>
      <c r="D190" s="33" t="n">
        <v>0.111171</v>
      </c>
      <c r="E190" s="34" t="n">
        <v>0.17</v>
      </c>
      <c r="F190" s="35">
        <f>ROUND(B190*E190,2)</f>
        <v/>
      </c>
      <c r="H190" s="36" t="n">
        <v>580.4450000000001</v>
      </c>
      <c r="I190" s="37" t="n">
        <v>0.1724</v>
      </c>
      <c r="J190" s="38">
        <f>ROUND(H190*I190,2)</f>
        <v/>
      </c>
      <c r="L190" s="39" t="n">
        <v>292.176</v>
      </c>
      <c r="M190" s="40" t="n">
        <v>0.175</v>
      </c>
      <c r="N190" s="41">
        <f>ROUND(L190*M190,2)</f>
        <v/>
      </c>
      <c r="O190" s="45" t="inlineStr">
        <is>
          <t>Margen objetivo (edita % aquí) ▶</t>
        </is>
      </c>
      <c r="P190" s="5" t="n"/>
      <c r="R190" s="43" t="inlineStr">
        <is>
          <t>Peor mes: 2024-08 · 83 € · margen 12%</t>
        </is>
      </c>
      <c r="AA190" t="n">
        <v>384.176</v>
      </c>
      <c r="AB190">
        <f>B188*D188+B189*D189+AA190*D190+AA191*D191+AA192*D192</f>
        <v/>
      </c>
    </row>
    <row r="191">
      <c r="A191" s="30" t="inlineStr">
        <is>
          <t>P2 Energía</t>
        </is>
      </c>
      <c r="B191" s="31">
        <f>IF($P$190&lt;&gt;"",ROUND(AA191*(($AB$190/(1-$P$190))-99.6246)/227.3937,2),IF('Resumen'!$D$3="OPTIMIZAR",ROUND(MAX(AA191,MIN(AA191*(($AB$190/(1-'Resumen'!$F$3))-99.6246)/227.3937,AA191*(478.3832)/227.3937)),3),AA191))</f>
        <v/>
      </c>
      <c r="C191" s="44" t="n"/>
      <c r="D191" s="33" t="n">
        <v>0.111171</v>
      </c>
      <c r="E191" s="34" t="n">
        <v>0.17</v>
      </c>
      <c r="F191" s="35">
        <f>ROUND(B191*E191,2)</f>
        <v/>
      </c>
      <c r="H191" s="36" t="n">
        <v>691.221</v>
      </c>
      <c r="I191" s="37" t="n">
        <v>0.1724</v>
      </c>
      <c r="J191" s="38">
        <f>ROUND(H191*I191,2)</f>
        <v/>
      </c>
      <c r="L191" s="39" t="n">
        <v>232.91</v>
      </c>
      <c r="M191" s="40" t="n">
        <v>0.175</v>
      </c>
      <c r="N191" s="41">
        <f>ROUND(L191*M191,2)</f>
        <v/>
      </c>
      <c r="O191" s="46" t="inlineStr">
        <is>
          <t>Cant. P1/P2/P3 energía suben</t>
        </is>
      </c>
      <c r="R191" s="43" t="inlineStr">
        <is>
          <t>Importe mensual cobrado (€) · 24 meses ▾</t>
        </is>
      </c>
      <c r="AA191" t="n">
        <v>331.91</v>
      </c>
    </row>
    <row r="192">
      <c r="A192" s="30" t="inlineStr">
        <is>
          <t>P3 Energía</t>
        </is>
      </c>
      <c r="B192" s="31">
        <f>IF($P$190&lt;&gt;"",ROUND(AA192*(($AB$190/(1-$P$190))-99.6246)/227.3937,2),IF('Resumen'!$D$3="OPTIMIZAR",ROUND(MAX(AA192,MIN(AA192*(($AB$190/(1-'Resumen'!$F$3))-99.6246)/227.3937,AA192*(478.3832)/227.3937)),3),AA192))</f>
        <v/>
      </c>
      <c r="C192" s="44" t="n"/>
      <c r="D192" s="33" t="n">
        <v>0.111171</v>
      </c>
      <c r="E192" s="34" t="n">
        <v>0.17</v>
      </c>
      <c r="F192" s="35">
        <f>ROUND(B192*E192,2)</f>
        <v/>
      </c>
      <c r="H192" s="36" t="n">
        <v>1029.513</v>
      </c>
      <c r="I192" s="37" t="n">
        <v>0.1724</v>
      </c>
      <c r="J192" s="38">
        <f>ROUND(H192*I192,2)</f>
        <v/>
      </c>
      <c r="L192" s="39" t="n">
        <v>421.524</v>
      </c>
      <c r="M192" s="40" t="n">
        <v>0.175</v>
      </c>
      <c r="N192" s="41">
        <f>ROUND(L192*M192,2)</f>
        <v/>
      </c>
      <c r="O192" s="46" t="inlineStr">
        <is>
          <t>en proporción para ese margen</t>
        </is>
      </c>
      <c r="AA192" t="n">
        <v>621.524</v>
      </c>
    </row>
    <row r="193">
      <c r="A193" s="30" t="inlineStr">
        <is>
          <t>Alquiler contador</t>
        </is>
      </c>
      <c r="B193" s="31" t="n">
        <v>1</v>
      </c>
      <c r="C193" s="32">
        <f>$N$185-$L$185+1</f>
        <v/>
      </c>
      <c r="D193" s="33" t="n">
        <v>1.3414</v>
      </c>
      <c r="E193" s="34" t="n">
        <v>1</v>
      </c>
      <c r="F193" s="35">
        <f>ROUND(B193*E193,2)</f>
        <v/>
      </c>
      <c r="H193" s="36" t="n">
        <v>1</v>
      </c>
      <c r="I193" s="37" t="n">
        <v>1</v>
      </c>
      <c r="J193" s="38">
        <f>ROUND(H193*I193,2)</f>
        <v/>
      </c>
      <c r="L193" s="39" t="n">
        <v>1</v>
      </c>
      <c r="M193" s="40" t="n">
        <v>1</v>
      </c>
      <c r="N193" s="41">
        <f>ROUND(L193*M193,2)</f>
        <v/>
      </c>
    </row>
    <row r="194">
      <c r="A194" s="30" t="inlineStr">
        <is>
          <t>Bono social</t>
        </is>
      </c>
      <c r="B194" s="31" t="n">
        <v>30</v>
      </c>
      <c r="C194" s="32">
        <f>$N$185-$L$185+1</f>
        <v/>
      </c>
      <c r="D194" s="33" t="n">
        <v>0.5736</v>
      </c>
      <c r="E194" s="34" t="n">
        <v>0.01274</v>
      </c>
      <c r="F194" s="35">
        <f>ROUND(B194*E194,2)</f>
        <v/>
      </c>
      <c r="H194" s="36" t="n">
        <v>30</v>
      </c>
      <c r="I194" s="37" t="n">
        <v>0.01274</v>
      </c>
      <c r="J194" s="38">
        <f>ROUND(H194*I194,2)</f>
        <v/>
      </c>
      <c r="L194" s="39" t="n">
        <v>30</v>
      </c>
      <c r="M194" s="40" t="n">
        <v>0.00685</v>
      </c>
      <c r="N194" s="41">
        <f>ROUND(L194*M194,2)</f>
        <v/>
      </c>
    </row>
    <row r="195">
      <c r="A195" s="30" t="inlineStr">
        <is>
          <t>Tasa eléctrica</t>
        </is>
      </c>
      <c r="B195" s="31" t="n">
        <v>17.47</v>
      </c>
      <c r="C195" s="44" t="n"/>
      <c r="D195" s="33" t="n">
        <v>0.27312</v>
      </c>
      <c r="E195" s="34" t="n">
        <v>1</v>
      </c>
      <c r="F195" s="35">
        <f>ROUND(B195*E195,2)</f>
        <v/>
      </c>
      <c r="H195" s="36" t="n">
        <v>26.21</v>
      </c>
      <c r="I195" s="37" t="n">
        <v>1</v>
      </c>
      <c r="J195" s="38">
        <f>ROUND(H195*I195,2)</f>
        <v/>
      </c>
      <c r="L195" s="39" t="n">
        <v>13.57</v>
      </c>
      <c r="M195" s="40" t="n">
        <v>1</v>
      </c>
      <c r="N195" s="41">
        <f>ROUND(L195*M195,2)</f>
        <v/>
      </c>
    </row>
    <row r="196">
      <c r="A196" s="47" t="inlineStr">
        <is>
          <t>TOTAL c/IVA</t>
        </is>
      </c>
      <c r="F196" s="48">
        <f>ROUND((SUM(F188:F195)-F195)*1.1+F195,2)</f>
        <v/>
      </c>
      <c r="J196" s="49">
        <f>ROUND(SUM(J188:J195),2)</f>
        <v/>
      </c>
      <c r="N196" s="50">
        <f>ROUND(SUM(N188:N195),2)</f>
        <v/>
      </c>
    </row>
    <row r="197">
      <c r="A197" s="19" t="inlineStr">
        <is>
          <t>MARGEN sin registrar</t>
        </is>
      </c>
      <c r="B197" s="51">
        <f>IF((F191+F188+F190+F192+F189)=0,"",((F191+F188+F190+F192+F189)-$AB$190)/(F191+F188+F190+F192+F189))</f>
        <v/>
      </c>
      <c r="D197" s="52">
        <f>IF(B197="","SIN PC",IF(B197&gt;=0.3,"APROBAR",IF(B197&gt;=0.2,"REVISAR","RECHAZAR")))</f>
        <v/>
      </c>
      <c r="E197" s="53" t="n"/>
      <c r="F197" s="54" t="n"/>
      <c r="AD197">
        <f>SUM(F190:F192)-227.3937</f>
        <v/>
      </c>
    </row>
    <row r="199">
      <c r="A199" s="15" t="inlineStr">
        <is>
          <t>Factura 8568 · C01400 · CHRISTOPH BLUME</t>
        </is>
      </c>
      <c r="H199" s="15" t="inlineStr">
        <is>
          <t>ES0021000001274226LT · Naturgy</t>
        </is>
      </c>
      <c r="L199" s="16" t="n">
        <v>46113</v>
      </c>
      <c r="M199" s="17" t="inlineStr">
        <is>
          <t>a</t>
        </is>
      </c>
      <c r="N199" s="16" t="n">
        <v>46142</v>
      </c>
      <c r="R199" s="18" t="inlineStr">
        <is>
          <t>HISTÓRICO DEL CUPS · HOJA TTVA LUZ</t>
        </is>
      </c>
    </row>
    <row r="200">
      <c r="A200" s="19" t="inlineStr">
        <is>
          <t>Concepto</t>
        </is>
      </c>
      <c r="B200" s="20" t="inlineStr">
        <is>
          <t>PENDIENTE (sin registrar)</t>
        </is>
      </c>
      <c r="C200" s="21" t="n"/>
      <c r="D200" s="21" t="n"/>
      <c r="E200" s="21" t="n"/>
      <c r="F200" s="21" t="n"/>
      <c r="H200" s="22" t="inlineStr">
        <is>
          <t>MES ANTERIOR · Fact.6421</t>
        </is>
      </c>
      <c r="I200" s="23" t="n"/>
      <c r="J200" s="23" t="n"/>
      <c r="L200" s="24" t="inlineStr">
        <is>
          <t>AÑO ANTERIOR · Fact.4625</t>
        </is>
      </c>
      <c r="M200" s="25" t="n"/>
      <c r="N200" s="25" t="n"/>
      <c r="R200" s="26" t="inlineStr">
        <is>
          <t>Cobrado total: 2.281 €</t>
        </is>
      </c>
    </row>
    <row r="201">
      <c r="B201" s="7" t="inlineStr">
        <is>
          <t>Cant</t>
        </is>
      </c>
      <c r="C201" s="7" t="inlineStr">
        <is>
          <t>Días</t>
        </is>
      </c>
      <c r="D201" s="7" t="inlineStr">
        <is>
          <t>PC real</t>
        </is>
      </c>
      <c r="E201" s="7" t="inlineStr">
        <is>
          <t>PV</t>
        </is>
      </c>
      <c r="F201" s="7" t="inlineStr">
        <is>
          <t>Importe</t>
        </is>
      </c>
      <c r="H201" s="27" t="inlineStr">
        <is>
          <t>Cant</t>
        </is>
      </c>
      <c r="I201" s="27" t="inlineStr">
        <is>
          <t>PV</t>
        </is>
      </c>
      <c r="J201" s="27" t="inlineStr">
        <is>
          <t>Importe</t>
        </is>
      </c>
      <c r="L201" s="28" t="inlineStr">
        <is>
          <t>Cant</t>
        </is>
      </c>
      <c r="M201" s="28" t="inlineStr">
        <is>
          <t>PV</t>
        </is>
      </c>
      <c r="N201" s="28" t="inlineStr">
        <is>
          <t>Importe</t>
        </is>
      </c>
      <c r="R201" s="29" t="inlineStr">
        <is>
          <t>Pagado total: 1.589 €</t>
        </is>
      </c>
    </row>
    <row r="202">
      <c r="A202" s="30" t="inlineStr">
        <is>
          <t>P1 Potencia</t>
        </is>
      </c>
      <c r="B202" s="31" t="n">
        <v>9.199999999999999</v>
      </c>
      <c r="C202" s="32">
        <f>$N$199-$L$199+1</f>
        <v/>
      </c>
      <c r="D202" s="33" t="n">
        <v>3.4086</v>
      </c>
      <c r="E202" s="34" t="n">
        <v>4.17</v>
      </c>
      <c r="F202" s="35">
        <f>ROUND(B202*E202,2)</f>
        <v/>
      </c>
      <c r="H202" s="36" t="n">
        <v>9.199999999999999</v>
      </c>
      <c r="I202" s="37" t="n">
        <v>4.17</v>
      </c>
      <c r="J202" s="38">
        <f>ROUND(H202*I202,2)</f>
        <v/>
      </c>
      <c r="L202" s="39" t="n">
        <v>9.199999999999999</v>
      </c>
      <c r="M202" s="40" t="n">
        <v>4.17</v>
      </c>
      <c r="N202" s="41">
        <f>ROUND(L202*M202,2)</f>
        <v/>
      </c>
      <c r="R202" s="42" t="inlineStr">
        <is>
          <t>DIF: 691 €   ·   Margen hist.: 30.3%</t>
        </is>
      </c>
    </row>
    <row r="203">
      <c r="A203" s="30" t="inlineStr">
        <is>
          <t>P2 Potencia</t>
        </is>
      </c>
      <c r="B203" s="31" t="n">
        <v>9.199999999999999</v>
      </c>
      <c r="C203" s="32">
        <f>$N$199-$L$199+1</f>
        <v/>
      </c>
      <c r="D203" s="33" t="n">
        <v>1.09728</v>
      </c>
      <c r="E203" s="34" t="n">
        <v>1.37</v>
      </c>
      <c r="F203" s="35">
        <f>ROUND(B203*E203,2)</f>
        <v/>
      </c>
      <c r="H203" s="36" t="n">
        <v>9.199999999999999</v>
      </c>
      <c r="I203" s="37" t="n">
        <v>1.37</v>
      </c>
      <c r="J203" s="38">
        <f>ROUND(H203*I203,2)</f>
        <v/>
      </c>
      <c r="L203" s="39" t="n">
        <v>9.199999999999999</v>
      </c>
      <c r="M203" s="40" t="n">
        <v>1.37</v>
      </c>
      <c r="N203" s="41">
        <f>ROUND(L203*M203,2)</f>
        <v/>
      </c>
      <c r="R203" s="43" t="inlineStr">
        <is>
          <t>Mejor mes: 2024-12 · 237 € · margen 32%</t>
        </is>
      </c>
    </row>
    <row r="204">
      <c r="A204" s="30" t="inlineStr">
        <is>
          <t>P1 Energía</t>
        </is>
      </c>
      <c r="B204" s="31">
        <f>IF($P$204&lt;&gt;"",ROUND(AA204*(($AB$204/(1-$P$204))-50.9680)/151.1427,2),IF('Resumen'!$D$3="OPTIMIZAR",ROUND(MAX(AA204,MIN(AA204*(($AB$204/(1-'Resumen'!$F$3))-50.9680)/151.1427,AA204*(171.1098)/151.1427)),3),AA204))</f>
        <v/>
      </c>
      <c r="C204" s="44" t="n"/>
      <c r="D204" s="33" t="n">
        <v>0.110306</v>
      </c>
      <c r="E204" s="34" t="n">
        <v>0.14937</v>
      </c>
      <c r="F204" s="35">
        <f>ROUND(B204*E204,2)</f>
        <v/>
      </c>
      <c r="H204" s="36" t="n">
        <v>96.08199999999999</v>
      </c>
      <c r="I204" s="37" t="n">
        <v>0.14937</v>
      </c>
      <c r="J204" s="38">
        <f>ROUND(H204*I204,2)</f>
        <v/>
      </c>
      <c r="L204" s="39" t="n">
        <v>106.421</v>
      </c>
      <c r="M204" s="40" t="n">
        <v>0.14937</v>
      </c>
      <c r="N204" s="41">
        <f>ROUND(L204*M204,2)</f>
        <v/>
      </c>
      <c r="O204" s="45" t="inlineStr">
        <is>
          <t>Margen objetivo (edita % aquí) ▶</t>
        </is>
      </c>
      <c r="P204" s="5" t="n"/>
      <c r="R204" s="43" t="inlineStr">
        <is>
          <t>Peor mes: 2023-07 · 20 € · margen 55%</t>
        </is>
      </c>
      <c r="AA204" t="n">
        <v>113.96</v>
      </c>
      <c r="AB204">
        <f>B202*D202+B203*D203+AA204*D204+AA205*D205+AA206*D206</f>
        <v/>
      </c>
    </row>
    <row r="205">
      <c r="A205" s="30" t="inlineStr">
        <is>
          <t>P2 Energía</t>
        </is>
      </c>
      <c r="B205" s="31">
        <f>IF($P$204&lt;&gt;"",ROUND(AA205*(($AB$204/(1-$P$204))-50.9680)/151.1427,2),IF('Resumen'!$D$3="OPTIMIZAR",ROUND(MAX(AA205,MIN(AA205*(($AB$204/(1-'Resumen'!$F$3))-50.9680)/151.1427,AA205*(171.1098)/151.1427)),3),AA205))</f>
        <v/>
      </c>
      <c r="C205" s="44" t="n"/>
      <c r="D205" s="33" t="n">
        <v>0.110306</v>
      </c>
      <c r="E205" s="34" t="n">
        <v>0.14937</v>
      </c>
      <c r="F205" s="35">
        <f>ROUND(B205*E205,2)</f>
        <v/>
      </c>
      <c r="H205" s="36" t="n">
        <v>96.13800000000001</v>
      </c>
      <c r="I205" s="37" t="n">
        <v>0.14937</v>
      </c>
      <c r="J205" s="38">
        <f>ROUND(H205*I205,2)</f>
        <v/>
      </c>
      <c r="L205" s="39" t="n">
        <v>134.85</v>
      </c>
      <c r="M205" s="40" t="n">
        <v>0.14937</v>
      </c>
      <c r="N205" s="41">
        <f>ROUND(L205*M205,2)</f>
        <v/>
      </c>
      <c r="O205" s="46" t="inlineStr">
        <is>
          <t>Cant. P1/P2/P3 energía suben</t>
        </is>
      </c>
      <c r="R205" s="43" t="inlineStr">
        <is>
          <t>Importe mensual cobrado (€) · 24 meses ▾</t>
        </is>
      </c>
      <c r="AA205" t="n">
        <v>192.413</v>
      </c>
    </row>
    <row r="206">
      <c r="A206" s="30" t="inlineStr">
        <is>
          <t>P3 Energía</t>
        </is>
      </c>
      <c r="B206" s="31">
        <f>IF($P$204&lt;&gt;"",ROUND(AA206*(($AB$204/(1-$P$204))-50.9680)/151.1427,2),IF('Resumen'!$D$3="OPTIMIZAR",ROUND(MAX(AA206,MIN(AA206*(($AB$204/(1-'Resumen'!$F$3))-50.9680)/151.1427,AA206*(171.1098)/151.1427)),3),AA206))</f>
        <v/>
      </c>
      <c r="C206" s="44" t="n"/>
      <c r="D206" s="33" t="n">
        <v>0.110306</v>
      </c>
      <c r="E206" s="34" t="n">
        <v>0.14937</v>
      </c>
      <c r="F206" s="35">
        <f>ROUND(B206*E206,2)</f>
        <v/>
      </c>
      <c r="H206" s="36" t="n">
        <v>293.989</v>
      </c>
      <c r="I206" s="37" t="n">
        <v>0.14937</v>
      </c>
      <c r="J206" s="38">
        <f>ROUND(H206*I206,2)</f>
        <v/>
      </c>
      <c r="L206" s="39" t="n">
        <v>432.121</v>
      </c>
      <c r="M206" s="40" t="n">
        <v>0.14937</v>
      </c>
      <c r="N206" s="41">
        <f>ROUND(L206*M206,2)</f>
        <v/>
      </c>
      <c r="O206" s="46" t="inlineStr">
        <is>
          <t>en proporción para ese margen</t>
        </is>
      </c>
      <c r="AA206" t="n">
        <v>705.495</v>
      </c>
    </row>
    <row r="207">
      <c r="A207" s="30" t="inlineStr">
        <is>
          <t>Alquiler contador</t>
        </is>
      </c>
      <c r="B207" s="31" t="n">
        <v>1</v>
      </c>
      <c r="C207" s="32">
        <f>$N$199-$L$199+1</f>
        <v/>
      </c>
      <c r="D207" s="33" t="n">
        <v>0.7989000000000001</v>
      </c>
      <c r="E207" s="34" t="n">
        <v>4</v>
      </c>
      <c r="F207" s="35">
        <f>ROUND(B207*E207,2)</f>
        <v/>
      </c>
      <c r="H207" s="36" t="n">
        <v>1</v>
      </c>
      <c r="I207" s="37" t="n">
        <v>4</v>
      </c>
      <c r="J207" s="38">
        <f>ROUND(H207*I207,2)</f>
        <v/>
      </c>
      <c r="L207" s="39" t="n">
        <v>1</v>
      </c>
      <c r="M207" s="40" t="n">
        <v>4</v>
      </c>
      <c r="N207" s="41">
        <f>ROUND(L207*M207,2)</f>
        <v/>
      </c>
    </row>
    <row r="208">
      <c r="A208" s="30" t="inlineStr">
        <is>
          <t>Bono social</t>
        </is>
      </c>
      <c r="B208" s="31" t="n">
        <v>30</v>
      </c>
      <c r="C208" s="32">
        <f>$N$199-$L$199+1</f>
        <v/>
      </c>
      <c r="D208" s="33" t="n">
        <v>0.5736</v>
      </c>
      <c r="E208" s="34" t="n">
        <v>0.01274</v>
      </c>
      <c r="F208" s="35">
        <f>ROUND(B208*E208,2)</f>
        <v/>
      </c>
      <c r="H208" s="36" t="n">
        <v>30</v>
      </c>
      <c r="I208" s="37" t="n">
        <v>0.01274</v>
      </c>
      <c r="J208" s="38">
        <f>ROUND(H208*I208,2)</f>
        <v/>
      </c>
      <c r="L208" s="39" t="n">
        <v>30</v>
      </c>
      <c r="M208" s="40" t="n">
        <v>0.00629</v>
      </c>
      <c r="N208" s="41">
        <f>ROUND(L208*M208,2)</f>
        <v/>
      </c>
    </row>
    <row r="209">
      <c r="A209" s="30" t="inlineStr">
        <is>
          <t>Tasa eléctrica</t>
        </is>
      </c>
      <c r="B209" s="31" t="n">
        <v>10.21</v>
      </c>
      <c r="C209" s="44" t="n"/>
      <c r="D209" s="33" t="n">
        <v>0.24729</v>
      </c>
      <c r="E209" s="34" t="n">
        <v>1</v>
      </c>
      <c r="F209" s="35">
        <f>ROUND(B209*E209,2)</f>
        <v/>
      </c>
      <c r="H209" s="36" t="n">
        <v>6.2</v>
      </c>
      <c r="I209" s="37" t="n">
        <v>1</v>
      </c>
      <c r="J209" s="38">
        <f>ROUND(H209*I209,2)</f>
        <v/>
      </c>
      <c r="L209" s="39" t="n">
        <v>7.41</v>
      </c>
      <c r="M209" s="40" t="n">
        <v>1</v>
      </c>
      <c r="N209" s="41">
        <f>ROUND(L209*M209,2)</f>
        <v/>
      </c>
    </row>
    <row r="210">
      <c r="A210" s="47" t="inlineStr">
        <is>
          <t>TOTAL c/IVA</t>
        </is>
      </c>
      <c r="F210" s="48">
        <f>ROUND((SUM(F202:F209)-F209)*1.1+F209,2)</f>
        <v/>
      </c>
      <c r="J210" s="49">
        <f>ROUND(SUM(J202:J209),2)</f>
        <v/>
      </c>
      <c r="N210" s="50">
        <f>ROUND(SUM(N202:N209),2)</f>
        <v/>
      </c>
    </row>
    <row r="211">
      <c r="A211" s="19" t="inlineStr">
        <is>
          <t>MARGEN sin registrar</t>
        </is>
      </c>
      <c r="B211" s="51">
        <f>IF((F205+F202+F204+F206+F203)=0,"",((F205+F202+F204+F206+F203)-$AB$204)/(F205+F202+F204+F206+F203))</f>
        <v/>
      </c>
      <c r="D211" s="52">
        <f>IF(B211="","SIN PC",IF(B211&gt;=0.3,"APROBAR",IF(B211&gt;=0.2,"REVISAR","RECHAZAR")))</f>
        <v/>
      </c>
      <c r="E211" s="53" t="n"/>
      <c r="F211" s="54" t="n"/>
      <c r="AD211">
        <f>SUM(F204:F206)-151.1427</f>
        <v/>
      </c>
    </row>
    <row r="212">
      <c r="A212" s="55" t="inlineStr">
        <is>
          <t>☀ EXCEDENTES SOLARES (kWh vertidos reales)</t>
        </is>
      </c>
      <c r="B212" s="56" t="n"/>
      <c r="C212" s="56" t="n"/>
      <c r="D212" s="56" t="n"/>
      <c r="E212" s="56" t="n"/>
      <c r="F212" s="56" t="n"/>
    </row>
    <row r="213">
      <c r="A213" s="57" t="inlineStr">
        <is>
          <t>Concepto</t>
        </is>
      </c>
      <c r="B213" s="57" t="inlineStr">
        <is>
          <t>kWh</t>
        </is>
      </c>
      <c r="D213" s="57" t="inlineStr">
        <is>
          <t>€/kWh compra</t>
        </is>
      </c>
      <c r="E213" s="57" t="inlineStr">
        <is>
          <t>€/kWh venta</t>
        </is>
      </c>
      <c r="F213" s="57" t="inlineStr">
        <is>
          <t>Importe</t>
        </is>
      </c>
    </row>
    <row r="214">
      <c r="A214" s="58" t="inlineStr">
        <is>
          <t>Compra excedentes (vertido red)</t>
        </is>
      </c>
      <c r="B214" s="59" t="n">
        <v>43</v>
      </c>
      <c r="C214" s="60" t="n"/>
      <c r="D214" s="33" t="n">
        <v>0.06</v>
      </c>
      <c r="E214" s="60" t="n"/>
      <c r="F214" s="61">
        <f>ROUND(B214*D214,2)</f>
        <v/>
      </c>
    </row>
    <row r="215">
      <c r="A215" s="58" t="inlineStr">
        <is>
          <t>Venta cliente (saldo batería, 1043)</t>
        </is>
      </c>
      <c r="B215" s="60" t="n"/>
      <c r="C215" s="60" t="n"/>
      <c r="D215" s="60" t="n"/>
      <c r="E215" s="62" t="n">
        <v>0.06</v>
      </c>
      <c r="F215" s="61" t="n">
        <v>2.53</v>
      </c>
    </row>
    <row r="216">
      <c r="A216" s="63" t="inlineStr">
        <is>
          <t>NETO Transactiva (compra − venta)</t>
        </is>
      </c>
      <c r="B216" s="60" t="n"/>
      <c r="C216" s="60" t="n"/>
      <c r="D216" s="60" t="n"/>
      <c r="E216" s="60" t="n"/>
      <c r="F216" s="64">
        <f>F214-F215</f>
        <v/>
      </c>
    </row>
    <row r="218">
      <c r="A218" s="15" t="inlineStr">
        <is>
          <t>Factura 8569 · C02560 · PEDRO IVARS TRO 2018, S.L.</t>
        </is>
      </c>
      <c r="H218" s="15" t="inlineStr">
        <is>
          <t>ES0021000000959128GW · Naturgy</t>
        </is>
      </c>
      <c r="L218" s="16" t="n">
        <v>46113</v>
      </c>
      <c r="M218" s="17" t="inlineStr">
        <is>
          <t>a</t>
        </is>
      </c>
      <c r="N218" s="16" t="n">
        <v>46142</v>
      </c>
      <c r="R218" s="18" t="inlineStr">
        <is>
          <t>HISTÓRICO DEL CUPS · HOJA TTVA LUZ</t>
        </is>
      </c>
    </row>
    <row r="219">
      <c r="A219" s="19" t="inlineStr">
        <is>
          <t>Concepto</t>
        </is>
      </c>
      <c r="B219" s="20" t="inlineStr">
        <is>
          <t>PENDIENTE (sin registrar)</t>
        </is>
      </c>
      <c r="C219" s="21" t="n"/>
      <c r="D219" s="21" t="n"/>
      <c r="E219" s="21" t="n"/>
      <c r="F219" s="21" t="n"/>
      <c r="H219" s="22" t="inlineStr">
        <is>
          <t>MES ANTERIOR · Fact.6376</t>
        </is>
      </c>
      <c r="I219" s="23" t="n"/>
      <c r="J219" s="23" t="n"/>
      <c r="L219" s="24" t="inlineStr">
        <is>
          <t>AÑO ANTERIOR · Fact.4564</t>
        </is>
      </c>
      <c r="M219" s="25" t="n"/>
      <c r="N219" s="25" t="n"/>
      <c r="R219" s="26" t="inlineStr">
        <is>
          <t>Cobrado total: 453 €</t>
        </is>
      </c>
    </row>
    <row r="220">
      <c r="B220" s="7" t="inlineStr">
        <is>
          <t>Cant</t>
        </is>
      </c>
      <c r="C220" s="7" t="inlineStr">
        <is>
          <t>Días</t>
        </is>
      </c>
      <c r="D220" s="7" t="inlineStr">
        <is>
          <t>PC real</t>
        </is>
      </c>
      <c r="E220" s="7" t="inlineStr">
        <is>
          <t>PV</t>
        </is>
      </c>
      <c r="F220" s="7" t="inlineStr">
        <is>
          <t>Importe</t>
        </is>
      </c>
      <c r="H220" s="27" t="inlineStr">
        <is>
          <t>Cant</t>
        </is>
      </c>
      <c r="I220" s="27" t="inlineStr">
        <is>
          <t>PV</t>
        </is>
      </c>
      <c r="J220" s="27" t="inlineStr">
        <is>
          <t>Importe</t>
        </is>
      </c>
      <c r="L220" s="28" t="inlineStr">
        <is>
          <t>Cant</t>
        </is>
      </c>
      <c r="M220" s="28" t="inlineStr">
        <is>
          <t>PV</t>
        </is>
      </c>
      <c r="N220" s="28" t="inlineStr">
        <is>
          <t>Importe</t>
        </is>
      </c>
      <c r="R220" s="29" t="inlineStr">
        <is>
          <t>Pagado total: 293 €</t>
        </is>
      </c>
    </row>
    <row r="221">
      <c r="A221" s="30" t="inlineStr">
        <is>
          <t>P1 Potencia</t>
        </is>
      </c>
      <c r="B221" s="31" t="n">
        <v>13.2</v>
      </c>
      <c r="C221" s="32">
        <f>$N$218-$L$218+1</f>
        <v/>
      </c>
      <c r="D221" s="33" t="n">
        <v>3.68919</v>
      </c>
      <c r="E221" s="34" t="n">
        <v>3.85</v>
      </c>
      <c r="F221" s="35">
        <f>ROUND(B221*E221,2)</f>
        <v/>
      </c>
      <c r="H221" s="36" t="n">
        <v>13.2</v>
      </c>
      <c r="I221" s="37" t="n">
        <v>3.85</v>
      </c>
      <c r="J221" s="38">
        <f>ROUND(H221*I221,2)</f>
        <v/>
      </c>
      <c r="L221" s="39" t="n">
        <v>13.2</v>
      </c>
      <c r="M221" s="40" t="n">
        <v>3.85</v>
      </c>
      <c r="N221" s="41">
        <f>ROUND(L221*M221,2)</f>
        <v/>
      </c>
      <c r="R221" s="42" t="inlineStr">
        <is>
          <t>DIF: 160 €   ·   Margen hist.: 35.4%</t>
        </is>
      </c>
    </row>
    <row r="222">
      <c r="A222" s="30" t="inlineStr">
        <is>
          <t>P2 Potencia</t>
        </is>
      </c>
      <c r="B222" s="31" t="n">
        <v>13.2</v>
      </c>
      <c r="C222" s="32">
        <f>$N$218-$L$218+1</f>
        <v/>
      </c>
      <c r="D222" s="33" t="n">
        <v>1.31928</v>
      </c>
      <c r="E222" s="34" t="n">
        <v>1.33</v>
      </c>
      <c r="F222" s="35">
        <f>ROUND(B222*E222,2)</f>
        <v/>
      </c>
      <c r="H222" s="36" t="n">
        <v>13.2</v>
      </c>
      <c r="I222" s="37" t="n">
        <v>1.33</v>
      </c>
      <c r="J222" s="38">
        <f>ROUND(H222*I222,2)</f>
        <v/>
      </c>
      <c r="L222" s="39" t="n">
        <v>13.2</v>
      </c>
      <c r="M222" s="40" t="n">
        <v>1.33</v>
      </c>
      <c r="N222" s="41">
        <f>ROUND(L222*M222,2)</f>
        <v/>
      </c>
      <c r="R222" s="43" t="inlineStr">
        <is>
          <t>Mejor mes: 2024-12 · 291 € · margen 24%</t>
        </is>
      </c>
    </row>
    <row r="223">
      <c r="A223" s="30" t="inlineStr">
        <is>
          <t>P1 Energía</t>
        </is>
      </c>
      <c r="B223" s="31">
        <f>IF($P$223&lt;&gt;"",ROUND(AA223*(($AB$223/(1-$P$223))-68.3760)/122.8025,2),IF('Resumen'!$D$3="OPTIMIZAR",ROUND(MAX(AA223,MIN(AA223*(($AB$223/(1-'Resumen'!$F$3))-68.3760)/122.8025,AA223*(209.7518)/122.8025)),3),AA223))</f>
        <v/>
      </c>
      <c r="C223" s="44" t="n"/>
      <c r="D223" s="33" t="n">
        <v>0.111171</v>
      </c>
      <c r="E223" s="34" t="n">
        <v>0.13788</v>
      </c>
      <c r="F223" s="35">
        <f>ROUND(B223*E223,2)</f>
        <v/>
      </c>
      <c r="H223" s="36" t="n">
        <v>442.536</v>
      </c>
      <c r="I223" s="37" t="n">
        <v>0.129</v>
      </c>
      <c r="J223" s="38">
        <f>ROUND(H223*I223,2)</f>
        <v/>
      </c>
      <c r="L223" s="39" t="n">
        <v>256.232</v>
      </c>
      <c r="M223" s="40" t="n">
        <v>0.13788</v>
      </c>
      <c r="N223" s="41">
        <f>ROUND(L223*M223,2)</f>
        <v/>
      </c>
      <c r="O223" s="45" t="inlineStr">
        <is>
          <t>Margen objetivo (edita % aquí) ▶</t>
        </is>
      </c>
      <c r="P223" s="5" t="n"/>
      <c r="R223" s="43" t="inlineStr">
        <is>
          <t>Peor mes: 2024-11 · 160 € · margen 56%</t>
        </is>
      </c>
      <c r="AA223" t="n">
        <v>258.488</v>
      </c>
      <c r="AB223">
        <f>B221*D221+B222*D222+AA223*D223+AA224*D224+AA225*D225</f>
        <v/>
      </c>
    </row>
    <row r="224">
      <c r="A224" s="30" t="inlineStr">
        <is>
          <t>P2 Energía</t>
        </is>
      </c>
      <c r="B224" s="31">
        <f>IF($P$223&lt;&gt;"",ROUND(AA224*(($AB$223/(1-$P$223))-68.3760)/122.8025,2),IF('Resumen'!$D$3="OPTIMIZAR",ROUND(MAX(AA224,MIN(AA224*(($AB$223/(1-'Resumen'!$F$3))-68.3760)/122.8025,AA224*(209.7518)/122.8025)),3),AA224))</f>
        <v/>
      </c>
      <c r="C224" s="44" t="n"/>
      <c r="D224" s="33" t="n">
        <v>0.111171</v>
      </c>
      <c r="E224" s="34" t="n">
        <v>0.13788</v>
      </c>
      <c r="F224" s="35">
        <f>ROUND(B224*E224,2)</f>
        <v/>
      </c>
      <c r="H224" s="36" t="n">
        <v>441.527</v>
      </c>
      <c r="I224" s="37" t="n">
        <v>0.129</v>
      </c>
      <c r="J224" s="38">
        <f>ROUND(H224*I224,2)</f>
        <v/>
      </c>
      <c r="L224" s="39" t="n">
        <v>333.72</v>
      </c>
      <c r="M224" s="40" t="n">
        <v>0.13788</v>
      </c>
      <c r="N224" s="41">
        <f>ROUND(L224*M224,2)</f>
        <v/>
      </c>
      <c r="O224" s="46" t="inlineStr">
        <is>
          <t>Cant. P1/P2/P3 energía suben</t>
        </is>
      </c>
      <c r="R224" s="43" t="inlineStr">
        <is>
          <t>Importe mensual cobrado (€) · 24 meses ▾</t>
        </is>
      </c>
      <c r="AA224" t="n">
        <v>305.423</v>
      </c>
    </row>
    <row r="225">
      <c r="A225" s="30" t="inlineStr">
        <is>
          <t>P3 Energía</t>
        </is>
      </c>
      <c r="B225" s="31">
        <f>IF($P$223&lt;&gt;"",ROUND(AA225*(($AB$223/(1-$P$223))-68.3760)/122.8025,2),IF('Resumen'!$D$3="OPTIMIZAR",ROUND(MAX(AA225,MIN(AA225*(($AB$223/(1-'Resumen'!$F$3))-68.3760)/122.8025,AA225*(209.7518)/122.8025)),3),AA225))</f>
        <v/>
      </c>
      <c r="C225" s="44" t="n"/>
      <c r="D225" s="33" t="n">
        <v>0.111171</v>
      </c>
      <c r="E225" s="34" t="n">
        <v>0.13788</v>
      </c>
      <c r="F225" s="35">
        <f>ROUND(B225*E225,2)</f>
        <v/>
      </c>
      <c r="H225" s="36" t="n">
        <v>295.773</v>
      </c>
      <c r="I225" s="37" t="n">
        <v>0.129</v>
      </c>
      <c r="J225" s="38">
        <f>ROUND(H225*I225,2)</f>
        <v/>
      </c>
      <c r="L225" s="39" t="n">
        <v>202.335</v>
      </c>
      <c r="M225" s="40" t="n">
        <v>0.13788</v>
      </c>
      <c r="N225" s="41">
        <f>ROUND(L225*M225,2)</f>
        <v/>
      </c>
      <c r="O225" s="46" t="inlineStr">
        <is>
          <t>en proporción para ese margen</t>
        </is>
      </c>
      <c r="AA225" t="n">
        <v>326.737</v>
      </c>
    </row>
    <row r="226">
      <c r="A226" s="30" t="inlineStr">
        <is>
          <t>Alquiler contador</t>
        </is>
      </c>
      <c r="B226" s="31" t="n">
        <v>1</v>
      </c>
      <c r="C226" s="32">
        <f>$N$218-$L$218+1</f>
        <v/>
      </c>
      <c r="D226" s="33" t="n">
        <v>1.3414</v>
      </c>
      <c r="E226" s="34" t="n">
        <v>3</v>
      </c>
      <c r="F226" s="35">
        <f>ROUND(B226*E226,2)</f>
        <v/>
      </c>
      <c r="H226" s="36" t="n">
        <v>1</v>
      </c>
      <c r="I226" s="37" t="n">
        <v>3</v>
      </c>
      <c r="J226" s="38">
        <f>ROUND(H226*I226,2)</f>
        <v/>
      </c>
      <c r="L226" s="39" t="n">
        <v>1</v>
      </c>
      <c r="M226" s="40" t="n">
        <v>3</v>
      </c>
      <c r="N226" s="41">
        <f>ROUND(L226*M226,2)</f>
        <v/>
      </c>
    </row>
    <row r="227">
      <c r="A227" s="30" t="inlineStr">
        <is>
          <t>Bono social</t>
        </is>
      </c>
      <c r="B227" s="31" t="n">
        <v>30</v>
      </c>
      <c r="C227" s="32">
        <f>$N$218-$L$218+1</f>
        <v/>
      </c>
      <c r="D227" s="33" t="n">
        <v>0.5736</v>
      </c>
      <c r="E227" s="34" t="n">
        <v>0.01274</v>
      </c>
      <c r="F227" s="35">
        <f>ROUND(B227*E227,2)</f>
        <v/>
      </c>
      <c r="H227" s="36" t="n">
        <v>30</v>
      </c>
      <c r="I227" s="37" t="n">
        <v>0.01274</v>
      </c>
      <c r="J227" s="38">
        <f>ROUND(H227*I227,2)</f>
        <v/>
      </c>
      <c r="L227" s="39" t="n">
        <v>30</v>
      </c>
      <c r="M227" s="40" t="n">
        <v>0.00629</v>
      </c>
      <c r="N227" s="41">
        <f>ROUND(L227*M227,2)</f>
        <v/>
      </c>
    </row>
    <row r="228">
      <c r="A228" s="30" t="inlineStr">
        <is>
          <t>Tasa eléctrica</t>
        </is>
      </c>
      <c r="B228" s="31" t="n">
        <v>9.779999999999999</v>
      </c>
      <c r="C228" s="44" t="n"/>
      <c r="D228" s="33" t="n">
        <v>0.27312</v>
      </c>
      <c r="E228" s="34" t="n">
        <v>1</v>
      </c>
      <c r="F228" s="35">
        <f>ROUND(B228*E228,2)</f>
        <v/>
      </c>
      <c r="H228" s="36" t="n">
        <v>12.04</v>
      </c>
      <c r="I228" s="37" t="n">
        <v>1</v>
      </c>
      <c r="J228" s="38">
        <f>ROUND(H228*I228,2)</f>
        <v/>
      </c>
      <c r="L228" s="39" t="n">
        <v>9.09</v>
      </c>
      <c r="M228" s="40" t="n">
        <v>1</v>
      </c>
      <c r="N228" s="41">
        <f>ROUND(L228*M228,2)</f>
        <v/>
      </c>
    </row>
    <row r="229">
      <c r="A229" s="47" t="inlineStr">
        <is>
          <t>TOTAL c/IVA</t>
        </is>
      </c>
      <c r="F229" s="48">
        <f>ROUND((SUM(F221:F228)-F228)*1.1+F228,2)</f>
        <v/>
      </c>
      <c r="J229" s="49">
        <f>ROUND(SUM(J221:J228),2)</f>
        <v/>
      </c>
      <c r="N229" s="50">
        <f>ROUND(SUM(N221:N228),2)</f>
        <v/>
      </c>
    </row>
    <row r="230">
      <c r="A230" s="19" t="inlineStr">
        <is>
          <t>MARGEN sin registrar</t>
        </is>
      </c>
      <c r="B230" s="51">
        <f>IF((F224+F221+F223+F225+F222)=0,"",((F224+F221+F223+F225+F222)-$AB$223)/(F224+F221+F223+F225+F222))</f>
        <v/>
      </c>
      <c r="D230" s="52">
        <f>IF(B230="","SIN PC",IF(B230&gt;=0.3,"APROBAR",IF(B230&gt;=0.2,"REVISAR","RECHAZAR")))</f>
        <v/>
      </c>
      <c r="E230" s="53" t="n"/>
      <c r="F230" s="54" t="n"/>
      <c r="AD230">
        <f>SUM(F223:F225)-122.8025</f>
        <v/>
      </c>
    </row>
    <row r="232">
      <c r="A232" s="15" t="inlineStr">
        <is>
          <t>Factura 8570 · C02680 · ALVARO DAVID OCHOA BIOSCA</t>
        </is>
      </c>
      <c r="H232" s="15" t="inlineStr">
        <is>
          <t>ES0021000001213790JP · Naturgy</t>
        </is>
      </c>
      <c r="L232" s="16" t="n">
        <v>46113</v>
      </c>
      <c r="M232" s="17" t="inlineStr">
        <is>
          <t>a</t>
        </is>
      </c>
      <c r="N232" s="16" t="n">
        <v>46142</v>
      </c>
      <c r="R232" s="18" t="inlineStr">
        <is>
          <t>HISTÓRICO DEL CUPS · HOJA TTVA LUZ</t>
        </is>
      </c>
    </row>
    <row r="233">
      <c r="A233" s="19" t="inlineStr">
        <is>
          <t>Concepto</t>
        </is>
      </c>
      <c r="B233" s="20" t="inlineStr">
        <is>
          <t>PENDIENTE (sin registrar)</t>
        </is>
      </c>
      <c r="C233" s="21" t="n"/>
      <c r="D233" s="21" t="n"/>
      <c r="E233" s="21" t="n"/>
      <c r="F233" s="21" t="n"/>
      <c r="H233" s="22" t="inlineStr">
        <is>
          <t>MES ANTERIOR · Fact.6369</t>
        </is>
      </c>
      <c r="I233" s="23" t="n"/>
      <c r="J233" s="23" t="n"/>
      <c r="L233" s="24" t="inlineStr">
        <is>
          <t>AÑO ANTERIOR · Fact.4557</t>
        </is>
      </c>
      <c r="M233" s="25" t="n"/>
      <c r="N233" s="25" t="n"/>
      <c r="R233" s="26" t="inlineStr">
        <is>
          <t>Cobrado total: 3 €</t>
        </is>
      </c>
    </row>
    <row r="234">
      <c r="B234" s="7" t="inlineStr">
        <is>
          <t>Cant</t>
        </is>
      </c>
      <c r="C234" s="7" t="inlineStr">
        <is>
          <t>Días</t>
        </is>
      </c>
      <c r="D234" s="7" t="inlineStr">
        <is>
          <t>PC real</t>
        </is>
      </c>
      <c r="E234" s="7" t="inlineStr">
        <is>
          <t>PV</t>
        </is>
      </c>
      <c r="F234" s="7" t="inlineStr">
        <is>
          <t>Importe</t>
        </is>
      </c>
      <c r="H234" s="27" t="inlineStr">
        <is>
          <t>Cant</t>
        </is>
      </c>
      <c r="I234" s="27" t="inlineStr">
        <is>
          <t>PV</t>
        </is>
      </c>
      <c r="J234" s="27" t="inlineStr">
        <is>
          <t>Importe</t>
        </is>
      </c>
      <c r="L234" s="28" t="inlineStr">
        <is>
          <t>Cant</t>
        </is>
      </c>
      <c r="M234" s="28" t="inlineStr">
        <is>
          <t>PV</t>
        </is>
      </c>
      <c r="N234" s="28" t="inlineStr">
        <is>
          <t>Importe</t>
        </is>
      </c>
      <c r="R234" s="29" t="inlineStr">
        <is>
          <t>Pagado total: 0 €</t>
        </is>
      </c>
    </row>
    <row r="235">
      <c r="A235" s="30" t="inlineStr">
        <is>
          <t>P1 Potencia</t>
        </is>
      </c>
      <c r="B235" s="31" t="n">
        <v>5.5</v>
      </c>
      <c r="C235" s="32">
        <f>$N$232-$L$232+1</f>
        <v/>
      </c>
      <c r="D235" s="33" t="n">
        <v>3.68919</v>
      </c>
      <c r="E235" s="34" t="n">
        <v>3.85</v>
      </c>
      <c r="F235" s="35">
        <f>ROUND(B235*E235,2)</f>
        <v/>
      </c>
      <c r="H235" s="36" t="n">
        <v>5.5</v>
      </c>
      <c r="I235" s="37" t="n">
        <v>3.85</v>
      </c>
      <c r="J235" s="38">
        <f>ROUND(H235*I235,2)</f>
        <v/>
      </c>
      <c r="L235" s="39" t="n">
        <v>5.5</v>
      </c>
      <c r="M235" s="40" t="n">
        <v>3.85</v>
      </c>
      <c r="N235" s="41">
        <f>ROUND(L235*M235,2)</f>
        <v/>
      </c>
      <c r="R235" s="42" t="inlineStr">
        <is>
          <t>DIF: 3 €   ·   Margen hist.: 100.0%</t>
        </is>
      </c>
    </row>
    <row r="236">
      <c r="A236" s="30" t="inlineStr">
        <is>
          <t>P2 Potencia</t>
        </is>
      </c>
      <c r="B236" s="31" t="n">
        <v>5.5</v>
      </c>
      <c r="C236" s="32">
        <f>$N$232-$L$232+1</f>
        <v/>
      </c>
      <c r="D236" s="33" t="n">
        <v>1.31928</v>
      </c>
      <c r="E236" s="34" t="n">
        <v>1.33</v>
      </c>
      <c r="F236" s="35">
        <f>ROUND(B236*E236,2)</f>
        <v/>
      </c>
      <c r="H236" s="36" t="n">
        <v>5.5</v>
      </c>
      <c r="I236" s="37" t="n">
        <v>1.33</v>
      </c>
      <c r="J236" s="38">
        <f>ROUND(H236*I236,2)</f>
        <v/>
      </c>
      <c r="L236" s="39" t="n">
        <v>5.5</v>
      </c>
      <c r="M236" s="40" t="n">
        <v>1.33</v>
      </c>
      <c r="N236" s="41">
        <f>ROUND(L236*M236,2)</f>
        <v/>
      </c>
    </row>
    <row r="237">
      <c r="A237" s="30" t="inlineStr">
        <is>
          <t>P1 Energía</t>
        </is>
      </c>
      <c r="B237" s="31">
        <f>IF($P$237&lt;&gt;"",ROUND(AA237*(($AB$237/(1-$P$237))-28.4900)/101.3208,2),IF('Resumen'!$D$3="OPTIMIZAR",AA237,AA237))</f>
        <v/>
      </c>
      <c r="C237" s="44" t="n"/>
      <c r="D237" s="33" t="n">
        <v>0.111171</v>
      </c>
      <c r="E237" s="34" t="n">
        <v>0.13788</v>
      </c>
      <c r="F237" s="35">
        <f>ROUND(B237*E237,2)</f>
        <v/>
      </c>
      <c r="H237" s="36" t="n">
        <v>383.007</v>
      </c>
      <c r="I237" s="37" t="n">
        <v>0.13788</v>
      </c>
      <c r="J237" s="38">
        <f>ROUND(H237*I237,2)</f>
        <v/>
      </c>
      <c r="L237" s="39" t="n">
        <v>197.212</v>
      </c>
      <c r="M237" s="40" t="n">
        <v>0.13788</v>
      </c>
      <c r="N237" s="41">
        <f>ROUND(L237*M237,2)</f>
        <v/>
      </c>
      <c r="O237" s="45" t="inlineStr">
        <is>
          <t>Margen objetivo (edita % aquí) ▶</t>
        </is>
      </c>
      <c r="P237" s="5" t="n"/>
      <c r="AA237" t="n">
        <v>131.537</v>
      </c>
      <c r="AB237">
        <f>B235*D235+B236*D236+AA237*D237+AA238*D238+AA239*D239</f>
        <v/>
      </c>
    </row>
    <row r="238">
      <c r="A238" s="30" t="inlineStr">
        <is>
          <t>P2 Energía</t>
        </is>
      </c>
      <c r="B238" s="31">
        <f>IF($P$237&lt;&gt;"",ROUND(AA238*(($AB$237/(1-$P$237))-28.4900)/101.3208,2),IF('Resumen'!$D$3="OPTIMIZAR",AA238,AA238))</f>
        <v/>
      </c>
      <c r="C238" s="44" t="n"/>
      <c r="D238" s="33" t="n">
        <v>0.111171</v>
      </c>
      <c r="E238" s="34" t="n">
        <v>0.13788</v>
      </c>
      <c r="F238" s="35">
        <f>ROUND(B238*E238,2)</f>
        <v/>
      </c>
      <c r="H238" s="36" t="n">
        <v>376.412</v>
      </c>
      <c r="I238" s="37" t="n">
        <v>0.13788</v>
      </c>
      <c r="J238" s="38">
        <f>ROUND(H238*I238,2)</f>
        <v/>
      </c>
      <c r="L238" s="39" t="n">
        <v>187.009</v>
      </c>
      <c r="M238" s="40" t="n">
        <v>0.13788</v>
      </c>
      <c r="N238" s="41">
        <f>ROUND(L238*M238,2)</f>
        <v/>
      </c>
      <c r="O238" s="46" t="inlineStr">
        <is>
          <t>Cant. P1/P2/P3 energía suben</t>
        </is>
      </c>
      <c r="R238" s="43" t="inlineStr">
        <is>
          <t>Importe mensual cobrado (€) · 24 meses ▾</t>
        </is>
      </c>
      <c r="AA238" t="n">
        <v>180.241</v>
      </c>
    </row>
    <row r="239">
      <c r="A239" s="30" t="inlineStr">
        <is>
          <t>P3 Energía</t>
        </is>
      </c>
      <c r="B239" s="31">
        <f>IF($P$237&lt;&gt;"",ROUND(AA239*(($AB$237/(1-$P$237))-28.4900)/101.3208,2),IF('Resumen'!$D$3="OPTIMIZAR",AA239,AA239))</f>
        <v/>
      </c>
      <c r="C239" s="44" t="n"/>
      <c r="D239" s="33" t="n">
        <v>0.111171</v>
      </c>
      <c r="E239" s="34" t="n">
        <v>0.13788</v>
      </c>
      <c r="F239" s="35">
        <f>ROUND(B239*E239,2)</f>
        <v/>
      </c>
      <c r="H239" s="36" t="n">
        <v>918.002</v>
      </c>
      <c r="I239" s="37" t="n">
        <v>0.13788</v>
      </c>
      <c r="J239" s="38">
        <f>ROUND(H239*I239,2)</f>
        <v/>
      </c>
      <c r="L239" s="39" t="n">
        <v>440.662</v>
      </c>
      <c r="M239" s="40" t="n">
        <v>0.13788</v>
      </c>
      <c r="N239" s="41">
        <f>ROUND(L239*M239,2)</f>
        <v/>
      </c>
      <c r="O239" s="46" t="inlineStr">
        <is>
          <t>en proporción para ese margen</t>
        </is>
      </c>
      <c r="AA239" t="n">
        <v>423.07</v>
      </c>
    </row>
    <row r="240">
      <c r="A240" s="30" t="inlineStr">
        <is>
          <t>Alquiler contador</t>
        </is>
      </c>
      <c r="B240" s="31" t="n">
        <v>1</v>
      </c>
      <c r="C240" s="32">
        <f>$N$232-$L$232+1</f>
        <v/>
      </c>
      <c r="D240" s="33" t="n">
        <v>0.7989000000000001</v>
      </c>
      <c r="E240" s="34" t="n">
        <v>3</v>
      </c>
      <c r="F240" s="35">
        <f>ROUND(B240*E240,2)</f>
        <v/>
      </c>
      <c r="H240" s="36" t="n">
        <v>1</v>
      </c>
      <c r="I240" s="37" t="n">
        <v>3</v>
      </c>
      <c r="J240" s="38">
        <f>ROUND(H240*I240,2)</f>
        <v/>
      </c>
      <c r="L240" s="39" t="n">
        <v>1</v>
      </c>
      <c r="M240" s="40" t="n">
        <v>3</v>
      </c>
      <c r="N240" s="41">
        <f>ROUND(L240*M240,2)</f>
        <v/>
      </c>
    </row>
    <row r="241">
      <c r="A241" s="30" t="inlineStr">
        <is>
          <t>Bono social</t>
        </is>
      </c>
      <c r="B241" s="31" t="n">
        <v>30</v>
      </c>
      <c r="C241" s="32">
        <f>$N$232-$L$232+1</f>
        <v/>
      </c>
      <c r="D241" s="33" t="n">
        <v>0.5736</v>
      </c>
      <c r="E241" s="34" t="n">
        <v>0.01274</v>
      </c>
      <c r="F241" s="35">
        <f>ROUND(B241*E241,2)</f>
        <v/>
      </c>
      <c r="H241" s="36" t="n">
        <v>30</v>
      </c>
      <c r="I241" s="37" t="n">
        <v>0.01274</v>
      </c>
      <c r="J241" s="38">
        <f>ROUND(H241*I241,2)</f>
        <v/>
      </c>
      <c r="L241" s="39" t="n">
        <v>30</v>
      </c>
      <c r="M241" s="40" t="n">
        <v>0.00629</v>
      </c>
      <c r="N241" s="41">
        <f>ROUND(L241*M241,2)</f>
        <v/>
      </c>
    </row>
    <row r="242">
      <c r="A242" s="30" t="inlineStr">
        <is>
          <t>Tasa eléctrica</t>
        </is>
      </c>
      <c r="B242" s="31" t="n">
        <v>6.64</v>
      </c>
      <c r="C242" s="44" t="n"/>
      <c r="D242" s="33" t="n">
        <v>0.27312</v>
      </c>
      <c r="E242" s="34" t="n">
        <v>1</v>
      </c>
      <c r="F242" s="35">
        <f>ROUND(B242*E242,2)</f>
        <v/>
      </c>
      <c r="H242" s="36" t="n">
        <v>13.28</v>
      </c>
      <c r="I242" s="37" t="n">
        <v>1</v>
      </c>
      <c r="J242" s="38">
        <f>ROUND(H242*I242,2)</f>
        <v/>
      </c>
      <c r="L242" s="39" t="n">
        <v>7.28</v>
      </c>
      <c r="M242" s="40" t="n">
        <v>1</v>
      </c>
      <c r="N242" s="41">
        <f>ROUND(L242*M242,2)</f>
        <v/>
      </c>
    </row>
    <row r="243">
      <c r="A243" s="47" t="inlineStr">
        <is>
          <t>TOTAL c/IVA</t>
        </is>
      </c>
      <c r="F243" s="48">
        <f>ROUND((SUM(F235:F242)-F242)*1.1+F242,2)</f>
        <v/>
      </c>
      <c r="J243" s="49">
        <f>ROUND(SUM(J235:J242),2)</f>
        <v/>
      </c>
      <c r="N243" s="50">
        <f>ROUND(SUM(N235:N242),2)</f>
        <v/>
      </c>
    </row>
    <row r="244">
      <c r="A244" s="19" t="inlineStr">
        <is>
          <t>MARGEN sin registrar</t>
        </is>
      </c>
      <c r="B244" s="51">
        <f>IF((F238+F235+F237+F239+F236)=0,"",((F238+F235+F237+F239+F236)-$AB$237)/(F238+F235+F237+F239+F236))</f>
        <v/>
      </c>
      <c r="D244" s="52">
        <f>IF(B244="","SIN PC",IF(B244&gt;=0.3,"APROBAR",IF(B244&gt;=0.2,"REVISAR","RECHAZAR")))</f>
        <v/>
      </c>
      <c r="E244" s="53" t="n"/>
      <c r="F244" s="54" t="n"/>
      <c r="AD244">
        <f>SUM(F237:F239)-101.3208</f>
        <v/>
      </c>
    </row>
    <row r="246">
      <c r="A246" s="15" t="inlineStr">
        <is>
          <t>Factura 8571 · C00700 · ELEEN VELTHOVEN</t>
        </is>
      </c>
      <c r="H246" s="15" t="inlineStr">
        <is>
          <t>ES0021000000824899XR · Naturgy</t>
        </is>
      </c>
      <c r="L246" s="16" t="n">
        <v>46113</v>
      </c>
      <c r="M246" s="17" t="inlineStr">
        <is>
          <t>a</t>
        </is>
      </c>
      <c r="N246" s="16" t="n">
        <v>46142</v>
      </c>
      <c r="R246" s="18" t="inlineStr">
        <is>
          <t>HISTÓRICO DEL CUPS · HOJA TTVA LUZ</t>
        </is>
      </c>
    </row>
    <row r="247">
      <c r="A247" s="19" t="inlineStr">
        <is>
          <t>Concepto</t>
        </is>
      </c>
      <c r="B247" s="20" t="inlineStr">
        <is>
          <t>PENDIENTE (sin registrar)</t>
        </is>
      </c>
      <c r="C247" s="21" t="n"/>
      <c r="D247" s="21" t="n"/>
      <c r="E247" s="21" t="n"/>
      <c r="F247" s="21" t="n"/>
      <c r="H247" s="22" t="inlineStr">
        <is>
          <t>MES ANTERIOR · Fact.6446</t>
        </is>
      </c>
      <c r="I247" s="23" t="n"/>
      <c r="J247" s="23" t="n"/>
      <c r="L247" s="24" t="inlineStr">
        <is>
          <t>AÑO ANTERIOR · Fact.4650</t>
        </is>
      </c>
      <c r="M247" s="25" t="n"/>
      <c r="N247" s="25" t="n"/>
      <c r="R247" s="26" t="inlineStr">
        <is>
          <t>Cobrado total: 1.674 €</t>
        </is>
      </c>
    </row>
    <row r="248">
      <c r="B248" s="7" t="inlineStr">
        <is>
          <t>Cant</t>
        </is>
      </c>
      <c r="C248" s="7" t="inlineStr">
        <is>
          <t>Días</t>
        </is>
      </c>
      <c r="D248" s="7" t="inlineStr">
        <is>
          <t>PC real</t>
        </is>
      </c>
      <c r="E248" s="7" t="inlineStr">
        <is>
          <t>PV</t>
        </is>
      </c>
      <c r="F248" s="7" t="inlineStr">
        <is>
          <t>Importe</t>
        </is>
      </c>
      <c r="H248" s="27" t="inlineStr">
        <is>
          <t>Cant</t>
        </is>
      </c>
      <c r="I248" s="27" t="inlineStr">
        <is>
          <t>PV</t>
        </is>
      </c>
      <c r="J248" s="27" t="inlineStr">
        <is>
          <t>Importe</t>
        </is>
      </c>
      <c r="L248" s="28" t="inlineStr">
        <is>
          <t>Cant</t>
        </is>
      </c>
      <c r="M248" s="28" t="inlineStr">
        <is>
          <t>PV</t>
        </is>
      </c>
      <c r="N248" s="28" t="inlineStr">
        <is>
          <t>Importe</t>
        </is>
      </c>
      <c r="R248" s="29" t="inlineStr">
        <is>
          <t>Pagado total: 1.341 €</t>
        </is>
      </c>
    </row>
    <row r="249">
      <c r="A249" s="30" t="inlineStr">
        <is>
          <t>P1 Potencia</t>
        </is>
      </c>
      <c r="B249" s="31" t="n">
        <v>5.75</v>
      </c>
      <c r="C249" s="32">
        <f>$N$246-$L$246+1</f>
        <v/>
      </c>
      <c r="D249" s="33" t="n">
        <v>3.4086</v>
      </c>
      <c r="E249" s="34" t="n">
        <v>4.17</v>
      </c>
      <c r="F249" s="35">
        <f>ROUND(B249*E249,2)</f>
        <v/>
      </c>
      <c r="H249" s="36" t="n">
        <v>5.75</v>
      </c>
      <c r="I249" s="37" t="n">
        <v>4.17</v>
      </c>
      <c r="J249" s="38">
        <f>ROUND(H249*I249,2)</f>
        <v/>
      </c>
      <c r="L249" s="39" t="n">
        <v>5.75</v>
      </c>
      <c r="M249" s="40" t="n">
        <v>4.17</v>
      </c>
      <c r="N249" s="41">
        <f>ROUND(L249*M249,2)</f>
        <v/>
      </c>
      <c r="R249" s="42" t="inlineStr">
        <is>
          <t>DIF: 333 €   ·   Margen hist.: 19.9%</t>
        </is>
      </c>
    </row>
    <row r="250">
      <c r="A250" s="30" t="inlineStr">
        <is>
          <t>P2 Potencia</t>
        </is>
      </c>
      <c r="B250" s="31" t="n">
        <v>5.75</v>
      </c>
      <c r="C250" s="32">
        <f>$N$246-$L$246+1</f>
        <v/>
      </c>
      <c r="D250" s="33" t="n">
        <v>1.09728</v>
      </c>
      <c r="E250" s="34" t="n">
        <v>1.37</v>
      </c>
      <c r="F250" s="35">
        <f>ROUND(B250*E250,2)</f>
        <v/>
      </c>
      <c r="H250" s="36" t="n">
        <v>5.75</v>
      </c>
      <c r="I250" s="37" t="n">
        <v>1.37</v>
      </c>
      <c r="J250" s="38">
        <f>ROUND(H250*I250,2)</f>
        <v/>
      </c>
      <c r="L250" s="39" t="n">
        <v>5.75</v>
      </c>
      <c r="M250" s="40" t="n">
        <v>1.37</v>
      </c>
      <c r="N250" s="41">
        <f>ROUND(L250*M250,2)</f>
        <v/>
      </c>
      <c r="R250" s="43" t="inlineStr">
        <is>
          <t>Mejor mes: 2023-01 · 124 € · margen 41%</t>
        </is>
      </c>
    </row>
    <row r="251">
      <c r="A251" s="30" t="inlineStr">
        <is>
          <t>P1 Energía</t>
        </is>
      </c>
      <c r="B251" s="31">
        <f>IF($P$251&lt;&gt;"",ROUND(AA251*(($AB$251/(1-$P$251))-31.8550)/37.5019,2),IF('Resumen'!$D$3="OPTIMIZAR",ROUND(MAX(AA251,MIN(AA251*(($AB$251/(1-'Resumen'!$F$3))-31.8550)/37.5019,AA251*(84.7228)/37.5019)),3),AA251))</f>
        <v/>
      </c>
      <c r="C251" s="44" t="n"/>
      <c r="D251" s="33" t="n">
        <v>0.110306</v>
      </c>
      <c r="E251" s="34" t="n">
        <v>0.14937</v>
      </c>
      <c r="F251" s="35">
        <f>ROUND(B251*E251,2)</f>
        <v/>
      </c>
      <c r="H251" s="36" t="n">
        <v>77.319</v>
      </c>
      <c r="I251" s="37" t="n">
        <v>0.14937</v>
      </c>
      <c r="J251" s="38">
        <f>ROUND(H251*I251,2)</f>
        <v/>
      </c>
      <c r="L251" s="39" t="n">
        <v>49.27</v>
      </c>
      <c r="M251" s="40" t="n">
        <v>0.14937</v>
      </c>
      <c r="N251" s="41">
        <f>ROUND(L251*M251,2)</f>
        <v/>
      </c>
      <c r="O251" s="45" t="inlineStr">
        <is>
          <t>Margen objetivo (edita % aquí) ▶</t>
        </is>
      </c>
      <c r="P251" s="5" t="n"/>
      <c r="R251" s="43" t="inlineStr">
        <is>
          <t>Peor mes: 2024-05 · 25 € · margen 36%</t>
        </is>
      </c>
      <c r="AA251" t="n">
        <v>71.84</v>
      </c>
      <c r="AB251">
        <f>B249*D249+B250*D250+AA251*D251+AA252*D252+AA253*D253</f>
        <v/>
      </c>
    </row>
    <row r="252">
      <c r="A252" s="30" t="inlineStr">
        <is>
          <t>P2 Energía</t>
        </is>
      </c>
      <c r="B252" s="31">
        <f>IF($P$251&lt;&gt;"",ROUND(AA252*(($AB$251/(1-$P$251))-31.8550)/37.5019,2),IF('Resumen'!$D$3="OPTIMIZAR",ROUND(MAX(AA252,MIN(AA252*(($AB$251/(1-'Resumen'!$F$3))-31.8550)/37.5019,AA252*(84.7228)/37.5019)),3),AA252))</f>
        <v/>
      </c>
      <c r="C252" s="44" t="n"/>
      <c r="D252" s="33" t="n">
        <v>0.110306</v>
      </c>
      <c r="E252" s="34" t="n">
        <v>0.14937</v>
      </c>
      <c r="F252" s="35">
        <f>ROUND(B252*E252,2)</f>
        <v/>
      </c>
      <c r="H252" s="36" t="n">
        <v>44.498</v>
      </c>
      <c r="I252" s="37" t="n">
        <v>0.14937</v>
      </c>
      <c r="J252" s="38">
        <f>ROUND(H252*I252,2)</f>
        <v/>
      </c>
      <c r="L252" s="39" t="n">
        <v>35.233</v>
      </c>
      <c r="M252" s="40" t="n">
        <v>0.14937</v>
      </c>
      <c r="N252" s="41">
        <f>ROUND(L252*M252,2)</f>
        <v/>
      </c>
      <c r="O252" s="46" t="inlineStr">
        <is>
          <t>Cant. P1/P2/P3 energía suben</t>
        </is>
      </c>
      <c r="R252" s="43" t="inlineStr">
        <is>
          <t>Importe mensual cobrado (€) · 24 meses ▾</t>
        </is>
      </c>
      <c r="AA252" t="n">
        <v>38.824</v>
      </c>
    </row>
    <row r="253">
      <c r="A253" s="30" t="inlineStr">
        <is>
          <t>P3 Energía</t>
        </is>
      </c>
      <c r="B253" s="31">
        <f>IF($P$251&lt;&gt;"",ROUND(AA253*(($AB$251/(1-$P$251))-31.8550)/37.5019,2),IF('Resumen'!$D$3="OPTIMIZAR",ROUND(MAX(AA253,MIN(AA253*(($AB$251/(1-'Resumen'!$F$3))-31.8550)/37.5019,AA253*(84.7228)/37.5019)),3),AA253))</f>
        <v/>
      </c>
      <c r="C253" s="44" t="n"/>
      <c r="D253" s="33" t="n">
        <v>0.110306</v>
      </c>
      <c r="E253" s="34" t="n">
        <v>0.14937</v>
      </c>
      <c r="F253" s="35">
        <f>ROUND(B253*E253,2)</f>
        <v/>
      </c>
      <c r="H253" s="36" t="n">
        <v>121.108</v>
      </c>
      <c r="I253" s="37" t="n">
        <v>0.14937</v>
      </c>
      <c r="J253" s="38">
        <f>ROUND(H253*I253,2)</f>
        <v/>
      </c>
      <c r="L253" s="39" t="n">
        <v>94.74299999999999</v>
      </c>
      <c r="M253" s="40" t="n">
        <v>0.14937</v>
      </c>
      <c r="N253" s="41">
        <f>ROUND(L253*M253,2)</f>
        <v/>
      </c>
      <c r="O253" s="46" t="inlineStr">
        <is>
          <t>en proporción para ese margen</t>
        </is>
      </c>
      <c r="AA253" t="n">
        <v>140.403</v>
      </c>
    </row>
    <row r="254">
      <c r="A254" s="30" t="inlineStr">
        <is>
          <t>Alquiler contador</t>
        </is>
      </c>
      <c r="B254" s="31" t="n">
        <v>1</v>
      </c>
      <c r="C254" s="32">
        <f>$N$246-$L$246+1</f>
        <v/>
      </c>
      <c r="D254" s="33" t="n">
        <v>0.7989000000000001</v>
      </c>
      <c r="E254" s="34" t="n">
        <v>4</v>
      </c>
      <c r="F254" s="35">
        <f>ROUND(B254*E254,2)</f>
        <v/>
      </c>
      <c r="H254" s="36" t="n">
        <v>1</v>
      </c>
      <c r="I254" s="37" t="n">
        <v>4</v>
      </c>
      <c r="J254" s="38">
        <f>ROUND(H254*I254,2)</f>
        <v/>
      </c>
      <c r="L254" s="39" t="n">
        <v>1</v>
      </c>
      <c r="M254" s="40" t="n">
        <v>4</v>
      </c>
      <c r="N254" s="41">
        <f>ROUND(L254*M254,2)</f>
        <v/>
      </c>
    </row>
    <row r="255">
      <c r="A255" s="30" t="inlineStr">
        <is>
          <t>Bono social</t>
        </is>
      </c>
      <c r="B255" s="31" t="n">
        <v>30</v>
      </c>
      <c r="C255" s="32">
        <f>$N$246-$L$246+1</f>
        <v/>
      </c>
      <c r="D255" s="33" t="n">
        <v>0.5736</v>
      </c>
      <c r="E255" s="34" t="n">
        <v>0.01274</v>
      </c>
      <c r="F255" s="35">
        <f>ROUND(B255*E255,2)</f>
        <v/>
      </c>
      <c r="H255" s="36" t="n">
        <v>30</v>
      </c>
      <c r="I255" s="37" t="n">
        <v>0.01274</v>
      </c>
      <c r="J255" s="38">
        <f>ROUND(H255*I255,2)</f>
        <v/>
      </c>
      <c r="L255" s="39" t="n">
        <v>30</v>
      </c>
      <c r="M255" s="40" t="n">
        <v>0.00629</v>
      </c>
      <c r="N255" s="41">
        <f>ROUND(L255*M255,2)</f>
        <v/>
      </c>
    </row>
    <row r="256">
      <c r="A256" s="30" t="inlineStr">
        <is>
          <t>Tasa eléctrica</t>
        </is>
      </c>
      <c r="B256" s="31" t="n">
        <v>3.13</v>
      </c>
      <c r="C256" s="44" t="n"/>
      <c r="D256" s="33" t="n">
        <v>0.24729</v>
      </c>
      <c r="E256" s="34" t="n">
        <v>1</v>
      </c>
      <c r="F256" s="35">
        <f>ROUND(B256*E256,2)</f>
        <v/>
      </c>
      <c r="H256" s="36" t="n">
        <v>3.08</v>
      </c>
      <c r="I256" s="37" t="n">
        <v>1</v>
      </c>
      <c r="J256" s="38">
        <f>ROUND(H256*I256,2)</f>
        <v/>
      </c>
      <c r="L256" s="39" t="n">
        <v>2.43</v>
      </c>
      <c r="M256" s="40" t="n">
        <v>1</v>
      </c>
      <c r="N256" s="41">
        <f>ROUND(L256*M256,2)</f>
        <v/>
      </c>
    </row>
    <row r="257">
      <c r="A257" s="47" t="inlineStr">
        <is>
          <t>TOTAL c/IVA</t>
        </is>
      </c>
      <c r="F257" s="48">
        <f>ROUND((SUM(F249:F256)-F256)*1.1+F256,2)</f>
        <v/>
      </c>
      <c r="J257" s="49">
        <f>ROUND(SUM(J249:J256),2)</f>
        <v/>
      </c>
      <c r="N257" s="50">
        <f>ROUND(SUM(N249:N256),2)</f>
        <v/>
      </c>
    </row>
    <row r="258">
      <c r="A258" s="19" t="inlineStr">
        <is>
          <t>MARGEN sin registrar</t>
        </is>
      </c>
      <c r="B258" s="51">
        <f>IF((F252+F249+F251+F253+F250)=0,"",((F252+F249+F251+F253+F250)-$AB$251)/(F252+F249+F251+F253+F250))</f>
        <v/>
      </c>
      <c r="D258" s="52">
        <f>IF(B258="","SIN PC",IF(B258&gt;=0.3,"APROBAR",IF(B258&gt;=0.2,"REVISAR","RECHAZAR")))</f>
        <v/>
      </c>
      <c r="E258" s="53" t="n"/>
      <c r="F258" s="54" t="n"/>
      <c r="AD258">
        <f>SUM(F251:F253)-37.5019</f>
        <v/>
      </c>
    </row>
    <row r="259">
      <c r="A259" s="55" t="inlineStr">
        <is>
          <t>☀ EXCEDENTES SOLARES (kWh vertidos reales)</t>
        </is>
      </c>
      <c r="B259" s="56" t="n"/>
      <c r="C259" s="56" t="n"/>
      <c r="D259" s="56" t="n"/>
      <c r="E259" s="56" t="n"/>
      <c r="F259" s="56" t="n"/>
    </row>
    <row r="260">
      <c r="A260" s="57" t="inlineStr">
        <is>
          <t>Concepto</t>
        </is>
      </c>
      <c r="B260" s="57" t="inlineStr">
        <is>
          <t>kWh</t>
        </is>
      </c>
      <c r="D260" s="57" t="inlineStr">
        <is>
          <t>€/kWh compra</t>
        </is>
      </c>
      <c r="E260" s="57" t="inlineStr">
        <is>
          <t>€/kWh venta</t>
        </is>
      </c>
      <c r="F260" s="57" t="inlineStr">
        <is>
          <t>Importe</t>
        </is>
      </c>
    </row>
    <row r="261">
      <c r="A261" s="58" t="inlineStr">
        <is>
          <t>Compra excedentes (vertido red)</t>
        </is>
      </c>
      <c r="B261" s="59" t="n">
        <v>161</v>
      </c>
      <c r="C261" s="60" t="n"/>
      <c r="D261" s="33" t="n">
        <v>0.06</v>
      </c>
      <c r="E261" s="60" t="n"/>
      <c r="F261" s="61">
        <f>ROUND(B261*D261,2)</f>
        <v/>
      </c>
    </row>
    <row r="262">
      <c r="A262" s="58" t="inlineStr">
        <is>
          <t>Venta cliente (saldo batería, 1043)</t>
        </is>
      </c>
      <c r="B262" s="60" t="n"/>
      <c r="C262" s="60" t="n"/>
      <c r="D262" s="60" t="n"/>
      <c r="E262" s="62" t="n">
        <v>0.06</v>
      </c>
      <c r="F262" s="61" t="n">
        <v>8.31</v>
      </c>
    </row>
    <row r="263">
      <c r="A263" s="63" t="inlineStr">
        <is>
          <t>NETO Transactiva (compra − venta)</t>
        </is>
      </c>
      <c r="B263" s="60" t="n"/>
      <c r="C263" s="60" t="n"/>
      <c r="D263" s="60" t="n"/>
      <c r="E263" s="60" t="n"/>
      <c r="F263" s="64">
        <f>F261-F262</f>
        <v/>
      </c>
    </row>
    <row r="265">
      <c r="A265" s="15" t="inlineStr">
        <is>
          <t>Factura 8572 · C01280 · Mª ISABEL HEVIA TENA</t>
        </is>
      </c>
      <c r="H265" s="15" t="inlineStr">
        <is>
          <t>ES0021000000820395KM · Naturgy</t>
        </is>
      </c>
      <c r="L265" s="16" t="n">
        <v>46113</v>
      </c>
      <c r="M265" s="17" t="inlineStr">
        <is>
          <t>a</t>
        </is>
      </c>
      <c r="N265" s="16" t="n">
        <v>46142</v>
      </c>
      <c r="R265" s="18" t="inlineStr">
        <is>
          <t>HISTÓRICO DEL CUPS · HOJA TTVA LUZ</t>
        </is>
      </c>
    </row>
    <row r="266">
      <c r="A266" s="19" t="inlineStr">
        <is>
          <t>Concepto</t>
        </is>
      </c>
      <c r="B266" s="20" t="inlineStr">
        <is>
          <t>PENDIENTE (sin registrar)</t>
        </is>
      </c>
      <c r="C266" s="21" t="n"/>
      <c r="D266" s="21" t="n"/>
      <c r="E266" s="21" t="n"/>
      <c r="F266" s="21" t="n"/>
      <c r="H266" s="22" t="inlineStr">
        <is>
          <t>MES ANTERIOR · Fact.6427</t>
        </is>
      </c>
      <c r="I266" s="23" t="n"/>
      <c r="J266" s="23" t="n"/>
      <c r="L266" s="24" t="inlineStr">
        <is>
          <t>AÑO ANTERIOR · Fact.4631</t>
        </is>
      </c>
      <c r="M266" s="25" t="n"/>
      <c r="N266" s="25" t="n"/>
      <c r="R266" s="26" t="inlineStr">
        <is>
          <t>Cobrado total: 2.373 €</t>
        </is>
      </c>
    </row>
    <row r="267">
      <c r="B267" s="7" t="inlineStr">
        <is>
          <t>Cant</t>
        </is>
      </c>
      <c r="C267" s="7" t="inlineStr">
        <is>
          <t>Días</t>
        </is>
      </c>
      <c r="D267" s="7" t="inlineStr">
        <is>
          <t>PC real</t>
        </is>
      </c>
      <c r="E267" s="7" t="inlineStr">
        <is>
          <t>PV</t>
        </is>
      </c>
      <c r="F267" s="7" t="inlineStr">
        <is>
          <t>Importe</t>
        </is>
      </c>
      <c r="H267" s="27" t="inlineStr">
        <is>
          <t>Cant</t>
        </is>
      </c>
      <c r="I267" s="27" t="inlineStr">
        <is>
          <t>PV</t>
        </is>
      </c>
      <c r="J267" s="27" t="inlineStr">
        <is>
          <t>Importe</t>
        </is>
      </c>
      <c r="L267" s="28" t="inlineStr">
        <is>
          <t>Cant</t>
        </is>
      </c>
      <c r="M267" s="28" t="inlineStr">
        <is>
          <t>PV</t>
        </is>
      </c>
      <c r="N267" s="28" t="inlineStr">
        <is>
          <t>Importe</t>
        </is>
      </c>
      <c r="R267" s="29" t="inlineStr">
        <is>
          <t>Pagado total: 1.643 €</t>
        </is>
      </c>
    </row>
    <row r="268">
      <c r="A268" s="30" t="inlineStr">
        <is>
          <t>P1 Potencia</t>
        </is>
      </c>
      <c r="B268" s="31" t="n">
        <v>9.199999999999999</v>
      </c>
      <c r="C268" s="32">
        <f>$N$265-$L$265+1</f>
        <v/>
      </c>
      <c r="D268" s="33" t="n">
        <v>3.4086</v>
      </c>
      <c r="E268" s="34" t="n">
        <v>4.17</v>
      </c>
      <c r="F268" s="35">
        <f>ROUND(B268*E268,2)</f>
        <v/>
      </c>
      <c r="H268" s="36" t="n">
        <v>9.199999999999999</v>
      </c>
      <c r="I268" s="37" t="n">
        <v>4.17</v>
      </c>
      <c r="J268" s="38">
        <f>ROUND(H268*I268,2)</f>
        <v/>
      </c>
      <c r="L268" s="39" t="n">
        <v>9.199999999999999</v>
      </c>
      <c r="M268" s="40" t="n">
        <v>4.17</v>
      </c>
      <c r="N268" s="41">
        <f>ROUND(L268*M268,2)</f>
        <v/>
      </c>
      <c r="R268" s="42" t="inlineStr">
        <is>
          <t>DIF: 730 €   ·   Margen hist.: 30.8%</t>
        </is>
      </c>
    </row>
    <row r="269">
      <c r="A269" s="30" t="inlineStr">
        <is>
          <t>P2 Potencia</t>
        </is>
      </c>
      <c r="B269" s="31" t="n">
        <v>9.199999999999999</v>
      </c>
      <c r="C269" s="32">
        <f>$N$265-$L$265+1</f>
        <v/>
      </c>
      <c r="D269" s="33" t="n">
        <v>1.09728</v>
      </c>
      <c r="E269" s="34" t="n">
        <v>1.37</v>
      </c>
      <c r="F269" s="35">
        <f>ROUND(B269*E269,2)</f>
        <v/>
      </c>
      <c r="H269" s="36" t="n">
        <v>9.199999999999999</v>
      </c>
      <c r="I269" s="37" t="n">
        <v>1.37</v>
      </c>
      <c r="J269" s="38">
        <f>ROUND(H269*I269,2)</f>
        <v/>
      </c>
      <c r="L269" s="39" t="n">
        <v>9.199999999999999</v>
      </c>
      <c r="M269" s="40" t="n">
        <v>1.37</v>
      </c>
      <c r="N269" s="41">
        <f>ROUND(L269*M269,2)</f>
        <v/>
      </c>
      <c r="R269" s="43" t="inlineStr">
        <is>
          <t>Mejor mes: 2023-08 · 212 € · margen 14%</t>
        </is>
      </c>
    </row>
    <row r="270">
      <c r="A270" s="30" t="inlineStr">
        <is>
          <t>P1 Energía</t>
        </is>
      </c>
      <c r="B270" s="31">
        <f>IF($P$270&lt;&gt;"",ROUND(AA270*(($AB$270/(1-$P$270))-50.9680)/35.0461,2),IF('Resumen'!$D$3="OPTIMIZAR",ROUND(MAX(AA270,MIN(AA270*(($AB$270/(1-'Resumen'!$F$3))-50.9680)/35.0461,AA270*(153.8798)/35.0461)),3),AA270))</f>
        <v/>
      </c>
      <c r="C270" s="44" t="n"/>
      <c r="D270" s="33" t="n">
        <v>0.110306</v>
      </c>
      <c r="E270" s="34" t="n">
        <v>0.14937</v>
      </c>
      <c r="F270" s="35">
        <f>ROUND(B270*E270,2)</f>
        <v/>
      </c>
      <c r="H270" s="36" t="n">
        <v>123.339</v>
      </c>
      <c r="I270" s="37" t="n">
        <v>0.14937</v>
      </c>
      <c r="J270" s="38">
        <f>ROUND(H270*I270,2)</f>
        <v/>
      </c>
      <c r="L270" s="39" t="n">
        <v>83.49299999999999</v>
      </c>
      <c r="M270" s="40" t="n">
        <v>0.14937</v>
      </c>
      <c r="N270" s="41">
        <f>ROUND(L270*M270,2)</f>
        <v/>
      </c>
      <c r="O270" s="45" t="inlineStr">
        <is>
          <t>Margen objetivo (edita % aquí) ▶</t>
        </is>
      </c>
      <c r="P270" s="5" t="n"/>
      <c r="R270" s="43" t="inlineStr">
        <is>
          <t>Peor mes: 2023-04 · 27 € · margen 0%</t>
        </is>
      </c>
      <c r="AA270" t="n">
        <v>78.991</v>
      </c>
      <c r="AB270">
        <f>B268*D268+B269*D269+AA270*D270+AA271*D271+AA272*D272</f>
        <v/>
      </c>
    </row>
    <row r="271">
      <c r="A271" s="30" t="inlineStr">
        <is>
          <t>P2 Energía</t>
        </is>
      </c>
      <c r="B271" s="31">
        <f>IF($P$270&lt;&gt;"",ROUND(AA271*(($AB$270/(1-$P$270))-50.9680)/35.0461,2),IF('Resumen'!$D$3="OPTIMIZAR",ROUND(MAX(AA271,MIN(AA271*(($AB$270/(1-'Resumen'!$F$3))-50.9680)/35.0461,AA271*(153.8798)/35.0461)),3),AA271))</f>
        <v/>
      </c>
      <c r="C271" s="44" t="n"/>
      <c r="D271" s="33" t="n">
        <v>0.110306</v>
      </c>
      <c r="E271" s="34" t="n">
        <v>0.14937</v>
      </c>
      <c r="F271" s="35">
        <f>ROUND(B271*E271,2)</f>
        <v/>
      </c>
      <c r="H271" s="36" t="n">
        <v>78.642</v>
      </c>
      <c r="I271" s="37" t="n">
        <v>0.14937</v>
      </c>
      <c r="J271" s="38">
        <f>ROUND(H271*I271,2)</f>
        <v/>
      </c>
      <c r="L271" s="39" t="n">
        <v>41.141</v>
      </c>
      <c r="M271" s="40" t="n">
        <v>0.14937</v>
      </c>
      <c r="N271" s="41">
        <f>ROUND(L271*M271,2)</f>
        <v/>
      </c>
      <c r="O271" s="46" t="inlineStr">
        <is>
          <t>Cant. P1/P2/P3 energía suben</t>
        </is>
      </c>
      <c r="R271" s="43" t="inlineStr">
        <is>
          <t>Importe mensual cobrado (€) · 24 meses ▾</t>
        </is>
      </c>
      <c r="AA271" t="n">
        <v>41.717</v>
      </c>
    </row>
    <row r="272">
      <c r="A272" s="30" t="inlineStr">
        <is>
          <t>P3 Energía</t>
        </is>
      </c>
      <c r="B272" s="31">
        <f>IF($P$270&lt;&gt;"",ROUND(AA272*(($AB$270/(1-$P$270))-50.9680)/35.0461,2),IF('Resumen'!$D$3="OPTIMIZAR",ROUND(MAX(AA272,MIN(AA272*(($AB$270/(1-'Resumen'!$F$3))-50.9680)/35.0461,AA272*(153.8798)/35.0461)),3),AA272))</f>
        <v/>
      </c>
      <c r="C272" s="44" t="n"/>
      <c r="D272" s="33" t="n">
        <v>0.110306</v>
      </c>
      <c r="E272" s="34" t="n">
        <v>0.14937</v>
      </c>
      <c r="F272" s="35">
        <f>ROUND(B272*E272,2)</f>
        <v/>
      </c>
      <c r="H272" s="36" t="n">
        <v>162.137</v>
      </c>
      <c r="I272" s="37" t="n">
        <v>0.14937</v>
      </c>
      <c r="J272" s="38">
        <f>ROUND(H272*I272,2)</f>
        <v/>
      </c>
      <c r="L272" s="39" t="n">
        <v>128.318</v>
      </c>
      <c r="M272" s="40" t="n">
        <v>0.14937</v>
      </c>
      <c r="N272" s="41">
        <f>ROUND(L272*M272,2)</f>
        <v/>
      </c>
      <c r="O272" s="46" t="inlineStr">
        <is>
          <t>en proporción para ese margen</t>
        </is>
      </c>
      <c r="AA272" t="n">
        <v>113.918</v>
      </c>
    </row>
    <row r="273">
      <c r="A273" s="30" t="inlineStr">
        <is>
          <t>Alquiler contador</t>
        </is>
      </c>
      <c r="B273" s="31" t="n">
        <v>1</v>
      </c>
      <c r="C273" s="32">
        <f>$N$265-$L$265+1</f>
        <v/>
      </c>
      <c r="D273" s="33" t="n">
        <v>0.7989000000000001</v>
      </c>
      <c r="E273" s="34" t="n">
        <v>4</v>
      </c>
      <c r="F273" s="35">
        <f>ROUND(B273*E273,2)</f>
        <v/>
      </c>
      <c r="H273" s="36" t="n">
        <v>1</v>
      </c>
      <c r="I273" s="37" t="n">
        <v>4</v>
      </c>
      <c r="J273" s="38">
        <f>ROUND(H273*I273,2)</f>
        <v/>
      </c>
      <c r="L273" s="39" t="n">
        <v>1</v>
      </c>
      <c r="M273" s="40" t="n">
        <v>4</v>
      </c>
      <c r="N273" s="41">
        <f>ROUND(L273*M273,2)</f>
        <v/>
      </c>
    </row>
    <row r="274">
      <c r="A274" s="30" t="inlineStr">
        <is>
          <t>Bono social</t>
        </is>
      </c>
      <c r="B274" s="31" t="n">
        <v>30</v>
      </c>
      <c r="C274" s="32">
        <f>$N$265-$L$265+1</f>
        <v/>
      </c>
      <c r="D274" s="33" t="n">
        <v>0.5736</v>
      </c>
      <c r="E274" s="34" t="n">
        <v>0.01274</v>
      </c>
      <c r="F274" s="35">
        <f>ROUND(B274*E274,2)</f>
        <v/>
      </c>
      <c r="H274" s="36" t="n">
        <v>30</v>
      </c>
      <c r="I274" s="37" t="n">
        <v>0.01274</v>
      </c>
      <c r="J274" s="38">
        <f>ROUND(H274*I274,2)</f>
        <v/>
      </c>
      <c r="L274" s="39" t="n">
        <v>30</v>
      </c>
      <c r="M274" s="40" t="n">
        <v>0.00629</v>
      </c>
      <c r="N274" s="41">
        <f>ROUND(L274*M274,2)</f>
        <v/>
      </c>
    </row>
    <row r="275">
      <c r="A275" s="30" t="inlineStr">
        <is>
          <t>Tasa eléctrica</t>
        </is>
      </c>
      <c r="B275" s="31" t="n">
        <v>2.61</v>
      </c>
      <c r="C275" s="44" t="n"/>
      <c r="D275" s="33" t="n">
        <v>0.24729</v>
      </c>
      <c r="E275" s="34" t="n">
        <v>1</v>
      </c>
      <c r="F275" s="35">
        <f>ROUND(B275*E275,2)</f>
        <v/>
      </c>
      <c r="H275" s="36" t="n">
        <v>4.22</v>
      </c>
      <c r="I275" s="37" t="n">
        <v>1</v>
      </c>
      <c r="J275" s="38">
        <f>ROUND(H275*I275,2)</f>
        <v/>
      </c>
      <c r="L275" s="39" t="n">
        <v>2.83</v>
      </c>
      <c r="M275" s="40" t="n">
        <v>1</v>
      </c>
      <c r="N275" s="41">
        <f>ROUND(L275*M275,2)</f>
        <v/>
      </c>
    </row>
    <row r="276">
      <c r="A276" s="47" t="inlineStr">
        <is>
          <t>TOTAL c/IVA</t>
        </is>
      </c>
      <c r="F276" s="48">
        <f>ROUND((SUM(F268:F275)-F275)*1.1+F275,2)</f>
        <v/>
      </c>
      <c r="J276" s="49">
        <f>ROUND(SUM(J268:J275),2)</f>
        <v/>
      </c>
      <c r="N276" s="50">
        <f>ROUND(SUM(N268:N275),2)</f>
        <v/>
      </c>
    </row>
    <row r="277">
      <c r="A277" s="19" t="inlineStr">
        <is>
          <t>MARGEN sin registrar</t>
        </is>
      </c>
      <c r="B277" s="51">
        <f>IF((F271+F268+F270+F272+F269)=0,"",((F271+F268+F270+F272+F269)-$AB$270)/(F271+F268+F270+F272+F269))</f>
        <v/>
      </c>
      <c r="D277" s="52">
        <f>IF(B277="","SIN PC",IF(B277&gt;=0.3,"APROBAR",IF(B277&gt;=0.2,"REVISAR","RECHAZAR")))</f>
        <v/>
      </c>
      <c r="E277" s="53" t="n"/>
      <c r="F277" s="54" t="n"/>
      <c r="AD277">
        <f>SUM(F270:F272)-35.0461</f>
        <v/>
      </c>
    </row>
    <row r="278">
      <c r="A278" s="55" t="inlineStr">
        <is>
          <t>☀ EXCEDENTES SOLARES (kWh vertidos reales)</t>
        </is>
      </c>
      <c r="B278" s="56" t="n"/>
      <c r="C278" s="56" t="n"/>
      <c r="D278" s="56" t="n"/>
      <c r="E278" s="56" t="n"/>
      <c r="F278" s="56" t="n"/>
    </row>
    <row r="279">
      <c r="A279" s="57" t="inlineStr">
        <is>
          <t>Concepto</t>
        </is>
      </c>
      <c r="B279" s="57" t="inlineStr">
        <is>
          <t>kWh</t>
        </is>
      </c>
      <c r="D279" s="57" t="inlineStr">
        <is>
          <t>€/kWh compra</t>
        </is>
      </c>
      <c r="E279" s="57" t="inlineStr">
        <is>
          <t>€/kWh venta</t>
        </is>
      </c>
      <c r="F279" s="57" t="inlineStr">
        <is>
          <t>Importe</t>
        </is>
      </c>
    </row>
    <row r="280">
      <c r="A280" s="58" t="inlineStr">
        <is>
          <t>Compra excedentes (vertido red)</t>
        </is>
      </c>
      <c r="B280" s="59" t="n">
        <v>822</v>
      </c>
      <c r="C280" s="60" t="n"/>
      <c r="D280" s="33" t="n">
        <v>0.06</v>
      </c>
      <c r="E280" s="60" t="n"/>
      <c r="F280" s="61">
        <f>ROUND(B280*D280,2)</f>
        <v/>
      </c>
    </row>
    <row r="281">
      <c r="A281" s="58" t="inlineStr">
        <is>
          <t>Venta cliente (saldo batería, 1043)</t>
        </is>
      </c>
      <c r="B281" s="60" t="n"/>
      <c r="C281" s="60" t="n"/>
      <c r="D281" s="60" t="n"/>
      <c r="E281" s="62" t="n">
        <v>0.06</v>
      </c>
      <c r="F281" s="61" t="n">
        <v>35.05</v>
      </c>
    </row>
    <row r="282">
      <c r="A282" s="63" t="inlineStr">
        <is>
          <t>NETO Transactiva (compra − venta)</t>
        </is>
      </c>
      <c r="B282" s="60" t="n"/>
      <c r="C282" s="60" t="n"/>
      <c r="D282" s="60" t="n"/>
      <c r="E282" s="60" t="n"/>
      <c r="F282" s="64">
        <f>F280-F281</f>
        <v/>
      </c>
    </row>
    <row r="284">
      <c r="A284" s="15" t="inlineStr">
        <is>
          <t>Factura 8573 · C01990 · GERRIT JONGEJAN</t>
        </is>
      </c>
      <c r="H284" s="15" t="inlineStr">
        <is>
          <t>ES0021000000821181DD · Naturgy</t>
        </is>
      </c>
      <c r="L284" s="16" t="n">
        <v>46113</v>
      </c>
      <c r="M284" s="17" t="inlineStr">
        <is>
          <t>a</t>
        </is>
      </c>
      <c r="N284" s="16" t="n">
        <v>46142</v>
      </c>
      <c r="R284" s="18" t="inlineStr">
        <is>
          <t>HISTÓRICO DEL CUPS · HOJA TTVA LUZ</t>
        </is>
      </c>
    </row>
    <row r="285">
      <c r="A285" s="19" t="inlineStr">
        <is>
          <t>Concepto</t>
        </is>
      </c>
      <c r="B285" s="20" t="inlineStr">
        <is>
          <t>PENDIENTE (sin registrar)</t>
        </is>
      </c>
      <c r="C285" s="21" t="n"/>
      <c r="D285" s="21" t="n"/>
      <c r="E285" s="21" t="n"/>
      <c r="F285" s="21" t="n"/>
      <c r="H285" s="22" t="inlineStr">
        <is>
          <t>MES ANTERIOR · Fact.6393</t>
        </is>
      </c>
      <c r="I285" s="23" t="n"/>
      <c r="J285" s="23" t="n"/>
      <c r="L285" s="24" t="inlineStr">
        <is>
          <t>AÑO ANTERIOR · Fact.4595</t>
        </is>
      </c>
      <c r="M285" s="25" t="n"/>
      <c r="N285" s="25" t="n"/>
      <c r="R285" s="26" t="inlineStr">
        <is>
          <t>Cobrado total: 609 €</t>
        </is>
      </c>
    </row>
    <row r="286">
      <c r="B286" s="7" t="inlineStr">
        <is>
          <t>Cant</t>
        </is>
      </c>
      <c r="C286" s="7" t="inlineStr">
        <is>
          <t>Días</t>
        </is>
      </c>
      <c r="D286" s="7" t="inlineStr">
        <is>
          <t>PC real</t>
        </is>
      </c>
      <c r="E286" s="7" t="inlineStr">
        <is>
          <t>PV</t>
        </is>
      </c>
      <c r="F286" s="7" t="inlineStr">
        <is>
          <t>Importe</t>
        </is>
      </c>
      <c r="H286" s="27" t="inlineStr">
        <is>
          <t>Cant</t>
        </is>
      </c>
      <c r="I286" s="27" t="inlineStr">
        <is>
          <t>PV</t>
        </is>
      </c>
      <c r="J286" s="27" t="inlineStr">
        <is>
          <t>Importe</t>
        </is>
      </c>
      <c r="L286" s="28" t="inlineStr">
        <is>
          <t>Cant</t>
        </is>
      </c>
      <c r="M286" s="28" t="inlineStr">
        <is>
          <t>PV</t>
        </is>
      </c>
      <c r="N286" s="28" t="inlineStr">
        <is>
          <t>Importe</t>
        </is>
      </c>
      <c r="R286" s="29" t="inlineStr">
        <is>
          <t>Pagado total: 577 €</t>
        </is>
      </c>
    </row>
    <row r="287">
      <c r="A287" s="30" t="inlineStr">
        <is>
          <t>P1 Potencia</t>
        </is>
      </c>
      <c r="B287" s="31" t="n">
        <v>5.75</v>
      </c>
      <c r="C287" s="32">
        <f>$N$284-$L$284+1</f>
        <v/>
      </c>
      <c r="D287" s="33" t="n">
        <v>3.68919</v>
      </c>
      <c r="E287" s="34" t="n">
        <v>4.82</v>
      </c>
      <c r="F287" s="35">
        <f>ROUND(B287*E287,2)</f>
        <v/>
      </c>
      <c r="H287" s="36" t="n">
        <v>5.75</v>
      </c>
      <c r="I287" s="37" t="n">
        <v>4.82</v>
      </c>
      <c r="J287" s="38">
        <f>ROUND(H287*I287,2)</f>
        <v/>
      </c>
      <c r="L287" s="39" t="n">
        <v>5.75</v>
      </c>
      <c r="M287" s="40" t="n">
        <v>4.82</v>
      </c>
      <c r="N287" s="41">
        <f>ROUND(L287*M287,2)</f>
        <v/>
      </c>
      <c r="R287" s="42" t="inlineStr">
        <is>
          <t>DIF: 33 €   ·   Margen hist.: 5.4%</t>
        </is>
      </c>
    </row>
    <row r="288">
      <c r="A288" s="30" t="inlineStr">
        <is>
          <t>P2 Potencia</t>
        </is>
      </c>
      <c r="B288" s="31" t="n">
        <v>5.75</v>
      </c>
      <c r="C288" s="32">
        <f>$N$284-$L$284+1</f>
        <v/>
      </c>
      <c r="D288" s="33" t="n">
        <v>1.31928</v>
      </c>
      <c r="E288" s="34" t="n">
        <v>2.3744</v>
      </c>
      <c r="F288" s="35">
        <f>ROUND(B288*E288,2)</f>
        <v/>
      </c>
      <c r="H288" s="36" t="n">
        <v>5.75</v>
      </c>
      <c r="I288" s="37" t="n">
        <v>2.3744</v>
      </c>
      <c r="J288" s="38">
        <f>ROUND(H288*I288,2)</f>
        <v/>
      </c>
      <c r="L288" s="39" t="n">
        <v>5.75</v>
      </c>
      <c r="M288" s="40" t="n">
        <v>2.3744</v>
      </c>
      <c r="N288" s="41">
        <f>ROUND(L288*M288,2)</f>
        <v/>
      </c>
      <c r="R288" s="43" t="inlineStr">
        <is>
          <t>Mejor mes: 2024-08 · 162 € · margen 90%</t>
        </is>
      </c>
    </row>
    <row r="289">
      <c r="A289" s="30" t="inlineStr">
        <is>
          <t>P1 Energía</t>
        </is>
      </c>
      <c r="B289" s="31">
        <f>IF($P$289&lt;&gt;"",ROUND(AA289*(($AB$289/(1-$P$289))-41.3678)/22.5019,2),IF('Resumen'!$D$3="OPTIMIZAR",ROUND(MAX(AA289,MIN(AA289*(($AB$289/(1-'Resumen'!$F$3))-41.3678)/22.5019,AA289*(112.1700)/22.5019)),3),AA289))</f>
        <v/>
      </c>
      <c r="C289" s="44" t="n"/>
      <c r="D289" s="33" t="n">
        <v>0.111171</v>
      </c>
      <c r="E289" s="34" t="n">
        <v>0.139</v>
      </c>
      <c r="F289" s="35">
        <f>ROUND(B289*E289,2)</f>
        <v/>
      </c>
      <c r="H289" s="36" t="n">
        <v>44.943</v>
      </c>
      <c r="I289" s="37" t="n">
        <v>0.139</v>
      </c>
      <c r="J289" s="38">
        <f>ROUND(H289*I289,2)</f>
        <v/>
      </c>
      <c r="L289" s="39" t="n">
        <v>55.127</v>
      </c>
      <c r="M289" s="40" t="n">
        <v>0.1724</v>
      </c>
      <c r="N289" s="41">
        <f>ROUND(L289*M289,2)</f>
        <v/>
      </c>
      <c r="O289" s="45" t="inlineStr">
        <is>
          <t>Margen objetivo (edita % aquí) ▶</t>
        </is>
      </c>
      <c r="P289" s="5" t="n"/>
      <c r="R289" s="43" t="inlineStr">
        <is>
          <t>Peor mes: 2024-02 · 12 €</t>
        </is>
      </c>
      <c r="AA289" t="n">
        <v>51.324</v>
      </c>
      <c r="AB289">
        <f>B287*D287+B288*D288+AA289*D289+AA290*D290+AA291*D291</f>
        <v/>
      </c>
    </row>
    <row r="290">
      <c r="A290" s="30" t="inlineStr">
        <is>
          <t>P2 Energía</t>
        </is>
      </c>
      <c r="B290" s="31">
        <f>IF($P$289&lt;&gt;"",ROUND(AA290*(($AB$289/(1-$P$289))-41.3678)/22.5019,2),IF('Resumen'!$D$3="OPTIMIZAR",ROUND(MAX(AA290,MIN(AA290*(($AB$289/(1-'Resumen'!$F$3))-41.3678)/22.5019,AA290*(112.1700)/22.5019)),3),AA290))</f>
        <v/>
      </c>
      <c r="C290" s="44" t="n"/>
      <c r="D290" s="33" t="n">
        <v>0.111171</v>
      </c>
      <c r="E290" s="34" t="n">
        <v>0.139</v>
      </c>
      <c r="F290" s="35">
        <f>ROUND(B290*E290,2)</f>
        <v/>
      </c>
      <c r="H290" s="36" t="n">
        <v>24.243</v>
      </c>
      <c r="I290" s="37" t="n">
        <v>0.139</v>
      </c>
      <c r="J290" s="38">
        <f>ROUND(H290*I290,2)</f>
        <v/>
      </c>
      <c r="L290" s="39" t="n">
        <v>55.993</v>
      </c>
      <c r="M290" s="40" t="n">
        <v>0.1724</v>
      </c>
      <c r="N290" s="41">
        <f>ROUND(L290*M290,2)</f>
        <v/>
      </c>
      <c r="O290" s="46" t="inlineStr">
        <is>
          <t>Cant. P1/P2/P3 energía suben</t>
        </is>
      </c>
      <c r="R290" s="43" t="inlineStr">
        <is>
          <t>Importe mensual cobrado (€) · 24 meses ▾</t>
        </is>
      </c>
      <c r="AA290" t="n">
        <v>21.674</v>
      </c>
    </row>
    <row r="291">
      <c r="A291" s="30" t="inlineStr">
        <is>
          <t>P3 Energía</t>
        </is>
      </c>
      <c r="B291" s="31">
        <f>IF($P$289&lt;&gt;"",ROUND(AA291*(($AB$289/(1-$P$289))-41.3678)/22.5019,2),IF('Resumen'!$D$3="OPTIMIZAR",ROUND(MAX(AA291,MIN(AA291*(($AB$289/(1-'Resumen'!$F$3))-41.3678)/22.5019,AA291*(112.1700)/22.5019)),3),AA291))</f>
        <v/>
      </c>
      <c r="C291" s="44" t="n"/>
      <c r="D291" s="33" t="n">
        <v>0.111171</v>
      </c>
      <c r="E291" s="34" t="n">
        <v>0.139</v>
      </c>
      <c r="F291" s="35">
        <f>ROUND(B291*E291,2)</f>
        <v/>
      </c>
      <c r="H291" s="36" t="n">
        <v>88.20999999999999</v>
      </c>
      <c r="I291" s="37" t="n">
        <v>0.139</v>
      </c>
      <c r="J291" s="38">
        <f>ROUND(H291*I291,2)</f>
        <v/>
      </c>
      <c r="L291" s="39" t="n">
        <v>120.095</v>
      </c>
      <c r="M291" s="40" t="n">
        <v>0.1724</v>
      </c>
      <c r="N291" s="41">
        <f>ROUND(L291*M291,2)</f>
        <v/>
      </c>
      <c r="O291" s="46" t="inlineStr">
        <is>
          <t>en proporción para ese margen</t>
        </is>
      </c>
      <c r="AA291" t="n">
        <v>88.886</v>
      </c>
    </row>
    <row r="292">
      <c r="A292" s="30" t="inlineStr">
        <is>
          <t>Alquiler contador</t>
        </is>
      </c>
      <c r="B292" s="31" t="n">
        <v>1</v>
      </c>
      <c r="C292" s="32">
        <f>$N$284-$L$284+1</f>
        <v/>
      </c>
      <c r="D292" s="33" t="n">
        <v>0.7989000000000001</v>
      </c>
      <c r="E292" s="34" t="n">
        <v>6</v>
      </c>
      <c r="F292" s="35">
        <f>ROUND(B292*E292,2)</f>
        <v/>
      </c>
      <c r="H292" s="36" t="n">
        <v>1</v>
      </c>
      <c r="I292" s="37" t="n">
        <v>6</v>
      </c>
      <c r="J292" s="38">
        <f>ROUND(H292*I292,2)</f>
        <v/>
      </c>
      <c r="L292" s="39" t="n">
        <v>1</v>
      </c>
      <c r="M292" s="40" t="n">
        <v>6</v>
      </c>
      <c r="N292" s="41">
        <f>ROUND(L292*M292,2)</f>
        <v/>
      </c>
    </row>
    <row r="293">
      <c r="A293" s="30" t="inlineStr">
        <is>
          <t>Bono social</t>
        </is>
      </c>
      <c r="B293" s="31" t="n">
        <v>30</v>
      </c>
      <c r="C293" s="32">
        <f>$N$284-$L$284+1</f>
        <v/>
      </c>
      <c r="D293" s="33" t="n">
        <v>0.5736</v>
      </c>
      <c r="E293" s="34" t="n">
        <v>0.01274</v>
      </c>
      <c r="F293" s="35">
        <f>ROUND(B293*E293,2)</f>
        <v/>
      </c>
      <c r="H293" s="36" t="n">
        <v>30</v>
      </c>
      <c r="I293" s="37" t="n">
        <v>0.01274</v>
      </c>
      <c r="J293" s="38">
        <f>ROUND(H293*I293,2)</f>
        <v/>
      </c>
      <c r="L293" s="39" t="n">
        <v>30</v>
      </c>
      <c r="M293" s="40" t="n">
        <v>0.00629</v>
      </c>
      <c r="N293" s="41">
        <f>ROUND(L293*M293,2)</f>
        <v/>
      </c>
    </row>
    <row r="294">
      <c r="A294" s="30" t="inlineStr">
        <is>
          <t>Tasa eléctrica</t>
        </is>
      </c>
      <c r="B294" s="31" t="n">
        <v>2.4</v>
      </c>
      <c r="C294" s="44" t="n"/>
      <c r="D294" s="33" t="n">
        <v>0.27312</v>
      </c>
      <c r="E294" s="34" t="n">
        <v>1</v>
      </c>
      <c r="F294" s="35">
        <f>ROUND(B294*E294,2)</f>
        <v/>
      </c>
      <c r="H294" s="36" t="n">
        <v>2.53</v>
      </c>
      <c r="I294" s="37" t="n">
        <v>1</v>
      </c>
      <c r="J294" s="38">
        <f>ROUND(H294*I294,2)</f>
        <v/>
      </c>
      <c r="L294" s="39" t="n">
        <v>3.33</v>
      </c>
      <c r="M294" s="40" t="n">
        <v>1</v>
      </c>
      <c r="N294" s="41">
        <f>ROUND(L294*M294,2)</f>
        <v/>
      </c>
    </row>
    <row r="295">
      <c r="A295" s="47" t="inlineStr">
        <is>
          <t>TOTAL c/IVA</t>
        </is>
      </c>
      <c r="F295" s="48">
        <f>ROUND((SUM(F287:F294)-F294)*1.1+F294,2)</f>
        <v/>
      </c>
      <c r="J295" s="49">
        <f>ROUND(SUM(J287:J294),2)</f>
        <v/>
      </c>
      <c r="N295" s="50">
        <f>ROUND(SUM(N287:N294),2)</f>
        <v/>
      </c>
    </row>
    <row r="296">
      <c r="A296" s="19" t="inlineStr">
        <is>
          <t>MARGEN sin registrar</t>
        </is>
      </c>
      <c r="B296" s="51">
        <f>IF((F290+F287+F289+F291+F288)=0,"",((F290+F287+F289+F291+F288)-$AB$289)/(F290+F287+F289+F291+F288))</f>
        <v/>
      </c>
      <c r="D296" s="52">
        <f>IF(B296="","SIN PC",IF(B296&gt;=0.3,"APROBAR",IF(B296&gt;=0.2,"REVISAR","RECHAZAR")))</f>
        <v/>
      </c>
      <c r="E296" s="53" t="n"/>
      <c r="F296" s="54" t="n"/>
      <c r="AD296">
        <f>SUM(F289:F291)-22.5019</f>
        <v/>
      </c>
    </row>
    <row r="297">
      <c r="A297" s="55" t="inlineStr">
        <is>
          <t>☀ EXCEDENTES SOLARES (kWh vertidos reales)</t>
        </is>
      </c>
      <c r="B297" s="56" t="n"/>
      <c r="C297" s="56" t="n"/>
      <c r="D297" s="56" t="n"/>
      <c r="E297" s="56" t="n"/>
      <c r="F297" s="56" t="n"/>
    </row>
    <row r="298">
      <c r="A298" s="57" t="inlineStr">
        <is>
          <t>Concepto</t>
        </is>
      </c>
      <c r="B298" s="57" t="inlineStr">
        <is>
          <t>kWh</t>
        </is>
      </c>
      <c r="D298" s="57" t="inlineStr">
        <is>
          <t>€/kWh compra</t>
        </is>
      </c>
      <c r="E298" s="57" t="inlineStr">
        <is>
          <t>€/kWh venta</t>
        </is>
      </c>
      <c r="F298" s="57" t="inlineStr">
        <is>
          <t>Importe</t>
        </is>
      </c>
    </row>
    <row r="299">
      <c r="A299" s="58" t="inlineStr">
        <is>
          <t>Compra excedentes (vertido red)</t>
        </is>
      </c>
      <c r="B299" s="59" t="n">
        <v>524</v>
      </c>
      <c r="C299" s="60" t="n"/>
      <c r="D299" s="33" t="n">
        <v>0.06</v>
      </c>
      <c r="E299" s="60" t="n"/>
      <c r="F299" s="61">
        <f>ROUND(B299*D299,2)</f>
        <v/>
      </c>
    </row>
    <row r="300">
      <c r="A300" s="58" t="inlineStr">
        <is>
          <t>Venta cliente (saldo batería, 1043)</t>
        </is>
      </c>
      <c r="B300" s="60" t="n"/>
      <c r="C300" s="60" t="n"/>
      <c r="D300" s="60" t="n"/>
      <c r="E300" s="62" t="n">
        <v>0.06</v>
      </c>
      <c r="F300" s="61" t="n">
        <v>17.17</v>
      </c>
    </row>
    <row r="301">
      <c r="A301" s="63" t="inlineStr">
        <is>
          <t>NETO Transactiva (compra − venta)</t>
        </is>
      </c>
      <c r="B301" s="60" t="n"/>
      <c r="C301" s="60" t="n"/>
      <c r="D301" s="60" t="n"/>
      <c r="E301" s="60" t="n"/>
      <c r="F301" s="64">
        <f>F299-F300</f>
        <v/>
      </c>
    </row>
    <row r="303">
      <c r="A303" s="15" t="inlineStr">
        <is>
          <t>Factura 8574 · C03260 · MICHAL CUKAN</t>
        </is>
      </c>
      <c r="H303" s="15" t="inlineStr">
        <is>
          <t>ES0021000042994597FG · Naturgy</t>
        </is>
      </c>
      <c r="L303" s="16" t="n">
        <v>46113</v>
      </c>
      <c r="M303" s="17" t="inlineStr">
        <is>
          <t>a</t>
        </is>
      </c>
      <c r="N303" s="16" t="n">
        <v>46142</v>
      </c>
      <c r="R303" s="18" t="inlineStr">
        <is>
          <t>HISTÓRICO DEL CUPS · HOJA TTVA LUZ</t>
        </is>
      </c>
    </row>
    <row r="304">
      <c r="A304" s="19" t="inlineStr">
        <is>
          <t>Concepto</t>
        </is>
      </c>
      <c r="B304" s="20" t="inlineStr">
        <is>
          <t>PENDIENTE (sin registrar)</t>
        </is>
      </c>
      <c r="C304" s="21" t="n"/>
      <c r="D304" s="21" t="n"/>
      <c r="E304" s="21" t="n"/>
      <c r="F304" s="21" t="n"/>
      <c r="H304" s="22" t="inlineStr">
        <is>
          <t>MES ANTERIOR · Fact.6332</t>
        </is>
      </c>
      <c r="I304" s="23" t="n"/>
      <c r="J304" s="23" t="n"/>
      <c r="L304" s="24" t="inlineStr">
        <is>
          <t>AÑO ANTERIOR · (sin dato)</t>
        </is>
      </c>
      <c r="M304" s="25" t="n"/>
      <c r="N304" s="25" t="n"/>
      <c r="R304" s="26" t="inlineStr">
        <is>
          <t>Cobrado total: 1 €</t>
        </is>
      </c>
    </row>
    <row r="305">
      <c r="B305" s="7" t="inlineStr">
        <is>
          <t>Cant</t>
        </is>
      </c>
      <c r="C305" s="7" t="inlineStr">
        <is>
          <t>Días</t>
        </is>
      </c>
      <c r="D305" s="7" t="inlineStr">
        <is>
          <t>PC real</t>
        </is>
      </c>
      <c r="E305" s="7" t="inlineStr">
        <is>
          <t>PV</t>
        </is>
      </c>
      <c r="F305" s="7" t="inlineStr">
        <is>
          <t>Importe</t>
        </is>
      </c>
      <c r="H305" s="27" t="inlineStr">
        <is>
          <t>Cant</t>
        </is>
      </c>
      <c r="I305" s="27" t="inlineStr">
        <is>
          <t>PV</t>
        </is>
      </c>
      <c r="J305" s="27" t="inlineStr">
        <is>
          <t>Importe</t>
        </is>
      </c>
      <c r="L305" s="28" t="inlineStr">
        <is>
          <t>Cant</t>
        </is>
      </c>
      <c r="M305" s="28" t="inlineStr">
        <is>
          <t>PV</t>
        </is>
      </c>
      <c r="N305" s="28" t="inlineStr">
        <is>
          <t>Importe</t>
        </is>
      </c>
      <c r="R305" s="29" t="inlineStr">
        <is>
          <t>Pagado total: 0 €</t>
        </is>
      </c>
    </row>
    <row r="306">
      <c r="A306" s="30" t="inlineStr">
        <is>
          <t>P1 Potencia</t>
        </is>
      </c>
      <c r="B306" s="31" t="n">
        <v>5.5</v>
      </c>
      <c r="C306" s="32">
        <f>$N$303-$L$303+1</f>
        <v/>
      </c>
      <c r="D306" s="33" t="n">
        <v>3.68919</v>
      </c>
      <c r="E306" s="34" t="n">
        <v>3.85</v>
      </c>
      <c r="F306" s="35">
        <f>ROUND(B306*E306,2)</f>
        <v/>
      </c>
      <c r="H306" s="36" t="n">
        <v>5.5</v>
      </c>
      <c r="I306" s="37" t="n">
        <v>3.85</v>
      </c>
      <c r="J306" s="38">
        <f>ROUND(H306*I306,2)</f>
        <v/>
      </c>
      <c r="L306" s="65" t="n"/>
      <c r="M306" s="65" t="n"/>
      <c r="N306" s="65" t="n"/>
      <c r="R306" s="42" t="inlineStr">
        <is>
          <t>DIF: 1 €   ·   Margen hist.: 100.0%</t>
        </is>
      </c>
    </row>
    <row r="307">
      <c r="A307" s="30" t="inlineStr">
        <is>
          <t>P2 Potencia</t>
        </is>
      </c>
      <c r="B307" s="31" t="n">
        <v>5.5</v>
      </c>
      <c r="C307" s="32">
        <f>$N$303-$L$303+1</f>
        <v/>
      </c>
      <c r="D307" s="33" t="n">
        <v>1.31928</v>
      </c>
      <c r="E307" s="34" t="n">
        <v>1.33</v>
      </c>
      <c r="F307" s="35">
        <f>ROUND(B307*E307,2)</f>
        <v/>
      </c>
      <c r="H307" s="36" t="n">
        <v>5.5</v>
      </c>
      <c r="I307" s="37" t="n">
        <v>1.33</v>
      </c>
      <c r="J307" s="38">
        <f>ROUND(H307*I307,2)</f>
        <v/>
      </c>
      <c r="L307" s="65" t="n"/>
      <c r="M307" s="65" t="n"/>
      <c r="N307" s="65" t="n"/>
    </row>
    <row r="308">
      <c r="A308" s="30" t="inlineStr">
        <is>
          <t>P1 Energía</t>
        </is>
      </c>
      <c r="B308" s="31">
        <f>IF($P$308&lt;&gt;"",ROUND(AA308*(($AB$308/(1-$P$308))-28.4900)/19.4386,2),IF('Resumen'!$D$3="OPTIMIZAR",AA308,AA308))</f>
        <v/>
      </c>
      <c r="C308" s="44" t="n"/>
      <c r="D308" s="33" t="n">
        <v>0.111171</v>
      </c>
      <c r="E308" s="34" t="n">
        <v>0.13788</v>
      </c>
      <c r="F308" s="35">
        <f>ROUND(B308*E308,2)</f>
        <v/>
      </c>
      <c r="H308" s="36" t="n">
        <v>28.824</v>
      </c>
      <c r="I308" s="37" t="n">
        <v>0.13788</v>
      </c>
      <c r="J308" s="38">
        <f>ROUND(H308*I308,2)</f>
        <v/>
      </c>
      <c r="L308" s="65" t="n"/>
      <c r="M308" s="65" t="n"/>
      <c r="N308" s="65" t="n"/>
      <c r="O308" s="45" t="inlineStr">
        <is>
          <t>Margen objetivo (edita % aquí) ▶</t>
        </is>
      </c>
      <c r="P308" s="5" t="n"/>
      <c r="AA308" t="n">
        <v>20.389</v>
      </c>
      <c r="AB308">
        <f>B306*D306+B307*D307+AA308*D308+AA309*D309+AA310*D310</f>
        <v/>
      </c>
    </row>
    <row r="309">
      <c r="A309" s="30" t="inlineStr">
        <is>
          <t>P2 Energía</t>
        </is>
      </c>
      <c r="B309" s="31">
        <f>IF($P$308&lt;&gt;"",ROUND(AA309*(($AB$308/(1-$P$308))-28.4900)/19.4386,2),IF('Resumen'!$D$3="OPTIMIZAR",AA309,AA309))</f>
        <v/>
      </c>
      <c r="C309" s="44" t="n"/>
      <c r="D309" s="33" t="n">
        <v>0.111171</v>
      </c>
      <c r="E309" s="34" t="n">
        <v>0.13788</v>
      </c>
      <c r="F309" s="35">
        <f>ROUND(B309*E309,2)</f>
        <v/>
      </c>
      <c r="H309" s="36" t="n">
        <v>27.849</v>
      </c>
      <c r="I309" s="37" t="n">
        <v>0.13788</v>
      </c>
      <c r="J309" s="38">
        <f>ROUND(H309*I309,2)</f>
        <v/>
      </c>
      <c r="L309" s="65" t="n"/>
      <c r="M309" s="65" t="n"/>
      <c r="N309" s="65" t="n"/>
      <c r="O309" s="46" t="inlineStr">
        <is>
          <t>Cant. P1/P2/P3 energía suben</t>
        </is>
      </c>
      <c r="R309" s="43" t="inlineStr">
        <is>
          <t>Importe mensual cobrado (€) · 24 meses ▾</t>
        </is>
      </c>
      <c r="AA309" t="n">
        <v>20.816</v>
      </c>
    </row>
    <row r="310">
      <c r="A310" s="30" t="inlineStr">
        <is>
          <t>P3 Energía</t>
        </is>
      </c>
      <c r="B310" s="31">
        <f>IF($P$308&lt;&gt;"",ROUND(AA310*(($AB$308/(1-$P$308))-28.4900)/19.4386,2),IF('Resumen'!$D$3="OPTIMIZAR",AA310,AA310))</f>
        <v/>
      </c>
      <c r="C310" s="44" t="n"/>
      <c r="D310" s="33" t="n">
        <v>0.111171</v>
      </c>
      <c r="E310" s="34" t="n">
        <v>0.13788</v>
      </c>
      <c r="F310" s="35">
        <f>ROUND(B310*E310,2)</f>
        <v/>
      </c>
      <c r="H310" s="36" t="n">
        <v>76.40900000000001</v>
      </c>
      <c r="I310" s="37" t="n">
        <v>0.13788</v>
      </c>
      <c r="J310" s="38">
        <f>ROUND(H310*I310,2)</f>
        <v/>
      </c>
      <c r="L310" s="65" t="n"/>
      <c r="M310" s="65" t="n"/>
      <c r="N310" s="65" t="n"/>
      <c r="O310" s="46" t="inlineStr">
        <is>
          <t>en proporción para ese margen</t>
        </is>
      </c>
      <c r="AA310" t="n">
        <v>99.777</v>
      </c>
    </row>
    <row r="311">
      <c r="A311" s="30" t="inlineStr">
        <is>
          <t>Alquiler contador</t>
        </is>
      </c>
      <c r="B311" s="31" t="n">
        <v>1</v>
      </c>
      <c r="C311" s="32">
        <f>$N$303-$L$303+1</f>
        <v/>
      </c>
      <c r="D311" s="33" t="n">
        <v>0.7989000000000001</v>
      </c>
      <c r="E311" s="34" t="n">
        <v>3</v>
      </c>
      <c r="F311" s="35">
        <f>ROUND(B311*E311,2)</f>
        <v/>
      </c>
      <c r="H311" s="36" t="n">
        <v>1</v>
      </c>
      <c r="I311" s="37" t="n">
        <v>3</v>
      </c>
      <c r="J311" s="38">
        <f>ROUND(H311*I311,2)</f>
        <v/>
      </c>
      <c r="L311" s="65" t="n"/>
      <c r="M311" s="65" t="n"/>
      <c r="N311" s="65" t="n"/>
    </row>
    <row r="312">
      <c r="A312" s="30" t="inlineStr">
        <is>
          <t>Bono social</t>
        </is>
      </c>
      <c r="B312" s="31" t="n">
        <v>30</v>
      </c>
      <c r="C312" s="32">
        <f>$N$303-$L$303+1</f>
        <v/>
      </c>
      <c r="D312" s="33" t="n">
        <v>0.5736</v>
      </c>
      <c r="E312" s="34" t="n">
        <v>0.01274</v>
      </c>
      <c r="F312" s="35">
        <f>ROUND(B312*E312,2)</f>
        <v/>
      </c>
      <c r="H312" s="36" t="n">
        <v>30</v>
      </c>
      <c r="I312" s="37" t="n">
        <v>0.01274</v>
      </c>
      <c r="J312" s="38">
        <f>ROUND(H312*I312,2)</f>
        <v/>
      </c>
      <c r="L312" s="65" t="n"/>
      <c r="M312" s="65" t="n"/>
      <c r="N312" s="65" t="n"/>
    </row>
    <row r="313">
      <c r="A313" s="30" t="inlineStr">
        <is>
          <t>Tasa eléctrica</t>
        </is>
      </c>
      <c r="B313" s="31" t="n">
        <v>2.46</v>
      </c>
      <c r="C313" s="44" t="n"/>
      <c r="D313" s="33" t="n">
        <v>0.02671</v>
      </c>
      <c r="E313" s="34" t="n">
        <v>1</v>
      </c>
      <c r="F313" s="35">
        <f>ROUND(B313*E313,2)</f>
        <v/>
      </c>
      <c r="H313" s="36" t="n">
        <v>2.4</v>
      </c>
      <c r="I313" s="37" t="n">
        <v>1</v>
      </c>
      <c r="J313" s="38">
        <f>ROUND(H313*I313,2)</f>
        <v/>
      </c>
      <c r="L313" s="65" t="n"/>
      <c r="M313" s="65" t="n"/>
      <c r="N313" s="65" t="n"/>
    </row>
    <row r="314">
      <c r="A314" s="47" t="inlineStr">
        <is>
          <t>TOTAL c/IVA</t>
        </is>
      </c>
      <c r="F314" s="48">
        <f>ROUND((SUM(F306:F313)-F313)*1.1+F313,2)</f>
        <v/>
      </c>
      <c r="J314" s="49">
        <f>ROUND(SUM(J306:J313),2)</f>
        <v/>
      </c>
      <c r="N314" s="66" t="n"/>
    </row>
    <row r="315">
      <c r="A315" s="19" t="inlineStr">
        <is>
          <t>MARGEN sin registrar</t>
        </is>
      </c>
      <c r="B315" s="51">
        <f>IF((F309+F306+F308+F310+F307)=0,"",((F309+F306+F308+F310+F307)-$AB$308)/(F309+F306+F308+F310+F307))</f>
        <v/>
      </c>
      <c r="D315" s="52">
        <f>IF(B315="","SIN PC",IF(B315&gt;=0.3,"APROBAR",IF(B315&gt;=0.2,"REVISAR","RECHAZAR")))</f>
        <v/>
      </c>
      <c r="E315" s="53" t="n"/>
      <c r="F315" s="54" t="n"/>
      <c r="AD315">
        <f>SUM(F308:F310)-19.4386</f>
        <v/>
      </c>
    </row>
    <row r="317">
      <c r="A317" s="15" t="inlineStr">
        <is>
          <t>Factura 8575 · C01140 · DESIRÉ ANNA GUSTAAF SCHUTTER</t>
        </is>
      </c>
      <c r="H317" s="15" t="inlineStr">
        <is>
          <t>ES0021000000845315TQ · Naturgy</t>
        </is>
      </c>
      <c r="L317" s="16" t="n">
        <v>46113</v>
      </c>
      <c r="M317" s="17" t="inlineStr">
        <is>
          <t>a</t>
        </is>
      </c>
      <c r="N317" s="16" t="n">
        <v>46142</v>
      </c>
      <c r="R317" s="18" t="inlineStr">
        <is>
          <t>HISTÓRICO DEL CUPS · HOJA TTVA LUZ</t>
        </is>
      </c>
    </row>
    <row r="318">
      <c r="A318" s="19" t="inlineStr">
        <is>
          <t>Concepto</t>
        </is>
      </c>
      <c r="B318" s="20" t="inlineStr">
        <is>
          <t>PENDIENTE (sin registrar)</t>
        </is>
      </c>
      <c r="C318" s="21" t="n"/>
      <c r="D318" s="21" t="n"/>
      <c r="E318" s="21" t="n"/>
      <c r="F318" s="21" t="n"/>
      <c r="H318" s="22" t="inlineStr">
        <is>
          <t>MES ANTERIOR · Fact.6434</t>
        </is>
      </c>
      <c r="I318" s="23" t="n"/>
      <c r="J318" s="23" t="n"/>
      <c r="L318" s="24" t="inlineStr">
        <is>
          <t>AÑO ANTERIOR · Fact.4637</t>
        </is>
      </c>
      <c r="M318" s="25" t="n"/>
      <c r="N318" s="25" t="n"/>
      <c r="R318" s="26" t="inlineStr">
        <is>
          <t>Cobrado total: 1.317 €</t>
        </is>
      </c>
    </row>
    <row r="319">
      <c r="B319" s="7" t="inlineStr">
        <is>
          <t>Cant</t>
        </is>
      </c>
      <c r="C319" s="7" t="inlineStr">
        <is>
          <t>Días</t>
        </is>
      </c>
      <c r="D319" s="7" t="inlineStr">
        <is>
          <t>PC real</t>
        </is>
      </c>
      <c r="E319" s="7" t="inlineStr">
        <is>
          <t>PV</t>
        </is>
      </c>
      <c r="F319" s="7" t="inlineStr">
        <is>
          <t>Importe</t>
        </is>
      </c>
      <c r="H319" s="27" t="inlineStr">
        <is>
          <t>Cant</t>
        </is>
      </c>
      <c r="I319" s="27" t="inlineStr">
        <is>
          <t>PV</t>
        </is>
      </c>
      <c r="J319" s="27" t="inlineStr">
        <is>
          <t>Importe</t>
        </is>
      </c>
      <c r="L319" s="28" t="inlineStr">
        <is>
          <t>Cant</t>
        </is>
      </c>
      <c r="M319" s="28" t="inlineStr">
        <is>
          <t>PV</t>
        </is>
      </c>
      <c r="N319" s="28" t="inlineStr">
        <is>
          <t>Importe</t>
        </is>
      </c>
      <c r="R319" s="29" t="inlineStr">
        <is>
          <t>Pagado total: 980 €</t>
        </is>
      </c>
    </row>
    <row r="320">
      <c r="A320" s="30" t="inlineStr">
        <is>
          <t>P1 Potencia</t>
        </is>
      </c>
      <c r="B320" s="31" t="n">
        <v>9.199999999999999</v>
      </c>
      <c r="C320" s="32">
        <f>$N$317-$L$317+1</f>
        <v/>
      </c>
      <c r="D320" s="33" t="n">
        <v>3.4086</v>
      </c>
      <c r="E320" s="34" t="n">
        <v>3.85</v>
      </c>
      <c r="F320" s="35">
        <f>ROUND(B320*E320,2)</f>
        <v/>
      </c>
      <c r="H320" s="36" t="n">
        <v>9.199999999999999</v>
      </c>
      <c r="I320" s="37" t="n">
        <v>3.85</v>
      </c>
      <c r="J320" s="38">
        <f>ROUND(H320*I320,2)</f>
        <v/>
      </c>
      <c r="L320" s="39" t="n">
        <v>9.199999999999999</v>
      </c>
      <c r="M320" s="40" t="n">
        <v>3.85</v>
      </c>
      <c r="N320" s="41">
        <f>ROUND(L320*M320,2)</f>
        <v/>
      </c>
      <c r="R320" s="42" t="inlineStr">
        <is>
          <t>DIF: 336 €   ·   Margen hist.: 25.6%</t>
        </is>
      </c>
    </row>
    <row r="321">
      <c r="A321" s="30" t="inlineStr">
        <is>
          <t>P2 Potencia</t>
        </is>
      </c>
      <c r="B321" s="31" t="n">
        <v>9.199999999999999</v>
      </c>
      <c r="C321" s="32">
        <f>$N$317-$L$317+1</f>
        <v/>
      </c>
      <c r="D321" s="33" t="n">
        <v>1.09728</v>
      </c>
      <c r="E321" s="34" t="n">
        <v>1.33</v>
      </c>
      <c r="F321" s="35">
        <f>ROUND(B321*E321,2)</f>
        <v/>
      </c>
      <c r="H321" s="36" t="n">
        <v>9.199999999999999</v>
      </c>
      <c r="I321" s="37" t="n">
        <v>1.33</v>
      </c>
      <c r="J321" s="38">
        <f>ROUND(H321*I321,2)</f>
        <v/>
      </c>
      <c r="L321" s="39" t="n">
        <v>9.199999999999999</v>
      </c>
      <c r="M321" s="40" t="n">
        <v>1.33</v>
      </c>
      <c r="N321" s="41">
        <f>ROUND(L321*M321,2)</f>
        <v/>
      </c>
      <c r="R321" s="43" t="inlineStr">
        <is>
          <t>Mejor mes: 2023-02 · 128 € · margen 45%</t>
        </is>
      </c>
    </row>
    <row r="322">
      <c r="A322" s="30" t="inlineStr">
        <is>
          <t>P1 Energía</t>
        </is>
      </c>
      <c r="B322" s="31">
        <f>IF($P$322&lt;&gt;"",ROUND(AA322*(($AB$322/(1-$P$322))-47.6560)/14.8091,2),IF('Resumen'!$D$3="OPTIMIZAR",ROUND(MAX(AA322,MIN(AA322*(($AB$322/(1-'Resumen'!$F$3))-47.6560)/14.8091,AA322*(74.9318)/14.8091)),3),AA322))</f>
        <v/>
      </c>
      <c r="C322" s="44" t="n"/>
      <c r="D322" s="33" t="n">
        <v>0.110306</v>
      </c>
      <c r="E322" s="34" t="n">
        <v>0.13788</v>
      </c>
      <c r="F322" s="35">
        <f>ROUND(B322*E322,2)</f>
        <v/>
      </c>
      <c r="H322" s="36" t="n">
        <v>109.227</v>
      </c>
      <c r="I322" s="37" t="n">
        <v>0.13788</v>
      </c>
      <c r="J322" s="38">
        <f>ROUND(H322*I322,2)</f>
        <v/>
      </c>
      <c r="L322" s="39" t="n">
        <v>24.778</v>
      </c>
      <c r="M322" s="40" t="n">
        <v>0.13788</v>
      </c>
      <c r="N322" s="41">
        <f>ROUND(L322*M322,2)</f>
        <v/>
      </c>
      <c r="O322" s="45" t="inlineStr">
        <is>
          <t>Margen objetivo (edita % aquí) ▶</t>
        </is>
      </c>
      <c r="P322" s="5" t="n"/>
      <c r="R322" s="43" t="inlineStr">
        <is>
          <t>Peor mes: 2024-07 · 17 €</t>
        </is>
      </c>
      <c r="AA322" t="n">
        <v>19.344</v>
      </c>
      <c r="AB322">
        <f>B320*D320+B321*D321+AA322*D322+AA323*D323+AA324*D324</f>
        <v/>
      </c>
    </row>
    <row r="323">
      <c r="A323" s="30" t="inlineStr">
        <is>
          <t>P2 Energía</t>
        </is>
      </c>
      <c r="B323" s="31">
        <f>IF($P$322&lt;&gt;"",ROUND(AA323*(($AB$322/(1-$P$322))-47.6560)/14.8091,2),IF('Resumen'!$D$3="OPTIMIZAR",ROUND(MAX(AA323,MIN(AA323*(($AB$322/(1-'Resumen'!$F$3))-47.6560)/14.8091,AA323*(74.9318)/14.8091)),3),AA323))</f>
        <v/>
      </c>
      <c r="C323" s="44" t="n"/>
      <c r="D323" s="33" t="n">
        <v>0.110306</v>
      </c>
      <c r="E323" s="34" t="n">
        <v>0.13788</v>
      </c>
      <c r="F323" s="35">
        <f>ROUND(B323*E323,2)</f>
        <v/>
      </c>
      <c r="H323" s="36" t="n">
        <v>81.879</v>
      </c>
      <c r="I323" s="37" t="n">
        <v>0.13788</v>
      </c>
      <c r="J323" s="38">
        <f>ROUND(H323*I323,2)</f>
        <v/>
      </c>
      <c r="L323" s="39" t="n">
        <v>21.157</v>
      </c>
      <c r="M323" s="40" t="n">
        <v>0.13788</v>
      </c>
      <c r="N323" s="41">
        <f>ROUND(L323*M323,2)</f>
        <v/>
      </c>
      <c r="O323" s="46" t="inlineStr">
        <is>
          <t>Cant. P1/P2/P3 energía suben</t>
        </is>
      </c>
      <c r="R323" s="43" t="inlineStr">
        <is>
          <t>Importe mensual cobrado (€) · 24 meses ▾</t>
        </is>
      </c>
      <c r="AA323" t="n">
        <v>14.991</v>
      </c>
    </row>
    <row r="324">
      <c r="A324" s="30" t="inlineStr">
        <is>
          <t>P3 Energía</t>
        </is>
      </c>
      <c r="B324" s="31">
        <f>IF($P$322&lt;&gt;"",ROUND(AA324*(($AB$322/(1-$P$322))-47.6560)/14.8091,2),IF('Resumen'!$D$3="OPTIMIZAR",ROUND(MAX(AA324,MIN(AA324*(($AB$322/(1-'Resumen'!$F$3))-47.6560)/14.8091,AA324*(74.9318)/14.8091)),3),AA324))</f>
        <v/>
      </c>
      <c r="C324" s="44" t="n"/>
      <c r="D324" s="33" t="n">
        <v>0.110306</v>
      </c>
      <c r="E324" s="34" t="n">
        <v>0.13788</v>
      </c>
      <c r="F324" s="35">
        <f>ROUND(B324*E324,2)</f>
        <v/>
      </c>
      <c r="H324" s="36" t="n">
        <v>173.798</v>
      </c>
      <c r="I324" s="37" t="n">
        <v>0.13788</v>
      </c>
      <c r="J324" s="38">
        <f>ROUND(H324*I324,2)</f>
        <v/>
      </c>
      <c r="L324" s="39" t="n">
        <v>77.584</v>
      </c>
      <c r="M324" s="40" t="n">
        <v>0.13788</v>
      </c>
      <c r="N324" s="41">
        <f>ROUND(L324*M324,2)</f>
        <v/>
      </c>
      <c r="O324" s="46" t="inlineStr">
        <is>
          <t>en proporción para ese margen</t>
        </is>
      </c>
      <c r="AA324" t="n">
        <v>73.071</v>
      </c>
    </row>
    <row r="325">
      <c r="A325" s="30" t="inlineStr">
        <is>
          <t>Alquiler contador</t>
        </is>
      </c>
      <c r="B325" s="31" t="n">
        <v>1</v>
      </c>
      <c r="C325" s="32">
        <f>$N$317-$L$317+1</f>
        <v/>
      </c>
      <c r="D325" s="33" t="n">
        <v>0.7989000000000001</v>
      </c>
      <c r="E325" s="34" t="n">
        <v>3</v>
      </c>
      <c r="F325" s="35">
        <f>ROUND(B325*E325,2)</f>
        <v/>
      </c>
      <c r="H325" s="36" t="n">
        <v>1</v>
      </c>
      <c r="I325" s="37" t="n">
        <v>3</v>
      </c>
      <c r="J325" s="38">
        <f>ROUND(H325*I325,2)</f>
        <v/>
      </c>
      <c r="L325" s="39" t="n">
        <v>1</v>
      </c>
      <c r="M325" s="40" t="n">
        <v>3</v>
      </c>
      <c r="N325" s="41">
        <f>ROUND(L325*M325,2)</f>
        <v/>
      </c>
    </row>
    <row r="326">
      <c r="A326" s="30" t="inlineStr">
        <is>
          <t>Bono social</t>
        </is>
      </c>
      <c r="B326" s="31" t="n">
        <v>30</v>
      </c>
      <c r="C326" s="32">
        <f>$N$317-$L$317+1</f>
        <v/>
      </c>
      <c r="D326" s="33" t="n">
        <v>0.5736</v>
      </c>
      <c r="E326" s="34" t="n">
        <v>0.01274</v>
      </c>
      <c r="F326" s="35">
        <f>ROUND(B326*E326,2)</f>
        <v/>
      </c>
      <c r="H326" s="36" t="n">
        <v>30</v>
      </c>
      <c r="I326" s="37" t="n">
        <v>0.01274</v>
      </c>
      <c r="J326" s="38">
        <f>ROUND(H326*I326,2)</f>
        <v/>
      </c>
      <c r="L326" s="39" t="n">
        <v>30</v>
      </c>
      <c r="M326" s="40" t="n">
        <v>0.00629</v>
      </c>
      <c r="N326" s="41">
        <f>ROUND(L326*M326,2)</f>
        <v/>
      </c>
    </row>
    <row r="327">
      <c r="A327" s="30" t="inlineStr">
        <is>
          <t>Tasa eléctrica</t>
        </is>
      </c>
      <c r="B327" s="31" t="n">
        <v>2.45</v>
      </c>
      <c r="C327" s="44" t="n"/>
      <c r="D327" s="33" t="n">
        <v>0.24729</v>
      </c>
      <c r="E327" s="34" t="n">
        <v>1</v>
      </c>
      <c r="F327" s="35">
        <f>ROUND(B327*E327,2)</f>
        <v/>
      </c>
      <c r="H327" s="36" t="n">
        <v>4.04</v>
      </c>
      <c r="I327" s="37" t="n">
        <v>1</v>
      </c>
      <c r="J327" s="38">
        <f>ROUND(H327*I327,2)</f>
        <v/>
      </c>
      <c r="L327" s="39" t="n">
        <v>2.45</v>
      </c>
      <c r="M327" s="40" t="n">
        <v>1</v>
      </c>
      <c r="N327" s="41">
        <f>ROUND(L327*M327,2)</f>
        <v/>
      </c>
    </row>
    <row r="328">
      <c r="A328" s="47" t="inlineStr">
        <is>
          <t>TOTAL c/IVA</t>
        </is>
      </c>
      <c r="F328" s="48">
        <f>ROUND((SUM(F320:F327)-F327)*1.1+F327,2)</f>
        <v/>
      </c>
      <c r="J328" s="49">
        <f>ROUND(SUM(J320:J327),2)</f>
        <v/>
      </c>
      <c r="N328" s="50">
        <f>ROUND(SUM(N320:N327),2)</f>
        <v/>
      </c>
    </row>
    <row r="329">
      <c r="A329" s="19" t="inlineStr">
        <is>
          <t>MARGEN sin registrar</t>
        </is>
      </c>
      <c r="B329" s="51">
        <f>IF((F323+F320+F322+F324+F321)=0,"",((F323+F320+F322+F324+F321)-$AB$322)/(F323+F320+F322+F324+F321))</f>
        <v/>
      </c>
      <c r="D329" s="52">
        <f>IF(B329="","SIN PC",IF(B329&gt;=0.3,"APROBAR",IF(B329&gt;=0.2,"REVISAR","RECHAZAR")))</f>
        <v/>
      </c>
      <c r="E329" s="53" t="n"/>
      <c r="F329" s="54" t="n"/>
      <c r="AD329">
        <f>SUM(F322:F324)-14.8091</f>
        <v/>
      </c>
    </row>
    <row r="330">
      <c r="A330" s="55" t="inlineStr">
        <is>
          <t>☀ EXCEDENTES SOLARES (kWh vertidos reales)</t>
        </is>
      </c>
      <c r="B330" s="56" t="n"/>
      <c r="C330" s="56" t="n"/>
      <c r="D330" s="56" t="n"/>
      <c r="E330" s="56" t="n"/>
      <c r="F330" s="56" t="n"/>
    </row>
    <row r="331">
      <c r="A331" s="57" t="inlineStr">
        <is>
          <t>Concepto</t>
        </is>
      </c>
      <c r="B331" s="57" t="inlineStr">
        <is>
          <t>kWh</t>
        </is>
      </c>
      <c r="D331" s="57" t="inlineStr">
        <is>
          <t>€/kWh compra</t>
        </is>
      </c>
      <c r="E331" s="57" t="inlineStr">
        <is>
          <t>€/kWh venta</t>
        </is>
      </c>
      <c r="F331" s="57" t="inlineStr">
        <is>
          <t>Importe</t>
        </is>
      </c>
    </row>
    <row r="332">
      <c r="A332" s="58" t="inlineStr">
        <is>
          <t>Compra excedentes (vertido red)</t>
        </is>
      </c>
      <c r="B332" s="59" t="n">
        <v>554</v>
      </c>
      <c r="C332" s="60" t="n"/>
      <c r="D332" s="33" t="n">
        <v>0.06</v>
      </c>
      <c r="E332" s="60" t="n"/>
      <c r="F332" s="61">
        <f>ROUND(B332*D332,2)</f>
        <v/>
      </c>
    </row>
    <row r="333">
      <c r="A333" s="58" t="inlineStr">
        <is>
          <t>Venta cliente (saldo batería, 1043)</t>
        </is>
      </c>
      <c r="B333" s="60" t="n"/>
      <c r="C333" s="60" t="n"/>
      <c r="D333" s="60" t="n"/>
      <c r="E333" s="62" t="n">
        <v>0.06</v>
      </c>
      <c r="F333" s="61" t="n">
        <v>14.82</v>
      </c>
    </row>
    <row r="334">
      <c r="A334" s="63" t="inlineStr">
        <is>
          <t>NETO Transactiva (compra − venta)</t>
        </is>
      </c>
      <c r="B334" s="60" t="n"/>
      <c r="C334" s="60" t="n"/>
      <c r="D334" s="60" t="n"/>
      <c r="E334" s="60" t="n"/>
      <c r="F334" s="64">
        <f>F332-F333</f>
        <v/>
      </c>
    </row>
    <row r="336">
      <c r="A336" s="15" t="inlineStr">
        <is>
          <t>Factura 8579 · C01350 · CORDULA PETERS</t>
        </is>
      </c>
      <c r="H336" s="15" t="inlineStr">
        <is>
          <t>ES0021000000841859BX · Naturgy</t>
        </is>
      </c>
      <c r="L336" s="16" t="n">
        <v>46113</v>
      </c>
      <c r="M336" s="17" t="inlineStr">
        <is>
          <t>a</t>
        </is>
      </c>
      <c r="N336" s="16" t="n">
        <v>46142</v>
      </c>
      <c r="R336" s="18" t="inlineStr">
        <is>
          <t>HISTÓRICO DEL CUPS · HOJA TTVA LUZ</t>
        </is>
      </c>
    </row>
    <row r="337">
      <c r="A337" s="19" t="inlineStr">
        <is>
          <t>Concepto</t>
        </is>
      </c>
      <c r="B337" s="20" t="inlineStr">
        <is>
          <t>PENDIENTE (sin registrar)</t>
        </is>
      </c>
      <c r="C337" s="21" t="n"/>
      <c r="D337" s="21" t="n"/>
      <c r="E337" s="21" t="n"/>
      <c r="F337" s="21" t="n"/>
      <c r="H337" s="22" t="inlineStr">
        <is>
          <t>MES ANTERIOR · Fact.6423</t>
        </is>
      </c>
      <c r="I337" s="23" t="n"/>
      <c r="J337" s="23" t="n"/>
      <c r="L337" s="24" t="inlineStr">
        <is>
          <t>AÑO ANTERIOR · Fact.4627</t>
        </is>
      </c>
      <c r="M337" s="25" t="n"/>
      <c r="N337" s="25" t="n"/>
      <c r="R337" s="26" t="inlineStr">
        <is>
          <t>Cobrado total: 639 €</t>
        </is>
      </c>
    </row>
    <row r="338">
      <c r="B338" s="7" t="inlineStr">
        <is>
          <t>Cant</t>
        </is>
      </c>
      <c r="C338" s="7" t="inlineStr">
        <is>
          <t>Días</t>
        </is>
      </c>
      <c r="D338" s="7" t="inlineStr">
        <is>
          <t>PC real</t>
        </is>
      </c>
      <c r="E338" s="7" t="inlineStr">
        <is>
          <t>PV</t>
        </is>
      </c>
      <c r="F338" s="7" t="inlineStr">
        <is>
          <t>Importe</t>
        </is>
      </c>
      <c r="H338" s="27" t="inlineStr">
        <is>
          <t>Cant</t>
        </is>
      </c>
      <c r="I338" s="27" t="inlineStr">
        <is>
          <t>PV</t>
        </is>
      </c>
      <c r="J338" s="27" t="inlineStr">
        <is>
          <t>Importe</t>
        </is>
      </c>
      <c r="L338" s="28" t="inlineStr">
        <is>
          <t>Cant</t>
        </is>
      </c>
      <c r="M338" s="28" t="inlineStr">
        <is>
          <t>PV</t>
        </is>
      </c>
      <c r="N338" s="28" t="inlineStr">
        <is>
          <t>Importe</t>
        </is>
      </c>
      <c r="R338" s="29" t="inlineStr">
        <is>
          <t>Pagado total: 638 €</t>
        </is>
      </c>
    </row>
    <row r="339">
      <c r="A339" s="30" t="inlineStr">
        <is>
          <t>P1 Potencia</t>
        </is>
      </c>
      <c r="B339" s="31" t="n">
        <v>4.9</v>
      </c>
      <c r="C339" s="32">
        <f>$N$336-$L$336+1</f>
        <v/>
      </c>
      <c r="D339" s="33" t="n">
        <v>3.4086</v>
      </c>
      <c r="E339" s="34" t="n">
        <v>3.85</v>
      </c>
      <c r="F339" s="35">
        <f>ROUND(B339*E339,2)</f>
        <v/>
      </c>
      <c r="H339" s="36" t="n">
        <v>4.9</v>
      </c>
      <c r="I339" s="37" t="n">
        <v>3.85</v>
      </c>
      <c r="J339" s="38">
        <f>ROUND(H339*I339,2)</f>
        <v/>
      </c>
      <c r="L339" s="39" t="n">
        <v>4.9</v>
      </c>
      <c r="M339" s="40" t="n">
        <v>3.85</v>
      </c>
      <c r="N339" s="41">
        <f>ROUND(L339*M339,2)</f>
        <v/>
      </c>
      <c r="R339" s="42" t="inlineStr">
        <is>
          <t>DIF: 0 €   ·   Margen hist.: 0.0%</t>
        </is>
      </c>
    </row>
    <row r="340">
      <c r="A340" s="30" t="inlineStr">
        <is>
          <t>P2 Potencia</t>
        </is>
      </c>
      <c r="B340" s="31" t="n">
        <v>4.9</v>
      </c>
      <c r="C340" s="32">
        <f>$N$336-$L$336+1</f>
        <v/>
      </c>
      <c r="D340" s="33" t="n">
        <v>1.09728</v>
      </c>
      <c r="E340" s="34" t="n">
        <v>1.33</v>
      </c>
      <c r="F340" s="35">
        <f>ROUND(B340*E340,2)</f>
        <v/>
      </c>
      <c r="H340" s="36" t="n">
        <v>4.9</v>
      </c>
      <c r="I340" s="37" t="n">
        <v>1.33</v>
      </c>
      <c r="J340" s="38">
        <f>ROUND(H340*I340,2)</f>
        <v/>
      </c>
      <c r="L340" s="39" t="n">
        <v>4.9</v>
      </c>
      <c r="M340" s="40" t="n">
        <v>1.33</v>
      </c>
      <c r="N340" s="41">
        <f>ROUND(L340*M340,2)</f>
        <v/>
      </c>
      <c r="R340" s="43" t="inlineStr">
        <is>
          <t>Mejor mes: 2024-01 · 68 € · margen 55%</t>
        </is>
      </c>
    </row>
    <row r="341">
      <c r="A341" s="30" t="inlineStr">
        <is>
          <t>P1 Energía</t>
        </is>
      </c>
      <c r="B341" s="31">
        <f>IF($P$341&lt;&gt;"",ROUND(AA341*(($AB$341/(1-$P$341))-25.3820)/1.3591,2),IF('Resumen'!$D$3="OPTIMIZAR",ROUND(MAX(AA341,MIN(AA341*(($AB$341/(1-'Resumen'!$F$3))-25.3820)/1.3591,AA341*(37.4458)/1.3591)),3),AA341))</f>
        <v/>
      </c>
      <c r="C341" s="44" t="n"/>
      <c r="D341" s="33" t="n">
        <v>0.110306</v>
      </c>
      <c r="E341" s="34" t="n">
        <v>0.13788</v>
      </c>
      <c r="F341" s="35">
        <f>ROUND(B341*E341,2)</f>
        <v/>
      </c>
      <c r="H341" s="36" t="n">
        <v>0.796</v>
      </c>
      <c r="I341" s="37" t="n">
        <v>0.13788</v>
      </c>
      <c r="J341" s="38">
        <f>ROUND(H341*I341,2)</f>
        <v/>
      </c>
      <c r="L341" s="39" t="n">
        <v>1.331</v>
      </c>
      <c r="M341" s="40" t="n">
        <v>0.13788</v>
      </c>
      <c r="N341" s="41">
        <f>ROUND(L341*M341,2)</f>
        <v/>
      </c>
      <c r="O341" s="45" t="inlineStr">
        <is>
          <t>Margen objetivo (edita % aquí) ▶</t>
        </is>
      </c>
      <c r="P341" s="5" t="n"/>
      <c r="R341" s="43" t="inlineStr">
        <is>
          <t>Peor mes: 2024-06 · 3 € · margen 93%</t>
        </is>
      </c>
      <c r="AA341" t="n">
        <v>3.601</v>
      </c>
      <c r="AB341">
        <f>B339*D339+B340*D340+AA341*D341+AA342*D342+AA343*D343</f>
        <v/>
      </c>
    </row>
    <row r="342">
      <c r="A342" s="30" t="inlineStr">
        <is>
          <t>P2 Energía</t>
        </is>
      </c>
      <c r="B342" s="31">
        <f>IF($P$341&lt;&gt;"",ROUND(AA342*(($AB$341/(1-$P$341))-25.3820)/1.3591,2),IF('Resumen'!$D$3="OPTIMIZAR",ROUND(MAX(AA342,MIN(AA342*(($AB$341/(1-'Resumen'!$F$3))-25.3820)/1.3591,AA342*(37.4458)/1.3591)),3),AA342))</f>
        <v/>
      </c>
      <c r="C342" s="44" t="n"/>
      <c r="D342" s="33" t="n">
        <v>0.110306</v>
      </c>
      <c r="E342" s="34" t="n">
        <v>0.13788</v>
      </c>
      <c r="F342" s="35">
        <f>ROUND(B342*E342,2)</f>
        <v/>
      </c>
      <c r="H342" s="36" t="n">
        <v>0.617</v>
      </c>
      <c r="I342" s="37" t="n">
        <v>0.13788</v>
      </c>
      <c r="J342" s="38">
        <f>ROUND(H342*I342,2)</f>
        <v/>
      </c>
      <c r="L342" s="39" t="n">
        <v>1.534</v>
      </c>
      <c r="M342" s="40" t="n">
        <v>0.13788</v>
      </c>
      <c r="N342" s="41">
        <f>ROUND(L342*M342,2)</f>
        <v/>
      </c>
      <c r="O342" s="46" t="inlineStr">
        <is>
          <t>Cant. P1/P2/P3 energía suben</t>
        </is>
      </c>
      <c r="R342" s="43" t="inlineStr">
        <is>
          <t>Importe mensual cobrado (€) · 24 meses ▾</t>
        </is>
      </c>
      <c r="AA342" t="n">
        <v>2.119</v>
      </c>
    </row>
    <row r="343">
      <c r="A343" s="30" t="inlineStr">
        <is>
          <t>P3 Energía</t>
        </is>
      </c>
      <c r="B343" s="31">
        <f>IF($P$341&lt;&gt;"",ROUND(AA343*(($AB$341/(1-$P$341))-25.3820)/1.3591,2),IF('Resumen'!$D$3="OPTIMIZAR",ROUND(MAX(AA343,MIN(AA343*(($AB$341/(1-'Resumen'!$F$3))-25.3820)/1.3591,AA343*(37.4458)/1.3591)),3),AA343))</f>
        <v/>
      </c>
      <c r="C343" s="44" t="n"/>
      <c r="D343" s="33" t="n">
        <v>0.110306</v>
      </c>
      <c r="E343" s="34" t="n">
        <v>0.13788</v>
      </c>
      <c r="F343" s="35">
        <f>ROUND(B343*E343,2)</f>
        <v/>
      </c>
      <c r="H343" s="36" t="n">
        <v>5.036</v>
      </c>
      <c r="I343" s="37" t="n">
        <v>0.13788</v>
      </c>
      <c r="J343" s="38">
        <f>ROUND(H343*I343,2)</f>
        <v/>
      </c>
      <c r="L343" s="39" t="n">
        <v>12.479</v>
      </c>
      <c r="M343" s="40" t="n">
        <v>0.13788</v>
      </c>
      <c r="N343" s="41">
        <f>ROUND(L343*M343,2)</f>
        <v/>
      </c>
      <c r="O343" s="46" t="inlineStr">
        <is>
          <t>en proporción para ese margen</t>
        </is>
      </c>
      <c r="AA343" t="n">
        <v>4.137</v>
      </c>
    </row>
    <row r="344">
      <c r="A344" s="30" t="inlineStr">
        <is>
          <t>Alquiler contador</t>
        </is>
      </c>
      <c r="B344" s="31" t="n">
        <v>1</v>
      </c>
      <c r="C344" s="32">
        <f>$N$336-$L$336+1</f>
        <v/>
      </c>
      <c r="D344" s="33" t="n">
        <v>1.3414</v>
      </c>
      <c r="E344" s="34" t="n">
        <v>3</v>
      </c>
      <c r="F344" s="35">
        <f>ROUND(B344*E344,2)</f>
        <v/>
      </c>
      <c r="H344" s="36" t="n">
        <v>1</v>
      </c>
      <c r="I344" s="37" t="n">
        <v>3</v>
      </c>
      <c r="J344" s="38">
        <f>ROUND(H344*I344,2)</f>
        <v/>
      </c>
      <c r="L344" s="39" t="n">
        <v>1</v>
      </c>
      <c r="M344" s="40" t="n">
        <v>3</v>
      </c>
      <c r="N344" s="41">
        <f>ROUND(L344*M344,2)</f>
        <v/>
      </c>
    </row>
    <row r="345">
      <c r="A345" s="30" t="inlineStr">
        <is>
          <t>Bono social</t>
        </is>
      </c>
      <c r="B345" s="31" t="n">
        <v>30</v>
      </c>
      <c r="C345" s="32">
        <f>$N$336-$L$336+1</f>
        <v/>
      </c>
      <c r="D345" s="33" t="n">
        <v>0.5736</v>
      </c>
      <c r="E345" s="34" t="n">
        <v>0.01274</v>
      </c>
      <c r="F345" s="35">
        <f>ROUND(B345*E345,2)</f>
        <v/>
      </c>
      <c r="H345" s="36" t="n">
        <v>30</v>
      </c>
      <c r="I345" s="37" t="n">
        <v>0.01912</v>
      </c>
      <c r="J345" s="38">
        <f>ROUND(H345*I345,2)</f>
        <v/>
      </c>
      <c r="L345" s="39" t="n">
        <v>30</v>
      </c>
      <c r="M345" s="40" t="n">
        <v>0.00629</v>
      </c>
      <c r="N345" s="41">
        <f>ROUND(L345*M345,2)</f>
        <v/>
      </c>
    </row>
    <row r="346">
      <c r="A346" s="30" t="inlineStr">
        <is>
          <t>Tasa eléctrica</t>
        </is>
      </c>
      <c r="B346" s="31" t="n">
        <v>1.31</v>
      </c>
      <c r="C346" s="44" t="n"/>
      <c r="D346" s="33" t="n">
        <v>0.24729</v>
      </c>
      <c r="E346" s="34" t="n">
        <v>1</v>
      </c>
      <c r="F346" s="35">
        <f>ROUND(B346*E346,2)</f>
        <v/>
      </c>
      <c r="H346" s="36" t="n">
        <v>1.31</v>
      </c>
      <c r="I346" s="37" t="n">
        <v>1</v>
      </c>
      <c r="J346" s="38">
        <f>ROUND(H346*I346,2)</f>
        <v/>
      </c>
      <c r="L346" s="39" t="n">
        <v>1.31</v>
      </c>
      <c r="M346" s="40" t="n">
        <v>1</v>
      </c>
      <c r="N346" s="41">
        <f>ROUND(L346*M346,2)</f>
        <v/>
      </c>
    </row>
    <row r="347">
      <c r="A347" s="47" t="inlineStr">
        <is>
          <t>TOTAL c/IVA</t>
        </is>
      </c>
      <c r="F347" s="48">
        <f>ROUND((SUM(F339:F346)-F346)*1.1+F346,2)</f>
        <v/>
      </c>
      <c r="J347" s="49">
        <f>ROUND(SUM(J339:J346),2)</f>
        <v/>
      </c>
      <c r="N347" s="50">
        <f>ROUND(SUM(N339:N346),2)</f>
        <v/>
      </c>
    </row>
    <row r="348">
      <c r="A348" s="19" t="inlineStr">
        <is>
          <t>MARGEN sin registrar</t>
        </is>
      </c>
      <c r="B348" s="51">
        <f>IF((F342+F339+F341+F343+F340)=0,"",((F342+F339+F341+F343+F340)-$AB$341)/(F342+F339+F341+F343+F340))</f>
        <v/>
      </c>
      <c r="D348" s="52">
        <f>IF(B348="","SIN PC",IF(B348&gt;=0.3,"APROBAR",IF(B348&gt;=0.2,"REVISAR","RECHAZAR")))</f>
        <v/>
      </c>
      <c r="E348" s="53" t="n"/>
      <c r="F348" s="54" t="n"/>
      <c r="AD348">
        <f>SUM(F341:F343)-1.3591</f>
        <v/>
      </c>
    </row>
    <row r="349">
      <c r="A349" s="55" t="inlineStr">
        <is>
          <t>☀ EXCEDENTES SOLARES (kWh vertidos reales)</t>
        </is>
      </c>
      <c r="B349" s="56" t="n"/>
      <c r="C349" s="56" t="n"/>
      <c r="D349" s="56" t="n"/>
      <c r="E349" s="56" t="n"/>
      <c r="F349" s="56" t="n"/>
    </row>
    <row r="350">
      <c r="A350" s="57" t="inlineStr">
        <is>
          <t>Concepto</t>
        </is>
      </c>
      <c r="B350" s="57" t="inlineStr">
        <is>
          <t>kWh</t>
        </is>
      </c>
      <c r="D350" s="57" t="inlineStr">
        <is>
          <t>€/kWh compra</t>
        </is>
      </c>
      <c r="E350" s="57" t="inlineStr">
        <is>
          <t>€/kWh venta</t>
        </is>
      </c>
      <c r="F350" s="57" t="inlineStr">
        <is>
          <t>Importe</t>
        </is>
      </c>
    </row>
    <row r="351">
      <c r="A351" s="58" t="inlineStr">
        <is>
          <t>Compra excedentes (vertido red)</t>
        </is>
      </c>
      <c r="B351" s="59" t="n">
        <v>193</v>
      </c>
      <c r="C351" s="60" t="n"/>
      <c r="D351" s="33" t="n">
        <v>0.06</v>
      </c>
      <c r="E351" s="60" t="n"/>
      <c r="F351" s="61">
        <f>ROUND(B351*D351,2)</f>
        <v/>
      </c>
    </row>
    <row r="352">
      <c r="A352" s="58" t="inlineStr">
        <is>
          <t>Venta cliente (saldo batería, 1043)</t>
        </is>
      </c>
      <c r="B352" s="60" t="n"/>
      <c r="C352" s="60" t="n"/>
      <c r="D352" s="60" t="n"/>
      <c r="E352" s="62" t="n">
        <v>0.1</v>
      </c>
      <c r="F352" s="61" t="n">
        <v>1.36</v>
      </c>
    </row>
    <row r="353">
      <c r="A353" s="63" t="inlineStr">
        <is>
          <t>NETO Transactiva (compra − venta)</t>
        </is>
      </c>
      <c r="B353" s="60" t="n"/>
      <c r="C353" s="60" t="n"/>
      <c r="D353" s="60" t="n"/>
      <c r="E353" s="60" t="n"/>
      <c r="F353" s="64">
        <f>F351-F352</f>
        <v/>
      </c>
    </row>
    <row r="355">
      <c r="A355" s="15" t="inlineStr">
        <is>
          <t>Factura 8580 · C00060 · HV LUXO SA</t>
        </is>
      </c>
      <c r="H355" s="15" t="inlineStr">
        <is>
          <t>ES0021000001208122LK · Naturgy</t>
        </is>
      </c>
      <c r="L355" s="16" t="n">
        <v>46113</v>
      </c>
      <c r="M355" s="17" t="inlineStr">
        <is>
          <t>a</t>
        </is>
      </c>
      <c r="N355" s="16" t="n">
        <v>46142</v>
      </c>
      <c r="R355" s="18" t="inlineStr">
        <is>
          <t>HISTÓRICO DEL CUPS · HOJA TTVA LUZ</t>
        </is>
      </c>
    </row>
    <row r="356">
      <c r="A356" s="19" t="inlineStr">
        <is>
          <t>Concepto</t>
        </is>
      </c>
      <c r="B356" s="20" t="inlineStr">
        <is>
          <t>PENDIENTE (sin registrar)</t>
        </is>
      </c>
      <c r="C356" s="21" t="n"/>
      <c r="D356" s="21" t="n"/>
      <c r="E356" s="21" t="n"/>
      <c r="F356" s="21" t="n"/>
      <c r="H356" s="22" t="inlineStr">
        <is>
          <t>MES ANTERIOR · Fact.6461</t>
        </is>
      </c>
      <c r="I356" s="23" t="n"/>
      <c r="J356" s="23" t="n"/>
      <c r="L356" s="24" t="inlineStr">
        <is>
          <t>AÑO ANTERIOR · Fact.4663</t>
        </is>
      </c>
      <c r="M356" s="25" t="n"/>
      <c r="N356" s="25" t="n"/>
      <c r="R356" s="26" t="inlineStr">
        <is>
          <t>Cobrado total: 1.556 €</t>
        </is>
      </c>
    </row>
    <row r="357">
      <c r="B357" s="7" t="inlineStr">
        <is>
          <t>Cant</t>
        </is>
      </c>
      <c r="C357" s="7" t="inlineStr">
        <is>
          <t>Días</t>
        </is>
      </c>
      <c r="D357" s="7" t="inlineStr">
        <is>
          <t>PC real</t>
        </is>
      </c>
      <c r="E357" s="7" t="inlineStr">
        <is>
          <t>PV</t>
        </is>
      </c>
      <c r="F357" s="7" t="inlineStr">
        <is>
          <t>Importe</t>
        </is>
      </c>
      <c r="H357" s="27" t="inlineStr">
        <is>
          <t>Cant</t>
        </is>
      </c>
      <c r="I357" s="27" t="inlineStr">
        <is>
          <t>PV</t>
        </is>
      </c>
      <c r="J357" s="27" t="inlineStr">
        <is>
          <t>Importe</t>
        </is>
      </c>
      <c r="L357" s="28" t="inlineStr">
        <is>
          <t>Cant</t>
        </is>
      </c>
      <c r="M357" s="28" t="inlineStr">
        <is>
          <t>PV</t>
        </is>
      </c>
      <c r="N357" s="28" t="inlineStr">
        <is>
          <t>Importe</t>
        </is>
      </c>
      <c r="R357" s="29" t="inlineStr">
        <is>
          <t>Pagado total: 821 €</t>
        </is>
      </c>
    </row>
    <row r="358">
      <c r="A358" s="30" t="inlineStr">
        <is>
          <t>P1 Potencia</t>
        </is>
      </c>
      <c r="B358" s="31" t="n">
        <v>6.93</v>
      </c>
      <c r="C358" s="32">
        <f>$N$355-$L$355+1</f>
        <v/>
      </c>
      <c r="D358" s="33" t="n">
        <v>3.4086</v>
      </c>
      <c r="E358" s="34" t="n">
        <v>4.17</v>
      </c>
      <c r="F358" s="35">
        <f>ROUND(B358*E358,2)</f>
        <v/>
      </c>
      <c r="H358" s="36" t="n">
        <v>6.93</v>
      </c>
      <c r="I358" s="37" t="n">
        <v>4.17</v>
      </c>
      <c r="J358" s="38">
        <f>ROUND(H358*I358,2)</f>
        <v/>
      </c>
      <c r="L358" s="39" t="n">
        <v>6.93</v>
      </c>
      <c r="M358" s="40" t="n">
        <v>4.17</v>
      </c>
      <c r="N358" s="41">
        <f>ROUND(L358*M358,2)</f>
        <v/>
      </c>
      <c r="R358" s="42" t="inlineStr">
        <is>
          <t>DIF: 736 €   ·   Margen hist.: 47.3%</t>
        </is>
      </c>
    </row>
    <row r="359">
      <c r="A359" s="30" t="inlineStr">
        <is>
          <t>P2 Potencia</t>
        </is>
      </c>
      <c r="B359" s="31" t="n">
        <v>6.93</v>
      </c>
      <c r="C359" s="32">
        <f>$N$355-$L$355+1</f>
        <v/>
      </c>
      <c r="D359" s="33" t="n">
        <v>1.09728</v>
      </c>
      <c r="E359" s="34" t="n">
        <v>1.37</v>
      </c>
      <c r="F359" s="35">
        <f>ROUND(B359*E359,2)</f>
        <v/>
      </c>
      <c r="H359" s="36" t="n">
        <v>6.93</v>
      </c>
      <c r="I359" s="37" t="n">
        <v>1.37</v>
      </c>
      <c r="J359" s="38">
        <f>ROUND(H359*I359,2)</f>
        <v/>
      </c>
      <c r="L359" s="39" t="n">
        <v>6.93</v>
      </c>
      <c r="M359" s="40" t="n">
        <v>1.37</v>
      </c>
      <c r="N359" s="41">
        <f>ROUND(L359*M359,2)</f>
        <v/>
      </c>
      <c r="R359" s="43" t="inlineStr">
        <is>
          <t>Mejor mes: 2023-10 · 202 € · margen 56%</t>
        </is>
      </c>
    </row>
    <row r="360">
      <c r="A360" s="30" t="inlineStr">
        <is>
          <t>P1 Energía</t>
        </is>
      </c>
      <c r="B360" s="31">
        <f>IF($P$360&lt;&gt;"",ROUND(AA360*(($AB$360/(1-$P$360))-38.3922)/46.6496,2),IF('Resumen'!$D$3="OPTIMIZAR",ROUND(MAX(AA360,MIN(AA360*(($AB$360/(1-'Resumen'!$F$3))-38.3922)/46.6496,AA360*(155.7556)/46.6496)),3),AA360))</f>
        <v/>
      </c>
      <c r="C360" s="44" t="n"/>
      <c r="D360" s="33" t="n">
        <v>0.110306</v>
      </c>
      <c r="E360" s="34" t="n">
        <v>0.14937</v>
      </c>
      <c r="F360" s="35">
        <f>ROUND(B360*E360,2)</f>
        <v/>
      </c>
      <c r="H360" s="36" t="n">
        <v>151.137</v>
      </c>
      <c r="I360" s="37" t="n">
        <v>0.14937</v>
      </c>
      <c r="J360" s="38">
        <f>ROUND(H360*I360,2)</f>
        <v/>
      </c>
      <c r="L360" s="39" t="n">
        <v>27.198</v>
      </c>
      <c r="M360" s="40" t="n">
        <v>0.14937</v>
      </c>
      <c r="N360" s="41">
        <f>ROUND(L360*M360,2)</f>
        <v/>
      </c>
      <c r="O360" s="45" t="inlineStr">
        <is>
          <t>Margen objetivo (edita % aquí) ▶</t>
        </is>
      </c>
      <c r="P360" s="5" t="n"/>
      <c r="R360" s="43" t="inlineStr">
        <is>
          <t>Peor mes: 2024-06 · 7 € · margen 81%</t>
        </is>
      </c>
      <c r="AA360" t="n">
        <v>65.059</v>
      </c>
      <c r="AB360">
        <f>B358*D358+B359*D359+AA360*D360+AA361*D361+AA362*D362</f>
        <v/>
      </c>
    </row>
    <row r="361">
      <c r="A361" s="30" t="inlineStr">
        <is>
          <t>P2 Energía</t>
        </is>
      </c>
      <c r="B361" s="31">
        <f>IF($P$360&lt;&gt;"",ROUND(AA361*(($AB$360/(1-$P$360))-38.3922)/46.6496,2),IF('Resumen'!$D$3="OPTIMIZAR",ROUND(MAX(AA361,MIN(AA361*(($AB$360/(1-'Resumen'!$F$3))-38.3922)/46.6496,AA361*(155.7556)/46.6496)),3),AA361))</f>
        <v/>
      </c>
      <c r="C361" s="44" t="n"/>
      <c r="D361" s="33" t="n">
        <v>0.110306</v>
      </c>
      <c r="E361" s="34" t="n">
        <v>0.14937</v>
      </c>
      <c r="F361" s="35">
        <f>ROUND(B361*E361,2)</f>
        <v/>
      </c>
      <c r="H361" s="36" t="n">
        <v>123.193</v>
      </c>
      <c r="I361" s="37" t="n">
        <v>0.14937</v>
      </c>
      <c r="J361" s="38">
        <f>ROUND(H361*I361,2)</f>
        <v/>
      </c>
      <c r="L361" s="39" t="n">
        <v>22.981</v>
      </c>
      <c r="M361" s="40" t="n">
        <v>0.14937</v>
      </c>
      <c r="N361" s="41">
        <f>ROUND(L361*M361,2)</f>
        <v/>
      </c>
      <c r="O361" s="46" t="inlineStr">
        <is>
          <t>Cant. P1/P2/P3 energía suben</t>
        </is>
      </c>
      <c r="R361" s="43" t="inlineStr">
        <is>
          <t>Importe mensual cobrado (€) · 24 meses ▾</t>
        </is>
      </c>
      <c r="AA361" t="n">
        <v>41.968</v>
      </c>
    </row>
    <row r="362">
      <c r="A362" s="30" t="inlineStr">
        <is>
          <t>P3 Energía</t>
        </is>
      </c>
      <c r="B362" s="31">
        <f>IF($P$360&lt;&gt;"",ROUND(AA362*(($AB$360/(1-$P$360))-38.3922)/46.6496,2),IF('Resumen'!$D$3="OPTIMIZAR",ROUND(MAX(AA362,MIN(AA362*(($AB$360/(1-'Resumen'!$F$3))-38.3922)/46.6496,AA362*(155.7556)/46.6496)),3),AA362))</f>
        <v/>
      </c>
      <c r="C362" s="44" t="n"/>
      <c r="D362" s="33" t="n">
        <v>0.110306</v>
      </c>
      <c r="E362" s="34" t="n">
        <v>0.14937</v>
      </c>
      <c r="F362" s="35">
        <f>ROUND(B362*E362,2)</f>
        <v/>
      </c>
      <c r="H362" s="36" t="n">
        <v>361.742</v>
      </c>
      <c r="I362" s="37" t="n">
        <v>0.14937</v>
      </c>
      <c r="J362" s="38">
        <f>ROUND(H362*I362,2)</f>
        <v/>
      </c>
      <c r="L362" s="39" t="n">
        <v>44.96</v>
      </c>
      <c r="M362" s="40" t="n">
        <v>0.14937</v>
      </c>
      <c r="N362" s="41">
        <f>ROUND(L362*M362,2)</f>
        <v/>
      </c>
      <c r="O362" s="46" t="inlineStr">
        <is>
          <t>en proporción para ese margen</t>
        </is>
      </c>
      <c r="AA362" t="n">
        <v>205.282</v>
      </c>
    </row>
    <row r="363">
      <c r="A363" s="30" t="inlineStr">
        <is>
          <t>Alquiler contador</t>
        </is>
      </c>
      <c r="B363" s="31" t="n">
        <v>1</v>
      </c>
      <c r="C363" s="32">
        <f>$N$355-$L$355+1</f>
        <v/>
      </c>
      <c r="D363" s="33" t="n">
        <v>1.3414</v>
      </c>
      <c r="E363" s="34" t="n">
        <v>4</v>
      </c>
      <c r="F363" s="35">
        <f>ROUND(B363*E363,2)</f>
        <v/>
      </c>
      <c r="H363" s="36" t="n">
        <v>1</v>
      </c>
      <c r="I363" s="37" t="n">
        <v>4</v>
      </c>
      <c r="J363" s="38">
        <f>ROUND(H363*I363,2)</f>
        <v/>
      </c>
      <c r="L363" s="39" t="n">
        <v>1</v>
      </c>
      <c r="M363" s="40" t="n">
        <v>4</v>
      </c>
      <c r="N363" s="41">
        <f>ROUND(L363*M363,2)</f>
        <v/>
      </c>
    </row>
    <row r="364">
      <c r="A364" s="30" t="inlineStr">
        <is>
          <t>Bono social</t>
        </is>
      </c>
      <c r="B364" s="31" t="n">
        <v>30</v>
      </c>
      <c r="C364" s="32">
        <f>$N$355-$L$355+1</f>
        <v/>
      </c>
      <c r="D364" s="33" t="n">
        <v>0.5736</v>
      </c>
      <c r="E364" s="34" t="n">
        <v>0.01274</v>
      </c>
      <c r="F364" s="35">
        <f>ROUND(B364*E364,2)</f>
        <v/>
      </c>
      <c r="H364" s="36" t="n">
        <v>30</v>
      </c>
      <c r="I364" s="37" t="n">
        <v>0.01274</v>
      </c>
      <c r="J364" s="38">
        <f>ROUND(H364*I364,2)</f>
        <v/>
      </c>
      <c r="L364" s="39" t="n">
        <v>30</v>
      </c>
      <c r="M364" s="40" t="n">
        <v>0.00629</v>
      </c>
      <c r="N364" s="41">
        <f>ROUND(L364*M364,2)</f>
        <v/>
      </c>
    </row>
    <row r="365">
      <c r="A365" s="30" t="inlineStr">
        <is>
          <t>Tasa eléctrica</t>
        </is>
      </c>
      <c r="B365" s="31" t="n">
        <v>3.12</v>
      </c>
      <c r="C365" s="44" t="n"/>
      <c r="D365" s="33" t="n">
        <v>0.24729</v>
      </c>
      <c r="E365" s="34" t="n">
        <v>1</v>
      </c>
      <c r="F365" s="35">
        <f>ROUND(B365*E365,2)</f>
        <v/>
      </c>
      <c r="H365" s="36" t="n">
        <v>6.09</v>
      </c>
      <c r="I365" s="37" t="n">
        <v>1</v>
      </c>
      <c r="J365" s="38">
        <f>ROUND(H365*I365,2)</f>
        <v/>
      </c>
      <c r="L365" s="39" t="n">
        <v>1.97</v>
      </c>
      <c r="M365" s="40" t="n">
        <v>1</v>
      </c>
      <c r="N365" s="41">
        <f>ROUND(L365*M365,2)</f>
        <v/>
      </c>
    </row>
    <row r="366">
      <c r="A366" s="47" t="inlineStr">
        <is>
          <t>TOTAL c/IVA</t>
        </is>
      </c>
      <c r="F366" s="48">
        <f>ROUND((SUM(F358:F365)-F365)*1.1+F365,2)</f>
        <v/>
      </c>
      <c r="J366" s="49">
        <f>ROUND(SUM(J358:J365),2)</f>
        <v/>
      </c>
      <c r="N366" s="50">
        <f>ROUND(SUM(N358:N365),2)</f>
        <v/>
      </c>
    </row>
    <row r="367">
      <c r="A367" s="19" t="inlineStr">
        <is>
          <t>MARGEN sin registrar</t>
        </is>
      </c>
      <c r="B367" s="51">
        <f>IF((F361+F358+F360+F362+F359)=0,"",((F361+F358+F360+F362+F359)-$AB$360)/(F361+F358+F360+F362+F359))</f>
        <v/>
      </c>
      <c r="D367" s="52">
        <f>IF(B367="","SIN PC",IF(B367&gt;=0.3,"APROBAR",IF(B367&gt;=0.2,"REVISAR","RECHAZAR")))</f>
        <v/>
      </c>
      <c r="E367" s="53" t="n"/>
      <c r="F367" s="54" t="n"/>
      <c r="AD367">
        <f>SUM(F360:F362)-46.6496</f>
        <v/>
      </c>
    </row>
    <row r="368">
      <c r="A368" s="55" t="inlineStr">
        <is>
          <t>☀ EXCEDENTES SOLARES (kWh vertidos reales)</t>
        </is>
      </c>
      <c r="B368" s="56" t="n"/>
      <c r="C368" s="56" t="n"/>
      <c r="D368" s="56" t="n"/>
      <c r="E368" s="56" t="n"/>
      <c r="F368" s="56" t="n"/>
    </row>
    <row r="369">
      <c r="A369" s="57" t="inlineStr">
        <is>
          <t>Concepto</t>
        </is>
      </c>
      <c r="B369" s="57" t="inlineStr">
        <is>
          <t>kWh</t>
        </is>
      </c>
      <c r="D369" s="57" t="inlineStr">
        <is>
          <t>€/kWh compra</t>
        </is>
      </c>
      <c r="E369" s="57" t="inlineStr">
        <is>
          <t>€/kWh venta</t>
        </is>
      </c>
      <c r="F369" s="57" t="inlineStr">
        <is>
          <t>Importe</t>
        </is>
      </c>
    </row>
    <row r="370">
      <c r="A370" s="58" t="inlineStr">
        <is>
          <t>Compra excedentes (vertido red)</t>
        </is>
      </c>
      <c r="B370" s="59" t="n">
        <v>482</v>
      </c>
      <c r="C370" s="60" t="n"/>
      <c r="D370" s="33" t="n">
        <v>0.06</v>
      </c>
      <c r="E370" s="60" t="n"/>
      <c r="F370" s="61">
        <f>ROUND(B370*D370,2)</f>
        <v/>
      </c>
    </row>
    <row r="371">
      <c r="A371" s="58" t="inlineStr">
        <is>
          <t>Venta cliente (saldo batería, 1043)</t>
        </is>
      </c>
      <c r="B371" s="60" t="n"/>
      <c r="C371" s="60" t="n"/>
      <c r="D371" s="60" t="n"/>
      <c r="E371" s="62" t="n">
        <v>0.06</v>
      </c>
      <c r="F371" s="61" t="n">
        <v>24.22</v>
      </c>
    </row>
    <row r="372">
      <c r="A372" s="63" t="inlineStr">
        <is>
          <t>NETO Transactiva (compra − venta)</t>
        </is>
      </c>
      <c r="B372" s="60" t="n"/>
      <c r="C372" s="60" t="n"/>
      <c r="D372" s="60" t="n"/>
      <c r="E372" s="60" t="n"/>
      <c r="F372" s="64">
        <f>F370-F371</f>
        <v/>
      </c>
    </row>
    <row r="374">
      <c r="A374" s="15" t="inlineStr">
        <is>
          <t>Factura 8581 ·  · MANUEL GARCÍA DEL VALLE CARLOS-ROCA</t>
        </is>
      </c>
      <c r="H374" s="15" t="inlineStr">
        <is>
          <t>ES0022000007974829ZA · Naturgy</t>
        </is>
      </c>
      <c r="L374" s="16" t="n">
        <v>46113</v>
      </c>
      <c r="M374" s="17" t="inlineStr">
        <is>
          <t>a</t>
        </is>
      </c>
      <c r="N374" s="16" t="n">
        <v>46142</v>
      </c>
      <c r="R374" s="18" t="inlineStr">
        <is>
          <t>HISTÓRICO DEL CUPS · HOJA TTVA LUZ</t>
        </is>
      </c>
    </row>
    <row r="375">
      <c r="A375" s="19" t="inlineStr">
        <is>
          <t>Concepto</t>
        </is>
      </c>
      <c r="B375" s="20" t="inlineStr">
        <is>
          <t>PENDIENTE (sin registrar)</t>
        </is>
      </c>
      <c r="C375" s="21" t="n"/>
      <c r="D375" s="21" t="n"/>
      <c r="E375" s="21" t="n"/>
      <c r="F375" s="21" t="n"/>
      <c r="H375" s="22" t="inlineStr">
        <is>
          <t>MES ANTERIOR · Fact.6438</t>
        </is>
      </c>
      <c r="I375" s="23" t="n"/>
      <c r="J375" s="23" t="n"/>
      <c r="L375" s="24" t="inlineStr">
        <is>
          <t>AÑO ANTERIOR · Fact.4792</t>
        </is>
      </c>
      <c r="M375" s="25" t="n"/>
      <c r="N375" s="25" t="n"/>
      <c r="R375" s="26" t="inlineStr">
        <is>
          <t>Cobrado total: 3.463 €</t>
        </is>
      </c>
    </row>
    <row r="376">
      <c r="B376" s="7" t="inlineStr">
        <is>
          <t>Cant</t>
        </is>
      </c>
      <c r="C376" s="7" t="inlineStr">
        <is>
          <t>Días</t>
        </is>
      </c>
      <c r="D376" s="7" t="inlineStr">
        <is>
          <t>PC real</t>
        </is>
      </c>
      <c r="E376" s="7" t="inlineStr">
        <is>
          <t>PV</t>
        </is>
      </c>
      <c r="F376" s="7" t="inlineStr">
        <is>
          <t>Importe</t>
        </is>
      </c>
      <c r="H376" s="27" t="inlineStr">
        <is>
          <t>Cant</t>
        </is>
      </c>
      <c r="I376" s="27" t="inlineStr">
        <is>
          <t>PV</t>
        </is>
      </c>
      <c r="J376" s="27" t="inlineStr">
        <is>
          <t>Importe</t>
        </is>
      </c>
      <c r="L376" s="28" t="inlineStr">
        <is>
          <t>Cant</t>
        </is>
      </c>
      <c r="M376" s="28" t="inlineStr">
        <is>
          <t>PV</t>
        </is>
      </c>
      <c r="N376" s="28" t="inlineStr">
        <is>
          <t>Importe</t>
        </is>
      </c>
      <c r="R376" s="29" t="inlineStr">
        <is>
          <t>Pagado total: 2.847 €</t>
        </is>
      </c>
    </row>
    <row r="377">
      <c r="A377" s="30" t="inlineStr">
        <is>
          <t>P1 Potencia</t>
        </is>
      </c>
      <c r="B377" s="31" t="n">
        <v>9.9</v>
      </c>
      <c r="C377" s="32">
        <f>$N$374-$L$374+1</f>
        <v/>
      </c>
      <c r="D377" s="33" t="n">
        <v>3.68919</v>
      </c>
      <c r="E377" s="34" t="n">
        <v>3.7376</v>
      </c>
      <c r="F377" s="35">
        <f>ROUND(B377*E377,2)</f>
        <v/>
      </c>
      <c r="H377" s="36" t="n">
        <v>9.9</v>
      </c>
      <c r="I377" s="37" t="n">
        <v>3.7376</v>
      </c>
      <c r="J377" s="38">
        <f>ROUND(H377*I377,2)</f>
        <v/>
      </c>
      <c r="L377" s="39" t="n">
        <v>9.9</v>
      </c>
      <c r="M377" s="40" t="n">
        <v>3.85</v>
      </c>
      <c r="N377" s="41">
        <f>ROUND(L377*M377,2)</f>
        <v/>
      </c>
      <c r="R377" s="42" t="inlineStr">
        <is>
          <t>DIF: 616 €   ·   Margen hist.: 17.8%</t>
        </is>
      </c>
    </row>
    <row r="378">
      <c r="A378" s="30" t="inlineStr">
        <is>
          <t>P2 Potencia</t>
        </is>
      </c>
      <c r="B378" s="31" t="n">
        <v>9.9</v>
      </c>
      <c r="C378" s="32">
        <f>$N$374-$L$374+1</f>
        <v/>
      </c>
      <c r="D378" s="33" t="n">
        <v>1.31928</v>
      </c>
      <c r="E378" s="34" t="n">
        <v>1.3068</v>
      </c>
      <c r="F378" s="35">
        <f>ROUND(B378*E378,2)</f>
        <v/>
      </c>
      <c r="H378" s="36" t="n">
        <v>9.9</v>
      </c>
      <c r="I378" s="37" t="n">
        <v>1.3068</v>
      </c>
      <c r="J378" s="38">
        <f>ROUND(H378*I378,2)</f>
        <v/>
      </c>
      <c r="L378" s="39" t="n">
        <v>9.9</v>
      </c>
      <c r="M378" s="40" t="n">
        <v>1.55</v>
      </c>
      <c r="N378" s="41">
        <f>ROUND(L378*M378,2)</f>
        <v/>
      </c>
      <c r="R378" s="43" t="inlineStr">
        <is>
          <t>Mejor mes: 2024-11 · 243 € · margen 36%</t>
        </is>
      </c>
    </row>
    <row r="379">
      <c r="A379" s="30" t="inlineStr">
        <is>
          <t>P1 Energía</t>
        </is>
      </c>
      <c r="B379" s="31">
        <f>IF($P$379&lt;&gt;"",ROUND(AA379*(($AB$379/(1-$P$379))-49.9396)/40.5353,2),IF('Resumen'!$D$3="OPTIMIZAR",ROUND(MAX(AA379,MIN(AA379*(($AB$379/(1-'Resumen'!$F$3))-49.9396)/40.5353,AA379*(193.0982)/40.5353)),3),AA379))</f>
        <v/>
      </c>
      <c r="C379" s="44" t="n"/>
      <c r="D379" s="33" t="n">
        <v>0.111171</v>
      </c>
      <c r="E379" s="34" t="n">
        <v>0.13788</v>
      </c>
      <c r="F379" s="35">
        <f>ROUND(B379*E379,2)</f>
        <v/>
      </c>
      <c r="H379" s="36" t="n">
        <v>540.207</v>
      </c>
      <c r="I379" s="37" t="n">
        <v>0.13788</v>
      </c>
      <c r="J379" s="38">
        <f>ROUND(H379*I379,2)</f>
        <v/>
      </c>
      <c r="L379" s="39" t="n">
        <v>503</v>
      </c>
      <c r="M379" s="40" t="n">
        <v>0.13788</v>
      </c>
      <c r="N379" s="41">
        <f>ROUND(L379*M379,2)</f>
        <v/>
      </c>
      <c r="O379" s="45" t="inlineStr">
        <is>
          <t>Margen objetivo (edita % aquí) ▶</t>
        </is>
      </c>
      <c r="P379" s="5" t="n"/>
      <c r="R379" s="43" t="inlineStr">
        <is>
          <t>Peor mes: 2024-06 · 93 € · margen 16%</t>
        </is>
      </c>
      <c r="AA379" t="n">
        <v>293.99</v>
      </c>
      <c r="AB379">
        <f>B377*D377+B378*D378+AA379*D379+AA380*D380+AA381*D381</f>
        <v/>
      </c>
    </row>
    <row r="380">
      <c r="A380" s="30" t="inlineStr">
        <is>
          <t>P2 Energía</t>
        </is>
      </c>
      <c r="B380" s="31">
        <f>IF($P$379&lt;&gt;"",ROUND(AA380*(($AB$379/(1-$P$379))-49.9396)/40.5353,2),IF('Resumen'!$D$3="OPTIMIZAR",ROUND(MAX(AA380,MIN(AA380*(($AB$379/(1-'Resumen'!$F$3))-49.9396)/40.5353,AA380*(193.0982)/40.5353)),3),AA380))</f>
        <v/>
      </c>
      <c r="C380" s="44" t="n"/>
      <c r="D380" s="33" t="n">
        <v>0.111171</v>
      </c>
      <c r="E380" s="34" t="n">
        <v>0</v>
      </c>
      <c r="F380" s="35">
        <f>ROUND(B380*E380,2)</f>
        <v/>
      </c>
      <c r="H380" s="67" t="n"/>
      <c r="I380" s="67" t="n"/>
      <c r="J380" s="67" t="n"/>
      <c r="L380" s="65" t="n"/>
      <c r="M380" s="65" t="n"/>
      <c r="N380" s="65" t="n"/>
      <c r="O380" s="46" t="inlineStr">
        <is>
          <t>Cant. P1/P2/P3 energía suben</t>
        </is>
      </c>
      <c r="R380" s="43" t="inlineStr">
        <is>
          <t>Importe mensual cobrado (€) · 24 meses ▾</t>
        </is>
      </c>
      <c r="AA380" t="n">
        <v>0</v>
      </c>
    </row>
    <row r="381">
      <c r="A381" s="30" t="inlineStr">
        <is>
          <t>P3 Energía</t>
        </is>
      </c>
      <c r="B381" s="31">
        <f>IF($P$379&lt;&gt;"",ROUND(AA381*(($AB$379/(1-$P$379))-49.9396)/40.5353,2),IF('Resumen'!$D$3="OPTIMIZAR",ROUND(MAX(AA381,MIN(AA381*(($AB$379/(1-'Resumen'!$F$3))-49.9396)/40.5353,AA381*(193.0982)/40.5353)),3),AA381))</f>
        <v/>
      </c>
      <c r="C381" s="44" t="n"/>
      <c r="D381" s="33" t="n">
        <v>0.111171</v>
      </c>
      <c r="E381" s="34" t="n">
        <v>0</v>
      </c>
      <c r="F381" s="35">
        <f>ROUND(B381*E381,2)</f>
        <v/>
      </c>
      <c r="H381" s="67" t="n"/>
      <c r="I381" s="67" t="n"/>
      <c r="J381" s="67" t="n"/>
      <c r="L381" s="65" t="n"/>
      <c r="M381" s="65" t="n"/>
      <c r="N381" s="65" t="n"/>
      <c r="O381" s="46" t="inlineStr">
        <is>
          <t>en proporción para ese margen</t>
        </is>
      </c>
      <c r="AA381" t="n">
        <v>0</v>
      </c>
    </row>
    <row r="382">
      <c r="A382" s="30" t="inlineStr">
        <is>
          <t>Alquiler contador</t>
        </is>
      </c>
      <c r="B382" s="31" t="n">
        <v>0</v>
      </c>
      <c r="C382" s="32">
        <f>$N$374-$L$374+1</f>
        <v/>
      </c>
      <c r="D382" s="33" t="n"/>
      <c r="E382" s="34" t="n">
        <v>0</v>
      </c>
      <c r="F382" s="35">
        <f>ROUND(B382*E382,2)</f>
        <v/>
      </c>
      <c r="H382" s="67" t="n"/>
      <c r="I382" s="67" t="n"/>
      <c r="J382" s="67" t="n"/>
      <c r="L382" s="65" t="n"/>
      <c r="M382" s="65" t="n"/>
      <c r="N382" s="65" t="n"/>
    </row>
    <row r="383">
      <c r="A383" s="30" t="inlineStr">
        <is>
          <t>Bono social</t>
        </is>
      </c>
      <c r="B383" s="31" t="n">
        <v>30</v>
      </c>
      <c r="C383" s="32">
        <f>$N$374-$L$374+1</f>
        <v/>
      </c>
      <c r="D383" s="33" t="n">
        <v>0.5736</v>
      </c>
      <c r="E383" s="34" t="n">
        <v>0.01274</v>
      </c>
      <c r="F383" s="35">
        <f>ROUND(B383*E383,2)</f>
        <v/>
      </c>
      <c r="H383" s="36" t="n">
        <v>30</v>
      </c>
      <c r="I383" s="37" t="n">
        <v>0.01274</v>
      </c>
      <c r="J383" s="38">
        <f>ROUND(H383*I383,2)</f>
        <v/>
      </c>
      <c r="L383" s="39" t="n">
        <v>30</v>
      </c>
      <c r="M383" s="40" t="n">
        <v>0.00629</v>
      </c>
      <c r="N383" s="41">
        <f>ROUND(L383*M383,2)</f>
        <v/>
      </c>
    </row>
    <row r="384">
      <c r="A384" s="30" t="inlineStr">
        <is>
          <t>Tasa eléctrica</t>
        </is>
      </c>
      <c r="B384" s="31" t="n">
        <v>0</v>
      </c>
      <c r="C384" s="44" t="n"/>
      <c r="D384" s="33" t="n"/>
      <c r="E384" s="34" t="n">
        <v>0</v>
      </c>
      <c r="F384" s="35">
        <f>ROUND(B384*E384,2)</f>
        <v/>
      </c>
      <c r="H384" s="67" t="n"/>
      <c r="I384" s="67" t="n"/>
      <c r="J384" s="67" t="n"/>
      <c r="L384" s="65" t="n"/>
      <c r="M384" s="65" t="n"/>
      <c r="N384" s="65" t="n"/>
    </row>
    <row r="385">
      <c r="A385" s="47" t="inlineStr">
        <is>
          <t>TOTAL c/IVA</t>
        </is>
      </c>
      <c r="F385" s="48">
        <f>ROUND((SUM(F377:F384)-F384)*1.1+F384,2)</f>
        <v/>
      </c>
      <c r="J385" s="49">
        <f>ROUND(SUM(J377:J384),2)</f>
        <v/>
      </c>
      <c r="N385" s="50">
        <f>ROUND(SUM(N377:N384),2)</f>
        <v/>
      </c>
    </row>
    <row r="386">
      <c r="A386" s="19" t="inlineStr">
        <is>
          <t>MARGEN sin registrar</t>
        </is>
      </c>
      <c r="B386" s="51">
        <f>IF((F380+F377+F379+F381+F378)=0,"",((F380+F377+F379+F381+F378)-$AB$379)/(F380+F377+F379+F381+F378))</f>
        <v/>
      </c>
      <c r="D386" s="52">
        <f>IF(B386="","SIN PC",IF(B386&gt;=0.3,"APROBAR",IF(B386&gt;=0.2,"REVISAR","RECHAZAR")))</f>
        <v/>
      </c>
      <c r="E386" s="53" t="n"/>
      <c r="F386" s="54" t="n"/>
      <c r="AD386">
        <f>SUM(F379:F381)-40.5353</f>
        <v/>
      </c>
    </row>
    <row r="388">
      <c r="A388" s="15" t="inlineStr">
        <is>
          <t>Factura 8584 · C00040 · Mª ROSARIO ORTOLÁ FERRER</t>
        </is>
      </c>
      <c r="H388" s="15" t="inlineStr">
        <is>
          <t>ES0021000000827846TG · Naturgy</t>
        </is>
      </c>
      <c r="L388" s="16" t="n">
        <v>46113</v>
      </c>
      <c r="M388" s="17" t="inlineStr">
        <is>
          <t>a</t>
        </is>
      </c>
      <c r="N388" s="16" t="n">
        <v>46142</v>
      </c>
      <c r="R388" s="18" t="inlineStr">
        <is>
          <t>HISTÓRICO DEL CUPS · HOJA TTVA LUZ</t>
        </is>
      </c>
    </row>
    <row r="389">
      <c r="A389" s="19" t="inlineStr">
        <is>
          <t>Concepto</t>
        </is>
      </c>
      <c r="B389" s="20" t="inlineStr">
        <is>
          <t>PENDIENTE (sin registrar)</t>
        </is>
      </c>
      <c r="C389" s="21" t="n"/>
      <c r="D389" s="21" t="n"/>
      <c r="E389" s="21" t="n"/>
      <c r="F389" s="21" t="n"/>
      <c r="H389" s="22" t="inlineStr">
        <is>
          <t>MES ANTERIOR · Fact.6463</t>
        </is>
      </c>
      <c r="I389" s="23" t="n"/>
      <c r="J389" s="23" t="n"/>
      <c r="L389" s="24" t="inlineStr">
        <is>
          <t>AÑO ANTERIOR · Fact.4665</t>
        </is>
      </c>
      <c r="M389" s="25" t="n"/>
      <c r="N389" s="25" t="n"/>
      <c r="R389" s="26" t="inlineStr">
        <is>
          <t>Cobrado total: 10.841 €</t>
        </is>
      </c>
    </row>
    <row r="390">
      <c r="B390" s="7" t="inlineStr">
        <is>
          <t>Cant</t>
        </is>
      </c>
      <c r="C390" s="7" t="inlineStr">
        <is>
          <t>Días</t>
        </is>
      </c>
      <c r="D390" s="7" t="inlineStr">
        <is>
          <t>PC real</t>
        </is>
      </c>
      <c r="E390" s="7" t="inlineStr">
        <is>
          <t>PV</t>
        </is>
      </c>
      <c r="F390" s="7" t="inlineStr">
        <is>
          <t>Importe</t>
        </is>
      </c>
      <c r="H390" s="27" t="inlineStr">
        <is>
          <t>Cant</t>
        </is>
      </c>
      <c r="I390" s="27" t="inlineStr">
        <is>
          <t>PV</t>
        </is>
      </c>
      <c r="J390" s="27" t="inlineStr">
        <is>
          <t>Importe</t>
        </is>
      </c>
      <c r="L390" s="28" t="inlineStr">
        <is>
          <t>Cant</t>
        </is>
      </c>
      <c r="M390" s="28" t="inlineStr">
        <is>
          <t>PV</t>
        </is>
      </c>
      <c r="N390" s="28" t="inlineStr">
        <is>
          <t>Importe</t>
        </is>
      </c>
      <c r="R390" s="29" t="inlineStr">
        <is>
          <t>Pagado total: 6.963 €</t>
        </is>
      </c>
    </row>
    <row r="391">
      <c r="A391" s="30" t="inlineStr">
        <is>
          <t>P1 Potencia</t>
        </is>
      </c>
      <c r="B391" s="31" t="n">
        <v>6.9</v>
      </c>
      <c r="C391" s="32">
        <f>$N$388-$L$388+1</f>
        <v/>
      </c>
      <c r="D391" s="33" t="n">
        <v>3.4086</v>
      </c>
      <c r="E391" s="34" t="n">
        <v>4.17</v>
      </c>
      <c r="F391" s="35">
        <f>ROUND(B391*E391,2)</f>
        <v/>
      </c>
      <c r="H391" s="36" t="n">
        <v>6.9</v>
      </c>
      <c r="I391" s="37" t="n">
        <v>4.17</v>
      </c>
      <c r="J391" s="38">
        <f>ROUND(H391*I391,2)</f>
        <v/>
      </c>
      <c r="L391" s="39" t="n">
        <v>6.9</v>
      </c>
      <c r="M391" s="40" t="n">
        <v>4.17</v>
      </c>
      <c r="N391" s="41">
        <f>ROUND(L391*M391,2)</f>
        <v/>
      </c>
      <c r="R391" s="42" t="inlineStr">
        <is>
          <t>DIF: 3.878 €   ·   Margen hist.: 35.8%</t>
        </is>
      </c>
    </row>
    <row r="392">
      <c r="A392" s="30" t="inlineStr">
        <is>
          <t>P2 Potencia</t>
        </is>
      </c>
      <c r="B392" s="31" t="n">
        <v>6.9</v>
      </c>
      <c r="C392" s="32">
        <f>$N$388-$L$388+1</f>
        <v/>
      </c>
      <c r="D392" s="33" t="n">
        <v>1.09728</v>
      </c>
      <c r="E392" s="34" t="n">
        <v>1.37</v>
      </c>
      <c r="F392" s="35">
        <f>ROUND(B392*E392,2)</f>
        <v/>
      </c>
      <c r="H392" s="36" t="n">
        <v>6.9</v>
      </c>
      <c r="I392" s="37" t="n">
        <v>1.37</v>
      </c>
      <c r="J392" s="38">
        <f>ROUND(H392*I392,2)</f>
        <v/>
      </c>
      <c r="L392" s="39" t="n">
        <v>6.9</v>
      </c>
      <c r="M392" s="40" t="n">
        <v>1.37</v>
      </c>
      <c r="N392" s="41">
        <f>ROUND(L392*M392,2)</f>
        <v/>
      </c>
      <c r="R392" s="43" t="inlineStr">
        <is>
          <t>Mejor mes: 2023-07 · 768 € · margen 71%</t>
        </is>
      </c>
    </row>
    <row r="393">
      <c r="A393" s="30" t="inlineStr">
        <is>
          <t>P1 Energía</t>
        </is>
      </c>
      <c r="B393" s="31">
        <f>IF($P$393&lt;&gt;"",ROUND(AA393*(($AB$393/(1-$P$393))-38.2260)/21.8618,2),IF('Resumen'!$D$3="OPTIMIZAR",ROUND(MAX(AA393,MIN(AA393*(($AB$393/(1-'Resumen'!$F$3))-38.2260)/21.8618,AA393*(721.8618)/21.8618)),3),AA393))</f>
        <v/>
      </c>
      <c r="C393" s="44" t="n"/>
      <c r="D393" s="33" t="n">
        <v>0.110306</v>
      </c>
      <c r="E393" s="34" t="n">
        <v>0.14937</v>
      </c>
      <c r="F393" s="35">
        <f>ROUND(B393*E393,2)</f>
        <v/>
      </c>
      <c r="H393" s="36" t="n">
        <v>458.117</v>
      </c>
      <c r="I393" s="37" t="n">
        <v>0.14937</v>
      </c>
      <c r="J393" s="38">
        <f>ROUND(H393*I393,2)</f>
        <v/>
      </c>
      <c r="L393" s="39" t="n">
        <v>314.506</v>
      </c>
      <c r="M393" s="40" t="n">
        <v>0.14937</v>
      </c>
      <c r="N393" s="41">
        <f>ROUND(L393*M393,2)</f>
        <v/>
      </c>
      <c r="O393" s="45" t="inlineStr">
        <is>
          <t>Margen objetivo (edita % aquí) ▶</t>
        </is>
      </c>
      <c r="P393" s="5" t="n"/>
      <c r="R393" s="43" t="inlineStr">
        <is>
          <t>Peor mes: 2024-01 · 205 € · margen 30%</t>
        </is>
      </c>
      <c r="AA393" t="n">
        <v>33.816</v>
      </c>
      <c r="AB393">
        <f>B391*D391+B392*D392+AA393*D393+AA394*D394+AA395*D395</f>
        <v/>
      </c>
    </row>
    <row r="394">
      <c r="A394" s="30" t="inlineStr">
        <is>
          <t>P2 Energía</t>
        </is>
      </c>
      <c r="B394" s="31">
        <f>IF($P$393&lt;&gt;"",ROUND(AA394*(($AB$393/(1-$P$393))-38.2260)/21.8618,2),IF('Resumen'!$D$3="OPTIMIZAR",ROUND(MAX(AA394,MIN(AA394*(($AB$393/(1-'Resumen'!$F$3))-38.2260)/21.8618,AA394*(721.8618)/21.8618)),3),AA394))</f>
        <v/>
      </c>
      <c r="C394" s="44" t="n"/>
      <c r="D394" s="33" t="n">
        <v>0.110306</v>
      </c>
      <c r="E394" s="34" t="n">
        <v>0.14937</v>
      </c>
      <c r="F394" s="35">
        <f>ROUND(B394*E394,2)</f>
        <v/>
      </c>
      <c r="H394" s="36" t="n">
        <v>441.228</v>
      </c>
      <c r="I394" s="37" t="n">
        <v>0.14937</v>
      </c>
      <c r="J394" s="38">
        <f>ROUND(H394*I394,2)</f>
        <v/>
      </c>
      <c r="L394" s="39" t="n">
        <v>462.708</v>
      </c>
      <c r="M394" s="40" t="n">
        <v>0.14937</v>
      </c>
      <c r="N394" s="41">
        <f>ROUND(L394*M394,2)</f>
        <v/>
      </c>
      <c r="O394" s="46" t="inlineStr">
        <is>
          <t>Cant. P1/P2/P3 energía suben</t>
        </is>
      </c>
      <c r="R394" s="43" t="inlineStr">
        <is>
          <t>Importe mensual cobrado (€) · 24 meses ▾</t>
        </is>
      </c>
      <c r="AA394" t="n">
        <v>25.155</v>
      </c>
    </row>
    <row r="395">
      <c r="A395" s="30" t="inlineStr">
        <is>
          <t>P3 Energía</t>
        </is>
      </c>
      <c r="B395" s="31">
        <f>IF($P$393&lt;&gt;"",ROUND(AA395*(($AB$393/(1-$P$393))-38.2260)/21.8618,2),IF('Resumen'!$D$3="OPTIMIZAR",ROUND(MAX(AA395,MIN(AA395*(($AB$393/(1-'Resumen'!$F$3))-38.2260)/21.8618,AA395*(721.8618)/21.8618)),3),AA395))</f>
        <v/>
      </c>
      <c r="C395" s="44" t="n"/>
      <c r="D395" s="33" t="n">
        <v>0.110306</v>
      </c>
      <c r="E395" s="34" t="n">
        <v>0.14937</v>
      </c>
      <c r="F395" s="35">
        <f>ROUND(B395*E395,2)</f>
        <v/>
      </c>
      <c r="H395" s="36" t="n">
        <v>967.329</v>
      </c>
      <c r="I395" s="37" t="n">
        <v>0.14937</v>
      </c>
      <c r="J395" s="38">
        <f>ROUND(H395*I395,2)</f>
        <v/>
      </c>
      <c r="L395" s="39" t="n">
        <v>906.1319999999999</v>
      </c>
      <c r="M395" s="40" t="n">
        <v>0.14937</v>
      </c>
      <c r="N395" s="41">
        <f>ROUND(L395*M395,2)</f>
        <v/>
      </c>
      <c r="O395" s="46" t="inlineStr">
        <is>
          <t>en proporción para ese margen</t>
        </is>
      </c>
      <c r="AA395" t="n">
        <v>87.389</v>
      </c>
    </row>
    <row r="396">
      <c r="A396" s="30" t="inlineStr">
        <is>
          <t>Alquiler contador</t>
        </is>
      </c>
      <c r="B396" s="31" t="n">
        <v>1</v>
      </c>
      <c r="C396" s="32">
        <f>$N$388-$L$388+1</f>
        <v/>
      </c>
      <c r="D396" s="33" t="n">
        <v>0.7989000000000001</v>
      </c>
      <c r="E396" s="34" t="n">
        <v>4</v>
      </c>
      <c r="F396" s="35">
        <f>ROUND(B396*E396,2)</f>
        <v/>
      </c>
      <c r="H396" s="36" t="n">
        <v>1</v>
      </c>
      <c r="I396" s="37" t="n">
        <v>4</v>
      </c>
      <c r="J396" s="38">
        <f>ROUND(H396*I396,2)</f>
        <v/>
      </c>
      <c r="L396" s="39" t="n">
        <v>1</v>
      </c>
      <c r="M396" s="40" t="n">
        <v>4</v>
      </c>
      <c r="N396" s="41">
        <f>ROUND(L396*M396,2)</f>
        <v/>
      </c>
    </row>
    <row r="397">
      <c r="A397" s="30" t="inlineStr">
        <is>
          <t>Bono social</t>
        </is>
      </c>
      <c r="B397" s="31" t="n">
        <v>30</v>
      </c>
      <c r="C397" s="32">
        <f>$N$388-$L$388+1</f>
        <v/>
      </c>
      <c r="D397" s="33" t="n">
        <v>0.5736</v>
      </c>
      <c r="E397" s="34" t="n">
        <v>0.01274</v>
      </c>
      <c r="F397" s="35">
        <f>ROUND(B397*E397,2)</f>
        <v/>
      </c>
      <c r="H397" s="36" t="n">
        <v>30</v>
      </c>
      <c r="I397" s="37" t="n">
        <v>0.01274</v>
      </c>
      <c r="J397" s="38">
        <f>ROUND(H397*I397,2)</f>
        <v/>
      </c>
      <c r="L397" s="39" t="n">
        <v>30</v>
      </c>
      <c r="M397" s="40" t="n">
        <v>0.00629</v>
      </c>
      <c r="N397" s="41">
        <f>ROUND(L397*M397,2)</f>
        <v/>
      </c>
    </row>
    <row r="398">
      <c r="A398" s="30" t="inlineStr">
        <is>
          <t>Tasa eléctrica</t>
        </is>
      </c>
      <c r="B398" s="31" t="n">
        <v>3.06</v>
      </c>
      <c r="C398" s="44" t="n"/>
      <c r="D398" s="33" t="n">
        <v>0.24729</v>
      </c>
      <c r="E398" s="34" t="n">
        <v>1</v>
      </c>
      <c r="F398" s="35">
        <f>ROUND(B398*E398,2)</f>
        <v/>
      </c>
      <c r="H398" s="36" t="n">
        <v>16.12</v>
      </c>
      <c r="I398" s="37" t="n">
        <v>1</v>
      </c>
      <c r="J398" s="38">
        <f>ROUND(H398*I398,2)</f>
        <v/>
      </c>
      <c r="L398" s="39" t="n">
        <v>15.43</v>
      </c>
      <c r="M398" s="40" t="n">
        <v>1</v>
      </c>
      <c r="N398" s="41">
        <f>ROUND(L398*M398,2)</f>
        <v/>
      </c>
    </row>
    <row r="399">
      <c r="A399" s="47" t="inlineStr">
        <is>
          <t>TOTAL c/IVA</t>
        </is>
      </c>
      <c r="F399" s="48">
        <f>ROUND((SUM(F391:F398)-F398)*1.1+F398,2)</f>
        <v/>
      </c>
      <c r="J399" s="49">
        <f>ROUND(SUM(J391:J398),2)</f>
        <v/>
      </c>
      <c r="N399" s="50">
        <f>ROUND(SUM(N391:N398),2)</f>
        <v/>
      </c>
    </row>
    <row r="400">
      <c r="A400" s="19" t="inlineStr">
        <is>
          <t>MARGEN sin registrar</t>
        </is>
      </c>
      <c r="B400" s="51">
        <f>IF((F394+F391+F393+F395+F392)=0,"",((F394+F391+F393+F395+F392)-$AB$393)/(F394+F391+F393+F395+F392))</f>
        <v/>
      </c>
      <c r="D400" s="52">
        <f>IF(B400="","SIN PC",IF(B400&gt;=0.3,"APROBAR",IF(B400&gt;=0.2,"REVISAR","RECHAZAR")))</f>
        <v/>
      </c>
      <c r="E400" s="53" t="n"/>
      <c r="F400" s="54" t="n"/>
      <c r="AD400">
        <f>SUM(F393:F395)-21.8618</f>
        <v/>
      </c>
    </row>
    <row r="401">
      <c r="A401" s="55" t="inlineStr">
        <is>
          <t>☀ EXCEDENTES SOLARES (kWh vertidos reales)</t>
        </is>
      </c>
      <c r="B401" s="56" t="n"/>
      <c r="C401" s="56" t="n"/>
      <c r="D401" s="56" t="n"/>
      <c r="E401" s="56" t="n"/>
      <c r="F401" s="56" t="n"/>
    </row>
    <row r="402">
      <c r="A402" s="57" t="inlineStr">
        <is>
          <t>Concepto</t>
        </is>
      </c>
      <c r="B402" s="57" t="inlineStr">
        <is>
          <t>kWh</t>
        </is>
      </c>
      <c r="D402" s="57" t="inlineStr">
        <is>
          <t>€/kWh compra</t>
        </is>
      </c>
      <c r="E402" s="57" t="inlineStr">
        <is>
          <t>€/kWh venta</t>
        </is>
      </c>
      <c r="F402" s="57" t="inlineStr">
        <is>
          <t>Importe</t>
        </is>
      </c>
    </row>
    <row r="403">
      <c r="A403" s="58" t="inlineStr">
        <is>
          <t>Compra excedentes (vertido red)</t>
        </is>
      </c>
      <c r="B403" s="59" t="n">
        <v>23</v>
      </c>
      <c r="C403" s="60" t="n"/>
      <c r="D403" s="33" t="n">
        <v>0.06</v>
      </c>
      <c r="E403" s="60" t="n"/>
      <c r="F403" s="61">
        <f>ROUND(B403*D403,2)</f>
        <v/>
      </c>
      <c r="H403" s="68" t="inlineStr">
        <is>
          <t>⚠ periodo parcial 01-24abr</t>
        </is>
      </c>
    </row>
    <row r="404">
      <c r="A404" s="58" t="inlineStr">
        <is>
          <t>Venta cliente (saldo batería, 1043)</t>
        </is>
      </c>
      <c r="B404" s="60" t="n"/>
      <c r="C404" s="60" t="n"/>
      <c r="D404" s="60" t="n"/>
      <c r="E404" s="62" t="n">
        <v>0.06</v>
      </c>
      <c r="F404" s="61" t="n">
        <v>0.31</v>
      </c>
    </row>
    <row r="405">
      <c r="A405" s="63" t="inlineStr">
        <is>
          <t>NETO Transactiva (compra − venta)</t>
        </is>
      </c>
      <c r="B405" s="60" t="n"/>
      <c r="C405" s="60" t="n"/>
      <c r="D405" s="60" t="n"/>
      <c r="E405" s="60" t="n"/>
      <c r="F405" s="64">
        <f>F403-F404</f>
        <v/>
      </c>
    </row>
    <row r="407">
      <c r="A407" s="15" t="inlineStr">
        <is>
          <t>Factura 8585 · C00050 · HELADOS ESPI</t>
        </is>
      </c>
      <c r="H407" s="15" t="inlineStr">
        <is>
          <t>ES0021000001210794KW · Naturgy</t>
        </is>
      </c>
      <c r="L407" s="16" t="n">
        <v>46113</v>
      </c>
      <c r="M407" s="17" t="inlineStr">
        <is>
          <t>a</t>
        </is>
      </c>
      <c r="N407" s="16" t="n">
        <v>46142</v>
      </c>
      <c r="R407" s="18" t="inlineStr">
        <is>
          <t>HISTÓRICO DEL CUPS · HOJA TTVA LUZ</t>
        </is>
      </c>
    </row>
    <row r="408">
      <c r="A408" s="19" t="inlineStr">
        <is>
          <t>Concepto</t>
        </is>
      </c>
      <c r="B408" s="20" t="inlineStr">
        <is>
          <t>PENDIENTE (sin registrar)</t>
        </is>
      </c>
      <c r="C408" s="21" t="n"/>
      <c r="D408" s="21" t="n"/>
      <c r="E408" s="21" t="n"/>
      <c r="F408" s="21" t="n"/>
      <c r="H408" s="22" t="inlineStr">
        <is>
          <t>MES ANTERIOR · Fact.6462</t>
        </is>
      </c>
      <c r="I408" s="23" t="n"/>
      <c r="J408" s="23" t="n"/>
      <c r="L408" s="24" t="inlineStr">
        <is>
          <t>AÑO ANTERIOR · Fact.4664</t>
        </is>
      </c>
      <c r="M408" s="25" t="n"/>
      <c r="N408" s="25" t="n"/>
      <c r="R408" s="26" t="inlineStr">
        <is>
          <t>Cobrado total: 5.331 €</t>
        </is>
      </c>
    </row>
    <row r="409">
      <c r="B409" s="7" t="inlineStr">
        <is>
          <t>Cant</t>
        </is>
      </c>
      <c r="C409" s="7" t="inlineStr">
        <is>
          <t>Días</t>
        </is>
      </c>
      <c r="D409" s="7" t="inlineStr">
        <is>
          <t>PC real</t>
        </is>
      </c>
      <c r="E409" s="7" t="inlineStr">
        <is>
          <t>PV</t>
        </is>
      </c>
      <c r="F409" s="7" t="inlineStr">
        <is>
          <t>Importe</t>
        </is>
      </c>
      <c r="H409" s="27" t="inlineStr">
        <is>
          <t>Cant</t>
        </is>
      </c>
      <c r="I409" s="27" t="inlineStr">
        <is>
          <t>PV</t>
        </is>
      </c>
      <c r="J409" s="27" t="inlineStr">
        <is>
          <t>Importe</t>
        </is>
      </c>
      <c r="L409" s="28" t="inlineStr">
        <is>
          <t>Cant</t>
        </is>
      </c>
      <c r="M409" s="28" t="inlineStr">
        <is>
          <t>PV</t>
        </is>
      </c>
      <c r="N409" s="28" t="inlineStr">
        <is>
          <t>Importe</t>
        </is>
      </c>
      <c r="R409" s="29" t="inlineStr">
        <is>
          <t>Pagado total: 3.726 €</t>
        </is>
      </c>
    </row>
    <row r="410">
      <c r="A410" s="30" t="inlineStr">
        <is>
          <t>P1 Potencia</t>
        </is>
      </c>
      <c r="B410" s="31" t="n">
        <v>8.300000000000001</v>
      </c>
      <c r="C410" s="32">
        <f>$N$407-$L$407+1</f>
        <v/>
      </c>
      <c r="D410" s="33" t="n">
        <v>3.345</v>
      </c>
      <c r="E410" s="34" t="n">
        <v>3.85</v>
      </c>
      <c r="F410" s="35">
        <f>ROUND(B410*E410,2)</f>
        <v/>
      </c>
      <c r="H410" s="36" t="n">
        <v>8.300000000000001</v>
      </c>
      <c r="I410" s="37" t="n">
        <v>3.85</v>
      </c>
      <c r="J410" s="38">
        <f>ROUND(H410*I410,2)</f>
        <v/>
      </c>
      <c r="L410" s="39" t="n">
        <v>8.300000000000001</v>
      </c>
      <c r="M410" s="40" t="n">
        <v>3.85</v>
      </c>
      <c r="N410" s="41">
        <f>ROUND(L410*M410,2)</f>
        <v/>
      </c>
      <c r="R410" s="42" t="inlineStr">
        <is>
          <t>DIF: 1.605 €   ·   Margen hist.: 30.1%</t>
        </is>
      </c>
    </row>
    <row r="411">
      <c r="A411" s="30" t="inlineStr">
        <is>
          <t>P2 Potencia</t>
        </is>
      </c>
      <c r="B411" s="31" t="n">
        <v>8.300000000000001</v>
      </c>
      <c r="C411" s="32">
        <f>$N$407-$L$407+1</f>
        <v/>
      </c>
      <c r="D411" s="33" t="n">
        <v>1.095</v>
      </c>
      <c r="E411" s="34" t="n">
        <v>1.33</v>
      </c>
      <c r="F411" s="35">
        <f>ROUND(B411*E411,2)</f>
        <v/>
      </c>
      <c r="H411" s="36" t="n">
        <v>8.300000000000001</v>
      </c>
      <c r="I411" s="37" t="n">
        <v>1.33</v>
      </c>
      <c r="J411" s="38">
        <f>ROUND(H411*I411,2)</f>
        <v/>
      </c>
      <c r="L411" s="39" t="n">
        <v>8.300000000000001</v>
      </c>
      <c r="M411" s="40" t="n">
        <v>1.33</v>
      </c>
      <c r="N411" s="41">
        <f>ROUND(L411*M411,2)</f>
        <v/>
      </c>
      <c r="R411" s="43" t="inlineStr">
        <is>
          <t>Mejor mes: 2023-08 · 751 € · margen 35%</t>
        </is>
      </c>
    </row>
    <row r="412">
      <c r="A412" s="30" t="inlineStr">
        <is>
          <t>P1 Energía</t>
        </is>
      </c>
      <c r="B412" s="31">
        <f>IF($P$412&lt;&gt;"",ROUND(AA412*(($AB$412/(1-$P$412))-42.9940)/74.5127,2),IF('Resumen'!$D$3="OPTIMIZAR",ROUND(MAX(AA412,MIN(AA412*(($AB$412/(1-'Resumen'!$F$3))-42.9940)/74.5127,AA412*(699.0938)/74.5127)),3),AA412))</f>
        <v/>
      </c>
      <c r="C412" s="44" t="n"/>
      <c r="D412" s="33" t="n">
        <v>0.109</v>
      </c>
      <c r="E412" s="34" t="n">
        <v>0.13788</v>
      </c>
      <c r="F412" s="35">
        <f>ROUND(B412*E412,2)</f>
        <v/>
      </c>
      <c r="H412" s="36" t="n">
        <v>5.929</v>
      </c>
      <c r="I412" s="37" t="n">
        <v>0.13788</v>
      </c>
      <c r="J412" s="38">
        <f>ROUND(H412*I412,2)</f>
        <v/>
      </c>
      <c r="L412" s="39" t="n">
        <v>120.235</v>
      </c>
      <c r="M412" s="40" t="n">
        <v>0.13788</v>
      </c>
      <c r="N412" s="41">
        <f>ROUND(L412*M412,2)</f>
        <v/>
      </c>
      <c r="O412" s="45" t="inlineStr">
        <is>
          <t>Margen objetivo (edita % aquí) ▶</t>
        </is>
      </c>
      <c r="P412" s="5" t="n"/>
      <c r="R412" s="43" t="inlineStr">
        <is>
          <t>Peor mes: 2024-02 · 22 € · margen 35%</t>
        </is>
      </c>
      <c r="AA412" t="n">
        <v>104.47</v>
      </c>
      <c r="AB412">
        <f>B410*D410+B411*D411+AA412*D412+AA413*D413+AA414*D414</f>
        <v/>
      </c>
    </row>
    <row r="413">
      <c r="A413" s="30" t="inlineStr">
        <is>
          <t>P2 Energía</t>
        </is>
      </c>
      <c r="B413" s="31">
        <f>IF($P$412&lt;&gt;"",ROUND(AA413*(($AB$412/(1-$P$412))-42.9940)/74.5127,2),IF('Resumen'!$D$3="OPTIMIZAR",ROUND(MAX(AA413,MIN(AA413*(($AB$412/(1-'Resumen'!$F$3))-42.9940)/74.5127,AA413*(699.0938)/74.5127)),3),AA413))</f>
        <v/>
      </c>
      <c r="C413" s="44" t="n"/>
      <c r="D413" s="33" t="n">
        <v>0.109</v>
      </c>
      <c r="E413" s="34" t="n">
        <v>0.13788</v>
      </c>
      <c r="F413" s="35">
        <f>ROUND(B413*E413,2)</f>
        <v/>
      </c>
      <c r="H413" s="36" t="n">
        <v>3.883</v>
      </c>
      <c r="I413" s="37" t="n">
        <v>0.13788</v>
      </c>
      <c r="J413" s="38">
        <f>ROUND(H413*I413,2)</f>
        <v/>
      </c>
      <c r="L413" s="39" t="n">
        <v>77.48</v>
      </c>
      <c r="M413" s="40" t="n">
        <v>0.13788</v>
      </c>
      <c r="N413" s="41">
        <f>ROUND(L413*M413,2)</f>
        <v/>
      </c>
      <c r="O413" s="46" t="inlineStr">
        <is>
          <t>Cant. P1/P2/P3 energía suben</t>
        </is>
      </c>
      <c r="R413" s="43" t="inlineStr">
        <is>
          <t>Importe mensual cobrado (€) · 24 meses ▾</t>
        </is>
      </c>
      <c r="AA413" t="n">
        <v>84.773</v>
      </c>
    </row>
    <row r="414">
      <c r="A414" s="30" t="inlineStr">
        <is>
          <t>P3 Energía</t>
        </is>
      </c>
      <c r="B414" s="31">
        <f>IF($P$412&lt;&gt;"",ROUND(AA414*(($AB$412/(1-$P$412))-42.9940)/74.5127,2),IF('Resumen'!$D$3="OPTIMIZAR",ROUND(MAX(AA414,MIN(AA414*(($AB$412/(1-'Resumen'!$F$3))-42.9940)/74.5127,AA414*(699.0938)/74.5127)),3),AA414))</f>
        <v/>
      </c>
      <c r="C414" s="44" t="n"/>
      <c r="D414" s="33" t="n">
        <v>0.109</v>
      </c>
      <c r="E414" s="34" t="n">
        <v>0.13788</v>
      </c>
      <c r="F414" s="35">
        <f>ROUND(B414*E414,2)</f>
        <v/>
      </c>
      <c r="H414" s="36" t="n">
        <v>19.319</v>
      </c>
      <c r="I414" s="37" t="n">
        <v>0.13788</v>
      </c>
      <c r="J414" s="38">
        <f>ROUND(H414*I414,2)</f>
        <v/>
      </c>
      <c r="L414" s="39" t="n">
        <v>304.41</v>
      </c>
      <c r="M414" s="40" t="n">
        <v>0.13788</v>
      </c>
      <c r="N414" s="41">
        <f>ROUND(L414*M414,2)</f>
        <v/>
      </c>
      <c r="O414" s="46" t="inlineStr">
        <is>
          <t>en proporción para ese margen</t>
        </is>
      </c>
      <c r="AA414" t="n">
        <v>351.174</v>
      </c>
    </row>
    <row r="415">
      <c r="A415" s="30" t="inlineStr">
        <is>
          <t>Alquiler contador</t>
        </is>
      </c>
      <c r="B415" s="31" t="n">
        <v>1</v>
      </c>
      <c r="C415" s="32">
        <f>$N$407-$L$407+1</f>
        <v/>
      </c>
      <c r="D415" s="33" t="n">
        <v>1.3414</v>
      </c>
      <c r="E415" s="34" t="n">
        <v>3</v>
      </c>
      <c r="F415" s="35">
        <f>ROUND(B415*E415,2)</f>
        <v/>
      </c>
      <c r="H415" s="36" t="n">
        <v>1</v>
      </c>
      <c r="I415" s="37" t="n">
        <v>3</v>
      </c>
      <c r="J415" s="38">
        <f>ROUND(H415*I415,2)</f>
        <v/>
      </c>
      <c r="L415" s="39" t="n">
        <v>1</v>
      </c>
      <c r="M415" s="40" t="n">
        <v>3</v>
      </c>
      <c r="N415" s="41">
        <f>ROUND(L415*M415,2)</f>
        <v/>
      </c>
    </row>
    <row r="416">
      <c r="A416" s="30" t="inlineStr">
        <is>
          <t>Bono social</t>
        </is>
      </c>
      <c r="B416" s="31" t="n">
        <v>30</v>
      </c>
      <c r="C416" s="32">
        <f>$N$407-$L$407+1</f>
        <v/>
      </c>
      <c r="D416" s="33" t="n">
        <v>0.5736</v>
      </c>
      <c r="E416" s="34" t="n">
        <v>0.01274</v>
      </c>
      <c r="F416" s="35">
        <f>ROUND(B416*E416,2)</f>
        <v/>
      </c>
      <c r="H416" s="36" t="n">
        <v>30</v>
      </c>
      <c r="I416" s="37" t="n">
        <v>0.01274</v>
      </c>
      <c r="J416" s="38">
        <f>ROUND(H416*I416,2)</f>
        <v/>
      </c>
      <c r="L416" s="39" t="n">
        <v>30</v>
      </c>
      <c r="M416" s="40" t="n">
        <v>0.00629</v>
      </c>
      <c r="N416" s="41">
        <f>ROUND(L416*M416,2)</f>
        <v/>
      </c>
    </row>
    <row r="417">
      <c r="A417" s="30" t="inlineStr">
        <is>
          <t>Tasa eléctrica</t>
        </is>
      </c>
      <c r="B417" s="31" t="n">
        <v>5.25</v>
      </c>
      <c r="C417" s="44" t="n"/>
      <c r="D417" s="33" t="n">
        <v>0.24372</v>
      </c>
      <c r="E417" s="34" t="n">
        <v>1</v>
      </c>
      <c r="F417" s="35">
        <f>ROUND(B417*E417,2)</f>
        <v/>
      </c>
      <c r="H417" s="36" t="n">
        <v>2.21</v>
      </c>
      <c r="I417" s="37" t="n">
        <v>1</v>
      </c>
      <c r="J417" s="38">
        <f>ROUND(H417*I417,2)</f>
        <v/>
      </c>
      <c r="L417" s="39" t="n">
        <v>4.54</v>
      </c>
      <c r="M417" s="40" t="n">
        <v>1</v>
      </c>
      <c r="N417" s="41">
        <f>ROUND(L417*M417,2)</f>
        <v/>
      </c>
    </row>
    <row r="418">
      <c r="A418" s="47" t="inlineStr">
        <is>
          <t>TOTAL c/IVA</t>
        </is>
      </c>
      <c r="F418" s="48">
        <f>ROUND((SUM(F410:F417)-F417)*1.1+F417,2)</f>
        <v/>
      </c>
      <c r="J418" s="49">
        <f>ROUND(SUM(J410:J417),2)</f>
        <v/>
      </c>
      <c r="N418" s="50">
        <f>ROUND(SUM(N410:N417),2)</f>
        <v/>
      </c>
    </row>
    <row r="419">
      <c r="A419" s="19" t="inlineStr">
        <is>
          <t>MARGEN sin registrar</t>
        </is>
      </c>
      <c r="B419" s="51">
        <f>IF((F413+F410+F412+F414+F411)=0,"",((F413+F410+F412+F414+F411)-$AB$412)/(F413+F410+F412+F414+F411))</f>
        <v/>
      </c>
      <c r="D419" s="52">
        <f>IF(B419="","SIN PC",IF(B419&gt;=0.3,"APROBAR",IF(B419&gt;=0.2,"REVISAR","RECHAZAR")))</f>
        <v/>
      </c>
      <c r="E419" s="53" t="n"/>
      <c r="F419" s="54" t="n"/>
      <c r="AD419">
        <f>SUM(F412:F414)-74.5127</f>
        <v/>
      </c>
    </row>
    <row r="420">
      <c r="A420" s="55" t="inlineStr">
        <is>
          <t>☀ EXCEDENTES SOLARES (kWh vertidos reales)</t>
        </is>
      </c>
      <c r="B420" s="56" t="n"/>
      <c r="C420" s="56" t="n"/>
      <c r="D420" s="56" t="n"/>
      <c r="E420" s="56" t="n"/>
      <c r="F420" s="56" t="n"/>
    </row>
    <row r="421">
      <c r="A421" s="57" t="inlineStr">
        <is>
          <t>Concepto</t>
        </is>
      </c>
      <c r="B421" s="57" t="inlineStr">
        <is>
          <t>kWh</t>
        </is>
      </c>
      <c r="D421" s="57" t="inlineStr">
        <is>
          <t>€/kWh compra</t>
        </is>
      </c>
      <c r="E421" s="57" t="inlineStr">
        <is>
          <t>€/kWh venta</t>
        </is>
      </c>
      <c r="F421" s="57" t="inlineStr">
        <is>
          <t>Importe</t>
        </is>
      </c>
    </row>
    <row r="422">
      <c r="A422" s="58" t="inlineStr">
        <is>
          <t>Compra excedentes (vertido red)</t>
        </is>
      </c>
      <c r="B422" s="59" t="n">
        <v>336</v>
      </c>
      <c r="C422" s="60" t="n"/>
      <c r="D422" s="33" t="n">
        <v>0.06</v>
      </c>
      <c r="E422" s="60" t="n"/>
      <c r="F422" s="61">
        <f>ROUND(B422*D422,2)</f>
        <v/>
      </c>
    </row>
    <row r="423">
      <c r="A423" s="58" t="inlineStr">
        <is>
          <t>Venta cliente (saldo batería, 1043)</t>
        </is>
      </c>
      <c r="B423" s="60" t="n"/>
      <c r="C423" s="60" t="n"/>
      <c r="D423" s="60" t="n"/>
      <c r="E423" s="62" t="n">
        <v>0.1</v>
      </c>
      <c r="F423" s="61" t="n">
        <v>14.87</v>
      </c>
    </row>
    <row r="424">
      <c r="A424" s="63" t="inlineStr">
        <is>
          <t>NETO Transactiva (compra − venta)</t>
        </is>
      </c>
      <c r="B424" s="60" t="n"/>
      <c r="C424" s="60" t="n"/>
      <c r="D424" s="60" t="n"/>
      <c r="E424" s="60" t="n"/>
      <c r="F424" s="64">
        <f>F422-F423</f>
        <v/>
      </c>
    </row>
    <row r="426">
      <c r="A426" s="15" t="inlineStr">
        <is>
          <t>Factura 8586 · C00060 · HV LUXO SA</t>
        </is>
      </c>
      <c r="H426" s="15" t="inlineStr">
        <is>
          <t>ES0021000001208122LK · Naturgy</t>
        </is>
      </c>
      <c r="L426" s="16" t="n">
        <v>46113</v>
      </c>
      <c r="M426" s="17" t="inlineStr">
        <is>
          <t>a</t>
        </is>
      </c>
      <c r="N426" s="16" t="n">
        <v>46142</v>
      </c>
      <c r="R426" s="18" t="inlineStr">
        <is>
          <t>HISTÓRICO DEL CUPS · HOJA TTVA LUZ</t>
        </is>
      </c>
    </row>
    <row r="427">
      <c r="A427" s="19" t="inlineStr">
        <is>
          <t>Concepto</t>
        </is>
      </c>
      <c r="B427" s="20" t="inlineStr">
        <is>
          <t>PENDIENTE (sin registrar)</t>
        </is>
      </c>
      <c r="C427" s="21" t="n"/>
      <c r="D427" s="21" t="n"/>
      <c r="E427" s="21" t="n"/>
      <c r="F427" s="21" t="n"/>
      <c r="H427" s="22" t="inlineStr">
        <is>
          <t>MES ANTERIOR · Fact.6461</t>
        </is>
      </c>
      <c r="I427" s="23" t="n"/>
      <c r="J427" s="23" t="n"/>
      <c r="L427" s="24" t="inlineStr">
        <is>
          <t>AÑO ANTERIOR · Fact.4663</t>
        </is>
      </c>
      <c r="M427" s="25" t="n"/>
      <c r="N427" s="25" t="n"/>
      <c r="R427" s="26" t="inlineStr">
        <is>
          <t>Cobrado total: 1.556 €</t>
        </is>
      </c>
    </row>
    <row r="428">
      <c r="B428" s="7" t="inlineStr">
        <is>
          <t>Cant</t>
        </is>
      </c>
      <c r="C428" s="7" t="inlineStr">
        <is>
          <t>Días</t>
        </is>
      </c>
      <c r="D428" s="7" t="inlineStr">
        <is>
          <t>PC real</t>
        </is>
      </c>
      <c r="E428" s="7" t="inlineStr">
        <is>
          <t>PV</t>
        </is>
      </c>
      <c r="F428" s="7" t="inlineStr">
        <is>
          <t>Importe</t>
        </is>
      </c>
      <c r="H428" s="27" t="inlineStr">
        <is>
          <t>Cant</t>
        </is>
      </c>
      <c r="I428" s="27" t="inlineStr">
        <is>
          <t>PV</t>
        </is>
      </c>
      <c r="J428" s="27" t="inlineStr">
        <is>
          <t>Importe</t>
        </is>
      </c>
      <c r="L428" s="28" t="inlineStr">
        <is>
          <t>Cant</t>
        </is>
      </c>
      <c r="M428" s="28" t="inlineStr">
        <is>
          <t>PV</t>
        </is>
      </c>
      <c r="N428" s="28" t="inlineStr">
        <is>
          <t>Importe</t>
        </is>
      </c>
      <c r="R428" s="29" t="inlineStr">
        <is>
          <t>Pagado total: 821 €</t>
        </is>
      </c>
    </row>
    <row r="429">
      <c r="A429" s="30" t="inlineStr">
        <is>
          <t>P1 Potencia</t>
        </is>
      </c>
      <c r="B429" s="31" t="n">
        <v>6.93</v>
      </c>
      <c r="C429" s="32">
        <f>$N$426-$L$426+1</f>
        <v/>
      </c>
      <c r="D429" s="33" t="n">
        <v>3.4086</v>
      </c>
      <c r="E429" s="34" t="n">
        <v>4.17</v>
      </c>
      <c r="F429" s="35">
        <f>ROUND(B429*E429,2)</f>
        <v/>
      </c>
      <c r="H429" s="36" t="n">
        <v>6.93</v>
      </c>
      <c r="I429" s="37" t="n">
        <v>4.17</v>
      </c>
      <c r="J429" s="38">
        <f>ROUND(H429*I429,2)</f>
        <v/>
      </c>
      <c r="L429" s="39" t="n">
        <v>6.93</v>
      </c>
      <c r="M429" s="40" t="n">
        <v>4.17</v>
      </c>
      <c r="N429" s="41">
        <f>ROUND(L429*M429,2)</f>
        <v/>
      </c>
      <c r="R429" s="42" t="inlineStr">
        <is>
          <t>DIF: 736 €   ·   Margen hist.: 47.3%</t>
        </is>
      </c>
    </row>
    <row r="430">
      <c r="A430" s="30" t="inlineStr">
        <is>
          <t>P2 Potencia</t>
        </is>
      </c>
      <c r="B430" s="31" t="n">
        <v>6.93</v>
      </c>
      <c r="C430" s="32">
        <f>$N$426-$L$426+1</f>
        <v/>
      </c>
      <c r="D430" s="33" t="n">
        <v>1.09728</v>
      </c>
      <c r="E430" s="34" t="n">
        <v>1.37</v>
      </c>
      <c r="F430" s="35">
        <f>ROUND(B430*E430,2)</f>
        <v/>
      </c>
      <c r="H430" s="36" t="n">
        <v>6.93</v>
      </c>
      <c r="I430" s="37" t="n">
        <v>1.37</v>
      </c>
      <c r="J430" s="38">
        <f>ROUND(H430*I430,2)</f>
        <v/>
      </c>
      <c r="L430" s="39" t="n">
        <v>6.93</v>
      </c>
      <c r="M430" s="40" t="n">
        <v>1.37</v>
      </c>
      <c r="N430" s="41">
        <f>ROUND(L430*M430,2)</f>
        <v/>
      </c>
      <c r="R430" s="43" t="inlineStr">
        <is>
          <t>Mejor mes: 2023-10 · 202 € · margen 56%</t>
        </is>
      </c>
    </row>
    <row r="431">
      <c r="A431" s="30" t="inlineStr">
        <is>
          <t>P1 Energía</t>
        </is>
      </c>
      <c r="B431" s="31">
        <f>IF($P$431&lt;&gt;"",ROUND(AA431*(($AB$431/(1-$P$431))-38.3922)/46.6496,2),IF('Resumen'!$D$3="OPTIMIZAR",ROUND(MAX(AA431,MIN(AA431*(($AB$431/(1-'Resumen'!$F$3))-38.3922)/46.6496,AA431*(155.7556)/46.6496)),3),AA431))</f>
        <v/>
      </c>
      <c r="C431" s="44" t="n"/>
      <c r="D431" s="33" t="n">
        <v>0.110306</v>
      </c>
      <c r="E431" s="34" t="n">
        <v>0.14937</v>
      </c>
      <c r="F431" s="35">
        <f>ROUND(B431*E431,2)</f>
        <v/>
      </c>
      <c r="H431" s="36" t="n">
        <v>151.137</v>
      </c>
      <c r="I431" s="37" t="n">
        <v>0.14937</v>
      </c>
      <c r="J431" s="38">
        <f>ROUND(H431*I431,2)</f>
        <v/>
      </c>
      <c r="L431" s="39" t="n">
        <v>27.198</v>
      </c>
      <c r="M431" s="40" t="n">
        <v>0.14937</v>
      </c>
      <c r="N431" s="41">
        <f>ROUND(L431*M431,2)</f>
        <v/>
      </c>
      <c r="O431" s="45" t="inlineStr">
        <is>
          <t>Margen objetivo (edita % aquí) ▶</t>
        </is>
      </c>
      <c r="P431" s="5" t="n"/>
      <c r="R431" s="43" t="inlineStr">
        <is>
          <t>Peor mes: 2024-06 · 7 € · margen 81%</t>
        </is>
      </c>
      <c r="AA431" t="n">
        <v>65.059</v>
      </c>
      <c r="AB431">
        <f>B429*D429+B430*D430+AA431*D431+AA432*D432+AA433*D433</f>
        <v/>
      </c>
    </row>
    <row r="432">
      <c r="A432" s="30" t="inlineStr">
        <is>
          <t>P2 Energía</t>
        </is>
      </c>
      <c r="B432" s="31">
        <f>IF($P$431&lt;&gt;"",ROUND(AA432*(($AB$431/(1-$P$431))-38.3922)/46.6496,2),IF('Resumen'!$D$3="OPTIMIZAR",ROUND(MAX(AA432,MIN(AA432*(($AB$431/(1-'Resumen'!$F$3))-38.3922)/46.6496,AA432*(155.7556)/46.6496)),3),AA432))</f>
        <v/>
      </c>
      <c r="C432" s="44" t="n"/>
      <c r="D432" s="33" t="n">
        <v>0.110306</v>
      </c>
      <c r="E432" s="34" t="n">
        <v>0.14937</v>
      </c>
      <c r="F432" s="35">
        <f>ROUND(B432*E432,2)</f>
        <v/>
      </c>
      <c r="H432" s="36" t="n">
        <v>123.193</v>
      </c>
      <c r="I432" s="37" t="n">
        <v>0.14937</v>
      </c>
      <c r="J432" s="38">
        <f>ROUND(H432*I432,2)</f>
        <v/>
      </c>
      <c r="L432" s="39" t="n">
        <v>22.981</v>
      </c>
      <c r="M432" s="40" t="n">
        <v>0.14937</v>
      </c>
      <c r="N432" s="41">
        <f>ROUND(L432*M432,2)</f>
        <v/>
      </c>
      <c r="O432" s="46" t="inlineStr">
        <is>
          <t>Cant. P1/P2/P3 energía suben</t>
        </is>
      </c>
      <c r="R432" s="43" t="inlineStr">
        <is>
          <t>Importe mensual cobrado (€) · 24 meses ▾</t>
        </is>
      </c>
      <c r="AA432" t="n">
        <v>41.968</v>
      </c>
    </row>
    <row r="433">
      <c r="A433" s="30" t="inlineStr">
        <is>
          <t>P3 Energía</t>
        </is>
      </c>
      <c r="B433" s="31">
        <f>IF($P$431&lt;&gt;"",ROUND(AA433*(($AB$431/(1-$P$431))-38.3922)/46.6496,2),IF('Resumen'!$D$3="OPTIMIZAR",ROUND(MAX(AA433,MIN(AA433*(($AB$431/(1-'Resumen'!$F$3))-38.3922)/46.6496,AA433*(155.7556)/46.6496)),3),AA433))</f>
        <v/>
      </c>
      <c r="C433" s="44" t="n"/>
      <c r="D433" s="33" t="n">
        <v>0.110306</v>
      </c>
      <c r="E433" s="34" t="n">
        <v>0.14937</v>
      </c>
      <c r="F433" s="35">
        <f>ROUND(B433*E433,2)</f>
        <v/>
      </c>
      <c r="H433" s="36" t="n">
        <v>361.742</v>
      </c>
      <c r="I433" s="37" t="n">
        <v>0.14937</v>
      </c>
      <c r="J433" s="38">
        <f>ROUND(H433*I433,2)</f>
        <v/>
      </c>
      <c r="L433" s="39" t="n">
        <v>44.96</v>
      </c>
      <c r="M433" s="40" t="n">
        <v>0.14937</v>
      </c>
      <c r="N433" s="41">
        <f>ROUND(L433*M433,2)</f>
        <v/>
      </c>
      <c r="O433" s="46" t="inlineStr">
        <is>
          <t>en proporción para ese margen</t>
        </is>
      </c>
      <c r="AA433" t="n">
        <v>205.282</v>
      </c>
    </row>
    <row r="434">
      <c r="A434" s="30" t="inlineStr">
        <is>
          <t>Alquiler contador</t>
        </is>
      </c>
      <c r="B434" s="31" t="n">
        <v>1</v>
      </c>
      <c r="C434" s="32">
        <f>$N$426-$L$426+1</f>
        <v/>
      </c>
      <c r="D434" s="33" t="n">
        <v>1.3414</v>
      </c>
      <c r="E434" s="34" t="n">
        <v>4</v>
      </c>
      <c r="F434" s="35">
        <f>ROUND(B434*E434,2)</f>
        <v/>
      </c>
      <c r="H434" s="36" t="n">
        <v>1</v>
      </c>
      <c r="I434" s="37" t="n">
        <v>4</v>
      </c>
      <c r="J434" s="38">
        <f>ROUND(H434*I434,2)</f>
        <v/>
      </c>
      <c r="L434" s="39" t="n">
        <v>1</v>
      </c>
      <c r="M434" s="40" t="n">
        <v>4</v>
      </c>
      <c r="N434" s="41">
        <f>ROUND(L434*M434,2)</f>
        <v/>
      </c>
    </row>
    <row r="435">
      <c r="A435" s="30" t="inlineStr">
        <is>
          <t>Bono social</t>
        </is>
      </c>
      <c r="B435" s="31" t="n">
        <v>30</v>
      </c>
      <c r="C435" s="32">
        <f>$N$426-$L$426+1</f>
        <v/>
      </c>
      <c r="D435" s="33" t="n">
        <v>0.5736</v>
      </c>
      <c r="E435" s="34" t="n">
        <v>0.01274</v>
      </c>
      <c r="F435" s="35">
        <f>ROUND(B435*E435,2)</f>
        <v/>
      </c>
      <c r="H435" s="36" t="n">
        <v>30</v>
      </c>
      <c r="I435" s="37" t="n">
        <v>0.01274</v>
      </c>
      <c r="J435" s="38">
        <f>ROUND(H435*I435,2)</f>
        <v/>
      </c>
      <c r="L435" s="39" t="n">
        <v>30</v>
      </c>
      <c r="M435" s="40" t="n">
        <v>0.00629</v>
      </c>
      <c r="N435" s="41">
        <f>ROUND(L435*M435,2)</f>
        <v/>
      </c>
    </row>
    <row r="436">
      <c r="A436" s="30" t="inlineStr">
        <is>
          <t>Tasa eléctrica</t>
        </is>
      </c>
      <c r="B436" s="31" t="n">
        <v>3.12</v>
      </c>
      <c r="C436" s="44" t="n"/>
      <c r="D436" s="33" t="n">
        <v>0.24729</v>
      </c>
      <c r="E436" s="34" t="n">
        <v>1</v>
      </c>
      <c r="F436" s="35">
        <f>ROUND(B436*E436,2)</f>
        <v/>
      </c>
      <c r="H436" s="36" t="n">
        <v>6.09</v>
      </c>
      <c r="I436" s="37" t="n">
        <v>1</v>
      </c>
      <c r="J436" s="38">
        <f>ROUND(H436*I436,2)</f>
        <v/>
      </c>
      <c r="L436" s="39" t="n">
        <v>1.97</v>
      </c>
      <c r="M436" s="40" t="n">
        <v>1</v>
      </c>
      <c r="N436" s="41">
        <f>ROUND(L436*M436,2)</f>
        <v/>
      </c>
    </row>
    <row r="437">
      <c r="A437" s="47" t="inlineStr">
        <is>
          <t>TOTAL c/IVA</t>
        </is>
      </c>
      <c r="F437" s="48">
        <f>ROUND((SUM(F429:F436)-F436)*1.1+F436,2)</f>
        <v/>
      </c>
      <c r="J437" s="49">
        <f>ROUND(SUM(J429:J436),2)</f>
        <v/>
      </c>
      <c r="N437" s="50">
        <f>ROUND(SUM(N429:N436),2)</f>
        <v/>
      </c>
    </row>
    <row r="438">
      <c r="A438" s="19" t="inlineStr">
        <is>
          <t>MARGEN sin registrar</t>
        </is>
      </c>
      <c r="B438" s="51">
        <f>IF((F432+F429+F431+F433+F430)=0,"",((F432+F429+F431+F433+F430)-$AB$431)/(F432+F429+F431+F433+F430))</f>
        <v/>
      </c>
      <c r="D438" s="52">
        <f>IF(B438="","SIN PC",IF(B438&gt;=0.3,"APROBAR",IF(B438&gt;=0.2,"REVISAR","RECHAZAR")))</f>
        <v/>
      </c>
      <c r="E438" s="53" t="n"/>
      <c r="F438" s="54" t="n"/>
      <c r="AD438">
        <f>SUM(F431:F433)-46.6496</f>
        <v/>
      </c>
    </row>
    <row r="439">
      <c r="A439" s="55" t="inlineStr">
        <is>
          <t>☀ EXCEDENTES SOLARES (kWh vertidos reales)</t>
        </is>
      </c>
      <c r="B439" s="56" t="n"/>
      <c r="C439" s="56" t="n"/>
      <c r="D439" s="56" t="n"/>
      <c r="E439" s="56" t="n"/>
      <c r="F439" s="56" t="n"/>
    </row>
    <row r="440">
      <c r="A440" s="57" t="inlineStr">
        <is>
          <t>Concepto</t>
        </is>
      </c>
      <c r="B440" s="57" t="inlineStr">
        <is>
          <t>kWh</t>
        </is>
      </c>
      <c r="D440" s="57" t="inlineStr">
        <is>
          <t>€/kWh compra</t>
        </is>
      </c>
      <c r="E440" s="57" t="inlineStr">
        <is>
          <t>€/kWh venta</t>
        </is>
      </c>
      <c r="F440" s="57" t="inlineStr">
        <is>
          <t>Importe</t>
        </is>
      </c>
    </row>
    <row r="441">
      <c r="A441" s="58" t="inlineStr">
        <is>
          <t>Compra excedentes (vertido red)</t>
        </is>
      </c>
      <c r="B441" s="59" t="n">
        <v>482</v>
      </c>
      <c r="C441" s="60" t="n"/>
      <c r="D441" s="33" t="n">
        <v>0.06</v>
      </c>
      <c r="E441" s="60" t="n"/>
      <c r="F441" s="61">
        <f>ROUND(B441*D441,2)</f>
        <v/>
      </c>
    </row>
    <row r="442">
      <c r="A442" s="58" t="inlineStr">
        <is>
          <t>Venta cliente (saldo batería, 1043)</t>
        </is>
      </c>
      <c r="B442" s="60" t="n"/>
      <c r="C442" s="60" t="n"/>
      <c r="D442" s="60" t="n"/>
      <c r="E442" s="62" t="n">
        <v>0.06</v>
      </c>
      <c r="F442" s="61" t="n">
        <v>24.22</v>
      </c>
    </row>
    <row r="443">
      <c r="A443" s="63" t="inlineStr">
        <is>
          <t>NETO Transactiva (compra − venta)</t>
        </is>
      </c>
      <c r="B443" s="60" t="n"/>
      <c r="C443" s="60" t="n"/>
      <c r="D443" s="60" t="n"/>
      <c r="E443" s="60" t="n"/>
      <c r="F443" s="64">
        <f>F441-F442</f>
        <v/>
      </c>
    </row>
    <row r="445">
      <c r="A445" s="15" t="inlineStr">
        <is>
          <t>Factura 8588 · C00100 · CRISTINA MARÍA FALCÓN ESCALONA</t>
        </is>
      </c>
      <c r="H445" s="15" t="inlineStr">
        <is>
          <t>ES0021000001206049KH · Naturgy</t>
        </is>
      </c>
      <c r="L445" s="16" t="n">
        <v>46113</v>
      </c>
      <c r="M445" s="17" t="inlineStr">
        <is>
          <t>a</t>
        </is>
      </c>
      <c r="N445" s="16" t="n">
        <v>46142</v>
      </c>
      <c r="R445" s="18" t="inlineStr">
        <is>
          <t>HISTÓRICO DEL CUPS · HOJA TTVA LUZ</t>
        </is>
      </c>
    </row>
    <row r="446">
      <c r="A446" s="19" t="inlineStr">
        <is>
          <t>Concepto</t>
        </is>
      </c>
      <c r="B446" s="20" t="inlineStr">
        <is>
          <t>PENDIENTE (sin registrar)</t>
        </is>
      </c>
      <c r="C446" s="21" t="n"/>
      <c r="D446" s="21" t="n"/>
      <c r="E446" s="21" t="n"/>
      <c r="F446" s="21" t="n"/>
      <c r="H446" s="22" t="inlineStr">
        <is>
          <t>MES ANTERIOR · Fact.6459</t>
        </is>
      </c>
      <c r="I446" s="23" t="n"/>
      <c r="J446" s="23" t="n"/>
      <c r="L446" s="24" t="inlineStr">
        <is>
          <t>AÑO ANTERIOR · Fact.4662</t>
        </is>
      </c>
      <c r="M446" s="25" t="n"/>
      <c r="N446" s="25" t="n"/>
      <c r="R446" s="26" t="inlineStr">
        <is>
          <t>Cobrado total: 1.874 €</t>
        </is>
      </c>
    </row>
    <row r="447">
      <c r="B447" s="7" t="inlineStr">
        <is>
          <t>Cant</t>
        </is>
      </c>
      <c r="C447" s="7" t="inlineStr">
        <is>
          <t>Días</t>
        </is>
      </c>
      <c r="D447" s="7" t="inlineStr">
        <is>
          <t>PC real</t>
        </is>
      </c>
      <c r="E447" s="7" t="inlineStr">
        <is>
          <t>PV</t>
        </is>
      </c>
      <c r="F447" s="7" t="inlineStr">
        <is>
          <t>Importe</t>
        </is>
      </c>
      <c r="H447" s="27" t="inlineStr">
        <is>
          <t>Cant</t>
        </is>
      </c>
      <c r="I447" s="27" t="inlineStr">
        <is>
          <t>PV</t>
        </is>
      </c>
      <c r="J447" s="27" t="inlineStr">
        <is>
          <t>Importe</t>
        </is>
      </c>
      <c r="L447" s="28" t="inlineStr">
        <is>
          <t>Cant</t>
        </is>
      </c>
      <c r="M447" s="28" t="inlineStr">
        <is>
          <t>PV</t>
        </is>
      </c>
      <c r="N447" s="28" t="inlineStr">
        <is>
          <t>Importe</t>
        </is>
      </c>
      <c r="R447" s="29" t="inlineStr">
        <is>
          <t>Pagado total: 998 €</t>
        </is>
      </c>
    </row>
    <row r="448">
      <c r="A448" s="30" t="inlineStr">
        <is>
          <t>P1 Potencia</t>
        </is>
      </c>
      <c r="B448" s="31" t="n">
        <v>4.6</v>
      </c>
      <c r="C448" s="32">
        <f>$N$445-$L$445+1</f>
        <v/>
      </c>
      <c r="D448" s="33" t="n">
        <v>3.4086</v>
      </c>
      <c r="E448" s="34" t="n">
        <v>4.82</v>
      </c>
      <c r="F448" s="35">
        <f>ROUND(B448*E448,2)</f>
        <v/>
      </c>
      <c r="H448" s="36" t="n">
        <v>4.6</v>
      </c>
      <c r="I448" s="37" t="n">
        <v>4.82</v>
      </c>
      <c r="J448" s="38">
        <f>ROUND(H448*I448,2)</f>
        <v/>
      </c>
      <c r="L448" s="39" t="n">
        <v>4.6</v>
      </c>
      <c r="M448" s="40" t="n">
        <v>4.82</v>
      </c>
      <c r="N448" s="41">
        <f>ROUND(L448*M448,2)</f>
        <v/>
      </c>
      <c r="R448" s="42" t="inlineStr">
        <is>
          <t>DIF: 876 €   ·   Margen hist.: 46.8%</t>
        </is>
      </c>
    </row>
    <row r="449">
      <c r="A449" s="30" t="inlineStr">
        <is>
          <t>P2 Potencia</t>
        </is>
      </c>
      <c r="B449" s="31" t="n">
        <v>4.6</v>
      </c>
      <c r="C449" s="32">
        <f>$N$445-$L$445+1</f>
        <v/>
      </c>
      <c r="D449" s="33" t="n">
        <v>1.09728</v>
      </c>
      <c r="E449" s="34" t="n">
        <v>2.3744</v>
      </c>
      <c r="F449" s="35">
        <f>ROUND(B449*E449,2)</f>
        <v/>
      </c>
      <c r="H449" s="36" t="n">
        <v>4.6</v>
      </c>
      <c r="I449" s="37" t="n">
        <v>2.3744</v>
      </c>
      <c r="J449" s="38">
        <f>ROUND(H449*I449,2)</f>
        <v/>
      </c>
      <c r="L449" s="39" t="n">
        <v>4.6</v>
      </c>
      <c r="M449" s="40" t="n">
        <v>2.3744</v>
      </c>
      <c r="N449" s="41">
        <f>ROUND(L449*M449,2)</f>
        <v/>
      </c>
      <c r="R449" s="43" t="inlineStr">
        <is>
          <t>Mejor mes: 2024-12 · 132 € · margen 42%</t>
        </is>
      </c>
    </row>
    <row r="450">
      <c r="A450" s="30" t="inlineStr">
        <is>
          <t>P1 Energía</t>
        </is>
      </c>
      <c r="B450" s="31">
        <f>IF($P$450&lt;&gt;"",ROUND(AA450*(($AB$450/(1-$P$450))-33.0942)/6.3331,2),IF('Resumen'!$D$3="OPTIMIZAR",ROUND(MAX(AA450,MIN(AA450*(($AB$450/(1-'Resumen'!$F$3))-33.0942)/6.3331,AA450*(90.8436)/6.3331)),3),AA450))</f>
        <v/>
      </c>
      <c r="C450" s="44" t="n"/>
      <c r="D450" s="33" t="n">
        <v>0.110306</v>
      </c>
      <c r="E450" s="34" t="n">
        <v>0.1724</v>
      </c>
      <c r="F450" s="35">
        <f>ROUND(B450*E450,2)</f>
        <v/>
      </c>
      <c r="H450" s="36" t="n">
        <v>7.514</v>
      </c>
      <c r="I450" s="37" t="n">
        <v>0.1724</v>
      </c>
      <c r="J450" s="38">
        <f>ROUND(H450*I450,2)</f>
        <v/>
      </c>
      <c r="L450" s="39" t="n">
        <v>58.013</v>
      </c>
      <c r="M450" s="40" t="n">
        <v>0.1724</v>
      </c>
      <c r="N450" s="41">
        <f>ROUND(L450*M450,2)</f>
        <v/>
      </c>
      <c r="O450" s="45" t="inlineStr">
        <is>
          <t>Margen objetivo (edita % aquí) ▶</t>
        </is>
      </c>
      <c r="P450" s="5" t="n"/>
      <c r="R450" s="43" t="inlineStr">
        <is>
          <t>Peor mes: 2023-08 · 56 € · margen 64%</t>
        </is>
      </c>
      <c r="AA450" t="n">
        <v>7.872</v>
      </c>
      <c r="AB450">
        <f>B448*D448+B449*D449+AA450*D450+AA451*D451+AA452*D452</f>
        <v/>
      </c>
    </row>
    <row r="451">
      <c r="A451" s="30" t="inlineStr">
        <is>
          <t>P2 Energía</t>
        </is>
      </c>
      <c r="B451" s="31">
        <f>IF($P$450&lt;&gt;"",ROUND(AA451*(($AB$450/(1-$P$450))-33.0942)/6.3331,2),IF('Resumen'!$D$3="OPTIMIZAR",ROUND(MAX(AA451,MIN(AA451*(($AB$450/(1-'Resumen'!$F$3))-33.0942)/6.3331,AA451*(90.8436)/6.3331)),3),AA451))</f>
        <v/>
      </c>
      <c r="C451" s="44" t="n"/>
      <c r="D451" s="33" t="n">
        <v>0.110306</v>
      </c>
      <c r="E451" s="34" t="n">
        <v>0.1724</v>
      </c>
      <c r="F451" s="35">
        <f>ROUND(B451*E451,2)</f>
        <v/>
      </c>
      <c r="H451" s="36" t="n">
        <v>6.158</v>
      </c>
      <c r="I451" s="37" t="n">
        <v>0.1724</v>
      </c>
      <c r="J451" s="38">
        <f>ROUND(H451*I451,2)</f>
        <v/>
      </c>
      <c r="L451" s="39" t="n">
        <v>30.79</v>
      </c>
      <c r="M451" s="40" t="n">
        <v>0.1724</v>
      </c>
      <c r="N451" s="41">
        <f>ROUND(L451*M451,2)</f>
        <v/>
      </c>
      <c r="O451" s="46" t="inlineStr">
        <is>
          <t>Cant. P1/P2/P3 energía suben</t>
        </is>
      </c>
      <c r="R451" s="43" t="inlineStr">
        <is>
          <t>Importe mensual cobrado (€) · 24 meses ▾</t>
        </is>
      </c>
      <c r="AA451" t="n">
        <v>4.519</v>
      </c>
    </row>
    <row r="452">
      <c r="A452" s="30" t="inlineStr">
        <is>
          <t>P3 Energía</t>
        </is>
      </c>
      <c r="B452" s="31">
        <f>IF($P$450&lt;&gt;"",ROUND(AA452*(($AB$450/(1-$P$450))-33.0942)/6.3331,2),IF('Resumen'!$D$3="OPTIMIZAR",ROUND(MAX(AA452,MIN(AA452*(($AB$450/(1-'Resumen'!$F$3))-33.0942)/6.3331,AA452*(90.8436)/6.3331)),3),AA452))</f>
        <v/>
      </c>
      <c r="C452" s="44" t="n"/>
      <c r="D452" s="33" t="n">
        <v>0.110306</v>
      </c>
      <c r="E452" s="34" t="n">
        <v>0.1724</v>
      </c>
      <c r="F452" s="35">
        <f>ROUND(B452*E452,2)</f>
        <v/>
      </c>
      <c r="H452" s="36" t="n">
        <v>29.271</v>
      </c>
      <c r="I452" s="37" t="n">
        <v>0.1724</v>
      </c>
      <c r="J452" s="38">
        <f>ROUND(H452*I452,2)</f>
        <v/>
      </c>
      <c r="L452" s="39" t="n">
        <v>101.688</v>
      </c>
      <c r="M452" s="40" t="n">
        <v>0.1724</v>
      </c>
      <c r="N452" s="41">
        <f>ROUND(L452*M452,2)</f>
        <v/>
      </c>
      <c r="O452" s="46" t="inlineStr">
        <is>
          <t>en proporción para ese margen</t>
        </is>
      </c>
      <c r="AA452" t="n">
        <v>24.344</v>
      </c>
    </row>
    <row r="453">
      <c r="A453" s="30" t="inlineStr">
        <is>
          <t>Alquiler contador</t>
        </is>
      </c>
      <c r="B453" s="31" t="n">
        <v>1</v>
      </c>
      <c r="C453" s="32">
        <f>$N$445-$L$445+1</f>
        <v/>
      </c>
      <c r="D453" s="33" t="n">
        <v>0.7989000000000001</v>
      </c>
      <c r="E453" s="34" t="n">
        <v>6</v>
      </c>
      <c r="F453" s="35">
        <f>ROUND(B453*E453,2)</f>
        <v/>
      </c>
      <c r="H453" s="36" t="n">
        <v>1</v>
      </c>
      <c r="I453" s="37" t="n">
        <v>6</v>
      </c>
      <c r="J453" s="38">
        <f>ROUND(H453*I453,2)</f>
        <v/>
      </c>
      <c r="L453" s="39" t="n">
        <v>1</v>
      </c>
      <c r="M453" s="40" t="n">
        <v>6</v>
      </c>
      <c r="N453" s="41">
        <f>ROUND(L453*M453,2)</f>
        <v/>
      </c>
    </row>
    <row r="454">
      <c r="A454" s="30" t="inlineStr">
        <is>
          <t>Bono social</t>
        </is>
      </c>
      <c r="B454" s="31" t="n">
        <v>30</v>
      </c>
      <c r="C454" s="32">
        <f>$N$445-$L$445+1</f>
        <v/>
      </c>
      <c r="D454" s="33" t="n">
        <v>0.5736</v>
      </c>
      <c r="E454" s="34" t="n">
        <v>0.01274</v>
      </c>
      <c r="F454" s="35">
        <f>ROUND(B454*E454,2)</f>
        <v/>
      </c>
      <c r="H454" s="36" t="n">
        <v>30</v>
      </c>
      <c r="I454" s="37" t="n">
        <v>0.01274</v>
      </c>
      <c r="J454" s="38">
        <f>ROUND(H454*I454,2)</f>
        <v/>
      </c>
      <c r="L454" s="39" t="n">
        <v>30</v>
      </c>
      <c r="M454" s="40" t="n">
        <v>0.00629</v>
      </c>
      <c r="N454" s="41">
        <f>ROUND(L454*M454,2)</f>
        <v/>
      </c>
    </row>
    <row r="455">
      <c r="A455" s="30" t="inlineStr">
        <is>
          <t>Tasa eléctrica</t>
        </is>
      </c>
      <c r="B455" s="31" t="n">
        <v>1.7</v>
      </c>
      <c r="C455" s="44" t="n"/>
      <c r="D455" s="33" t="n">
        <v>0.24729</v>
      </c>
      <c r="E455" s="34" t="n">
        <v>1</v>
      </c>
      <c r="F455" s="35">
        <f>ROUND(B455*E455,2)</f>
        <v/>
      </c>
      <c r="H455" s="36" t="n">
        <v>1.85</v>
      </c>
      <c r="I455" s="37" t="n">
        <v>1</v>
      </c>
      <c r="J455" s="38">
        <f>ROUND(H455*I455,2)</f>
        <v/>
      </c>
      <c r="L455" s="39" t="n">
        <v>3.15</v>
      </c>
      <c r="M455" s="40" t="n">
        <v>1</v>
      </c>
      <c r="N455" s="41">
        <f>ROUND(L455*M455,2)</f>
        <v/>
      </c>
    </row>
    <row r="456">
      <c r="A456" s="47" t="inlineStr">
        <is>
          <t>TOTAL c/IVA</t>
        </is>
      </c>
      <c r="F456" s="48">
        <f>ROUND((SUM(F448:F455)-F455)*1.1+F455,2)</f>
        <v/>
      </c>
      <c r="J456" s="49">
        <f>ROUND(SUM(J448:J455),2)</f>
        <v/>
      </c>
      <c r="N456" s="50">
        <f>ROUND(SUM(N448:N455),2)</f>
        <v/>
      </c>
    </row>
    <row r="457">
      <c r="A457" s="19" t="inlineStr">
        <is>
          <t>MARGEN sin registrar</t>
        </is>
      </c>
      <c r="B457" s="51">
        <f>IF((F451+F448+F450+F452+F449)=0,"",((F451+F448+F450+F452+F449)-$AB$450)/(F451+F448+F450+F452+F449))</f>
        <v/>
      </c>
      <c r="D457" s="52">
        <f>IF(B457="","SIN PC",IF(B457&gt;=0.3,"APROBAR",IF(B457&gt;=0.2,"REVISAR","RECHAZAR")))</f>
        <v/>
      </c>
      <c r="E457" s="53" t="n"/>
      <c r="F457" s="54" t="n"/>
      <c r="AD457">
        <f>SUM(F450:F452)-6.3331</f>
        <v/>
      </c>
    </row>
    <row r="458">
      <c r="A458" s="55" t="inlineStr">
        <is>
          <t>☀ EXCEDENTES SOLARES (kWh vertidos reales)</t>
        </is>
      </c>
      <c r="B458" s="56" t="n"/>
      <c r="C458" s="56" t="n"/>
      <c r="D458" s="56" t="n"/>
      <c r="E458" s="56" t="n"/>
      <c r="F458" s="56" t="n"/>
    </row>
    <row r="459">
      <c r="A459" s="57" t="inlineStr">
        <is>
          <t>Concepto</t>
        </is>
      </c>
      <c r="B459" s="57" t="inlineStr">
        <is>
          <t>kWh</t>
        </is>
      </c>
      <c r="D459" s="57" t="inlineStr">
        <is>
          <t>€/kWh compra</t>
        </is>
      </c>
      <c r="E459" s="57" t="inlineStr">
        <is>
          <t>€/kWh venta</t>
        </is>
      </c>
      <c r="F459" s="57" t="inlineStr">
        <is>
          <t>Importe</t>
        </is>
      </c>
    </row>
    <row r="460">
      <c r="A460" s="58" t="inlineStr">
        <is>
          <t>Compra excedentes (vertido red)</t>
        </is>
      </c>
      <c r="B460" s="59" t="n">
        <v>182</v>
      </c>
      <c r="C460" s="60" t="n"/>
      <c r="D460" s="33" t="n">
        <v>0.06</v>
      </c>
      <c r="E460" s="60" t="n"/>
      <c r="F460" s="61">
        <f>ROUND(B460*D460,2)</f>
        <v/>
      </c>
    </row>
    <row r="461">
      <c r="A461" s="58" t="inlineStr">
        <is>
          <t>Venta cliente (saldo batería, 1043)</t>
        </is>
      </c>
      <c r="B461" s="60" t="n"/>
      <c r="C461" s="60" t="n"/>
      <c r="D461" s="60" t="n"/>
      <c r="E461" s="62" t="n">
        <v>0.06</v>
      </c>
      <c r="F461" s="61" t="n">
        <v>6.34</v>
      </c>
    </row>
    <row r="462">
      <c r="A462" s="63" t="inlineStr">
        <is>
          <t>NETO Transactiva (compra − venta)</t>
        </is>
      </c>
      <c r="B462" s="60" t="n"/>
      <c r="C462" s="60" t="n"/>
      <c r="D462" s="60" t="n"/>
      <c r="E462" s="60" t="n"/>
      <c r="F462" s="64">
        <f>F460-F461</f>
        <v/>
      </c>
    </row>
    <row r="464">
      <c r="A464" s="15" t="inlineStr">
        <is>
          <t>Factura 8589 · C00120 · STEPHEN RICHARD ROBINSON</t>
        </is>
      </c>
      <c r="H464" s="15" t="inlineStr">
        <is>
          <t>ES0021000021936589WZ · Naturgy</t>
        </is>
      </c>
      <c r="L464" s="16" t="n">
        <v>46113</v>
      </c>
      <c r="M464" s="17" t="inlineStr">
        <is>
          <t>a</t>
        </is>
      </c>
      <c r="N464" s="16" t="n">
        <v>46142</v>
      </c>
      <c r="R464" s="18" t="inlineStr">
        <is>
          <t>HISTÓRICO DEL CUPS · HOJA TTVA LUZ</t>
        </is>
      </c>
    </row>
    <row r="465">
      <c r="A465" s="19" t="inlineStr">
        <is>
          <t>Concepto</t>
        </is>
      </c>
      <c r="B465" s="20" t="inlineStr">
        <is>
          <t>PENDIENTE (sin registrar)</t>
        </is>
      </c>
      <c r="C465" s="21" t="n"/>
      <c r="D465" s="21" t="n"/>
      <c r="E465" s="21" t="n"/>
      <c r="F465" s="21" t="n"/>
      <c r="H465" s="22" t="inlineStr">
        <is>
          <t>MES ANTERIOR · Fact.6458</t>
        </is>
      </c>
      <c r="I465" s="23" t="n"/>
      <c r="J465" s="23" t="n"/>
      <c r="L465" s="24" t="inlineStr">
        <is>
          <t>AÑO ANTERIOR · Fact.4661</t>
        </is>
      </c>
      <c r="M465" s="25" t="n"/>
      <c r="N465" s="25" t="n"/>
      <c r="R465" s="26" t="inlineStr">
        <is>
          <t>Cobrado total: 3.583 €</t>
        </is>
      </c>
    </row>
    <row r="466">
      <c r="B466" s="7" t="inlineStr">
        <is>
          <t>Cant</t>
        </is>
      </c>
      <c r="C466" s="7" t="inlineStr">
        <is>
          <t>Días</t>
        </is>
      </c>
      <c r="D466" s="7" t="inlineStr">
        <is>
          <t>PC real</t>
        </is>
      </c>
      <c r="E466" s="7" t="inlineStr">
        <is>
          <t>PV</t>
        </is>
      </c>
      <c r="F466" s="7" t="inlineStr">
        <is>
          <t>Importe</t>
        </is>
      </c>
      <c r="H466" s="27" t="inlineStr">
        <is>
          <t>Cant</t>
        </is>
      </c>
      <c r="I466" s="27" t="inlineStr">
        <is>
          <t>PV</t>
        </is>
      </c>
      <c r="J466" s="27" t="inlineStr">
        <is>
          <t>Importe</t>
        </is>
      </c>
      <c r="L466" s="28" t="inlineStr">
        <is>
          <t>Cant</t>
        </is>
      </c>
      <c r="M466" s="28" t="inlineStr">
        <is>
          <t>PV</t>
        </is>
      </c>
      <c r="N466" s="28" t="inlineStr">
        <is>
          <t>Importe</t>
        </is>
      </c>
      <c r="R466" s="29" t="inlineStr">
        <is>
          <t>Pagado total: 2.438 €</t>
        </is>
      </c>
    </row>
    <row r="467">
      <c r="A467" s="30" t="inlineStr">
        <is>
          <t>P1 Potencia</t>
        </is>
      </c>
      <c r="B467" s="31" t="n">
        <v>10</v>
      </c>
      <c r="C467" s="32">
        <f>$N$464-$L$464+1</f>
        <v/>
      </c>
      <c r="D467" s="33" t="n">
        <v>3.68919</v>
      </c>
      <c r="E467" s="34" t="n">
        <v>4.82</v>
      </c>
      <c r="F467" s="35">
        <f>ROUND(B467*E467,2)</f>
        <v/>
      </c>
      <c r="H467" s="36" t="n">
        <v>10</v>
      </c>
      <c r="I467" s="37" t="n">
        <v>4.82</v>
      </c>
      <c r="J467" s="38">
        <f>ROUND(H467*I467,2)</f>
        <v/>
      </c>
      <c r="L467" s="39" t="n">
        <v>10</v>
      </c>
      <c r="M467" s="40" t="n">
        <v>4.82</v>
      </c>
      <c r="N467" s="41">
        <f>ROUND(L467*M467,2)</f>
        <v/>
      </c>
      <c r="R467" s="42" t="inlineStr">
        <is>
          <t>DIF: 1.146 €   ·   Margen hist.: 32.0%</t>
        </is>
      </c>
    </row>
    <row r="468">
      <c r="A468" s="30" t="inlineStr">
        <is>
          <t>P2 Potencia</t>
        </is>
      </c>
      <c r="B468" s="31" t="n">
        <v>10</v>
      </c>
      <c r="C468" s="32">
        <f>$N$464-$L$464+1</f>
        <v/>
      </c>
      <c r="D468" s="33" t="n">
        <v>1.31928</v>
      </c>
      <c r="E468" s="34" t="n">
        <v>2.3744</v>
      </c>
      <c r="F468" s="35">
        <f>ROUND(B468*E468,2)</f>
        <v/>
      </c>
      <c r="H468" s="36" t="n">
        <v>10</v>
      </c>
      <c r="I468" s="37" t="n">
        <v>2.3744</v>
      </c>
      <c r="J468" s="38">
        <f>ROUND(H468*I468,2)</f>
        <v/>
      </c>
      <c r="L468" s="39" t="n">
        <v>10</v>
      </c>
      <c r="M468" s="40" t="n">
        <v>2.3744</v>
      </c>
      <c r="N468" s="41">
        <f>ROUND(L468*M468,2)</f>
        <v/>
      </c>
      <c r="R468" s="43" t="inlineStr">
        <is>
          <t>Mejor mes: 2023-04 · 276 € · margen 2977%</t>
        </is>
      </c>
    </row>
    <row r="469">
      <c r="A469" s="30" t="inlineStr">
        <is>
          <t>P1 Energía</t>
        </is>
      </c>
      <c r="B469" s="31">
        <f>IF($P$469&lt;&gt;"",ROUND(AA469*(($AB$469/(1-$P$469))-71.9440)/36.4005,2),IF('Resumen'!$D$3="OPTIMIZAR",ROUND(MAX(AA469,MIN(AA469*(($AB$469/(1-'Resumen'!$F$3))-71.9440)/36.4005,AA469*(193.3838)/36.4005)),3),AA469))</f>
        <v/>
      </c>
      <c r="C469" s="44" t="n"/>
      <c r="D469" s="33" t="n">
        <v>0.111171</v>
      </c>
      <c r="E469" s="34" t="n">
        <v>0.1724</v>
      </c>
      <c r="F469" s="35">
        <f>ROUND(B469*E469,2)</f>
        <v/>
      </c>
      <c r="H469" s="36" t="n">
        <v>43.749</v>
      </c>
      <c r="I469" s="37" t="n">
        <v>0.1724</v>
      </c>
      <c r="J469" s="38">
        <f>ROUND(H469*I469,2)</f>
        <v/>
      </c>
      <c r="L469" s="39" t="n">
        <v>79.149</v>
      </c>
      <c r="M469" s="40" t="n">
        <v>0.1724</v>
      </c>
      <c r="N469" s="41">
        <f>ROUND(L469*M469,2)</f>
        <v/>
      </c>
      <c r="O469" s="45" t="inlineStr">
        <is>
          <t>Margen objetivo (edita % aquí) ▶</t>
        </is>
      </c>
      <c r="P469" s="5" t="n"/>
      <c r="R469" s="43" t="inlineStr">
        <is>
          <t>Peor mes: 2024-08 · 60 € · margen 157%</t>
        </is>
      </c>
      <c r="AA469" t="n">
        <v>40.797</v>
      </c>
      <c r="AB469">
        <f>B467*D467+B468*D468+AA469*D469+AA470*D470+AA471*D471</f>
        <v/>
      </c>
    </row>
    <row r="470">
      <c r="A470" s="30" t="inlineStr">
        <is>
          <t>P2 Energía</t>
        </is>
      </c>
      <c r="B470" s="31">
        <f>IF($P$469&lt;&gt;"",ROUND(AA470*(($AB$469/(1-$P$469))-71.9440)/36.4005,2),IF('Resumen'!$D$3="OPTIMIZAR",ROUND(MAX(AA470,MIN(AA470*(($AB$469/(1-'Resumen'!$F$3))-71.9440)/36.4005,AA470*(193.3838)/36.4005)),3),AA470))</f>
        <v/>
      </c>
      <c r="C470" s="44" t="n"/>
      <c r="D470" s="33" t="n">
        <v>0.111171</v>
      </c>
      <c r="E470" s="34" t="n">
        <v>0.1724</v>
      </c>
      <c r="F470" s="35">
        <f>ROUND(B470*E470,2)</f>
        <v/>
      </c>
      <c r="H470" s="36" t="n">
        <v>39.941</v>
      </c>
      <c r="I470" s="37" t="n">
        <v>0.1724</v>
      </c>
      <c r="J470" s="38">
        <f>ROUND(H470*I470,2)</f>
        <v/>
      </c>
      <c r="L470" s="39" t="n">
        <v>132.18</v>
      </c>
      <c r="M470" s="40" t="n">
        <v>0.1724</v>
      </c>
      <c r="N470" s="41">
        <f>ROUND(L470*M470,2)</f>
        <v/>
      </c>
      <c r="O470" s="46" t="inlineStr">
        <is>
          <t>Cant. P1/P2/P3 energía suben</t>
        </is>
      </c>
      <c r="R470" s="43" t="inlineStr">
        <is>
          <t>Importe mensual cobrado (€) · 24 meses ▾</t>
        </is>
      </c>
      <c r="AA470" t="n">
        <v>32.288</v>
      </c>
    </row>
    <row r="471">
      <c r="A471" s="30" t="inlineStr">
        <is>
          <t>P3 Energía</t>
        </is>
      </c>
      <c r="B471" s="31">
        <f>IF($P$469&lt;&gt;"",ROUND(AA471*(($AB$469/(1-$P$469))-71.9440)/36.4005,2),IF('Resumen'!$D$3="OPTIMIZAR",ROUND(MAX(AA471,MIN(AA471*(($AB$469/(1-'Resumen'!$F$3))-71.9440)/36.4005,AA471*(193.3838)/36.4005)),3),AA471))</f>
        <v/>
      </c>
      <c r="C471" s="44" t="n"/>
      <c r="D471" s="33" t="n">
        <v>0.111171</v>
      </c>
      <c r="E471" s="34" t="n">
        <v>0.1724</v>
      </c>
      <c r="F471" s="35">
        <f>ROUND(B471*E471,2)</f>
        <v/>
      </c>
      <c r="H471" s="36" t="n">
        <v>165.945</v>
      </c>
      <c r="I471" s="37" t="n">
        <v>0.1724</v>
      </c>
      <c r="J471" s="38">
        <f>ROUND(H471*I471,2)</f>
        <v/>
      </c>
      <c r="L471" s="39" t="n">
        <v>266.832</v>
      </c>
      <c r="M471" s="40" t="n">
        <v>0.1724</v>
      </c>
      <c r="N471" s="41">
        <f>ROUND(L471*M471,2)</f>
        <v/>
      </c>
      <c r="O471" s="46" t="inlineStr">
        <is>
          <t>en proporción para ese margen</t>
        </is>
      </c>
      <c r="AA471" t="n">
        <v>138.055</v>
      </c>
    </row>
    <row r="472">
      <c r="A472" s="30" t="inlineStr">
        <is>
          <t>Alquiler contador</t>
        </is>
      </c>
      <c r="B472" s="31" t="n">
        <v>1</v>
      </c>
      <c r="C472" s="32">
        <f>$N$464-$L$464+1</f>
        <v/>
      </c>
      <c r="D472" s="33" t="n">
        <v>1.3414</v>
      </c>
      <c r="E472" s="34" t="n">
        <v>6</v>
      </c>
      <c r="F472" s="35">
        <f>ROUND(B472*E472,2)</f>
        <v/>
      </c>
      <c r="H472" s="36" t="n">
        <v>1</v>
      </c>
      <c r="I472" s="37" t="n">
        <v>6</v>
      </c>
      <c r="J472" s="38">
        <f>ROUND(H472*I472,2)</f>
        <v/>
      </c>
      <c r="L472" s="39" t="n">
        <v>1</v>
      </c>
      <c r="M472" s="40" t="n">
        <v>6</v>
      </c>
      <c r="N472" s="41">
        <f>ROUND(L472*M472,2)</f>
        <v/>
      </c>
    </row>
    <row r="473">
      <c r="A473" s="30" t="inlineStr">
        <is>
          <t>Bono social</t>
        </is>
      </c>
      <c r="B473" s="31" t="n">
        <v>30</v>
      </c>
      <c r="C473" s="32">
        <f>$N$464-$L$464+1</f>
        <v/>
      </c>
      <c r="D473" s="33" t="n">
        <v>0.5736</v>
      </c>
      <c r="E473" s="34" t="n">
        <v>0.01274</v>
      </c>
      <c r="F473" s="35">
        <f>ROUND(B473*E473,2)</f>
        <v/>
      </c>
      <c r="H473" s="36" t="n">
        <v>30</v>
      </c>
      <c r="I473" s="37" t="n">
        <v>0.01274</v>
      </c>
      <c r="J473" s="38">
        <f>ROUND(H473*I473,2)</f>
        <v/>
      </c>
      <c r="L473" s="39" t="n">
        <v>30</v>
      </c>
      <c r="M473" s="40" t="n">
        <v>0.00629</v>
      </c>
      <c r="N473" s="41">
        <f>ROUND(L473*M473,2)</f>
        <v/>
      </c>
    </row>
    <row r="474">
      <c r="A474" s="30" t="inlineStr">
        <is>
          <t>Tasa eléctrica</t>
        </is>
      </c>
      <c r="B474" s="31" t="n">
        <v>4.64</v>
      </c>
      <c r="C474" s="44" t="n"/>
      <c r="D474" s="33" t="n">
        <v>0.27312</v>
      </c>
      <c r="E474" s="34" t="n">
        <v>1</v>
      </c>
      <c r="F474" s="35">
        <f>ROUND(B474*E474,2)</f>
        <v/>
      </c>
      <c r="H474" s="36" t="n">
        <v>5.22</v>
      </c>
      <c r="I474" s="37" t="n">
        <v>1</v>
      </c>
      <c r="J474" s="38">
        <f>ROUND(H474*I474,2)</f>
        <v/>
      </c>
      <c r="L474" s="39" t="n">
        <v>7.31</v>
      </c>
      <c r="M474" s="40" t="n">
        <v>1</v>
      </c>
      <c r="N474" s="41">
        <f>ROUND(L474*M474,2)</f>
        <v/>
      </c>
    </row>
    <row r="475">
      <c r="A475" s="47" t="inlineStr">
        <is>
          <t>TOTAL c/IVA</t>
        </is>
      </c>
      <c r="F475" s="48">
        <f>ROUND((SUM(F467:F474)-F474)*1.1+F474,2)</f>
        <v/>
      </c>
      <c r="J475" s="49">
        <f>ROUND(SUM(J467:J474),2)</f>
        <v/>
      </c>
      <c r="N475" s="50">
        <f>ROUND(SUM(N467:N474),2)</f>
        <v/>
      </c>
    </row>
    <row r="476">
      <c r="A476" s="19" t="inlineStr">
        <is>
          <t>MARGEN sin registrar</t>
        </is>
      </c>
      <c r="B476" s="51">
        <f>IF((F470+F467+F469+F471+F468)=0,"",((F470+F467+F469+F471+F468)-$AB$469)/(F470+F467+F469+F471+F468))</f>
        <v/>
      </c>
      <c r="D476" s="52">
        <f>IF(B476="","SIN PC",IF(B476&gt;=0.3,"APROBAR",IF(B476&gt;=0.2,"REVISAR","RECHAZAR")))</f>
        <v/>
      </c>
      <c r="E476" s="53" t="n"/>
      <c r="F476" s="54" t="n"/>
      <c r="AD476">
        <f>SUM(F469:F471)-36.4005</f>
        <v/>
      </c>
    </row>
    <row r="477">
      <c r="A477" s="55" t="inlineStr">
        <is>
          <t>☀ EXCEDENTES SOLARES (kWh vertidos reales)</t>
        </is>
      </c>
      <c r="B477" s="56" t="n"/>
      <c r="C477" s="56" t="n"/>
      <c r="D477" s="56" t="n"/>
      <c r="E477" s="56" t="n"/>
      <c r="F477" s="56" t="n"/>
    </row>
    <row r="478">
      <c r="A478" s="57" t="inlineStr">
        <is>
          <t>Concepto</t>
        </is>
      </c>
      <c r="B478" s="57" t="inlineStr">
        <is>
          <t>kWh</t>
        </is>
      </c>
      <c r="D478" s="57" t="inlineStr">
        <is>
          <t>€/kWh compra</t>
        </is>
      </c>
      <c r="E478" s="57" t="inlineStr">
        <is>
          <t>€/kWh venta</t>
        </is>
      </c>
      <c r="F478" s="57" t="inlineStr">
        <is>
          <t>Importe</t>
        </is>
      </c>
    </row>
    <row r="479">
      <c r="A479" s="58" t="inlineStr">
        <is>
          <t>Compra excedentes (vertido red)</t>
        </is>
      </c>
      <c r="B479" s="59" t="n">
        <v>486</v>
      </c>
      <c r="C479" s="60" t="n"/>
      <c r="D479" s="33" t="n">
        <v>0.06</v>
      </c>
      <c r="E479" s="60" t="n"/>
      <c r="F479" s="61">
        <f>ROUND(B479*D479,2)</f>
        <v/>
      </c>
    </row>
    <row r="480">
      <c r="A480" s="58" t="inlineStr">
        <is>
          <t>Venta cliente (saldo batería, 1043)</t>
        </is>
      </c>
      <c r="B480" s="60" t="n"/>
      <c r="C480" s="60" t="n"/>
      <c r="D480" s="60" t="n"/>
      <c r="E480" s="62" t="n">
        <v>0.06</v>
      </c>
      <c r="F480" s="61" t="n">
        <v>17.76</v>
      </c>
    </row>
    <row r="481">
      <c r="A481" s="63" t="inlineStr">
        <is>
          <t>NETO Transactiva (compra − venta)</t>
        </is>
      </c>
      <c r="B481" s="60" t="n"/>
      <c r="C481" s="60" t="n"/>
      <c r="D481" s="60" t="n"/>
      <c r="E481" s="60" t="n"/>
      <c r="F481" s="64">
        <f>F479-F480</f>
        <v/>
      </c>
    </row>
    <row r="483">
      <c r="A483" s="15" t="inlineStr">
        <is>
          <t>Factura 8590 · C00130 · BIO JARDINSOSTENIBLE, S.L.U.</t>
        </is>
      </c>
      <c r="H483" s="15" t="inlineStr">
        <is>
          <t>ES0021000001209135VE · Naturgy</t>
        </is>
      </c>
      <c r="L483" s="16" t="n">
        <v>46113</v>
      </c>
      <c r="M483" s="17" t="inlineStr">
        <is>
          <t>a</t>
        </is>
      </c>
      <c r="N483" s="16" t="n">
        <v>46142</v>
      </c>
      <c r="R483" s="18" t="inlineStr">
        <is>
          <t>HISTÓRICO DEL CUPS · HOJA TTVA LUZ</t>
        </is>
      </c>
    </row>
    <row r="484">
      <c r="A484" s="19" t="inlineStr">
        <is>
          <t>Concepto</t>
        </is>
      </c>
      <c r="B484" s="20" t="inlineStr">
        <is>
          <t>PENDIENTE (sin registrar)</t>
        </is>
      </c>
      <c r="C484" s="21" t="n"/>
      <c r="D484" s="21" t="n"/>
      <c r="E484" s="21" t="n"/>
      <c r="F484" s="21" t="n"/>
      <c r="H484" s="22" t="inlineStr">
        <is>
          <t>MES ANTERIOR · Fact.6457</t>
        </is>
      </c>
      <c r="I484" s="23" t="n"/>
      <c r="J484" s="23" t="n"/>
      <c r="L484" s="24" t="inlineStr">
        <is>
          <t>AÑO ANTERIOR · Fact.4660</t>
        </is>
      </c>
      <c r="M484" s="25" t="n"/>
      <c r="N484" s="25" t="n"/>
      <c r="R484" s="26" t="inlineStr">
        <is>
          <t>Cobrado total: 3.449 €</t>
        </is>
      </c>
    </row>
    <row r="485">
      <c r="B485" s="7" t="inlineStr">
        <is>
          <t>Cant</t>
        </is>
      </c>
      <c r="C485" s="7" t="inlineStr">
        <is>
          <t>Días</t>
        </is>
      </c>
      <c r="D485" s="7" t="inlineStr">
        <is>
          <t>PC real</t>
        </is>
      </c>
      <c r="E485" s="7" t="inlineStr">
        <is>
          <t>PV</t>
        </is>
      </c>
      <c r="F485" s="7" t="inlineStr">
        <is>
          <t>Importe</t>
        </is>
      </c>
      <c r="H485" s="27" t="inlineStr">
        <is>
          <t>Cant</t>
        </is>
      </c>
      <c r="I485" s="27" t="inlineStr">
        <is>
          <t>PV</t>
        </is>
      </c>
      <c r="J485" s="27" t="inlineStr">
        <is>
          <t>Importe</t>
        </is>
      </c>
      <c r="L485" s="28" t="inlineStr">
        <is>
          <t>Cant</t>
        </is>
      </c>
      <c r="M485" s="28" t="inlineStr">
        <is>
          <t>PV</t>
        </is>
      </c>
      <c r="N485" s="28" t="inlineStr">
        <is>
          <t>Importe</t>
        </is>
      </c>
      <c r="R485" s="29" t="inlineStr">
        <is>
          <t>Pagado total: 1.967 €</t>
        </is>
      </c>
    </row>
    <row r="486">
      <c r="A486" s="30" t="inlineStr">
        <is>
          <t>P1 Potencia</t>
        </is>
      </c>
      <c r="B486" s="31" t="n">
        <v>5.75</v>
      </c>
      <c r="C486" s="32">
        <f>$N$483-$L$483+1</f>
        <v/>
      </c>
      <c r="D486" s="33" t="n">
        <v>3.4086</v>
      </c>
      <c r="E486" s="34" t="n">
        <v>4.17</v>
      </c>
      <c r="F486" s="35">
        <f>ROUND(B486*E486,2)</f>
        <v/>
      </c>
      <c r="H486" s="36" t="n">
        <v>5.75</v>
      </c>
      <c r="I486" s="37" t="n">
        <v>4.17</v>
      </c>
      <c r="J486" s="38">
        <f>ROUND(H486*I486,2)</f>
        <v/>
      </c>
      <c r="L486" s="39" t="n">
        <v>5.75</v>
      </c>
      <c r="M486" s="40" t="n">
        <v>4.17</v>
      </c>
      <c r="N486" s="41">
        <f>ROUND(L486*M486,2)</f>
        <v/>
      </c>
      <c r="R486" s="42" t="inlineStr">
        <is>
          <t>DIF: 1.482 €   ·   Margen hist.: 43.0%</t>
        </is>
      </c>
    </row>
    <row r="487">
      <c r="A487" s="30" t="inlineStr">
        <is>
          <t>P2 Potencia</t>
        </is>
      </c>
      <c r="B487" s="31" t="n">
        <v>5.75</v>
      </c>
      <c r="C487" s="32">
        <f>$N$483-$L$483+1</f>
        <v/>
      </c>
      <c r="D487" s="33" t="n">
        <v>1.09728</v>
      </c>
      <c r="E487" s="34" t="n">
        <v>1.37</v>
      </c>
      <c r="F487" s="35">
        <f>ROUND(B487*E487,2)</f>
        <v/>
      </c>
      <c r="H487" s="36" t="n">
        <v>5.75</v>
      </c>
      <c r="I487" s="37" t="n">
        <v>1.37</v>
      </c>
      <c r="J487" s="38">
        <f>ROUND(H487*I487,2)</f>
        <v/>
      </c>
      <c r="L487" s="39" t="n">
        <v>5.75</v>
      </c>
      <c r="M487" s="40" t="n">
        <v>1.37</v>
      </c>
      <c r="N487" s="41">
        <f>ROUND(L487*M487,2)</f>
        <v/>
      </c>
      <c r="R487" s="43" t="inlineStr">
        <is>
          <t>Mejor mes: 2023-12 · 210 € · margen 51%</t>
        </is>
      </c>
    </row>
    <row r="488">
      <c r="A488" s="30" t="inlineStr">
        <is>
          <t>P1 Energía</t>
        </is>
      </c>
      <c r="B488" s="31">
        <f>IF($P$488&lt;&gt;"",ROUND(AA488*(($AB$488/(1-$P$488))-31.8550)/48.7521,2),IF('Resumen'!$D$3="OPTIMIZAR",ROUND(MAX(AA488,MIN(AA488*(($AB$488/(1-'Resumen'!$F$3))-31.8550)/48.7521,AA488*(170.1928)/48.7521)),3),AA488))</f>
        <v/>
      </c>
      <c r="C488" s="44" t="n"/>
      <c r="D488" s="33" t="n">
        <v>0.110306</v>
      </c>
      <c r="E488" s="34" t="n">
        <v>0.14937</v>
      </c>
      <c r="F488" s="35">
        <f>ROUND(B488*E488,2)</f>
        <v/>
      </c>
      <c r="H488" s="36" t="n">
        <v>102.117</v>
      </c>
      <c r="I488" s="37" t="n">
        <v>0.14937</v>
      </c>
      <c r="J488" s="38">
        <f>ROUND(H488*I488,2)</f>
        <v/>
      </c>
      <c r="L488" s="39" t="n">
        <v>84.566</v>
      </c>
      <c r="M488" s="40" t="n">
        <v>0.14937</v>
      </c>
      <c r="N488" s="41">
        <f>ROUND(L488*M488,2)</f>
        <v/>
      </c>
      <c r="O488" s="45" t="inlineStr">
        <is>
          <t>Margen objetivo (edita % aquí) ▶</t>
        </is>
      </c>
      <c r="P488" s="5" t="n"/>
      <c r="R488" s="43" t="inlineStr">
        <is>
          <t>Peor mes: 2023-03 · 84 € · margen 114%</t>
        </is>
      </c>
      <c r="AA488" t="n">
        <v>51.333</v>
      </c>
      <c r="AB488">
        <f>B486*D486+B487*D487+AA488*D488+AA489*D489+AA490*D490</f>
        <v/>
      </c>
    </row>
    <row r="489">
      <c r="A489" s="30" t="inlineStr">
        <is>
          <t>P2 Energía</t>
        </is>
      </c>
      <c r="B489" s="31">
        <f>IF($P$488&lt;&gt;"",ROUND(AA489*(($AB$488/(1-$P$488))-31.8550)/48.7521,2),IF('Resumen'!$D$3="OPTIMIZAR",ROUND(MAX(AA489,MIN(AA489*(($AB$488/(1-'Resumen'!$F$3))-31.8550)/48.7521,AA489*(170.1928)/48.7521)),3),AA489))</f>
        <v/>
      </c>
      <c r="C489" s="44" t="n"/>
      <c r="D489" s="33" t="n">
        <v>0.110306</v>
      </c>
      <c r="E489" s="34" t="n">
        <v>0.14937</v>
      </c>
      <c r="F489" s="35">
        <f>ROUND(B489*E489,2)</f>
        <v/>
      </c>
      <c r="H489" s="36" t="n">
        <v>116.38</v>
      </c>
      <c r="I489" s="37" t="n">
        <v>0.14937</v>
      </c>
      <c r="J489" s="38">
        <f>ROUND(H489*I489,2)</f>
        <v/>
      </c>
      <c r="L489" s="39" t="n">
        <v>99.926</v>
      </c>
      <c r="M489" s="40" t="n">
        <v>0.14937</v>
      </c>
      <c r="N489" s="41">
        <f>ROUND(L489*M489,2)</f>
        <v/>
      </c>
      <c r="O489" s="46" t="inlineStr">
        <is>
          <t>Cant. P1/P2/P3 energía suben</t>
        </is>
      </c>
      <c r="R489" s="43" t="inlineStr">
        <is>
          <t>Importe mensual cobrado (€) · 24 meses ▾</t>
        </is>
      </c>
      <c r="AA489" t="n">
        <v>66.93600000000001</v>
      </c>
    </row>
    <row r="490">
      <c r="A490" s="30" t="inlineStr">
        <is>
          <t>P3 Energía</t>
        </is>
      </c>
      <c r="B490" s="31">
        <f>IF($P$488&lt;&gt;"",ROUND(AA490*(($AB$488/(1-$P$488))-31.8550)/48.7521,2),IF('Resumen'!$D$3="OPTIMIZAR",ROUND(MAX(AA490,MIN(AA490*(($AB$488/(1-'Resumen'!$F$3))-31.8550)/48.7521,AA490*(170.1928)/48.7521)),3),AA490))</f>
        <v/>
      </c>
      <c r="C490" s="44" t="n"/>
      <c r="D490" s="33" t="n">
        <v>0.110306</v>
      </c>
      <c r="E490" s="34" t="n">
        <v>0.14937</v>
      </c>
      <c r="F490" s="35">
        <f>ROUND(B490*E490,2)</f>
        <v/>
      </c>
      <c r="H490" s="36" t="n">
        <v>242.633</v>
      </c>
      <c r="I490" s="37" t="n">
        <v>0.14937</v>
      </c>
      <c r="J490" s="38">
        <f>ROUND(H490*I490,2)</f>
        <v/>
      </c>
      <c r="L490" s="39" t="n">
        <v>282.175</v>
      </c>
      <c r="M490" s="40" t="n">
        <v>0.14937</v>
      </c>
      <c r="N490" s="41">
        <f>ROUND(L490*M490,2)</f>
        <v/>
      </c>
      <c r="O490" s="46" t="inlineStr">
        <is>
          <t>en proporción para ese margen</t>
        </is>
      </c>
      <c r="AA490" t="n">
        <v>208.116</v>
      </c>
    </row>
    <row r="491">
      <c r="A491" s="30" t="inlineStr">
        <is>
          <t>Alquiler contador</t>
        </is>
      </c>
      <c r="B491" s="31" t="n">
        <v>1</v>
      </c>
      <c r="C491" s="32">
        <f>$N$483-$L$483+1</f>
        <v/>
      </c>
      <c r="D491" s="33" t="n">
        <v>0.7989000000000001</v>
      </c>
      <c r="E491" s="34" t="n">
        <v>4</v>
      </c>
      <c r="F491" s="35">
        <f>ROUND(B491*E491,2)</f>
        <v/>
      </c>
      <c r="H491" s="36" t="n">
        <v>1</v>
      </c>
      <c r="I491" s="37" t="n">
        <v>4</v>
      </c>
      <c r="J491" s="38">
        <f>ROUND(H491*I491,2)</f>
        <v/>
      </c>
      <c r="L491" s="39" t="n">
        <v>1</v>
      </c>
      <c r="M491" s="40" t="n">
        <v>4</v>
      </c>
      <c r="N491" s="41">
        <f>ROUND(L491*M491,2)</f>
        <v/>
      </c>
    </row>
    <row r="492">
      <c r="A492" s="30" t="inlineStr">
        <is>
          <t>Bono social</t>
        </is>
      </c>
      <c r="B492" s="31" t="n">
        <v>30</v>
      </c>
      <c r="C492" s="32">
        <f>$N$483-$L$483+1</f>
        <v/>
      </c>
      <c r="D492" s="33" t="n">
        <v>0.5736</v>
      </c>
      <c r="E492" s="34" t="n">
        <v>0.01274</v>
      </c>
      <c r="F492" s="35">
        <f>ROUND(B492*E492,2)</f>
        <v/>
      </c>
      <c r="H492" s="36" t="n">
        <v>30</v>
      </c>
      <c r="I492" s="37" t="n">
        <v>0.01274</v>
      </c>
      <c r="J492" s="38">
        <f>ROUND(H492*I492,2)</f>
        <v/>
      </c>
      <c r="L492" s="39" t="n">
        <v>30</v>
      </c>
      <c r="M492" s="40" t="n">
        <v>0.00629</v>
      </c>
      <c r="N492" s="41">
        <f>ROUND(L492*M492,2)</f>
        <v/>
      </c>
    </row>
    <row r="493">
      <c r="A493" s="30" t="inlineStr">
        <is>
          <t>Tasa eléctrica</t>
        </is>
      </c>
      <c r="B493" s="31" t="n">
        <v>3.6</v>
      </c>
      <c r="C493" s="44" t="n"/>
      <c r="D493" s="33" t="n">
        <v>0.24729</v>
      </c>
      <c r="E493" s="34" t="n">
        <v>1</v>
      </c>
      <c r="F493" s="35">
        <f>ROUND(B493*E493,2)</f>
        <v/>
      </c>
      <c r="H493" s="36" t="n">
        <v>4.83</v>
      </c>
      <c r="I493" s="37" t="n">
        <v>1</v>
      </c>
      <c r="J493" s="38">
        <f>ROUND(H493*I493,2)</f>
        <v/>
      </c>
      <c r="L493" s="39" t="n">
        <v>4.86</v>
      </c>
      <c r="M493" s="40" t="n">
        <v>1</v>
      </c>
      <c r="N493" s="41">
        <f>ROUND(L493*M493,2)</f>
        <v/>
      </c>
    </row>
    <row r="494">
      <c r="A494" s="47" t="inlineStr">
        <is>
          <t>TOTAL c/IVA</t>
        </is>
      </c>
      <c r="F494" s="48">
        <f>ROUND((SUM(F486:F493)-F493)*1.1+F493,2)</f>
        <v/>
      </c>
      <c r="J494" s="49">
        <f>ROUND(SUM(J486:J493),2)</f>
        <v/>
      </c>
      <c r="N494" s="50">
        <f>ROUND(SUM(N486:N493),2)</f>
        <v/>
      </c>
    </row>
    <row r="495">
      <c r="A495" s="19" t="inlineStr">
        <is>
          <t>MARGEN sin registrar</t>
        </is>
      </c>
      <c r="B495" s="51">
        <f>IF((F489+F486+F488+F490+F487)=0,"",((F489+F486+F488+F490+F487)-$AB$488)/(F489+F486+F488+F490+F487))</f>
        <v/>
      </c>
      <c r="D495" s="52">
        <f>IF(B495="","SIN PC",IF(B495&gt;=0.3,"APROBAR",IF(B495&gt;=0.2,"REVISAR","RECHAZAR")))</f>
        <v/>
      </c>
      <c r="E495" s="53" t="n"/>
      <c r="F495" s="54" t="n"/>
      <c r="AD495">
        <f>SUM(F488:F490)-48.7521</f>
        <v/>
      </c>
    </row>
    <row r="496">
      <c r="A496" s="55" t="inlineStr">
        <is>
          <t>☀ EXCEDENTES SOLARES (kWh vertidos reales)</t>
        </is>
      </c>
      <c r="B496" s="56" t="n"/>
      <c r="C496" s="56" t="n"/>
      <c r="D496" s="56" t="n"/>
      <c r="E496" s="56" t="n"/>
      <c r="F496" s="56" t="n"/>
    </row>
    <row r="497">
      <c r="A497" s="57" t="inlineStr">
        <is>
          <t>Concepto</t>
        </is>
      </c>
      <c r="B497" s="57" t="inlineStr">
        <is>
          <t>kWh</t>
        </is>
      </c>
      <c r="D497" s="57" t="inlineStr">
        <is>
          <t>€/kWh compra</t>
        </is>
      </c>
      <c r="E497" s="57" t="inlineStr">
        <is>
          <t>€/kWh venta</t>
        </is>
      </c>
      <c r="F497" s="57" t="inlineStr">
        <is>
          <t>Importe</t>
        </is>
      </c>
    </row>
    <row r="498">
      <c r="A498" s="58" t="inlineStr">
        <is>
          <t>Compra excedentes (vertido red)</t>
        </is>
      </c>
      <c r="B498" s="59" t="n">
        <v>206</v>
      </c>
      <c r="C498" s="60" t="n"/>
      <c r="D498" s="33" t="n">
        <v>0.06</v>
      </c>
      <c r="E498" s="60" t="n"/>
      <c r="F498" s="61">
        <f>ROUND(B498*D498,2)</f>
        <v/>
      </c>
    </row>
    <row r="499">
      <c r="A499" s="58" t="inlineStr">
        <is>
          <t>Venta cliente (saldo batería, 1043)</t>
        </is>
      </c>
      <c r="B499" s="60" t="n"/>
      <c r="C499" s="60" t="n"/>
      <c r="D499" s="60" t="n"/>
      <c r="E499" s="62" t="n">
        <v>0.06</v>
      </c>
      <c r="F499" s="61" t="n">
        <v>10.4</v>
      </c>
    </row>
    <row r="500">
      <c r="A500" s="63" t="inlineStr">
        <is>
          <t>NETO Transactiva (compra − venta)</t>
        </is>
      </c>
      <c r="B500" s="60" t="n"/>
      <c r="C500" s="60" t="n"/>
      <c r="D500" s="60" t="n"/>
      <c r="E500" s="60" t="n"/>
      <c r="F500" s="64">
        <f>F498-F499</f>
        <v/>
      </c>
    </row>
    <row r="502">
      <c r="A502" s="15" t="inlineStr">
        <is>
          <t>Factura 8593 · C00270 · CLAUDE JOSÉ GOFFINET</t>
        </is>
      </c>
      <c r="H502" s="15" t="inlineStr">
        <is>
          <t>ES0021000001208140CQ · Naturgy</t>
        </is>
      </c>
      <c r="L502" s="16" t="n">
        <v>46113</v>
      </c>
      <c r="M502" s="17" t="inlineStr">
        <is>
          <t>a</t>
        </is>
      </c>
      <c r="N502" s="16" t="n">
        <v>46142</v>
      </c>
      <c r="R502" s="18" t="inlineStr">
        <is>
          <t>HISTÓRICO DEL CUPS · HOJA TTVA LUZ</t>
        </is>
      </c>
    </row>
    <row r="503">
      <c r="A503" s="19" t="inlineStr">
        <is>
          <t>Concepto</t>
        </is>
      </c>
      <c r="B503" s="20" t="inlineStr">
        <is>
          <t>PENDIENTE (sin registrar)</t>
        </is>
      </c>
      <c r="C503" s="21" t="n"/>
      <c r="D503" s="21" t="n"/>
      <c r="E503" s="21" t="n"/>
      <c r="F503" s="21" t="n"/>
      <c r="H503" s="22" t="inlineStr">
        <is>
          <t>MES ANTERIOR · Fact.6454</t>
        </is>
      </c>
      <c r="I503" s="23" t="n"/>
      <c r="J503" s="23" t="n"/>
      <c r="L503" s="24" t="inlineStr">
        <is>
          <t>AÑO ANTERIOR · Fact.4657</t>
        </is>
      </c>
      <c r="M503" s="25" t="n"/>
      <c r="N503" s="25" t="n"/>
      <c r="R503" s="26" t="inlineStr">
        <is>
          <t>Cobrado total: 4.468 €</t>
        </is>
      </c>
    </row>
    <row r="504">
      <c r="B504" s="7" t="inlineStr">
        <is>
          <t>Cant</t>
        </is>
      </c>
      <c r="C504" s="7" t="inlineStr">
        <is>
          <t>Días</t>
        </is>
      </c>
      <c r="D504" s="7" t="inlineStr">
        <is>
          <t>PC real</t>
        </is>
      </c>
      <c r="E504" s="7" t="inlineStr">
        <is>
          <t>PV</t>
        </is>
      </c>
      <c r="F504" s="7" t="inlineStr">
        <is>
          <t>Importe</t>
        </is>
      </c>
      <c r="H504" s="27" t="inlineStr">
        <is>
          <t>Cant</t>
        </is>
      </c>
      <c r="I504" s="27" t="inlineStr">
        <is>
          <t>PV</t>
        </is>
      </c>
      <c r="J504" s="27" t="inlineStr">
        <is>
          <t>Importe</t>
        </is>
      </c>
      <c r="L504" s="28" t="inlineStr">
        <is>
          <t>Cant</t>
        </is>
      </c>
      <c r="M504" s="28" t="inlineStr">
        <is>
          <t>PV</t>
        </is>
      </c>
      <c r="N504" s="28" t="inlineStr">
        <is>
          <t>Importe</t>
        </is>
      </c>
      <c r="R504" s="29" t="inlineStr">
        <is>
          <t>Pagado total: 2.413 €</t>
        </is>
      </c>
    </row>
    <row r="505">
      <c r="A505" s="30" t="inlineStr">
        <is>
          <t>P1 Potencia</t>
        </is>
      </c>
      <c r="B505" s="31" t="n">
        <v>8</v>
      </c>
      <c r="C505" s="32">
        <f>$N$502-$L$502+1</f>
        <v/>
      </c>
      <c r="D505" s="33" t="n">
        <v>3.4086</v>
      </c>
      <c r="E505" s="34" t="n">
        <v>3.85</v>
      </c>
      <c r="F505" s="35">
        <f>ROUND(B505*E505,2)</f>
        <v/>
      </c>
      <c r="H505" s="36" t="n">
        <v>8</v>
      </c>
      <c r="I505" s="37" t="n">
        <v>3.85</v>
      </c>
      <c r="J505" s="38">
        <f>ROUND(H505*I505,2)</f>
        <v/>
      </c>
      <c r="L505" s="39" t="n">
        <v>8</v>
      </c>
      <c r="M505" s="40" t="n">
        <v>3.85</v>
      </c>
      <c r="N505" s="41">
        <f>ROUND(L505*M505,2)</f>
        <v/>
      </c>
      <c r="R505" s="42" t="inlineStr">
        <is>
          <t>DIF: 2.055 €   ·   Margen hist.: 46.0%</t>
        </is>
      </c>
    </row>
    <row r="506">
      <c r="A506" s="30" t="inlineStr">
        <is>
          <t>P2 Potencia</t>
        </is>
      </c>
      <c r="B506" s="31" t="n">
        <v>8</v>
      </c>
      <c r="C506" s="32">
        <f>$N$502-$L$502+1</f>
        <v/>
      </c>
      <c r="D506" s="33" t="n">
        <v>1.09728</v>
      </c>
      <c r="E506" s="34" t="n">
        <v>1.33</v>
      </c>
      <c r="F506" s="35">
        <f>ROUND(B506*E506,2)</f>
        <v/>
      </c>
      <c r="H506" s="36" t="n">
        <v>8</v>
      </c>
      <c r="I506" s="37" t="n">
        <v>1.33</v>
      </c>
      <c r="J506" s="38">
        <f>ROUND(H506*I506,2)</f>
        <v/>
      </c>
      <c r="L506" s="39" t="n">
        <v>8</v>
      </c>
      <c r="M506" s="40" t="n">
        <v>1.33</v>
      </c>
      <c r="N506" s="41">
        <f>ROUND(L506*M506,2)</f>
        <v/>
      </c>
      <c r="R506" s="43" t="inlineStr">
        <is>
          <t>Mejor mes: 2023-01 · 371 € · margen 75%</t>
        </is>
      </c>
    </row>
    <row r="507">
      <c r="A507" s="30" t="inlineStr">
        <is>
          <t>P1 Energía</t>
        </is>
      </c>
      <c r="B507" s="31">
        <f>IF($P$507&lt;&gt;"",ROUND(AA507*(($AB$507/(1-$P$507))-41.4400)/48.0259,2),IF('Resumen'!$D$3="OPTIMIZAR",ROUND(MAX(AA507,MIN(AA507*(($AB$507/(1-'Resumen'!$F$3))-41.4400)/48.0259,AA507*(322.4778)/48.0259)),3),AA507))</f>
        <v/>
      </c>
      <c r="C507" s="44" t="n"/>
      <c r="D507" s="33" t="n">
        <v>0.110306</v>
      </c>
      <c r="E507" s="34" t="n">
        <v>0.13788</v>
      </c>
      <c r="F507" s="35">
        <f>ROUND(B507*E507,2)</f>
        <v/>
      </c>
      <c r="H507" s="36" t="n">
        <v>217.137</v>
      </c>
      <c r="I507" s="37" t="n">
        <v>0.13788</v>
      </c>
      <c r="J507" s="38">
        <f>ROUND(H507*I507,2)</f>
        <v/>
      </c>
      <c r="L507" s="39" t="n">
        <v>2.808</v>
      </c>
      <c r="M507" s="40" t="n">
        <v>0.13788</v>
      </c>
      <c r="N507" s="41">
        <f>ROUND(L507*M507,2)</f>
        <v/>
      </c>
      <c r="O507" s="45" t="inlineStr">
        <is>
          <t>Margen objetivo (edita % aquí) ▶</t>
        </is>
      </c>
      <c r="P507" s="5" t="n"/>
      <c r="R507" s="43" t="inlineStr">
        <is>
          <t>Peor mes: 2023-04 · 67 € · margen 67%</t>
        </is>
      </c>
      <c r="AA507" t="n">
        <v>25.483</v>
      </c>
      <c r="AB507">
        <f>B505*D505+B506*D506+AA507*D507+AA508*D508+AA509*D509</f>
        <v/>
      </c>
    </row>
    <row r="508">
      <c r="A508" s="30" t="inlineStr">
        <is>
          <t>P2 Energía</t>
        </is>
      </c>
      <c r="B508" s="31">
        <f>IF($P$507&lt;&gt;"",ROUND(AA508*(($AB$507/(1-$P$507))-41.4400)/48.0259,2),IF('Resumen'!$D$3="OPTIMIZAR",ROUND(MAX(AA508,MIN(AA508*(($AB$507/(1-'Resumen'!$F$3))-41.4400)/48.0259,AA508*(322.4778)/48.0259)),3),AA508))</f>
        <v/>
      </c>
      <c r="C508" s="44" t="n"/>
      <c r="D508" s="33" t="n">
        <v>0.110306</v>
      </c>
      <c r="E508" s="34" t="n">
        <v>0.13788</v>
      </c>
      <c r="F508" s="35">
        <f>ROUND(B508*E508,2)</f>
        <v/>
      </c>
      <c r="H508" s="36" t="n">
        <v>163.934</v>
      </c>
      <c r="I508" s="37" t="n">
        <v>0.13788</v>
      </c>
      <c r="J508" s="38">
        <f>ROUND(H508*I508,2)</f>
        <v/>
      </c>
      <c r="L508" s="39" t="n">
        <v>25.709</v>
      </c>
      <c r="M508" s="40" t="n">
        <v>0.13788</v>
      </c>
      <c r="N508" s="41">
        <f>ROUND(L508*M508,2)</f>
        <v/>
      </c>
      <c r="O508" s="46" t="inlineStr">
        <is>
          <t>Cant. P1/P2/P3 energía suben</t>
        </is>
      </c>
      <c r="R508" s="43" t="inlineStr">
        <is>
          <t>Importe mensual cobrado (€) · 24 meses ▾</t>
        </is>
      </c>
      <c r="AA508" t="n">
        <v>62.697</v>
      </c>
    </row>
    <row r="509">
      <c r="A509" s="30" t="inlineStr">
        <is>
          <t>P3 Energía</t>
        </is>
      </c>
      <c r="B509" s="31">
        <f>IF($P$507&lt;&gt;"",ROUND(AA509*(($AB$507/(1-$P$507))-41.4400)/48.0259,2),IF('Resumen'!$D$3="OPTIMIZAR",ROUND(MAX(AA509,MIN(AA509*(($AB$507/(1-'Resumen'!$F$3))-41.4400)/48.0259,AA509*(322.4778)/48.0259)),3),AA509))</f>
        <v/>
      </c>
      <c r="C509" s="44" t="n"/>
      <c r="D509" s="33" t="n">
        <v>0.110306</v>
      </c>
      <c r="E509" s="34" t="n">
        <v>0.13788</v>
      </c>
      <c r="F509" s="35">
        <f>ROUND(B509*E509,2)</f>
        <v/>
      </c>
      <c r="H509" s="36" t="n">
        <v>380.582</v>
      </c>
      <c r="I509" s="37" t="n">
        <v>0.13788</v>
      </c>
      <c r="J509" s="38">
        <f>ROUND(H509*I509,2)</f>
        <v/>
      </c>
      <c r="L509" s="39" t="n">
        <v>137.748</v>
      </c>
      <c r="M509" s="40" t="n">
        <v>0.13788</v>
      </c>
      <c r="N509" s="41">
        <f>ROUND(L509*M509,2)</f>
        <v/>
      </c>
      <c r="O509" s="46" t="inlineStr">
        <is>
          <t>en proporción para ese margen</t>
        </is>
      </c>
      <c r="AA509" t="n">
        <v>260.137</v>
      </c>
    </row>
    <row r="510">
      <c r="A510" s="30" t="inlineStr">
        <is>
          <t>Alquiler contador</t>
        </is>
      </c>
      <c r="B510" s="31" t="n">
        <v>1</v>
      </c>
      <c r="C510" s="32">
        <f>$N$502-$L$502+1</f>
        <v/>
      </c>
      <c r="D510" s="33" t="n">
        <v>1.3414</v>
      </c>
      <c r="E510" s="34" t="n">
        <v>3</v>
      </c>
      <c r="F510" s="35">
        <f>ROUND(B510*E510,2)</f>
        <v/>
      </c>
      <c r="H510" s="36" t="n">
        <v>1</v>
      </c>
      <c r="I510" s="37" t="n">
        <v>3</v>
      </c>
      <c r="J510" s="38">
        <f>ROUND(H510*I510,2)</f>
        <v/>
      </c>
      <c r="L510" s="39" t="n">
        <v>1</v>
      </c>
      <c r="M510" s="40" t="n">
        <v>3</v>
      </c>
      <c r="N510" s="41">
        <f>ROUND(L510*M510,2)</f>
        <v/>
      </c>
    </row>
    <row r="511">
      <c r="A511" s="30" t="inlineStr">
        <is>
          <t>Bono social</t>
        </is>
      </c>
      <c r="B511" s="31" t="n">
        <v>30</v>
      </c>
      <c r="C511" s="32">
        <f>$N$502-$L$502+1</f>
        <v/>
      </c>
      <c r="D511" s="33" t="n">
        <v>0.5736</v>
      </c>
      <c r="E511" s="34" t="n">
        <v>0.01274</v>
      </c>
      <c r="F511" s="35">
        <f>ROUND(B511*E511,2)</f>
        <v/>
      </c>
      <c r="H511" s="36" t="n">
        <v>30</v>
      </c>
      <c r="I511" s="37" t="n">
        <v>0.01274</v>
      </c>
      <c r="J511" s="38">
        <f>ROUND(H511*I511,2)</f>
        <v/>
      </c>
      <c r="L511" s="39" t="n">
        <v>30</v>
      </c>
      <c r="M511" s="40" t="n">
        <v>0.00629</v>
      </c>
      <c r="N511" s="41">
        <f>ROUND(L511*M511,2)</f>
        <v/>
      </c>
    </row>
    <row r="512">
      <c r="A512" s="30" t="inlineStr">
        <is>
          <t>Tasa eléctrica</t>
        </is>
      </c>
      <c r="B512" s="31" t="n">
        <v>3.26</v>
      </c>
      <c r="C512" s="44" t="n"/>
      <c r="D512" s="33" t="n">
        <v>0.24729</v>
      </c>
      <c r="E512" s="34" t="n">
        <v>1</v>
      </c>
      <c r="F512" s="35">
        <f>ROUND(B512*E512,2)</f>
        <v/>
      </c>
      <c r="H512" s="36" t="n">
        <v>6.54</v>
      </c>
      <c r="I512" s="37" t="n">
        <v>1</v>
      </c>
      <c r="J512" s="38">
        <f>ROUND(H512*I512,2)</f>
        <v/>
      </c>
      <c r="L512" s="39" t="n">
        <v>2.13</v>
      </c>
      <c r="M512" s="40" t="n">
        <v>1</v>
      </c>
      <c r="N512" s="41">
        <f>ROUND(L512*M512,2)</f>
        <v/>
      </c>
    </row>
    <row r="513">
      <c r="A513" s="47" t="inlineStr">
        <is>
          <t>TOTAL c/IVA</t>
        </is>
      </c>
      <c r="F513" s="48">
        <f>ROUND((SUM(F505:F512)-F512)*1.1+F512,2)</f>
        <v/>
      </c>
      <c r="J513" s="49">
        <f>ROUND(SUM(J505:J512),2)</f>
        <v/>
      </c>
      <c r="N513" s="50">
        <f>ROUND(SUM(N505:N512),2)</f>
        <v/>
      </c>
    </row>
    <row r="514">
      <c r="A514" s="19" t="inlineStr">
        <is>
          <t>MARGEN sin registrar</t>
        </is>
      </c>
      <c r="B514" s="51">
        <f>IF((F508+F505+F507+F509+F506)=0,"",((F508+F505+F507+F509+F506)-$AB$507)/(F508+F505+F507+F509+F506))</f>
        <v/>
      </c>
      <c r="D514" s="52">
        <f>IF(B514="","SIN PC",IF(B514&gt;=0.3,"APROBAR",IF(B514&gt;=0.2,"REVISAR","RECHAZAR")))</f>
        <v/>
      </c>
      <c r="E514" s="53" t="n"/>
      <c r="F514" s="54" t="n"/>
      <c r="AD514">
        <f>SUM(F507:F509)-48.0259</f>
        <v/>
      </c>
    </row>
    <row r="515">
      <c r="A515" s="55" t="inlineStr">
        <is>
          <t>☀ EXCEDENTES SOLARES (kWh vertidos reales)</t>
        </is>
      </c>
      <c r="B515" s="56" t="n"/>
      <c r="C515" s="56" t="n"/>
      <c r="D515" s="56" t="n"/>
      <c r="E515" s="56" t="n"/>
      <c r="F515" s="56" t="n"/>
    </row>
    <row r="516">
      <c r="A516" s="57" t="inlineStr">
        <is>
          <t>Concepto</t>
        </is>
      </c>
      <c r="B516" s="57" t="inlineStr">
        <is>
          <t>kWh</t>
        </is>
      </c>
      <c r="D516" s="57" t="inlineStr">
        <is>
          <t>€/kWh compra</t>
        </is>
      </c>
      <c r="E516" s="57" t="inlineStr">
        <is>
          <t>€/kWh venta</t>
        </is>
      </c>
      <c r="F516" s="57" t="inlineStr">
        <is>
          <t>Importe</t>
        </is>
      </c>
    </row>
    <row r="517">
      <c r="A517" s="58" t="inlineStr">
        <is>
          <t>Compra excedentes (vertido red)</t>
        </is>
      </c>
      <c r="B517" s="59" t="n">
        <v>471</v>
      </c>
      <c r="C517" s="60" t="n"/>
      <c r="D517" s="33" t="n">
        <v>0.06</v>
      </c>
      <c r="E517" s="60" t="n"/>
      <c r="F517" s="61">
        <f>ROUND(B517*D517,2)</f>
        <v/>
      </c>
    </row>
    <row r="518">
      <c r="A518" s="58" t="inlineStr">
        <is>
          <t>Venta cliente (saldo batería, 1043)</t>
        </is>
      </c>
      <c r="B518" s="60" t="n"/>
      <c r="C518" s="60" t="n"/>
      <c r="D518" s="60" t="n"/>
      <c r="E518" s="62" t="n">
        <v>0.06</v>
      </c>
      <c r="F518" s="61" t="n">
        <v>25.84</v>
      </c>
    </row>
    <row r="519">
      <c r="A519" s="63" t="inlineStr">
        <is>
          <t>NETO Transactiva (compra − venta)</t>
        </is>
      </c>
      <c r="B519" s="60" t="n"/>
      <c r="C519" s="60" t="n"/>
      <c r="D519" s="60" t="n"/>
      <c r="E519" s="60" t="n"/>
      <c r="F519" s="64">
        <f>F517-F518</f>
        <v/>
      </c>
    </row>
    <row r="521">
      <c r="A521" s="15" t="inlineStr">
        <is>
          <t>Factura 8594 · C00310 · MICHAEL BALMER</t>
        </is>
      </c>
      <c r="H521" s="15" t="inlineStr">
        <is>
          <t>ES0021000001498936ZT · Naturgy</t>
        </is>
      </c>
      <c r="L521" s="16" t="n">
        <v>46113</v>
      </c>
      <c r="M521" s="17" t="inlineStr">
        <is>
          <t>a</t>
        </is>
      </c>
      <c r="N521" s="16" t="n">
        <v>46142</v>
      </c>
      <c r="R521" s="18" t="inlineStr">
        <is>
          <t>HISTÓRICO DEL CUPS · HOJA TTVA LUZ</t>
        </is>
      </c>
    </row>
    <row r="522">
      <c r="A522" s="19" t="inlineStr">
        <is>
          <t>Concepto</t>
        </is>
      </c>
      <c r="B522" s="20" t="inlineStr">
        <is>
          <t>PENDIENTE (sin registrar)</t>
        </is>
      </c>
      <c r="C522" s="21" t="n"/>
      <c r="D522" s="21" t="n"/>
      <c r="E522" s="21" t="n"/>
      <c r="F522" s="21" t="n"/>
      <c r="H522" s="22" t="inlineStr">
        <is>
          <t>MES ANTERIOR · Fact.6453</t>
        </is>
      </c>
      <c r="I522" s="23" t="n"/>
      <c r="J522" s="23" t="n"/>
      <c r="L522" s="24" t="inlineStr">
        <is>
          <t>AÑO ANTERIOR · (sin dato)</t>
        </is>
      </c>
      <c r="M522" s="25" t="n"/>
      <c r="N522" s="25" t="n"/>
      <c r="R522" s="26" t="inlineStr">
        <is>
          <t>Cobrado total: 1.087 €</t>
        </is>
      </c>
    </row>
    <row r="523">
      <c r="B523" s="7" t="inlineStr">
        <is>
          <t>Cant</t>
        </is>
      </c>
      <c r="C523" s="7" t="inlineStr">
        <is>
          <t>Días</t>
        </is>
      </c>
      <c r="D523" s="7" t="inlineStr">
        <is>
          <t>PC real</t>
        </is>
      </c>
      <c r="E523" s="7" t="inlineStr">
        <is>
          <t>PV</t>
        </is>
      </c>
      <c r="F523" s="7" t="inlineStr">
        <is>
          <t>Importe</t>
        </is>
      </c>
      <c r="H523" s="27" t="inlineStr">
        <is>
          <t>Cant</t>
        </is>
      </c>
      <c r="I523" s="27" t="inlineStr">
        <is>
          <t>PV</t>
        </is>
      </c>
      <c r="J523" s="27" t="inlineStr">
        <is>
          <t>Importe</t>
        </is>
      </c>
      <c r="L523" s="28" t="inlineStr">
        <is>
          <t>Cant</t>
        </is>
      </c>
      <c r="M523" s="28" t="inlineStr">
        <is>
          <t>PV</t>
        </is>
      </c>
      <c r="N523" s="28" t="inlineStr">
        <is>
          <t>Importe</t>
        </is>
      </c>
      <c r="R523" s="29" t="inlineStr">
        <is>
          <t>Pagado total: 533 €</t>
        </is>
      </c>
    </row>
    <row r="524">
      <c r="A524" s="30" t="inlineStr">
        <is>
          <t>P1 Potencia</t>
        </is>
      </c>
      <c r="B524" s="31" t="n">
        <v>5.75</v>
      </c>
      <c r="C524" s="32">
        <f>$N$521-$L$521+1</f>
        <v/>
      </c>
      <c r="D524" s="33" t="n">
        <v>3.68919</v>
      </c>
      <c r="E524" s="34" t="n">
        <v>3.85</v>
      </c>
      <c r="F524" s="35">
        <f>ROUND(B524*E524,2)</f>
        <v/>
      </c>
      <c r="H524" s="36" t="n">
        <v>5.75</v>
      </c>
      <c r="I524" s="37" t="n">
        <v>3.85</v>
      </c>
      <c r="J524" s="38">
        <f>ROUND(H524*I524,2)</f>
        <v/>
      </c>
      <c r="L524" s="65" t="n"/>
      <c r="M524" s="65" t="n"/>
      <c r="N524" s="65" t="n"/>
      <c r="R524" s="42" t="inlineStr">
        <is>
          <t>DIF: 554 €   ·   Margen hist.: 51.0%</t>
        </is>
      </c>
    </row>
    <row r="525">
      <c r="A525" s="30" t="inlineStr">
        <is>
          <t>P2 Potencia</t>
        </is>
      </c>
      <c r="B525" s="31" t="n">
        <v>5.75</v>
      </c>
      <c r="C525" s="32">
        <f>$N$521-$L$521+1</f>
        <v/>
      </c>
      <c r="D525" s="33" t="n">
        <v>1.31928</v>
      </c>
      <c r="E525" s="34" t="n">
        <v>1.33</v>
      </c>
      <c r="F525" s="35">
        <f>ROUND(B525*E525,2)</f>
        <v/>
      </c>
      <c r="H525" s="36" t="n">
        <v>5.75</v>
      </c>
      <c r="I525" s="37" t="n">
        <v>1.33</v>
      </c>
      <c r="J525" s="38">
        <f>ROUND(H525*I525,2)</f>
        <v/>
      </c>
      <c r="L525" s="65" t="n"/>
      <c r="M525" s="65" t="n"/>
      <c r="N525" s="65" t="n"/>
      <c r="R525" s="43" t="inlineStr">
        <is>
          <t>Mejor mes: 2024-01 · 206 €</t>
        </is>
      </c>
    </row>
    <row r="526">
      <c r="A526" s="30" t="inlineStr">
        <is>
          <t>P1 Energía</t>
        </is>
      </c>
      <c r="B526" s="31">
        <f>IF($P$526&lt;&gt;"",ROUND(AA526*(($AB$526/(1-$P$526))-29.7850)/37.5122,2),IF('Resumen'!$D$3="OPTIMIZAR",ROUND(MAX(AA526,MIN(AA526*(($AB$526/(1-'Resumen'!$F$3))-29.7850)/37.5122,AA526*(170.7728)/37.5122)),3),AA526))</f>
        <v/>
      </c>
      <c r="C526" s="44" t="n"/>
      <c r="D526" s="33" t="n">
        <v>0.111171</v>
      </c>
      <c r="E526" s="34" t="n">
        <v>0.13788</v>
      </c>
      <c r="F526" s="35">
        <f>ROUND(B526*E526,2)</f>
        <v/>
      </c>
      <c r="H526" s="36" t="n">
        <v>142.934</v>
      </c>
      <c r="I526" s="37" t="n">
        <v>0.13788</v>
      </c>
      <c r="J526" s="38">
        <f>ROUND(H526*I526,2)</f>
        <v/>
      </c>
      <c r="L526" s="65" t="n"/>
      <c r="M526" s="65" t="n"/>
      <c r="N526" s="65" t="n"/>
      <c r="O526" s="45" t="inlineStr">
        <is>
          <t>Margen objetivo (edita % aquí) ▶</t>
        </is>
      </c>
      <c r="P526" s="5" t="n"/>
      <c r="R526" s="43" t="inlineStr">
        <is>
          <t>Peor mes: 2023-02 · 23 € · margen 121%</t>
        </is>
      </c>
      <c r="AA526" t="n">
        <v>86.53700000000001</v>
      </c>
      <c r="AB526">
        <f>B524*D524+B525*D525+AA526*D526+AA527*D527+AA528*D528</f>
        <v/>
      </c>
    </row>
    <row r="527">
      <c r="A527" s="30" t="inlineStr">
        <is>
          <t>P2 Energía</t>
        </is>
      </c>
      <c r="B527" s="31">
        <f>IF($P$526&lt;&gt;"",ROUND(AA527*(($AB$526/(1-$P$526))-29.7850)/37.5122,2),IF('Resumen'!$D$3="OPTIMIZAR",ROUND(MAX(AA527,MIN(AA527*(($AB$526/(1-'Resumen'!$F$3))-29.7850)/37.5122,AA527*(170.7728)/37.5122)),3),AA527))</f>
        <v/>
      </c>
      <c r="C527" s="44" t="n"/>
      <c r="D527" s="33" t="n">
        <v>0.111171</v>
      </c>
      <c r="E527" s="34" t="n">
        <v>0.13788</v>
      </c>
      <c r="F527" s="35">
        <f>ROUND(B527*E527,2)</f>
        <v/>
      </c>
      <c r="H527" s="36" t="n">
        <v>139.259</v>
      </c>
      <c r="I527" s="37" t="n">
        <v>0.13788</v>
      </c>
      <c r="J527" s="38">
        <f>ROUND(H527*I527,2)</f>
        <v/>
      </c>
      <c r="L527" s="65" t="n"/>
      <c r="M527" s="65" t="n"/>
      <c r="N527" s="65" t="n"/>
      <c r="O527" s="46" t="inlineStr">
        <is>
          <t>Cant. P1/P2/P3 energía suben</t>
        </is>
      </c>
      <c r="R527" s="43" t="inlineStr">
        <is>
          <t>Importe mensual cobrado (€) · 24 meses ▾</t>
        </is>
      </c>
      <c r="AA527" t="n">
        <v>53.745</v>
      </c>
    </row>
    <row r="528">
      <c r="A528" s="30" t="inlineStr">
        <is>
          <t>P3 Energía</t>
        </is>
      </c>
      <c r="B528" s="31">
        <f>IF($P$526&lt;&gt;"",ROUND(AA528*(($AB$526/(1-$P$526))-29.7850)/37.5122,2),IF('Resumen'!$D$3="OPTIMIZAR",ROUND(MAX(AA528,MIN(AA528*(($AB$526/(1-'Resumen'!$F$3))-29.7850)/37.5122,AA528*(170.7728)/37.5122)),3),AA528))</f>
        <v/>
      </c>
      <c r="C528" s="44" t="n"/>
      <c r="D528" s="33" t="n">
        <v>0.111171</v>
      </c>
      <c r="E528" s="34" t="n">
        <v>0.13788</v>
      </c>
      <c r="F528" s="35">
        <f>ROUND(B528*E528,2)</f>
        <v/>
      </c>
      <c r="H528" s="36" t="n">
        <v>285.917</v>
      </c>
      <c r="I528" s="37" t="n">
        <v>0.13788</v>
      </c>
      <c r="J528" s="38">
        <f>ROUND(H528*I528,2)</f>
        <v/>
      </c>
      <c r="L528" s="65" t="n"/>
      <c r="M528" s="65" t="n"/>
      <c r="N528" s="65" t="n"/>
      <c r="O528" s="46" t="inlineStr">
        <is>
          <t>en proporción para ese margen</t>
        </is>
      </c>
      <c r="AA528" t="n">
        <v>131.782</v>
      </c>
    </row>
    <row r="529">
      <c r="A529" s="30" t="inlineStr">
        <is>
          <t>Alquiler contador</t>
        </is>
      </c>
      <c r="B529" s="31" t="n">
        <v>1</v>
      </c>
      <c r="C529" s="32">
        <f>$N$521-$L$521+1</f>
        <v/>
      </c>
      <c r="D529" s="33" t="n">
        <v>0.7989000000000001</v>
      </c>
      <c r="E529" s="34" t="n">
        <v>3</v>
      </c>
      <c r="F529" s="35">
        <f>ROUND(B529*E529,2)</f>
        <v/>
      </c>
      <c r="H529" s="36" t="n">
        <v>1</v>
      </c>
      <c r="I529" s="37" t="n">
        <v>3</v>
      </c>
      <c r="J529" s="38">
        <f>ROUND(H529*I529,2)</f>
        <v/>
      </c>
      <c r="L529" s="65" t="n"/>
      <c r="M529" s="65" t="n"/>
      <c r="N529" s="65" t="n"/>
    </row>
    <row r="530">
      <c r="A530" s="30" t="inlineStr">
        <is>
          <t>Bono social</t>
        </is>
      </c>
      <c r="B530" s="31" t="n">
        <v>30</v>
      </c>
      <c r="C530" s="32">
        <f>$N$521-$L$521+1</f>
        <v/>
      </c>
      <c r="D530" s="33" t="n">
        <v>0.5736</v>
      </c>
      <c r="E530" s="34" t="n">
        <v>0.01274</v>
      </c>
      <c r="F530" s="35">
        <f>ROUND(B530*E530,2)</f>
        <v/>
      </c>
      <c r="H530" s="36" t="n">
        <v>30</v>
      </c>
      <c r="I530" s="37" t="n">
        <v>0.01274</v>
      </c>
      <c r="J530" s="38">
        <f>ROUND(H530*I530,2)</f>
        <v/>
      </c>
      <c r="L530" s="65" t="n"/>
      <c r="M530" s="65" t="n"/>
      <c r="N530" s="65" t="n"/>
    </row>
    <row r="531">
      <c r="A531" s="30" t="inlineStr">
        <is>
          <t>Tasa eléctrica</t>
        </is>
      </c>
      <c r="B531" s="31" t="n">
        <v>1.9</v>
      </c>
      <c r="C531" s="44" t="n"/>
      <c r="D531" s="33" t="n">
        <v>0.27312</v>
      </c>
      <c r="E531" s="34" t="n">
        <v>1</v>
      </c>
      <c r="F531" s="35">
        <f>ROUND(B531*E531,2)</f>
        <v/>
      </c>
      <c r="H531" s="36" t="n">
        <v>4.6</v>
      </c>
      <c r="I531" s="37" t="n">
        <v>1</v>
      </c>
      <c r="J531" s="38">
        <f>ROUND(H531*I531,2)</f>
        <v/>
      </c>
      <c r="L531" s="65" t="n"/>
      <c r="M531" s="65" t="n"/>
      <c r="N531" s="65" t="n"/>
    </row>
    <row r="532">
      <c r="A532" s="47" t="inlineStr">
        <is>
          <t>TOTAL c/IVA</t>
        </is>
      </c>
      <c r="F532" s="48">
        <f>ROUND((SUM(F524:F531)-F531)*1.1+F531,2)</f>
        <v/>
      </c>
      <c r="J532" s="49">
        <f>ROUND(SUM(J524:J531),2)</f>
        <v/>
      </c>
      <c r="N532" s="66" t="n"/>
    </row>
    <row r="533">
      <c r="A533" s="19" t="inlineStr">
        <is>
          <t>MARGEN sin registrar</t>
        </is>
      </c>
      <c r="B533" s="51">
        <f>IF((F527+F524+F526+F528+F525)=0,"",((F527+F524+F526+F528+F525)-$AB$526)/(F527+F524+F526+F528+F525))</f>
        <v/>
      </c>
      <c r="D533" s="52">
        <f>IF(B533="","SIN PC",IF(B533&gt;=0.3,"APROBAR",IF(B533&gt;=0.2,"REVISAR","RECHAZAR")))</f>
        <v/>
      </c>
      <c r="E533" s="53" t="n"/>
      <c r="F533" s="54" t="n"/>
      <c r="AD533">
        <f>SUM(F526:F528)-37.5122</f>
        <v/>
      </c>
    </row>
    <row r="534">
      <c r="A534" s="55" t="inlineStr">
        <is>
          <t>☀ EXCEDENTES SOLARES (kWh vertidos reales)</t>
        </is>
      </c>
      <c r="B534" s="56" t="n"/>
      <c r="C534" s="56" t="n"/>
      <c r="D534" s="56" t="n"/>
      <c r="E534" s="56" t="n"/>
      <c r="F534" s="56" t="n"/>
    </row>
    <row r="535">
      <c r="A535" s="57" t="inlineStr">
        <is>
          <t>Concepto</t>
        </is>
      </c>
      <c r="B535" s="57" t="inlineStr">
        <is>
          <t>kWh</t>
        </is>
      </c>
      <c r="D535" s="57" t="inlineStr">
        <is>
          <t>€/kWh compra</t>
        </is>
      </c>
      <c r="E535" s="57" t="inlineStr">
        <is>
          <t>€/kWh venta</t>
        </is>
      </c>
      <c r="F535" s="57" t="inlineStr">
        <is>
          <t>Importe</t>
        </is>
      </c>
    </row>
    <row r="536">
      <c r="A536" s="58" t="inlineStr">
        <is>
          <t>Compra excedentes (vertido red)</t>
        </is>
      </c>
      <c r="B536" s="59" t="n">
        <v>528</v>
      </c>
      <c r="C536" s="60" t="n"/>
      <c r="D536" s="33" t="n">
        <v>0.06</v>
      </c>
      <c r="E536" s="60" t="n"/>
      <c r="F536" s="61">
        <f>ROUND(B536*D536,2)</f>
        <v/>
      </c>
    </row>
    <row r="537">
      <c r="A537" s="58" t="inlineStr">
        <is>
          <t>Venta cliente (saldo batería, 1043)</t>
        </is>
      </c>
      <c r="B537" s="60" t="n"/>
      <c r="C537" s="60" t="n"/>
      <c r="D537" s="60" t="n"/>
      <c r="E537" s="62" t="n">
        <v>0.07000000000000001</v>
      </c>
      <c r="F537" s="61" t="n">
        <v>30.38</v>
      </c>
    </row>
    <row r="538">
      <c r="A538" s="63" t="inlineStr">
        <is>
          <t>NETO Transactiva (compra − venta)</t>
        </is>
      </c>
      <c r="B538" s="60" t="n"/>
      <c r="C538" s="60" t="n"/>
      <c r="D538" s="60" t="n"/>
      <c r="E538" s="60" t="n"/>
      <c r="F538" s="64">
        <f>F536-F537</f>
        <v/>
      </c>
    </row>
    <row r="540">
      <c r="A540" s="15" t="inlineStr">
        <is>
          <t>Factura 8597 · C00410 · VALENTINA BARCA</t>
        </is>
      </c>
      <c r="H540" s="15" t="inlineStr">
        <is>
          <t>ES0021000001215730MQ · Naturgy</t>
        </is>
      </c>
      <c r="L540" s="16" t="n">
        <v>46113</v>
      </c>
      <c r="M540" s="17" t="inlineStr">
        <is>
          <t>a</t>
        </is>
      </c>
      <c r="N540" s="16" t="n">
        <v>46142</v>
      </c>
      <c r="R540" s="18" t="inlineStr">
        <is>
          <t>HISTÓRICO DEL CUPS · HOJA TTVA LUZ</t>
        </is>
      </c>
    </row>
    <row r="541">
      <c r="A541" s="19" t="inlineStr">
        <is>
          <t>Concepto</t>
        </is>
      </c>
      <c r="B541" s="20" t="inlineStr">
        <is>
          <t>PENDIENTE (sin registrar)</t>
        </is>
      </c>
      <c r="C541" s="21" t="n"/>
      <c r="D541" s="21" t="n"/>
      <c r="E541" s="21" t="n"/>
      <c r="F541" s="21" t="n"/>
      <c r="H541" s="22" t="inlineStr">
        <is>
          <t>MES ANTERIOR · Fact.6450</t>
        </is>
      </c>
      <c r="I541" s="23" t="n"/>
      <c r="J541" s="23" t="n"/>
      <c r="L541" s="24" t="inlineStr">
        <is>
          <t>AÑO ANTERIOR · Fact.4654</t>
        </is>
      </c>
      <c r="M541" s="25" t="n"/>
      <c r="N541" s="25" t="n"/>
      <c r="R541" s="26" t="inlineStr">
        <is>
          <t>Cobrado total: 3.174 €</t>
        </is>
      </c>
    </row>
    <row r="542">
      <c r="B542" s="7" t="inlineStr">
        <is>
          <t>Cant</t>
        </is>
      </c>
      <c r="C542" s="7" t="inlineStr">
        <is>
          <t>Días</t>
        </is>
      </c>
      <c r="D542" s="7" t="inlineStr">
        <is>
          <t>PC real</t>
        </is>
      </c>
      <c r="E542" s="7" t="inlineStr">
        <is>
          <t>PV</t>
        </is>
      </c>
      <c r="F542" s="7" t="inlineStr">
        <is>
          <t>Importe</t>
        </is>
      </c>
      <c r="H542" s="27" t="inlineStr">
        <is>
          <t>Cant</t>
        </is>
      </c>
      <c r="I542" s="27" t="inlineStr">
        <is>
          <t>PV</t>
        </is>
      </c>
      <c r="J542" s="27" t="inlineStr">
        <is>
          <t>Importe</t>
        </is>
      </c>
      <c r="L542" s="28" t="inlineStr">
        <is>
          <t>Cant</t>
        </is>
      </c>
      <c r="M542" s="28" t="inlineStr">
        <is>
          <t>PV</t>
        </is>
      </c>
      <c r="N542" s="28" t="inlineStr">
        <is>
          <t>Importe</t>
        </is>
      </c>
      <c r="R542" s="29" t="inlineStr">
        <is>
          <t>Pagado total: 1.935 €</t>
        </is>
      </c>
    </row>
    <row r="543">
      <c r="A543" s="30" t="inlineStr">
        <is>
          <t>P1 Potencia</t>
        </is>
      </c>
      <c r="B543" s="31" t="n">
        <v>9.9</v>
      </c>
      <c r="C543" s="32">
        <f>$N$540-$L$540+1</f>
        <v/>
      </c>
      <c r="D543" s="33" t="n">
        <v>3.4086</v>
      </c>
      <c r="E543" s="34" t="n">
        <v>3.85</v>
      </c>
      <c r="F543" s="35">
        <f>ROUND(B543*E543,2)</f>
        <v/>
      </c>
      <c r="H543" s="36" t="n">
        <v>9.9</v>
      </c>
      <c r="I543" s="37" t="n">
        <v>3.85</v>
      </c>
      <c r="J543" s="38">
        <f>ROUND(H543*I543,2)</f>
        <v/>
      </c>
      <c r="L543" s="39" t="n">
        <v>9.9</v>
      </c>
      <c r="M543" s="40" t="n">
        <v>3.85</v>
      </c>
      <c r="N543" s="41">
        <f>ROUND(L543*M543,2)</f>
        <v/>
      </c>
      <c r="R543" s="42" t="inlineStr">
        <is>
          <t>DIF: 1.239 €   ·   Margen hist.: 39.0%</t>
        </is>
      </c>
    </row>
    <row r="544">
      <c r="A544" s="30" t="inlineStr">
        <is>
          <t>P2 Potencia</t>
        </is>
      </c>
      <c r="B544" s="31" t="n">
        <v>9.9</v>
      </c>
      <c r="C544" s="32">
        <f>$N$540-$L$540+1</f>
        <v/>
      </c>
      <c r="D544" s="33" t="n">
        <v>1.09728</v>
      </c>
      <c r="E544" s="34" t="n">
        <v>1.33</v>
      </c>
      <c r="F544" s="35">
        <f>ROUND(B544*E544,2)</f>
        <v/>
      </c>
      <c r="H544" s="36" t="n">
        <v>9.9</v>
      </c>
      <c r="I544" s="37" t="n">
        <v>1.33</v>
      </c>
      <c r="J544" s="38">
        <f>ROUND(H544*I544,2)</f>
        <v/>
      </c>
      <c r="L544" s="39" t="n">
        <v>9.9</v>
      </c>
      <c r="M544" s="40" t="n">
        <v>1.33</v>
      </c>
      <c r="N544" s="41">
        <f>ROUND(L544*M544,2)</f>
        <v/>
      </c>
      <c r="R544" s="43" t="inlineStr">
        <is>
          <t>Mejor mes: 2023-01 · 246 € · margen 73%</t>
        </is>
      </c>
    </row>
    <row r="545">
      <c r="A545" s="30" t="inlineStr">
        <is>
          <t>P1 Energía</t>
        </is>
      </c>
      <c r="B545" s="31">
        <f>IF($P$545&lt;&gt;"",ROUND(AA545*(($AB$545/(1-$P$545))-51.2820)/75.8381,2),IF('Resumen'!$D$3="OPTIMIZAR",ROUND(MAX(AA545,MIN(AA545*(($AB$545/(1-'Resumen'!$F$3))-51.2820)/75.8381,AA545*(186.3058)/75.8381)),3),AA545))</f>
        <v/>
      </c>
      <c r="C545" s="44" t="n"/>
      <c r="D545" s="33" t="n">
        <v>0.110306</v>
      </c>
      <c r="E545" s="34" t="n">
        <v>0.13788</v>
      </c>
      <c r="F545" s="35">
        <f>ROUND(B545*E545,2)</f>
        <v/>
      </c>
      <c r="H545" s="36" t="n">
        <v>163.129</v>
      </c>
      <c r="I545" s="37" t="n">
        <v>0.129</v>
      </c>
      <c r="J545" s="38">
        <f>ROUND(H545*I545,2)</f>
        <v/>
      </c>
      <c r="L545" s="39" t="n">
        <v>110.834</v>
      </c>
      <c r="M545" s="40" t="n">
        <v>0.13788</v>
      </c>
      <c r="N545" s="41">
        <f>ROUND(L545*M545,2)</f>
        <v/>
      </c>
      <c r="O545" s="45" t="inlineStr">
        <is>
          <t>Margen objetivo (edita % aquí) ▶</t>
        </is>
      </c>
      <c r="P545" s="5" t="n"/>
      <c r="R545" s="43" t="inlineStr">
        <is>
          <t>Peor mes: 2024-05 · 74 € · margen 14%</t>
        </is>
      </c>
      <c r="AA545" t="n">
        <v>104.855</v>
      </c>
      <c r="AB545">
        <f>B543*D543+B544*D544+AA545*D545+AA546*D546+AA547*D547</f>
        <v/>
      </c>
    </row>
    <row r="546">
      <c r="A546" s="30" t="inlineStr">
        <is>
          <t>P2 Energía</t>
        </is>
      </c>
      <c r="B546" s="31">
        <f>IF($P$545&lt;&gt;"",ROUND(AA546*(($AB$545/(1-$P$545))-51.2820)/75.8381,2),IF('Resumen'!$D$3="OPTIMIZAR",ROUND(MAX(AA546,MIN(AA546*(($AB$545/(1-'Resumen'!$F$3))-51.2820)/75.8381,AA546*(186.3058)/75.8381)),3),AA546))</f>
        <v/>
      </c>
      <c r="C546" s="44" t="n"/>
      <c r="D546" s="33" t="n">
        <v>0.110306</v>
      </c>
      <c r="E546" s="34" t="n">
        <v>0.13788</v>
      </c>
      <c r="F546" s="35">
        <f>ROUND(B546*E546,2)</f>
        <v/>
      </c>
      <c r="H546" s="36" t="n">
        <v>178.752</v>
      </c>
      <c r="I546" s="37" t="n">
        <v>0.129</v>
      </c>
      <c r="J546" s="38">
        <f>ROUND(H546*I546,2)</f>
        <v/>
      </c>
      <c r="L546" s="39" t="n">
        <v>92.373</v>
      </c>
      <c r="M546" s="40" t="n">
        <v>0.13788</v>
      </c>
      <c r="N546" s="41">
        <f>ROUND(L546*M546,2)</f>
        <v/>
      </c>
      <c r="O546" s="46" t="inlineStr">
        <is>
          <t>Cant. P1/P2/P3 energía suben</t>
        </is>
      </c>
      <c r="R546" s="43" t="inlineStr">
        <is>
          <t>Importe mensual cobrado (€) · 24 meses ▾</t>
        </is>
      </c>
      <c r="AA546" t="n">
        <v>87.45699999999999</v>
      </c>
    </row>
    <row r="547">
      <c r="A547" s="30" t="inlineStr">
        <is>
          <t>P3 Energía</t>
        </is>
      </c>
      <c r="B547" s="31">
        <f>IF($P$545&lt;&gt;"",ROUND(AA547*(($AB$545/(1-$P$545))-51.2820)/75.8381,2),IF('Resumen'!$D$3="OPTIMIZAR",ROUND(MAX(AA547,MIN(AA547*(($AB$545/(1-'Resumen'!$F$3))-51.2820)/75.8381,AA547*(186.3058)/75.8381)),3),AA547))</f>
        <v/>
      </c>
      <c r="C547" s="44" t="n"/>
      <c r="D547" s="33" t="n">
        <v>0.110306</v>
      </c>
      <c r="E547" s="34" t="n">
        <v>0.13788</v>
      </c>
      <c r="F547" s="35">
        <f>ROUND(B547*E547,2)</f>
        <v/>
      </c>
      <c r="H547" s="36" t="n">
        <v>515.8</v>
      </c>
      <c r="I547" s="37" t="n">
        <v>0.129</v>
      </c>
      <c r="J547" s="38">
        <f>ROUND(H547*I547,2)</f>
        <v/>
      </c>
      <c r="L547" s="39" t="n">
        <v>242.716</v>
      </c>
      <c r="M547" s="40" t="n">
        <v>0.13788</v>
      </c>
      <c r="N547" s="41">
        <f>ROUND(L547*M547,2)</f>
        <v/>
      </c>
      <c r="O547" s="46" t="inlineStr">
        <is>
          <t>en proporción para ese margen</t>
        </is>
      </c>
      <c r="AA547" t="n">
        <v>357.718</v>
      </c>
    </row>
    <row r="548">
      <c r="A548" s="30" t="inlineStr">
        <is>
          <t>Alquiler contador</t>
        </is>
      </c>
      <c r="B548" s="31" t="n">
        <v>1</v>
      </c>
      <c r="C548" s="32">
        <f>$N$540-$L$540+1</f>
        <v/>
      </c>
      <c r="D548" s="33" t="n">
        <v>1.3414</v>
      </c>
      <c r="E548" s="34" t="n">
        <v>3</v>
      </c>
      <c r="F548" s="35">
        <f>ROUND(B548*E548,2)</f>
        <v/>
      </c>
      <c r="H548" s="36" t="n">
        <v>1</v>
      </c>
      <c r="I548" s="37" t="n">
        <v>3</v>
      </c>
      <c r="J548" s="38">
        <f>ROUND(H548*I548,2)</f>
        <v/>
      </c>
      <c r="L548" s="39" t="n">
        <v>1</v>
      </c>
      <c r="M548" s="40" t="n">
        <v>3</v>
      </c>
      <c r="N548" s="41">
        <f>ROUND(L548*M548,2)</f>
        <v/>
      </c>
    </row>
    <row r="549">
      <c r="A549" s="30" t="inlineStr">
        <is>
          <t>Bono social</t>
        </is>
      </c>
      <c r="B549" s="31" t="n">
        <v>30</v>
      </c>
      <c r="C549" s="32">
        <f>$N$540-$L$540+1</f>
        <v/>
      </c>
      <c r="D549" s="33" t="n">
        <v>0.5736</v>
      </c>
      <c r="E549" s="34" t="n">
        <v>0.01274</v>
      </c>
      <c r="F549" s="35">
        <f>ROUND(B549*E549,2)</f>
        <v/>
      </c>
      <c r="H549" s="36" t="n">
        <v>30</v>
      </c>
      <c r="I549" s="37" t="n">
        <v>0.01274</v>
      </c>
      <c r="J549" s="38">
        <f>ROUND(H549*I549,2)</f>
        <v/>
      </c>
      <c r="L549" s="39" t="n">
        <v>30</v>
      </c>
      <c r="M549" s="40" t="n">
        <v>0.00629</v>
      </c>
      <c r="N549" s="41">
        <f>ROUND(L549*M549,2)</f>
        <v/>
      </c>
    </row>
    <row r="550">
      <c r="A550" s="30" t="inlineStr">
        <is>
          <t>Tasa eléctrica</t>
        </is>
      </c>
      <c r="B550" s="31" t="n">
        <v>5.49</v>
      </c>
      <c r="C550" s="44" t="n"/>
      <c r="D550" s="33" t="n">
        <v>0.24729</v>
      </c>
      <c r="E550" s="34" t="n">
        <v>1</v>
      </c>
      <c r="F550" s="35">
        <f>ROUND(B550*E550,2)</f>
        <v/>
      </c>
      <c r="H550" s="36" t="n">
        <v>8.279999999999999</v>
      </c>
      <c r="I550" s="37" t="n">
        <v>1</v>
      </c>
      <c r="J550" s="38">
        <f>ROUND(H550*I550,2)</f>
        <v/>
      </c>
      <c r="L550" s="39" t="n">
        <v>4.98</v>
      </c>
      <c r="M550" s="40" t="n">
        <v>1</v>
      </c>
      <c r="N550" s="41">
        <f>ROUND(L550*M550,2)</f>
        <v/>
      </c>
    </row>
    <row r="551">
      <c r="A551" s="47" t="inlineStr">
        <is>
          <t>TOTAL c/IVA</t>
        </is>
      </c>
      <c r="F551" s="48">
        <f>ROUND((SUM(F543:F550)-F550)*1.1+F550,2)</f>
        <v/>
      </c>
      <c r="J551" s="49">
        <f>ROUND(SUM(J543:J550),2)</f>
        <v/>
      </c>
      <c r="N551" s="50">
        <f>ROUND(SUM(N543:N550),2)</f>
        <v/>
      </c>
    </row>
    <row r="552">
      <c r="A552" s="19" t="inlineStr">
        <is>
          <t>MARGEN sin registrar</t>
        </is>
      </c>
      <c r="B552" s="51">
        <f>IF((F546+F543+F545+F547+F544)=0,"",((F546+F543+F545+F547+F544)-$AB$545)/(F546+F543+F545+F547+F544))</f>
        <v/>
      </c>
      <c r="D552" s="52">
        <f>IF(B552="","SIN PC",IF(B552&gt;=0.3,"APROBAR",IF(B552&gt;=0.2,"REVISAR","RECHAZAR")))</f>
        <v/>
      </c>
      <c r="E552" s="53" t="n"/>
      <c r="F552" s="54" t="n"/>
      <c r="AD552">
        <f>SUM(F545:F547)-75.8381</f>
        <v/>
      </c>
    </row>
    <row r="553">
      <c r="A553" s="55" t="inlineStr">
        <is>
          <t>☀ EXCEDENTES SOLARES (kWh vertidos reales)</t>
        </is>
      </c>
      <c r="B553" s="56" t="n"/>
      <c r="C553" s="56" t="n"/>
      <c r="D553" s="56" t="n"/>
      <c r="E553" s="56" t="n"/>
      <c r="F553" s="56" t="n"/>
    </row>
    <row r="554">
      <c r="A554" s="57" t="inlineStr">
        <is>
          <t>Concepto</t>
        </is>
      </c>
      <c r="B554" s="57" t="inlineStr">
        <is>
          <t>kWh</t>
        </is>
      </c>
      <c r="D554" s="57" t="inlineStr">
        <is>
          <t>€/kWh compra</t>
        </is>
      </c>
      <c r="E554" s="57" t="inlineStr">
        <is>
          <t>€/kWh venta</t>
        </is>
      </c>
      <c r="F554" s="57" t="inlineStr">
        <is>
          <t>Importe</t>
        </is>
      </c>
    </row>
    <row r="555">
      <c r="A555" s="58" t="inlineStr">
        <is>
          <t>Compra excedentes (vertido red)</t>
        </is>
      </c>
      <c r="B555" s="59" t="n">
        <v>324</v>
      </c>
      <c r="C555" s="60" t="n"/>
      <c r="D555" s="33" t="n">
        <v>0.06</v>
      </c>
      <c r="E555" s="60" t="n"/>
      <c r="F555" s="61">
        <f>ROUND(B555*D555,2)</f>
        <v/>
      </c>
    </row>
    <row r="556">
      <c r="A556" s="58" t="inlineStr">
        <is>
          <t>Venta cliente (saldo batería, 1043)</t>
        </is>
      </c>
      <c r="B556" s="60" t="n"/>
      <c r="C556" s="60" t="n"/>
      <c r="D556" s="60" t="n"/>
      <c r="E556" s="62" t="n">
        <v>0.06</v>
      </c>
      <c r="F556" s="61" t="n">
        <v>19.87</v>
      </c>
    </row>
    <row r="557">
      <c r="A557" s="63" t="inlineStr">
        <is>
          <t>NETO Transactiva (compra − venta)</t>
        </is>
      </c>
      <c r="B557" s="60" t="n"/>
      <c r="C557" s="60" t="n"/>
      <c r="D557" s="60" t="n"/>
      <c r="E557" s="60" t="n"/>
      <c r="F557" s="64">
        <f>F555-F556</f>
        <v/>
      </c>
    </row>
    <row r="559">
      <c r="A559" s="15" t="inlineStr">
        <is>
          <t>Factura 8599 · C00540 · PEDRO CAÑADAS FERNANDEZ</t>
        </is>
      </c>
      <c r="H559" s="15" t="inlineStr">
        <is>
          <t>ES0021000011666174FL · Naturgy</t>
        </is>
      </c>
      <c r="L559" s="16" t="n">
        <v>46113</v>
      </c>
      <c r="M559" s="17" t="inlineStr">
        <is>
          <t>a</t>
        </is>
      </c>
      <c r="N559" s="16" t="n">
        <v>46142</v>
      </c>
      <c r="R559" s="18" t="inlineStr">
        <is>
          <t>HISTÓRICO DEL CUPS · HOJA TTVA LUZ</t>
        </is>
      </c>
    </row>
    <row r="560">
      <c r="A560" s="19" t="inlineStr">
        <is>
          <t>Concepto</t>
        </is>
      </c>
      <c r="B560" s="20" t="inlineStr">
        <is>
          <t>PENDIENTE (sin registrar)</t>
        </is>
      </c>
      <c r="C560" s="21" t="n"/>
      <c r="D560" s="21" t="n"/>
      <c r="E560" s="21" t="n"/>
      <c r="F560" s="21" t="n"/>
      <c r="H560" s="22" t="inlineStr">
        <is>
          <t>MES ANTERIOR · Fact.6448</t>
        </is>
      </c>
      <c r="I560" s="23" t="n"/>
      <c r="J560" s="23" t="n"/>
      <c r="L560" s="24" t="inlineStr">
        <is>
          <t>AÑO ANTERIOR · Fact.4652</t>
        </is>
      </c>
      <c r="M560" s="25" t="n"/>
      <c r="N560" s="25" t="n"/>
      <c r="R560" s="26" t="inlineStr">
        <is>
          <t>Cobrado total: 910 €</t>
        </is>
      </c>
    </row>
    <row r="561">
      <c r="B561" s="7" t="inlineStr">
        <is>
          <t>Cant</t>
        </is>
      </c>
      <c r="C561" s="7" t="inlineStr">
        <is>
          <t>Días</t>
        </is>
      </c>
      <c r="D561" s="7" t="inlineStr">
        <is>
          <t>PC real</t>
        </is>
      </c>
      <c r="E561" s="7" t="inlineStr">
        <is>
          <t>PV</t>
        </is>
      </c>
      <c r="F561" s="7" t="inlineStr">
        <is>
          <t>Importe</t>
        </is>
      </c>
      <c r="H561" s="27" t="inlineStr">
        <is>
          <t>Cant</t>
        </is>
      </c>
      <c r="I561" s="27" t="inlineStr">
        <is>
          <t>PV</t>
        </is>
      </c>
      <c r="J561" s="27" t="inlineStr">
        <is>
          <t>Importe</t>
        </is>
      </c>
      <c r="L561" s="28" t="inlineStr">
        <is>
          <t>Cant</t>
        </is>
      </c>
      <c r="M561" s="28" t="inlineStr">
        <is>
          <t>PV</t>
        </is>
      </c>
      <c r="N561" s="28" t="inlineStr">
        <is>
          <t>Importe</t>
        </is>
      </c>
      <c r="R561" s="29" t="inlineStr">
        <is>
          <t>Pagado total: 648 €</t>
        </is>
      </c>
    </row>
    <row r="562">
      <c r="A562" s="30" t="inlineStr">
        <is>
          <t>P1 Potencia</t>
        </is>
      </c>
      <c r="B562" s="31" t="n">
        <v>3.45</v>
      </c>
      <c r="C562" s="32">
        <f>$N$559-$L$559+1</f>
        <v/>
      </c>
      <c r="D562" s="33" t="n">
        <v>3.68919</v>
      </c>
      <c r="E562" s="34" t="n">
        <v>4.17</v>
      </c>
      <c r="F562" s="35">
        <f>ROUND(B562*E562,2)</f>
        <v/>
      </c>
      <c r="H562" s="36" t="n">
        <v>3.45</v>
      </c>
      <c r="I562" s="37" t="n">
        <v>4.17</v>
      </c>
      <c r="J562" s="38">
        <f>ROUND(H562*I562,2)</f>
        <v/>
      </c>
      <c r="L562" s="39" t="n">
        <v>3.45</v>
      </c>
      <c r="M562" s="40" t="n">
        <v>4.17</v>
      </c>
      <c r="N562" s="41">
        <f>ROUND(L562*M562,2)</f>
        <v/>
      </c>
      <c r="R562" s="42" t="inlineStr">
        <is>
          <t>DIF: 263 €   ·   Margen hist.: 28.8%</t>
        </is>
      </c>
    </row>
    <row r="563">
      <c r="A563" s="30" t="inlineStr">
        <is>
          <t>P2 Potencia</t>
        </is>
      </c>
      <c r="B563" s="31" t="n">
        <v>3.45</v>
      </c>
      <c r="C563" s="32">
        <f>$N$559-$L$559+1</f>
        <v/>
      </c>
      <c r="D563" s="33" t="n">
        <v>1.31928</v>
      </c>
      <c r="E563" s="34" t="n">
        <v>1.37</v>
      </c>
      <c r="F563" s="35">
        <f>ROUND(B563*E563,2)</f>
        <v/>
      </c>
      <c r="H563" s="36" t="n">
        <v>3.45</v>
      </c>
      <c r="I563" s="37" t="n">
        <v>1.37</v>
      </c>
      <c r="J563" s="38">
        <f>ROUND(H563*I563,2)</f>
        <v/>
      </c>
      <c r="L563" s="39" t="n">
        <v>3.45</v>
      </c>
      <c r="M563" s="40" t="n">
        <v>1.37</v>
      </c>
      <c r="N563" s="41">
        <f>ROUND(L563*M563,2)</f>
        <v/>
      </c>
      <c r="R563" s="43" t="inlineStr">
        <is>
          <t>Mejor mes: 2024-04 · 48 € · margen 134%</t>
        </is>
      </c>
    </row>
    <row r="564">
      <c r="A564" s="30" t="inlineStr">
        <is>
          <t>P1 Energía</t>
        </is>
      </c>
      <c r="B564" s="31">
        <f>IF($P$564&lt;&gt;"",ROUND(AA564*(($AB$564/(1-$P$564))-19.1130)/12.3961,2),IF('Resumen'!$D$3="OPTIMIZAR",ROUND(MAX(AA564,MIN(AA564*(($AB$564/(1-'Resumen'!$F$3))-19.1130)/12.3961,AA564*(22.9048)/12.3961)),3),AA564))</f>
        <v/>
      </c>
      <c r="C564" s="44" t="n"/>
      <c r="D564" s="33" t="n">
        <v>0.111171</v>
      </c>
      <c r="E564" s="34" t="n">
        <v>0.14937</v>
      </c>
      <c r="F564" s="35">
        <f>ROUND(B564*E564,2)</f>
        <v/>
      </c>
      <c r="H564" s="36" t="n">
        <v>28.042</v>
      </c>
      <c r="I564" s="37" t="n">
        <v>0.14937</v>
      </c>
      <c r="J564" s="38">
        <f>ROUND(H564*I564,2)</f>
        <v/>
      </c>
      <c r="L564" s="39" t="n">
        <v>28.487</v>
      </c>
      <c r="M564" s="40" t="n">
        <v>0.14937</v>
      </c>
      <c r="N564" s="41">
        <f>ROUND(L564*M564,2)</f>
        <v/>
      </c>
      <c r="O564" s="45" t="inlineStr">
        <is>
          <t>Margen objetivo (edita % aquí) ▶</t>
        </is>
      </c>
      <c r="P564" s="5" t="n"/>
      <c r="R564" s="43" t="inlineStr">
        <is>
          <t>Peor mes: 2024-05 · 25 € · margen 4%</t>
        </is>
      </c>
      <c r="AA564" t="n">
        <v>22.482</v>
      </c>
      <c r="AB564">
        <f>B562*D562+B563*D563+AA564*D564+AA565*D565+AA566*D566</f>
        <v/>
      </c>
    </row>
    <row r="565">
      <c r="A565" s="30" t="inlineStr">
        <is>
          <t>P2 Energía</t>
        </is>
      </c>
      <c r="B565" s="31">
        <f>IF($P$564&lt;&gt;"",ROUND(AA565*(($AB$564/(1-$P$564))-19.1130)/12.3961,2),IF('Resumen'!$D$3="OPTIMIZAR",ROUND(MAX(AA565,MIN(AA565*(($AB$564/(1-'Resumen'!$F$3))-19.1130)/12.3961,AA565*(22.9048)/12.3961)),3),AA565))</f>
        <v/>
      </c>
      <c r="C565" s="44" t="n"/>
      <c r="D565" s="33" t="n">
        <v>0.111171</v>
      </c>
      <c r="E565" s="34" t="n">
        <v>0.14937</v>
      </c>
      <c r="F565" s="35">
        <f>ROUND(B565*E565,2)</f>
        <v/>
      </c>
      <c r="H565" s="36" t="n">
        <v>23.22</v>
      </c>
      <c r="I565" s="37" t="n">
        <v>0.14937</v>
      </c>
      <c r="J565" s="38">
        <f>ROUND(H565*I565,2)</f>
        <v/>
      </c>
      <c r="L565" s="39" t="n">
        <v>18.742</v>
      </c>
      <c r="M565" s="40" t="n">
        <v>0.14937</v>
      </c>
      <c r="N565" s="41">
        <f>ROUND(L565*M565,2)</f>
        <v/>
      </c>
      <c r="O565" s="46" t="inlineStr">
        <is>
          <t>Cant. P1/P2/P3 energía suben</t>
        </is>
      </c>
      <c r="R565" s="43" t="inlineStr">
        <is>
          <t>Importe mensual cobrado (€) · 24 meses ▾</t>
        </is>
      </c>
      <c r="AA565" t="n">
        <v>20.603</v>
      </c>
    </row>
    <row r="566">
      <c r="A566" s="30" t="inlineStr">
        <is>
          <t>P3 Energía</t>
        </is>
      </c>
      <c r="B566" s="31">
        <f>IF($P$564&lt;&gt;"",ROUND(AA566*(($AB$564/(1-$P$564))-19.1130)/12.3961,2),IF('Resumen'!$D$3="OPTIMIZAR",ROUND(MAX(AA566,MIN(AA566*(($AB$564/(1-'Resumen'!$F$3))-19.1130)/12.3961,AA566*(22.9048)/12.3961)),3),AA566))</f>
        <v/>
      </c>
      <c r="C566" s="44" t="n"/>
      <c r="D566" s="33" t="n">
        <v>0.111171</v>
      </c>
      <c r="E566" s="34" t="n">
        <v>0.14937</v>
      </c>
      <c r="F566" s="35">
        <f>ROUND(B566*E566,2)</f>
        <v/>
      </c>
      <c r="H566" s="36" t="n">
        <v>49.374</v>
      </c>
      <c r="I566" s="37" t="n">
        <v>0.14937</v>
      </c>
      <c r="J566" s="38">
        <f>ROUND(H566*I566,2)</f>
        <v/>
      </c>
      <c r="L566" s="39" t="n">
        <v>35.281</v>
      </c>
      <c r="M566" s="40" t="n">
        <v>0.14937</v>
      </c>
      <c r="N566" s="41">
        <f>ROUND(L566*M566,2)</f>
        <v/>
      </c>
      <c r="O566" s="46" t="inlineStr">
        <is>
          <t>en proporción para ese margen</t>
        </is>
      </c>
      <c r="AA566" t="n">
        <v>39.904</v>
      </c>
    </row>
    <row r="567">
      <c r="A567" s="30" t="inlineStr">
        <is>
          <t>Alquiler contador</t>
        </is>
      </c>
      <c r="B567" s="31" t="n">
        <v>1</v>
      </c>
      <c r="C567" s="32">
        <f>$N$559-$L$559+1</f>
        <v/>
      </c>
      <c r="D567" s="33" t="n">
        <v>0.7989000000000001</v>
      </c>
      <c r="E567" s="34" t="n">
        <v>4</v>
      </c>
      <c r="F567" s="35">
        <f>ROUND(B567*E567,2)</f>
        <v/>
      </c>
      <c r="H567" s="36" t="n">
        <v>1</v>
      </c>
      <c r="I567" s="37" t="n">
        <v>4</v>
      </c>
      <c r="J567" s="38">
        <f>ROUND(H567*I567,2)</f>
        <v/>
      </c>
      <c r="L567" s="39" t="n">
        <v>1</v>
      </c>
      <c r="M567" s="40" t="n">
        <v>4</v>
      </c>
      <c r="N567" s="41">
        <f>ROUND(L567*M567,2)</f>
        <v/>
      </c>
    </row>
    <row r="568">
      <c r="A568" s="30" t="inlineStr">
        <is>
          <t>Bono social</t>
        </is>
      </c>
      <c r="B568" s="31" t="n">
        <v>30</v>
      </c>
      <c r="C568" s="32">
        <f>$N$559-$L$559+1</f>
        <v/>
      </c>
      <c r="D568" s="33" t="n">
        <v>0.5736</v>
      </c>
      <c r="E568" s="34" t="n">
        <v>0.01274</v>
      </c>
      <c r="F568" s="35">
        <f>ROUND(B568*E568,2)</f>
        <v/>
      </c>
      <c r="H568" s="36" t="n">
        <v>30</v>
      </c>
      <c r="I568" s="37" t="n">
        <v>0.01274</v>
      </c>
      <c r="J568" s="38">
        <f>ROUND(H568*I568,2)</f>
        <v/>
      </c>
      <c r="L568" s="39" t="n">
        <v>30</v>
      </c>
      <c r="M568" s="40" t="n">
        <v>0.00629</v>
      </c>
      <c r="N568" s="41">
        <f>ROUND(L568*M568,2)</f>
        <v/>
      </c>
    </row>
    <row r="569">
      <c r="A569" s="30" t="inlineStr">
        <is>
          <t>Tasa eléctrica</t>
        </is>
      </c>
      <c r="B569" s="31" t="n">
        <v>1.19</v>
      </c>
      <c r="C569" s="44" t="n"/>
      <c r="D569" s="33" t="n">
        <v>0.27312</v>
      </c>
      <c r="E569" s="34" t="n">
        <v>1</v>
      </c>
      <c r="F569" s="35">
        <f>ROUND(B569*E569,2)</f>
        <v/>
      </c>
      <c r="H569" s="36" t="n">
        <v>1.39</v>
      </c>
      <c r="I569" s="37" t="n">
        <v>1</v>
      </c>
      <c r="J569" s="38">
        <f>ROUND(H569*I569,2)</f>
        <v/>
      </c>
      <c r="L569" s="39" t="n">
        <v>1.18</v>
      </c>
      <c r="M569" s="40" t="n">
        <v>1</v>
      </c>
      <c r="N569" s="41">
        <f>ROUND(L569*M569,2)</f>
        <v/>
      </c>
    </row>
    <row r="570">
      <c r="A570" s="47" t="inlineStr">
        <is>
          <t>TOTAL c/IVA</t>
        </is>
      </c>
      <c r="F570" s="48">
        <f>ROUND((SUM(F562:F569)-F569)*1.1+F569,2)</f>
        <v/>
      </c>
      <c r="J570" s="49">
        <f>ROUND(SUM(J562:J569),2)</f>
        <v/>
      </c>
      <c r="N570" s="50">
        <f>ROUND(SUM(N562:N569),2)</f>
        <v/>
      </c>
    </row>
    <row r="571">
      <c r="A571" s="19" t="inlineStr">
        <is>
          <t>MARGEN sin registrar</t>
        </is>
      </c>
      <c r="B571" s="51">
        <f>IF((F565+F562+F564+F566+F563)=0,"",((F565+F562+F564+F566+F563)-$AB$564)/(F565+F562+F564+F566+F563))</f>
        <v/>
      </c>
      <c r="D571" s="52">
        <f>IF(B571="","SIN PC",IF(B571&gt;=0.3,"APROBAR",IF(B571&gt;=0.2,"REVISAR","RECHAZAR")))</f>
        <v/>
      </c>
      <c r="E571" s="53" t="n"/>
      <c r="F571" s="54" t="n"/>
      <c r="AD571">
        <f>SUM(F564:F566)-12.3961</f>
        <v/>
      </c>
    </row>
    <row r="572">
      <c r="A572" s="55" t="inlineStr">
        <is>
          <t>☀ EXCEDENTES SOLARES (kWh vertidos reales)</t>
        </is>
      </c>
      <c r="B572" s="56" t="n"/>
      <c r="C572" s="56" t="n"/>
      <c r="D572" s="56" t="n"/>
      <c r="E572" s="56" t="n"/>
      <c r="F572" s="56" t="n"/>
    </row>
    <row r="573">
      <c r="A573" s="57" t="inlineStr">
        <is>
          <t>Concepto</t>
        </is>
      </c>
      <c r="B573" s="57" t="inlineStr">
        <is>
          <t>kWh</t>
        </is>
      </c>
      <c r="D573" s="57" t="inlineStr">
        <is>
          <t>€/kWh compra</t>
        </is>
      </c>
      <c r="E573" s="57" t="inlineStr">
        <is>
          <t>€/kWh venta</t>
        </is>
      </c>
      <c r="F573" s="57" t="inlineStr">
        <is>
          <t>Importe</t>
        </is>
      </c>
    </row>
    <row r="574">
      <c r="A574" s="58" t="inlineStr">
        <is>
          <t>Compra excedentes (vertido red)</t>
        </is>
      </c>
      <c r="B574" s="59" t="n">
        <v>166</v>
      </c>
      <c r="C574" s="60" t="n"/>
      <c r="D574" s="33" t="n">
        <v>0.06</v>
      </c>
      <c r="E574" s="60" t="n"/>
      <c r="F574" s="61">
        <f>ROUND(B574*D574,2)</f>
        <v/>
      </c>
    </row>
    <row r="575">
      <c r="A575" s="58" t="inlineStr">
        <is>
          <t>Venta cliente (saldo batería, 1043)</t>
        </is>
      </c>
      <c r="B575" s="60" t="n"/>
      <c r="C575" s="60" t="n"/>
      <c r="D575" s="60" t="n"/>
      <c r="E575" s="62" t="n">
        <v>0.06</v>
      </c>
      <c r="F575" s="61" t="n">
        <v>8.41</v>
      </c>
    </row>
    <row r="576">
      <c r="A576" s="63" t="inlineStr">
        <is>
          <t>NETO Transactiva (compra − venta)</t>
        </is>
      </c>
      <c r="B576" s="60" t="n"/>
      <c r="C576" s="60" t="n"/>
      <c r="D576" s="60" t="n"/>
      <c r="E576" s="60" t="n"/>
      <c r="F576" s="64">
        <f>F574-F575</f>
        <v/>
      </c>
    </row>
    <row r="578">
      <c r="A578" s="15" t="inlineStr">
        <is>
          <t>Factura 8600 · C00670 · CARLOS A. GAVILANES PAUCAR</t>
        </is>
      </c>
      <c r="H578" s="15" t="inlineStr">
        <is>
          <t>ES0021000039192179PS · Naturgy</t>
        </is>
      </c>
      <c r="L578" s="16" t="n">
        <v>46113</v>
      </c>
      <c r="M578" s="17" t="inlineStr">
        <is>
          <t>a</t>
        </is>
      </c>
      <c r="N578" s="16" t="n">
        <v>46142</v>
      </c>
      <c r="R578" s="18" t="inlineStr">
        <is>
          <t>HISTÓRICO DEL CUPS · HOJA TTVA LUZ</t>
        </is>
      </c>
    </row>
    <row r="579">
      <c r="A579" s="19" t="inlineStr">
        <is>
          <t>Concepto</t>
        </is>
      </c>
      <c r="B579" s="20" t="inlineStr">
        <is>
          <t>PENDIENTE (sin registrar)</t>
        </is>
      </c>
      <c r="C579" s="21" t="n"/>
      <c r="D579" s="21" t="n"/>
      <c r="E579" s="21" t="n"/>
      <c r="F579" s="21" t="n"/>
      <c r="H579" s="22" t="inlineStr">
        <is>
          <t>MES ANTERIOR · Fact.6447</t>
        </is>
      </c>
      <c r="I579" s="23" t="n"/>
      <c r="J579" s="23" t="n"/>
      <c r="L579" s="24" t="inlineStr">
        <is>
          <t>AÑO ANTERIOR · Fact.4651</t>
        </is>
      </c>
      <c r="M579" s="25" t="n"/>
      <c r="N579" s="25" t="n"/>
      <c r="R579" s="26" t="inlineStr">
        <is>
          <t>Cobrado total: 5.027 €</t>
        </is>
      </c>
    </row>
    <row r="580">
      <c r="B580" s="7" t="inlineStr">
        <is>
          <t>Cant</t>
        </is>
      </c>
      <c r="C580" s="7" t="inlineStr">
        <is>
          <t>Días</t>
        </is>
      </c>
      <c r="D580" s="7" t="inlineStr">
        <is>
          <t>PC real</t>
        </is>
      </c>
      <c r="E580" s="7" t="inlineStr">
        <is>
          <t>PV</t>
        </is>
      </c>
      <c r="F580" s="7" t="inlineStr">
        <is>
          <t>Importe</t>
        </is>
      </c>
      <c r="H580" s="27" t="inlineStr">
        <is>
          <t>Cant</t>
        </is>
      </c>
      <c r="I580" s="27" t="inlineStr">
        <is>
          <t>PV</t>
        </is>
      </c>
      <c r="J580" s="27" t="inlineStr">
        <is>
          <t>Importe</t>
        </is>
      </c>
      <c r="L580" s="28" t="inlineStr">
        <is>
          <t>Cant</t>
        </is>
      </c>
      <c r="M580" s="28" t="inlineStr">
        <is>
          <t>PV</t>
        </is>
      </c>
      <c r="N580" s="28" t="inlineStr">
        <is>
          <t>Importe</t>
        </is>
      </c>
      <c r="R580" s="29" t="inlineStr">
        <is>
          <t>Pagado total: 2.840 €</t>
        </is>
      </c>
    </row>
    <row r="581">
      <c r="A581" s="30" t="inlineStr">
        <is>
          <t>P1 Potencia</t>
        </is>
      </c>
      <c r="B581" s="31" t="n">
        <v>3.5</v>
      </c>
      <c r="C581" s="32">
        <f>$N$578-$L$578+1</f>
        <v/>
      </c>
      <c r="D581" s="33" t="n">
        <v>3.68919</v>
      </c>
      <c r="E581" s="34" t="n">
        <v>4.17</v>
      </c>
      <c r="F581" s="35">
        <f>ROUND(B581*E581,2)</f>
        <v/>
      </c>
      <c r="H581" s="36" t="n">
        <v>3.5</v>
      </c>
      <c r="I581" s="37" t="n">
        <v>4.17</v>
      </c>
      <c r="J581" s="38">
        <f>ROUND(H581*I581,2)</f>
        <v/>
      </c>
      <c r="L581" s="39" t="n">
        <v>3.5</v>
      </c>
      <c r="M581" s="40" t="n">
        <v>4.17</v>
      </c>
      <c r="N581" s="41">
        <f>ROUND(L581*M581,2)</f>
        <v/>
      </c>
      <c r="R581" s="42" t="inlineStr">
        <is>
          <t>DIF: 2.188 €   ·   Margen hist.: 43.5%</t>
        </is>
      </c>
    </row>
    <row r="582">
      <c r="A582" s="30" t="inlineStr">
        <is>
          <t>P2 Potencia</t>
        </is>
      </c>
      <c r="B582" s="31" t="n">
        <v>3.5</v>
      </c>
      <c r="C582" s="32">
        <f>$N$578-$L$578+1</f>
        <v/>
      </c>
      <c r="D582" s="33" t="n">
        <v>1.31928</v>
      </c>
      <c r="E582" s="34" t="n">
        <v>1.37</v>
      </c>
      <c r="F582" s="35">
        <f>ROUND(B582*E582,2)</f>
        <v/>
      </c>
      <c r="H582" s="36" t="n">
        <v>3.5</v>
      </c>
      <c r="I582" s="37" t="n">
        <v>1.37</v>
      </c>
      <c r="J582" s="38">
        <f>ROUND(H582*I582,2)</f>
        <v/>
      </c>
      <c r="L582" s="39" t="n">
        <v>3.5</v>
      </c>
      <c r="M582" s="40" t="n">
        <v>1.37</v>
      </c>
      <c r="N582" s="41">
        <f>ROUND(L582*M582,2)</f>
        <v/>
      </c>
      <c r="R582" s="43" t="inlineStr">
        <is>
          <t>Mejor mes: 2023-07 · 263 € · margen 5340%</t>
        </is>
      </c>
    </row>
    <row r="583">
      <c r="A583" s="30" t="inlineStr">
        <is>
          <t>P1 Energía</t>
        </is>
      </c>
      <c r="B583" s="31">
        <f>IF($P$583&lt;&gt;"",ROUND(AA583*(($AB$583/(1-$P$583))-19.3900)/170.1966,2),IF('Resumen'!$D$3="OPTIMIZAR",ROUND(MAX(AA583,MIN(AA583*(($AB$583/(1-'Resumen'!$F$3))-19.3900)/170.1966,AA583*(229.1478)/170.1966)),3),AA583))</f>
        <v/>
      </c>
      <c r="C583" s="44" t="n"/>
      <c r="D583" s="33" t="n">
        <v>0.111171</v>
      </c>
      <c r="E583" s="34" t="n">
        <v>0.139</v>
      </c>
      <c r="F583" s="35">
        <f>ROUND(B583*E583,2)</f>
        <v/>
      </c>
      <c r="H583" s="36" t="n">
        <v>344.266</v>
      </c>
      <c r="I583" s="37" t="n">
        <v>0.14937</v>
      </c>
      <c r="J583" s="38">
        <f>ROUND(H583*I583,2)</f>
        <v/>
      </c>
      <c r="L583" s="39" t="n">
        <v>1200</v>
      </c>
      <c r="M583" s="40" t="n">
        <v>0.135</v>
      </c>
      <c r="N583" s="41">
        <f>ROUND(L583*M583,2)</f>
        <v/>
      </c>
      <c r="O583" s="45" t="inlineStr">
        <is>
          <t>Margen objetivo (edita % aquí) ▶</t>
        </is>
      </c>
      <c r="P583" s="5" t="n"/>
      <c r="R583" s="43" t="inlineStr">
        <is>
          <t>Peor mes: 2023-11 · 157 € · margen 33%</t>
        </is>
      </c>
      <c r="AA583" t="n">
        <v>321.906</v>
      </c>
      <c r="AB583">
        <f>B581*D581+B582*D582+AA583*D583+AA584*D584+AA585*D585</f>
        <v/>
      </c>
    </row>
    <row r="584">
      <c r="A584" s="30" t="inlineStr">
        <is>
          <t>P2 Energía</t>
        </is>
      </c>
      <c r="B584" s="31">
        <f>IF($P$583&lt;&gt;"",ROUND(AA584*(($AB$583/(1-$P$583))-19.3900)/170.1966,2),IF('Resumen'!$D$3="OPTIMIZAR",ROUND(MAX(AA584,MIN(AA584*(($AB$583/(1-'Resumen'!$F$3))-19.3900)/170.1966,AA584*(229.1478)/170.1966)),3),AA584))</f>
        <v/>
      </c>
      <c r="C584" s="44" t="n"/>
      <c r="D584" s="33" t="n">
        <v>0.111171</v>
      </c>
      <c r="E584" s="34" t="n">
        <v>0.139</v>
      </c>
      <c r="F584" s="35">
        <f>ROUND(B584*E584,2)</f>
        <v/>
      </c>
      <c r="H584" s="36" t="n">
        <v>296.264</v>
      </c>
      <c r="I584" s="37" t="n">
        <v>0.14937</v>
      </c>
      <c r="J584" s="38">
        <f>ROUND(H584*I584,2)</f>
        <v/>
      </c>
      <c r="L584" s="65" t="n"/>
      <c r="M584" s="65" t="n"/>
      <c r="N584" s="65" t="n"/>
      <c r="O584" s="46" t="inlineStr">
        <is>
          <t>Cant. P1/P2/P3 energía suben</t>
        </is>
      </c>
      <c r="R584" s="43" t="inlineStr">
        <is>
          <t>Importe mensual cobrado (€) · 24 meses ▾</t>
        </is>
      </c>
      <c r="AA584" t="n">
        <v>292.863</v>
      </c>
    </row>
    <row r="585">
      <c r="A585" s="30" t="inlineStr">
        <is>
          <t>P3 Energía</t>
        </is>
      </c>
      <c r="B585" s="31">
        <f>IF($P$583&lt;&gt;"",ROUND(AA585*(($AB$583/(1-$P$583))-19.3900)/170.1966,2),IF('Resumen'!$D$3="OPTIMIZAR",ROUND(MAX(AA585,MIN(AA585*(($AB$583/(1-'Resumen'!$F$3))-19.3900)/170.1966,AA585*(229.1478)/170.1966)),3),AA585))</f>
        <v/>
      </c>
      <c r="C585" s="44" t="n"/>
      <c r="D585" s="33" t="n">
        <v>0.111171</v>
      </c>
      <c r="E585" s="34" t="n">
        <v>0.139</v>
      </c>
      <c r="F585" s="35">
        <f>ROUND(B585*E585,2)</f>
        <v/>
      </c>
      <c r="H585" s="36" t="n">
        <v>437.899</v>
      </c>
      <c r="I585" s="37" t="n">
        <v>0.14937</v>
      </c>
      <c r="J585" s="38">
        <f>ROUND(H585*I585,2)</f>
        <v/>
      </c>
      <c r="L585" s="65" t="n"/>
      <c r="M585" s="65" t="n"/>
      <c r="N585" s="65" t="n"/>
      <c r="O585" s="46" t="inlineStr">
        <is>
          <t>en proporción para ese margen</t>
        </is>
      </c>
      <c r="AA585" t="n">
        <v>609.667</v>
      </c>
    </row>
    <row r="586">
      <c r="A586" s="30" t="inlineStr">
        <is>
          <t>Alquiler contador</t>
        </is>
      </c>
      <c r="B586" s="31" t="n">
        <v>1</v>
      </c>
      <c r="C586" s="32">
        <f>$N$578-$L$578+1</f>
        <v/>
      </c>
      <c r="D586" s="33" t="n">
        <v>1.3414</v>
      </c>
      <c r="E586" s="34" t="n">
        <v>4</v>
      </c>
      <c r="F586" s="35">
        <f>ROUND(B586*E586,2)</f>
        <v/>
      </c>
      <c r="H586" s="36" t="n">
        <v>1</v>
      </c>
      <c r="I586" s="37" t="n">
        <v>4</v>
      </c>
      <c r="J586" s="38">
        <f>ROUND(H586*I586,2)</f>
        <v/>
      </c>
      <c r="L586" s="39" t="n">
        <v>1</v>
      </c>
      <c r="M586" s="40" t="n">
        <v>4</v>
      </c>
      <c r="N586" s="41">
        <f>ROUND(L586*M586,2)</f>
        <v/>
      </c>
    </row>
    <row r="587">
      <c r="A587" s="30" t="inlineStr">
        <is>
          <t>Bono social</t>
        </is>
      </c>
      <c r="B587" s="31" t="n">
        <v>30</v>
      </c>
      <c r="C587" s="32">
        <f>$N$578-$L$578+1</f>
        <v/>
      </c>
      <c r="D587" s="33" t="n">
        <v>0.5736</v>
      </c>
      <c r="E587" s="34" t="n">
        <v>0.01274</v>
      </c>
      <c r="F587" s="35">
        <f>ROUND(B587*E587,2)</f>
        <v/>
      </c>
      <c r="H587" s="36" t="n">
        <v>30</v>
      </c>
      <c r="I587" s="37" t="n">
        <v>0.01274</v>
      </c>
      <c r="J587" s="38">
        <f>ROUND(H587*I587,2)</f>
        <v/>
      </c>
      <c r="L587" s="39" t="n">
        <v>29</v>
      </c>
      <c r="M587" s="40" t="n">
        <v>0.01274</v>
      </c>
      <c r="N587" s="41">
        <f>ROUND(L587*M587,2)</f>
        <v/>
      </c>
    </row>
    <row r="588">
      <c r="A588" s="30" t="inlineStr">
        <is>
          <t>Tasa eléctrica</t>
        </is>
      </c>
      <c r="B588" s="31" t="n">
        <v>10.4</v>
      </c>
      <c r="C588" s="44" t="n"/>
      <c r="D588" s="33" t="n">
        <v>0.27312</v>
      </c>
      <c r="E588" s="34" t="n">
        <v>1</v>
      </c>
      <c r="F588" s="35">
        <f>ROUND(B588*E588,2)</f>
        <v/>
      </c>
      <c r="H588" s="36" t="n">
        <v>9.23</v>
      </c>
      <c r="I588" s="37" t="n">
        <v>1</v>
      </c>
      <c r="J588" s="38">
        <f>ROUND(H588*I588,2)</f>
        <v/>
      </c>
      <c r="L588" s="39" t="n">
        <v>1</v>
      </c>
      <c r="M588" s="40" t="n">
        <v>1</v>
      </c>
      <c r="N588" s="41">
        <f>ROUND(L588*M588,2)</f>
        <v/>
      </c>
    </row>
    <row r="589">
      <c r="A589" s="47" t="inlineStr">
        <is>
          <t>TOTAL c/IVA</t>
        </is>
      </c>
      <c r="F589" s="48">
        <f>ROUND((SUM(F581:F588)-F588)*1.1+F588,2)</f>
        <v/>
      </c>
      <c r="J589" s="49">
        <f>ROUND(SUM(J581:J588),2)</f>
        <v/>
      </c>
      <c r="N589" s="50">
        <f>ROUND(SUM(N581:N588),2)</f>
        <v/>
      </c>
    </row>
    <row r="590">
      <c r="A590" s="19" t="inlineStr">
        <is>
          <t>MARGEN sin registrar</t>
        </is>
      </c>
      <c r="B590" s="51">
        <f>IF((F584+F581+F583+F585+F582)=0,"",((F584+F581+F583+F585+F582)-$AB$583)/(F584+F581+F583+F585+F582))</f>
        <v/>
      </c>
      <c r="D590" s="52">
        <f>IF(B590="","SIN PC",IF(B590&gt;=0.3,"APROBAR",IF(B590&gt;=0.2,"REVISAR","RECHAZAR")))</f>
        <v/>
      </c>
      <c r="E590" s="53" t="n"/>
      <c r="F590" s="54" t="n"/>
      <c r="AD590">
        <f>SUM(F583:F585)-170.1966</f>
        <v/>
      </c>
    </row>
    <row r="592">
      <c r="A592" s="15" t="inlineStr">
        <is>
          <t>Factura 8601 · C00700 · ELEEN VELTHOVEN</t>
        </is>
      </c>
      <c r="H592" s="15" t="inlineStr">
        <is>
          <t>ES0021000000824899XR · Naturgy</t>
        </is>
      </c>
      <c r="L592" s="16" t="n">
        <v>46113</v>
      </c>
      <c r="M592" s="17" t="inlineStr">
        <is>
          <t>a</t>
        </is>
      </c>
      <c r="N592" s="16" t="n">
        <v>46142</v>
      </c>
      <c r="R592" s="18" t="inlineStr">
        <is>
          <t>HISTÓRICO DEL CUPS · HOJA TTVA LUZ</t>
        </is>
      </c>
    </row>
    <row r="593">
      <c r="A593" s="19" t="inlineStr">
        <is>
          <t>Concepto</t>
        </is>
      </c>
      <c r="B593" s="20" t="inlineStr">
        <is>
          <t>PENDIENTE (sin registrar)</t>
        </is>
      </c>
      <c r="C593" s="21" t="n"/>
      <c r="D593" s="21" t="n"/>
      <c r="E593" s="21" t="n"/>
      <c r="F593" s="21" t="n"/>
      <c r="H593" s="22" t="inlineStr">
        <is>
          <t>MES ANTERIOR · Fact.6446</t>
        </is>
      </c>
      <c r="I593" s="23" t="n"/>
      <c r="J593" s="23" t="n"/>
      <c r="L593" s="24" t="inlineStr">
        <is>
          <t>AÑO ANTERIOR · Fact.4650</t>
        </is>
      </c>
      <c r="M593" s="25" t="n"/>
      <c r="N593" s="25" t="n"/>
      <c r="R593" s="26" t="inlineStr">
        <is>
          <t>Cobrado total: 1.674 €</t>
        </is>
      </c>
    </row>
    <row r="594">
      <c r="B594" s="7" t="inlineStr">
        <is>
          <t>Cant</t>
        </is>
      </c>
      <c r="C594" s="7" t="inlineStr">
        <is>
          <t>Días</t>
        </is>
      </c>
      <c r="D594" s="7" t="inlineStr">
        <is>
          <t>PC real</t>
        </is>
      </c>
      <c r="E594" s="7" t="inlineStr">
        <is>
          <t>PV</t>
        </is>
      </c>
      <c r="F594" s="7" t="inlineStr">
        <is>
          <t>Importe</t>
        </is>
      </c>
      <c r="H594" s="27" t="inlineStr">
        <is>
          <t>Cant</t>
        </is>
      </c>
      <c r="I594" s="27" t="inlineStr">
        <is>
          <t>PV</t>
        </is>
      </c>
      <c r="J594" s="27" t="inlineStr">
        <is>
          <t>Importe</t>
        </is>
      </c>
      <c r="L594" s="28" t="inlineStr">
        <is>
          <t>Cant</t>
        </is>
      </c>
      <c r="M594" s="28" t="inlineStr">
        <is>
          <t>PV</t>
        </is>
      </c>
      <c r="N594" s="28" t="inlineStr">
        <is>
          <t>Importe</t>
        </is>
      </c>
      <c r="R594" s="29" t="inlineStr">
        <is>
          <t>Pagado total: 1.341 €</t>
        </is>
      </c>
    </row>
    <row r="595">
      <c r="A595" s="30" t="inlineStr">
        <is>
          <t>P1 Potencia</t>
        </is>
      </c>
      <c r="B595" s="31" t="n">
        <v>5.75</v>
      </c>
      <c r="C595" s="32">
        <f>$N$592-$L$592+1</f>
        <v/>
      </c>
      <c r="D595" s="33" t="n">
        <v>3.4086</v>
      </c>
      <c r="E595" s="34" t="n">
        <v>4.17</v>
      </c>
      <c r="F595" s="35">
        <f>ROUND(B595*E595,2)</f>
        <v/>
      </c>
      <c r="H595" s="36" t="n">
        <v>5.75</v>
      </c>
      <c r="I595" s="37" t="n">
        <v>4.17</v>
      </c>
      <c r="J595" s="38">
        <f>ROUND(H595*I595,2)</f>
        <v/>
      </c>
      <c r="L595" s="39" t="n">
        <v>5.75</v>
      </c>
      <c r="M595" s="40" t="n">
        <v>4.17</v>
      </c>
      <c r="N595" s="41">
        <f>ROUND(L595*M595,2)</f>
        <v/>
      </c>
      <c r="R595" s="42" t="inlineStr">
        <is>
          <t>DIF: 333 €   ·   Margen hist.: 19.9%</t>
        </is>
      </c>
    </row>
    <row r="596">
      <c r="A596" s="30" t="inlineStr">
        <is>
          <t>P2 Potencia</t>
        </is>
      </c>
      <c r="B596" s="31" t="n">
        <v>5.75</v>
      </c>
      <c r="C596" s="32">
        <f>$N$592-$L$592+1</f>
        <v/>
      </c>
      <c r="D596" s="33" t="n">
        <v>1.09728</v>
      </c>
      <c r="E596" s="34" t="n">
        <v>1.37</v>
      </c>
      <c r="F596" s="35">
        <f>ROUND(B596*E596,2)</f>
        <v/>
      </c>
      <c r="H596" s="36" t="n">
        <v>5.75</v>
      </c>
      <c r="I596" s="37" t="n">
        <v>1.37</v>
      </c>
      <c r="J596" s="38">
        <f>ROUND(H596*I596,2)</f>
        <v/>
      </c>
      <c r="L596" s="39" t="n">
        <v>5.75</v>
      </c>
      <c r="M596" s="40" t="n">
        <v>1.37</v>
      </c>
      <c r="N596" s="41">
        <f>ROUND(L596*M596,2)</f>
        <v/>
      </c>
      <c r="R596" s="43" t="inlineStr">
        <is>
          <t>Mejor mes: 2023-01 · 124 € · margen 41%</t>
        </is>
      </c>
    </row>
    <row r="597">
      <c r="A597" s="30" t="inlineStr">
        <is>
          <t>P1 Energía</t>
        </is>
      </c>
      <c r="B597" s="31">
        <f>IF($P$597&lt;&gt;"",ROUND(AA597*(($AB$597/(1-$P$597))-31.8550)/37.5019,2),IF('Resumen'!$D$3="OPTIMIZAR",ROUND(MAX(AA597,MIN(AA597*(($AB$597/(1-'Resumen'!$F$3))-31.8550)/37.5019,AA597*(84.7228)/37.5019)),3),AA597))</f>
        <v/>
      </c>
      <c r="C597" s="44" t="n"/>
      <c r="D597" s="33" t="n">
        <v>0.110306</v>
      </c>
      <c r="E597" s="34" t="n">
        <v>0.14937</v>
      </c>
      <c r="F597" s="35">
        <f>ROUND(B597*E597,2)</f>
        <v/>
      </c>
      <c r="H597" s="36" t="n">
        <v>77.319</v>
      </c>
      <c r="I597" s="37" t="n">
        <v>0.14937</v>
      </c>
      <c r="J597" s="38">
        <f>ROUND(H597*I597,2)</f>
        <v/>
      </c>
      <c r="L597" s="39" t="n">
        <v>49.27</v>
      </c>
      <c r="M597" s="40" t="n">
        <v>0.14937</v>
      </c>
      <c r="N597" s="41">
        <f>ROUND(L597*M597,2)</f>
        <v/>
      </c>
      <c r="O597" s="45" t="inlineStr">
        <is>
          <t>Margen objetivo (edita % aquí) ▶</t>
        </is>
      </c>
      <c r="P597" s="5" t="n"/>
      <c r="R597" s="43" t="inlineStr">
        <is>
          <t>Peor mes: 2024-05 · 25 € · margen 36%</t>
        </is>
      </c>
      <c r="AA597" t="n">
        <v>71.84</v>
      </c>
      <c r="AB597">
        <f>B595*D595+B596*D596+AA597*D597+AA598*D598+AA599*D599</f>
        <v/>
      </c>
    </row>
    <row r="598">
      <c r="A598" s="30" t="inlineStr">
        <is>
          <t>P2 Energía</t>
        </is>
      </c>
      <c r="B598" s="31">
        <f>IF($P$597&lt;&gt;"",ROUND(AA598*(($AB$597/(1-$P$597))-31.8550)/37.5019,2),IF('Resumen'!$D$3="OPTIMIZAR",ROUND(MAX(AA598,MIN(AA598*(($AB$597/(1-'Resumen'!$F$3))-31.8550)/37.5019,AA598*(84.7228)/37.5019)),3),AA598))</f>
        <v/>
      </c>
      <c r="C598" s="44" t="n"/>
      <c r="D598" s="33" t="n">
        <v>0.110306</v>
      </c>
      <c r="E598" s="34" t="n">
        <v>0.14937</v>
      </c>
      <c r="F598" s="35">
        <f>ROUND(B598*E598,2)</f>
        <v/>
      </c>
      <c r="H598" s="36" t="n">
        <v>44.498</v>
      </c>
      <c r="I598" s="37" t="n">
        <v>0.14937</v>
      </c>
      <c r="J598" s="38">
        <f>ROUND(H598*I598,2)</f>
        <v/>
      </c>
      <c r="L598" s="39" t="n">
        <v>35.233</v>
      </c>
      <c r="M598" s="40" t="n">
        <v>0.14937</v>
      </c>
      <c r="N598" s="41">
        <f>ROUND(L598*M598,2)</f>
        <v/>
      </c>
      <c r="O598" s="46" t="inlineStr">
        <is>
          <t>Cant. P1/P2/P3 energía suben</t>
        </is>
      </c>
      <c r="R598" s="43" t="inlineStr">
        <is>
          <t>Importe mensual cobrado (€) · 24 meses ▾</t>
        </is>
      </c>
      <c r="AA598" t="n">
        <v>38.824</v>
      </c>
    </row>
    <row r="599">
      <c r="A599" s="30" t="inlineStr">
        <is>
          <t>P3 Energía</t>
        </is>
      </c>
      <c r="B599" s="31">
        <f>IF($P$597&lt;&gt;"",ROUND(AA599*(($AB$597/(1-$P$597))-31.8550)/37.5019,2),IF('Resumen'!$D$3="OPTIMIZAR",ROUND(MAX(AA599,MIN(AA599*(($AB$597/(1-'Resumen'!$F$3))-31.8550)/37.5019,AA599*(84.7228)/37.5019)),3),AA599))</f>
        <v/>
      </c>
      <c r="C599" s="44" t="n"/>
      <c r="D599" s="33" t="n">
        <v>0.110306</v>
      </c>
      <c r="E599" s="34" t="n">
        <v>0.14937</v>
      </c>
      <c r="F599" s="35">
        <f>ROUND(B599*E599,2)</f>
        <v/>
      </c>
      <c r="H599" s="36" t="n">
        <v>121.108</v>
      </c>
      <c r="I599" s="37" t="n">
        <v>0.14937</v>
      </c>
      <c r="J599" s="38">
        <f>ROUND(H599*I599,2)</f>
        <v/>
      </c>
      <c r="L599" s="39" t="n">
        <v>94.74299999999999</v>
      </c>
      <c r="M599" s="40" t="n">
        <v>0.14937</v>
      </c>
      <c r="N599" s="41">
        <f>ROUND(L599*M599,2)</f>
        <v/>
      </c>
      <c r="O599" s="46" t="inlineStr">
        <is>
          <t>en proporción para ese margen</t>
        </is>
      </c>
      <c r="AA599" t="n">
        <v>140.403</v>
      </c>
    </row>
    <row r="600">
      <c r="A600" s="30" t="inlineStr">
        <is>
          <t>Alquiler contador</t>
        </is>
      </c>
      <c r="B600" s="31" t="n">
        <v>1</v>
      </c>
      <c r="C600" s="32">
        <f>$N$592-$L$592+1</f>
        <v/>
      </c>
      <c r="D600" s="33" t="n">
        <v>0.7989000000000001</v>
      </c>
      <c r="E600" s="34" t="n">
        <v>4</v>
      </c>
      <c r="F600" s="35">
        <f>ROUND(B600*E600,2)</f>
        <v/>
      </c>
      <c r="H600" s="36" t="n">
        <v>1</v>
      </c>
      <c r="I600" s="37" t="n">
        <v>4</v>
      </c>
      <c r="J600" s="38">
        <f>ROUND(H600*I600,2)</f>
        <v/>
      </c>
      <c r="L600" s="39" t="n">
        <v>1</v>
      </c>
      <c r="M600" s="40" t="n">
        <v>4</v>
      </c>
      <c r="N600" s="41">
        <f>ROUND(L600*M600,2)</f>
        <v/>
      </c>
    </row>
    <row r="601">
      <c r="A601" s="30" t="inlineStr">
        <is>
          <t>Bono social</t>
        </is>
      </c>
      <c r="B601" s="31" t="n">
        <v>30</v>
      </c>
      <c r="C601" s="32">
        <f>$N$592-$L$592+1</f>
        <v/>
      </c>
      <c r="D601" s="33" t="n">
        <v>0.5736</v>
      </c>
      <c r="E601" s="34" t="n">
        <v>0.01274</v>
      </c>
      <c r="F601" s="35">
        <f>ROUND(B601*E601,2)</f>
        <v/>
      </c>
      <c r="H601" s="36" t="n">
        <v>30</v>
      </c>
      <c r="I601" s="37" t="n">
        <v>0.01274</v>
      </c>
      <c r="J601" s="38">
        <f>ROUND(H601*I601,2)</f>
        <v/>
      </c>
      <c r="L601" s="39" t="n">
        <v>30</v>
      </c>
      <c r="M601" s="40" t="n">
        <v>0.00629</v>
      </c>
      <c r="N601" s="41">
        <f>ROUND(L601*M601,2)</f>
        <v/>
      </c>
    </row>
    <row r="602">
      <c r="A602" s="30" t="inlineStr">
        <is>
          <t>Tasa eléctrica</t>
        </is>
      </c>
      <c r="B602" s="31" t="n">
        <v>3.13</v>
      </c>
      <c r="C602" s="44" t="n"/>
      <c r="D602" s="33" t="n">
        <v>0.24729</v>
      </c>
      <c r="E602" s="34" t="n">
        <v>1</v>
      </c>
      <c r="F602" s="35">
        <f>ROUND(B602*E602,2)</f>
        <v/>
      </c>
      <c r="H602" s="36" t="n">
        <v>3.08</v>
      </c>
      <c r="I602" s="37" t="n">
        <v>1</v>
      </c>
      <c r="J602" s="38">
        <f>ROUND(H602*I602,2)</f>
        <v/>
      </c>
      <c r="L602" s="39" t="n">
        <v>2.43</v>
      </c>
      <c r="M602" s="40" t="n">
        <v>1</v>
      </c>
      <c r="N602" s="41">
        <f>ROUND(L602*M602,2)</f>
        <v/>
      </c>
    </row>
    <row r="603">
      <c r="A603" s="47" t="inlineStr">
        <is>
          <t>TOTAL c/IVA</t>
        </is>
      </c>
      <c r="F603" s="48">
        <f>ROUND((SUM(F595:F602)-F602)*1.1+F602,2)</f>
        <v/>
      </c>
      <c r="J603" s="49">
        <f>ROUND(SUM(J595:J602),2)</f>
        <v/>
      </c>
      <c r="N603" s="50">
        <f>ROUND(SUM(N595:N602),2)</f>
        <v/>
      </c>
    </row>
    <row r="604">
      <c r="A604" s="19" t="inlineStr">
        <is>
          <t>MARGEN sin registrar</t>
        </is>
      </c>
      <c r="B604" s="51">
        <f>IF((F598+F595+F597+F599+F596)=0,"",((F598+F595+F597+F599+F596)-$AB$597)/(F598+F595+F597+F599+F596))</f>
        <v/>
      </c>
      <c r="D604" s="52">
        <f>IF(B604="","SIN PC",IF(B604&gt;=0.3,"APROBAR",IF(B604&gt;=0.2,"REVISAR","RECHAZAR")))</f>
        <v/>
      </c>
      <c r="E604" s="53" t="n"/>
      <c r="F604" s="54" t="n"/>
      <c r="AD604">
        <f>SUM(F597:F599)-37.5019</f>
        <v/>
      </c>
    </row>
    <row r="605">
      <c r="A605" s="55" t="inlineStr">
        <is>
          <t>☀ EXCEDENTES SOLARES (kWh vertidos reales)</t>
        </is>
      </c>
      <c r="B605" s="56" t="n"/>
      <c r="C605" s="56" t="n"/>
      <c r="D605" s="56" t="n"/>
      <c r="E605" s="56" t="n"/>
      <c r="F605" s="56" t="n"/>
    </row>
    <row r="606">
      <c r="A606" s="57" t="inlineStr">
        <is>
          <t>Concepto</t>
        </is>
      </c>
      <c r="B606" s="57" t="inlineStr">
        <is>
          <t>kWh</t>
        </is>
      </c>
      <c r="D606" s="57" t="inlineStr">
        <is>
          <t>€/kWh compra</t>
        </is>
      </c>
      <c r="E606" s="57" t="inlineStr">
        <is>
          <t>€/kWh venta</t>
        </is>
      </c>
      <c r="F606" s="57" t="inlineStr">
        <is>
          <t>Importe</t>
        </is>
      </c>
    </row>
    <row r="607">
      <c r="A607" s="58" t="inlineStr">
        <is>
          <t>Compra excedentes (vertido red)</t>
        </is>
      </c>
      <c r="B607" s="59" t="n">
        <v>161</v>
      </c>
      <c r="C607" s="60" t="n"/>
      <c r="D607" s="33" t="n">
        <v>0.06</v>
      </c>
      <c r="E607" s="60" t="n"/>
      <c r="F607" s="61">
        <f>ROUND(B607*D607,2)</f>
        <v/>
      </c>
    </row>
    <row r="608">
      <c r="A608" s="58" t="inlineStr">
        <is>
          <t>Venta cliente (saldo batería, 1043)</t>
        </is>
      </c>
      <c r="B608" s="60" t="n"/>
      <c r="C608" s="60" t="n"/>
      <c r="D608" s="60" t="n"/>
      <c r="E608" s="62" t="n">
        <v>0.06</v>
      </c>
      <c r="F608" s="61" t="n">
        <v>8.31</v>
      </c>
    </row>
    <row r="609">
      <c r="A609" s="63" t="inlineStr">
        <is>
          <t>NETO Transactiva (compra − venta)</t>
        </is>
      </c>
      <c r="B609" s="60" t="n"/>
      <c r="C609" s="60" t="n"/>
      <c r="D609" s="60" t="n"/>
      <c r="E609" s="60" t="n"/>
      <c r="F609" s="64">
        <f>F607-F608</f>
        <v/>
      </c>
    </row>
    <row r="611">
      <c r="A611" s="15" t="inlineStr">
        <is>
          <t>Factura 8604 · C00780 · MONTGO SEGURIDAD, S.L.</t>
        </is>
      </c>
      <c r="H611" s="15" t="inlineStr">
        <is>
          <t>ES0021000011513513VD · Naturgy</t>
        </is>
      </c>
      <c r="L611" s="16" t="n">
        <v>46113</v>
      </c>
      <c r="M611" s="17" t="inlineStr">
        <is>
          <t>a</t>
        </is>
      </c>
      <c r="N611" s="16" t="n">
        <v>46142</v>
      </c>
      <c r="R611" s="18" t="inlineStr">
        <is>
          <t>HISTÓRICO DEL CUPS · HOJA TTVA LUZ</t>
        </is>
      </c>
    </row>
    <row r="612">
      <c r="A612" s="19" t="inlineStr">
        <is>
          <t>Concepto</t>
        </is>
      </c>
      <c r="B612" s="20" t="inlineStr">
        <is>
          <t>PENDIENTE (sin registrar)</t>
        </is>
      </c>
      <c r="C612" s="21" t="n"/>
      <c r="D612" s="21" t="n"/>
      <c r="E612" s="21" t="n"/>
      <c r="F612" s="21" t="n"/>
      <c r="H612" s="22" t="inlineStr">
        <is>
          <t>MES ANTERIOR · Fact.6442</t>
        </is>
      </c>
      <c r="I612" s="23" t="n"/>
      <c r="J612" s="23" t="n"/>
      <c r="L612" s="24" t="inlineStr">
        <is>
          <t>AÑO ANTERIOR · Fact.4646</t>
        </is>
      </c>
      <c r="M612" s="25" t="n"/>
      <c r="N612" s="25" t="n"/>
      <c r="R612" s="26" t="inlineStr">
        <is>
          <t>Cobrado total: 1.104 €</t>
        </is>
      </c>
    </row>
    <row r="613">
      <c r="B613" s="7" t="inlineStr">
        <is>
          <t>Cant</t>
        </is>
      </c>
      <c r="C613" s="7" t="inlineStr">
        <is>
          <t>Días</t>
        </is>
      </c>
      <c r="D613" s="7" t="inlineStr">
        <is>
          <t>PC real</t>
        </is>
      </c>
      <c r="E613" s="7" t="inlineStr">
        <is>
          <t>PV</t>
        </is>
      </c>
      <c r="F613" s="7" t="inlineStr">
        <is>
          <t>Importe</t>
        </is>
      </c>
      <c r="H613" s="27" t="inlineStr">
        <is>
          <t>Cant</t>
        </is>
      </c>
      <c r="I613" s="27" t="inlineStr">
        <is>
          <t>PV</t>
        </is>
      </c>
      <c r="J613" s="27" t="inlineStr">
        <is>
          <t>Importe</t>
        </is>
      </c>
      <c r="L613" s="28" t="inlineStr">
        <is>
          <t>Cant</t>
        </is>
      </c>
      <c r="M613" s="28" t="inlineStr">
        <is>
          <t>PV</t>
        </is>
      </c>
      <c r="N613" s="28" t="inlineStr">
        <is>
          <t>Importe</t>
        </is>
      </c>
      <c r="R613" s="29" t="inlineStr">
        <is>
          <t>Pagado total: 1.002 €</t>
        </is>
      </c>
    </row>
    <row r="614">
      <c r="A614" s="30" t="inlineStr">
        <is>
          <t>P1 Potencia</t>
        </is>
      </c>
      <c r="B614" s="31" t="n">
        <v>3.45</v>
      </c>
      <c r="C614" s="32">
        <f>$N$611-$L$611+1</f>
        <v/>
      </c>
      <c r="D614" s="33" t="n">
        <v>3.4086</v>
      </c>
      <c r="E614" s="34" t="n">
        <v>3.85</v>
      </c>
      <c r="F614" s="35">
        <f>ROUND(B614*E614,2)</f>
        <v/>
      </c>
      <c r="H614" s="36" t="n">
        <v>3.45</v>
      </c>
      <c r="I614" s="37" t="n">
        <v>3.85</v>
      </c>
      <c r="J614" s="38">
        <f>ROUND(H614*I614,2)</f>
        <v/>
      </c>
      <c r="L614" s="39" t="n">
        <v>3.45</v>
      </c>
      <c r="M614" s="40" t="n">
        <v>3.85</v>
      </c>
      <c r="N614" s="41">
        <f>ROUND(L614*M614,2)</f>
        <v/>
      </c>
      <c r="R614" s="42" t="inlineStr">
        <is>
          <t>DIF: 101 €   ·   Margen hist.: 9.2%</t>
        </is>
      </c>
    </row>
    <row r="615">
      <c r="A615" s="30" t="inlineStr">
        <is>
          <t>P2 Potencia</t>
        </is>
      </c>
      <c r="B615" s="31" t="n">
        <v>3.45</v>
      </c>
      <c r="C615" s="32">
        <f>$N$611-$L$611+1</f>
        <v/>
      </c>
      <c r="D615" s="33" t="n">
        <v>1.09728</v>
      </c>
      <c r="E615" s="34" t="n">
        <v>1.33</v>
      </c>
      <c r="F615" s="35">
        <f>ROUND(B615*E615,2)</f>
        <v/>
      </c>
      <c r="H615" s="36" t="n">
        <v>3.45</v>
      </c>
      <c r="I615" s="37" t="n">
        <v>1.33</v>
      </c>
      <c r="J615" s="38">
        <f>ROUND(H615*I615,2)</f>
        <v/>
      </c>
      <c r="L615" s="39" t="n">
        <v>3.45</v>
      </c>
      <c r="M615" s="40" t="n">
        <v>1.33</v>
      </c>
      <c r="N615" s="41">
        <f>ROUND(L615*M615,2)</f>
        <v/>
      </c>
      <c r="R615" s="43" t="inlineStr">
        <is>
          <t>Mejor mes: 2023-08 · 149 € · margen 2%</t>
        </is>
      </c>
    </row>
    <row r="616">
      <c r="A616" s="30" t="inlineStr">
        <is>
          <t>P1 Energía</t>
        </is>
      </c>
      <c r="B616" s="31">
        <f>IF($P$616&lt;&gt;"",ROUND(AA616*(($AB$616/(1-$P$616))-17.8710)/70.0494,2),IF('Resumen'!$D$3="OPTIMIZAR",ROUND(MAX(AA616,MIN(AA616*(($AB$616/(1-'Resumen'!$F$3))-17.8710)/70.0494,AA616*(124.2168)/70.0494)),3),AA616))</f>
        <v/>
      </c>
      <c r="C616" s="44" t="n"/>
      <c r="D616" s="33" t="n">
        <v>0.110306</v>
      </c>
      <c r="E616" s="34" t="n">
        <v>0.13788</v>
      </c>
      <c r="F616" s="35">
        <f>ROUND(B616*E616,2)</f>
        <v/>
      </c>
      <c r="H616" s="36" t="n">
        <v>441.638</v>
      </c>
      <c r="I616" s="37" t="n">
        <v>0.13788</v>
      </c>
      <c r="J616" s="38">
        <f>ROUND(H616*I616,2)</f>
        <v/>
      </c>
      <c r="L616" s="39" t="n">
        <v>132.282</v>
      </c>
      <c r="M616" s="40" t="n">
        <v>0.13788</v>
      </c>
      <c r="N616" s="41">
        <f>ROUND(L616*M616,2)</f>
        <v/>
      </c>
      <c r="O616" s="45" t="inlineStr">
        <is>
          <t>Margen objetivo (edita % aquí) ▶</t>
        </is>
      </c>
      <c r="P616" s="5" t="n"/>
      <c r="R616" s="43" t="inlineStr">
        <is>
          <t>Peor mes: 2024-08 · 1 € · margen 97%</t>
        </is>
      </c>
      <c r="AA616" t="n">
        <v>216.044</v>
      </c>
      <c r="AB616">
        <f>B614*D614+B615*D615+AA616*D616+AA617*D617+AA618*D618</f>
        <v/>
      </c>
    </row>
    <row r="617">
      <c r="A617" s="30" t="inlineStr">
        <is>
          <t>P2 Energía</t>
        </is>
      </c>
      <c r="B617" s="31">
        <f>IF($P$616&lt;&gt;"",ROUND(AA617*(($AB$616/(1-$P$616))-17.8710)/70.0494,2),IF('Resumen'!$D$3="OPTIMIZAR",ROUND(MAX(AA617,MIN(AA617*(($AB$616/(1-'Resumen'!$F$3))-17.8710)/70.0494,AA617*(124.2168)/70.0494)),3),AA617))</f>
        <v/>
      </c>
      <c r="C617" s="44" t="n"/>
      <c r="D617" s="33" t="n">
        <v>0.110306</v>
      </c>
      <c r="E617" s="34" t="n">
        <v>0.13788</v>
      </c>
      <c r="F617" s="35">
        <f>ROUND(B617*E617,2)</f>
        <v/>
      </c>
      <c r="H617" s="36" t="n">
        <v>221.575</v>
      </c>
      <c r="I617" s="37" t="n">
        <v>0.13788</v>
      </c>
      <c r="J617" s="38">
        <f>ROUND(H617*I617,2)</f>
        <v/>
      </c>
      <c r="L617" s="39" t="n">
        <v>35.864</v>
      </c>
      <c r="M617" s="40" t="n">
        <v>0.13788</v>
      </c>
      <c r="N617" s="41">
        <f>ROUND(L617*M617,2)</f>
        <v/>
      </c>
      <c r="O617" s="46" t="inlineStr">
        <is>
          <t>Cant. P1/P2/P3 energía suben</t>
        </is>
      </c>
      <c r="R617" s="43" t="inlineStr">
        <is>
          <t>Importe mensual cobrado (€) · 24 meses ▾</t>
        </is>
      </c>
      <c r="AA617" t="n">
        <v>49.353</v>
      </c>
    </row>
    <row r="618">
      <c r="A618" s="30" t="inlineStr">
        <is>
          <t>P3 Energía</t>
        </is>
      </c>
      <c r="B618" s="31">
        <f>IF($P$616&lt;&gt;"",ROUND(AA618*(($AB$616/(1-$P$616))-17.8710)/70.0494,2),IF('Resumen'!$D$3="OPTIMIZAR",ROUND(MAX(AA618,MIN(AA618*(($AB$616/(1-'Resumen'!$F$3))-17.8710)/70.0494,AA618*(124.2168)/70.0494)),3),AA618))</f>
        <v/>
      </c>
      <c r="C618" s="44" t="n"/>
      <c r="D618" s="33" t="n">
        <v>0.110306</v>
      </c>
      <c r="E618" s="34" t="n">
        <v>0.13788</v>
      </c>
      <c r="F618" s="35">
        <f>ROUND(B618*E618,2)</f>
        <v/>
      </c>
      <c r="H618" s="36" t="n">
        <v>364.187</v>
      </c>
      <c r="I618" s="37" t="n">
        <v>0.13788</v>
      </c>
      <c r="J618" s="38">
        <f>ROUND(H618*I618,2)</f>
        <v/>
      </c>
      <c r="L618" s="39" t="n">
        <v>143.688</v>
      </c>
      <c r="M618" s="40" t="n">
        <v>0.13788</v>
      </c>
      <c r="N618" s="41">
        <f>ROUND(L618*M618,2)</f>
        <v/>
      </c>
      <c r="O618" s="46" t="inlineStr">
        <is>
          <t>en proporción para ese margen</t>
        </is>
      </c>
      <c r="AA618" t="n">
        <v>242.649</v>
      </c>
    </row>
    <row r="619">
      <c r="A619" s="30" t="inlineStr">
        <is>
          <t>Alquiler contador</t>
        </is>
      </c>
      <c r="B619" s="31" t="n">
        <v>1</v>
      </c>
      <c r="C619" s="32">
        <f>$N$611-$L$611+1</f>
        <v/>
      </c>
      <c r="D619" s="33" t="n">
        <v>0.7989000000000001</v>
      </c>
      <c r="E619" s="34" t="n">
        <v>3</v>
      </c>
      <c r="F619" s="35">
        <f>ROUND(B619*E619,2)</f>
        <v/>
      </c>
      <c r="H619" s="36" t="n">
        <v>1</v>
      </c>
      <c r="I619" s="37" t="n">
        <v>3</v>
      </c>
      <c r="J619" s="38">
        <f>ROUND(H619*I619,2)</f>
        <v/>
      </c>
      <c r="L619" s="39" t="n">
        <v>1</v>
      </c>
      <c r="M619" s="40" t="n">
        <v>3</v>
      </c>
      <c r="N619" s="41">
        <f>ROUND(L619*M619,2)</f>
        <v/>
      </c>
    </row>
    <row r="620">
      <c r="A620" s="30" t="inlineStr">
        <is>
          <t>Bono social</t>
        </is>
      </c>
      <c r="B620" s="31" t="n">
        <v>30</v>
      </c>
      <c r="C620" s="32">
        <f>$N$611-$L$611+1</f>
        <v/>
      </c>
      <c r="D620" s="33" t="n">
        <v>0.5736</v>
      </c>
      <c r="E620" s="34" t="n">
        <v>0.01274</v>
      </c>
      <c r="F620" s="35">
        <f>ROUND(B620*E620,2)</f>
        <v/>
      </c>
      <c r="H620" s="36" t="n">
        <v>30</v>
      </c>
      <c r="I620" s="37" t="n">
        <v>0.01274</v>
      </c>
      <c r="J620" s="38">
        <f>ROUND(H620*I620,2)</f>
        <v/>
      </c>
      <c r="L620" s="39" t="n">
        <v>30</v>
      </c>
      <c r="M620" s="40" t="n">
        <v>0.00629</v>
      </c>
      <c r="N620" s="41">
        <f>ROUND(L620*M620,2)</f>
        <v/>
      </c>
    </row>
    <row r="621">
      <c r="A621" s="30" t="inlineStr">
        <is>
          <t>Tasa eléctrica</t>
        </is>
      </c>
      <c r="B621" s="31" t="n">
        <v>3.09</v>
      </c>
      <c r="C621" s="44" t="n"/>
      <c r="D621" s="33" t="n">
        <v>0.24729</v>
      </c>
      <c r="E621" s="34" t="n">
        <v>1</v>
      </c>
      <c r="F621" s="35">
        <f>ROUND(B621*E621,2)</f>
        <v/>
      </c>
      <c r="H621" s="36" t="n">
        <v>7.77</v>
      </c>
      <c r="I621" s="37" t="n">
        <v>1</v>
      </c>
      <c r="J621" s="38">
        <f>ROUND(H621*I621,2)</f>
        <v/>
      </c>
      <c r="L621" s="39" t="n">
        <v>1.47</v>
      </c>
      <c r="M621" s="40" t="n">
        <v>1</v>
      </c>
      <c r="N621" s="41">
        <f>ROUND(L621*M621,2)</f>
        <v/>
      </c>
    </row>
    <row r="622">
      <c r="A622" s="47" t="inlineStr">
        <is>
          <t>TOTAL c/IVA</t>
        </is>
      </c>
      <c r="F622" s="48">
        <f>ROUND((SUM(F614:F621)-F621)*1.1+F621,2)</f>
        <v/>
      </c>
      <c r="J622" s="49">
        <f>ROUND(SUM(J614:J621),2)</f>
        <v/>
      </c>
      <c r="N622" s="50">
        <f>ROUND(SUM(N614:N621),2)</f>
        <v/>
      </c>
    </row>
    <row r="623">
      <c r="A623" s="19" t="inlineStr">
        <is>
          <t>MARGEN sin registrar</t>
        </is>
      </c>
      <c r="B623" s="51">
        <f>IF((F617+F614+F616+F618+F615)=0,"",((F617+F614+F616+F618+F615)-$AB$616)/(F617+F614+F616+F618+F615))</f>
        <v/>
      </c>
      <c r="D623" s="52">
        <f>IF(B623="","SIN PC",IF(B623&gt;=0.3,"APROBAR",IF(B623&gt;=0.2,"REVISAR","RECHAZAR")))</f>
        <v/>
      </c>
      <c r="E623" s="53" t="n"/>
      <c r="F623" s="54" t="n"/>
      <c r="AD623">
        <f>SUM(F616:F618)-70.0494</f>
        <v/>
      </c>
    </row>
    <row r="624">
      <c r="A624" s="55" t="inlineStr">
        <is>
          <t>☀ EXCEDENTES SOLARES (kWh vertidos reales)</t>
        </is>
      </c>
      <c r="B624" s="56" t="n"/>
      <c r="C624" s="56" t="n"/>
      <c r="D624" s="56" t="n"/>
      <c r="E624" s="56" t="n"/>
      <c r="F624" s="56" t="n"/>
    </row>
    <row r="625">
      <c r="A625" s="57" t="inlineStr">
        <is>
          <t>Concepto</t>
        </is>
      </c>
      <c r="B625" s="57" t="inlineStr">
        <is>
          <t>kWh</t>
        </is>
      </c>
      <c r="D625" s="57" t="inlineStr">
        <is>
          <t>€/kWh compra</t>
        </is>
      </c>
      <c r="E625" s="57" t="inlineStr">
        <is>
          <t>€/kWh venta</t>
        </is>
      </c>
      <c r="F625" s="57" t="inlineStr">
        <is>
          <t>Importe</t>
        </is>
      </c>
    </row>
    <row r="626">
      <c r="A626" s="58" t="inlineStr">
        <is>
          <t>Compra excedentes (vertido red)</t>
        </is>
      </c>
      <c r="B626" s="59" t="n">
        <v>462</v>
      </c>
      <c r="C626" s="60" t="n"/>
      <c r="D626" s="33" t="n">
        <v>0.06</v>
      </c>
      <c r="E626" s="60" t="n"/>
      <c r="F626" s="61">
        <f>ROUND(B626*D626,2)</f>
        <v/>
      </c>
    </row>
    <row r="627">
      <c r="A627" s="58" t="inlineStr">
        <is>
          <t>Venta cliente (saldo batería, 1043)</t>
        </is>
      </c>
      <c r="B627" s="60" t="n"/>
      <c r="C627" s="60" t="n"/>
      <c r="D627" s="60" t="n"/>
      <c r="E627" s="62" t="n">
        <v>0.06</v>
      </c>
      <c r="F627" s="61" t="n">
        <v>27.66</v>
      </c>
    </row>
    <row r="628">
      <c r="A628" s="63" t="inlineStr">
        <is>
          <t>NETO Transactiva (compra − venta)</t>
        </is>
      </c>
      <c r="B628" s="60" t="n"/>
      <c r="C628" s="60" t="n"/>
      <c r="D628" s="60" t="n"/>
      <c r="E628" s="60" t="n"/>
      <c r="F628" s="64">
        <f>F626-F627</f>
        <v/>
      </c>
    </row>
    <row r="630">
      <c r="A630" s="15" t="inlineStr">
        <is>
          <t>Factura 8605 · C00820 · JAIME VIVES LADRÓN DE GUEVARA</t>
        </is>
      </c>
      <c r="H630" s="15" t="inlineStr">
        <is>
          <t>ES0021000013325188XC · Naturgy</t>
        </is>
      </c>
      <c r="L630" s="16" t="n">
        <v>46113</v>
      </c>
      <c r="M630" s="17" t="inlineStr">
        <is>
          <t>a</t>
        </is>
      </c>
      <c r="N630" s="16" t="n">
        <v>46142</v>
      </c>
      <c r="R630" s="18" t="inlineStr">
        <is>
          <t>HISTÓRICO DEL CUPS · HOJA TTVA LUZ</t>
        </is>
      </c>
    </row>
    <row r="631">
      <c r="A631" s="19" t="inlineStr">
        <is>
          <t>Concepto</t>
        </is>
      </c>
      <c r="B631" s="20" t="inlineStr">
        <is>
          <t>PENDIENTE (sin registrar)</t>
        </is>
      </c>
      <c r="C631" s="21" t="n"/>
      <c r="D631" s="21" t="n"/>
      <c r="E631" s="21" t="n"/>
      <c r="F631" s="21" t="n"/>
      <c r="H631" s="22" t="inlineStr">
        <is>
          <t>MES ANTERIOR · Fact.6441</t>
        </is>
      </c>
      <c r="I631" s="23" t="n"/>
      <c r="J631" s="23" t="n"/>
      <c r="L631" s="24" t="inlineStr">
        <is>
          <t>AÑO ANTERIOR · Fact.4645</t>
        </is>
      </c>
      <c r="M631" s="25" t="n"/>
      <c r="N631" s="25" t="n"/>
      <c r="R631" s="26" t="inlineStr">
        <is>
          <t>Cobrado total: 1.904 €</t>
        </is>
      </c>
    </row>
    <row r="632">
      <c r="B632" s="7" t="inlineStr">
        <is>
          <t>Cant</t>
        </is>
      </c>
      <c r="C632" s="7" t="inlineStr">
        <is>
          <t>Días</t>
        </is>
      </c>
      <c r="D632" s="7" t="inlineStr">
        <is>
          <t>PC real</t>
        </is>
      </c>
      <c r="E632" s="7" t="inlineStr">
        <is>
          <t>PV</t>
        </is>
      </c>
      <c r="F632" s="7" t="inlineStr">
        <is>
          <t>Importe</t>
        </is>
      </c>
      <c r="H632" s="27" t="inlineStr">
        <is>
          <t>Cant</t>
        </is>
      </c>
      <c r="I632" s="27" t="inlineStr">
        <is>
          <t>PV</t>
        </is>
      </c>
      <c r="J632" s="27" t="inlineStr">
        <is>
          <t>Importe</t>
        </is>
      </c>
      <c r="L632" s="28" t="inlineStr">
        <is>
          <t>Cant</t>
        </is>
      </c>
      <c r="M632" s="28" t="inlineStr">
        <is>
          <t>PV</t>
        </is>
      </c>
      <c r="N632" s="28" t="inlineStr">
        <is>
          <t>Importe</t>
        </is>
      </c>
      <c r="R632" s="29" t="inlineStr">
        <is>
          <t>Pagado total: 1.201 €</t>
        </is>
      </c>
    </row>
    <row r="633">
      <c r="A633" s="30" t="inlineStr">
        <is>
          <t>P1 Potencia</t>
        </is>
      </c>
      <c r="B633" s="31" t="n">
        <v>8.050000000000001</v>
      </c>
      <c r="C633" s="32">
        <f>$N$630-$L$630+1</f>
        <v/>
      </c>
      <c r="D633" s="33" t="n">
        <v>3.4086</v>
      </c>
      <c r="E633" s="34" t="n">
        <v>3.85</v>
      </c>
      <c r="F633" s="35">
        <f>ROUND(B633*E633,2)</f>
        <v/>
      </c>
      <c r="H633" s="36" t="n">
        <v>8.050000000000001</v>
      </c>
      <c r="I633" s="37" t="n">
        <v>3.85</v>
      </c>
      <c r="J633" s="38">
        <f>ROUND(H633*I633,2)</f>
        <v/>
      </c>
      <c r="L633" s="39" t="n">
        <v>8.050000000000001</v>
      </c>
      <c r="M633" s="40" t="n">
        <v>3.85</v>
      </c>
      <c r="N633" s="41">
        <f>ROUND(L633*M633,2)</f>
        <v/>
      </c>
      <c r="R633" s="42" t="inlineStr">
        <is>
          <t>DIF: 704 €   ·   Margen hist.: 37.0%</t>
        </is>
      </c>
    </row>
    <row r="634">
      <c r="A634" s="30" t="inlineStr">
        <is>
          <t>P2 Potencia</t>
        </is>
      </c>
      <c r="B634" s="31" t="n">
        <v>8.050000000000001</v>
      </c>
      <c r="C634" s="32">
        <f>$N$630-$L$630+1</f>
        <v/>
      </c>
      <c r="D634" s="33" t="n">
        <v>1.09728</v>
      </c>
      <c r="E634" s="34" t="n">
        <v>1.33</v>
      </c>
      <c r="F634" s="35">
        <f>ROUND(B634*E634,2)</f>
        <v/>
      </c>
      <c r="H634" s="36" t="n">
        <v>8.050000000000001</v>
      </c>
      <c r="I634" s="37" t="n">
        <v>1.33</v>
      </c>
      <c r="J634" s="38">
        <f>ROUND(H634*I634,2)</f>
        <v/>
      </c>
      <c r="L634" s="39" t="n">
        <v>8.050000000000001</v>
      </c>
      <c r="M634" s="40" t="n">
        <v>1.33</v>
      </c>
      <c r="N634" s="41">
        <f>ROUND(L634*M634,2)</f>
        <v/>
      </c>
      <c r="R634" s="43" t="inlineStr">
        <is>
          <t>Mejor mes: 2023-08 · 113 € · margen 34%</t>
        </is>
      </c>
    </row>
    <row r="635">
      <c r="A635" s="30" t="inlineStr">
        <is>
          <t>P1 Energía</t>
        </is>
      </c>
      <c r="B635" s="31">
        <f>IF($P$635&lt;&gt;"",ROUND(AA635*(($AB$635/(1-$P$635))-41.6990)/29.1065,2),IF('Resumen'!$D$3="OPTIMIZAR",ROUND(MAX(AA635,MIN(AA635*(($AB$635/(1-'Resumen'!$F$3))-41.6990)/29.1065,AA635*(65.4888)/29.1065)),3),AA635))</f>
        <v/>
      </c>
      <c r="C635" s="44" t="n"/>
      <c r="D635" s="33" t="n">
        <v>0.110306</v>
      </c>
      <c r="E635" s="34" t="n">
        <v>0.13788</v>
      </c>
      <c r="F635" s="35">
        <f>ROUND(B635*E635,2)</f>
        <v/>
      </c>
      <c r="H635" s="36" t="n">
        <v>91.32899999999999</v>
      </c>
      <c r="I635" s="37" t="n">
        <v>0.13788</v>
      </c>
      <c r="J635" s="38">
        <f>ROUND(H635*I635,2)</f>
        <v/>
      </c>
      <c r="L635" s="39" t="n">
        <v>52.858</v>
      </c>
      <c r="M635" s="40" t="n">
        <v>0.13788</v>
      </c>
      <c r="N635" s="41">
        <f>ROUND(L635*M635,2)</f>
        <v/>
      </c>
      <c r="O635" s="45" t="inlineStr">
        <is>
          <t>Margen objetivo (edita % aquí) ▶</t>
        </is>
      </c>
      <c r="P635" s="5" t="n"/>
      <c r="R635" s="43" t="inlineStr">
        <is>
          <t>Peor mes: 2023-04 · 27 € · margen 374%</t>
        </is>
      </c>
      <c r="AA635" t="n">
        <v>54.544</v>
      </c>
      <c r="AB635">
        <f>B633*D633+B634*D634+AA635*D635+AA636*D636+AA637*D637</f>
        <v/>
      </c>
    </row>
    <row r="636">
      <c r="A636" s="30" t="inlineStr">
        <is>
          <t>P2 Energía</t>
        </is>
      </c>
      <c r="B636" s="31">
        <f>IF($P$635&lt;&gt;"",ROUND(AA636*(($AB$635/(1-$P$635))-41.6990)/29.1065,2),IF('Resumen'!$D$3="OPTIMIZAR",ROUND(MAX(AA636,MIN(AA636*(($AB$635/(1-'Resumen'!$F$3))-41.6990)/29.1065,AA636*(65.4888)/29.1065)),3),AA636))</f>
        <v/>
      </c>
      <c r="C636" s="44" t="n"/>
      <c r="D636" s="33" t="n">
        <v>0.110306</v>
      </c>
      <c r="E636" s="34" t="n">
        <v>0.13788</v>
      </c>
      <c r="F636" s="35">
        <f>ROUND(B636*E636,2)</f>
        <v/>
      </c>
      <c r="H636" s="36" t="n">
        <v>63.398</v>
      </c>
      <c r="I636" s="37" t="n">
        <v>0.13788</v>
      </c>
      <c r="J636" s="38">
        <f>ROUND(H636*I636,2)</f>
        <v/>
      </c>
      <c r="L636" s="39" t="n">
        <v>50.853</v>
      </c>
      <c r="M636" s="40" t="n">
        <v>0.13788</v>
      </c>
      <c r="N636" s="41">
        <f>ROUND(L636*M636,2)</f>
        <v/>
      </c>
      <c r="O636" s="46" t="inlineStr">
        <is>
          <t>Cant. P1/P2/P3 energía suben</t>
        </is>
      </c>
      <c r="R636" s="43" t="inlineStr">
        <is>
          <t>Importe mensual cobrado (€) · 24 meses ▾</t>
        </is>
      </c>
      <c r="AA636" t="n">
        <v>31.171</v>
      </c>
    </row>
    <row r="637">
      <c r="A637" s="30" t="inlineStr">
        <is>
          <t>P3 Energía</t>
        </is>
      </c>
      <c r="B637" s="31">
        <f>IF($P$635&lt;&gt;"",ROUND(AA637*(($AB$635/(1-$P$635))-41.6990)/29.1065,2),IF('Resumen'!$D$3="OPTIMIZAR",ROUND(MAX(AA637,MIN(AA637*(($AB$635/(1-'Resumen'!$F$3))-41.6990)/29.1065,AA637*(65.4888)/29.1065)),3),AA637))</f>
        <v/>
      </c>
      <c r="C637" s="44" t="n"/>
      <c r="D637" s="33" t="n">
        <v>0.110306</v>
      </c>
      <c r="E637" s="34" t="n">
        <v>0.13788</v>
      </c>
      <c r="F637" s="35">
        <f>ROUND(B637*E637,2)</f>
        <v/>
      </c>
      <c r="H637" s="36" t="n">
        <v>133.771</v>
      </c>
      <c r="I637" s="37" t="n">
        <v>0.13788</v>
      </c>
      <c r="J637" s="38">
        <f>ROUND(H637*I637,2)</f>
        <v/>
      </c>
      <c r="L637" s="39" t="n">
        <v>99.744</v>
      </c>
      <c r="M637" s="40" t="n">
        <v>0.13788</v>
      </c>
      <c r="N637" s="41">
        <f>ROUND(L637*M637,2)</f>
        <v/>
      </c>
      <c r="O637" s="46" t="inlineStr">
        <is>
          <t>en proporción para ese margen</t>
        </is>
      </c>
      <c r="AA637" t="n">
        <v>125.385</v>
      </c>
    </row>
    <row r="638">
      <c r="A638" s="30" t="inlineStr">
        <is>
          <t>Alquiler contador</t>
        </is>
      </c>
      <c r="B638" s="31" t="n">
        <v>1</v>
      </c>
      <c r="C638" s="32">
        <f>$N$630-$L$630+1</f>
        <v/>
      </c>
      <c r="D638" s="33" t="n">
        <v>1.3414</v>
      </c>
      <c r="E638" s="34" t="n">
        <v>3</v>
      </c>
      <c r="F638" s="35">
        <f>ROUND(B638*E638,2)</f>
        <v/>
      </c>
      <c r="H638" s="36" t="n">
        <v>1</v>
      </c>
      <c r="I638" s="37" t="n">
        <v>3</v>
      </c>
      <c r="J638" s="38">
        <f>ROUND(H638*I638,2)</f>
        <v/>
      </c>
      <c r="L638" s="39" t="n">
        <v>1</v>
      </c>
      <c r="M638" s="40" t="n">
        <v>3</v>
      </c>
      <c r="N638" s="41">
        <f>ROUND(L638*M638,2)</f>
        <v/>
      </c>
    </row>
    <row r="639">
      <c r="A639" s="30" t="inlineStr">
        <is>
          <t>Bono social</t>
        </is>
      </c>
      <c r="B639" s="31" t="n">
        <v>30</v>
      </c>
      <c r="C639" s="32">
        <f>$N$630-$L$630+1</f>
        <v/>
      </c>
      <c r="D639" s="33" t="n">
        <v>0.5736</v>
      </c>
      <c r="E639" s="34" t="n">
        <v>0.01274</v>
      </c>
      <c r="F639" s="35">
        <f>ROUND(B639*E639,2)</f>
        <v/>
      </c>
      <c r="H639" s="36" t="n">
        <v>30</v>
      </c>
      <c r="I639" s="37" t="n">
        <v>0.01274</v>
      </c>
      <c r="J639" s="38">
        <f>ROUND(H639*I639,2)</f>
        <v/>
      </c>
      <c r="L639" s="39" t="n">
        <v>30</v>
      </c>
      <c r="M639" s="40" t="n">
        <v>0.00629</v>
      </c>
      <c r="N639" s="41">
        <f>ROUND(L639*M639,2)</f>
        <v/>
      </c>
    </row>
    <row r="640">
      <c r="A640" s="30" t="inlineStr">
        <is>
          <t>Tasa eléctrica</t>
        </is>
      </c>
      <c r="B640" s="31" t="n">
        <v>2.64</v>
      </c>
      <c r="C640" s="44" t="n"/>
      <c r="D640" s="33" t="n">
        <v>0.24729</v>
      </c>
      <c r="E640" s="34" t="n">
        <v>1</v>
      </c>
      <c r="F640" s="35">
        <f>ROUND(B640*E640,2)</f>
        <v/>
      </c>
      <c r="H640" s="36" t="n">
        <v>3.52</v>
      </c>
      <c r="I640" s="37" t="n">
        <v>1</v>
      </c>
      <c r="J640" s="38">
        <f>ROUND(H640*I640,2)</f>
        <v/>
      </c>
      <c r="L640" s="39" t="n">
        <v>2.83</v>
      </c>
      <c r="M640" s="40" t="n">
        <v>1</v>
      </c>
      <c r="N640" s="41">
        <f>ROUND(L640*M640,2)</f>
        <v/>
      </c>
    </row>
    <row r="641">
      <c r="A641" s="47" t="inlineStr">
        <is>
          <t>TOTAL c/IVA</t>
        </is>
      </c>
      <c r="F641" s="48">
        <f>ROUND((SUM(F633:F640)-F640)*1.1+F640,2)</f>
        <v/>
      </c>
      <c r="J641" s="49">
        <f>ROUND(SUM(J633:J640),2)</f>
        <v/>
      </c>
      <c r="N641" s="50">
        <f>ROUND(SUM(N633:N640),2)</f>
        <v/>
      </c>
    </row>
    <row r="642">
      <c r="A642" s="19" t="inlineStr">
        <is>
          <t>MARGEN sin registrar</t>
        </is>
      </c>
      <c r="B642" s="51">
        <f>IF((F636+F633+F635+F637+F634)=0,"",((F636+F633+F635+F637+F634)-$AB$635)/(F636+F633+F635+F637+F634))</f>
        <v/>
      </c>
      <c r="D642" s="52">
        <f>IF(B642="","SIN PC",IF(B642&gt;=0.3,"APROBAR",IF(B642&gt;=0.2,"REVISAR","RECHAZAR")))</f>
        <v/>
      </c>
      <c r="E642" s="53" t="n"/>
      <c r="F642" s="54" t="n"/>
      <c r="AD642">
        <f>SUM(F635:F637)-29.1065</f>
        <v/>
      </c>
    </row>
    <row r="643">
      <c r="A643" s="55" t="inlineStr">
        <is>
          <t>☀ EXCEDENTES SOLARES (kWh vertidos reales)</t>
        </is>
      </c>
      <c r="B643" s="56" t="n"/>
      <c r="C643" s="56" t="n"/>
      <c r="D643" s="56" t="n"/>
      <c r="E643" s="56" t="n"/>
      <c r="F643" s="56" t="n"/>
    </row>
    <row r="644">
      <c r="A644" s="57" t="inlineStr">
        <is>
          <t>Concepto</t>
        </is>
      </c>
      <c r="B644" s="57" t="inlineStr">
        <is>
          <t>kWh</t>
        </is>
      </c>
      <c r="D644" s="57" t="inlineStr">
        <is>
          <t>€/kWh compra</t>
        </is>
      </c>
      <c r="E644" s="57" t="inlineStr">
        <is>
          <t>€/kWh venta</t>
        </is>
      </c>
      <c r="F644" s="57" t="inlineStr">
        <is>
          <t>Importe</t>
        </is>
      </c>
    </row>
    <row r="645">
      <c r="A645" s="58" t="inlineStr">
        <is>
          <t>Compra excedentes (vertido red)</t>
        </is>
      </c>
      <c r="B645" s="59" t="n">
        <v>330</v>
      </c>
      <c r="C645" s="60" t="n"/>
      <c r="D645" s="33" t="n">
        <v>0.06</v>
      </c>
      <c r="E645" s="60" t="n"/>
      <c r="F645" s="61">
        <f>ROUND(B645*D645,2)</f>
        <v/>
      </c>
    </row>
    <row r="646">
      <c r="A646" s="58" t="inlineStr">
        <is>
          <t>Venta cliente (saldo batería, 1043)</t>
        </is>
      </c>
      <c r="B646" s="60" t="n"/>
      <c r="C646" s="60" t="n"/>
      <c r="D646" s="60" t="n"/>
      <c r="E646" s="62" t="n">
        <v>0.06</v>
      </c>
      <c r="F646" s="61" t="n">
        <v>19.26</v>
      </c>
    </row>
    <row r="647">
      <c r="A647" s="63" t="inlineStr">
        <is>
          <t>NETO Transactiva (compra − venta)</t>
        </is>
      </c>
      <c r="B647" s="60" t="n"/>
      <c r="C647" s="60" t="n"/>
      <c r="D647" s="60" t="n"/>
      <c r="E647" s="60" t="n"/>
      <c r="F647" s="64">
        <f>F645-F646</f>
        <v/>
      </c>
    </row>
    <row r="649">
      <c r="A649" s="15" t="inlineStr">
        <is>
          <t>Factura 8606 · C00910 · PATRICE HERNEST HECQ</t>
        </is>
      </c>
      <c r="H649" s="15" t="inlineStr">
        <is>
          <t>ES0021000001218582ZQ · Naturgy</t>
        </is>
      </c>
      <c r="L649" s="16" t="n">
        <v>46113</v>
      </c>
      <c r="M649" s="17" t="inlineStr">
        <is>
          <t>a</t>
        </is>
      </c>
      <c r="N649" s="16" t="n">
        <v>46142</v>
      </c>
      <c r="R649" s="18" t="inlineStr">
        <is>
          <t>HISTÓRICO DEL CUPS · HOJA TTVA LUZ</t>
        </is>
      </c>
    </row>
    <row r="650">
      <c r="A650" s="19" t="inlineStr">
        <is>
          <t>Concepto</t>
        </is>
      </c>
      <c r="B650" s="20" t="inlineStr">
        <is>
          <t>PENDIENTE (sin registrar)</t>
        </is>
      </c>
      <c r="C650" s="21" t="n"/>
      <c r="D650" s="21" t="n"/>
      <c r="E650" s="21" t="n"/>
      <c r="F650" s="21" t="n"/>
      <c r="H650" s="22" t="inlineStr">
        <is>
          <t>MES ANTERIOR · Fact.6440</t>
        </is>
      </c>
      <c r="I650" s="23" t="n"/>
      <c r="J650" s="23" t="n"/>
      <c r="L650" s="24" t="inlineStr">
        <is>
          <t>AÑO ANTERIOR · Fact.4644</t>
        </is>
      </c>
      <c r="M650" s="25" t="n"/>
      <c r="N650" s="25" t="n"/>
      <c r="R650" s="26" t="inlineStr">
        <is>
          <t>Cobrado total: 1.467 €</t>
        </is>
      </c>
    </row>
    <row r="651">
      <c r="B651" s="7" t="inlineStr">
        <is>
          <t>Cant</t>
        </is>
      </c>
      <c r="C651" s="7" t="inlineStr">
        <is>
          <t>Días</t>
        </is>
      </c>
      <c r="D651" s="7" t="inlineStr">
        <is>
          <t>PC real</t>
        </is>
      </c>
      <c r="E651" s="7" t="inlineStr">
        <is>
          <t>PV</t>
        </is>
      </c>
      <c r="F651" s="7" t="inlineStr">
        <is>
          <t>Importe</t>
        </is>
      </c>
      <c r="H651" s="27" t="inlineStr">
        <is>
          <t>Cant</t>
        </is>
      </c>
      <c r="I651" s="27" t="inlineStr">
        <is>
          <t>PV</t>
        </is>
      </c>
      <c r="J651" s="27" t="inlineStr">
        <is>
          <t>Importe</t>
        </is>
      </c>
      <c r="L651" s="28" t="inlineStr">
        <is>
          <t>Cant</t>
        </is>
      </c>
      <c r="M651" s="28" t="inlineStr">
        <is>
          <t>PV</t>
        </is>
      </c>
      <c r="N651" s="28" t="inlineStr">
        <is>
          <t>Importe</t>
        </is>
      </c>
      <c r="R651" s="29" t="inlineStr">
        <is>
          <t>Pagado total: 784 €</t>
        </is>
      </c>
    </row>
    <row r="652">
      <c r="A652" s="30" t="inlineStr">
        <is>
          <t>P1 Potencia</t>
        </is>
      </c>
      <c r="B652" s="31" t="n">
        <v>5.5</v>
      </c>
      <c r="C652" s="32">
        <f>$N$649-$L$649+1</f>
        <v/>
      </c>
      <c r="D652" s="33" t="n">
        <v>3.4086</v>
      </c>
      <c r="E652" s="34" t="n">
        <v>4.82</v>
      </c>
      <c r="F652" s="35">
        <f>ROUND(B652*E652,2)</f>
        <v/>
      </c>
      <c r="H652" s="36" t="n">
        <v>5.5</v>
      </c>
      <c r="I652" s="37" t="n">
        <v>4.82</v>
      </c>
      <c r="J652" s="38">
        <f>ROUND(H652*I652,2)</f>
        <v/>
      </c>
      <c r="L652" s="39" t="n">
        <v>5.5</v>
      </c>
      <c r="M652" s="40" t="n">
        <v>4.82</v>
      </c>
      <c r="N652" s="41">
        <f>ROUND(L652*M652,2)</f>
        <v/>
      </c>
      <c r="R652" s="42" t="inlineStr">
        <is>
          <t>DIF: 682 €   ·   Margen hist.: 46.5%</t>
        </is>
      </c>
    </row>
    <row r="653">
      <c r="A653" s="30" t="inlineStr">
        <is>
          <t>P2 Potencia</t>
        </is>
      </c>
      <c r="B653" s="31" t="n">
        <v>5.5</v>
      </c>
      <c r="C653" s="32">
        <f>$N$649-$L$649+1</f>
        <v/>
      </c>
      <c r="D653" s="33" t="n">
        <v>1.09728</v>
      </c>
      <c r="E653" s="34" t="n">
        <v>2.3744</v>
      </c>
      <c r="F653" s="35">
        <f>ROUND(B653*E653,2)</f>
        <v/>
      </c>
      <c r="H653" s="36" t="n">
        <v>5.5</v>
      </c>
      <c r="I653" s="37" t="n">
        <v>2.3744</v>
      </c>
      <c r="J653" s="38">
        <f>ROUND(H653*I653,2)</f>
        <v/>
      </c>
      <c r="L653" s="39" t="n">
        <v>5.5</v>
      </c>
      <c r="M653" s="40" t="n">
        <v>2.3744</v>
      </c>
      <c r="N653" s="41">
        <f>ROUND(L653*M653,2)</f>
        <v/>
      </c>
      <c r="R653" s="43" t="inlineStr">
        <is>
          <t>Mejor mes: 2023-08 · 128 € · margen 50%</t>
        </is>
      </c>
    </row>
    <row r="654">
      <c r="A654" s="30" t="inlineStr">
        <is>
          <t>P1 Energía</t>
        </is>
      </c>
      <c r="B654" s="31">
        <f>IF($P$654&lt;&gt;"",ROUND(AA654*(($AB$654/(1-$P$654))-39.5692)/22.0366,2),IF('Resumen'!$D$3="OPTIMIZAR",ROUND(MAX(AA654,MIN(AA654*(($AB$654/(1-'Resumen'!$F$3))-39.5692)/22.0366,AA654*(85.6786)/22.0366)),3),AA654))</f>
        <v/>
      </c>
      <c r="C654" s="44" t="n"/>
      <c r="D654" s="33" t="n">
        <v>0.110306</v>
      </c>
      <c r="E654" s="34" t="n">
        <v>0.139</v>
      </c>
      <c r="F654" s="35">
        <f>ROUND(B654*E654,2)</f>
        <v/>
      </c>
      <c r="H654" s="36" t="n">
        <v>45.494</v>
      </c>
      <c r="I654" s="37" t="n">
        <v>0.139</v>
      </c>
      <c r="J654" s="38">
        <f>ROUND(H654*I654,2)</f>
        <v/>
      </c>
      <c r="L654" s="39" t="n">
        <v>14.452</v>
      </c>
      <c r="M654" s="40" t="n">
        <v>0.149</v>
      </c>
      <c r="N654" s="41">
        <f>ROUND(L654*M654,2)</f>
        <v/>
      </c>
      <c r="O654" s="45" t="inlineStr">
        <is>
          <t>Margen objetivo (edita % aquí) ▶</t>
        </is>
      </c>
      <c r="P654" s="5" t="n"/>
      <c r="R654" s="43" t="inlineStr">
        <is>
          <t>Peor mes: 2024-05 · 7 € · margen 81%</t>
        </is>
      </c>
      <c r="AA654" t="n">
        <v>17.422</v>
      </c>
      <c r="AB654">
        <f>B652*D652+B653*D653+AA654*D654+AA655*D655+AA656*D656</f>
        <v/>
      </c>
    </row>
    <row r="655">
      <c r="A655" s="30" t="inlineStr">
        <is>
          <t>P2 Energía</t>
        </is>
      </c>
      <c r="B655" s="31">
        <f>IF($P$654&lt;&gt;"",ROUND(AA655*(($AB$654/(1-$P$654))-39.5692)/22.0366,2),IF('Resumen'!$D$3="OPTIMIZAR",ROUND(MAX(AA655,MIN(AA655*(($AB$654/(1-'Resumen'!$F$3))-39.5692)/22.0366,AA655*(85.6786)/22.0366)),3),AA655))</f>
        <v/>
      </c>
      <c r="C655" s="44" t="n"/>
      <c r="D655" s="33" t="n">
        <v>0.110306</v>
      </c>
      <c r="E655" s="34" t="n">
        <v>0.139</v>
      </c>
      <c r="F655" s="35">
        <f>ROUND(B655*E655,2)</f>
        <v/>
      </c>
      <c r="H655" s="36" t="n">
        <v>84.434</v>
      </c>
      <c r="I655" s="37" t="n">
        <v>0.139</v>
      </c>
      <c r="J655" s="38">
        <f>ROUND(H655*I655,2)</f>
        <v/>
      </c>
      <c r="L655" s="39" t="n">
        <v>11.099</v>
      </c>
      <c r="M655" s="40" t="n">
        <v>0.149</v>
      </c>
      <c r="N655" s="41">
        <f>ROUND(L655*M655,2)</f>
        <v/>
      </c>
      <c r="O655" s="46" t="inlineStr">
        <is>
          <t>Cant. P1/P2/P3 energía suben</t>
        </is>
      </c>
      <c r="R655" s="43" t="inlineStr">
        <is>
          <t>Importe mensual cobrado (€) · 24 meses ▾</t>
        </is>
      </c>
      <c r="AA655" t="n">
        <v>43.003</v>
      </c>
    </row>
    <row r="656">
      <c r="A656" s="30" t="inlineStr">
        <is>
          <t>P3 Energía</t>
        </is>
      </c>
      <c r="B656" s="31">
        <f>IF($P$654&lt;&gt;"",ROUND(AA656*(($AB$654/(1-$P$654))-39.5692)/22.0366,2),IF('Resumen'!$D$3="OPTIMIZAR",ROUND(MAX(AA656,MIN(AA656*(($AB$654/(1-'Resumen'!$F$3))-39.5692)/22.0366,AA656*(85.6786)/22.0366)),3),AA656))</f>
        <v/>
      </c>
      <c r="C656" s="44" t="n"/>
      <c r="D656" s="33" t="n">
        <v>0.110306</v>
      </c>
      <c r="E656" s="34" t="n">
        <v>0.139</v>
      </c>
      <c r="F656" s="35">
        <f>ROUND(B656*E656,2)</f>
        <v/>
      </c>
      <c r="H656" s="36" t="n">
        <v>131.914</v>
      </c>
      <c r="I656" s="37" t="n">
        <v>0.139</v>
      </c>
      <c r="J656" s="38">
        <f>ROUND(H656*I656,2)</f>
        <v/>
      </c>
      <c r="L656" s="39" t="n">
        <v>106.482</v>
      </c>
      <c r="M656" s="40" t="n">
        <v>0.149</v>
      </c>
      <c r="N656" s="41">
        <f>ROUND(L656*M656,2)</f>
        <v/>
      </c>
      <c r="O656" s="46" t="inlineStr">
        <is>
          <t>en proporción para ese margen</t>
        </is>
      </c>
      <c r="AA656" t="n">
        <v>98.11199999999999</v>
      </c>
    </row>
    <row r="657">
      <c r="A657" s="30" t="inlineStr">
        <is>
          <t>Alquiler contador</t>
        </is>
      </c>
      <c r="B657" s="31" t="n">
        <v>1</v>
      </c>
      <c r="C657" s="32">
        <f>$N$649-$L$649+1</f>
        <v/>
      </c>
      <c r="D657" s="33" t="n">
        <v>0.7989000000000001</v>
      </c>
      <c r="E657" s="34" t="n">
        <v>1</v>
      </c>
      <c r="F657" s="35">
        <f>ROUND(B657*E657,2)</f>
        <v/>
      </c>
      <c r="H657" s="36" t="n">
        <v>1</v>
      </c>
      <c r="I657" s="37" t="n">
        <v>1</v>
      </c>
      <c r="J657" s="38">
        <f>ROUND(H657*I657,2)</f>
        <v/>
      </c>
      <c r="L657" s="39" t="n">
        <v>1</v>
      </c>
      <c r="M657" s="40" t="n">
        <v>6</v>
      </c>
      <c r="N657" s="41">
        <f>ROUND(L657*M657,2)</f>
        <v/>
      </c>
    </row>
    <row r="658">
      <c r="A658" s="30" t="inlineStr">
        <is>
          <t>Bono social</t>
        </is>
      </c>
      <c r="B658" s="31" t="n">
        <v>30</v>
      </c>
      <c r="C658" s="32">
        <f>$N$649-$L$649+1</f>
        <v/>
      </c>
      <c r="D658" s="33" t="n">
        <v>0.5736</v>
      </c>
      <c r="E658" s="34" t="n">
        <v>0.01274</v>
      </c>
      <c r="F658" s="35">
        <f>ROUND(B658*E658,2)</f>
        <v/>
      </c>
      <c r="H658" s="36" t="n">
        <v>30</v>
      </c>
      <c r="I658" s="37" t="n">
        <v>0.01912</v>
      </c>
      <c r="J658" s="38">
        <f>ROUND(H658*I658,2)</f>
        <v/>
      </c>
      <c r="L658" s="39" t="n">
        <v>30</v>
      </c>
      <c r="M658" s="40" t="n">
        <v>0.00629</v>
      </c>
      <c r="N658" s="41">
        <f>ROUND(L658*M658,2)</f>
        <v/>
      </c>
    </row>
    <row r="659">
      <c r="A659" s="30" t="inlineStr">
        <is>
          <t>Tasa eléctrica</t>
        </is>
      </c>
      <c r="B659" s="31" t="n">
        <v>1.66</v>
      </c>
      <c r="C659" s="44" t="n"/>
      <c r="D659" s="33" t="n">
        <v>0.24729</v>
      </c>
      <c r="E659" s="34" t="n">
        <v>1</v>
      </c>
      <c r="F659" s="35">
        <f>ROUND(B659*E659,2)</f>
        <v/>
      </c>
      <c r="H659" s="36" t="n">
        <v>3.05</v>
      </c>
      <c r="I659" s="37" t="n">
        <v>1</v>
      </c>
      <c r="J659" s="38">
        <f>ROUND(H659*I659,2)</f>
        <v/>
      </c>
      <c r="L659" s="39" t="n">
        <v>2.3</v>
      </c>
      <c r="M659" s="40" t="n">
        <v>1</v>
      </c>
      <c r="N659" s="41">
        <f>ROUND(L659*M659,2)</f>
        <v/>
      </c>
    </row>
    <row r="660">
      <c r="A660" s="47" t="inlineStr">
        <is>
          <t>TOTAL c/IVA</t>
        </is>
      </c>
      <c r="F660" s="48">
        <f>ROUND((SUM(F652:F659)-F659)*1.1+F659,2)</f>
        <v/>
      </c>
      <c r="J660" s="49">
        <f>ROUND(SUM(J652:J659),2)</f>
        <v/>
      </c>
      <c r="N660" s="50">
        <f>ROUND(SUM(N652:N659),2)</f>
        <v/>
      </c>
    </row>
    <row r="661">
      <c r="A661" s="19" t="inlineStr">
        <is>
          <t>MARGEN sin registrar</t>
        </is>
      </c>
      <c r="B661" s="51">
        <f>IF((F655+F652+F654+F656+F653)=0,"",((F655+F652+F654+F656+F653)-$AB$654)/(F655+F652+F654+F656+F653))</f>
        <v/>
      </c>
      <c r="D661" s="52">
        <f>IF(B661="","SIN PC",IF(B661&gt;=0.3,"APROBAR",IF(B661&gt;=0.2,"REVISAR","RECHAZAR")))</f>
        <v/>
      </c>
      <c r="E661" s="53" t="n"/>
      <c r="F661" s="54" t="n"/>
      <c r="AD661">
        <f>SUM(F654:F656)-22.0366</f>
        <v/>
      </c>
    </row>
    <row r="662">
      <c r="A662" s="55" t="inlineStr">
        <is>
          <t>☀ EXCEDENTES SOLARES (kWh vertidos reales)</t>
        </is>
      </c>
      <c r="B662" s="56" t="n"/>
      <c r="C662" s="56" t="n"/>
      <c r="D662" s="56" t="n"/>
      <c r="E662" s="56" t="n"/>
      <c r="F662" s="56" t="n"/>
    </row>
    <row r="663">
      <c r="A663" s="57" t="inlineStr">
        <is>
          <t>Concepto</t>
        </is>
      </c>
      <c r="B663" s="57" t="inlineStr">
        <is>
          <t>kWh</t>
        </is>
      </c>
      <c r="D663" s="57" t="inlineStr">
        <is>
          <t>€/kWh compra</t>
        </is>
      </c>
      <c r="E663" s="57" t="inlineStr">
        <is>
          <t>€/kWh venta</t>
        </is>
      </c>
      <c r="F663" s="57" t="inlineStr">
        <is>
          <t>Importe</t>
        </is>
      </c>
    </row>
    <row r="664">
      <c r="A664" s="58" t="inlineStr">
        <is>
          <t>Compra excedentes (vertido red)</t>
        </is>
      </c>
      <c r="B664" s="59" t="n">
        <v>418</v>
      </c>
      <c r="C664" s="60" t="n"/>
      <c r="D664" s="33" t="n">
        <v>0.06</v>
      </c>
      <c r="E664" s="60" t="n"/>
      <c r="F664" s="61">
        <f>ROUND(B664*D664,2)</f>
        <v/>
      </c>
    </row>
    <row r="665">
      <c r="A665" s="58" t="inlineStr">
        <is>
          <t>Venta cliente (saldo batería, 1043)</t>
        </is>
      </c>
      <c r="B665" s="60" t="n"/>
      <c r="C665" s="60" t="n"/>
      <c r="D665" s="60" t="n"/>
      <c r="E665" s="62" t="n">
        <v>0.06</v>
      </c>
      <c r="F665" s="61" t="n">
        <v>32.89</v>
      </c>
    </row>
    <row r="666">
      <c r="A666" s="63" t="inlineStr">
        <is>
          <t>NETO Transactiva (compra − venta)</t>
        </is>
      </c>
      <c r="B666" s="60" t="n"/>
      <c r="C666" s="60" t="n"/>
      <c r="D666" s="60" t="n"/>
      <c r="E666" s="60" t="n"/>
      <c r="F666" s="64">
        <f>F664-F665</f>
        <v/>
      </c>
    </row>
    <row r="668">
      <c r="A668" s="15" t="inlineStr">
        <is>
          <t>Factura 8607 · C00940 · ANDRE DOUTREVAL</t>
        </is>
      </c>
      <c r="H668" s="15" t="inlineStr">
        <is>
          <t>ES0021000001199725EL · Naturgy</t>
        </is>
      </c>
      <c r="L668" s="16" t="n">
        <v>46113</v>
      </c>
      <c r="M668" s="17" t="inlineStr">
        <is>
          <t>a</t>
        </is>
      </c>
      <c r="N668" s="16" t="n">
        <v>46142</v>
      </c>
      <c r="R668" s="18" t="inlineStr">
        <is>
          <t>HISTÓRICO DEL CUPS · HOJA TTVA LUZ</t>
        </is>
      </c>
    </row>
    <row r="669">
      <c r="A669" s="19" t="inlineStr">
        <is>
          <t>Concepto</t>
        </is>
      </c>
      <c r="B669" s="20" t="inlineStr">
        <is>
          <t>PENDIENTE (sin registrar)</t>
        </is>
      </c>
      <c r="C669" s="21" t="n"/>
      <c r="D669" s="21" t="n"/>
      <c r="E669" s="21" t="n"/>
      <c r="F669" s="21" t="n"/>
      <c r="H669" s="22" t="inlineStr">
        <is>
          <t>MES ANTERIOR · Fact.6439</t>
        </is>
      </c>
      <c r="I669" s="23" t="n"/>
      <c r="J669" s="23" t="n"/>
      <c r="L669" s="24" t="inlineStr">
        <is>
          <t>AÑO ANTERIOR · Fact.4643</t>
        </is>
      </c>
      <c r="M669" s="25" t="n"/>
      <c r="N669" s="25" t="n"/>
      <c r="R669" s="26" t="inlineStr">
        <is>
          <t>Cobrado total: 2.318 €</t>
        </is>
      </c>
    </row>
    <row r="670">
      <c r="B670" s="7" t="inlineStr">
        <is>
          <t>Cant</t>
        </is>
      </c>
      <c r="C670" s="7" t="inlineStr">
        <is>
          <t>Días</t>
        </is>
      </c>
      <c r="D670" s="7" t="inlineStr">
        <is>
          <t>PC real</t>
        </is>
      </c>
      <c r="E670" s="7" t="inlineStr">
        <is>
          <t>PV</t>
        </is>
      </c>
      <c r="F670" s="7" t="inlineStr">
        <is>
          <t>Importe</t>
        </is>
      </c>
      <c r="H670" s="27" t="inlineStr">
        <is>
          <t>Cant</t>
        </is>
      </c>
      <c r="I670" s="27" t="inlineStr">
        <is>
          <t>PV</t>
        </is>
      </c>
      <c r="J670" s="27" t="inlineStr">
        <is>
          <t>Importe</t>
        </is>
      </c>
      <c r="L670" s="28" t="inlineStr">
        <is>
          <t>Cant</t>
        </is>
      </c>
      <c r="M670" s="28" t="inlineStr">
        <is>
          <t>PV</t>
        </is>
      </c>
      <c r="N670" s="28" t="inlineStr">
        <is>
          <t>Importe</t>
        </is>
      </c>
      <c r="R670" s="29" t="inlineStr">
        <is>
          <t>Pagado total: 1.174 €</t>
        </is>
      </c>
    </row>
    <row r="671">
      <c r="A671" s="30" t="inlineStr">
        <is>
          <t>P1 Potencia</t>
        </is>
      </c>
      <c r="B671" s="31" t="n">
        <v>8.800000000000001</v>
      </c>
      <c r="C671" s="32">
        <f>$N$668-$L$668+1</f>
        <v/>
      </c>
      <c r="D671" s="33" t="n">
        <v>3.4086</v>
      </c>
      <c r="E671" s="34" t="n">
        <v>4.17</v>
      </c>
      <c r="F671" s="35">
        <f>ROUND(B671*E671,2)</f>
        <v/>
      </c>
      <c r="H671" s="36" t="n">
        <v>8.800000000000001</v>
      </c>
      <c r="I671" s="37" t="n">
        <v>4.17</v>
      </c>
      <c r="J671" s="38">
        <f>ROUND(H671*I671,2)</f>
        <v/>
      </c>
      <c r="L671" s="39" t="n">
        <v>8.800000000000001</v>
      </c>
      <c r="M671" s="40" t="n">
        <v>4.17</v>
      </c>
      <c r="N671" s="41">
        <f>ROUND(L671*M671,2)</f>
        <v/>
      </c>
      <c r="R671" s="42" t="inlineStr">
        <is>
          <t>DIF: 1.144 €   ·   Margen hist.: 49.4%</t>
        </is>
      </c>
    </row>
    <row r="672">
      <c r="A672" s="30" t="inlineStr">
        <is>
          <t>P2 Potencia</t>
        </is>
      </c>
      <c r="B672" s="31" t="n">
        <v>8.800000000000001</v>
      </c>
      <c r="C672" s="32">
        <f>$N$668-$L$668+1</f>
        <v/>
      </c>
      <c r="D672" s="33" t="n">
        <v>1.09728</v>
      </c>
      <c r="E672" s="34" t="n">
        <v>1.37</v>
      </c>
      <c r="F672" s="35">
        <f>ROUND(B672*E672,2)</f>
        <v/>
      </c>
      <c r="H672" s="36" t="n">
        <v>8.800000000000001</v>
      </c>
      <c r="I672" s="37" t="n">
        <v>1.37</v>
      </c>
      <c r="J672" s="38">
        <f>ROUND(H672*I672,2)</f>
        <v/>
      </c>
      <c r="L672" s="39" t="n">
        <v>8.800000000000001</v>
      </c>
      <c r="M672" s="40" t="n">
        <v>1.37</v>
      </c>
      <c r="N672" s="41">
        <f>ROUND(L672*M672,2)</f>
        <v/>
      </c>
      <c r="R672" s="43" t="inlineStr">
        <is>
          <t>Mejor mes: 2024-01 · 268 € · margen 83%</t>
        </is>
      </c>
    </row>
    <row r="673">
      <c r="A673" s="30" t="inlineStr">
        <is>
          <t>P1 Energía</t>
        </is>
      </c>
      <c r="B673" s="31">
        <f>IF($P$673&lt;&gt;"",ROUND(AA673*(($AB$673/(1-$P$673))-48.7520)/67.6728,2),IF('Resumen'!$D$3="OPTIMIZAR",ROUND(MAX(AA673,MIN(AA673*(($AB$673/(1-'Resumen'!$F$3))-48.7520)/67.6728,AA673*(210.2358)/67.6728)),3),AA673))</f>
        <v/>
      </c>
      <c r="C673" s="44" t="n"/>
      <c r="D673" s="33" t="n">
        <v>0.110306</v>
      </c>
      <c r="E673" s="34" t="n">
        <v>0.14937</v>
      </c>
      <c r="F673" s="35">
        <f>ROUND(B673*E673,2)</f>
        <v/>
      </c>
      <c r="H673" s="36" t="n">
        <v>212.223</v>
      </c>
      <c r="I673" s="37" t="n">
        <v>0.14937</v>
      </c>
      <c r="J673" s="38">
        <f>ROUND(H673*I673,2)</f>
        <v/>
      </c>
      <c r="L673" s="39" t="n">
        <v>51.779</v>
      </c>
      <c r="M673" s="40" t="n">
        <v>0.14937</v>
      </c>
      <c r="N673" s="41">
        <f>ROUND(L673*M673,2)</f>
        <v/>
      </c>
      <c r="O673" s="45" t="inlineStr">
        <is>
          <t>Margen objetivo (edita % aquí) ▶</t>
        </is>
      </c>
      <c r="P673" s="5" t="n"/>
      <c r="R673" s="43" t="inlineStr">
        <is>
          <t>Peor mes: 2023-05 · 37 € · margen 3%</t>
        </is>
      </c>
      <c r="AA673" t="n">
        <v>83.967</v>
      </c>
      <c r="AB673">
        <f>B671*D671+B672*D672+AA673*D673+AA674*D674+AA675*D675</f>
        <v/>
      </c>
    </row>
    <row r="674">
      <c r="A674" s="30" t="inlineStr">
        <is>
          <t>P2 Energía</t>
        </is>
      </c>
      <c r="B674" s="31">
        <f>IF($P$673&lt;&gt;"",ROUND(AA674*(($AB$673/(1-$P$673))-48.7520)/67.6728,2),IF('Resumen'!$D$3="OPTIMIZAR",ROUND(MAX(AA674,MIN(AA674*(($AB$673/(1-'Resumen'!$F$3))-48.7520)/67.6728,AA674*(210.2358)/67.6728)),3),AA674))</f>
        <v/>
      </c>
      <c r="C674" s="44" t="n"/>
      <c r="D674" s="33" t="n">
        <v>0.110306</v>
      </c>
      <c r="E674" s="34" t="n">
        <v>0.14937</v>
      </c>
      <c r="F674" s="35">
        <f>ROUND(B674*E674,2)</f>
        <v/>
      </c>
      <c r="H674" s="36" t="n">
        <v>157.578</v>
      </c>
      <c r="I674" s="37" t="n">
        <v>0.14937</v>
      </c>
      <c r="J674" s="38">
        <f>ROUND(H674*I674,2)</f>
        <v/>
      </c>
      <c r="L674" s="39" t="n">
        <v>42.247</v>
      </c>
      <c r="M674" s="40" t="n">
        <v>0.14937</v>
      </c>
      <c r="N674" s="41">
        <f>ROUND(L674*M674,2)</f>
        <v/>
      </c>
      <c r="O674" s="46" t="inlineStr">
        <is>
          <t>Cant. P1/P2/P3 energía suben</t>
        </is>
      </c>
      <c r="R674" s="43" t="inlineStr">
        <is>
          <t>Importe mensual cobrado (€) · 24 meses ▾</t>
        </is>
      </c>
      <c r="AA674" t="n">
        <v>59.331</v>
      </c>
    </row>
    <row r="675">
      <c r="A675" s="30" t="inlineStr">
        <is>
          <t>P3 Energía</t>
        </is>
      </c>
      <c r="B675" s="31">
        <f>IF($P$673&lt;&gt;"",ROUND(AA675*(($AB$673/(1-$P$673))-48.7520)/67.6728,2),IF('Resumen'!$D$3="OPTIMIZAR",ROUND(MAX(AA675,MIN(AA675*(($AB$673/(1-'Resumen'!$F$3))-48.7520)/67.6728,AA675*(210.2358)/67.6728)),3),AA675))</f>
        <v/>
      </c>
      <c r="C675" s="44" t="n"/>
      <c r="D675" s="33" t="n">
        <v>0.110306</v>
      </c>
      <c r="E675" s="34" t="n">
        <v>0.14937</v>
      </c>
      <c r="F675" s="35">
        <f>ROUND(B675*E675,2)</f>
        <v/>
      </c>
      <c r="H675" s="36" t="n">
        <v>535.0069999999999</v>
      </c>
      <c r="I675" s="37" t="n">
        <v>0.14937</v>
      </c>
      <c r="J675" s="38">
        <f>ROUND(H675*I675,2)</f>
        <v/>
      </c>
      <c r="L675" s="39" t="n">
        <v>146.014</v>
      </c>
      <c r="M675" s="40" t="n">
        <v>0.14937</v>
      </c>
      <c r="N675" s="41">
        <f>ROUND(L675*M675,2)</f>
        <v/>
      </c>
      <c r="O675" s="46" t="inlineStr">
        <is>
          <t>en proporción para ese margen</t>
        </is>
      </c>
      <c r="AA675" t="n">
        <v>309.757</v>
      </c>
    </row>
    <row r="676">
      <c r="A676" s="30" t="inlineStr">
        <is>
          <t>Alquiler contador</t>
        </is>
      </c>
      <c r="B676" s="31" t="n">
        <v>1</v>
      </c>
      <c r="C676" s="32">
        <f>$N$668-$L$668+1</f>
        <v/>
      </c>
      <c r="D676" s="33" t="n">
        <v>0.7989000000000001</v>
      </c>
      <c r="E676" s="34" t="n">
        <v>4</v>
      </c>
      <c r="F676" s="35">
        <f>ROUND(B676*E676,2)</f>
        <v/>
      </c>
      <c r="H676" s="36" t="n">
        <v>1</v>
      </c>
      <c r="I676" s="37" t="n">
        <v>4</v>
      </c>
      <c r="J676" s="38">
        <f>ROUND(H676*I676,2)</f>
        <v/>
      </c>
      <c r="L676" s="39" t="n">
        <v>1</v>
      </c>
      <c r="M676" s="40" t="n">
        <v>4</v>
      </c>
      <c r="N676" s="41">
        <f>ROUND(L676*M676,2)</f>
        <v/>
      </c>
    </row>
    <row r="677">
      <c r="A677" s="30" t="inlineStr">
        <is>
          <t>Bono social</t>
        </is>
      </c>
      <c r="B677" s="31" t="n">
        <v>30</v>
      </c>
      <c r="C677" s="32">
        <f>$N$668-$L$668+1</f>
        <v/>
      </c>
      <c r="D677" s="33" t="n">
        <v>0.5736</v>
      </c>
      <c r="E677" s="34" t="n">
        <v>0.01274</v>
      </c>
      <c r="F677" s="35">
        <f>ROUND(B677*E677,2)</f>
        <v/>
      </c>
      <c r="H677" s="36" t="n">
        <v>30</v>
      </c>
      <c r="I677" s="37" t="n">
        <v>0.01274</v>
      </c>
      <c r="J677" s="38">
        <f>ROUND(H677*I677,2)</f>
        <v/>
      </c>
      <c r="L677" s="39" t="n">
        <v>30</v>
      </c>
      <c r="M677" s="40" t="n">
        <v>0.00629</v>
      </c>
      <c r="N677" s="41">
        <f>ROUND(L677*M677,2)</f>
        <v/>
      </c>
    </row>
    <row r="678">
      <c r="A678" s="30" t="inlineStr">
        <is>
          <t>Tasa eléctrica</t>
        </is>
      </c>
      <c r="B678" s="31" t="n">
        <v>4.14</v>
      </c>
      <c r="C678" s="44" t="n"/>
      <c r="D678" s="33" t="n">
        <v>0.24729</v>
      </c>
      <c r="E678" s="34" t="n">
        <v>1</v>
      </c>
      <c r="F678" s="35">
        <f>ROUND(B678*E678,2)</f>
        <v/>
      </c>
      <c r="H678" s="36" t="n">
        <v>8.44</v>
      </c>
      <c r="I678" s="37" t="n">
        <v>1</v>
      </c>
      <c r="J678" s="38">
        <f>ROUND(H678*I678,2)</f>
        <v/>
      </c>
      <c r="L678" s="39" t="n">
        <v>2.78</v>
      </c>
      <c r="M678" s="40" t="n">
        <v>1</v>
      </c>
      <c r="N678" s="41">
        <f>ROUND(L678*M678,2)</f>
        <v/>
      </c>
    </row>
    <row r="679">
      <c r="A679" s="47" t="inlineStr">
        <is>
          <t>TOTAL c/IVA</t>
        </is>
      </c>
      <c r="F679" s="48">
        <f>ROUND((SUM(F671:F678)-F678)*1.1+F678,2)</f>
        <v/>
      </c>
      <c r="J679" s="49">
        <f>ROUND(SUM(J671:J678),2)</f>
        <v/>
      </c>
      <c r="N679" s="50">
        <f>ROUND(SUM(N671:N678),2)</f>
        <v/>
      </c>
    </row>
    <row r="680">
      <c r="A680" s="19" t="inlineStr">
        <is>
          <t>MARGEN sin registrar</t>
        </is>
      </c>
      <c r="B680" s="51">
        <f>IF((F674+F671+F673+F675+F672)=0,"",((F674+F671+F673+F675+F672)-$AB$673)/(F674+F671+F673+F675+F672))</f>
        <v/>
      </c>
      <c r="D680" s="52">
        <f>IF(B680="","SIN PC",IF(B680&gt;=0.3,"APROBAR",IF(B680&gt;=0.2,"REVISAR","RECHAZAR")))</f>
        <v/>
      </c>
      <c r="E680" s="53" t="n"/>
      <c r="F680" s="54" t="n"/>
      <c r="AD680">
        <f>SUM(F673:F675)-67.6728</f>
        <v/>
      </c>
    </row>
    <row r="681">
      <c r="A681" s="55" t="inlineStr">
        <is>
          <t>☀ EXCEDENTES SOLARES (kWh vertidos reales)</t>
        </is>
      </c>
      <c r="B681" s="56" t="n"/>
      <c r="C681" s="56" t="n"/>
      <c r="D681" s="56" t="n"/>
      <c r="E681" s="56" t="n"/>
      <c r="F681" s="56" t="n"/>
    </row>
    <row r="682">
      <c r="A682" s="57" t="inlineStr">
        <is>
          <t>Concepto</t>
        </is>
      </c>
      <c r="B682" s="57" t="inlineStr">
        <is>
          <t>kWh</t>
        </is>
      </c>
      <c r="D682" s="57" t="inlineStr">
        <is>
          <t>€/kWh compra</t>
        </is>
      </c>
      <c r="E682" s="57" t="inlineStr">
        <is>
          <t>€/kWh venta</t>
        </is>
      </c>
      <c r="F682" s="57" t="inlineStr">
        <is>
          <t>Importe</t>
        </is>
      </c>
    </row>
    <row r="683">
      <c r="A683" s="58" t="inlineStr">
        <is>
          <t>Compra excedentes (vertido red)</t>
        </is>
      </c>
      <c r="B683" s="59" t="n">
        <v>708</v>
      </c>
      <c r="C683" s="60" t="n"/>
      <c r="D683" s="33" t="n">
        <v>0.06</v>
      </c>
      <c r="E683" s="60" t="n"/>
      <c r="F683" s="61">
        <f>ROUND(B683*D683,2)</f>
        <v/>
      </c>
    </row>
    <row r="684">
      <c r="A684" s="58" t="inlineStr">
        <is>
          <t>Venta cliente (saldo batería, 1043)</t>
        </is>
      </c>
      <c r="B684" s="60" t="n"/>
      <c r="C684" s="60" t="n"/>
      <c r="D684" s="60" t="n"/>
      <c r="E684" s="62" t="n">
        <v>0.06</v>
      </c>
      <c r="F684" s="61" t="n">
        <v>17.84</v>
      </c>
    </row>
    <row r="685">
      <c r="A685" s="63" t="inlineStr">
        <is>
          <t>NETO Transactiva (compra − venta)</t>
        </is>
      </c>
      <c r="B685" s="60" t="n"/>
      <c r="C685" s="60" t="n"/>
      <c r="D685" s="60" t="n"/>
      <c r="E685" s="60" t="n"/>
      <c r="F685" s="64">
        <f>F683-F684</f>
        <v/>
      </c>
    </row>
    <row r="687">
      <c r="A687" s="15" t="inlineStr">
        <is>
          <t>Factura 8611 · C01140 · DESIRÉ ANNA GUSTAAF SCHUTTER</t>
        </is>
      </c>
      <c r="H687" s="15" t="inlineStr">
        <is>
          <t>ES0021000000845315TQ · Naturgy</t>
        </is>
      </c>
      <c r="L687" s="16" t="n">
        <v>46113</v>
      </c>
      <c r="M687" s="17" t="inlineStr">
        <is>
          <t>a</t>
        </is>
      </c>
      <c r="N687" s="16" t="n">
        <v>46142</v>
      </c>
      <c r="R687" s="18" t="inlineStr">
        <is>
          <t>HISTÓRICO DEL CUPS · HOJA TTVA LUZ</t>
        </is>
      </c>
    </row>
    <row r="688">
      <c r="A688" s="19" t="inlineStr">
        <is>
          <t>Concepto</t>
        </is>
      </c>
      <c r="B688" s="20" t="inlineStr">
        <is>
          <t>PENDIENTE (sin registrar)</t>
        </is>
      </c>
      <c r="C688" s="21" t="n"/>
      <c r="D688" s="21" t="n"/>
      <c r="E688" s="21" t="n"/>
      <c r="F688" s="21" t="n"/>
      <c r="H688" s="22" t="inlineStr">
        <is>
          <t>MES ANTERIOR · Fact.6434</t>
        </is>
      </c>
      <c r="I688" s="23" t="n"/>
      <c r="J688" s="23" t="n"/>
      <c r="L688" s="24" t="inlineStr">
        <is>
          <t>AÑO ANTERIOR · Fact.4637</t>
        </is>
      </c>
      <c r="M688" s="25" t="n"/>
      <c r="N688" s="25" t="n"/>
      <c r="R688" s="26" t="inlineStr">
        <is>
          <t>Cobrado total: 1.317 €</t>
        </is>
      </c>
    </row>
    <row r="689">
      <c r="B689" s="7" t="inlineStr">
        <is>
          <t>Cant</t>
        </is>
      </c>
      <c r="C689" s="7" t="inlineStr">
        <is>
          <t>Días</t>
        </is>
      </c>
      <c r="D689" s="7" t="inlineStr">
        <is>
          <t>PC real</t>
        </is>
      </c>
      <c r="E689" s="7" t="inlineStr">
        <is>
          <t>PV</t>
        </is>
      </c>
      <c r="F689" s="7" t="inlineStr">
        <is>
          <t>Importe</t>
        </is>
      </c>
      <c r="H689" s="27" t="inlineStr">
        <is>
          <t>Cant</t>
        </is>
      </c>
      <c r="I689" s="27" t="inlineStr">
        <is>
          <t>PV</t>
        </is>
      </c>
      <c r="J689" s="27" t="inlineStr">
        <is>
          <t>Importe</t>
        </is>
      </c>
      <c r="L689" s="28" t="inlineStr">
        <is>
          <t>Cant</t>
        </is>
      </c>
      <c r="M689" s="28" t="inlineStr">
        <is>
          <t>PV</t>
        </is>
      </c>
      <c r="N689" s="28" t="inlineStr">
        <is>
          <t>Importe</t>
        </is>
      </c>
      <c r="R689" s="29" t="inlineStr">
        <is>
          <t>Pagado total: 980 €</t>
        </is>
      </c>
    </row>
    <row r="690">
      <c r="A690" s="30" t="inlineStr">
        <is>
          <t>P1 Potencia</t>
        </is>
      </c>
      <c r="B690" s="31" t="n">
        <v>9.199999999999999</v>
      </c>
      <c r="C690" s="32">
        <f>$N$687-$L$687+1</f>
        <v/>
      </c>
      <c r="D690" s="33" t="n">
        <v>3.4086</v>
      </c>
      <c r="E690" s="34" t="n">
        <v>3.85</v>
      </c>
      <c r="F690" s="35">
        <f>ROUND(B690*E690,2)</f>
        <v/>
      </c>
      <c r="H690" s="36" t="n">
        <v>9.199999999999999</v>
      </c>
      <c r="I690" s="37" t="n">
        <v>3.85</v>
      </c>
      <c r="J690" s="38">
        <f>ROUND(H690*I690,2)</f>
        <v/>
      </c>
      <c r="L690" s="39" t="n">
        <v>9.199999999999999</v>
      </c>
      <c r="M690" s="40" t="n">
        <v>3.85</v>
      </c>
      <c r="N690" s="41">
        <f>ROUND(L690*M690,2)</f>
        <v/>
      </c>
      <c r="R690" s="42" t="inlineStr">
        <is>
          <t>DIF: 336 €   ·   Margen hist.: 25.6%</t>
        </is>
      </c>
    </row>
    <row r="691">
      <c r="A691" s="30" t="inlineStr">
        <is>
          <t>P2 Potencia</t>
        </is>
      </c>
      <c r="B691" s="31" t="n">
        <v>9.199999999999999</v>
      </c>
      <c r="C691" s="32">
        <f>$N$687-$L$687+1</f>
        <v/>
      </c>
      <c r="D691" s="33" t="n">
        <v>1.09728</v>
      </c>
      <c r="E691" s="34" t="n">
        <v>1.33</v>
      </c>
      <c r="F691" s="35">
        <f>ROUND(B691*E691,2)</f>
        <v/>
      </c>
      <c r="H691" s="36" t="n">
        <v>9.199999999999999</v>
      </c>
      <c r="I691" s="37" t="n">
        <v>1.33</v>
      </c>
      <c r="J691" s="38">
        <f>ROUND(H691*I691,2)</f>
        <v/>
      </c>
      <c r="L691" s="39" t="n">
        <v>9.199999999999999</v>
      </c>
      <c r="M691" s="40" t="n">
        <v>1.33</v>
      </c>
      <c r="N691" s="41">
        <f>ROUND(L691*M691,2)</f>
        <v/>
      </c>
      <c r="R691" s="43" t="inlineStr">
        <is>
          <t>Mejor mes: 2023-02 · 128 € · margen 45%</t>
        </is>
      </c>
    </row>
    <row r="692">
      <c r="A692" s="30" t="inlineStr">
        <is>
          <t>P1 Energía</t>
        </is>
      </c>
      <c r="B692" s="31">
        <f>IF($P$692&lt;&gt;"",ROUND(AA692*(($AB$692/(1-$P$692))-47.6560)/14.8091,2),IF('Resumen'!$D$3="OPTIMIZAR",ROUND(MAX(AA692,MIN(AA692*(($AB$692/(1-'Resumen'!$F$3))-47.6560)/14.8091,AA692*(74.9318)/14.8091)),3),AA692))</f>
        <v/>
      </c>
      <c r="C692" s="44" t="n"/>
      <c r="D692" s="33" t="n">
        <v>0.110306</v>
      </c>
      <c r="E692" s="34" t="n">
        <v>0.13788</v>
      </c>
      <c r="F692" s="35">
        <f>ROUND(B692*E692,2)</f>
        <v/>
      </c>
      <c r="H692" s="36" t="n">
        <v>109.227</v>
      </c>
      <c r="I692" s="37" t="n">
        <v>0.13788</v>
      </c>
      <c r="J692" s="38">
        <f>ROUND(H692*I692,2)</f>
        <v/>
      </c>
      <c r="L692" s="39" t="n">
        <v>24.778</v>
      </c>
      <c r="M692" s="40" t="n">
        <v>0.13788</v>
      </c>
      <c r="N692" s="41">
        <f>ROUND(L692*M692,2)</f>
        <v/>
      </c>
      <c r="O692" s="45" t="inlineStr">
        <is>
          <t>Margen objetivo (edita % aquí) ▶</t>
        </is>
      </c>
      <c r="P692" s="5" t="n"/>
      <c r="R692" s="43" t="inlineStr">
        <is>
          <t>Peor mes: 2024-07 · 17 €</t>
        </is>
      </c>
      <c r="AA692" t="n">
        <v>19.344</v>
      </c>
      <c r="AB692">
        <f>B690*D690+B691*D691+AA692*D692+AA693*D693+AA694*D694</f>
        <v/>
      </c>
    </row>
    <row r="693">
      <c r="A693" s="30" t="inlineStr">
        <is>
          <t>P2 Energía</t>
        </is>
      </c>
      <c r="B693" s="31">
        <f>IF($P$692&lt;&gt;"",ROUND(AA693*(($AB$692/(1-$P$692))-47.6560)/14.8091,2),IF('Resumen'!$D$3="OPTIMIZAR",ROUND(MAX(AA693,MIN(AA693*(($AB$692/(1-'Resumen'!$F$3))-47.6560)/14.8091,AA693*(74.9318)/14.8091)),3),AA693))</f>
        <v/>
      </c>
      <c r="C693" s="44" t="n"/>
      <c r="D693" s="33" t="n">
        <v>0.110306</v>
      </c>
      <c r="E693" s="34" t="n">
        <v>0.13788</v>
      </c>
      <c r="F693" s="35">
        <f>ROUND(B693*E693,2)</f>
        <v/>
      </c>
      <c r="H693" s="36" t="n">
        <v>81.879</v>
      </c>
      <c r="I693" s="37" t="n">
        <v>0.13788</v>
      </c>
      <c r="J693" s="38">
        <f>ROUND(H693*I693,2)</f>
        <v/>
      </c>
      <c r="L693" s="39" t="n">
        <v>21.157</v>
      </c>
      <c r="M693" s="40" t="n">
        <v>0.13788</v>
      </c>
      <c r="N693" s="41">
        <f>ROUND(L693*M693,2)</f>
        <v/>
      </c>
      <c r="O693" s="46" t="inlineStr">
        <is>
          <t>Cant. P1/P2/P3 energía suben</t>
        </is>
      </c>
      <c r="R693" s="43" t="inlineStr">
        <is>
          <t>Importe mensual cobrado (€) · 24 meses ▾</t>
        </is>
      </c>
      <c r="AA693" t="n">
        <v>14.991</v>
      </c>
    </row>
    <row r="694">
      <c r="A694" s="30" t="inlineStr">
        <is>
          <t>P3 Energía</t>
        </is>
      </c>
      <c r="B694" s="31">
        <f>IF($P$692&lt;&gt;"",ROUND(AA694*(($AB$692/(1-$P$692))-47.6560)/14.8091,2),IF('Resumen'!$D$3="OPTIMIZAR",ROUND(MAX(AA694,MIN(AA694*(($AB$692/(1-'Resumen'!$F$3))-47.6560)/14.8091,AA694*(74.9318)/14.8091)),3),AA694))</f>
        <v/>
      </c>
      <c r="C694" s="44" t="n"/>
      <c r="D694" s="33" t="n">
        <v>0.110306</v>
      </c>
      <c r="E694" s="34" t="n">
        <v>0.13788</v>
      </c>
      <c r="F694" s="35">
        <f>ROUND(B694*E694,2)</f>
        <v/>
      </c>
      <c r="H694" s="36" t="n">
        <v>173.798</v>
      </c>
      <c r="I694" s="37" t="n">
        <v>0.13788</v>
      </c>
      <c r="J694" s="38">
        <f>ROUND(H694*I694,2)</f>
        <v/>
      </c>
      <c r="L694" s="39" t="n">
        <v>77.584</v>
      </c>
      <c r="M694" s="40" t="n">
        <v>0.13788</v>
      </c>
      <c r="N694" s="41">
        <f>ROUND(L694*M694,2)</f>
        <v/>
      </c>
      <c r="O694" s="46" t="inlineStr">
        <is>
          <t>en proporción para ese margen</t>
        </is>
      </c>
      <c r="AA694" t="n">
        <v>73.071</v>
      </c>
    </row>
    <row r="695">
      <c r="A695" s="30" t="inlineStr">
        <is>
          <t>Alquiler contador</t>
        </is>
      </c>
      <c r="B695" s="31" t="n">
        <v>1</v>
      </c>
      <c r="C695" s="32">
        <f>$N$687-$L$687+1</f>
        <v/>
      </c>
      <c r="D695" s="33" t="n">
        <v>0.7989000000000001</v>
      </c>
      <c r="E695" s="34" t="n">
        <v>3</v>
      </c>
      <c r="F695" s="35">
        <f>ROUND(B695*E695,2)</f>
        <v/>
      </c>
      <c r="H695" s="36" t="n">
        <v>1</v>
      </c>
      <c r="I695" s="37" t="n">
        <v>3</v>
      </c>
      <c r="J695" s="38">
        <f>ROUND(H695*I695,2)</f>
        <v/>
      </c>
      <c r="L695" s="39" t="n">
        <v>1</v>
      </c>
      <c r="M695" s="40" t="n">
        <v>3</v>
      </c>
      <c r="N695" s="41">
        <f>ROUND(L695*M695,2)</f>
        <v/>
      </c>
    </row>
    <row r="696">
      <c r="A696" s="30" t="inlineStr">
        <is>
          <t>Bono social</t>
        </is>
      </c>
      <c r="B696" s="31" t="n">
        <v>30</v>
      </c>
      <c r="C696" s="32">
        <f>$N$687-$L$687+1</f>
        <v/>
      </c>
      <c r="D696" s="33" t="n">
        <v>0.5736</v>
      </c>
      <c r="E696" s="34" t="n">
        <v>0.01274</v>
      </c>
      <c r="F696" s="35">
        <f>ROUND(B696*E696,2)</f>
        <v/>
      </c>
      <c r="H696" s="36" t="n">
        <v>30</v>
      </c>
      <c r="I696" s="37" t="n">
        <v>0.01274</v>
      </c>
      <c r="J696" s="38">
        <f>ROUND(H696*I696,2)</f>
        <v/>
      </c>
      <c r="L696" s="39" t="n">
        <v>30</v>
      </c>
      <c r="M696" s="40" t="n">
        <v>0.00629</v>
      </c>
      <c r="N696" s="41">
        <f>ROUND(L696*M696,2)</f>
        <v/>
      </c>
    </row>
    <row r="697">
      <c r="A697" s="30" t="inlineStr">
        <is>
          <t>Tasa eléctrica</t>
        </is>
      </c>
      <c r="B697" s="31" t="n">
        <v>2.45</v>
      </c>
      <c r="C697" s="44" t="n"/>
      <c r="D697" s="33" t="n">
        <v>0.24729</v>
      </c>
      <c r="E697" s="34" t="n">
        <v>1</v>
      </c>
      <c r="F697" s="35">
        <f>ROUND(B697*E697,2)</f>
        <v/>
      </c>
      <c r="H697" s="36" t="n">
        <v>4.04</v>
      </c>
      <c r="I697" s="37" t="n">
        <v>1</v>
      </c>
      <c r="J697" s="38">
        <f>ROUND(H697*I697,2)</f>
        <v/>
      </c>
      <c r="L697" s="39" t="n">
        <v>2.45</v>
      </c>
      <c r="M697" s="40" t="n">
        <v>1</v>
      </c>
      <c r="N697" s="41">
        <f>ROUND(L697*M697,2)</f>
        <v/>
      </c>
    </row>
    <row r="698">
      <c r="A698" s="47" t="inlineStr">
        <is>
          <t>TOTAL c/IVA</t>
        </is>
      </c>
      <c r="F698" s="48">
        <f>ROUND((SUM(F690:F697)-F697)*1.1+F697,2)</f>
        <v/>
      </c>
      <c r="J698" s="49">
        <f>ROUND(SUM(J690:J697),2)</f>
        <v/>
      </c>
      <c r="N698" s="50">
        <f>ROUND(SUM(N690:N697),2)</f>
        <v/>
      </c>
    </row>
    <row r="699">
      <c r="A699" s="19" t="inlineStr">
        <is>
          <t>MARGEN sin registrar</t>
        </is>
      </c>
      <c r="B699" s="51">
        <f>IF((F693+F690+F692+F694+F691)=0,"",((F693+F690+F692+F694+F691)-$AB$692)/(F693+F690+F692+F694+F691))</f>
        <v/>
      </c>
      <c r="D699" s="52">
        <f>IF(B699="","SIN PC",IF(B699&gt;=0.3,"APROBAR",IF(B699&gt;=0.2,"REVISAR","RECHAZAR")))</f>
        <v/>
      </c>
      <c r="E699" s="53" t="n"/>
      <c r="F699" s="54" t="n"/>
      <c r="AD699">
        <f>SUM(F692:F694)-14.8091</f>
        <v/>
      </c>
    </row>
    <row r="700">
      <c r="A700" s="55" t="inlineStr">
        <is>
          <t>☀ EXCEDENTES SOLARES (kWh vertidos reales)</t>
        </is>
      </c>
      <c r="B700" s="56" t="n"/>
      <c r="C700" s="56" t="n"/>
      <c r="D700" s="56" t="n"/>
      <c r="E700" s="56" t="n"/>
      <c r="F700" s="56" t="n"/>
    </row>
    <row r="701">
      <c r="A701" s="57" t="inlineStr">
        <is>
          <t>Concepto</t>
        </is>
      </c>
      <c r="B701" s="57" t="inlineStr">
        <is>
          <t>kWh</t>
        </is>
      </c>
      <c r="D701" s="57" t="inlineStr">
        <is>
          <t>€/kWh compra</t>
        </is>
      </c>
      <c r="E701" s="57" t="inlineStr">
        <is>
          <t>€/kWh venta</t>
        </is>
      </c>
      <c r="F701" s="57" t="inlineStr">
        <is>
          <t>Importe</t>
        </is>
      </c>
    </row>
    <row r="702">
      <c r="A702" s="58" t="inlineStr">
        <is>
          <t>Compra excedentes (vertido red)</t>
        </is>
      </c>
      <c r="B702" s="59" t="n">
        <v>554</v>
      </c>
      <c r="C702" s="60" t="n"/>
      <c r="D702" s="33" t="n">
        <v>0.06</v>
      </c>
      <c r="E702" s="60" t="n"/>
      <c r="F702" s="61">
        <f>ROUND(B702*D702,2)</f>
        <v/>
      </c>
    </row>
    <row r="703">
      <c r="A703" s="58" t="inlineStr">
        <is>
          <t>Venta cliente (saldo batería, 1043)</t>
        </is>
      </c>
      <c r="B703" s="60" t="n"/>
      <c r="C703" s="60" t="n"/>
      <c r="D703" s="60" t="n"/>
      <c r="E703" s="62" t="n">
        <v>0.06</v>
      </c>
      <c r="F703" s="61" t="n">
        <v>14.82</v>
      </c>
    </row>
    <row r="704">
      <c r="A704" s="63" t="inlineStr">
        <is>
          <t>NETO Transactiva (compra − venta)</t>
        </is>
      </c>
      <c r="B704" s="60" t="n"/>
      <c r="C704" s="60" t="n"/>
      <c r="D704" s="60" t="n"/>
      <c r="E704" s="60" t="n"/>
      <c r="F704" s="64">
        <f>F702-F703</f>
        <v/>
      </c>
    </row>
    <row r="706">
      <c r="A706" s="15" t="inlineStr">
        <is>
          <t>Factura 8612 · C01150 · ARIE PETER PETRI</t>
        </is>
      </c>
      <c r="H706" s="15" t="inlineStr">
        <is>
          <t>ES0021000000825192EH · Naturgy</t>
        </is>
      </c>
      <c r="L706" s="16" t="n">
        <v>46113</v>
      </c>
      <c r="M706" s="17" t="inlineStr">
        <is>
          <t>a</t>
        </is>
      </c>
      <c r="N706" s="16" t="n">
        <v>46142</v>
      </c>
      <c r="R706" s="18" t="inlineStr">
        <is>
          <t>HISTÓRICO DEL CUPS · HOJA TTVA LUZ</t>
        </is>
      </c>
    </row>
    <row r="707">
      <c r="A707" s="19" t="inlineStr">
        <is>
          <t>Concepto</t>
        </is>
      </c>
      <c r="B707" s="20" t="inlineStr">
        <is>
          <t>PENDIENTE (sin registrar)</t>
        </is>
      </c>
      <c r="C707" s="21" t="n"/>
      <c r="D707" s="21" t="n"/>
      <c r="E707" s="21" t="n"/>
      <c r="F707" s="21" t="n"/>
      <c r="H707" s="22" t="inlineStr">
        <is>
          <t>MES ANTERIOR · Fact.6433</t>
        </is>
      </c>
      <c r="I707" s="23" t="n"/>
      <c r="J707" s="23" t="n"/>
      <c r="L707" s="24" t="inlineStr">
        <is>
          <t>AÑO ANTERIOR · Fact.4636</t>
        </is>
      </c>
      <c r="M707" s="25" t="n"/>
      <c r="N707" s="25" t="n"/>
      <c r="R707" s="26" t="inlineStr">
        <is>
          <t>Cobrado total: 2.947 €</t>
        </is>
      </c>
    </row>
    <row r="708">
      <c r="B708" s="7" t="inlineStr">
        <is>
          <t>Cant</t>
        </is>
      </c>
      <c r="C708" s="7" t="inlineStr">
        <is>
          <t>Días</t>
        </is>
      </c>
      <c r="D708" s="7" t="inlineStr">
        <is>
          <t>PC real</t>
        </is>
      </c>
      <c r="E708" s="7" t="inlineStr">
        <is>
          <t>PV</t>
        </is>
      </c>
      <c r="F708" s="7" t="inlineStr">
        <is>
          <t>Importe</t>
        </is>
      </c>
      <c r="H708" s="27" t="inlineStr">
        <is>
          <t>Cant</t>
        </is>
      </c>
      <c r="I708" s="27" t="inlineStr">
        <is>
          <t>PV</t>
        </is>
      </c>
      <c r="J708" s="27" t="inlineStr">
        <is>
          <t>Importe</t>
        </is>
      </c>
      <c r="L708" s="28" t="inlineStr">
        <is>
          <t>Cant</t>
        </is>
      </c>
      <c r="M708" s="28" t="inlineStr">
        <is>
          <t>PV</t>
        </is>
      </c>
      <c r="N708" s="28" t="inlineStr">
        <is>
          <t>Importe</t>
        </is>
      </c>
      <c r="R708" s="29" t="inlineStr">
        <is>
          <t>Pagado total: 1.849 €</t>
        </is>
      </c>
    </row>
    <row r="709">
      <c r="A709" s="30" t="inlineStr">
        <is>
          <t>P1 Potencia</t>
        </is>
      </c>
      <c r="B709" s="31" t="n">
        <v>9.199999999999999</v>
      </c>
      <c r="C709" s="32">
        <f>$N$706-$L$706+1</f>
        <v/>
      </c>
      <c r="D709" s="33" t="n">
        <v>3.4086</v>
      </c>
      <c r="E709" s="34" t="n">
        <v>3.85</v>
      </c>
      <c r="F709" s="35">
        <f>ROUND(B709*E709,2)</f>
        <v/>
      </c>
      <c r="H709" s="36" t="n">
        <v>9.199999999999999</v>
      </c>
      <c r="I709" s="37" t="n">
        <v>3.85</v>
      </c>
      <c r="J709" s="38">
        <f>ROUND(H709*I709,2)</f>
        <v/>
      </c>
      <c r="L709" s="39" t="n">
        <v>9.199999999999999</v>
      </c>
      <c r="M709" s="40" t="n">
        <v>3.85</v>
      </c>
      <c r="N709" s="41">
        <f>ROUND(L709*M709,2)</f>
        <v/>
      </c>
      <c r="R709" s="42" t="inlineStr">
        <is>
          <t>DIF: 1.098 €   ·   Margen hist.: 37.2%</t>
        </is>
      </c>
    </row>
    <row r="710">
      <c r="A710" s="30" t="inlineStr">
        <is>
          <t>P2 Potencia</t>
        </is>
      </c>
      <c r="B710" s="31" t="n">
        <v>9.199999999999999</v>
      </c>
      <c r="C710" s="32">
        <f>$N$706-$L$706+1</f>
        <v/>
      </c>
      <c r="D710" s="33" t="n">
        <v>1.09728</v>
      </c>
      <c r="E710" s="34" t="n">
        <v>1.33</v>
      </c>
      <c r="F710" s="35">
        <f>ROUND(B710*E710,2)</f>
        <v/>
      </c>
      <c r="H710" s="36" t="n">
        <v>9.199999999999999</v>
      </c>
      <c r="I710" s="37" t="n">
        <v>1.33</v>
      </c>
      <c r="J710" s="38">
        <f>ROUND(H710*I710,2)</f>
        <v/>
      </c>
      <c r="L710" s="39" t="n">
        <v>9.199999999999999</v>
      </c>
      <c r="M710" s="40" t="n">
        <v>1.33</v>
      </c>
      <c r="N710" s="41">
        <f>ROUND(L710*M710,2)</f>
        <v/>
      </c>
      <c r="R710" s="43" t="inlineStr">
        <is>
          <t>Mejor mes: 2024-12 · 417 € · margen 24%</t>
        </is>
      </c>
    </row>
    <row r="711">
      <c r="A711" s="30" t="inlineStr">
        <is>
          <t>P1 Energía</t>
        </is>
      </c>
      <c r="B711" s="31">
        <f>IF($P$711&lt;&gt;"",ROUND(AA711*(($AB$711/(1-$P$711))-47.6560)/97.1007,2),IF('Resumen'!$D$3="OPTIMIZAR",ROUND(MAX(AA711,MIN(AA711*(($AB$711/(1-'Resumen'!$F$3))-47.6560)/97.1007,AA711*(359.1218)/97.1007)),3),AA711))</f>
        <v/>
      </c>
      <c r="C711" s="44" t="n"/>
      <c r="D711" s="33" t="n">
        <v>0.110306</v>
      </c>
      <c r="E711" s="34" t="n">
        <v>0.13788</v>
      </c>
      <c r="F711" s="35">
        <f>ROUND(B711*E711,2)</f>
        <v/>
      </c>
      <c r="H711" s="36" t="n">
        <v>389.07</v>
      </c>
      <c r="I711" s="37" t="n">
        <v>0.13788</v>
      </c>
      <c r="J711" s="38">
        <f>ROUND(H711*I711,2)</f>
        <v/>
      </c>
      <c r="L711" s="39" t="n">
        <v>128.752</v>
      </c>
      <c r="M711" s="40" t="n">
        <v>0.13788</v>
      </c>
      <c r="N711" s="41">
        <f>ROUND(L711*M711,2)</f>
        <v/>
      </c>
      <c r="O711" s="45" t="inlineStr">
        <is>
          <t>Margen objetivo (edita % aquí) ▶</t>
        </is>
      </c>
      <c r="P711" s="5" t="n"/>
      <c r="R711" s="43" t="inlineStr">
        <is>
          <t>Peor mes: 2023-07 · 51 € · margen 41%</t>
        </is>
      </c>
      <c r="AA711" t="n">
        <v>96.074</v>
      </c>
      <c r="AB711">
        <f>B709*D709+B710*D710+AA711*D711+AA712*D712+AA713*D713</f>
        <v/>
      </c>
    </row>
    <row r="712">
      <c r="A712" s="30" t="inlineStr">
        <is>
          <t>P2 Energía</t>
        </is>
      </c>
      <c r="B712" s="31">
        <f>IF($P$711&lt;&gt;"",ROUND(AA712*(($AB$711/(1-$P$711))-47.6560)/97.1007,2),IF('Resumen'!$D$3="OPTIMIZAR",ROUND(MAX(AA712,MIN(AA712*(($AB$711/(1-'Resumen'!$F$3))-47.6560)/97.1007,AA712*(359.1218)/97.1007)),3),AA712))</f>
        <v/>
      </c>
      <c r="C712" s="44" t="n"/>
      <c r="D712" s="33" t="n">
        <v>0.110306</v>
      </c>
      <c r="E712" s="34" t="n">
        <v>0.13788</v>
      </c>
      <c r="F712" s="35">
        <f>ROUND(B712*E712,2)</f>
        <v/>
      </c>
      <c r="H712" s="36" t="n">
        <v>395.085</v>
      </c>
      <c r="I712" s="37" t="n">
        <v>0.13788</v>
      </c>
      <c r="J712" s="38">
        <f>ROUND(H712*I712,2)</f>
        <v/>
      </c>
      <c r="L712" s="39" t="n">
        <v>176.765</v>
      </c>
      <c r="M712" s="40" t="n">
        <v>0.13788</v>
      </c>
      <c r="N712" s="41">
        <f>ROUND(L712*M712,2)</f>
        <v/>
      </c>
      <c r="O712" s="46" t="inlineStr">
        <is>
          <t>Cant. P1/P2/P3 energía suben</t>
        </is>
      </c>
      <c r="R712" s="43" t="inlineStr">
        <is>
          <t>Importe mensual cobrado (€) · 24 meses ▾</t>
        </is>
      </c>
      <c r="AA712" t="n">
        <v>128.519</v>
      </c>
    </row>
    <row r="713">
      <c r="A713" s="30" t="inlineStr">
        <is>
          <t>P3 Energía</t>
        </is>
      </c>
      <c r="B713" s="31">
        <f>IF($P$711&lt;&gt;"",ROUND(AA713*(($AB$711/(1-$P$711))-47.6560)/97.1007,2),IF('Resumen'!$D$3="OPTIMIZAR",ROUND(MAX(AA713,MIN(AA713*(($AB$711/(1-'Resumen'!$F$3))-47.6560)/97.1007,AA713*(359.1218)/97.1007)),3),AA713))</f>
        <v/>
      </c>
      <c r="C713" s="44" t="n"/>
      <c r="D713" s="33" t="n">
        <v>0.110306</v>
      </c>
      <c r="E713" s="34" t="n">
        <v>0.13788</v>
      </c>
      <c r="F713" s="35">
        <f>ROUND(B713*E713,2)</f>
        <v/>
      </c>
      <c r="H713" s="36" t="n">
        <v>1229.2</v>
      </c>
      <c r="I713" s="37" t="n">
        <v>0.13788</v>
      </c>
      <c r="J713" s="38">
        <f>ROUND(H713*I713,2)</f>
        <v/>
      </c>
      <c r="L713" s="39" t="n">
        <v>615.253</v>
      </c>
      <c r="M713" s="40" t="n">
        <v>0.13788</v>
      </c>
      <c r="N713" s="41">
        <f>ROUND(L713*M713,2)</f>
        <v/>
      </c>
      <c r="O713" s="46" t="inlineStr">
        <is>
          <t>en proporción para ese margen</t>
        </is>
      </c>
      <c r="AA713" t="n">
        <v>479.648</v>
      </c>
    </row>
    <row r="714">
      <c r="A714" s="30" t="inlineStr">
        <is>
          <t>Alquiler contador</t>
        </is>
      </c>
      <c r="B714" s="31" t="n">
        <v>1</v>
      </c>
      <c r="C714" s="32">
        <f>$N$706-$L$706+1</f>
        <v/>
      </c>
      <c r="D714" s="33" t="n">
        <v>0.7989000000000001</v>
      </c>
      <c r="E714" s="34" t="n">
        <v>3</v>
      </c>
      <c r="F714" s="35">
        <f>ROUND(B714*E714,2)</f>
        <v/>
      </c>
      <c r="H714" s="36" t="n">
        <v>1</v>
      </c>
      <c r="I714" s="37" t="n">
        <v>3</v>
      </c>
      <c r="J714" s="38">
        <f>ROUND(H714*I714,2)</f>
        <v/>
      </c>
      <c r="L714" s="39" t="n">
        <v>1</v>
      </c>
      <c r="M714" s="40" t="n">
        <v>3</v>
      </c>
      <c r="N714" s="41">
        <f>ROUND(L714*M714,2)</f>
        <v/>
      </c>
    </row>
    <row r="715">
      <c r="A715" s="30" t="inlineStr">
        <is>
          <t>Bono social</t>
        </is>
      </c>
      <c r="B715" s="31" t="n">
        <v>30</v>
      </c>
      <c r="C715" s="32">
        <f>$N$706-$L$706+1</f>
        <v/>
      </c>
      <c r="D715" s="33" t="n">
        <v>0.5736</v>
      </c>
      <c r="E715" s="34" t="n">
        <v>0.01274</v>
      </c>
      <c r="F715" s="35">
        <f>ROUND(B715*E715,2)</f>
        <v/>
      </c>
      <c r="H715" s="36" t="n">
        <v>30</v>
      </c>
      <c r="I715" s="37" t="n">
        <v>0.01274</v>
      </c>
      <c r="J715" s="38">
        <f>ROUND(H715*I715,2)</f>
        <v/>
      </c>
      <c r="L715" s="39" t="n">
        <v>30</v>
      </c>
      <c r="M715" s="40" t="n">
        <v>0.00629</v>
      </c>
      <c r="N715" s="41">
        <f>ROUND(L715*M715,2)</f>
        <v/>
      </c>
    </row>
    <row r="716">
      <c r="A716" s="30" t="inlineStr">
        <is>
          <t>Tasa eléctrica</t>
        </is>
      </c>
      <c r="B716" s="31" t="n">
        <v>6.36</v>
      </c>
      <c r="C716" s="44" t="n"/>
      <c r="D716" s="33" t="n">
        <v>0.24729</v>
      </c>
      <c r="E716" s="34" t="n">
        <v>1</v>
      </c>
      <c r="F716" s="35">
        <f>ROUND(B716*E716,2)</f>
        <v/>
      </c>
      <c r="H716" s="36" t="n">
        <v>16.33</v>
      </c>
      <c r="I716" s="37" t="n">
        <v>1</v>
      </c>
      <c r="J716" s="38">
        <f>ROUND(H716*I716,2)</f>
        <v/>
      </c>
      <c r="L716" s="39" t="n">
        <v>8.1</v>
      </c>
      <c r="M716" s="40" t="n">
        <v>1</v>
      </c>
      <c r="N716" s="41">
        <f>ROUND(L716*M716,2)</f>
        <v/>
      </c>
    </row>
    <row r="717">
      <c r="A717" s="47" t="inlineStr">
        <is>
          <t>TOTAL c/IVA</t>
        </is>
      </c>
      <c r="F717" s="48">
        <f>ROUND((SUM(F709:F716)-F716)*1.1+F716,2)</f>
        <v/>
      </c>
      <c r="J717" s="49">
        <f>ROUND(SUM(J709:J716),2)</f>
        <v/>
      </c>
      <c r="N717" s="50">
        <f>ROUND(SUM(N709:N716),2)</f>
        <v/>
      </c>
    </row>
    <row r="718">
      <c r="A718" s="19" t="inlineStr">
        <is>
          <t>MARGEN sin registrar</t>
        </is>
      </c>
      <c r="B718" s="51">
        <f>IF((F712+F709+F711+F713+F710)=0,"",((F712+F709+F711+F713+F710)-$AB$711)/(F712+F709+F711+F713+F710))</f>
        <v/>
      </c>
      <c r="D718" s="52">
        <f>IF(B718="","SIN PC",IF(B718&gt;=0.3,"APROBAR",IF(B718&gt;=0.2,"REVISAR","RECHAZAR")))</f>
        <v/>
      </c>
      <c r="E718" s="53" t="n"/>
      <c r="F718" s="54" t="n"/>
      <c r="AD718">
        <f>SUM(F711:F713)-97.1007</f>
        <v/>
      </c>
    </row>
    <row r="719">
      <c r="A719" s="55" t="inlineStr">
        <is>
          <t>☀ EXCEDENTES SOLARES (kWh vertidos reales)</t>
        </is>
      </c>
      <c r="B719" s="56" t="n"/>
      <c r="C719" s="56" t="n"/>
      <c r="D719" s="56" t="n"/>
      <c r="E719" s="56" t="n"/>
      <c r="F719" s="56" t="n"/>
    </row>
    <row r="720">
      <c r="A720" s="57" t="inlineStr">
        <is>
          <t>Concepto</t>
        </is>
      </c>
      <c r="B720" s="57" t="inlineStr">
        <is>
          <t>kWh</t>
        </is>
      </c>
      <c r="D720" s="57" t="inlineStr">
        <is>
          <t>€/kWh compra</t>
        </is>
      </c>
      <c r="E720" s="57" t="inlineStr">
        <is>
          <t>€/kWh venta</t>
        </is>
      </c>
      <c r="F720" s="57" t="inlineStr">
        <is>
          <t>Importe</t>
        </is>
      </c>
    </row>
    <row r="721">
      <c r="A721" s="58" t="inlineStr">
        <is>
          <t>Compra excedentes (vertido red)</t>
        </is>
      </c>
      <c r="B721" s="59" t="n">
        <v>340</v>
      </c>
      <c r="C721" s="60" t="n"/>
      <c r="D721" s="33" t="n">
        <v>0.06</v>
      </c>
      <c r="E721" s="60" t="n"/>
      <c r="F721" s="61">
        <f>ROUND(B721*D721,2)</f>
        <v/>
      </c>
    </row>
    <row r="722">
      <c r="A722" s="58" t="inlineStr">
        <is>
          <t>Venta cliente (saldo batería, 1043)</t>
        </is>
      </c>
      <c r="B722" s="60" t="n"/>
      <c r="C722" s="60" t="n"/>
      <c r="D722" s="60" t="n"/>
      <c r="E722" s="62" t="n">
        <v>0.06</v>
      </c>
      <c r="F722" s="61" t="n">
        <v>20.53</v>
      </c>
    </row>
    <row r="723">
      <c r="A723" s="63" t="inlineStr">
        <is>
          <t>NETO Transactiva (compra − venta)</t>
        </is>
      </c>
      <c r="B723" s="60" t="n"/>
      <c r="C723" s="60" t="n"/>
      <c r="D723" s="60" t="n"/>
      <c r="E723" s="60" t="n"/>
      <c r="F723" s="64">
        <f>F721-F722</f>
        <v/>
      </c>
    </row>
    <row r="725">
      <c r="A725" s="15" t="inlineStr">
        <is>
          <t>Factura 8613 · C01160 · DEBORAH LEFFELAAR</t>
        </is>
      </c>
      <c r="H725" s="15" t="inlineStr">
        <is>
          <t>ES0021000011060321RD · Naturgy</t>
        </is>
      </c>
      <c r="L725" s="16" t="n">
        <v>46113</v>
      </c>
      <c r="M725" s="17" t="inlineStr">
        <is>
          <t>a</t>
        </is>
      </c>
      <c r="N725" s="16" t="n">
        <v>46142</v>
      </c>
      <c r="R725" s="18" t="inlineStr">
        <is>
          <t>HISTÓRICO DEL CUPS · HOJA TTVA LUZ</t>
        </is>
      </c>
    </row>
    <row r="726">
      <c r="A726" s="19" t="inlineStr">
        <is>
          <t>Concepto</t>
        </is>
      </c>
      <c r="B726" s="20" t="inlineStr">
        <is>
          <t>PENDIENTE (sin registrar)</t>
        </is>
      </c>
      <c r="C726" s="21" t="n"/>
      <c r="D726" s="21" t="n"/>
      <c r="E726" s="21" t="n"/>
      <c r="F726" s="21" t="n"/>
      <c r="H726" s="22" t="inlineStr">
        <is>
          <t>MES ANTERIOR · Fact.6432</t>
        </is>
      </c>
      <c r="I726" s="23" t="n"/>
      <c r="J726" s="23" t="n"/>
      <c r="L726" s="24" t="inlineStr">
        <is>
          <t>AÑO ANTERIOR · Fact.4635</t>
        </is>
      </c>
      <c r="M726" s="25" t="n"/>
      <c r="N726" s="25" t="n"/>
      <c r="R726" s="26" t="inlineStr">
        <is>
          <t>Cobrado total: 3.343 €</t>
        </is>
      </c>
    </row>
    <row r="727">
      <c r="B727" s="7" t="inlineStr">
        <is>
          <t>Cant</t>
        </is>
      </c>
      <c r="C727" s="7" t="inlineStr">
        <is>
          <t>Días</t>
        </is>
      </c>
      <c r="D727" s="7" t="inlineStr">
        <is>
          <t>PC real</t>
        </is>
      </c>
      <c r="E727" s="7" t="inlineStr">
        <is>
          <t>PV</t>
        </is>
      </c>
      <c r="F727" s="7" t="inlineStr">
        <is>
          <t>Importe</t>
        </is>
      </c>
      <c r="H727" s="27" t="inlineStr">
        <is>
          <t>Cant</t>
        </is>
      </c>
      <c r="I727" s="27" t="inlineStr">
        <is>
          <t>PV</t>
        </is>
      </c>
      <c r="J727" s="27" t="inlineStr">
        <is>
          <t>Importe</t>
        </is>
      </c>
      <c r="L727" s="28" t="inlineStr">
        <is>
          <t>Cant</t>
        </is>
      </c>
      <c r="M727" s="28" t="inlineStr">
        <is>
          <t>PV</t>
        </is>
      </c>
      <c r="N727" s="28" t="inlineStr">
        <is>
          <t>Importe</t>
        </is>
      </c>
      <c r="R727" s="29" t="inlineStr">
        <is>
          <t>Pagado total: 1.926 €</t>
        </is>
      </c>
    </row>
    <row r="728">
      <c r="A728" s="30" t="inlineStr">
        <is>
          <t>P1 Potencia</t>
        </is>
      </c>
      <c r="B728" s="31" t="n">
        <v>13.856</v>
      </c>
      <c r="C728" s="32">
        <f>$N$725-$L$725+1</f>
        <v/>
      </c>
      <c r="D728" s="33" t="n">
        <v>3.4086</v>
      </c>
      <c r="E728" s="34" t="n">
        <v>3.85</v>
      </c>
      <c r="F728" s="35">
        <f>ROUND(B728*E728,2)</f>
        <v/>
      </c>
      <c r="H728" s="36" t="n">
        <v>13.856</v>
      </c>
      <c r="I728" s="37" t="n">
        <v>3.85</v>
      </c>
      <c r="J728" s="38">
        <f>ROUND(H728*I728,2)</f>
        <v/>
      </c>
      <c r="L728" s="39" t="n">
        <v>13.856</v>
      </c>
      <c r="M728" s="40" t="n">
        <v>3.85</v>
      </c>
      <c r="N728" s="41">
        <f>ROUND(L728*M728,2)</f>
        <v/>
      </c>
      <c r="R728" s="42" t="inlineStr">
        <is>
          <t>DIF: 1.417 €   ·   Margen hist.: 42.4%</t>
        </is>
      </c>
    </row>
    <row r="729">
      <c r="A729" s="30" t="inlineStr">
        <is>
          <t>P2 Potencia</t>
        </is>
      </c>
      <c r="B729" s="31" t="n">
        <v>13.856</v>
      </c>
      <c r="C729" s="32">
        <f>$N$725-$L$725+1</f>
        <v/>
      </c>
      <c r="D729" s="33" t="n">
        <v>1.09728</v>
      </c>
      <c r="E729" s="34" t="n">
        <v>1.33</v>
      </c>
      <c r="F729" s="35">
        <f>ROUND(B729*E729,2)</f>
        <v/>
      </c>
      <c r="H729" s="36" t="n">
        <v>13.856</v>
      </c>
      <c r="I729" s="37" t="n">
        <v>1.33</v>
      </c>
      <c r="J729" s="38">
        <f>ROUND(H729*I729,2)</f>
        <v/>
      </c>
      <c r="L729" s="39" t="n">
        <v>13.856</v>
      </c>
      <c r="M729" s="40" t="n">
        <v>1.33</v>
      </c>
      <c r="N729" s="41">
        <f>ROUND(L729*M729,2)</f>
        <v/>
      </c>
      <c r="R729" s="43" t="inlineStr">
        <is>
          <t>Mejor mes: 2023-07 · 242 € · margen 30%</t>
        </is>
      </c>
    </row>
    <row r="730">
      <c r="A730" s="30" t="inlineStr">
        <is>
          <t>P1 Energía</t>
        </is>
      </c>
      <c r="B730" s="31">
        <f>IF($P$730&lt;&gt;"",ROUND(AA730*(($AB$730/(1-$P$730))-71.7741)/17.1363,2),IF('Resumen'!$D$3="OPTIMIZAR",ROUND(MAX(AA730,MIN(AA730*(($AB$730/(1-'Resumen'!$F$3))-71.7741)/17.1363,AA730*(163.6137)/17.1363)),3),AA730))</f>
        <v/>
      </c>
      <c r="C730" s="44" t="n"/>
      <c r="D730" s="33" t="n">
        <v>0.110306</v>
      </c>
      <c r="E730" s="34" t="n">
        <v>0.13788</v>
      </c>
      <c r="F730" s="35">
        <f>ROUND(B730*E730,2)</f>
        <v/>
      </c>
      <c r="H730" s="36" t="n">
        <v>38.267</v>
      </c>
      <c r="I730" s="37" t="n">
        <v>0.13788</v>
      </c>
      <c r="J730" s="38">
        <f>ROUND(H730*I730,2)</f>
        <v/>
      </c>
      <c r="L730" s="39" t="n">
        <v>27.426</v>
      </c>
      <c r="M730" s="40" t="n">
        <v>0.13788</v>
      </c>
      <c r="N730" s="41">
        <f>ROUND(L730*M730,2)</f>
        <v/>
      </c>
      <c r="O730" s="45" t="inlineStr">
        <is>
          <t>Margen objetivo (edita % aquí) ▶</t>
        </is>
      </c>
      <c r="P730" s="5" t="n"/>
      <c r="R730" s="43" t="inlineStr">
        <is>
          <t>Peor mes: 2024-05 · 75 € · margen 15%</t>
        </is>
      </c>
      <c r="AA730" t="n">
        <v>31.388</v>
      </c>
      <c r="AB730">
        <f>B728*D728+B729*D729+AA730*D730+AA731*D731+AA732*D732</f>
        <v/>
      </c>
    </row>
    <row r="731">
      <c r="A731" s="30" t="inlineStr">
        <is>
          <t>P2 Energía</t>
        </is>
      </c>
      <c r="B731" s="31">
        <f>IF($P$730&lt;&gt;"",ROUND(AA731*(($AB$730/(1-$P$730))-71.7741)/17.1363,2),IF('Resumen'!$D$3="OPTIMIZAR",ROUND(MAX(AA731,MIN(AA731*(($AB$730/(1-'Resumen'!$F$3))-71.7741)/17.1363,AA731*(163.6137)/17.1363)),3),AA731))</f>
        <v/>
      </c>
      <c r="C731" s="44" t="n"/>
      <c r="D731" s="33" t="n">
        <v>0.110306</v>
      </c>
      <c r="E731" s="34" t="n">
        <v>0.13788</v>
      </c>
      <c r="F731" s="35">
        <f>ROUND(B731*E731,2)</f>
        <v/>
      </c>
      <c r="H731" s="36" t="n">
        <v>37.738</v>
      </c>
      <c r="I731" s="37" t="n">
        <v>0.13788</v>
      </c>
      <c r="J731" s="38">
        <f>ROUND(H731*I731,2)</f>
        <v/>
      </c>
      <c r="L731" s="39" t="n">
        <v>24.688</v>
      </c>
      <c r="M731" s="40" t="n">
        <v>0.13788</v>
      </c>
      <c r="N731" s="41">
        <f>ROUND(L731*M731,2)</f>
        <v/>
      </c>
      <c r="O731" s="46" t="inlineStr">
        <is>
          <t>Cant. P1/P2/P3 energía suben</t>
        </is>
      </c>
      <c r="R731" s="43" t="inlineStr">
        <is>
          <t>Importe mensual cobrado (€) · 24 meses ▾</t>
        </is>
      </c>
      <c r="AA731" t="n">
        <v>16.998</v>
      </c>
    </row>
    <row r="732">
      <c r="A732" s="30" t="inlineStr">
        <is>
          <t>P3 Energía</t>
        </is>
      </c>
      <c r="B732" s="31">
        <f>IF($P$730&lt;&gt;"",ROUND(AA732*(($AB$730/(1-$P$730))-71.7741)/17.1363,2),IF('Resumen'!$D$3="OPTIMIZAR",ROUND(MAX(AA732,MIN(AA732*(($AB$730/(1-'Resumen'!$F$3))-71.7741)/17.1363,AA732*(163.6137)/17.1363)),3),AA732))</f>
        <v/>
      </c>
      <c r="C732" s="44" t="n"/>
      <c r="D732" s="33" t="n">
        <v>0.110306</v>
      </c>
      <c r="E732" s="34" t="n">
        <v>0.13788</v>
      </c>
      <c r="F732" s="35">
        <f>ROUND(B732*E732,2)</f>
        <v/>
      </c>
      <c r="H732" s="36" t="n">
        <v>105.098</v>
      </c>
      <c r="I732" s="37" t="n">
        <v>0.13788</v>
      </c>
      <c r="J732" s="38">
        <f>ROUND(H732*I732,2)</f>
        <v/>
      </c>
      <c r="L732" s="39" t="n">
        <v>88.855</v>
      </c>
      <c r="M732" s="40" t="n">
        <v>0.13788</v>
      </c>
      <c r="N732" s="41">
        <f>ROUND(L732*M732,2)</f>
        <v/>
      </c>
      <c r="O732" s="46" t="inlineStr">
        <is>
          <t>en proporción para ese margen</t>
        </is>
      </c>
      <c r="AA732" t="n">
        <v>75.898</v>
      </c>
    </row>
    <row r="733">
      <c r="A733" s="30" t="inlineStr">
        <is>
          <t>Alquiler contador</t>
        </is>
      </c>
      <c r="B733" s="31" t="n">
        <v>1</v>
      </c>
      <c r="C733" s="32">
        <f>$N$725-$L$725+1</f>
        <v/>
      </c>
      <c r="D733" s="33" t="n">
        <v>1.3414</v>
      </c>
      <c r="E733" s="34" t="n">
        <v>3</v>
      </c>
      <c r="F733" s="35">
        <f>ROUND(B733*E733,2)</f>
        <v/>
      </c>
      <c r="H733" s="36" t="n">
        <v>1</v>
      </c>
      <c r="I733" s="37" t="n">
        <v>3</v>
      </c>
      <c r="J733" s="38">
        <f>ROUND(H733*I733,2)</f>
        <v/>
      </c>
      <c r="L733" s="39" t="n">
        <v>1</v>
      </c>
      <c r="M733" s="40" t="n">
        <v>3</v>
      </c>
      <c r="N733" s="41">
        <f>ROUND(L733*M733,2)</f>
        <v/>
      </c>
    </row>
    <row r="734">
      <c r="A734" s="30" t="inlineStr">
        <is>
          <t>Bono social</t>
        </is>
      </c>
      <c r="B734" s="31" t="n">
        <v>30</v>
      </c>
      <c r="C734" s="32">
        <f>$N$725-$L$725+1</f>
        <v/>
      </c>
      <c r="D734" s="33" t="n">
        <v>0.5736</v>
      </c>
      <c r="E734" s="34" t="n">
        <v>0.01274</v>
      </c>
      <c r="F734" s="35">
        <f>ROUND(B734*E734,2)</f>
        <v/>
      </c>
      <c r="H734" s="36" t="n">
        <v>30</v>
      </c>
      <c r="I734" s="37" t="n">
        <v>0.01274</v>
      </c>
      <c r="J734" s="38">
        <f>ROUND(H734*I734,2)</f>
        <v/>
      </c>
      <c r="L734" s="39" t="n">
        <v>30</v>
      </c>
      <c r="M734" s="40" t="n">
        <v>0.00629</v>
      </c>
      <c r="N734" s="41">
        <f>ROUND(L734*M734,2)</f>
        <v/>
      </c>
    </row>
    <row r="735">
      <c r="A735" s="30" t="inlineStr">
        <is>
          <t>Tasa eléctrica</t>
        </is>
      </c>
      <c r="B735" s="31" t="n">
        <v>3.68</v>
      </c>
      <c r="C735" s="44" t="n"/>
      <c r="D735" s="33" t="n">
        <v>0.24729</v>
      </c>
      <c r="E735" s="34" t="n">
        <v>1</v>
      </c>
      <c r="F735" s="35">
        <f>ROUND(B735*E735,2)</f>
        <v/>
      </c>
      <c r="H735" s="36" t="n">
        <v>3.68</v>
      </c>
      <c r="I735" s="37" t="n">
        <v>1</v>
      </c>
      <c r="J735" s="38">
        <f>ROUND(H735*I735,2)</f>
        <v/>
      </c>
      <c r="L735" s="39" t="n">
        <v>3.68</v>
      </c>
      <c r="M735" s="40" t="n">
        <v>1</v>
      </c>
      <c r="N735" s="41">
        <f>ROUND(L735*M735,2)</f>
        <v/>
      </c>
    </row>
    <row r="736">
      <c r="A736" s="47" t="inlineStr">
        <is>
          <t>TOTAL c/IVA</t>
        </is>
      </c>
      <c r="F736" s="48">
        <f>ROUND((SUM(F728:F735)-F735)*1.1+F735,2)</f>
        <v/>
      </c>
      <c r="J736" s="49">
        <f>ROUND(SUM(J728:J735),2)</f>
        <v/>
      </c>
      <c r="N736" s="50">
        <f>ROUND(SUM(N728:N735),2)</f>
        <v/>
      </c>
    </row>
    <row r="737">
      <c r="A737" s="19" t="inlineStr">
        <is>
          <t>MARGEN sin registrar</t>
        </is>
      </c>
      <c r="B737" s="51">
        <f>IF((F731+F728+F730+F732+F729)=0,"",((F731+F728+F730+F732+F729)-$AB$730)/(F731+F728+F730+F732+F729))</f>
        <v/>
      </c>
      <c r="D737" s="52">
        <f>IF(B737="","SIN PC",IF(B737&gt;=0.3,"APROBAR",IF(B737&gt;=0.2,"REVISAR","RECHAZAR")))</f>
        <v/>
      </c>
      <c r="E737" s="53" t="n"/>
      <c r="F737" s="54" t="n"/>
      <c r="AD737">
        <f>SUM(F730:F732)-17.1363</f>
        <v/>
      </c>
    </row>
    <row r="738">
      <c r="A738" s="55" t="inlineStr">
        <is>
          <t>☀ EXCEDENTES SOLARES (kWh vertidos reales)</t>
        </is>
      </c>
      <c r="B738" s="56" t="n"/>
      <c r="C738" s="56" t="n"/>
      <c r="D738" s="56" t="n"/>
      <c r="E738" s="56" t="n"/>
      <c r="F738" s="56" t="n"/>
    </row>
    <row r="739">
      <c r="A739" s="57" t="inlineStr">
        <is>
          <t>Concepto</t>
        </is>
      </c>
      <c r="B739" s="57" t="inlineStr">
        <is>
          <t>kWh</t>
        </is>
      </c>
      <c r="D739" s="57" t="inlineStr">
        <is>
          <t>€/kWh compra</t>
        </is>
      </c>
      <c r="E739" s="57" t="inlineStr">
        <is>
          <t>€/kWh venta</t>
        </is>
      </c>
      <c r="F739" s="57" t="inlineStr">
        <is>
          <t>Importe</t>
        </is>
      </c>
    </row>
    <row r="740">
      <c r="A740" s="58" t="inlineStr">
        <is>
          <t>Compra excedentes (vertido red)</t>
        </is>
      </c>
      <c r="B740" s="59" t="n">
        <v>680</v>
      </c>
      <c r="C740" s="60" t="n"/>
      <c r="D740" s="33" t="n">
        <v>0.06</v>
      </c>
      <c r="E740" s="60" t="n"/>
      <c r="F740" s="61">
        <f>ROUND(B740*D740,2)</f>
        <v/>
      </c>
    </row>
    <row r="741">
      <c r="A741" s="58" t="inlineStr">
        <is>
          <t>Venta cliente (saldo batería, 1043)</t>
        </is>
      </c>
      <c r="B741" s="60" t="n"/>
      <c r="C741" s="60" t="n"/>
      <c r="D741" s="60" t="n"/>
      <c r="E741" s="62" t="n">
        <v>0.06</v>
      </c>
      <c r="F741" s="61" t="n">
        <v>17.13</v>
      </c>
    </row>
    <row r="742">
      <c r="A742" s="63" t="inlineStr">
        <is>
          <t>NETO Transactiva (compra − venta)</t>
        </is>
      </c>
      <c r="B742" s="60" t="n"/>
      <c r="C742" s="60" t="n"/>
      <c r="D742" s="60" t="n"/>
      <c r="E742" s="60" t="n"/>
      <c r="F742" s="64">
        <f>F740-F741</f>
        <v/>
      </c>
    </row>
    <row r="744">
      <c r="A744" s="15" t="inlineStr">
        <is>
          <t>Factura 8614 · C01190 · BART VAN OERLE JOZEF J.</t>
        </is>
      </c>
      <c r="H744" s="15" t="inlineStr">
        <is>
          <t>ES0021000000829575YP · Naturgy</t>
        </is>
      </c>
      <c r="L744" s="16" t="n">
        <v>46113</v>
      </c>
      <c r="M744" s="17" t="inlineStr">
        <is>
          <t>a</t>
        </is>
      </c>
      <c r="N744" s="16" t="n">
        <v>46142</v>
      </c>
      <c r="R744" s="18" t="inlineStr">
        <is>
          <t>HISTÓRICO DEL CUPS · HOJA TTVA LUZ</t>
        </is>
      </c>
    </row>
    <row r="745">
      <c r="A745" s="19" t="inlineStr">
        <is>
          <t>Concepto</t>
        </is>
      </c>
      <c r="B745" s="20" t="inlineStr">
        <is>
          <t>PENDIENTE (sin registrar)</t>
        </is>
      </c>
      <c r="C745" s="21" t="n"/>
      <c r="D745" s="21" t="n"/>
      <c r="E745" s="21" t="n"/>
      <c r="F745" s="21" t="n"/>
      <c r="H745" s="22" t="inlineStr">
        <is>
          <t>MES ANTERIOR · Fact.6431</t>
        </is>
      </c>
      <c r="I745" s="23" t="n"/>
      <c r="J745" s="23" t="n"/>
      <c r="L745" s="24" t="inlineStr">
        <is>
          <t>AÑO ANTERIOR · Fact.5003</t>
        </is>
      </c>
      <c r="M745" s="25" t="n"/>
      <c r="N745" s="25" t="n"/>
      <c r="R745" s="26" t="inlineStr">
        <is>
          <t>Cobrado total: 755 €</t>
        </is>
      </c>
    </row>
    <row r="746">
      <c r="B746" s="7" t="inlineStr">
        <is>
          <t>Cant</t>
        </is>
      </c>
      <c r="C746" s="7" t="inlineStr">
        <is>
          <t>Días</t>
        </is>
      </c>
      <c r="D746" s="7" t="inlineStr">
        <is>
          <t>PC real</t>
        </is>
      </c>
      <c r="E746" s="7" t="inlineStr">
        <is>
          <t>PV</t>
        </is>
      </c>
      <c r="F746" s="7" t="inlineStr">
        <is>
          <t>Importe</t>
        </is>
      </c>
      <c r="H746" s="27" t="inlineStr">
        <is>
          <t>Cant</t>
        </is>
      </c>
      <c r="I746" s="27" t="inlineStr">
        <is>
          <t>PV</t>
        </is>
      </c>
      <c r="J746" s="27" t="inlineStr">
        <is>
          <t>Importe</t>
        </is>
      </c>
      <c r="L746" s="28" t="inlineStr">
        <is>
          <t>Cant</t>
        </is>
      </c>
      <c r="M746" s="28" t="inlineStr">
        <is>
          <t>PV</t>
        </is>
      </c>
      <c r="N746" s="28" t="inlineStr">
        <is>
          <t>Importe</t>
        </is>
      </c>
      <c r="R746" s="29" t="inlineStr">
        <is>
          <t>Pagado total: 511 €</t>
        </is>
      </c>
    </row>
    <row r="747">
      <c r="A747" s="30" t="inlineStr">
        <is>
          <t>P1 Potencia</t>
        </is>
      </c>
      <c r="B747" s="31" t="n">
        <v>5.5</v>
      </c>
      <c r="C747" s="32">
        <f>$N$744-$L$744+1</f>
        <v/>
      </c>
      <c r="D747" s="33" t="n">
        <v>3.4086</v>
      </c>
      <c r="E747" s="34" t="n">
        <v>4.17</v>
      </c>
      <c r="F747" s="35">
        <f>ROUND(B747*E747,2)</f>
        <v/>
      </c>
      <c r="H747" s="36" t="n">
        <v>5.5</v>
      </c>
      <c r="I747" s="37" t="n">
        <v>4.17</v>
      </c>
      <c r="J747" s="38">
        <f>ROUND(H747*I747,2)</f>
        <v/>
      </c>
      <c r="L747" s="39" t="n">
        <v>5.5</v>
      </c>
      <c r="M747" s="40" t="n">
        <v>4.17</v>
      </c>
      <c r="N747" s="41">
        <f>ROUND(L747*M747,2)</f>
        <v/>
      </c>
      <c r="R747" s="42" t="inlineStr">
        <is>
          <t>DIF: 244 €   ·   Margen hist.: 32.3%</t>
        </is>
      </c>
    </row>
    <row r="748">
      <c r="A748" s="30" t="inlineStr">
        <is>
          <t>P2 Potencia</t>
        </is>
      </c>
      <c r="B748" s="31" t="n">
        <v>5.5</v>
      </c>
      <c r="C748" s="32">
        <f>$N$744-$L$744+1</f>
        <v/>
      </c>
      <c r="D748" s="33" t="n">
        <v>1.09728</v>
      </c>
      <c r="E748" s="34" t="n">
        <v>1.37</v>
      </c>
      <c r="F748" s="35">
        <f>ROUND(B748*E748,2)</f>
        <v/>
      </c>
      <c r="H748" s="36" t="n">
        <v>5.5</v>
      </c>
      <c r="I748" s="37" t="n">
        <v>1.37</v>
      </c>
      <c r="J748" s="38">
        <f>ROUND(H748*I748,2)</f>
        <v/>
      </c>
      <c r="L748" s="39" t="n">
        <v>5.5</v>
      </c>
      <c r="M748" s="40" t="n">
        <v>1.37</v>
      </c>
      <c r="N748" s="41">
        <f>ROUND(L748*M748,2)</f>
        <v/>
      </c>
      <c r="R748" s="43" t="inlineStr">
        <is>
          <t>Mejor mes: 2024-08 · 68 € · margen 70%</t>
        </is>
      </c>
    </row>
    <row r="749">
      <c r="A749" s="30" t="inlineStr">
        <is>
          <t>P1 Energía</t>
        </is>
      </c>
      <c r="B749" s="31">
        <f>IF($P$749&lt;&gt;"",ROUND(AA749*(($AB$749/(1-$P$749))-30.4700)/7.5206,2),IF('Resumen'!$D$3="OPTIMIZAR",ROUND(MAX(AA749,MIN(AA749*(($AB$749/(1-'Resumen'!$F$3))-30.4700)/7.5206,AA749*(32.0478)/7.5206)),3),AA749))</f>
        <v/>
      </c>
      <c r="C749" s="44" t="n"/>
      <c r="D749" s="33" t="n">
        <v>0.110306</v>
      </c>
      <c r="E749" s="34" t="n">
        <v>0.14937</v>
      </c>
      <c r="F749" s="35">
        <f>ROUND(B749*E749,2)</f>
        <v/>
      </c>
      <c r="H749" s="36" t="n">
        <v>43.963</v>
      </c>
      <c r="I749" s="37" t="n">
        <v>0.14937</v>
      </c>
      <c r="J749" s="38">
        <f>ROUND(H749*I749,2)</f>
        <v/>
      </c>
      <c r="L749" s="39" t="n">
        <v>151.434</v>
      </c>
      <c r="M749" s="40" t="n">
        <v>0.14937</v>
      </c>
      <c r="N749" s="41">
        <f>ROUND(L749*M749,2)</f>
        <v/>
      </c>
      <c r="O749" s="45" t="inlineStr">
        <is>
          <t>Margen objetivo (edita % aquí) ▶</t>
        </is>
      </c>
      <c r="P749" s="5" t="n"/>
      <c r="R749" s="43" t="inlineStr">
        <is>
          <t>Peor mes: 2024-05 · 19 € · margen 50%</t>
        </is>
      </c>
      <c r="AA749" t="n">
        <v>12.756</v>
      </c>
      <c r="AB749">
        <f>B747*D747+B748*D748+AA749*D749+AA750*D750+AA751*D751</f>
        <v/>
      </c>
    </row>
    <row r="750">
      <c r="A750" s="30" t="inlineStr">
        <is>
          <t>P2 Energía</t>
        </is>
      </c>
      <c r="B750" s="31">
        <f>IF($P$749&lt;&gt;"",ROUND(AA750*(($AB$749/(1-$P$749))-30.4700)/7.5206,2),IF('Resumen'!$D$3="OPTIMIZAR",ROUND(MAX(AA750,MIN(AA750*(($AB$749/(1-'Resumen'!$F$3))-30.4700)/7.5206,AA750*(32.0478)/7.5206)),3),AA750))</f>
        <v/>
      </c>
      <c r="C750" s="44" t="n"/>
      <c r="D750" s="33" t="n">
        <v>0.110306</v>
      </c>
      <c r="E750" s="34" t="n">
        <v>0.14937</v>
      </c>
      <c r="F750" s="35">
        <f>ROUND(B750*E750,2)</f>
        <v/>
      </c>
      <c r="H750" s="36" t="n">
        <v>17.986</v>
      </c>
      <c r="I750" s="37" t="n">
        <v>0.14937</v>
      </c>
      <c r="J750" s="38">
        <f>ROUND(H750*I750,2)</f>
        <v/>
      </c>
      <c r="L750" s="39" t="n">
        <v>248.713</v>
      </c>
      <c r="M750" s="40" t="n">
        <v>0.14937</v>
      </c>
      <c r="N750" s="41">
        <f>ROUND(L750*M750,2)</f>
        <v/>
      </c>
      <c r="O750" s="46" t="inlineStr">
        <is>
          <t>Cant. P1/P2/P3 energía suben</t>
        </is>
      </c>
      <c r="R750" s="43" t="inlineStr">
        <is>
          <t>Importe mensual cobrado (€) · 24 meses ▾</t>
        </is>
      </c>
      <c r="AA750" t="n">
        <v>7.701</v>
      </c>
    </row>
    <row r="751">
      <c r="A751" s="30" t="inlineStr">
        <is>
          <t>P3 Energía</t>
        </is>
      </c>
      <c r="B751" s="31">
        <f>IF($P$749&lt;&gt;"",ROUND(AA751*(($AB$749/(1-$P$749))-30.4700)/7.5206,2),IF('Resumen'!$D$3="OPTIMIZAR",ROUND(MAX(AA751,MIN(AA751*(($AB$749/(1-'Resumen'!$F$3))-30.4700)/7.5206,AA751*(32.0478)/7.5206)),3),AA751))</f>
        <v/>
      </c>
      <c r="C751" s="44" t="n"/>
      <c r="D751" s="33" t="n">
        <v>0.110306</v>
      </c>
      <c r="E751" s="34" t="n">
        <v>0.14937</v>
      </c>
      <c r="F751" s="35">
        <f>ROUND(B751*E751,2)</f>
        <v/>
      </c>
      <c r="H751" s="36" t="n">
        <v>37.506</v>
      </c>
      <c r="I751" s="37" t="n">
        <v>0.14937</v>
      </c>
      <c r="J751" s="38">
        <f>ROUND(H751*I751,2)</f>
        <v/>
      </c>
      <c r="L751" s="39" t="n">
        <v>338.836</v>
      </c>
      <c r="M751" s="40" t="n">
        <v>0.14937</v>
      </c>
      <c r="N751" s="41">
        <f>ROUND(L751*M751,2)</f>
        <v/>
      </c>
      <c r="O751" s="46" t="inlineStr">
        <is>
          <t>en proporción para ese margen</t>
        </is>
      </c>
      <c r="AA751" t="n">
        <v>29.892</v>
      </c>
    </row>
    <row r="752">
      <c r="A752" s="30" t="inlineStr">
        <is>
          <t>Alquiler contador</t>
        </is>
      </c>
      <c r="B752" s="31" t="n">
        <v>1</v>
      </c>
      <c r="C752" s="32">
        <f>$N$744-$L$744+1</f>
        <v/>
      </c>
      <c r="D752" s="33" t="n">
        <v>0.7989000000000001</v>
      </c>
      <c r="E752" s="34" t="n">
        <v>4</v>
      </c>
      <c r="F752" s="35">
        <f>ROUND(B752*E752,2)</f>
        <v/>
      </c>
      <c r="H752" s="36" t="n">
        <v>1</v>
      </c>
      <c r="I752" s="37" t="n">
        <v>4</v>
      </c>
      <c r="J752" s="38">
        <f>ROUND(H752*I752,2)</f>
        <v/>
      </c>
      <c r="L752" s="39" t="n">
        <v>1</v>
      </c>
      <c r="M752" s="40" t="n">
        <v>4</v>
      </c>
      <c r="N752" s="41">
        <f>ROUND(L752*M752,2)</f>
        <v/>
      </c>
    </row>
    <row r="753">
      <c r="A753" s="30" t="inlineStr">
        <is>
          <t>Bono social</t>
        </is>
      </c>
      <c r="B753" s="31" t="n">
        <v>30</v>
      </c>
      <c r="C753" s="32">
        <f>$N$744-$L$744+1</f>
        <v/>
      </c>
      <c r="D753" s="33" t="n">
        <v>0.5736</v>
      </c>
      <c r="E753" s="34" t="n">
        <v>0.01274</v>
      </c>
      <c r="F753" s="35">
        <f>ROUND(B753*E753,2)</f>
        <v/>
      </c>
      <c r="H753" s="36" t="n">
        <v>30</v>
      </c>
      <c r="I753" s="37" t="n">
        <v>0.01274</v>
      </c>
      <c r="J753" s="38">
        <f>ROUND(H753*I753,2)</f>
        <v/>
      </c>
      <c r="L753" s="39" t="n">
        <v>30</v>
      </c>
      <c r="M753" s="40" t="n">
        <v>0.01274</v>
      </c>
      <c r="N753" s="41">
        <f>ROUND(L753*M753,2)</f>
        <v/>
      </c>
    </row>
    <row r="754">
      <c r="A754" s="30" t="inlineStr">
        <is>
          <t>Tasa eléctrica</t>
        </is>
      </c>
      <c r="B754" s="31" t="n">
        <v>1.57</v>
      </c>
      <c r="C754" s="44" t="n"/>
      <c r="D754" s="33" t="n">
        <v>0.24729</v>
      </c>
      <c r="E754" s="34" t="n">
        <v>1</v>
      </c>
      <c r="F754" s="35">
        <f>ROUND(B754*E754,2)</f>
        <v/>
      </c>
      <c r="H754" s="36" t="n">
        <v>1.63</v>
      </c>
      <c r="I754" s="37" t="n">
        <v>1</v>
      </c>
      <c r="J754" s="38">
        <f>ROUND(H754*I754,2)</f>
        <v/>
      </c>
      <c r="L754" s="39" t="n">
        <v>1.82</v>
      </c>
      <c r="M754" s="40" t="n">
        <v>1</v>
      </c>
      <c r="N754" s="41">
        <f>ROUND(L754*M754,2)</f>
        <v/>
      </c>
    </row>
    <row r="755">
      <c r="A755" s="47" t="inlineStr">
        <is>
          <t>TOTAL c/IVA</t>
        </is>
      </c>
      <c r="F755" s="48">
        <f>ROUND((SUM(F747:F754)-F754)*1.1+F754,2)</f>
        <v/>
      </c>
      <c r="J755" s="49">
        <f>ROUND(SUM(J747:J754),2)</f>
        <v/>
      </c>
      <c r="N755" s="50">
        <f>ROUND(SUM(N747:N754),2)</f>
        <v/>
      </c>
    </row>
    <row r="756">
      <c r="A756" s="19" t="inlineStr">
        <is>
          <t>MARGEN sin registrar</t>
        </is>
      </c>
      <c r="B756" s="51">
        <f>IF((F750+F747+F749+F751+F748)=0,"",((F750+F747+F749+F751+F748)-$AB$749)/(F750+F747+F749+F751+F748))</f>
        <v/>
      </c>
      <c r="D756" s="52">
        <f>IF(B756="","SIN PC",IF(B756&gt;=0.3,"APROBAR",IF(B756&gt;=0.2,"REVISAR","RECHAZAR")))</f>
        <v/>
      </c>
      <c r="E756" s="53" t="n"/>
      <c r="F756" s="54" t="n"/>
      <c r="AD756">
        <f>SUM(F749:F751)-7.5206</f>
        <v/>
      </c>
    </row>
    <row r="757">
      <c r="A757" s="55" t="inlineStr">
        <is>
          <t>☀ EXCEDENTES SOLARES (kWh vertidos reales)</t>
        </is>
      </c>
      <c r="B757" s="56" t="n"/>
      <c r="C757" s="56" t="n"/>
      <c r="D757" s="56" t="n"/>
      <c r="E757" s="56" t="n"/>
      <c r="F757" s="56" t="n"/>
    </row>
    <row r="758">
      <c r="A758" s="57" t="inlineStr">
        <is>
          <t>Concepto</t>
        </is>
      </c>
      <c r="B758" s="57" t="inlineStr">
        <is>
          <t>kWh</t>
        </is>
      </c>
      <c r="D758" s="57" t="inlineStr">
        <is>
          <t>€/kWh compra</t>
        </is>
      </c>
      <c r="E758" s="57" t="inlineStr">
        <is>
          <t>€/kWh venta</t>
        </is>
      </c>
      <c r="F758" s="57" t="inlineStr">
        <is>
          <t>Importe</t>
        </is>
      </c>
    </row>
    <row r="759">
      <c r="A759" s="58" t="inlineStr">
        <is>
          <t>Compra excedentes (vertido red)</t>
        </is>
      </c>
      <c r="B759" s="59" t="n">
        <v>396</v>
      </c>
      <c r="C759" s="60" t="n"/>
      <c r="D759" s="33" t="n">
        <v>0.06</v>
      </c>
      <c r="E759" s="60" t="n"/>
      <c r="F759" s="61">
        <f>ROUND(B759*D759,2)</f>
        <v/>
      </c>
    </row>
    <row r="760">
      <c r="A760" s="58" t="inlineStr">
        <is>
          <t>Venta cliente (saldo batería, 1043)</t>
        </is>
      </c>
      <c r="B760" s="60" t="n"/>
      <c r="C760" s="60" t="n"/>
      <c r="D760" s="60" t="n"/>
      <c r="E760" s="62" t="n">
        <v>0.06</v>
      </c>
      <c r="F760" s="61" t="n">
        <v>7.52</v>
      </c>
    </row>
    <row r="761">
      <c r="A761" s="63" t="inlineStr">
        <is>
          <t>NETO Transactiva (compra − venta)</t>
        </is>
      </c>
      <c r="B761" s="60" t="n"/>
      <c r="C761" s="60" t="n"/>
      <c r="D761" s="60" t="n"/>
      <c r="E761" s="60" t="n"/>
      <c r="F761" s="64">
        <f>F759-F760</f>
        <v/>
      </c>
    </row>
    <row r="763">
      <c r="A763" s="15" t="inlineStr">
        <is>
          <t>Factura 8617 · C01250 · DANIELLE B. PAULI</t>
        </is>
      </c>
      <c r="H763" s="15" t="inlineStr">
        <is>
          <t>ES0021000000828326KR · Naturgy</t>
        </is>
      </c>
      <c r="L763" s="16" t="n">
        <v>46113</v>
      </c>
      <c r="M763" s="17" t="inlineStr">
        <is>
          <t>a</t>
        </is>
      </c>
      <c r="N763" s="16" t="n">
        <v>46142</v>
      </c>
      <c r="R763" s="18" t="inlineStr">
        <is>
          <t>HISTÓRICO DEL CUPS · HOJA TTVA LUZ</t>
        </is>
      </c>
    </row>
    <row r="764">
      <c r="A764" s="19" t="inlineStr">
        <is>
          <t>Concepto</t>
        </is>
      </c>
      <c r="B764" s="20" t="inlineStr">
        <is>
          <t>PENDIENTE (sin registrar)</t>
        </is>
      </c>
      <c r="C764" s="21" t="n"/>
      <c r="D764" s="21" t="n"/>
      <c r="E764" s="21" t="n"/>
      <c r="F764" s="21" t="n"/>
      <c r="H764" s="22" t="inlineStr">
        <is>
          <t>MES ANTERIOR · Fact.6428</t>
        </is>
      </c>
      <c r="I764" s="23" t="n"/>
      <c r="J764" s="23" t="n"/>
      <c r="L764" s="24" t="inlineStr">
        <is>
          <t>AÑO ANTERIOR · Fact.4632</t>
        </is>
      </c>
      <c r="M764" s="25" t="n"/>
      <c r="N764" s="25" t="n"/>
      <c r="R764" s="26" t="inlineStr">
        <is>
          <t>Cobrado total: 841 €</t>
        </is>
      </c>
    </row>
    <row r="765">
      <c r="B765" s="7" t="inlineStr">
        <is>
          <t>Cant</t>
        </is>
      </c>
      <c r="C765" s="7" t="inlineStr">
        <is>
          <t>Días</t>
        </is>
      </c>
      <c r="D765" s="7" t="inlineStr">
        <is>
          <t>PC real</t>
        </is>
      </c>
      <c r="E765" s="7" t="inlineStr">
        <is>
          <t>PV</t>
        </is>
      </c>
      <c r="F765" s="7" t="inlineStr">
        <is>
          <t>Importe</t>
        </is>
      </c>
      <c r="H765" s="27" t="inlineStr">
        <is>
          <t>Cant</t>
        </is>
      </c>
      <c r="I765" s="27" t="inlineStr">
        <is>
          <t>PV</t>
        </is>
      </c>
      <c r="J765" s="27" t="inlineStr">
        <is>
          <t>Importe</t>
        </is>
      </c>
      <c r="L765" s="28" t="inlineStr">
        <is>
          <t>Cant</t>
        </is>
      </c>
      <c r="M765" s="28" t="inlineStr">
        <is>
          <t>PV</t>
        </is>
      </c>
      <c r="N765" s="28" t="inlineStr">
        <is>
          <t>Importe</t>
        </is>
      </c>
      <c r="R765" s="29" t="inlineStr">
        <is>
          <t>Pagado total: 551 €</t>
        </is>
      </c>
    </row>
    <row r="766">
      <c r="A766" s="30" t="inlineStr">
        <is>
          <t>P1 Potencia</t>
        </is>
      </c>
      <c r="B766" s="31" t="n">
        <v>5</v>
      </c>
      <c r="C766" s="32">
        <f>$N$763-$L$763+1</f>
        <v/>
      </c>
      <c r="D766" s="33" t="n">
        <v>3.4086</v>
      </c>
      <c r="E766" s="34" t="n">
        <v>3.85</v>
      </c>
      <c r="F766" s="35">
        <f>ROUND(B766*E766,2)</f>
        <v/>
      </c>
      <c r="H766" s="36" t="n">
        <v>5</v>
      </c>
      <c r="I766" s="37" t="n">
        <v>3.85</v>
      </c>
      <c r="J766" s="38">
        <f>ROUND(H766*I766,2)</f>
        <v/>
      </c>
      <c r="L766" s="39" t="n">
        <v>5</v>
      </c>
      <c r="M766" s="40" t="n">
        <v>3.85</v>
      </c>
      <c r="N766" s="41">
        <f>ROUND(L766*M766,2)</f>
        <v/>
      </c>
      <c r="R766" s="42" t="inlineStr">
        <is>
          <t>DIF: 290 €   ·   Margen hist.: 34.4%</t>
        </is>
      </c>
    </row>
    <row r="767">
      <c r="A767" s="30" t="inlineStr">
        <is>
          <t>P2 Potencia</t>
        </is>
      </c>
      <c r="B767" s="31" t="n">
        <v>5</v>
      </c>
      <c r="C767" s="32">
        <f>$N$763-$L$763+1</f>
        <v/>
      </c>
      <c r="D767" s="33" t="n">
        <v>1.09728</v>
      </c>
      <c r="E767" s="34" t="n">
        <v>1.33</v>
      </c>
      <c r="F767" s="35">
        <f>ROUND(B767*E767,2)</f>
        <v/>
      </c>
      <c r="H767" s="36" t="n">
        <v>5</v>
      </c>
      <c r="I767" s="37" t="n">
        <v>1.33</v>
      </c>
      <c r="J767" s="38">
        <f>ROUND(H767*I767,2)</f>
        <v/>
      </c>
      <c r="L767" s="39" t="n">
        <v>5</v>
      </c>
      <c r="M767" s="40" t="n">
        <v>1.33</v>
      </c>
      <c r="N767" s="41">
        <f>ROUND(L767*M767,2)</f>
        <v/>
      </c>
      <c r="R767" s="43" t="inlineStr">
        <is>
          <t>Mejor mes: 2024-03 · 99 € · margen 152%</t>
        </is>
      </c>
    </row>
    <row r="768">
      <c r="A768" s="30" t="inlineStr">
        <is>
          <t>P1 Energía</t>
        </is>
      </c>
      <c r="B768" s="31">
        <f>IF($P$768&lt;&gt;"",ROUND(AA768*(($AB$768/(1-$P$768))-25.9000)/5.4567,2),IF('Resumen'!$D$3="OPTIMIZAR",ROUND(MAX(AA768,MIN(AA768*(($AB$768/(1-'Resumen'!$F$3))-25.9000)/5.4567,AA768*(68.1878)/5.4567)),3),AA768))</f>
        <v/>
      </c>
      <c r="C768" s="44" t="n"/>
      <c r="D768" s="33" t="n">
        <v>0.110306</v>
      </c>
      <c r="E768" s="34" t="n">
        <v>0.13788</v>
      </c>
      <c r="F768" s="35">
        <f>ROUND(B768*E768,2)</f>
        <v/>
      </c>
      <c r="H768" s="36" t="n">
        <v>46.764</v>
      </c>
      <c r="I768" s="37" t="n">
        <v>0.13788</v>
      </c>
      <c r="J768" s="38">
        <f>ROUND(H768*I768,2)</f>
        <v/>
      </c>
      <c r="L768" s="39" t="n">
        <v>65.143</v>
      </c>
      <c r="M768" s="40" t="n">
        <v>0.13788</v>
      </c>
      <c r="N768" s="41">
        <f>ROUND(L768*M768,2)</f>
        <v/>
      </c>
      <c r="O768" s="45" t="inlineStr">
        <is>
          <t>Margen objetivo (edita % aquí) ▶</t>
        </is>
      </c>
      <c r="P768" s="5" t="n"/>
      <c r="R768" s="43" t="inlineStr">
        <is>
          <t>Peor mes: 2023-11 · 1 € · margen 2134%</t>
        </is>
      </c>
      <c r="AA768" t="n">
        <v>6.788</v>
      </c>
      <c r="AB768">
        <f>B766*D766+B767*D767+AA768*D768+AA769*D769+AA770*D770</f>
        <v/>
      </c>
    </row>
    <row r="769">
      <c r="A769" s="30" t="inlineStr">
        <is>
          <t>P2 Energía</t>
        </is>
      </c>
      <c r="B769" s="31">
        <f>IF($P$768&lt;&gt;"",ROUND(AA769*(($AB$768/(1-$P$768))-25.9000)/5.4567,2),IF('Resumen'!$D$3="OPTIMIZAR",ROUND(MAX(AA769,MIN(AA769*(($AB$768/(1-'Resumen'!$F$3))-25.9000)/5.4567,AA769*(68.1878)/5.4567)),3),AA769))</f>
        <v/>
      </c>
      <c r="C769" s="44" t="n"/>
      <c r="D769" s="33" t="n">
        <v>0.110306</v>
      </c>
      <c r="E769" s="34" t="n">
        <v>0.13788</v>
      </c>
      <c r="F769" s="35">
        <f>ROUND(B769*E769,2)</f>
        <v/>
      </c>
      <c r="H769" s="36" t="n">
        <v>33.797</v>
      </c>
      <c r="I769" s="37" t="n">
        <v>0.13788</v>
      </c>
      <c r="J769" s="38">
        <f>ROUND(H769*I769,2)</f>
        <v/>
      </c>
      <c r="L769" s="39" t="n">
        <v>82.196</v>
      </c>
      <c r="M769" s="40" t="n">
        <v>0.13788</v>
      </c>
      <c r="N769" s="41">
        <f>ROUND(L769*M769,2)</f>
        <v/>
      </c>
      <c r="O769" s="46" t="inlineStr">
        <is>
          <t>Cant. P1/P2/P3 energía suben</t>
        </is>
      </c>
      <c r="R769" s="43" t="inlineStr">
        <is>
          <t>Importe mensual cobrado (€) · 24 meses ▾</t>
        </is>
      </c>
      <c r="AA769" t="n">
        <v>4.887</v>
      </c>
    </row>
    <row r="770">
      <c r="A770" s="30" t="inlineStr">
        <is>
          <t>P3 Energía</t>
        </is>
      </c>
      <c r="B770" s="31">
        <f>IF($P$768&lt;&gt;"",ROUND(AA770*(($AB$768/(1-$P$768))-25.9000)/5.4567,2),IF('Resumen'!$D$3="OPTIMIZAR",ROUND(MAX(AA770,MIN(AA770*(($AB$768/(1-'Resumen'!$F$3))-25.9000)/5.4567,AA770*(68.1878)/5.4567)),3),AA770))</f>
        <v/>
      </c>
      <c r="C770" s="44" t="n"/>
      <c r="D770" s="33" t="n">
        <v>0.110306</v>
      </c>
      <c r="E770" s="34" t="n">
        <v>0.13788</v>
      </c>
      <c r="F770" s="35">
        <f>ROUND(B770*E770,2)</f>
        <v/>
      </c>
      <c r="H770" s="36" t="n">
        <v>49.444</v>
      </c>
      <c r="I770" s="37" t="n">
        <v>0.13788</v>
      </c>
      <c r="J770" s="38">
        <f>ROUND(H770*I770,2)</f>
        <v/>
      </c>
      <c r="L770" s="39" t="n">
        <v>189.412</v>
      </c>
      <c r="M770" s="40" t="n">
        <v>0.13788</v>
      </c>
      <c r="N770" s="41">
        <f>ROUND(L770*M770,2)</f>
        <v/>
      </c>
      <c r="O770" s="46" t="inlineStr">
        <is>
          <t>en proporción para ese margen</t>
        </is>
      </c>
      <c r="AA770" t="n">
        <v>27.901</v>
      </c>
    </row>
    <row r="771">
      <c r="A771" s="30" t="inlineStr">
        <is>
          <t>Alquiler contador</t>
        </is>
      </c>
      <c r="B771" s="31" t="n">
        <v>1</v>
      </c>
      <c r="C771" s="32">
        <f>$N$763-$L$763+1</f>
        <v/>
      </c>
      <c r="D771" s="33" t="n">
        <v>0.7989000000000001</v>
      </c>
      <c r="E771" s="34" t="n">
        <v>3</v>
      </c>
      <c r="F771" s="35">
        <f>ROUND(B771*E771,2)</f>
        <v/>
      </c>
      <c r="H771" s="36" t="n">
        <v>1</v>
      </c>
      <c r="I771" s="37" t="n">
        <v>3</v>
      </c>
      <c r="J771" s="38">
        <f>ROUND(H771*I771,2)</f>
        <v/>
      </c>
      <c r="L771" s="39" t="n">
        <v>1</v>
      </c>
      <c r="M771" s="40" t="n">
        <v>3</v>
      </c>
      <c r="N771" s="41">
        <f>ROUND(L771*M771,2)</f>
        <v/>
      </c>
    </row>
    <row r="772">
      <c r="A772" s="30" t="inlineStr">
        <is>
          <t>Bono social</t>
        </is>
      </c>
      <c r="B772" s="31" t="n">
        <v>30</v>
      </c>
      <c r="C772" s="32">
        <f>$N$763-$L$763+1</f>
        <v/>
      </c>
      <c r="D772" s="33" t="n">
        <v>0.5736</v>
      </c>
      <c r="E772" s="34" t="n">
        <v>0.01274</v>
      </c>
      <c r="F772" s="35">
        <f>ROUND(B772*E772,2)</f>
        <v/>
      </c>
      <c r="H772" s="36" t="n">
        <v>30</v>
      </c>
      <c r="I772" s="37" t="n">
        <v>0.01274</v>
      </c>
      <c r="J772" s="38">
        <f>ROUND(H772*I772,2)</f>
        <v/>
      </c>
      <c r="L772" s="39" t="n">
        <v>30</v>
      </c>
      <c r="M772" s="40" t="n">
        <v>0.00629</v>
      </c>
      <c r="N772" s="41">
        <f>ROUND(L772*M772,2)</f>
        <v/>
      </c>
    </row>
    <row r="773">
      <c r="A773" s="30" t="inlineStr">
        <is>
          <t>Tasa eléctrica</t>
        </is>
      </c>
      <c r="B773" s="31" t="n">
        <v>1.33</v>
      </c>
      <c r="C773" s="44" t="n"/>
      <c r="D773" s="33" t="n">
        <v>0.24729</v>
      </c>
      <c r="E773" s="34" t="n">
        <v>1</v>
      </c>
      <c r="F773" s="35">
        <f>ROUND(B773*E773,2)</f>
        <v/>
      </c>
      <c r="H773" s="36" t="n">
        <v>1.33</v>
      </c>
      <c r="I773" s="37" t="n">
        <v>1</v>
      </c>
      <c r="J773" s="38">
        <f>ROUND(H773*I773,2)</f>
        <v/>
      </c>
      <c r="L773" s="39" t="n">
        <v>2.9</v>
      </c>
      <c r="M773" s="40" t="n">
        <v>1</v>
      </c>
      <c r="N773" s="41">
        <f>ROUND(L773*M773,2)</f>
        <v/>
      </c>
    </row>
    <row r="774">
      <c r="A774" s="47" t="inlineStr">
        <is>
          <t>TOTAL c/IVA</t>
        </is>
      </c>
      <c r="F774" s="48">
        <f>ROUND((SUM(F766:F773)-F773)*1.1+F773,2)</f>
        <v/>
      </c>
      <c r="J774" s="49">
        <f>ROUND(SUM(J766:J773),2)</f>
        <v/>
      </c>
      <c r="N774" s="50">
        <f>ROUND(SUM(N766:N773),2)</f>
        <v/>
      </c>
    </row>
    <row r="775">
      <c r="A775" s="19" t="inlineStr">
        <is>
          <t>MARGEN sin registrar</t>
        </is>
      </c>
      <c r="B775" s="51">
        <f>IF((F769+F766+F768+F770+F767)=0,"",((F769+F766+F768+F770+F767)-$AB$768)/(F769+F766+F768+F770+F767))</f>
        <v/>
      </c>
      <c r="D775" s="52">
        <f>IF(B775="","SIN PC",IF(B775&gt;=0.3,"APROBAR",IF(B775&gt;=0.2,"REVISAR","RECHAZAR")))</f>
        <v/>
      </c>
      <c r="E775" s="53" t="n"/>
      <c r="F775" s="54" t="n"/>
      <c r="AD775">
        <f>SUM(F768:F770)-5.4567</f>
        <v/>
      </c>
    </row>
    <row r="776">
      <c r="A776" s="55" t="inlineStr">
        <is>
          <t>☀ EXCEDENTES SOLARES (kWh vertidos reales)</t>
        </is>
      </c>
      <c r="B776" s="56" t="n"/>
      <c r="C776" s="56" t="n"/>
      <c r="D776" s="56" t="n"/>
      <c r="E776" s="56" t="n"/>
      <c r="F776" s="56" t="n"/>
    </row>
    <row r="777">
      <c r="A777" s="57" t="inlineStr">
        <is>
          <t>Concepto</t>
        </is>
      </c>
      <c r="B777" s="57" t="inlineStr">
        <is>
          <t>kWh</t>
        </is>
      </c>
      <c r="D777" s="57" t="inlineStr">
        <is>
          <t>€/kWh compra</t>
        </is>
      </c>
      <c r="E777" s="57" t="inlineStr">
        <is>
          <t>€/kWh venta</t>
        </is>
      </c>
      <c r="F777" s="57" t="inlineStr">
        <is>
          <t>Importe</t>
        </is>
      </c>
    </row>
    <row r="778">
      <c r="A778" s="58" t="inlineStr">
        <is>
          <t>Compra excedentes (vertido red)</t>
        </is>
      </c>
      <c r="B778" s="59" t="n">
        <v>540</v>
      </c>
      <c r="C778" s="60" t="n"/>
      <c r="D778" s="33" t="n">
        <v>0.06</v>
      </c>
      <c r="E778" s="60" t="n"/>
      <c r="F778" s="61">
        <f>ROUND(B778*D778,2)</f>
        <v/>
      </c>
    </row>
    <row r="779">
      <c r="A779" s="58" t="inlineStr">
        <is>
          <t>Venta cliente (saldo batería, 1043)</t>
        </is>
      </c>
      <c r="B779" s="60" t="n"/>
      <c r="C779" s="60" t="n"/>
      <c r="D779" s="60" t="n"/>
      <c r="E779" s="62" t="n">
        <v>0.06</v>
      </c>
      <c r="F779" s="61" t="n">
        <v>5.46</v>
      </c>
    </row>
    <row r="780">
      <c r="A780" s="63" t="inlineStr">
        <is>
          <t>NETO Transactiva (compra − venta)</t>
        </is>
      </c>
      <c r="B780" s="60" t="n"/>
      <c r="C780" s="60" t="n"/>
      <c r="D780" s="60" t="n"/>
      <c r="E780" s="60" t="n"/>
      <c r="F780" s="64">
        <f>F778-F779</f>
        <v/>
      </c>
    </row>
    <row r="782">
      <c r="A782" s="15" t="inlineStr">
        <is>
          <t>Factura 8618 · C01280 · Mª ISABEL HEVIA TENA</t>
        </is>
      </c>
      <c r="H782" s="15" t="inlineStr">
        <is>
          <t>ES0021000000820395KM · Naturgy</t>
        </is>
      </c>
      <c r="L782" s="16" t="n">
        <v>46113</v>
      </c>
      <c r="M782" s="17" t="inlineStr">
        <is>
          <t>a</t>
        </is>
      </c>
      <c r="N782" s="16" t="n">
        <v>46142</v>
      </c>
      <c r="R782" s="18" t="inlineStr">
        <is>
          <t>HISTÓRICO DEL CUPS · HOJA TTVA LUZ</t>
        </is>
      </c>
    </row>
    <row r="783">
      <c r="A783" s="19" t="inlineStr">
        <is>
          <t>Concepto</t>
        </is>
      </c>
      <c r="B783" s="20" t="inlineStr">
        <is>
          <t>PENDIENTE (sin registrar)</t>
        </is>
      </c>
      <c r="C783" s="21" t="n"/>
      <c r="D783" s="21" t="n"/>
      <c r="E783" s="21" t="n"/>
      <c r="F783" s="21" t="n"/>
      <c r="H783" s="22" t="inlineStr">
        <is>
          <t>MES ANTERIOR · Fact.6427</t>
        </is>
      </c>
      <c r="I783" s="23" t="n"/>
      <c r="J783" s="23" t="n"/>
      <c r="L783" s="24" t="inlineStr">
        <is>
          <t>AÑO ANTERIOR · Fact.4631</t>
        </is>
      </c>
      <c r="M783" s="25" t="n"/>
      <c r="N783" s="25" t="n"/>
      <c r="R783" s="26" t="inlineStr">
        <is>
          <t>Cobrado total: 2.373 €</t>
        </is>
      </c>
    </row>
    <row r="784">
      <c r="B784" s="7" t="inlineStr">
        <is>
          <t>Cant</t>
        </is>
      </c>
      <c r="C784" s="7" t="inlineStr">
        <is>
          <t>Días</t>
        </is>
      </c>
      <c r="D784" s="7" t="inlineStr">
        <is>
          <t>PC real</t>
        </is>
      </c>
      <c r="E784" s="7" t="inlineStr">
        <is>
          <t>PV</t>
        </is>
      </c>
      <c r="F784" s="7" t="inlineStr">
        <is>
          <t>Importe</t>
        </is>
      </c>
      <c r="H784" s="27" t="inlineStr">
        <is>
          <t>Cant</t>
        </is>
      </c>
      <c r="I784" s="27" t="inlineStr">
        <is>
          <t>PV</t>
        </is>
      </c>
      <c r="J784" s="27" t="inlineStr">
        <is>
          <t>Importe</t>
        </is>
      </c>
      <c r="L784" s="28" t="inlineStr">
        <is>
          <t>Cant</t>
        </is>
      </c>
      <c r="M784" s="28" t="inlineStr">
        <is>
          <t>PV</t>
        </is>
      </c>
      <c r="N784" s="28" t="inlineStr">
        <is>
          <t>Importe</t>
        </is>
      </c>
      <c r="R784" s="29" t="inlineStr">
        <is>
          <t>Pagado total: 1.643 €</t>
        </is>
      </c>
    </row>
    <row r="785">
      <c r="A785" s="30" t="inlineStr">
        <is>
          <t>P1 Potencia</t>
        </is>
      </c>
      <c r="B785" s="31" t="n">
        <v>9.199999999999999</v>
      </c>
      <c r="C785" s="32">
        <f>$N$782-$L$782+1</f>
        <v/>
      </c>
      <c r="D785" s="33" t="n">
        <v>3.4086</v>
      </c>
      <c r="E785" s="34" t="n">
        <v>4.17</v>
      </c>
      <c r="F785" s="35">
        <f>ROUND(B785*E785,2)</f>
        <v/>
      </c>
      <c r="H785" s="36" t="n">
        <v>9.199999999999999</v>
      </c>
      <c r="I785" s="37" t="n">
        <v>4.17</v>
      </c>
      <c r="J785" s="38">
        <f>ROUND(H785*I785,2)</f>
        <v/>
      </c>
      <c r="L785" s="39" t="n">
        <v>9.199999999999999</v>
      </c>
      <c r="M785" s="40" t="n">
        <v>4.17</v>
      </c>
      <c r="N785" s="41">
        <f>ROUND(L785*M785,2)</f>
        <v/>
      </c>
      <c r="R785" s="42" t="inlineStr">
        <is>
          <t>DIF: 730 €   ·   Margen hist.: 30.8%</t>
        </is>
      </c>
    </row>
    <row r="786">
      <c r="A786" s="30" t="inlineStr">
        <is>
          <t>P2 Potencia</t>
        </is>
      </c>
      <c r="B786" s="31" t="n">
        <v>9.199999999999999</v>
      </c>
      <c r="C786" s="32">
        <f>$N$782-$L$782+1</f>
        <v/>
      </c>
      <c r="D786" s="33" t="n">
        <v>1.09728</v>
      </c>
      <c r="E786" s="34" t="n">
        <v>1.37</v>
      </c>
      <c r="F786" s="35">
        <f>ROUND(B786*E786,2)</f>
        <v/>
      </c>
      <c r="H786" s="36" t="n">
        <v>9.199999999999999</v>
      </c>
      <c r="I786" s="37" t="n">
        <v>1.37</v>
      </c>
      <c r="J786" s="38">
        <f>ROUND(H786*I786,2)</f>
        <v/>
      </c>
      <c r="L786" s="39" t="n">
        <v>9.199999999999999</v>
      </c>
      <c r="M786" s="40" t="n">
        <v>1.37</v>
      </c>
      <c r="N786" s="41">
        <f>ROUND(L786*M786,2)</f>
        <v/>
      </c>
      <c r="R786" s="43" t="inlineStr">
        <is>
          <t>Mejor mes: 2023-08 · 212 € · margen 14%</t>
        </is>
      </c>
    </row>
    <row r="787">
      <c r="A787" s="30" t="inlineStr">
        <is>
          <t>P1 Energía</t>
        </is>
      </c>
      <c r="B787" s="31">
        <f>IF($P$787&lt;&gt;"",ROUND(AA787*(($AB$787/(1-$P$787))-50.9680)/35.0461,2),IF('Resumen'!$D$3="OPTIMIZAR",ROUND(MAX(AA787,MIN(AA787*(($AB$787/(1-'Resumen'!$F$3))-50.9680)/35.0461,AA787*(153.8798)/35.0461)),3),AA787))</f>
        <v/>
      </c>
      <c r="C787" s="44" t="n"/>
      <c r="D787" s="33" t="n">
        <v>0.110306</v>
      </c>
      <c r="E787" s="34" t="n">
        <v>0.14937</v>
      </c>
      <c r="F787" s="35">
        <f>ROUND(B787*E787,2)</f>
        <v/>
      </c>
      <c r="H787" s="36" t="n">
        <v>123.339</v>
      </c>
      <c r="I787" s="37" t="n">
        <v>0.14937</v>
      </c>
      <c r="J787" s="38">
        <f>ROUND(H787*I787,2)</f>
        <v/>
      </c>
      <c r="L787" s="39" t="n">
        <v>83.49299999999999</v>
      </c>
      <c r="M787" s="40" t="n">
        <v>0.14937</v>
      </c>
      <c r="N787" s="41">
        <f>ROUND(L787*M787,2)</f>
        <v/>
      </c>
      <c r="O787" s="45" t="inlineStr">
        <is>
          <t>Margen objetivo (edita % aquí) ▶</t>
        </is>
      </c>
      <c r="P787" s="5" t="n"/>
      <c r="R787" s="43" t="inlineStr">
        <is>
          <t>Peor mes: 2023-04 · 27 € · margen 0%</t>
        </is>
      </c>
      <c r="AA787" t="n">
        <v>78.991</v>
      </c>
      <c r="AB787">
        <f>B785*D785+B786*D786+AA787*D787+AA788*D788+AA789*D789</f>
        <v/>
      </c>
    </row>
    <row r="788">
      <c r="A788" s="30" t="inlineStr">
        <is>
          <t>P2 Energía</t>
        </is>
      </c>
      <c r="B788" s="31">
        <f>IF($P$787&lt;&gt;"",ROUND(AA788*(($AB$787/(1-$P$787))-50.9680)/35.0461,2),IF('Resumen'!$D$3="OPTIMIZAR",ROUND(MAX(AA788,MIN(AA788*(($AB$787/(1-'Resumen'!$F$3))-50.9680)/35.0461,AA788*(153.8798)/35.0461)),3),AA788))</f>
        <v/>
      </c>
      <c r="C788" s="44" t="n"/>
      <c r="D788" s="33" t="n">
        <v>0.110306</v>
      </c>
      <c r="E788" s="34" t="n">
        <v>0.14937</v>
      </c>
      <c r="F788" s="35">
        <f>ROUND(B788*E788,2)</f>
        <v/>
      </c>
      <c r="H788" s="36" t="n">
        <v>78.642</v>
      </c>
      <c r="I788" s="37" t="n">
        <v>0.14937</v>
      </c>
      <c r="J788" s="38">
        <f>ROUND(H788*I788,2)</f>
        <v/>
      </c>
      <c r="L788" s="39" t="n">
        <v>41.141</v>
      </c>
      <c r="M788" s="40" t="n">
        <v>0.14937</v>
      </c>
      <c r="N788" s="41">
        <f>ROUND(L788*M788,2)</f>
        <v/>
      </c>
      <c r="O788" s="46" t="inlineStr">
        <is>
          <t>Cant. P1/P2/P3 energía suben</t>
        </is>
      </c>
      <c r="R788" s="43" t="inlineStr">
        <is>
          <t>Importe mensual cobrado (€) · 24 meses ▾</t>
        </is>
      </c>
      <c r="AA788" t="n">
        <v>41.717</v>
      </c>
    </row>
    <row r="789">
      <c r="A789" s="30" t="inlineStr">
        <is>
          <t>P3 Energía</t>
        </is>
      </c>
      <c r="B789" s="31">
        <f>IF($P$787&lt;&gt;"",ROUND(AA789*(($AB$787/(1-$P$787))-50.9680)/35.0461,2),IF('Resumen'!$D$3="OPTIMIZAR",ROUND(MAX(AA789,MIN(AA789*(($AB$787/(1-'Resumen'!$F$3))-50.9680)/35.0461,AA789*(153.8798)/35.0461)),3),AA789))</f>
        <v/>
      </c>
      <c r="C789" s="44" t="n"/>
      <c r="D789" s="33" t="n">
        <v>0.110306</v>
      </c>
      <c r="E789" s="34" t="n">
        <v>0.14937</v>
      </c>
      <c r="F789" s="35">
        <f>ROUND(B789*E789,2)</f>
        <v/>
      </c>
      <c r="H789" s="36" t="n">
        <v>162.137</v>
      </c>
      <c r="I789" s="37" t="n">
        <v>0.14937</v>
      </c>
      <c r="J789" s="38">
        <f>ROUND(H789*I789,2)</f>
        <v/>
      </c>
      <c r="L789" s="39" t="n">
        <v>128.318</v>
      </c>
      <c r="M789" s="40" t="n">
        <v>0.14937</v>
      </c>
      <c r="N789" s="41">
        <f>ROUND(L789*M789,2)</f>
        <v/>
      </c>
      <c r="O789" s="46" t="inlineStr">
        <is>
          <t>en proporción para ese margen</t>
        </is>
      </c>
      <c r="AA789" t="n">
        <v>113.918</v>
      </c>
    </row>
    <row r="790">
      <c r="A790" s="30" t="inlineStr">
        <is>
          <t>Alquiler contador</t>
        </is>
      </c>
      <c r="B790" s="31" t="n">
        <v>1</v>
      </c>
      <c r="C790" s="32">
        <f>$N$782-$L$782+1</f>
        <v/>
      </c>
      <c r="D790" s="33" t="n">
        <v>0.7989000000000001</v>
      </c>
      <c r="E790" s="34" t="n">
        <v>4</v>
      </c>
      <c r="F790" s="35">
        <f>ROUND(B790*E790,2)</f>
        <v/>
      </c>
      <c r="H790" s="36" t="n">
        <v>1</v>
      </c>
      <c r="I790" s="37" t="n">
        <v>4</v>
      </c>
      <c r="J790" s="38">
        <f>ROUND(H790*I790,2)</f>
        <v/>
      </c>
      <c r="L790" s="39" t="n">
        <v>1</v>
      </c>
      <c r="M790" s="40" t="n">
        <v>4</v>
      </c>
      <c r="N790" s="41">
        <f>ROUND(L790*M790,2)</f>
        <v/>
      </c>
    </row>
    <row r="791">
      <c r="A791" s="30" t="inlineStr">
        <is>
          <t>Bono social</t>
        </is>
      </c>
      <c r="B791" s="31" t="n">
        <v>30</v>
      </c>
      <c r="C791" s="32">
        <f>$N$782-$L$782+1</f>
        <v/>
      </c>
      <c r="D791" s="33" t="n">
        <v>0.5736</v>
      </c>
      <c r="E791" s="34" t="n">
        <v>0.01274</v>
      </c>
      <c r="F791" s="35">
        <f>ROUND(B791*E791,2)</f>
        <v/>
      </c>
      <c r="H791" s="36" t="n">
        <v>30</v>
      </c>
      <c r="I791" s="37" t="n">
        <v>0.01274</v>
      </c>
      <c r="J791" s="38">
        <f>ROUND(H791*I791,2)</f>
        <v/>
      </c>
      <c r="L791" s="39" t="n">
        <v>30</v>
      </c>
      <c r="M791" s="40" t="n">
        <v>0.00629</v>
      </c>
      <c r="N791" s="41">
        <f>ROUND(L791*M791,2)</f>
        <v/>
      </c>
    </row>
    <row r="792">
      <c r="A792" s="30" t="inlineStr">
        <is>
          <t>Tasa eléctrica</t>
        </is>
      </c>
      <c r="B792" s="31" t="n">
        <v>2.61</v>
      </c>
      <c r="C792" s="44" t="n"/>
      <c r="D792" s="33" t="n">
        <v>0.24729</v>
      </c>
      <c r="E792" s="34" t="n">
        <v>1</v>
      </c>
      <c r="F792" s="35">
        <f>ROUND(B792*E792,2)</f>
        <v/>
      </c>
      <c r="H792" s="36" t="n">
        <v>4.22</v>
      </c>
      <c r="I792" s="37" t="n">
        <v>1</v>
      </c>
      <c r="J792" s="38">
        <f>ROUND(H792*I792,2)</f>
        <v/>
      </c>
      <c r="L792" s="39" t="n">
        <v>2.83</v>
      </c>
      <c r="M792" s="40" t="n">
        <v>1</v>
      </c>
      <c r="N792" s="41">
        <f>ROUND(L792*M792,2)</f>
        <v/>
      </c>
    </row>
    <row r="793">
      <c r="A793" s="47" t="inlineStr">
        <is>
          <t>TOTAL c/IVA</t>
        </is>
      </c>
      <c r="F793" s="48">
        <f>ROUND((SUM(F785:F792)-F792)*1.1+F792,2)</f>
        <v/>
      </c>
      <c r="J793" s="49">
        <f>ROUND(SUM(J785:J792),2)</f>
        <v/>
      </c>
      <c r="N793" s="50">
        <f>ROUND(SUM(N785:N792),2)</f>
        <v/>
      </c>
    </row>
    <row r="794">
      <c r="A794" s="19" t="inlineStr">
        <is>
          <t>MARGEN sin registrar</t>
        </is>
      </c>
      <c r="B794" s="51">
        <f>IF((F788+F785+F787+F789+F786)=0,"",((F788+F785+F787+F789+F786)-$AB$787)/(F788+F785+F787+F789+F786))</f>
        <v/>
      </c>
      <c r="D794" s="52">
        <f>IF(B794="","SIN PC",IF(B794&gt;=0.3,"APROBAR",IF(B794&gt;=0.2,"REVISAR","RECHAZAR")))</f>
        <v/>
      </c>
      <c r="E794" s="53" t="n"/>
      <c r="F794" s="54" t="n"/>
      <c r="AD794">
        <f>SUM(F787:F789)-35.0461</f>
        <v/>
      </c>
    </row>
    <row r="795">
      <c r="A795" s="55" t="inlineStr">
        <is>
          <t>☀ EXCEDENTES SOLARES (kWh vertidos reales)</t>
        </is>
      </c>
      <c r="B795" s="56" t="n"/>
      <c r="C795" s="56" t="n"/>
      <c r="D795" s="56" t="n"/>
      <c r="E795" s="56" t="n"/>
      <c r="F795" s="56" t="n"/>
    </row>
    <row r="796">
      <c r="A796" s="57" t="inlineStr">
        <is>
          <t>Concepto</t>
        </is>
      </c>
      <c r="B796" s="57" t="inlineStr">
        <is>
          <t>kWh</t>
        </is>
      </c>
      <c r="D796" s="57" t="inlineStr">
        <is>
          <t>€/kWh compra</t>
        </is>
      </c>
      <c r="E796" s="57" t="inlineStr">
        <is>
          <t>€/kWh venta</t>
        </is>
      </c>
      <c r="F796" s="57" t="inlineStr">
        <is>
          <t>Importe</t>
        </is>
      </c>
    </row>
    <row r="797">
      <c r="A797" s="58" t="inlineStr">
        <is>
          <t>Compra excedentes (vertido red)</t>
        </is>
      </c>
      <c r="B797" s="59" t="n">
        <v>822</v>
      </c>
      <c r="C797" s="60" t="n"/>
      <c r="D797" s="33" t="n">
        <v>0.06</v>
      </c>
      <c r="E797" s="60" t="n"/>
      <c r="F797" s="61">
        <f>ROUND(B797*D797,2)</f>
        <v/>
      </c>
    </row>
    <row r="798">
      <c r="A798" s="58" t="inlineStr">
        <is>
          <t>Venta cliente (saldo batería, 1043)</t>
        </is>
      </c>
      <c r="B798" s="60" t="n"/>
      <c r="C798" s="60" t="n"/>
      <c r="D798" s="60" t="n"/>
      <c r="E798" s="62" t="n">
        <v>0.06</v>
      </c>
      <c r="F798" s="61" t="n">
        <v>35.05</v>
      </c>
    </row>
    <row r="799">
      <c r="A799" s="63" t="inlineStr">
        <is>
          <t>NETO Transactiva (compra − venta)</t>
        </is>
      </c>
      <c r="B799" s="60" t="n"/>
      <c r="C799" s="60" t="n"/>
      <c r="D799" s="60" t="n"/>
      <c r="E799" s="60" t="n"/>
      <c r="F799" s="64">
        <f>F797-F798</f>
        <v/>
      </c>
    </row>
    <row r="801">
      <c r="A801" s="15" t="inlineStr">
        <is>
          <t>Factura 8620 · C01330 · ULF BALZER</t>
        </is>
      </c>
      <c r="H801" s="15" t="inlineStr">
        <is>
          <t>ES0021000000826123VY · Naturgy</t>
        </is>
      </c>
      <c r="L801" s="16" t="n">
        <v>46113</v>
      </c>
      <c r="M801" s="17" t="inlineStr">
        <is>
          <t>a</t>
        </is>
      </c>
      <c r="N801" s="16" t="n">
        <v>46142</v>
      </c>
      <c r="R801" s="18" t="inlineStr">
        <is>
          <t>HISTÓRICO DEL CUPS · HOJA TTVA LUZ</t>
        </is>
      </c>
    </row>
    <row r="802">
      <c r="A802" s="19" t="inlineStr">
        <is>
          <t>Concepto</t>
        </is>
      </c>
      <c r="B802" s="20" t="inlineStr">
        <is>
          <t>PENDIENTE (sin registrar)</t>
        </is>
      </c>
      <c r="C802" s="21" t="n"/>
      <c r="D802" s="21" t="n"/>
      <c r="E802" s="21" t="n"/>
      <c r="F802" s="21" t="n"/>
      <c r="H802" s="22" t="inlineStr">
        <is>
          <t>MES ANTERIOR · Fact.6424</t>
        </is>
      </c>
      <c r="I802" s="23" t="n"/>
      <c r="J802" s="23" t="n"/>
      <c r="L802" s="24" t="inlineStr">
        <is>
          <t>AÑO ANTERIOR · Fact.4628</t>
        </is>
      </c>
      <c r="M802" s="25" t="n"/>
      <c r="N802" s="25" t="n"/>
      <c r="R802" s="26" t="inlineStr">
        <is>
          <t>Cobrado total: 1.176 €</t>
        </is>
      </c>
    </row>
    <row r="803">
      <c r="B803" s="7" t="inlineStr">
        <is>
          <t>Cant</t>
        </is>
      </c>
      <c r="C803" s="7" t="inlineStr">
        <is>
          <t>Días</t>
        </is>
      </c>
      <c r="D803" s="7" t="inlineStr">
        <is>
          <t>PC real</t>
        </is>
      </c>
      <c r="E803" s="7" t="inlineStr">
        <is>
          <t>PV</t>
        </is>
      </c>
      <c r="F803" s="7" t="inlineStr">
        <is>
          <t>Importe</t>
        </is>
      </c>
      <c r="H803" s="27" t="inlineStr">
        <is>
          <t>Cant</t>
        </is>
      </c>
      <c r="I803" s="27" t="inlineStr">
        <is>
          <t>PV</t>
        </is>
      </c>
      <c r="J803" s="27" t="inlineStr">
        <is>
          <t>Importe</t>
        </is>
      </c>
      <c r="L803" s="28" t="inlineStr">
        <is>
          <t>Cant</t>
        </is>
      </c>
      <c r="M803" s="28" t="inlineStr">
        <is>
          <t>PV</t>
        </is>
      </c>
      <c r="N803" s="28" t="inlineStr">
        <is>
          <t>Importe</t>
        </is>
      </c>
      <c r="R803" s="29" t="inlineStr">
        <is>
          <t>Pagado total: 773 €</t>
        </is>
      </c>
    </row>
    <row r="804">
      <c r="A804" s="30" t="inlineStr">
        <is>
          <t>P1 Potencia</t>
        </is>
      </c>
      <c r="B804" s="31" t="n">
        <v>5.5</v>
      </c>
      <c r="C804" s="32">
        <f>$N$801-$L$801+1</f>
        <v/>
      </c>
      <c r="D804" s="33" t="n">
        <v>3.4086</v>
      </c>
      <c r="E804" s="34" t="n">
        <v>4.17</v>
      </c>
      <c r="F804" s="35">
        <f>ROUND(B804*E804,2)</f>
        <v/>
      </c>
      <c r="H804" s="36" t="n">
        <v>5.5</v>
      </c>
      <c r="I804" s="37" t="n">
        <v>4.17</v>
      </c>
      <c r="J804" s="38">
        <f>ROUND(H804*I804,2)</f>
        <v/>
      </c>
      <c r="L804" s="39" t="n">
        <v>5.5</v>
      </c>
      <c r="M804" s="40" t="n">
        <v>4.17</v>
      </c>
      <c r="N804" s="41">
        <f>ROUND(L804*M804,2)</f>
        <v/>
      </c>
      <c r="R804" s="42" t="inlineStr">
        <is>
          <t>DIF: 403 €   ·   Margen hist.: 34.2%</t>
        </is>
      </c>
    </row>
    <row r="805">
      <c r="A805" s="30" t="inlineStr">
        <is>
          <t>P2 Potencia</t>
        </is>
      </c>
      <c r="B805" s="31" t="n">
        <v>5.5</v>
      </c>
      <c r="C805" s="32">
        <f>$N$801-$L$801+1</f>
        <v/>
      </c>
      <c r="D805" s="33" t="n">
        <v>1.09728</v>
      </c>
      <c r="E805" s="34" t="n">
        <v>1.37</v>
      </c>
      <c r="F805" s="35">
        <f>ROUND(B805*E805,2)</f>
        <v/>
      </c>
      <c r="H805" s="36" t="n">
        <v>5.5</v>
      </c>
      <c r="I805" s="37" t="n">
        <v>1.37</v>
      </c>
      <c r="J805" s="38">
        <f>ROUND(H805*I805,2)</f>
        <v/>
      </c>
      <c r="L805" s="39" t="n">
        <v>5.5</v>
      </c>
      <c r="M805" s="40" t="n">
        <v>1.37</v>
      </c>
      <c r="N805" s="41">
        <f>ROUND(L805*M805,2)</f>
        <v/>
      </c>
      <c r="R805" s="43" t="inlineStr">
        <is>
          <t>Mejor mes: 2023-07 · 136 € · margen 33%</t>
        </is>
      </c>
    </row>
    <row r="806">
      <c r="A806" s="30" t="inlineStr">
        <is>
          <t>P1 Energía</t>
        </is>
      </c>
      <c r="B806" s="31">
        <f>IF($P$806&lt;&gt;"",ROUND(AA806*(($AB$806/(1-$P$806))-30.4700)/15.6756,2),IF('Resumen'!$D$3="OPTIMIZAR",ROUND(MAX(AA806,MIN(AA806*(($AB$806/(1-'Resumen'!$F$3))-30.4700)/15.6756,AA806*(99.0778)/15.6756)),3),AA806))</f>
        <v/>
      </c>
      <c r="C806" s="44" t="n"/>
      <c r="D806" s="33" t="n">
        <v>0.110306</v>
      </c>
      <c r="E806" s="34" t="n">
        <v>0.14937</v>
      </c>
      <c r="F806" s="35">
        <f>ROUND(B806*E806,2)</f>
        <v/>
      </c>
      <c r="H806" s="36" t="n">
        <v>35.293</v>
      </c>
      <c r="I806" s="37" t="n">
        <v>0.14937</v>
      </c>
      <c r="J806" s="38">
        <f>ROUND(H806*I806,2)</f>
        <v/>
      </c>
      <c r="L806" s="39" t="n">
        <v>62.841</v>
      </c>
      <c r="M806" s="40" t="n">
        <v>0.14937</v>
      </c>
      <c r="N806" s="41">
        <f>ROUND(L806*M806,2)</f>
        <v/>
      </c>
      <c r="O806" s="45" t="inlineStr">
        <is>
          <t>Margen objetivo (edita % aquí) ▶</t>
        </is>
      </c>
      <c r="P806" s="5" t="n"/>
      <c r="R806" s="43" t="inlineStr">
        <is>
          <t>Peor mes: 2024-11 · 27 € · margen 0%</t>
        </is>
      </c>
      <c r="AA806" t="n">
        <v>45.983</v>
      </c>
      <c r="AB806">
        <f>B804*D804+B805*D805+AA806*D806+AA807*D807+AA808*D808</f>
        <v/>
      </c>
    </row>
    <row r="807">
      <c r="A807" s="30" t="inlineStr">
        <is>
          <t>P2 Energía</t>
        </is>
      </c>
      <c r="B807" s="31">
        <f>IF($P$806&lt;&gt;"",ROUND(AA807*(($AB$806/(1-$P$806))-30.4700)/15.6756,2),IF('Resumen'!$D$3="OPTIMIZAR",ROUND(MAX(AA807,MIN(AA807*(($AB$806/(1-'Resumen'!$F$3))-30.4700)/15.6756,AA807*(99.0778)/15.6756)),3),AA807))</f>
        <v/>
      </c>
      <c r="C807" s="44" t="n"/>
      <c r="D807" s="33" t="n">
        <v>0.110306</v>
      </c>
      <c r="E807" s="34" t="n">
        <v>0.14937</v>
      </c>
      <c r="F807" s="35">
        <f>ROUND(B807*E807,2)</f>
        <v/>
      </c>
      <c r="H807" s="36" t="n">
        <v>8.875</v>
      </c>
      <c r="I807" s="37" t="n">
        <v>0.14937</v>
      </c>
      <c r="J807" s="38">
        <f>ROUND(H807*I807,2)</f>
        <v/>
      </c>
      <c r="L807" s="39" t="n">
        <v>47.221</v>
      </c>
      <c r="M807" s="40" t="n">
        <v>0.14937</v>
      </c>
      <c r="N807" s="41">
        <f>ROUND(L807*M807,2)</f>
        <v/>
      </c>
      <c r="O807" s="46" t="inlineStr">
        <is>
          <t>Cant. P1/P2/P3 energía suben</t>
        </is>
      </c>
      <c r="R807" s="43" t="inlineStr">
        <is>
          <t>Importe mensual cobrado (€) · 24 meses ▾</t>
        </is>
      </c>
      <c r="AA807" t="n">
        <v>20.959</v>
      </c>
    </row>
    <row r="808">
      <c r="A808" s="30" t="inlineStr">
        <is>
          <t>P3 Energía</t>
        </is>
      </c>
      <c r="B808" s="31">
        <f>IF($P$806&lt;&gt;"",ROUND(AA808*(($AB$806/(1-$P$806))-30.4700)/15.6756,2),IF('Resumen'!$D$3="OPTIMIZAR",ROUND(MAX(AA808,MIN(AA808*(($AB$806/(1-'Resumen'!$F$3))-30.4700)/15.6756,AA808*(99.0778)/15.6756)),3),AA808))</f>
        <v/>
      </c>
      <c r="C808" s="44" t="n"/>
      <c r="D808" s="33" t="n">
        <v>0.110306</v>
      </c>
      <c r="E808" s="34" t="n">
        <v>0.14937</v>
      </c>
      <c r="F808" s="35">
        <f>ROUND(B808*E808,2)</f>
        <v/>
      </c>
      <c r="H808" s="36" t="n">
        <v>47.621</v>
      </c>
      <c r="I808" s="37" t="n">
        <v>0.14937</v>
      </c>
      <c r="J808" s="38">
        <f>ROUND(H808*I808,2)</f>
        <v/>
      </c>
      <c r="L808" s="39" t="n">
        <v>112.942</v>
      </c>
      <c r="M808" s="40" t="n">
        <v>0.14937</v>
      </c>
      <c r="N808" s="41">
        <f>ROUND(L808*M808,2)</f>
        <v/>
      </c>
      <c r="O808" s="46" t="inlineStr">
        <is>
          <t>en proporción para ese margen</t>
        </is>
      </c>
      <c r="AA808" t="n">
        <v>38.003</v>
      </c>
    </row>
    <row r="809">
      <c r="A809" s="30" t="inlineStr">
        <is>
          <t>Alquiler contador</t>
        </is>
      </c>
      <c r="B809" s="31" t="n">
        <v>1</v>
      </c>
      <c r="C809" s="32">
        <f>$N$801-$L$801+1</f>
        <v/>
      </c>
      <c r="D809" s="33" t="n">
        <v>0.7989000000000001</v>
      </c>
      <c r="E809" s="34" t="n">
        <v>4</v>
      </c>
      <c r="F809" s="35">
        <f>ROUND(B809*E809,2)</f>
        <v/>
      </c>
      <c r="H809" s="36" t="n">
        <v>1</v>
      </c>
      <c r="I809" s="37" t="n">
        <v>4</v>
      </c>
      <c r="J809" s="38">
        <f>ROUND(H809*I809,2)</f>
        <v/>
      </c>
      <c r="L809" s="39" t="n">
        <v>1</v>
      </c>
      <c r="M809" s="40" t="n">
        <v>4</v>
      </c>
      <c r="N809" s="41">
        <f>ROUND(L809*M809,2)</f>
        <v/>
      </c>
    </row>
    <row r="810">
      <c r="A810" s="30" t="inlineStr">
        <is>
          <t>Bono social</t>
        </is>
      </c>
      <c r="B810" s="31" t="n">
        <v>30</v>
      </c>
      <c r="C810" s="32">
        <f>$N$801-$L$801+1</f>
        <v/>
      </c>
      <c r="D810" s="33" t="n">
        <v>0.5736</v>
      </c>
      <c r="E810" s="34" t="n">
        <v>0.01274</v>
      </c>
      <c r="F810" s="35">
        <f>ROUND(B810*E810,2)</f>
        <v/>
      </c>
      <c r="H810" s="36" t="n">
        <v>30</v>
      </c>
      <c r="I810" s="37" t="n">
        <v>0.01274</v>
      </c>
      <c r="J810" s="38">
        <f>ROUND(H810*I810,2)</f>
        <v/>
      </c>
      <c r="L810" s="39" t="n">
        <v>30</v>
      </c>
      <c r="M810" s="40" t="n">
        <v>0.00629</v>
      </c>
      <c r="N810" s="41">
        <f>ROUND(L810*M810,2)</f>
        <v/>
      </c>
    </row>
    <row r="811">
      <c r="A811" s="30" t="inlineStr">
        <is>
          <t>Tasa eléctrica</t>
        </is>
      </c>
      <c r="B811" s="31" t="n">
        <v>1.57</v>
      </c>
      <c r="C811" s="44" t="n"/>
      <c r="D811" s="33" t="n">
        <v>0.24729</v>
      </c>
      <c r="E811" s="34" t="n">
        <v>1</v>
      </c>
      <c r="F811" s="35">
        <f>ROUND(B811*E811,2)</f>
        <v/>
      </c>
      <c r="H811" s="36" t="n">
        <v>1.57</v>
      </c>
      <c r="I811" s="37" t="n">
        <v>1</v>
      </c>
      <c r="J811" s="38">
        <f>ROUND(H811*I811,2)</f>
        <v/>
      </c>
      <c r="L811" s="39" t="n">
        <v>2.56</v>
      </c>
      <c r="M811" s="40" t="n">
        <v>1</v>
      </c>
      <c r="N811" s="41">
        <f>ROUND(L811*M811,2)</f>
        <v/>
      </c>
    </row>
    <row r="812">
      <c r="A812" s="47" t="inlineStr">
        <is>
          <t>TOTAL c/IVA</t>
        </is>
      </c>
      <c r="F812" s="48">
        <f>ROUND((SUM(F804:F811)-F811)*1.1+F811,2)</f>
        <v/>
      </c>
      <c r="J812" s="49">
        <f>ROUND(SUM(J804:J811),2)</f>
        <v/>
      </c>
      <c r="N812" s="50">
        <f>ROUND(SUM(N804:N811),2)</f>
        <v/>
      </c>
    </row>
    <row r="813">
      <c r="A813" s="19" t="inlineStr">
        <is>
          <t>MARGEN sin registrar</t>
        </is>
      </c>
      <c r="B813" s="51">
        <f>IF((F807+F804+F806+F808+F805)=0,"",((F807+F804+F806+F808+F805)-$AB$806)/(F807+F804+F806+F808+F805))</f>
        <v/>
      </c>
      <c r="D813" s="52">
        <f>IF(B813="","SIN PC",IF(B813&gt;=0.3,"APROBAR",IF(B813&gt;=0.2,"REVISAR","RECHAZAR")))</f>
        <v/>
      </c>
      <c r="E813" s="53" t="n"/>
      <c r="F813" s="54" t="n"/>
      <c r="AD813">
        <f>SUM(F806:F808)-15.6756</f>
        <v/>
      </c>
    </row>
    <row r="814">
      <c r="A814" s="55" t="inlineStr">
        <is>
          <t>☀ EXCEDENTES SOLARES (kWh vertidos reales)</t>
        </is>
      </c>
      <c r="B814" s="56" t="n"/>
      <c r="C814" s="56" t="n"/>
      <c r="D814" s="56" t="n"/>
      <c r="E814" s="56" t="n"/>
      <c r="F814" s="56" t="n"/>
    </row>
    <row r="815">
      <c r="A815" s="57" t="inlineStr">
        <is>
          <t>Concepto</t>
        </is>
      </c>
      <c r="B815" s="57" t="inlineStr">
        <is>
          <t>kWh</t>
        </is>
      </c>
      <c r="D815" s="57" t="inlineStr">
        <is>
          <t>€/kWh compra</t>
        </is>
      </c>
      <c r="E815" s="57" t="inlineStr">
        <is>
          <t>€/kWh venta</t>
        </is>
      </c>
      <c r="F815" s="57" t="inlineStr">
        <is>
          <t>Importe</t>
        </is>
      </c>
    </row>
    <row r="816">
      <c r="A816" s="58" t="inlineStr">
        <is>
          <t>Compra excedentes (vertido red)</t>
        </is>
      </c>
      <c r="B816" s="59" t="n">
        <v>389</v>
      </c>
      <c r="C816" s="60" t="n"/>
      <c r="D816" s="33" t="n">
        <v>0.06</v>
      </c>
      <c r="E816" s="60" t="n"/>
      <c r="F816" s="61">
        <f>ROUND(B816*D816,2)</f>
        <v/>
      </c>
    </row>
    <row r="817">
      <c r="A817" s="58" t="inlineStr">
        <is>
          <t>Venta cliente (saldo batería, 1043)</t>
        </is>
      </c>
      <c r="B817" s="60" t="n"/>
      <c r="C817" s="60" t="n"/>
      <c r="D817" s="60" t="n"/>
      <c r="E817" s="62" t="n">
        <v>0.06</v>
      </c>
      <c r="F817" s="61" t="n">
        <v>15.68</v>
      </c>
    </row>
    <row r="818">
      <c r="A818" s="63" t="inlineStr">
        <is>
          <t>NETO Transactiva (compra − venta)</t>
        </is>
      </c>
      <c r="B818" s="60" t="n"/>
      <c r="C818" s="60" t="n"/>
      <c r="D818" s="60" t="n"/>
      <c r="E818" s="60" t="n"/>
      <c r="F818" s="64">
        <f>F816-F817</f>
        <v/>
      </c>
    </row>
    <row r="820">
      <c r="A820" s="15" t="inlineStr">
        <is>
          <t>Factura 8621 · C01350 · CORDULA PETERS</t>
        </is>
      </c>
      <c r="H820" s="15" t="inlineStr">
        <is>
          <t>ES0021000000841859BX · Naturgy</t>
        </is>
      </c>
      <c r="L820" s="16" t="n">
        <v>46113</v>
      </c>
      <c r="M820" s="17" t="inlineStr">
        <is>
          <t>a</t>
        </is>
      </c>
      <c r="N820" s="16" t="n">
        <v>46142</v>
      </c>
      <c r="R820" s="18" t="inlineStr">
        <is>
          <t>HISTÓRICO DEL CUPS · HOJA TTVA LUZ</t>
        </is>
      </c>
    </row>
    <row r="821">
      <c r="A821" s="19" t="inlineStr">
        <is>
          <t>Concepto</t>
        </is>
      </c>
      <c r="B821" s="20" t="inlineStr">
        <is>
          <t>PENDIENTE (sin registrar)</t>
        </is>
      </c>
      <c r="C821" s="21" t="n"/>
      <c r="D821" s="21" t="n"/>
      <c r="E821" s="21" t="n"/>
      <c r="F821" s="21" t="n"/>
      <c r="H821" s="22" t="inlineStr">
        <is>
          <t>MES ANTERIOR · Fact.6423</t>
        </is>
      </c>
      <c r="I821" s="23" t="n"/>
      <c r="J821" s="23" t="n"/>
      <c r="L821" s="24" t="inlineStr">
        <is>
          <t>AÑO ANTERIOR · Fact.4627</t>
        </is>
      </c>
      <c r="M821" s="25" t="n"/>
      <c r="N821" s="25" t="n"/>
      <c r="R821" s="26" t="inlineStr">
        <is>
          <t>Cobrado total: 639 €</t>
        </is>
      </c>
    </row>
    <row r="822">
      <c r="B822" s="7" t="inlineStr">
        <is>
          <t>Cant</t>
        </is>
      </c>
      <c r="C822" s="7" t="inlineStr">
        <is>
          <t>Días</t>
        </is>
      </c>
      <c r="D822" s="7" t="inlineStr">
        <is>
          <t>PC real</t>
        </is>
      </c>
      <c r="E822" s="7" t="inlineStr">
        <is>
          <t>PV</t>
        </is>
      </c>
      <c r="F822" s="7" t="inlineStr">
        <is>
          <t>Importe</t>
        </is>
      </c>
      <c r="H822" s="27" t="inlineStr">
        <is>
          <t>Cant</t>
        </is>
      </c>
      <c r="I822" s="27" t="inlineStr">
        <is>
          <t>PV</t>
        </is>
      </c>
      <c r="J822" s="27" t="inlineStr">
        <is>
          <t>Importe</t>
        </is>
      </c>
      <c r="L822" s="28" t="inlineStr">
        <is>
          <t>Cant</t>
        </is>
      </c>
      <c r="M822" s="28" t="inlineStr">
        <is>
          <t>PV</t>
        </is>
      </c>
      <c r="N822" s="28" t="inlineStr">
        <is>
          <t>Importe</t>
        </is>
      </c>
      <c r="R822" s="29" t="inlineStr">
        <is>
          <t>Pagado total: 638 €</t>
        </is>
      </c>
    </row>
    <row r="823">
      <c r="A823" s="30" t="inlineStr">
        <is>
          <t>P1 Potencia</t>
        </is>
      </c>
      <c r="B823" s="31" t="n">
        <v>4.9</v>
      </c>
      <c r="C823" s="32">
        <f>$N$820-$L$820+1</f>
        <v/>
      </c>
      <c r="D823" s="33" t="n">
        <v>3.4086</v>
      </c>
      <c r="E823" s="34" t="n">
        <v>3.85</v>
      </c>
      <c r="F823" s="35">
        <f>ROUND(B823*E823,2)</f>
        <v/>
      </c>
      <c r="H823" s="36" t="n">
        <v>4.9</v>
      </c>
      <c r="I823" s="37" t="n">
        <v>3.85</v>
      </c>
      <c r="J823" s="38">
        <f>ROUND(H823*I823,2)</f>
        <v/>
      </c>
      <c r="L823" s="39" t="n">
        <v>4.9</v>
      </c>
      <c r="M823" s="40" t="n">
        <v>3.85</v>
      </c>
      <c r="N823" s="41">
        <f>ROUND(L823*M823,2)</f>
        <v/>
      </c>
      <c r="R823" s="42" t="inlineStr">
        <is>
          <t>DIF: 0 €   ·   Margen hist.: 0.0%</t>
        </is>
      </c>
    </row>
    <row r="824">
      <c r="A824" s="30" t="inlineStr">
        <is>
          <t>P2 Potencia</t>
        </is>
      </c>
      <c r="B824" s="31" t="n">
        <v>4.9</v>
      </c>
      <c r="C824" s="32">
        <f>$N$820-$L$820+1</f>
        <v/>
      </c>
      <c r="D824" s="33" t="n">
        <v>1.09728</v>
      </c>
      <c r="E824" s="34" t="n">
        <v>1.33</v>
      </c>
      <c r="F824" s="35">
        <f>ROUND(B824*E824,2)</f>
        <v/>
      </c>
      <c r="H824" s="36" t="n">
        <v>4.9</v>
      </c>
      <c r="I824" s="37" t="n">
        <v>1.33</v>
      </c>
      <c r="J824" s="38">
        <f>ROUND(H824*I824,2)</f>
        <v/>
      </c>
      <c r="L824" s="39" t="n">
        <v>4.9</v>
      </c>
      <c r="M824" s="40" t="n">
        <v>1.33</v>
      </c>
      <c r="N824" s="41">
        <f>ROUND(L824*M824,2)</f>
        <v/>
      </c>
      <c r="R824" s="43" t="inlineStr">
        <is>
          <t>Mejor mes: 2024-01 · 68 € · margen 55%</t>
        </is>
      </c>
    </row>
    <row r="825">
      <c r="A825" s="30" t="inlineStr">
        <is>
          <t>P1 Energía</t>
        </is>
      </c>
      <c r="B825" s="31">
        <f>IF($P$825&lt;&gt;"",ROUND(AA825*(($AB$825/(1-$P$825))-25.3820)/1.3591,2),IF('Resumen'!$D$3="OPTIMIZAR",ROUND(MAX(AA825,MIN(AA825*(($AB$825/(1-'Resumen'!$F$3))-25.3820)/1.3591,AA825*(37.4458)/1.3591)),3),AA825))</f>
        <v/>
      </c>
      <c r="C825" s="44" t="n"/>
      <c r="D825" s="33" t="n">
        <v>0.110306</v>
      </c>
      <c r="E825" s="34" t="n">
        <v>0.13788</v>
      </c>
      <c r="F825" s="35">
        <f>ROUND(B825*E825,2)</f>
        <v/>
      </c>
      <c r="H825" s="36" t="n">
        <v>0.796</v>
      </c>
      <c r="I825" s="37" t="n">
        <v>0.13788</v>
      </c>
      <c r="J825" s="38">
        <f>ROUND(H825*I825,2)</f>
        <v/>
      </c>
      <c r="L825" s="39" t="n">
        <v>1.331</v>
      </c>
      <c r="M825" s="40" t="n">
        <v>0.13788</v>
      </c>
      <c r="N825" s="41">
        <f>ROUND(L825*M825,2)</f>
        <v/>
      </c>
      <c r="O825" s="45" t="inlineStr">
        <is>
          <t>Margen objetivo (edita % aquí) ▶</t>
        </is>
      </c>
      <c r="P825" s="5" t="n"/>
      <c r="R825" s="43" t="inlineStr">
        <is>
          <t>Peor mes: 2024-06 · 3 € · margen 93%</t>
        </is>
      </c>
      <c r="AA825" t="n">
        <v>3.601</v>
      </c>
      <c r="AB825">
        <f>B823*D823+B824*D824+AA825*D825+AA826*D826+AA827*D827</f>
        <v/>
      </c>
    </row>
    <row r="826">
      <c r="A826" s="30" t="inlineStr">
        <is>
          <t>P2 Energía</t>
        </is>
      </c>
      <c r="B826" s="31">
        <f>IF($P$825&lt;&gt;"",ROUND(AA826*(($AB$825/(1-$P$825))-25.3820)/1.3591,2),IF('Resumen'!$D$3="OPTIMIZAR",ROUND(MAX(AA826,MIN(AA826*(($AB$825/(1-'Resumen'!$F$3))-25.3820)/1.3591,AA826*(37.4458)/1.3591)),3),AA826))</f>
        <v/>
      </c>
      <c r="C826" s="44" t="n"/>
      <c r="D826" s="33" t="n">
        <v>0.110306</v>
      </c>
      <c r="E826" s="34" t="n">
        <v>0.13788</v>
      </c>
      <c r="F826" s="35">
        <f>ROUND(B826*E826,2)</f>
        <v/>
      </c>
      <c r="H826" s="36" t="n">
        <v>0.617</v>
      </c>
      <c r="I826" s="37" t="n">
        <v>0.13788</v>
      </c>
      <c r="J826" s="38">
        <f>ROUND(H826*I826,2)</f>
        <v/>
      </c>
      <c r="L826" s="39" t="n">
        <v>1.534</v>
      </c>
      <c r="M826" s="40" t="n">
        <v>0.13788</v>
      </c>
      <c r="N826" s="41">
        <f>ROUND(L826*M826,2)</f>
        <v/>
      </c>
      <c r="O826" s="46" t="inlineStr">
        <is>
          <t>Cant. P1/P2/P3 energía suben</t>
        </is>
      </c>
      <c r="R826" s="43" t="inlineStr">
        <is>
          <t>Importe mensual cobrado (€) · 24 meses ▾</t>
        </is>
      </c>
      <c r="AA826" t="n">
        <v>2.119</v>
      </c>
    </row>
    <row r="827">
      <c r="A827" s="30" t="inlineStr">
        <is>
          <t>P3 Energía</t>
        </is>
      </c>
      <c r="B827" s="31">
        <f>IF($P$825&lt;&gt;"",ROUND(AA827*(($AB$825/(1-$P$825))-25.3820)/1.3591,2),IF('Resumen'!$D$3="OPTIMIZAR",ROUND(MAX(AA827,MIN(AA827*(($AB$825/(1-'Resumen'!$F$3))-25.3820)/1.3591,AA827*(37.4458)/1.3591)),3),AA827))</f>
        <v/>
      </c>
      <c r="C827" s="44" t="n"/>
      <c r="D827" s="33" t="n">
        <v>0.110306</v>
      </c>
      <c r="E827" s="34" t="n">
        <v>0.13788</v>
      </c>
      <c r="F827" s="35">
        <f>ROUND(B827*E827,2)</f>
        <v/>
      </c>
      <c r="H827" s="36" t="n">
        <v>5.036</v>
      </c>
      <c r="I827" s="37" t="n">
        <v>0.13788</v>
      </c>
      <c r="J827" s="38">
        <f>ROUND(H827*I827,2)</f>
        <v/>
      </c>
      <c r="L827" s="39" t="n">
        <v>12.479</v>
      </c>
      <c r="M827" s="40" t="n">
        <v>0.13788</v>
      </c>
      <c r="N827" s="41">
        <f>ROUND(L827*M827,2)</f>
        <v/>
      </c>
      <c r="O827" s="46" t="inlineStr">
        <is>
          <t>en proporción para ese margen</t>
        </is>
      </c>
      <c r="AA827" t="n">
        <v>4.137</v>
      </c>
    </row>
    <row r="828">
      <c r="A828" s="30" t="inlineStr">
        <is>
          <t>Alquiler contador</t>
        </is>
      </c>
      <c r="B828" s="31" t="n">
        <v>1</v>
      </c>
      <c r="C828" s="32">
        <f>$N$820-$L$820+1</f>
        <v/>
      </c>
      <c r="D828" s="33" t="n">
        <v>1.3414</v>
      </c>
      <c r="E828" s="34" t="n">
        <v>3</v>
      </c>
      <c r="F828" s="35">
        <f>ROUND(B828*E828,2)</f>
        <v/>
      </c>
      <c r="H828" s="36" t="n">
        <v>1</v>
      </c>
      <c r="I828" s="37" t="n">
        <v>3</v>
      </c>
      <c r="J828" s="38">
        <f>ROUND(H828*I828,2)</f>
        <v/>
      </c>
      <c r="L828" s="39" t="n">
        <v>1</v>
      </c>
      <c r="M828" s="40" t="n">
        <v>3</v>
      </c>
      <c r="N828" s="41">
        <f>ROUND(L828*M828,2)</f>
        <v/>
      </c>
    </row>
    <row r="829">
      <c r="A829" s="30" t="inlineStr">
        <is>
          <t>Bono social</t>
        </is>
      </c>
      <c r="B829" s="31" t="n">
        <v>30</v>
      </c>
      <c r="C829" s="32">
        <f>$N$820-$L$820+1</f>
        <v/>
      </c>
      <c r="D829" s="33" t="n">
        <v>0.5736</v>
      </c>
      <c r="E829" s="34" t="n">
        <v>0.01274</v>
      </c>
      <c r="F829" s="35">
        <f>ROUND(B829*E829,2)</f>
        <v/>
      </c>
      <c r="H829" s="36" t="n">
        <v>30</v>
      </c>
      <c r="I829" s="37" t="n">
        <v>0.01912</v>
      </c>
      <c r="J829" s="38">
        <f>ROUND(H829*I829,2)</f>
        <v/>
      </c>
      <c r="L829" s="39" t="n">
        <v>30</v>
      </c>
      <c r="M829" s="40" t="n">
        <v>0.00629</v>
      </c>
      <c r="N829" s="41">
        <f>ROUND(L829*M829,2)</f>
        <v/>
      </c>
    </row>
    <row r="830">
      <c r="A830" s="30" t="inlineStr">
        <is>
          <t>Tasa eléctrica</t>
        </is>
      </c>
      <c r="B830" s="31" t="n">
        <v>1.31</v>
      </c>
      <c r="C830" s="44" t="n"/>
      <c r="D830" s="33" t="n">
        <v>0.24729</v>
      </c>
      <c r="E830" s="34" t="n">
        <v>1</v>
      </c>
      <c r="F830" s="35">
        <f>ROUND(B830*E830,2)</f>
        <v/>
      </c>
      <c r="H830" s="36" t="n">
        <v>1.31</v>
      </c>
      <c r="I830" s="37" t="n">
        <v>1</v>
      </c>
      <c r="J830" s="38">
        <f>ROUND(H830*I830,2)</f>
        <v/>
      </c>
      <c r="L830" s="39" t="n">
        <v>1.31</v>
      </c>
      <c r="M830" s="40" t="n">
        <v>1</v>
      </c>
      <c r="N830" s="41">
        <f>ROUND(L830*M830,2)</f>
        <v/>
      </c>
    </row>
    <row r="831">
      <c r="A831" s="47" t="inlineStr">
        <is>
          <t>TOTAL c/IVA</t>
        </is>
      </c>
      <c r="F831" s="48">
        <f>ROUND((SUM(F823:F830)-F830)*1.1+F830,2)</f>
        <v/>
      </c>
      <c r="J831" s="49">
        <f>ROUND(SUM(J823:J830),2)</f>
        <v/>
      </c>
      <c r="N831" s="50">
        <f>ROUND(SUM(N823:N830),2)</f>
        <v/>
      </c>
    </row>
    <row r="832">
      <c r="A832" s="19" t="inlineStr">
        <is>
          <t>MARGEN sin registrar</t>
        </is>
      </c>
      <c r="B832" s="51">
        <f>IF((F826+F823+F825+F827+F824)=0,"",((F826+F823+F825+F827+F824)-$AB$825)/(F826+F823+F825+F827+F824))</f>
        <v/>
      </c>
      <c r="D832" s="52">
        <f>IF(B832="","SIN PC",IF(B832&gt;=0.3,"APROBAR",IF(B832&gt;=0.2,"REVISAR","RECHAZAR")))</f>
        <v/>
      </c>
      <c r="E832" s="53" t="n"/>
      <c r="F832" s="54" t="n"/>
      <c r="AD832">
        <f>SUM(F825:F827)-1.3591</f>
        <v/>
      </c>
    </row>
    <row r="833">
      <c r="A833" s="55" t="inlineStr">
        <is>
          <t>☀ EXCEDENTES SOLARES (kWh vertidos reales)</t>
        </is>
      </c>
      <c r="B833" s="56" t="n"/>
      <c r="C833" s="56" t="n"/>
      <c r="D833" s="56" t="n"/>
      <c r="E833" s="56" t="n"/>
      <c r="F833" s="56" t="n"/>
    </row>
    <row r="834">
      <c r="A834" s="57" t="inlineStr">
        <is>
          <t>Concepto</t>
        </is>
      </c>
      <c r="B834" s="57" t="inlineStr">
        <is>
          <t>kWh</t>
        </is>
      </c>
      <c r="D834" s="57" t="inlineStr">
        <is>
          <t>€/kWh compra</t>
        </is>
      </c>
      <c r="E834" s="57" t="inlineStr">
        <is>
          <t>€/kWh venta</t>
        </is>
      </c>
      <c r="F834" s="57" t="inlineStr">
        <is>
          <t>Importe</t>
        </is>
      </c>
    </row>
    <row r="835">
      <c r="A835" s="58" t="inlineStr">
        <is>
          <t>Compra excedentes (vertido red)</t>
        </is>
      </c>
      <c r="B835" s="59" t="n">
        <v>193</v>
      </c>
      <c r="C835" s="60" t="n"/>
      <c r="D835" s="33" t="n">
        <v>0.06</v>
      </c>
      <c r="E835" s="60" t="n"/>
      <c r="F835" s="61">
        <f>ROUND(B835*D835,2)</f>
        <v/>
      </c>
    </row>
    <row r="836">
      <c r="A836" s="58" t="inlineStr">
        <is>
          <t>Venta cliente (saldo batería, 1043)</t>
        </is>
      </c>
      <c r="B836" s="60" t="n"/>
      <c r="C836" s="60" t="n"/>
      <c r="D836" s="60" t="n"/>
      <c r="E836" s="62" t="n">
        <v>0.1</v>
      </c>
      <c r="F836" s="61" t="n">
        <v>1.36</v>
      </c>
    </row>
    <row r="837">
      <c r="A837" s="63" t="inlineStr">
        <is>
          <t>NETO Transactiva (compra − venta)</t>
        </is>
      </c>
      <c r="B837" s="60" t="n"/>
      <c r="C837" s="60" t="n"/>
      <c r="D837" s="60" t="n"/>
      <c r="E837" s="60" t="n"/>
      <c r="F837" s="64">
        <f>F835-F836</f>
        <v/>
      </c>
    </row>
    <row r="839">
      <c r="A839" s="15" t="inlineStr">
        <is>
          <t>Factura 8622 · C01390 · DANIEL DE WIT</t>
        </is>
      </c>
      <c r="H839" s="15" t="inlineStr">
        <is>
          <t>ES0021000011984452TT · Naturgy</t>
        </is>
      </c>
      <c r="L839" s="16" t="n">
        <v>46113</v>
      </c>
      <c r="M839" s="17" t="inlineStr">
        <is>
          <t>a</t>
        </is>
      </c>
      <c r="N839" s="16" t="n">
        <v>46142</v>
      </c>
      <c r="R839" s="18" t="inlineStr">
        <is>
          <t>HISTÓRICO DEL CUPS · HOJA TTVA LUZ</t>
        </is>
      </c>
    </row>
    <row r="840">
      <c r="A840" s="19" t="inlineStr">
        <is>
          <t>Concepto</t>
        </is>
      </c>
      <c r="B840" s="20" t="inlineStr">
        <is>
          <t>PENDIENTE (sin registrar)</t>
        </is>
      </c>
      <c r="C840" s="21" t="n"/>
      <c r="D840" s="21" t="n"/>
      <c r="E840" s="21" t="n"/>
      <c r="F840" s="21" t="n"/>
      <c r="H840" s="22" t="inlineStr">
        <is>
          <t>MES ANTERIOR · Fact.6422</t>
        </is>
      </c>
      <c r="I840" s="23" t="n"/>
      <c r="J840" s="23" t="n"/>
      <c r="L840" s="24" t="inlineStr">
        <is>
          <t>AÑO ANTERIOR · Fact.4626</t>
        </is>
      </c>
      <c r="M840" s="25" t="n"/>
      <c r="N840" s="25" t="n"/>
      <c r="R840" s="26" t="inlineStr">
        <is>
          <t>Cobrado total: 4.239 €</t>
        </is>
      </c>
    </row>
    <row r="841">
      <c r="B841" s="7" t="inlineStr">
        <is>
          <t>Cant</t>
        </is>
      </c>
      <c r="C841" s="7" t="inlineStr">
        <is>
          <t>Días</t>
        </is>
      </c>
      <c r="D841" s="7" t="inlineStr">
        <is>
          <t>PC real</t>
        </is>
      </c>
      <c r="E841" s="7" t="inlineStr">
        <is>
          <t>PV</t>
        </is>
      </c>
      <c r="F841" s="7" t="inlineStr">
        <is>
          <t>Importe</t>
        </is>
      </c>
      <c r="H841" s="27" t="inlineStr">
        <is>
          <t>Cant</t>
        </is>
      </c>
      <c r="I841" s="27" t="inlineStr">
        <is>
          <t>PV</t>
        </is>
      </c>
      <c r="J841" s="27" t="inlineStr">
        <is>
          <t>Importe</t>
        </is>
      </c>
      <c r="L841" s="28" t="inlineStr">
        <is>
          <t>Cant</t>
        </is>
      </c>
      <c r="M841" s="28" t="inlineStr">
        <is>
          <t>PV</t>
        </is>
      </c>
      <c r="N841" s="28" t="inlineStr">
        <is>
          <t>Importe</t>
        </is>
      </c>
      <c r="R841" s="29" t="inlineStr">
        <is>
          <t>Pagado total: 2.913 €</t>
        </is>
      </c>
    </row>
    <row r="842">
      <c r="A842" s="30" t="inlineStr">
        <is>
          <t>P1 Potencia</t>
        </is>
      </c>
      <c r="B842" s="31" t="n">
        <v>10.392</v>
      </c>
      <c r="C842" s="32">
        <f>$N$839-$L$839+1</f>
        <v/>
      </c>
      <c r="D842" s="33" t="n">
        <v>3.4086</v>
      </c>
      <c r="E842" s="34" t="n">
        <v>4.82</v>
      </c>
      <c r="F842" s="35">
        <f>ROUND(B842*E842,2)</f>
        <v/>
      </c>
      <c r="H842" s="36" t="n">
        <v>10.392</v>
      </c>
      <c r="I842" s="37" t="n">
        <v>4.82</v>
      </c>
      <c r="J842" s="38">
        <f>ROUND(H842*I842,2)</f>
        <v/>
      </c>
      <c r="L842" s="39" t="n">
        <v>10.392</v>
      </c>
      <c r="M842" s="40" t="n">
        <v>4.82</v>
      </c>
      <c r="N842" s="41">
        <f>ROUND(L842*M842,2)</f>
        <v/>
      </c>
      <c r="R842" s="42" t="inlineStr">
        <is>
          <t>DIF: 1.326 €   ·   Margen hist.: 31.3%</t>
        </is>
      </c>
    </row>
    <row r="843">
      <c r="A843" s="30" t="inlineStr">
        <is>
          <t>P2 Potencia</t>
        </is>
      </c>
      <c r="B843" s="31" t="n">
        <v>10.392</v>
      </c>
      <c r="C843" s="32">
        <f>$N$839-$L$839+1</f>
        <v/>
      </c>
      <c r="D843" s="33" t="n">
        <v>1.09728</v>
      </c>
      <c r="E843" s="34" t="n">
        <v>2.3744</v>
      </c>
      <c r="F843" s="35">
        <f>ROUND(B843*E843,2)</f>
        <v/>
      </c>
      <c r="H843" s="36" t="n">
        <v>10.392</v>
      </c>
      <c r="I843" s="37" t="n">
        <v>2.3744</v>
      </c>
      <c r="J843" s="38">
        <f>ROUND(H843*I843,2)</f>
        <v/>
      </c>
      <c r="L843" s="39" t="n">
        <v>10.392</v>
      </c>
      <c r="M843" s="40" t="n">
        <v>2.3744</v>
      </c>
      <c r="N843" s="41">
        <f>ROUND(L843*M843,2)</f>
        <v/>
      </c>
      <c r="R843" s="43" t="inlineStr">
        <is>
          <t>Mejor mes: 2023-07 · 471 € · margen 28%</t>
        </is>
      </c>
    </row>
    <row r="844">
      <c r="A844" s="30" t="inlineStr">
        <is>
          <t>P1 Energía</t>
        </is>
      </c>
      <c r="B844" s="31">
        <f>IF($P$844&lt;&gt;"",ROUND(AA844*(($AB$844/(1-$P$844))-74.7642)/172.2702,2),IF('Resumen'!$D$3="OPTIMIZAR",ROUND(MAX(AA844,MIN(AA844*(($AB$844/(1-'Resumen'!$F$3))-74.7642)/172.2702,AA844*(377.5036)/172.2702)),3),AA844))</f>
        <v/>
      </c>
      <c r="C844" s="44" t="n"/>
      <c r="D844" s="33" t="n">
        <v>0.110306</v>
      </c>
      <c r="E844" s="34" t="n">
        <v>0.1724</v>
      </c>
      <c r="F844" s="35">
        <f>ROUND(B844*E844,2)</f>
        <v/>
      </c>
      <c r="H844" s="36" t="n">
        <v>307.624</v>
      </c>
      <c r="I844" s="37" t="n">
        <v>0.1724</v>
      </c>
      <c r="J844" s="38">
        <f>ROUND(H844*I844,2)</f>
        <v/>
      </c>
      <c r="L844" s="39" t="n">
        <v>126.994</v>
      </c>
      <c r="M844" s="40" t="n">
        <v>0.1724</v>
      </c>
      <c r="N844" s="41">
        <f>ROUND(L844*M844,2)</f>
        <v/>
      </c>
      <c r="O844" s="45" t="inlineStr">
        <is>
          <t>Margen objetivo (edita % aquí) ▶</t>
        </is>
      </c>
      <c r="P844" s="5" t="n"/>
      <c r="R844" s="43" t="inlineStr">
        <is>
          <t>Peor mes: 2024-04 · 81 € · margen 53%</t>
        </is>
      </c>
      <c r="AA844" t="n">
        <v>248.72</v>
      </c>
      <c r="AB844">
        <f>B842*D842+B843*D843+AA844*D844+AA845*D845+AA846*D846</f>
        <v/>
      </c>
    </row>
    <row r="845">
      <c r="A845" s="30" t="inlineStr">
        <is>
          <t>P2 Energía</t>
        </is>
      </c>
      <c r="B845" s="31">
        <f>IF($P$844&lt;&gt;"",ROUND(AA845*(($AB$844/(1-$P$844))-74.7642)/172.2702,2),IF('Resumen'!$D$3="OPTIMIZAR",ROUND(MAX(AA845,MIN(AA845*(($AB$844/(1-'Resumen'!$F$3))-74.7642)/172.2702,AA845*(377.5036)/172.2702)),3),AA845))</f>
        <v/>
      </c>
      <c r="C845" s="44" t="n"/>
      <c r="D845" s="33" t="n">
        <v>0.110306</v>
      </c>
      <c r="E845" s="34" t="n">
        <v>0.1724</v>
      </c>
      <c r="F845" s="35">
        <f>ROUND(B845*E845,2)</f>
        <v/>
      </c>
      <c r="H845" s="36" t="n">
        <v>184.631</v>
      </c>
      <c r="I845" s="37" t="n">
        <v>0.1724</v>
      </c>
      <c r="J845" s="38">
        <f>ROUND(H845*I845,2)</f>
        <v/>
      </c>
      <c r="L845" s="39" t="n">
        <v>94.51300000000001</v>
      </c>
      <c r="M845" s="40" t="n">
        <v>0.1724</v>
      </c>
      <c r="N845" s="41">
        <f>ROUND(L845*M845,2)</f>
        <v/>
      </c>
      <c r="O845" s="46" t="inlineStr">
        <is>
          <t>Cant. P1/P2/P3 energía suben</t>
        </is>
      </c>
      <c r="R845" s="43" t="inlineStr">
        <is>
          <t>Importe mensual cobrado (€) · 24 meses ▾</t>
        </is>
      </c>
      <c r="AA845" t="n">
        <v>127.873</v>
      </c>
    </row>
    <row r="846">
      <c r="A846" s="30" t="inlineStr">
        <is>
          <t>P3 Energía</t>
        </is>
      </c>
      <c r="B846" s="31">
        <f>IF($P$844&lt;&gt;"",ROUND(AA846*(($AB$844/(1-$P$844))-74.7642)/172.2702,2),IF('Resumen'!$D$3="OPTIMIZAR",ROUND(MAX(AA846,MIN(AA846*(($AB$844/(1-'Resumen'!$F$3))-74.7642)/172.2702,AA846*(377.5036)/172.2702)),3),AA846))</f>
        <v/>
      </c>
      <c r="C846" s="44" t="n"/>
      <c r="D846" s="33" t="n">
        <v>0.110306</v>
      </c>
      <c r="E846" s="34" t="n">
        <v>0.1724</v>
      </c>
      <c r="F846" s="35">
        <f>ROUND(B846*E846,2)</f>
        <v/>
      </c>
      <c r="H846" s="36" t="n">
        <v>644.924</v>
      </c>
      <c r="I846" s="37" t="n">
        <v>0.1724</v>
      </c>
      <c r="J846" s="38">
        <f>ROUND(H846*I846,2)</f>
        <v/>
      </c>
      <c r="L846" s="39" t="n">
        <v>402.404</v>
      </c>
      <c r="M846" s="40" t="n">
        <v>0.1724</v>
      </c>
      <c r="N846" s="41">
        <f>ROUND(L846*M846,2)</f>
        <v/>
      </c>
      <c r="O846" s="46" t="inlineStr">
        <is>
          <t>en proporción para ese margen</t>
        </is>
      </c>
      <c r="AA846" t="n">
        <v>622.654</v>
      </c>
    </row>
    <row r="847">
      <c r="A847" s="30" t="inlineStr">
        <is>
          <t>Alquiler contador</t>
        </is>
      </c>
      <c r="B847" s="31" t="n">
        <v>1</v>
      </c>
      <c r="C847" s="32">
        <f>$N$839-$L$839+1</f>
        <v/>
      </c>
      <c r="D847" s="33" t="n">
        <v>1.3414</v>
      </c>
      <c r="E847" s="34" t="n">
        <v>6</v>
      </c>
      <c r="F847" s="35">
        <f>ROUND(B847*E847,2)</f>
        <v/>
      </c>
      <c r="H847" s="36" t="n">
        <v>1</v>
      </c>
      <c r="I847" s="37" t="n">
        <v>6</v>
      </c>
      <c r="J847" s="38">
        <f>ROUND(H847*I847,2)</f>
        <v/>
      </c>
      <c r="L847" s="39" t="n">
        <v>1</v>
      </c>
      <c r="M847" s="40" t="n">
        <v>6</v>
      </c>
      <c r="N847" s="41">
        <f>ROUND(L847*M847,2)</f>
        <v/>
      </c>
    </row>
    <row r="848">
      <c r="A848" s="30" t="inlineStr">
        <is>
          <t>Bono social</t>
        </is>
      </c>
      <c r="B848" s="31" t="n">
        <v>30</v>
      </c>
      <c r="C848" s="32">
        <f>$N$839-$L$839+1</f>
        <v/>
      </c>
      <c r="D848" s="33" t="n">
        <v>0.5736</v>
      </c>
      <c r="E848" s="34" t="n">
        <v>0.01274</v>
      </c>
      <c r="F848" s="35">
        <f>ROUND(B848*E848,2)</f>
        <v/>
      </c>
      <c r="H848" s="36" t="n">
        <v>30</v>
      </c>
      <c r="I848" s="37" t="n">
        <v>0.01274</v>
      </c>
      <c r="J848" s="38">
        <f>ROUND(H848*I848,2)</f>
        <v/>
      </c>
      <c r="L848" s="39" t="n">
        <v>30</v>
      </c>
      <c r="M848" s="40" t="n">
        <v>0.00629</v>
      </c>
      <c r="N848" s="41">
        <f>ROUND(L848*M848,2)</f>
        <v/>
      </c>
    </row>
    <row r="849">
      <c r="A849" s="30" t="inlineStr">
        <is>
          <t>Tasa eléctrica</t>
        </is>
      </c>
      <c r="B849" s="31" t="n">
        <v>11.94</v>
      </c>
      <c r="C849" s="44" t="n"/>
      <c r="D849" s="33" t="n">
        <v>0.24729</v>
      </c>
      <c r="E849" s="34" t="n">
        <v>1</v>
      </c>
      <c r="F849" s="35">
        <f>ROUND(B849*E849,2)</f>
        <v/>
      </c>
      <c r="H849" s="36" t="n">
        <v>13.32</v>
      </c>
      <c r="I849" s="37" t="n">
        <v>1</v>
      </c>
      <c r="J849" s="38">
        <f>ROUND(H849*I849,2)</f>
        <v/>
      </c>
      <c r="L849" s="39" t="n">
        <v>8.56</v>
      </c>
      <c r="M849" s="40" t="n">
        <v>1</v>
      </c>
      <c r="N849" s="41">
        <f>ROUND(L849*M849,2)</f>
        <v/>
      </c>
    </row>
    <row r="850">
      <c r="A850" s="47" t="inlineStr">
        <is>
          <t>TOTAL c/IVA</t>
        </is>
      </c>
      <c r="F850" s="48">
        <f>ROUND((SUM(F842:F849)-F849)*1.1+F849,2)</f>
        <v/>
      </c>
      <c r="J850" s="49">
        <f>ROUND(SUM(J842:J849),2)</f>
        <v/>
      </c>
      <c r="N850" s="50">
        <f>ROUND(SUM(N842:N849),2)</f>
        <v/>
      </c>
    </row>
    <row r="851">
      <c r="A851" s="19" t="inlineStr">
        <is>
          <t>MARGEN sin registrar</t>
        </is>
      </c>
      <c r="B851" s="51">
        <f>IF((F845+F842+F844+F846+F843)=0,"",((F845+F842+F844+F846+F843)-$AB$844)/(F845+F842+F844+F846+F843))</f>
        <v/>
      </c>
      <c r="D851" s="52">
        <f>IF(B851="","SIN PC",IF(B851&gt;=0.3,"APROBAR",IF(B851&gt;=0.2,"REVISAR","RECHAZAR")))</f>
        <v/>
      </c>
      <c r="E851" s="53" t="n"/>
      <c r="F851" s="54" t="n"/>
      <c r="AD851">
        <f>SUM(F844:F846)-172.2702</f>
        <v/>
      </c>
    </row>
    <row r="852">
      <c r="A852" s="55" t="inlineStr">
        <is>
          <t>☀ EXCEDENTES SOLARES (kWh vertidos reales)</t>
        </is>
      </c>
      <c r="B852" s="56" t="n"/>
      <c r="C852" s="56" t="n"/>
      <c r="D852" s="56" t="n"/>
      <c r="E852" s="56" t="n"/>
      <c r="F852" s="56" t="n"/>
    </row>
    <row r="853">
      <c r="A853" s="57" t="inlineStr">
        <is>
          <t>Concepto</t>
        </is>
      </c>
      <c r="B853" s="57" t="inlineStr">
        <is>
          <t>kWh</t>
        </is>
      </c>
      <c r="D853" s="57" t="inlineStr">
        <is>
          <t>€/kWh compra</t>
        </is>
      </c>
      <c r="E853" s="57" t="inlineStr">
        <is>
          <t>€/kWh venta</t>
        </is>
      </c>
      <c r="F853" s="57" t="inlineStr">
        <is>
          <t>Importe</t>
        </is>
      </c>
    </row>
    <row r="854">
      <c r="A854" s="58" t="inlineStr">
        <is>
          <t>Compra excedentes (vertido red)</t>
        </is>
      </c>
      <c r="B854" s="59" t="n">
        <v>368</v>
      </c>
      <c r="C854" s="60" t="n"/>
      <c r="D854" s="33" t="n">
        <v>0.06</v>
      </c>
      <c r="E854" s="60" t="n"/>
      <c r="F854" s="61">
        <f>ROUND(B854*D854,2)</f>
        <v/>
      </c>
    </row>
    <row r="855">
      <c r="A855" s="58" t="inlineStr">
        <is>
          <t>Venta cliente (saldo batería, 1043)</t>
        </is>
      </c>
      <c r="B855" s="60" t="n"/>
      <c r="C855" s="60" t="n"/>
      <c r="D855" s="60" t="n"/>
      <c r="E855" s="62" t="n">
        <v>0.06</v>
      </c>
      <c r="F855" s="61" t="n">
        <v>13.63</v>
      </c>
    </row>
    <row r="856">
      <c r="A856" s="63" t="inlineStr">
        <is>
          <t>NETO Transactiva (compra − venta)</t>
        </is>
      </c>
      <c r="B856" s="60" t="n"/>
      <c r="C856" s="60" t="n"/>
      <c r="D856" s="60" t="n"/>
      <c r="E856" s="60" t="n"/>
      <c r="F856" s="64">
        <f>F854-F855</f>
        <v/>
      </c>
    </row>
    <row r="858">
      <c r="A858" s="15" t="inlineStr">
        <is>
          <t>Factura 8623 · C01400 · CHRISTOPH BLUME</t>
        </is>
      </c>
      <c r="H858" s="15" t="inlineStr">
        <is>
          <t>ES0021000001274226LT · Naturgy</t>
        </is>
      </c>
      <c r="L858" s="16" t="n">
        <v>46113</v>
      </c>
      <c r="M858" s="17" t="inlineStr">
        <is>
          <t>a</t>
        </is>
      </c>
      <c r="N858" s="16" t="n">
        <v>46142</v>
      </c>
      <c r="R858" s="18" t="inlineStr">
        <is>
          <t>HISTÓRICO DEL CUPS · HOJA TTVA LUZ</t>
        </is>
      </c>
    </row>
    <row r="859">
      <c r="A859" s="19" t="inlineStr">
        <is>
          <t>Concepto</t>
        </is>
      </c>
      <c r="B859" s="20" t="inlineStr">
        <is>
          <t>PENDIENTE (sin registrar)</t>
        </is>
      </c>
      <c r="C859" s="21" t="n"/>
      <c r="D859" s="21" t="n"/>
      <c r="E859" s="21" t="n"/>
      <c r="F859" s="21" t="n"/>
      <c r="H859" s="22" t="inlineStr">
        <is>
          <t>MES ANTERIOR · Fact.6421</t>
        </is>
      </c>
      <c r="I859" s="23" t="n"/>
      <c r="J859" s="23" t="n"/>
      <c r="L859" s="24" t="inlineStr">
        <is>
          <t>AÑO ANTERIOR · Fact.4625</t>
        </is>
      </c>
      <c r="M859" s="25" t="n"/>
      <c r="N859" s="25" t="n"/>
      <c r="R859" s="26" t="inlineStr">
        <is>
          <t>Cobrado total: 2.281 €</t>
        </is>
      </c>
    </row>
    <row r="860">
      <c r="B860" s="7" t="inlineStr">
        <is>
          <t>Cant</t>
        </is>
      </c>
      <c r="C860" s="7" t="inlineStr">
        <is>
          <t>Días</t>
        </is>
      </c>
      <c r="D860" s="7" t="inlineStr">
        <is>
          <t>PC real</t>
        </is>
      </c>
      <c r="E860" s="7" t="inlineStr">
        <is>
          <t>PV</t>
        </is>
      </c>
      <c r="F860" s="7" t="inlineStr">
        <is>
          <t>Importe</t>
        </is>
      </c>
      <c r="H860" s="27" t="inlineStr">
        <is>
          <t>Cant</t>
        </is>
      </c>
      <c r="I860" s="27" t="inlineStr">
        <is>
          <t>PV</t>
        </is>
      </c>
      <c r="J860" s="27" t="inlineStr">
        <is>
          <t>Importe</t>
        </is>
      </c>
      <c r="L860" s="28" t="inlineStr">
        <is>
          <t>Cant</t>
        </is>
      </c>
      <c r="M860" s="28" t="inlineStr">
        <is>
          <t>PV</t>
        </is>
      </c>
      <c r="N860" s="28" t="inlineStr">
        <is>
          <t>Importe</t>
        </is>
      </c>
      <c r="R860" s="29" t="inlineStr">
        <is>
          <t>Pagado total: 1.589 €</t>
        </is>
      </c>
    </row>
    <row r="861">
      <c r="A861" s="30" t="inlineStr">
        <is>
          <t>P1 Potencia</t>
        </is>
      </c>
      <c r="B861" s="31" t="n">
        <v>9.199999999999999</v>
      </c>
      <c r="C861" s="32">
        <f>$N$858-$L$858+1</f>
        <v/>
      </c>
      <c r="D861" s="33" t="n">
        <v>3.4086</v>
      </c>
      <c r="E861" s="34" t="n">
        <v>4.17</v>
      </c>
      <c r="F861" s="35">
        <f>ROUND(B861*E861,2)</f>
        <v/>
      </c>
      <c r="H861" s="36" t="n">
        <v>9.199999999999999</v>
      </c>
      <c r="I861" s="37" t="n">
        <v>4.17</v>
      </c>
      <c r="J861" s="38">
        <f>ROUND(H861*I861,2)</f>
        <v/>
      </c>
      <c r="L861" s="39" t="n">
        <v>9.199999999999999</v>
      </c>
      <c r="M861" s="40" t="n">
        <v>4.17</v>
      </c>
      <c r="N861" s="41">
        <f>ROUND(L861*M861,2)</f>
        <v/>
      </c>
      <c r="R861" s="42" t="inlineStr">
        <is>
          <t>DIF: 691 €   ·   Margen hist.: 30.3%</t>
        </is>
      </c>
    </row>
    <row r="862">
      <c r="A862" s="30" t="inlineStr">
        <is>
          <t>P2 Potencia</t>
        </is>
      </c>
      <c r="B862" s="31" t="n">
        <v>9.199999999999999</v>
      </c>
      <c r="C862" s="32">
        <f>$N$858-$L$858+1</f>
        <v/>
      </c>
      <c r="D862" s="33" t="n">
        <v>1.09728</v>
      </c>
      <c r="E862" s="34" t="n">
        <v>1.37</v>
      </c>
      <c r="F862" s="35">
        <f>ROUND(B862*E862,2)</f>
        <v/>
      </c>
      <c r="H862" s="36" t="n">
        <v>9.199999999999999</v>
      </c>
      <c r="I862" s="37" t="n">
        <v>1.37</v>
      </c>
      <c r="J862" s="38">
        <f>ROUND(H862*I862,2)</f>
        <v/>
      </c>
      <c r="L862" s="39" t="n">
        <v>9.199999999999999</v>
      </c>
      <c r="M862" s="40" t="n">
        <v>1.37</v>
      </c>
      <c r="N862" s="41">
        <f>ROUND(L862*M862,2)</f>
        <v/>
      </c>
      <c r="R862" s="43" t="inlineStr">
        <is>
          <t>Mejor mes: 2024-12 · 237 € · margen 32%</t>
        </is>
      </c>
    </row>
    <row r="863">
      <c r="A863" s="30" t="inlineStr">
        <is>
          <t>P1 Energía</t>
        </is>
      </c>
      <c r="B863" s="31">
        <f>IF($P$863&lt;&gt;"",ROUND(AA863*(($AB$863/(1-$P$863))-50.9680)/151.1427,2),IF('Resumen'!$D$3="OPTIMIZAR",ROUND(MAX(AA863,MIN(AA863*(($AB$863/(1-'Resumen'!$F$3))-50.9680)/151.1427,AA863*(171.1098)/151.1427)),3),AA863))</f>
        <v/>
      </c>
      <c r="C863" s="44" t="n"/>
      <c r="D863" s="33" t="n">
        <v>0.110306</v>
      </c>
      <c r="E863" s="34" t="n">
        <v>0.14937</v>
      </c>
      <c r="F863" s="35">
        <f>ROUND(B863*E863,2)</f>
        <v/>
      </c>
      <c r="H863" s="36" t="n">
        <v>96.08199999999999</v>
      </c>
      <c r="I863" s="37" t="n">
        <v>0.14937</v>
      </c>
      <c r="J863" s="38">
        <f>ROUND(H863*I863,2)</f>
        <v/>
      </c>
      <c r="L863" s="39" t="n">
        <v>106.421</v>
      </c>
      <c r="M863" s="40" t="n">
        <v>0.14937</v>
      </c>
      <c r="N863" s="41">
        <f>ROUND(L863*M863,2)</f>
        <v/>
      </c>
      <c r="O863" s="45" t="inlineStr">
        <is>
          <t>Margen objetivo (edita % aquí) ▶</t>
        </is>
      </c>
      <c r="P863" s="5" t="n"/>
      <c r="R863" s="43" t="inlineStr">
        <is>
          <t>Peor mes: 2023-07 · 20 € · margen 55%</t>
        </is>
      </c>
      <c r="AA863" t="n">
        <v>113.96</v>
      </c>
      <c r="AB863">
        <f>B861*D861+B862*D862+AA863*D863+AA864*D864+AA865*D865</f>
        <v/>
      </c>
    </row>
    <row r="864">
      <c r="A864" s="30" t="inlineStr">
        <is>
          <t>P2 Energía</t>
        </is>
      </c>
      <c r="B864" s="31">
        <f>IF($P$863&lt;&gt;"",ROUND(AA864*(($AB$863/(1-$P$863))-50.9680)/151.1427,2),IF('Resumen'!$D$3="OPTIMIZAR",ROUND(MAX(AA864,MIN(AA864*(($AB$863/(1-'Resumen'!$F$3))-50.9680)/151.1427,AA864*(171.1098)/151.1427)),3),AA864))</f>
        <v/>
      </c>
      <c r="C864" s="44" t="n"/>
      <c r="D864" s="33" t="n">
        <v>0.110306</v>
      </c>
      <c r="E864" s="34" t="n">
        <v>0.14937</v>
      </c>
      <c r="F864" s="35">
        <f>ROUND(B864*E864,2)</f>
        <v/>
      </c>
      <c r="H864" s="36" t="n">
        <v>96.13800000000001</v>
      </c>
      <c r="I864" s="37" t="n">
        <v>0.14937</v>
      </c>
      <c r="J864" s="38">
        <f>ROUND(H864*I864,2)</f>
        <v/>
      </c>
      <c r="L864" s="39" t="n">
        <v>134.85</v>
      </c>
      <c r="M864" s="40" t="n">
        <v>0.14937</v>
      </c>
      <c r="N864" s="41">
        <f>ROUND(L864*M864,2)</f>
        <v/>
      </c>
      <c r="O864" s="46" t="inlineStr">
        <is>
          <t>Cant. P1/P2/P3 energía suben</t>
        </is>
      </c>
      <c r="R864" s="43" t="inlineStr">
        <is>
          <t>Importe mensual cobrado (€) · 24 meses ▾</t>
        </is>
      </c>
      <c r="AA864" t="n">
        <v>192.413</v>
      </c>
    </row>
    <row r="865">
      <c r="A865" s="30" t="inlineStr">
        <is>
          <t>P3 Energía</t>
        </is>
      </c>
      <c r="B865" s="31">
        <f>IF($P$863&lt;&gt;"",ROUND(AA865*(($AB$863/(1-$P$863))-50.9680)/151.1427,2),IF('Resumen'!$D$3="OPTIMIZAR",ROUND(MAX(AA865,MIN(AA865*(($AB$863/(1-'Resumen'!$F$3))-50.9680)/151.1427,AA865*(171.1098)/151.1427)),3),AA865))</f>
        <v/>
      </c>
      <c r="C865" s="44" t="n"/>
      <c r="D865" s="33" t="n">
        <v>0.110306</v>
      </c>
      <c r="E865" s="34" t="n">
        <v>0.14937</v>
      </c>
      <c r="F865" s="35">
        <f>ROUND(B865*E865,2)</f>
        <v/>
      </c>
      <c r="H865" s="36" t="n">
        <v>293.989</v>
      </c>
      <c r="I865" s="37" t="n">
        <v>0.14937</v>
      </c>
      <c r="J865" s="38">
        <f>ROUND(H865*I865,2)</f>
        <v/>
      </c>
      <c r="L865" s="39" t="n">
        <v>432.121</v>
      </c>
      <c r="M865" s="40" t="n">
        <v>0.14937</v>
      </c>
      <c r="N865" s="41">
        <f>ROUND(L865*M865,2)</f>
        <v/>
      </c>
      <c r="O865" s="46" t="inlineStr">
        <is>
          <t>en proporción para ese margen</t>
        </is>
      </c>
      <c r="AA865" t="n">
        <v>705.495</v>
      </c>
    </row>
    <row r="866">
      <c r="A866" s="30" t="inlineStr">
        <is>
          <t>Alquiler contador</t>
        </is>
      </c>
      <c r="B866" s="31" t="n">
        <v>1</v>
      </c>
      <c r="C866" s="32">
        <f>$N$858-$L$858+1</f>
        <v/>
      </c>
      <c r="D866" s="33" t="n">
        <v>0.7989000000000001</v>
      </c>
      <c r="E866" s="34" t="n">
        <v>4</v>
      </c>
      <c r="F866" s="35">
        <f>ROUND(B866*E866,2)</f>
        <v/>
      </c>
      <c r="H866" s="36" t="n">
        <v>1</v>
      </c>
      <c r="I866" s="37" t="n">
        <v>4</v>
      </c>
      <c r="J866" s="38">
        <f>ROUND(H866*I866,2)</f>
        <v/>
      </c>
      <c r="L866" s="39" t="n">
        <v>1</v>
      </c>
      <c r="M866" s="40" t="n">
        <v>4</v>
      </c>
      <c r="N866" s="41">
        <f>ROUND(L866*M866,2)</f>
        <v/>
      </c>
    </row>
    <row r="867">
      <c r="A867" s="30" t="inlineStr">
        <is>
          <t>Bono social</t>
        </is>
      </c>
      <c r="B867" s="31" t="n">
        <v>30</v>
      </c>
      <c r="C867" s="32">
        <f>$N$858-$L$858+1</f>
        <v/>
      </c>
      <c r="D867" s="33" t="n">
        <v>0.5736</v>
      </c>
      <c r="E867" s="34" t="n">
        <v>0.01274</v>
      </c>
      <c r="F867" s="35">
        <f>ROUND(B867*E867,2)</f>
        <v/>
      </c>
      <c r="H867" s="36" t="n">
        <v>30</v>
      </c>
      <c r="I867" s="37" t="n">
        <v>0.01274</v>
      </c>
      <c r="J867" s="38">
        <f>ROUND(H867*I867,2)</f>
        <v/>
      </c>
      <c r="L867" s="39" t="n">
        <v>30</v>
      </c>
      <c r="M867" s="40" t="n">
        <v>0.00629</v>
      </c>
      <c r="N867" s="41">
        <f>ROUND(L867*M867,2)</f>
        <v/>
      </c>
    </row>
    <row r="868">
      <c r="A868" s="30" t="inlineStr">
        <is>
          <t>Tasa eléctrica</t>
        </is>
      </c>
      <c r="B868" s="31" t="n">
        <v>10.21</v>
      </c>
      <c r="C868" s="44" t="n"/>
      <c r="D868" s="33" t="n">
        <v>0.24729</v>
      </c>
      <c r="E868" s="34" t="n">
        <v>1</v>
      </c>
      <c r="F868" s="35">
        <f>ROUND(B868*E868,2)</f>
        <v/>
      </c>
      <c r="H868" s="36" t="n">
        <v>6.2</v>
      </c>
      <c r="I868" s="37" t="n">
        <v>1</v>
      </c>
      <c r="J868" s="38">
        <f>ROUND(H868*I868,2)</f>
        <v/>
      </c>
      <c r="L868" s="39" t="n">
        <v>7.41</v>
      </c>
      <c r="M868" s="40" t="n">
        <v>1</v>
      </c>
      <c r="N868" s="41">
        <f>ROUND(L868*M868,2)</f>
        <v/>
      </c>
    </row>
    <row r="869">
      <c r="A869" s="47" t="inlineStr">
        <is>
          <t>TOTAL c/IVA</t>
        </is>
      </c>
      <c r="F869" s="48">
        <f>ROUND((SUM(F861:F868)-F868)*1.1+F868,2)</f>
        <v/>
      </c>
      <c r="J869" s="49">
        <f>ROUND(SUM(J861:J868),2)</f>
        <v/>
      </c>
      <c r="N869" s="50">
        <f>ROUND(SUM(N861:N868),2)</f>
        <v/>
      </c>
    </row>
    <row r="870">
      <c r="A870" s="19" t="inlineStr">
        <is>
          <t>MARGEN sin registrar</t>
        </is>
      </c>
      <c r="B870" s="51">
        <f>IF((F864+F861+F863+F865+F862)=0,"",((F864+F861+F863+F865+F862)-$AB$863)/(F864+F861+F863+F865+F862))</f>
        <v/>
      </c>
      <c r="D870" s="52">
        <f>IF(B870="","SIN PC",IF(B870&gt;=0.3,"APROBAR",IF(B870&gt;=0.2,"REVISAR","RECHAZAR")))</f>
        <v/>
      </c>
      <c r="E870" s="53" t="n"/>
      <c r="F870" s="54" t="n"/>
      <c r="AD870">
        <f>SUM(F863:F865)-151.1427</f>
        <v/>
      </c>
    </row>
    <row r="871">
      <c r="A871" s="55" t="inlineStr">
        <is>
          <t>☀ EXCEDENTES SOLARES (kWh vertidos reales)</t>
        </is>
      </c>
      <c r="B871" s="56" t="n"/>
      <c r="C871" s="56" t="n"/>
      <c r="D871" s="56" t="n"/>
      <c r="E871" s="56" t="n"/>
      <c r="F871" s="56" t="n"/>
    </row>
    <row r="872">
      <c r="A872" s="57" t="inlineStr">
        <is>
          <t>Concepto</t>
        </is>
      </c>
      <c r="B872" s="57" t="inlineStr">
        <is>
          <t>kWh</t>
        </is>
      </c>
      <c r="D872" s="57" t="inlineStr">
        <is>
          <t>€/kWh compra</t>
        </is>
      </c>
      <c r="E872" s="57" t="inlineStr">
        <is>
          <t>€/kWh venta</t>
        </is>
      </c>
      <c r="F872" s="57" t="inlineStr">
        <is>
          <t>Importe</t>
        </is>
      </c>
    </row>
    <row r="873">
      <c r="A873" s="58" t="inlineStr">
        <is>
          <t>Compra excedentes (vertido red)</t>
        </is>
      </c>
      <c r="B873" s="59" t="n">
        <v>43</v>
      </c>
      <c r="C873" s="60" t="n"/>
      <c r="D873" s="33" t="n">
        <v>0.06</v>
      </c>
      <c r="E873" s="60" t="n"/>
      <c r="F873" s="61">
        <f>ROUND(B873*D873,2)</f>
        <v/>
      </c>
    </row>
    <row r="874">
      <c r="A874" s="58" t="inlineStr">
        <is>
          <t>Venta cliente (saldo batería, 1043)</t>
        </is>
      </c>
      <c r="B874" s="60" t="n"/>
      <c r="C874" s="60" t="n"/>
      <c r="D874" s="60" t="n"/>
      <c r="E874" s="62" t="n">
        <v>0.06</v>
      </c>
      <c r="F874" s="61" t="n">
        <v>2.53</v>
      </c>
    </row>
    <row r="875">
      <c r="A875" s="63" t="inlineStr">
        <is>
          <t>NETO Transactiva (compra − venta)</t>
        </is>
      </c>
      <c r="B875" s="60" t="n"/>
      <c r="C875" s="60" t="n"/>
      <c r="D875" s="60" t="n"/>
      <c r="E875" s="60" t="n"/>
      <c r="F875" s="64">
        <f>F873-F874</f>
        <v/>
      </c>
    </row>
    <row r="877">
      <c r="A877" s="15" t="inlineStr">
        <is>
          <t>Factura 8624 · C01420 · JAIME VIVES</t>
        </is>
      </c>
      <c r="H877" s="15" t="inlineStr">
        <is>
          <t>ES0021000001200654VM · Naturgy</t>
        </is>
      </c>
      <c r="L877" s="16" t="n">
        <v>46113</v>
      </c>
      <c r="M877" s="17" t="inlineStr">
        <is>
          <t>a</t>
        </is>
      </c>
      <c r="N877" s="16" t="n">
        <v>46142</v>
      </c>
      <c r="R877" s="18" t="inlineStr">
        <is>
          <t>HISTÓRICO DEL CUPS · HOJA TTVA LUZ</t>
        </is>
      </c>
    </row>
    <row r="878">
      <c r="A878" s="19" t="inlineStr">
        <is>
          <t>Concepto</t>
        </is>
      </c>
      <c r="B878" s="20" t="inlineStr">
        <is>
          <t>PENDIENTE (sin registrar)</t>
        </is>
      </c>
      <c r="C878" s="21" t="n"/>
      <c r="D878" s="21" t="n"/>
      <c r="E878" s="21" t="n"/>
      <c r="F878" s="21" t="n"/>
      <c r="H878" s="22" t="inlineStr">
        <is>
          <t>MES ANTERIOR · Fact.6420</t>
        </is>
      </c>
      <c r="I878" s="23" t="n"/>
      <c r="J878" s="23" t="n"/>
      <c r="L878" s="24" t="inlineStr">
        <is>
          <t>AÑO ANTERIOR · Fact.4624</t>
        </is>
      </c>
      <c r="M878" s="25" t="n"/>
      <c r="N878" s="25" t="n"/>
      <c r="R878" s="26" t="inlineStr">
        <is>
          <t>Cobrado total: 3.220 €</t>
        </is>
      </c>
    </row>
    <row r="879">
      <c r="B879" s="7" t="inlineStr">
        <is>
          <t>Cant</t>
        </is>
      </c>
      <c r="C879" s="7" t="inlineStr">
        <is>
          <t>Días</t>
        </is>
      </c>
      <c r="D879" s="7" t="inlineStr">
        <is>
          <t>PC real</t>
        </is>
      </c>
      <c r="E879" s="7" t="inlineStr">
        <is>
          <t>PV</t>
        </is>
      </c>
      <c r="F879" s="7" t="inlineStr">
        <is>
          <t>Importe</t>
        </is>
      </c>
      <c r="H879" s="27" t="inlineStr">
        <is>
          <t>Cant</t>
        </is>
      </c>
      <c r="I879" s="27" t="inlineStr">
        <is>
          <t>PV</t>
        </is>
      </c>
      <c r="J879" s="27" t="inlineStr">
        <is>
          <t>Importe</t>
        </is>
      </c>
      <c r="L879" s="28" t="inlineStr">
        <is>
          <t>Cant</t>
        </is>
      </c>
      <c r="M879" s="28" t="inlineStr">
        <is>
          <t>PV</t>
        </is>
      </c>
      <c r="N879" s="28" t="inlineStr">
        <is>
          <t>Importe</t>
        </is>
      </c>
      <c r="R879" s="29" t="inlineStr">
        <is>
          <t>Pagado total: 2.347 €</t>
        </is>
      </c>
    </row>
    <row r="880">
      <c r="A880" s="30" t="inlineStr">
        <is>
          <t>P1 Potencia</t>
        </is>
      </c>
      <c r="B880" s="31" t="n">
        <v>5.75</v>
      </c>
      <c r="C880" s="32">
        <f>$N$877-$L$877+1</f>
        <v/>
      </c>
      <c r="D880" s="33" t="n">
        <v>3.68919</v>
      </c>
      <c r="E880" s="34" t="n">
        <v>3.85</v>
      </c>
      <c r="F880" s="35">
        <f>ROUND(B880*E880,2)</f>
        <v/>
      </c>
      <c r="H880" s="36" t="n">
        <v>5.75</v>
      </c>
      <c r="I880" s="37" t="n">
        <v>3.85</v>
      </c>
      <c r="J880" s="38">
        <f>ROUND(H880*I880,2)</f>
        <v/>
      </c>
      <c r="L880" s="39" t="n">
        <v>5.75</v>
      </c>
      <c r="M880" s="40" t="n">
        <v>3.85</v>
      </c>
      <c r="N880" s="41">
        <f>ROUND(L880*M880,2)</f>
        <v/>
      </c>
      <c r="R880" s="42" t="inlineStr">
        <is>
          <t>DIF: 873 €   ·   Margen hist.: 27.1%</t>
        </is>
      </c>
    </row>
    <row r="881">
      <c r="A881" s="30" t="inlineStr">
        <is>
          <t>P2 Potencia</t>
        </is>
      </c>
      <c r="B881" s="31" t="n">
        <v>5.75</v>
      </c>
      <c r="C881" s="32">
        <f>$N$877-$L$877+1</f>
        <v/>
      </c>
      <c r="D881" s="33" t="n">
        <v>1.31928</v>
      </c>
      <c r="E881" s="34" t="n">
        <v>1.33</v>
      </c>
      <c r="F881" s="35">
        <f>ROUND(B881*E881,2)</f>
        <v/>
      </c>
      <c r="H881" s="36" t="n">
        <v>5.75</v>
      </c>
      <c r="I881" s="37" t="n">
        <v>1.33</v>
      </c>
      <c r="J881" s="38">
        <f>ROUND(H881*I881,2)</f>
        <v/>
      </c>
      <c r="L881" s="39" t="n">
        <v>5.75</v>
      </c>
      <c r="M881" s="40" t="n">
        <v>1.33</v>
      </c>
      <c r="N881" s="41">
        <f>ROUND(L881*M881,2)</f>
        <v/>
      </c>
      <c r="R881" s="43" t="inlineStr">
        <is>
          <t>Mejor mes: 2023-08 · 276 € · margen 7%</t>
        </is>
      </c>
    </row>
    <row r="882">
      <c r="A882" s="30" t="inlineStr">
        <is>
          <t>P1 Energía</t>
        </is>
      </c>
      <c r="B882" s="31">
        <f>IF($P$882&lt;&gt;"",ROUND(AA882*(($AB$882/(1-$P$882))-29.7850)/26.9981,2),IF('Resumen'!$D$3="OPTIMIZAR",ROUND(MAX(AA882,MIN(AA882*(($AB$882/(1-'Resumen'!$F$3))-29.7850)/26.9981,AA882*(239.6028)/26.9981)),3),AA882))</f>
        <v/>
      </c>
      <c r="C882" s="44" t="n"/>
      <c r="D882" s="33" t="n">
        <v>0.111171</v>
      </c>
      <c r="E882" s="34" t="n">
        <v>0.13788</v>
      </c>
      <c r="F882" s="35">
        <f>ROUND(B882*E882,2)</f>
        <v/>
      </c>
      <c r="H882" s="36" t="n">
        <v>202.672</v>
      </c>
      <c r="I882" s="37" t="n">
        <v>0.13788</v>
      </c>
      <c r="J882" s="38">
        <f>ROUND(H882*I882,2)</f>
        <v/>
      </c>
      <c r="L882" s="39" t="n">
        <v>219.602</v>
      </c>
      <c r="M882" s="40" t="n">
        <v>0.13788</v>
      </c>
      <c r="N882" s="41">
        <f>ROUND(L882*M882,2)</f>
        <v/>
      </c>
      <c r="O882" s="45" t="inlineStr">
        <is>
          <t>Margen objetivo (edita % aquí) ▶</t>
        </is>
      </c>
      <c r="P882" s="5" t="n"/>
      <c r="R882" s="43" t="inlineStr">
        <is>
          <t>Peor mes: 2023-05 · 39 € · margen 49%</t>
        </is>
      </c>
      <c r="AA882" t="n">
        <v>44.552</v>
      </c>
      <c r="AB882">
        <f>B880*D880+B881*D881+AA882*D882+AA883*D883+AA884*D884</f>
        <v/>
      </c>
    </row>
    <row r="883">
      <c r="A883" s="30" t="inlineStr">
        <is>
          <t>P2 Energía</t>
        </is>
      </c>
      <c r="B883" s="31">
        <f>IF($P$882&lt;&gt;"",ROUND(AA883*(($AB$882/(1-$P$882))-29.7850)/26.9981,2),IF('Resumen'!$D$3="OPTIMIZAR",ROUND(MAX(AA883,MIN(AA883*(($AB$882/(1-'Resumen'!$F$3))-29.7850)/26.9981,AA883*(239.6028)/26.9981)),3),AA883))</f>
        <v/>
      </c>
      <c r="C883" s="44" t="n"/>
      <c r="D883" s="33" t="n">
        <v>0.111171</v>
      </c>
      <c r="E883" s="34" t="n">
        <v>0.13788</v>
      </c>
      <c r="F883" s="35">
        <f>ROUND(B883*E883,2)</f>
        <v/>
      </c>
      <c r="H883" s="36" t="n">
        <v>153.524</v>
      </c>
      <c r="I883" s="37" t="n">
        <v>0.13788</v>
      </c>
      <c r="J883" s="38">
        <f>ROUND(H883*I883,2)</f>
        <v/>
      </c>
      <c r="L883" s="39" t="n">
        <v>170.548</v>
      </c>
      <c r="M883" s="40" t="n">
        <v>0.13788</v>
      </c>
      <c r="N883" s="41">
        <f>ROUND(L883*M883,2)</f>
        <v/>
      </c>
      <c r="O883" s="46" t="inlineStr">
        <is>
          <t>Cant. P1/P2/P3 energía suben</t>
        </is>
      </c>
      <c r="R883" s="43" t="inlineStr">
        <is>
          <t>Importe mensual cobrado (€) · 24 meses ▾</t>
        </is>
      </c>
      <c r="AA883" t="n">
        <v>38.348</v>
      </c>
    </row>
    <row r="884">
      <c r="A884" s="30" t="inlineStr">
        <is>
          <t>P3 Energía</t>
        </is>
      </c>
      <c r="B884" s="31">
        <f>IF($P$882&lt;&gt;"",ROUND(AA884*(($AB$882/(1-$P$882))-29.7850)/26.9981,2),IF('Resumen'!$D$3="OPTIMIZAR",ROUND(MAX(AA884,MIN(AA884*(($AB$882/(1-'Resumen'!$F$3))-29.7850)/26.9981,AA884*(239.6028)/26.9981)),3),AA884))</f>
        <v/>
      </c>
      <c r="C884" s="44" t="n"/>
      <c r="D884" s="33" t="n">
        <v>0.111171</v>
      </c>
      <c r="E884" s="34" t="n">
        <v>0.13788</v>
      </c>
      <c r="F884" s="35">
        <f>ROUND(B884*E884,2)</f>
        <v/>
      </c>
      <c r="H884" s="36" t="n">
        <v>347.574</v>
      </c>
      <c r="I884" s="37" t="n">
        <v>0.13788</v>
      </c>
      <c r="J884" s="38">
        <f>ROUND(H884*I884,2)</f>
        <v/>
      </c>
      <c r="L884" s="39" t="n">
        <v>460.107</v>
      </c>
      <c r="M884" s="40" t="n">
        <v>0.13788</v>
      </c>
      <c r="N884" s="41">
        <f>ROUND(L884*M884,2)</f>
        <v/>
      </c>
      <c r="O884" s="46" t="inlineStr">
        <is>
          <t>en proporción para ese margen</t>
        </is>
      </c>
      <c r="AA884" t="n">
        <v>112.909</v>
      </c>
    </row>
    <row r="885">
      <c r="A885" s="30" t="inlineStr">
        <is>
          <t>Alquiler contador</t>
        </is>
      </c>
      <c r="B885" s="31" t="n">
        <v>1</v>
      </c>
      <c r="C885" s="32">
        <f>$N$877-$L$877+1</f>
        <v/>
      </c>
      <c r="D885" s="33" t="n">
        <v>0.7989000000000001</v>
      </c>
      <c r="E885" s="34" t="n">
        <v>3</v>
      </c>
      <c r="F885" s="35">
        <f>ROUND(B885*E885,2)</f>
        <v/>
      </c>
      <c r="H885" s="36" t="n">
        <v>1</v>
      </c>
      <c r="I885" s="37" t="n">
        <v>3</v>
      </c>
      <c r="J885" s="38">
        <f>ROUND(H885*I885,2)</f>
        <v/>
      </c>
      <c r="L885" s="39" t="n">
        <v>1</v>
      </c>
      <c r="M885" s="40" t="n">
        <v>3</v>
      </c>
      <c r="N885" s="41">
        <f>ROUND(L885*M885,2)</f>
        <v/>
      </c>
    </row>
    <row r="886">
      <c r="A886" s="30" t="inlineStr">
        <is>
          <t>Bono social</t>
        </is>
      </c>
      <c r="B886" s="31" t="n">
        <v>30</v>
      </c>
      <c r="C886" s="32">
        <f>$N$877-$L$877+1</f>
        <v/>
      </c>
      <c r="D886" s="33" t="n">
        <v>0.5736</v>
      </c>
      <c r="E886" s="34" t="n">
        <v>0.01274</v>
      </c>
      <c r="F886" s="35">
        <f>ROUND(B886*E886,2)</f>
        <v/>
      </c>
      <c r="H886" s="36" t="n">
        <v>30</v>
      </c>
      <c r="I886" s="37" t="n">
        <v>0.01274</v>
      </c>
      <c r="J886" s="38">
        <f>ROUND(H886*I886,2)</f>
        <v/>
      </c>
      <c r="L886" s="39" t="n">
        <v>30</v>
      </c>
      <c r="M886" s="40" t="n">
        <v>0.00629</v>
      </c>
      <c r="N886" s="41">
        <f>ROUND(L886*M886,2)</f>
        <v/>
      </c>
    </row>
    <row r="887">
      <c r="A887" s="30" t="inlineStr">
        <is>
          <t>Tasa eléctrica</t>
        </is>
      </c>
      <c r="B887" s="31" t="n">
        <v>2.91</v>
      </c>
      <c r="C887" s="44" t="n"/>
      <c r="D887" s="33" t="n">
        <v>0.27312</v>
      </c>
      <c r="E887" s="34" t="n">
        <v>1</v>
      </c>
      <c r="F887" s="35">
        <f>ROUND(B887*E887,2)</f>
        <v/>
      </c>
      <c r="H887" s="36" t="n">
        <v>6.49</v>
      </c>
      <c r="I887" s="37" t="n">
        <v>1</v>
      </c>
      <c r="J887" s="38">
        <f>ROUND(H887*I887,2)</f>
        <v/>
      </c>
      <c r="L887" s="39" t="n">
        <v>7.52</v>
      </c>
      <c r="M887" s="40" t="n">
        <v>1</v>
      </c>
      <c r="N887" s="41">
        <f>ROUND(L887*M887,2)</f>
        <v/>
      </c>
    </row>
    <row r="888">
      <c r="A888" s="47" t="inlineStr">
        <is>
          <t>TOTAL c/IVA</t>
        </is>
      </c>
      <c r="F888" s="48">
        <f>ROUND((SUM(F880:F887)-F887)*1.1+F887,2)</f>
        <v/>
      </c>
      <c r="J888" s="49">
        <f>ROUND(SUM(J880:J887),2)</f>
        <v/>
      </c>
      <c r="N888" s="50">
        <f>ROUND(SUM(N880:N887),2)</f>
        <v/>
      </c>
    </row>
    <row r="889">
      <c r="A889" s="19" t="inlineStr">
        <is>
          <t>MARGEN sin registrar</t>
        </is>
      </c>
      <c r="B889" s="51">
        <f>IF((F883+F880+F882+F884+F881)=0,"",((F883+F880+F882+F884+F881)-$AB$882)/(F883+F880+F882+F884+F881))</f>
        <v/>
      </c>
      <c r="D889" s="52">
        <f>IF(B889="","SIN PC",IF(B889&gt;=0.3,"APROBAR",IF(B889&gt;=0.2,"REVISAR","RECHAZAR")))</f>
        <v/>
      </c>
      <c r="E889" s="53" t="n"/>
      <c r="F889" s="54" t="n"/>
      <c r="AD889">
        <f>SUM(F882:F884)-26.9981</f>
        <v/>
      </c>
    </row>
    <row r="891">
      <c r="A891" s="15" t="inlineStr">
        <is>
          <t>Factura 8625 · C01440 · VICENTE BAS ALENTADO</t>
        </is>
      </c>
      <c r="H891" s="15" t="inlineStr">
        <is>
          <t>ES0021000011331851PR · Naturgy</t>
        </is>
      </c>
      <c r="L891" s="16" t="n">
        <v>46113</v>
      </c>
      <c r="M891" s="17" t="inlineStr">
        <is>
          <t>a</t>
        </is>
      </c>
      <c r="N891" s="16" t="n">
        <v>46142</v>
      </c>
      <c r="R891" s="18" t="inlineStr">
        <is>
          <t>HISTÓRICO DEL CUPS · HOJA TTVA LUZ</t>
        </is>
      </c>
    </row>
    <row r="892">
      <c r="A892" s="19" t="inlineStr">
        <is>
          <t>Concepto</t>
        </is>
      </c>
      <c r="B892" s="20" t="inlineStr">
        <is>
          <t>PENDIENTE (sin registrar)</t>
        </is>
      </c>
      <c r="C892" s="21" t="n"/>
      <c r="D892" s="21" t="n"/>
      <c r="E892" s="21" t="n"/>
      <c r="F892" s="21" t="n"/>
      <c r="H892" s="22" t="inlineStr">
        <is>
          <t>MES ANTERIOR · Fact.6419</t>
        </is>
      </c>
      <c r="I892" s="23" t="n"/>
      <c r="J892" s="23" t="n"/>
      <c r="L892" s="24" t="inlineStr">
        <is>
          <t>AÑO ANTERIOR · Fact.4623</t>
        </is>
      </c>
      <c r="M892" s="25" t="n"/>
      <c r="N892" s="25" t="n"/>
      <c r="R892" s="26" t="inlineStr">
        <is>
          <t>Cobrado total: 1.841 €</t>
        </is>
      </c>
    </row>
    <row r="893">
      <c r="B893" s="7" t="inlineStr">
        <is>
          <t>Cant</t>
        </is>
      </c>
      <c r="C893" s="7" t="inlineStr">
        <is>
          <t>Días</t>
        </is>
      </c>
      <c r="D893" s="7" t="inlineStr">
        <is>
          <t>PC real</t>
        </is>
      </c>
      <c r="E893" s="7" t="inlineStr">
        <is>
          <t>PV</t>
        </is>
      </c>
      <c r="F893" s="7" t="inlineStr">
        <is>
          <t>Importe</t>
        </is>
      </c>
      <c r="H893" s="27" t="inlineStr">
        <is>
          <t>Cant</t>
        </is>
      </c>
      <c r="I893" s="27" t="inlineStr">
        <is>
          <t>PV</t>
        </is>
      </c>
      <c r="J893" s="27" t="inlineStr">
        <is>
          <t>Importe</t>
        </is>
      </c>
      <c r="L893" s="28" t="inlineStr">
        <is>
          <t>Cant</t>
        </is>
      </c>
      <c r="M893" s="28" t="inlineStr">
        <is>
          <t>PV</t>
        </is>
      </c>
      <c r="N893" s="28" t="inlineStr">
        <is>
          <t>Importe</t>
        </is>
      </c>
      <c r="R893" s="29" t="inlineStr">
        <is>
          <t>Pagado total: 1.299 €</t>
        </is>
      </c>
    </row>
    <row r="894">
      <c r="A894" s="30" t="inlineStr">
        <is>
          <t>P1 Potencia</t>
        </is>
      </c>
      <c r="B894" s="31" t="n">
        <v>5.75</v>
      </c>
      <c r="C894" s="32">
        <f>$N$891-$L$891+1</f>
        <v/>
      </c>
      <c r="D894" s="33" t="n">
        <v>3.68919</v>
      </c>
      <c r="E894" s="34" t="n">
        <v>3.85</v>
      </c>
      <c r="F894" s="35">
        <f>ROUND(B894*E894,2)</f>
        <v/>
      </c>
      <c r="H894" s="36" t="n">
        <v>5.75</v>
      </c>
      <c r="I894" s="37" t="n">
        <v>3.85</v>
      </c>
      <c r="J894" s="38">
        <f>ROUND(H894*I894,2)</f>
        <v/>
      </c>
      <c r="L894" s="39" t="n">
        <v>5.75</v>
      </c>
      <c r="M894" s="40" t="n">
        <v>3.85</v>
      </c>
      <c r="N894" s="41">
        <f>ROUND(L894*M894,2)</f>
        <v/>
      </c>
      <c r="R894" s="42" t="inlineStr">
        <is>
          <t>DIF: 542 €   ·   Margen hist.: 29.4%</t>
        </is>
      </c>
    </row>
    <row r="895">
      <c r="A895" s="30" t="inlineStr">
        <is>
          <t>P2 Potencia</t>
        </is>
      </c>
      <c r="B895" s="31" t="n">
        <v>5.75</v>
      </c>
      <c r="C895" s="32">
        <f>$N$891-$L$891+1</f>
        <v/>
      </c>
      <c r="D895" s="33" t="n">
        <v>1.31928</v>
      </c>
      <c r="E895" s="34" t="n">
        <v>1.33</v>
      </c>
      <c r="F895" s="35">
        <f>ROUND(B895*E895,2)</f>
        <v/>
      </c>
      <c r="H895" s="36" t="n">
        <v>5.75</v>
      </c>
      <c r="I895" s="37" t="n">
        <v>1.33</v>
      </c>
      <c r="J895" s="38">
        <f>ROUND(H895*I895,2)</f>
        <v/>
      </c>
      <c r="L895" s="39" t="n">
        <v>5.75</v>
      </c>
      <c r="M895" s="40" t="n">
        <v>1.33</v>
      </c>
      <c r="N895" s="41">
        <f>ROUND(L895*M895,2)</f>
        <v/>
      </c>
      <c r="R895" s="43" t="inlineStr">
        <is>
          <t>Mejor mes: 2023-08 · 135 €</t>
        </is>
      </c>
    </row>
    <row r="896">
      <c r="A896" s="30" t="inlineStr">
        <is>
          <t>P1 Energía</t>
        </is>
      </c>
      <c r="B896" s="31">
        <f>IF($P$896&lt;&gt;"",ROUND(AA896*(($AB$896/(1-$P$896))-29.7850)/31.0224,2),IF('Resumen'!$D$3="OPTIMIZAR",ROUND(MAX(AA896,MIN(AA896*(($AB$896/(1-'Resumen'!$F$3))-29.7850)/31.0224,AA896*(98.4128)/31.0224)),3),AA896))</f>
        <v/>
      </c>
      <c r="C896" s="44" t="n"/>
      <c r="D896" s="33" t="n">
        <v>0.111171</v>
      </c>
      <c r="E896" s="34" t="n">
        <v>0.13788</v>
      </c>
      <c r="F896" s="35">
        <f>ROUND(B896*E896,2)</f>
        <v/>
      </c>
      <c r="H896" s="36" t="n">
        <v>78.58799999999999</v>
      </c>
      <c r="I896" s="37" t="n">
        <v>0.13788</v>
      </c>
      <c r="J896" s="38">
        <f>ROUND(H896*I896,2)</f>
        <v/>
      </c>
      <c r="L896" s="39" t="n">
        <v>54.723</v>
      </c>
      <c r="M896" s="40" t="n">
        <v>0.13788</v>
      </c>
      <c r="N896" s="41">
        <f>ROUND(L896*M896,2)</f>
        <v/>
      </c>
      <c r="O896" s="45" t="inlineStr">
        <is>
          <t>Margen objetivo (edita % aquí) ▶</t>
        </is>
      </c>
      <c r="P896" s="5" t="n"/>
      <c r="R896" s="43" t="inlineStr">
        <is>
          <t>Peor mes: 2024-10 · 72 € · margen 16%</t>
        </is>
      </c>
      <c r="AA896" t="n">
        <v>70.476</v>
      </c>
      <c r="AB896">
        <f>B894*D894+B895*D895+AA896*D896+AA897*D897+AA898*D898</f>
        <v/>
      </c>
    </row>
    <row r="897">
      <c r="A897" s="30" t="inlineStr">
        <is>
          <t>P2 Energía</t>
        </is>
      </c>
      <c r="B897" s="31">
        <f>IF($P$896&lt;&gt;"",ROUND(AA897*(($AB$896/(1-$P$896))-29.7850)/31.0224,2),IF('Resumen'!$D$3="OPTIMIZAR",ROUND(MAX(AA897,MIN(AA897*(($AB$896/(1-'Resumen'!$F$3))-29.7850)/31.0224,AA897*(98.4128)/31.0224)),3),AA897))</f>
        <v/>
      </c>
      <c r="C897" s="44" t="n"/>
      <c r="D897" s="33" t="n">
        <v>0.111171</v>
      </c>
      <c r="E897" s="34" t="n">
        <v>0.13788</v>
      </c>
      <c r="F897" s="35">
        <f>ROUND(B897*E897,2)</f>
        <v/>
      </c>
      <c r="H897" s="36" t="n">
        <v>64.72499999999999</v>
      </c>
      <c r="I897" s="37" t="n">
        <v>0.13788</v>
      </c>
      <c r="J897" s="38">
        <f>ROUND(H897*I897,2)</f>
        <v/>
      </c>
      <c r="L897" s="39" t="n">
        <v>44.247</v>
      </c>
      <c r="M897" s="40" t="n">
        <v>0.13788</v>
      </c>
      <c r="N897" s="41">
        <f>ROUND(L897*M897,2)</f>
        <v/>
      </c>
      <c r="O897" s="46" t="inlineStr">
        <is>
          <t>Cant. P1/P2/P3 energía suben</t>
        </is>
      </c>
      <c r="R897" s="43" t="inlineStr">
        <is>
          <t>Importe mensual cobrado (€) · 24 meses ▾</t>
        </is>
      </c>
      <c r="AA897" t="n">
        <v>56.161</v>
      </c>
    </row>
    <row r="898">
      <c r="A898" s="30" t="inlineStr">
        <is>
          <t>P3 Energía</t>
        </is>
      </c>
      <c r="B898" s="31">
        <f>IF($P$896&lt;&gt;"",ROUND(AA898*(($AB$896/(1-$P$896))-29.7850)/31.0224,2),IF('Resumen'!$D$3="OPTIMIZAR",ROUND(MAX(AA898,MIN(AA898*(($AB$896/(1-'Resumen'!$F$3))-29.7850)/31.0224,AA898*(98.4128)/31.0224)),3),AA898))</f>
        <v/>
      </c>
      <c r="C898" s="44" t="n"/>
      <c r="D898" s="33" t="n">
        <v>0.111171</v>
      </c>
      <c r="E898" s="34" t="n">
        <v>0.13788</v>
      </c>
      <c r="F898" s="35">
        <f>ROUND(B898*E898,2)</f>
        <v/>
      </c>
      <c r="H898" s="36" t="n">
        <v>98.77</v>
      </c>
      <c r="I898" s="37" t="n">
        <v>0.13788</v>
      </c>
      <c r="J898" s="38">
        <f>ROUND(H898*I898,2)</f>
        <v/>
      </c>
      <c r="L898" s="39" t="n">
        <v>97.56100000000001</v>
      </c>
      <c r="M898" s="40" t="n">
        <v>0.13788</v>
      </c>
      <c r="N898" s="41">
        <f>ROUND(L898*M898,2)</f>
        <v/>
      </c>
      <c r="O898" s="46" t="inlineStr">
        <is>
          <t>en proporción para ese margen</t>
        </is>
      </c>
      <c r="AA898" t="n">
        <v>98.35899999999999</v>
      </c>
    </row>
    <row r="899">
      <c r="A899" s="30" t="inlineStr">
        <is>
          <t>Alquiler contador</t>
        </is>
      </c>
      <c r="B899" s="31" t="n">
        <v>1</v>
      </c>
      <c r="C899" s="32">
        <f>$N$891-$L$891+1</f>
        <v/>
      </c>
      <c r="D899" s="33" t="n">
        <v>0.7989000000000001</v>
      </c>
      <c r="E899" s="34" t="n">
        <v>3</v>
      </c>
      <c r="F899" s="35">
        <f>ROUND(B899*E899,2)</f>
        <v/>
      </c>
      <c r="H899" s="36" t="n">
        <v>1</v>
      </c>
      <c r="I899" s="37" t="n">
        <v>3</v>
      </c>
      <c r="J899" s="38">
        <f>ROUND(H899*I899,2)</f>
        <v/>
      </c>
      <c r="L899" s="39" t="n">
        <v>1</v>
      </c>
      <c r="M899" s="40" t="n">
        <v>3</v>
      </c>
      <c r="N899" s="41">
        <f>ROUND(L899*M899,2)</f>
        <v/>
      </c>
    </row>
    <row r="900">
      <c r="A900" s="30" t="inlineStr">
        <is>
          <t>Bono social</t>
        </is>
      </c>
      <c r="B900" s="31" t="n">
        <v>30</v>
      </c>
      <c r="C900" s="32">
        <f>$N$891-$L$891+1</f>
        <v/>
      </c>
      <c r="D900" s="33" t="n">
        <v>0.5736</v>
      </c>
      <c r="E900" s="34" t="n">
        <v>0.01274</v>
      </c>
      <c r="F900" s="35">
        <f>ROUND(B900*E900,2)</f>
        <v/>
      </c>
      <c r="H900" s="36" t="n">
        <v>30</v>
      </c>
      <c r="I900" s="37" t="n">
        <v>0.01274</v>
      </c>
      <c r="J900" s="38">
        <f>ROUND(H900*I900,2)</f>
        <v/>
      </c>
      <c r="L900" s="39" t="n">
        <v>30</v>
      </c>
      <c r="M900" s="40" t="n">
        <v>0.00629</v>
      </c>
      <c r="N900" s="41">
        <f>ROUND(L900*M900,2)</f>
        <v/>
      </c>
    </row>
    <row r="901">
      <c r="A901" s="30" t="inlineStr">
        <is>
          <t>Tasa eléctrica</t>
        </is>
      </c>
      <c r="B901" s="31" t="n">
        <v>3.12</v>
      </c>
      <c r="C901" s="44" t="n"/>
      <c r="D901" s="33" t="n">
        <v>0.02671</v>
      </c>
      <c r="E901" s="34" t="n">
        <v>1</v>
      </c>
      <c r="F901" s="35">
        <f>ROUND(B901*E901,2)</f>
        <v/>
      </c>
      <c r="H901" s="36" t="n">
        <v>3.24</v>
      </c>
      <c r="I901" s="37" t="n">
        <v>1</v>
      </c>
      <c r="J901" s="38">
        <f>ROUND(H901*I901,2)</f>
        <v/>
      </c>
      <c r="L901" s="39" t="n">
        <v>2.92</v>
      </c>
      <c r="M901" s="40" t="n">
        <v>1</v>
      </c>
      <c r="N901" s="41">
        <f>ROUND(L901*M901,2)</f>
        <v/>
      </c>
    </row>
    <row r="902">
      <c r="A902" s="47" t="inlineStr">
        <is>
          <t>TOTAL c/IVA</t>
        </is>
      </c>
      <c r="F902" s="48">
        <f>ROUND((SUM(F894:F901)-F901)*1.1+F901,2)</f>
        <v/>
      </c>
      <c r="J902" s="49">
        <f>ROUND(SUM(J894:J901),2)</f>
        <v/>
      </c>
      <c r="N902" s="50">
        <f>ROUND(SUM(N894:N901),2)</f>
        <v/>
      </c>
    </row>
    <row r="903">
      <c r="A903" s="19" t="inlineStr">
        <is>
          <t>MARGEN sin registrar</t>
        </is>
      </c>
      <c r="B903" s="51">
        <f>IF((F897+F894+F896+F898+F895)=0,"",((F897+F894+F896+F898+F895)-$AB$896)/(F897+F894+F896+F898+F895))</f>
        <v/>
      </c>
      <c r="D903" s="52">
        <f>IF(B903="","SIN PC",IF(B903&gt;=0.3,"APROBAR",IF(B903&gt;=0.2,"REVISAR","RECHAZAR")))</f>
        <v/>
      </c>
      <c r="E903" s="53" t="n"/>
      <c r="F903" s="54" t="n"/>
      <c r="AD903">
        <f>SUM(F896:F898)-31.0224</f>
        <v/>
      </c>
    </row>
    <row r="905">
      <c r="A905" s="15" t="inlineStr">
        <is>
          <t>Factura 8626 · C01460 · MARCUS JOHANNES MULLER</t>
        </is>
      </c>
      <c r="H905" s="15" t="inlineStr">
        <is>
          <t>ES0021000001504069FG · Naturgy</t>
        </is>
      </c>
      <c r="L905" s="16" t="n">
        <v>46113</v>
      </c>
      <c r="M905" s="17" t="inlineStr">
        <is>
          <t>a</t>
        </is>
      </c>
      <c r="N905" s="16" t="n">
        <v>46142</v>
      </c>
      <c r="R905" s="18" t="inlineStr">
        <is>
          <t>HISTÓRICO DEL CUPS · HOJA TTVA LUZ</t>
        </is>
      </c>
    </row>
    <row r="906">
      <c r="A906" s="19" t="inlineStr">
        <is>
          <t>Concepto</t>
        </is>
      </c>
      <c r="B906" s="20" t="inlineStr">
        <is>
          <t>PENDIENTE (sin registrar)</t>
        </is>
      </c>
      <c r="C906" s="21" t="n"/>
      <c r="D906" s="21" t="n"/>
      <c r="E906" s="21" t="n"/>
      <c r="F906" s="21" t="n"/>
      <c r="H906" s="22" t="inlineStr">
        <is>
          <t>MES ANTERIOR · Fact.6418</t>
        </is>
      </c>
      <c r="I906" s="23" t="n"/>
      <c r="J906" s="23" t="n"/>
      <c r="L906" s="24" t="inlineStr">
        <is>
          <t>AÑO ANTERIOR · Fact.4621</t>
        </is>
      </c>
      <c r="M906" s="25" t="n"/>
      <c r="N906" s="25" t="n"/>
      <c r="R906" s="26" t="inlineStr">
        <is>
          <t>Cobrado total: 937 €</t>
        </is>
      </c>
    </row>
    <row r="907">
      <c r="B907" s="7" t="inlineStr">
        <is>
          <t>Cant</t>
        </is>
      </c>
      <c r="C907" s="7" t="inlineStr">
        <is>
          <t>Días</t>
        </is>
      </c>
      <c r="D907" s="7" t="inlineStr">
        <is>
          <t>PC real</t>
        </is>
      </c>
      <c r="E907" s="7" t="inlineStr">
        <is>
          <t>PV</t>
        </is>
      </c>
      <c r="F907" s="7" t="inlineStr">
        <is>
          <t>Importe</t>
        </is>
      </c>
      <c r="H907" s="27" t="inlineStr">
        <is>
          <t>Cant</t>
        </is>
      </c>
      <c r="I907" s="27" t="inlineStr">
        <is>
          <t>PV</t>
        </is>
      </c>
      <c r="J907" s="27" t="inlineStr">
        <is>
          <t>Importe</t>
        </is>
      </c>
      <c r="L907" s="28" t="inlineStr">
        <is>
          <t>Cant</t>
        </is>
      </c>
      <c r="M907" s="28" t="inlineStr">
        <is>
          <t>PV</t>
        </is>
      </c>
      <c r="N907" s="28" t="inlineStr">
        <is>
          <t>Importe</t>
        </is>
      </c>
      <c r="R907" s="29" t="inlineStr">
        <is>
          <t>Pagado total: 857 €</t>
        </is>
      </c>
    </row>
    <row r="908">
      <c r="A908" s="30" t="inlineStr">
        <is>
          <t>P1 Potencia</t>
        </is>
      </c>
      <c r="B908" s="31" t="n">
        <v>8</v>
      </c>
      <c r="C908" s="32">
        <f>$N$905-$L$905+1</f>
        <v/>
      </c>
      <c r="D908" s="33" t="n">
        <v>3.68919</v>
      </c>
      <c r="E908" s="34" t="n">
        <v>4.17</v>
      </c>
      <c r="F908" s="35">
        <f>ROUND(B908*E908,2)</f>
        <v/>
      </c>
      <c r="H908" s="36" t="n">
        <v>8</v>
      </c>
      <c r="I908" s="37" t="n">
        <v>4.17</v>
      </c>
      <c r="J908" s="38">
        <f>ROUND(H908*I908,2)</f>
        <v/>
      </c>
      <c r="L908" s="39" t="n">
        <v>8</v>
      </c>
      <c r="M908" s="40" t="n">
        <v>4.17</v>
      </c>
      <c r="N908" s="41">
        <f>ROUND(L908*M908,2)</f>
        <v/>
      </c>
      <c r="R908" s="42" t="inlineStr">
        <is>
          <t>DIF: 80 €   ·   Margen hist.: 8.6%</t>
        </is>
      </c>
    </row>
    <row r="909">
      <c r="A909" s="30" t="inlineStr">
        <is>
          <t>P2 Potencia</t>
        </is>
      </c>
      <c r="B909" s="31" t="n">
        <v>8</v>
      </c>
      <c r="C909" s="32">
        <f>$N$905-$L$905+1</f>
        <v/>
      </c>
      <c r="D909" s="33" t="n">
        <v>1.31928</v>
      </c>
      <c r="E909" s="34" t="n">
        <v>1.37</v>
      </c>
      <c r="F909" s="35">
        <f>ROUND(B909*E909,2)</f>
        <v/>
      </c>
      <c r="H909" s="36" t="n">
        <v>8</v>
      </c>
      <c r="I909" s="37" t="n">
        <v>1.37</v>
      </c>
      <c r="J909" s="38">
        <f>ROUND(H909*I909,2)</f>
        <v/>
      </c>
      <c r="L909" s="39" t="n">
        <v>8</v>
      </c>
      <c r="M909" s="40" t="n">
        <v>1.37</v>
      </c>
      <c r="N909" s="41">
        <f>ROUND(L909*M909,2)</f>
        <v/>
      </c>
      <c r="R909" s="43" t="inlineStr">
        <is>
          <t>Mejor mes: 2024-10 · 93 € · margen 36%</t>
        </is>
      </c>
    </row>
    <row r="910">
      <c r="A910" s="30" t="inlineStr">
        <is>
          <t>P1 Energía</t>
        </is>
      </c>
      <c r="B910" s="31">
        <f>IF($P$910&lt;&gt;"",ROUND(AA910*(($AB$910/(1-$P$910))-44.3200)/10.3071,2),IF('Resumen'!$D$3="OPTIMIZAR",ROUND(MAX(AA910,MIN(AA910*(($AB$910/(1-'Resumen'!$F$3))-44.3200)/10.3071,AA910*(42.4378)/10.3071)),3),AA910))</f>
        <v/>
      </c>
      <c r="C910" s="44" t="n"/>
      <c r="D910" s="33" t="n">
        <v>0.111171</v>
      </c>
      <c r="E910" s="34" t="n">
        <v>0.14937</v>
      </c>
      <c r="F910" s="35">
        <f>ROUND(B910*E910,2)</f>
        <v/>
      </c>
      <c r="H910" s="36" t="n">
        <v>10.161</v>
      </c>
      <c r="I910" s="37" t="n">
        <v>0.14937</v>
      </c>
      <c r="J910" s="38">
        <f>ROUND(H910*I910,2)</f>
        <v/>
      </c>
      <c r="L910" s="39" t="n">
        <v>16.125</v>
      </c>
      <c r="M910" s="40" t="n">
        <v>0.14937</v>
      </c>
      <c r="N910" s="41">
        <f>ROUND(L910*M910,2)</f>
        <v/>
      </c>
      <c r="O910" s="45" t="inlineStr">
        <is>
          <t>Margen objetivo (edita % aquí) ▶</t>
        </is>
      </c>
      <c r="P910" s="5" t="n"/>
      <c r="R910" s="43" t="inlineStr">
        <is>
          <t>Peor mes: 2024-07 · 8 €</t>
        </is>
      </c>
      <c r="AA910" t="n">
        <v>18.702</v>
      </c>
      <c r="AB910">
        <f>B908*D908+B909*D909+AA910*D910+AA911*D911+AA912*D912</f>
        <v/>
      </c>
    </row>
    <row r="911">
      <c r="A911" s="30" t="inlineStr">
        <is>
          <t>P2 Energía</t>
        </is>
      </c>
      <c r="B911" s="31">
        <f>IF($P$910&lt;&gt;"",ROUND(AA911*(($AB$910/(1-$P$910))-44.3200)/10.3071,2),IF('Resumen'!$D$3="OPTIMIZAR",ROUND(MAX(AA911,MIN(AA911*(($AB$910/(1-'Resumen'!$F$3))-44.3200)/10.3071,AA911*(42.4378)/10.3071)),3),AA911))</f>
        <v/>
      </c>
      <c r="C911" s="44" t="n"/>
      <c r="D911" s="33" t="n">
        <v>0.111171</v>
      </c>
      <c r="E911" s="34" t="n">
        <v>0.14937</v>
      </c>
      <c r="F911" s="35">
        <f>ROUND(B911*E911,2)</f>
        <v/>
      </c>
      <c r="H911" s="36" t="n">
        <v>5.62</v>
      </c>
      <c r="I911" s="37" t="n">
        <v>0.14937</v>
      </c>
      <c r="J911" s="38">
        <f>ROUND(H911*I911,2)</f>
        <v/>
      </c>
      <c r="L911" s="39" t="n">
        <v>32.41</v>
      </c>
      <c r="M911" s="40" t="n">
        <v>0.14937</v>
      </c>
      <c r="N911" s="41">
        <f>ROUND(L911*M911,2)</f>
        <v/>
      </c>
      <c r="O911" s="46" t="inlineStr">
        <is>
          <t>Cant. P1/P2/P3 energía suben</t>
        </is>
      </c>
      <c r="R911" s="43" t="inlineStr">
        <is>
          <t>Importe mensual cobrado (€) · 24 meses ▾</t>
        </is>
      </c>
      <c r="AA911" t="n">
        <v>11.327</v>
      </c>
    </row>
    <row r="912">
      <c r="A912" s="30" t="inlineStr">
        <is>
          <t>P3 Energía</t>
        </is>
      </c>
      <c r="B912" s="31">
        <f>IF($P$910&lt;&gt;"",ROUND(AA912*(($AB$910/(1-$P$910))-44.3200)/10.3071,2),IF('Resumen'!$D$3="OPTIMIZAR",ROUND(MAX(AA912,MIN(AA912*(($AB$910/(1-'Resumen'!$F$3))-44.3200)/10.3071,AA912*(42.4378)/10.3071)),3),AA912))</f>
        <v/>
      </c>
      <c r="C912" s="44" t="n"/>
      <c r="D912" s="33" t="n">
        <v>0.111171</v>
      </c>
      <c r="E912" s="34" t="n">
        <v>0.14937</v>
      </c>
      <c r="F912" s="35">
        <f>ROUND(B912*E912,2)</f>
        <v/>
      </c>
      <c r="H912" s="36" t="n">
        <v>8.715</v>
      </c>
      <c r="I912" s="37" t="n">
        <v>0.14937</v>
      </c>
      <c r="J912" s="38">
        <f>ROUND(H912*I912,2)</f>
        <v/>
      </c>
      <c r="L912" s="39" t="n">
        <v>76.93300000000001</v>
      </c>
      <c r="M912" s="40" t="n">
        <v>0.14937</v>
      </c>
      <c r="N912" s="41">
        <f>ROUND(L912*M912,2)</f>
        <v/>
      </c>
      <c r="O912" s="46" t="inlineStr">
        <is>
          <t>en proporción para ese margen</t>
        </is>
      </c>
      <c r="AA912" t="n">
        <v>38.975</v>
      </c>
    </row>
    <row r="913">
      <c r="A913" s="30" t="inlineStr">
        <is>
          <t>Alquiler contador</t>
        </is>
      </c>
      <c r="B913" s="31" t="n">
        <v>1</v>
      </c>
      <c r="C913" s="32">
        <f>$N$905-$L$905+1</f>
        <v/>
      </c>
      <c r="D913" s="33" t="n">
        <v>1.3414</v>
      </c>
      <c r="E913" s="34" t="n">
        <v>4</v>
      </c>
      <c r="F913" s="35">
        <f>ROUND(B913*E913,2)</f>
        <v/>
      </c>
      <c r="H913" s="36" t="n">
        <v>1</v>
      </c>
      <c r="I913" s="37" t="n">
        <v>4</v>
      </c>
      <c r="J913" s="38">
        <f>ROUND(H913*I913,2)</f>
        <v/>
      </c>
      <c r="L913" s="39" t="n">
        <v>1</v>
      </c>
      <c r="M913" s="40" t="n">
        <v>4</v>
      </c>
      <c r="N913" s="41">
        <f>ROUND(L913*M913,2)</f>
        <v/>
      </c>
    </row>
    <row r="914">
      <c r="A914" s="30" t="inlineStr">
        <is>
          <t>Bono social</t>
        </is>
      </c>
      <c r="B914" s="31" t="n">
        <v>30</v>
      </c>
      <c r="C914" s="32">
        <f>$N$905-$L$905+1</f>
        <v/>
      </c>
      <c r="D914" s="33" t="n">
        <v>0.5736</v>
      </c>
      <c r="E914" s="34" t="n">
        <v>0.01274</v>
      </c>
      <c r="F914" s="35">
        <f>ROUND(B914*E914,2)</f>
        <v/>
      </c>
      <c r="H914" s="36" t="n">
        <v>30</v>
      </c>
      <c r="I914" s="37" t="n">
        <v>0.01274</v>
      </c>
      <c r="J914" s="38">
        <f>ROUND(H914*I914,2)</f>
        <v/>
      </c>
      <c r="L914" s="39" t="n">
        <v>30</v>
      </c>
      <c r="M914" s="40" t="n">
        <v>0.00629</v>
      </c>
      <c r="N914" s="41">
        <f>ROUND(L914*M914,2)</f>
        <v/>
      </c>
    </row>
    <row r="915">
      <c r="A915" s="30" t="inlineStr">
        <is>
          <t>Tasa eléctrica</t>
        </is>
      </c>
      <c r="B915" s="31" t="n">
        <v>2.27</v>
      </c>
      <c r="C915" s="44" t="n"/>
      <c r="D915" s="33" t="n">
        <v>0.27312</v>
      </c>
      <c r="E915" s="34" t="n">
        <v>1</v>
      </c>
      <c r="F915" s="35">
        <f>ROUND(B915*E915,2)</f>
        <v/>
      </c>
      <c r="H915" s="36" t="n">
        <v>2.27</v>
      </c>
      <c r="I915" s="37" t="n">
        <v>1</v>
      </c>
      <c r="J915" s="38">
        <f>ROUND(H915*I915,2)</f>
        <v/>
      </c>
      <c r="L915" s="39" t="n">
        <v>2.27</v>
      </c>
      <c r="M915" s="40" t="n">
        <v>1</v>
      </c>
      <c r="N915" s="41">
        <f>ROUND(L915*M915,2)</f>
        <v/>
      </c>
    </row>
    <row r="916">
      <c r="A916" s="47" t="inlineStr">
        <is>
          <t>TOTAL c/IVA</t>
        </is>
      </c>
      <c r="F916" s="48">
        <f>ROUND((SUM(F908:F915)-F915)*1.1+F915,2)</f>
        <v/>
      </c>
      <c r="J916" s="49">
        <f>ROUND(SUM(J908:J915),2)</f>
        <v/>
      </c>
      <c r="N916" s="50">
        <f>ROUND(SUM(N908:N915),2)</f>
        <v/>
      </c>
    </row>
    <row r="917">
      <c r="A917" s="19" t="inlineStr">
        <is>
          <t>MARGEN sin registrar</t>
        </is>
      </c>
      <c r="B917" s="51">
        <f>IF((F911+F908+F910+F912+F909)=0,"",((F911+F908+F910+F912+F909)-$AB$910)/(F911+F908+F910+F912+F909))</f>
        <v/>
      </c>
      <c r="D917" s="52">
        <f>IF(B917="","SIN PC",IF(B917&gt;=0.3,"APROBAR",IF(B917&gt;=0.2,"REVISAR","RECHAZAR")))</f>
        <v/>
      </c>
      <c r="E917" s="53" t="n"/>
      <c r="F917" s="54" t="n"/>
      <c r="AD917">
        <f>SUM(F910:F912)-10.3071</f>
        <v/>
      </c>
    </row>
    <row r="918">
      <c r="A918" s="55" t="inlineStr">
        <is>
          <t>☀ EXCEDENTES SOLARES (kWh vertidos reales)</t>
        </is>
      </c>
      <c r="B918" s="56" t="n"/>
      <c r="C918" s="56" t="n"/>
      <c r="D918" s="56" t="n"/>
      <c r="E918" s="56" t="n"/>
      <c r="F918" s="56" t="n"/>
    </row>
    <row r="919">
      <c r="A919" s="57" t="inlineStr">
        <is>
          <t>Concepto</t>
        </is>
      </c>
      <c r="B919" s="57" t="inlineStr">
        <is>
          <t>kWh</t>
        </is>
      </c>
      <c r="D919" s="57" t="inlineStr">
        <is>
          <t>€/kWh compra</t>
        </is>
      </c>
      <c r="E919" s="57" t="inlineStr">
        <is>
          <t>€/kWh venta</t>
        </is>
      </c>
      <c r="F919" s="57" t="inlineStr">
        <is>
          <t>Importe</t>
        </is>
      </c>
    </row>
    <row r="920">
      <c r="A920" s="58" t="inlineStr">
        <is>
          <t>Compra excedentes (vertido red)</t>
        </is>
      </c>
      <c r="B920" s="59" t="n">
        <v>497</v>
      </c>
      <c r="C920" s="60" t="n"/>
      <c r="D920" s="33" t="n">
        <v>0.06</v>
      </c>
      <c r="E920" s="60" t="n"/>
      <c r="F920" s="61">
        <f>ROUND(B920*D920,2)</f>
        <v/>
      </c>
    </row>
    <row r="921">
      <c r="A921" s="58" t="inlineStr">
        <is>
          <t>Venta cliente (saldo batería, 1043)</t>
        </is>
      </c>
      <c r="B921" s="60" t="n"/>
      <c r="C921" s="60" t="n"/>
      <c r="D921" s="60" t="n"/>
      <c r="E921" s="62" t="n">
        <v>0.06</v>
      </c>
      <c r="F921" s="61" t="n">
        <v>10.3</v>
      </c>
    </row>
    <row r="922">
      <c r="A922" s="63" t="inlineStr">
        <is>
          <t>NETO Transactiva (compra − venta)</t>
        </is>
      </c>
      <c r="B922" s="60" t="n"/>
      <c r="C922" s="60" t="n"/>
      <c r="D922" s="60" t="n"/>
      <c r="E922" s="60" t="n"/>
      <c r="F922" s="64">
        <f>F920-F921</f>
        <v/>
      </c>
    </row>
    <row r="924">
      <c r="A924" s="15" t="inlineStr">
        <is>
          <t>Factura 8627 · C01470 · LIEUWE KOOPMANS</t>
        </is>
      </c>
      <c r="H924" s="15" t="inlineStr">
        <is>
          <t>ES0021000000845404GJ · Naturgy</t>
        </is>
      </c>
      <c r="L924" s="16" t="n">
        <v>46113</v>
      </c>
      <c r="M924" s="17" t="inlineStr">
        <is>
          <t>a</t>
        </is>
      </c>
      <c r="N924" s="16" t="n">
        <v>46142</v>
      </c>
      <c r="R924" s="18" t="inlineStr">
        <is>
          <t>HISTÓRICO DEL CUPS · HOJA TTVA LUZ</t>
        </is>
      </c>
    </row>
    <row r="925">
      <c r="A925" s="19" t="inlineStr">
        <is>
          <t>Concepto</t>
        </is>
      </c>
      <c r="B925" s="20" t="inlineStr">
        <is>
          <t>PENDIENTE (sin registrar)</t>
        </is>
      </c>
      <c r="C925" s="21" t="n"/>
      <c r="D925" s="21" t="n"/>
      <c r="E925" s="21" t="n"/>
      <c r="F925" s="21" t="n"/>
      <c r="H925" s="22" t="inlineStr">
        <is>
          <t>MES ANTERIOR · Fact.6417</t>
        </is>
      </c>
      <c r="I925" s="23" t="n"/>
      <c r="J925" s="23" t="n"/>
      <c r="L925" s="24" t="inlineStr">
        <is>
          <t>AÑO ANTERIOR · Fact.4620</t>
        </is>
      </c>
      <c r="M925" s="25" t="n"/>
      <c r="N925" s="25" t="n"/>
      <c r="R925" s="26" t="inlineStr">
        <is>
          <t>Cobrado total: 1.174 €</t>
        </is>
      </c>
    </row>
    <row r="926">
      <c r="B926" s="7" t="inlineStr">
        <is>
          <t>Cant</t>
        </is>
      </c>
      <c r="C926" s="7" t="inlineStr">
        <is>
          <t>Días</t>
        </is>
      </c>
      <c r="D926" s="7" t="inlineStr">
        <is>
          <t>PC real</t>
        </is>
      </c>
      <c r="E926" s="7" t="inlineStr">
        <is>
          <t>PV</t>
        </is>
      </c>
      <c r="F926" s="7" t="inlineStr">
        <is>
          <t>Importe</t>
        </is>
      </c>
      <c r="H926" s="27" t="inlineStr">
        <is>
          <t>Cant</t>
        </is>
      </c>
      <c r="I926" s="27" t="inlineStr">
        <is>
          <t>PV</t>
        </is>
      </c>
      <c r="J926" s="27" t="inlineStr">
        <is>
          <t>Importe</t>
        </is>
      </c>
      <c r="L926" s="28" t="inlineStr">
        <is>
          <t>Cant</t>
        </is>
      </c>
      <c r="M926" s="28" t="inlineStr">
        <is>
          <t>PV</t>
        </is>
      </c>
      <c r="N926" s="28" t="inlineStr">
        <is>
          <t>Importe</t>
        </is>
      </c>
      <c r="R926" s="29" t="inlineStr">
        <is>
          <t>Pagado total: 817 €</t>
        </is>
      </c>
    </row>
    <row r="927">
      <c r="A927" s="30" t="inlineStr">
        <is>
          <t>P1 Potencia</t>
        </is>
      </c>
      <c r="B927" s="31" t="n">
        <v>5.75</v>
      </c>
      <c r="C927" s="32">
        <f>$N$924-$L$924+1</f>
        <v/>
      </c>
      <c r="D927" s="33" t="n">
        <v>3.4086</v>
      </c>
      <c r="E927" s="34" t="n">
        <v>3.85</v>
      </c>
      <c r="F927" s="35">
        <f>ROUND(B927*E927,2)</f>
        <v/>
      </c>
      <c r="H927" s="36" t="n">
        <v>5.75</v>
      </c>
      <c r="I927" s="37" t="n">
        <v>3.85</v>
      </c>
      <c r="J927" s="38">
        <f>ROUND(H927*I927,2)</f>
        <v/>
      </c>
      <c r="L927" s="39" t="n">
        <v>5.75</v>
      </c>
      <c r="M927" s="40" t="n">
        <v>3.85</v>
      </c>
      <c r="N927" s="41">
        <f>ROUND(L927*M927,2)</f>
        <v/>
      </c>
      <c r="R927" s="42" t="inlineStr">
        <is>
          <t>DIF: 357 €   ·   Margen hist.: 30.4%</t>
        </is>
      </c>
    </row>
    <row r="928">
      <c r="A928" s="30" t="inlineStr">
        <is>
          <t>P2 Potencia</t>
        </is>
      </c>
      <c r="B928" s="31" t="n">
        <v>5.75</v>
      </c>
      <c r="C928" s="32">
        <f>$N$924-$L$924+1</f>
        <v/>
      </c>
      <c r="D928" s="33" t="n">
        <v>1.09728</v>
      </c>
      <c r="E928" s="34" t="n">
        <v>1.33</v>
      </c>
      <c r="F928" s="35">
        <f>ROUND(B928*E928,2)</f>
        <v/>
      </c>
      <c r="H928" s="36" t="n">
        <v>5.75</v>
      </c>
      <c r="I928" s="37" t="n">
        <v>1.33</v>
      </c>
      <c r="J928" s="38">
        <f>ROUND(H928*I928,2)</f>
        <v/>
      </c>
      <c r="L928" s="39" t="n">
        <v>5.75</v>
      </c>
      <c r="M928" s="40" t="n">
        <v>1.33</v>
      </c>
      <c r="N928" s="41">
        <f>ROUND(L928*M928,2)</f>
        <v/>
      </c>
      <c r="R928" s="43" t="inlineStr">
        <is>
          <t>Mejor mes: 2024-08 · 134 € · margen 42%</t>
        </is>
      </c>
    </row>
    <row r="929">
      <c r="A929" s="30" t="inlineStr">
        <is>
          <t>P1 Energía</t>
        </is>
      </c>
      <c r="B929" s="31">
        <f>IF($P$929&lt;&gt;"",ROUND(AA929*(($AB$929/(1-$P$929))-29.7850)/22.5536,2),IF('Resumen'!$D$3="OPTIMIZAR",ROUND(MAX(AA929,MIN(AA929*(($AB$929/(1-'Resumen'!$F$3))-29.7850)/22.5536,AA929*(99.4728)/22.5536)),3),AA929))</f>
        <v/>
      </c>
      <c r="C929" s="44" t="n"/>
      <c r="D929" s="33" t="n">
        <v>0.110306</v>
      </c>
      <c r="E929" s="34" t="n">
        <v>0.13788</v>
      </c>
      <c r="F929" s="35">
        <f>ROUND(B929*E929,2)</f>
        <v/>
      </c>
      <c r="H929" s="36" t="n">
        <v>143.791</v>
      </c>
      <c r="I929" s="37" t="n">
        <v>0.13788</v>
      </c>
      <c r="J929" s="38">
        <f>ROUND(H929*I929,2)</f>
        <v/>
      </c>
      <c r="L929" s="39" t="n">
        <v>47.398</v>
      </c>
      <c r="M929" s="40" t="n">
        <v>0.13788</v>
      </c>
      <c r="N929" s="41">
        <f>ROUND(L929*M929,2)</f>
        <v/>
      </c>
      <c r="O929" s="45" t="inlineStr">
        <is>
          <t>Margen objetivo (edita % aquí) ▶</t>
        </is>
      </c>
      <c r="P929" s="5" t="n"/>
      <c r="R929" s="43" t="inlineStr">
        <is>
          <t>Peor mes: 2023-10 · 5 €</t>
        </is>
      </c>
      <c r="AA929" t="n">
        <v>27.781</v>
      </c>
      <c r="AB929">
        <f>B927*D927+B928*D928+AA929*D929+AA930*D930+AA931*D931</f>
        <v/>
      </c>
    </row>
    <row r="930">
      <c r="A930" s="30" t="inlineStr">
        <is>
          <t>P2 Energía</t>
        </is>
      </c>
      <c r="B930" s="31">
        <f>IF($P$929&lt;&gt;"",ROUND(AA930*(($AB$929/(1-$P$929))-29.7850)/22.5536,2),IF('Resumen'!$D$3="OPTIMIZAR",ROUND(MAX(AA930,MIN(AA930*(($AB$929/(1-'Resumen'!$F$3))-29.7850)/22.5536,AA930*(99.4728)/22.5536)),3),AA930))</f>
        <v/>
      </c>
      <c r="C930" s="44" t="n"/>
      <c r="D930" s="33" t="n">
        <v>0.110306</v>
      </c>
      <c r="E930" s="34" t="n">
        <v>0.13788</v>
      </c>
      <c r="F930" s="35">
        <f>ROUND(B930*E930,2)</f>
        <v/>
      </c>
      <c r="H930" s="36" t="n">
        <v>150.307</v>
      </c>
      <c r="I930" s="37" t="n">
        <v>0.13788</v>
      </c>
      <c r="J930" s="38">
        <f>ROUND(H930*I930,2)</f>
        <v/>
      </c>
      <c r="L930" s="39" t="n">
        <v>43.539</v>
      </c>
      <c r="M930" s="40" t="n">
        <v>0.13788</v>
      </c>
      <c r="N930" s="41">
        <f>ROUND(L930*M930,2)</f>
        <v/>
      </c>
      <c r="O930" s="46" t="inlineStr">
        <is>
          <t>Cant. P1/P2/P3 energía suben</t>
        </is>
      </c>
      <c r="R930" s="43" t="inlineStr">
        <is>
          <t>Importe mensual cobrado (€) · 24 meses ▾</t>
        </is>
      </c>
      <c r="AA930" t="n">
        <v>24.761</v>
      </c>
    </row>
    <row r="931">
      <c r="A931" s="30" t="inlineStr">
        <is>
          <t>P3 Energía</t>
        </is>
      </c>
      <c r="B931" s="31">
        <f>IF($P$929&lt;&gt;"",ROUND(AA931*(($AB$929/(1-$P$929))-29.7850)/22.5536,2),IF('Resumen'!$D$3="OPTIMIZAR",ROUND(MAX(AA931,MIN(AA931*(($AB$929/(1-'Resumen'!$F$3))-29.7850)/22.5536,AA931*(99.4728)/22.5536)),3),AA931))</f>
        <v/>
      </c>
      <c r="C931" s="44" t="n"/>
      <c r="D931" s="33" t="n">
        <v>0.110306</v>
      </c>
      <c r="E931" s="34" t="n">
        <v>0.13788</v>
      </c>
      <c r="F931" s="35">
        <f>ROUND(B931*E931,2)</f>
        <v/>
      </c>
      <c r="H931" s="36" t="n">
        <v>318.111</v>
      </c>
      <c r="I931" s="37" t="n">
        <v>0.13788</v>
      </c>
      <c r="J931" s="38">
        <f>ROUND(H931*I931,2)</f>
        <v/>
      </c>
      <c r="L931" s="39" t="n">
        <v>128.628</v>
      </c>
      <c r="M931" s="40" t="n">
        <v>0.13788</v>
      </c>
      <c r="N931" s="41">
        <f>ROUND(L931*M931,2)</f>
        <v/>
      </c>
      <c r="O931" s="46" t="inlineStr">
        <is>
          <t>en proporción para ese margen</t>
        </is>
      </c>
      <c r="AA931" t="n">
        <v>111.032</v>
      </c>
    </row>
    <row r="932">
      <c r="A932" s="30" t="inlineStr">
        <is>
          <t>Alquiler contador</t>
        </is>
      </c>
      <c r="B932" s="31" t="n">
        <v>1</v>
      </c>
      <c r="C932" s="32">
        <f>$N$924-$L$924+1</f>
        <v/>
      </c>
      <c r="D932" s="33" t="n">
        <v>0.7989000000000001</v>
      </c>
      <c r="E932" s="34" t="n">
        <v>3</v>
      </c>
      <c r="F932" s="35">
        <f>ROUND(B932*E932,2)</f>
        <v/>
      </c>
      <c r="H932" s="36" t="n">
        <v>1</v>
      </c>
      <c r="I932" s="37" t="n">
        <v>3</v>
      </c>
      <c r="J932" s="38">
        <f>ROUND(H932*I932,2)</f>
        <v/>
      </c>
      <c r="L932" s="39" t="n">
        <v>1</v>
      </c>
      <c r="M932" s="40" t="n">
        <v>3</v>
      </c>
      <c r="N932" s="41">
        <f>ROUND(L932*M932,2)</f>
        <v/>
      </c>
    </row>
    <row r="933">
      <c r="A933" s="30" t="inlineStr">
        <is>
          <t>Bono social</t>
        </is>
      </c>
      <c r="B933" s="31" t="n">
        <v>30</v>
      </c>
      <c r="C933" s="32">
        <f>$N$924-$L$924+1</f>
        <v/>
      </c>
      <c r="D933" s="33" t="n">
        <v>0.5736</v>
      </c>
      <c r="E933" s="34" t="n">
        <v>0.01274</v>
      </c>
      <c r="F933" s="35">
        <f>ROUND(B933*E933,2)</f>
        <v/>
      </c>
      <c r="H933" s="36" t="n">
        <v>30</v>
      </c>
      <c r="I933" s="37" t="n">
        <v>0.01274</v>
      </c>
      <c r="J933" s="38">
        <f>ROUND(H933*I933,2)</f>
        <v/>
      </c>
      <c r="L933" s="39" t="n">
        <v>30</v>
      </c>
      <c r="M933" s="40" t="n">
        <v>0.00629</v>
      </c>
      <c r="N933" s="41">
        <f>ROUND(L933*M933,2)</f>
        <v/>
      </c>
    </row>
    <row r="934">
      <c r="A934" s="30" t="inlineStr">
        <is>
          <t>Tasa eléctrica</t>
        </is>
      </c>
      <c r="B934" s="31" t="n">
        <v>1.53</v>
      </c>
      <c r="C934" s="44" t="n"/>
      <c r="D934" s="33" t="n">
        <v>0.24729</v>
      </c>
      <c r="E934" s="34" t="n">
        <v>1</v>
      </c>
      <c r="F934" s="35">
        <f>ROUND(B934*E934,2)</f>
        <v/>
      </c>
      <c r="H934" s="36" t="n">
        <v>4.75</v>
      </c>
      <c r="I934" s="37" t="n">
        <v>1</v>
      </c>
      <c r="J934" s="38">
        <f>ROUND(H934*I934,2)</f>
        <v/>
      </c>
      <c r="L934" s="39" t="n">
        <v>1.79</v>
      </c>
      <c r="M934" s="40" t="n">
        <v>1</v>
      </c>
      <c r="N934" s="41">
        <f>ROUND(L934*M934,2)</f>
        <v/>
      </c>
    </row>
    <row r="935">
      <c r="A935" s="47" t="inlineStr">
        <is>
          <t>TOTAL c/IVA</t>
        </is>
      </c>
      <c r="F935" s="48">
        <f>ROUND((SUM(F927:F934)-F934)*1.1+F934,2)</f>
        <v/>
      </c>
      <c r="J935" s="49">
        <f>ROUND(SUM(J927:J934),2)</f>
        <v/>
      </c>
      <c r="N935" s="50">
        <f>ROUND(SUM(N927:N934),2)</f>
        <v/>
      </c>
    </row>
    <row r="936">
      <c r="A936" s="19" t="inlineStr">
        <is>
          <t>MARGEN sin registrar</t>
        </is>
      </c>
      <c r="B936" s="51">
        <f>IF((F930+F927+F929+F931+F928)=0,"",((F930+F927+F929+F931+F928)-$AB$929)/(F930+F927+F929+F931+F928))</f>
        <v/>
      </c>
      <c r="D936" s="52">
        <f>IF(B936="","SIN PC",IF(B936&gt;=0.3,"APROBAR",IF(B936&gt;=0.2,"REVISAR","RECHAZAR")))</f>
        <v/>
      </c>
      <c r="E936" s="53" t="n"/>
      <c r="F936" s="54" t="n"/>
      <c r="AD936">
        <f>SUM(F929:F931)-22.5536</f>
        <v/>
      </c>
    </row>
    <row r="937">
      <c r="A937" s="55" t="inlineStr">
        <is>
          <t>☀ EXCEDENTES SOLARES (kWh vertidos reales)</t>
        </is>
      </c>
      <c r="B937" s="56" t="n"/>
      <c r="C937" s="56" t="n"/>
      <c r="D937" s="56" t="n"/>
      <c r="E937" s="56" t="n"/>
      <c r="F937" s="56" t="n"/>
    </row>
    <row r="938">
      <c r="A938" s="57" t="inlineStr">
        <is>
          <t>Concepto</t>
        </is>
      </c>
      <c r="B938" s="57" t="inlineStr">
        <is>
          <t>kWh</t>
        </is>
      </c>
      <c r="D938" s="57" t="inlineStr">
        <is>
          <t>€/kWh compra</t>
        </is>
      </c>
      <c r="E938" s="57" t="inlineStr">
        <is>
          <t>€/kWh venta</t>
        </is>
      </c>
      <c r="F938" s="57" t="inlineStr">
        <is>
          <t>Importe</t>
        </is>
      </c>
    </row>
    <row r="939">
      <c r="A939" s="58" t="inlineStr">
        <is>
          <t>Compra excedentes (vertido red)</t>
        </is>
      </c>
      <c r="B939" s="59" t="n">
        <v>696</v>
      </c>
      <c r="C939" s="60" t="n"/>
      <c r="D939" s="33" t="n">
        <v>0.06</v>
      </c>
      <c r="E939" s="60" t="n"/>
      <c r="F939" s="61">
        <f>ROUND(B939*D939,2)</f>
        <v/>
      </c>
    </row>
    <row r="940">
      <c r="A940" s="58" t="inlineStr">
        <is>
          <t>Venta cliente (saldo batería, 1043)</t>
        </is>
      </c>
      <c r="B940" s="60" t="n"/>
      <c r="C940" s="60" t="n"/>
      <c r="D940" s="60" t="n"/>
      <c r="E940" s="62" t="n">
        <v>0.06</v>
      </c>
      <c r="F940" s="61" t="n">
        <v>22.55</v>
      </c>
    </row>
    <row r="941">
      <c r="A941" s="63" t="inlineStr">
        <is>
          <t>NETO Transactiva (compra − venta)</t>
        </is>
      </c>
      <c r="B941" s="60" t="n"/>
      <c r="C941" s="60" t="n"/>
      <c r="D941" s="60" t="n"/>
      <c r="E941" s="60" t="n"/>
      <c r="F941" s="64">
        <f>F939-F940</f>
        <v/>
      </c>
    </row>
    <row r="943">
      <c r="A943" s="15" t="inlineStr">
        <is>
          <t>Factura 8628 · C01490 · JOSE EDUARDO BAYONA SOTOS</t>
        </is>
      </c>
      <c r="H943" s="15" t="inlineStr">
        <is>
          <t>ES0021000008703423SJ · Naturgy</t>
        </is>
      </c>
      <c r="L943" s="16" t="n">
        <v>46113</v>
      </c>
      <c r="M943" s="17" t="inlineStr">
        <is>
          <t>a</t>
        </is>
      </c>
      <c r="N943" s="16" t="n">
        <v>46142</v>
      </c>
      <c r="R943" s="18" t="inlineStr">
        <is>
          <t>HISTÓRICO DEL CUPS · HOJA TTVA LUZ</t>
        </is>
      </c>
    </row>
    <row r="944">
      <c r="A944" s="19" t="inlineStr">
        <is>
          <t>Concepto</t>
        </is>
      </c>
      <c r="B944" s="20" t="inlineStr">
        <is>
          <t>PENDIENTE (sin registrar)</t>
        </is>
      </c>
      <c r="C944" s="21" t="n"/>
      <c r="D944" s="21" t="n"/>
      <c r="E944" s="21" t="n"/>
      <c r="F944" s="21" t="n"/>
      <c r="H944" s="22" t="inlineStr">
        <is>
          <t>MES ANTERIOR · Fact.6416</t>
        </is>
      </c>
      <c r="I944" s="23" t="n"/>
      <c r="J944" s="23" t="n"/>
      <c r="L944" s="24" t="inlineStr">
        <is>
          <t>AÑO ANTERIOR · Fact.4619</t>
        </is>
      </c>
      <c r="M944" s="25" t="n"/>
      <c r="N944" s="25" t="n"/>
      <c r="R944" s="26" t="inlineStr">
        <is>
          <t>Cobrado total: 3.232 €</t>
        </is>
      </c>
    </row>
    <row r="945">
      <c r="B945" s="7" t="inlineStr">
        <is>
          <t>Cant</t>
        </is>
      </c>
      <c r="C945" s="7" t="inlineStr">
        <is>
          <t>Días</t>
        </is>
      </c>
      <c r="D945" s="7" t="inlineStr">
        <is>
          <t>PC real</t>
        </is>
      </c>
      <c r="E945" s="7" t="inlineStr">
        <is>
          <t>PV</t>
        </is>
      </c>
      <c r="F945" s="7" t="inlineStr">
        <is>
          <t>Importe</t>
        </is>
      </c>
      <c r="H945" s="27" t="inlineStr">
        <is>
          <t>Cant</t>
        </is>
      </c>
      <c r="I945" s="27" t="inlineStr">
        <is>
          <t>PV</t>
        </is>
      </c>
      <c r="J945" s="27" t="inlineStr">
        <is>
          <t>Importe</t>
        </is>
      </c>
      <c r="L945" s="28" t="inlineStr">
        <is>
          <t>Cant</t>
        </is>
      </c>
      <c r="M945" s="28" t="inlineStr">
        <is>
          <t>PV</t>
        </is>
      </c>
      <c r="N945" s="28" t="inlineStr">
        <is>
          <t>Importe</t>
        </is>
      </c>
      <c r="R945" s="29" t="inlineStr">
        <is>
          <t>Pagado total: 2.491 €</t>
        </is>
      </c>
    </row>
    <row r="946">
      <c r="A946" s="30" t="inlineStr">
        <is>
          <t>P1 Potencia</t>
        </is>
      </c>
      <c r="B946" s="31" t="n">
        <v>6.9</v>
      </c>
      <c r="C946" s="32">
        <f>$N$943-$L$943+1</f>
        <v/>
      </c>
      <c r="D946" s="33" t="n">
        <v>3.68919</v>
      </c>
      <c r="E946" s="34" t="n">
        <v>3.85</v>
      </c>
      <c r="F946" s="35">
        <f>ROUND(B946*E946,2)</f>
        <v/>
      </c>
      <c r="H946" s="36" t="n">
        <v>6.9</v>
      </c>
      <c r="I946" s="37" t="n">
        <v>3.85</v>
      </c>
      <c r="J946" s="38">
        <f>ROUND(H946*I946,2)</f>
        <v/>
      </c>
      <c r="L946" s="39" t="n">
        <v>6.9</v>
      </c>
      <c r="M946" s="40" t="n">
        <v>3.85</v>
      </c>
      <c r="N946" s="41">
        <f>ROUND(L946*M946,2)</f>
        <v/>
      </c>
      <c r="R946" s="42" t="inlineStr">
        <is>
          <t>DIF: 741 €   ·   Margen hist.: 22.9%</t>
        </is>
      </c>
    </row>
    <row r="947">
      <c r="A947" s="30" t="inlineStr">
        <is>
          <t>P2 Potencia</t>
        </is>
      </c>
      <c r="B947" s="31" t="n">
        <v>6.9</v>
      </c>
      <c r="C947" s="32">
        <f>$N$943-$L$943+1</f>
        <v/>
      </c>
      <c r="D947" s="33" t="n">
        <v>1.31928</v>
      </c>
      <c r="E947" s="34" t="n">
        <v>1.33</v>
      </c>
      <c r="F947" s="35">
        <f>ROUND(B947*E947,2)</f>
        <v/>
      </c>
      <c r="H947" s="36" t="n">
        <v>6.9</v>
      </c>
      <c r="I947" s="37" t="n">
        <v>1.33</v>
      </c>
      <c r="J947" s="38">
        <f>ROUND(H947*I947,2)</f>
        <v/>
      </c>
      <c r="L947" s="39" t="n">
        <v>6.9</v>
      </c>
      <c r="M947" s="40" t="n">
        <v>1.33</v>
      </c>
      <c r="N947" s="41">
        <f>ROUND(L947*M947,2)</f>
        <v/>
      </c>
      <c r="R947" s="43" t="inlineStr">
        <is>
          <t>Mejor mes: 2023-07 · 235 € · margen 101%</t>
        </is>
      </c>
    </row>
    <row r="948">
      <c r="A948" s="30" t="inlineStr">
        <is>
          <t>P1 Energía</t>
        </is>
      </c>
      <c r="B948" s="31">
        <f>IF($P$948&lt;&gt;"",ROUND(AA948*(($AB$948/(1-$P$948))-35.7420)/76.4170,2),IF('Resumen'!$D$3="OPTIMIZAR",ROUND(MAX(AA948,MIN(AA948*(($AB$948/(1-'Resumen'!$F$3))-35.7420)/76.4170,AA948*(189.8258)/76.4170)),3),AA948))</f>
        <v/>
      </c>
      <c r="C948" s="44" t="n"/>
      <c r="D948" s="33" t="n">
        <v>0.111171</v>
      </c>
      <c r="E948" s="34" t="n">
        <v>0.13788</v>
      </c>
      <c r="F948" s="35">
        <f>ROUND(B948*E948,2)</f>
        <v/>
      </c>
      <c r="H948" s="36" t="n">
        <v>139.124</v>
      </c>
      <c r="I948" s="37" t="n">
        <v>0.13788</v>
      </c>
      <c r="J948" s="38">
        <f>ROUND(H948*I948,2)</f>
        <v/>
      </c>
      <c r="L948" s="39" t="n">
        <v>132.822</v>
      </c>
      <c r="M948" s="40" t="n">
        <v>0.13788</v>
      </c>
      <c r="N948" s="41">
        <f>ROUND(L948*M948,2)</f>
        <v/>
      </c>
      <c r="O948" s="45" t="inlineStr">
        <is>
          <t>Margen objetivo (edita % aquí) ▶</t>
        </is>
      </c>
      <c r="P948" s="5" t="n"/>
      <c r="R948" s="43" t="inlineStr">
        <is>
          <t>Peor mes: 2023-04 · 13 € · margen 57%</t>
        </is>
      </c>
      <c r="AA948" t="n">
        <v>136.763</v>
      </c>
      <c r="AB948">
        <f>B946*D946+B947*D947+AA948*D948+AA949*D949+AA950*D950</f>
        <v/>
      </c>
    </row>
    <row r="949">
      <c r="A949" s="30" t="inlineStr">
        <is>
          <t>P2 Energía</t>
        </is>
      </c>
      <c r="B949" s="31">
        <f>IF($P$948&lt;&gt;"",ROUND(AA949*(($AB$948/(1-$P$948))-35.7420)/76.4170,2),IF('Resumen'!$D$3="OPTIMIZAR",ROUND(MAX(AA949,MIN(AA949*(($AB$948/(1-'Resumen'!$F$3))-35.7420)/76.4170,AA949*(189.8258)/76.4170)),3),AA949))</f>
        <v/>
      </c>
      <c r="C949" s="44" t="n"/>
      <c r="D949" s="33" t="n">
        <v>0.111171</v>
      </c>
      <c r="E949" s="34" t="n">
        <v>0.13788</v>
      </c>
      <c r="F949" s="35">
        <f>ROUND(B949*E949,2)</f>
        <v/>
      </c>
      <c r="H949" s="36" t="n">
        <v>191.742</v>
      </c>
      <c r="I949" s="37" t="n">
        <v>0.13788</v>
      </c>
      <c r="J949" s="38">
        <f>ROUND(H949*I949,2)</f>
        <v/>
      </c>
      <c r="L949" s="39" t="n">
        <v>135.016</v>
      </c>
      <c r="M949" s="40" t="n">
        <v>0.13788</v>
      </c>
      <c r="N949" s="41">
        <f>ROUND(L949*M949,2)</f>
        <v/>
      </c>
      <c r="O949" s="46" t="inlineStr">
        <is>
          <t>Cant. P1/P2/P3 energía suben</t>
        </is>
      </c>
      <c r="R949" s="43" t="inlineStr">
        <is>
          <t>Importe mensual cobrado (€) · 24 meses ▾</t>
        </is>
      </c>
      <c r="AA949" t="n">
        <v>148.395</v>
      </c>
    </row>
    <row r="950">
      <c r="A950" s="30" t="inlineStr">
        <is>
          <t>P3 Energía</t>
        </is>
      </c>
      <c r="B950" s="31">
        <f>IF($P$948&lt;&gt;"",ROUND(AA950*(($AB$948/(1-$P$948))-35.7420)/76.4170,2),IF('Resumen'!$D$3="OPTIMIZAR",ROUND(MAX(AA950,MIN(AA950*(($AB$948/(1-'Resumen'!$F$3))-35.7420)/76.4170,AA950*(189.8258)/76.4170)),3),AA950))</f>
        <v/>
      </c>
      <c r="C950" s="44" t="n"/>
      <c r="D950" s="33" t="n">
        <v>0.111171</v>
      </c>
      <c r="E950" s="34" t="n">
        <v>0.13788</v>
      </c>
      <c r="F950" s="35">
        <f>ROUND(B950*E950,2)</f>
        <v/>
      </c>
      <c r="H950" s="36" t="n">
        <v>358.561</v>
      </c>
      <c r="I950" s="37" t="n">
        <v>0.13788</v>
      </c>
      <c r="J950" s="38">
        <f>ROUND(H950*I950,2)</f>
        <v/>
      </c>
      <c r="L950" s="39" t="n">
        <v>286.383</v>
      </c>
      <c r="M950" s="40" t="n">
        <v>0.13788</v>
      </c>
      <c r="N950" s="41">
        <f>ROUND(L950*M950,2)</f>
        <v/>
      </c>
      <c r="O950" s="46" t="inlineStr">
        <is>
          <t>en proporción para ese margen</t>
        </is>
      </c>
      <c r="AA950" t="n">
        <v>269.07</v>
      </c>
    </row>
    <row r="951">
      <c r="A951" s="30" t="inlineStr">
        <is>
          <t>Alquiler contador</t>
        </is>
      </c>
      <c r="B951" s="31" t="n">
        <v>1</v>
      </c>
      <c r="C951" s="32">
        <f>$N$943-$L$943+1</f>
        <v/>
      </c>
      <c r="D951" s="33" t="n">
        <v>0.7989000000000001</v>
      </c>
      <c r="E951" s="34" t="n">
        <v>3</v>
      </c>
      <c r="F951" s="35">
        <f>ROUND(B951*E951,2)</f>
        <v/>
      </c>
      <c r="H951" s="36" t="n">
        <v>1</v>
      </c>
      <c r="I951" s="37" t="n">
        <v>3</v>
      </c>
      <c r="J951" s="38">
        <f>ROUND(H951*I951,2)</f>
        <v/>
      </c>
      <c r="L951" s="39" t="n">
        <v>1</v>
      </c>
      <c r="M951" s="40" t="n">
        <v>3</v>
      </c>
      <c r="N951" s="41">
        <f>ROUND(L951*M951,2)</f>
        <v/>
      </c>
    </row>
    <row r="952">
      <c r="A952" s="30" t="inlineStr">
        <is>
          <t>Bono social</t>
        </is>
      </c>
      <c r="B952" s="31" t="n">
        <v>30</v>
      </c>
      <c r="C952" s="32">
        <f>$N$943-$L$943+1</f>
        <v/>
      </c>
      <c r="D952" s="33" t="n">
        <v>0.5736</v>
      </c>
      <c r="E952" s="34" t="n">
        <v>0.01274</v>
      </c>
      <c r="F952" s="35">
        <f>ROUND(B952*E952,2)</f>
        <v/>
      </c>
      <c r="H952" s="36" t="n">
        <v>30</v>
      </c>
      <c r="I952" s="37" t="n">
        <v>0.01274</v>
      </c>
      <c r="J952" s="38">
        <f>ROUND(H952*I952,2)</f>
        <v/>
      </c>
      <c r="L952" s="39" t="n">
        <v>30</v>
      </c>
      <c r="M952" s="40" t="n">
        <v>0.00629</v>
      </c>
      <c r="N952" s="41">
        <f>ROUND(L952*M952,2)</f>
        <v/>
      </c>
    </row>
    <row r="953">
      <c r="A953" s="30" t="inlineStr">
        <is>
          <t>Tasa eléctrica</t>
        </is>
      </c>
      <c r="B953" s="31" t="n">
        <v>5.74</v>
      </c>
      <c r="C953" s="44" t="n"/>
      <c r="D953" s="33" t="n">
        <v>0.27312</v>
      </c>
      <c r="E953" s="34" t="n">
        <v>1</v>
      </c>
      <c r="F953" s="35">
        <f>ROUND(B953*E953,2)</f>
        <v/>
      </c>
      <c r="H953" s="36" t="n">
        <v>6.69</v>
      </c>
      <c r="I953" s="37" t="n">
        <v>1</v>
      </c>
      <c r="J953" s="38">
        <f>ROUND(H953*I953,2)</f>
        <v/>
      </c>
      <c r="L953" s="39" t="n">
        <v>5.74</v>
      </c>
      <c r="M953" s="40" t="n">
        <v>1</v>
      </c>
      <c r="N953" s="41">
        <f>ROUND(L953*M953,2)</f>
        <v/>
      </c>
    </row>
    <row r="954">
      <c r="A954" s="47" t="inlineStr">
        <is>
          <t>TOTAL c/IVA</t>
        </is>
      </c>
      <c r="F954" s="48">
        <f>ROUND((SUM(F946:F953)-F953)*1.1+F953,2)</f>
        <v/>
      </c>
      <c r="J954" s="49">
        <f>ROUND(SUM(J946:J953),2)</f>
        <v/>
      </c>
      <c r="N954" s="50">
        <f>ROUND(SUM(N946:N953),2)</f>
        <v/>
      </c>
    </row>
    <row r="955">
      <c r="A955" s="19" t="inlineStr">
        <is>
          <t>MARGEN sin registrar</t>
        </is>
      </c>
      <c r="B955" s="51">
        <f>IF((F949+F946+F948+F950+F947)=0,"",((F949+F946+F948+F950+F947)-$AB$948)/(F949+F946+F948+F950+F947))</f>
        <v/>
      </c>
      <c r="D955" s="52">
        <f>IF(B955="","SIN PC",IF(B955&gt;=0.3,"APROBAR",IF(B955&gt;=0.2,"REVISAR","RECHAZAR")))</f>
        <v/>
      </c>
      <c r="E955" s="53" t="n"/>
      <c r="F955" s="54" t="n"/>
      <c r="AD955">
        <f>SUM(F948:F950)-76.4170</f>
        <v/>
      </c>
    </row>
    <row r="957">
      <c r="A957" s="15" t="inlineStr">
        <is>
          <t>Factura 8630 · C01530 · JUAN POCH FERNANDEZ</t>
        </is>
      </c>
      <c r="H957" s="15" t="inlineStr">
        <is>
          <t>ES0021000001196881ZG · Naturgy</t>
        </is>
      </c>
      <c r="L957" s="16" t="n">
        <v>46113</v>
      </c>
      <c r="M957" s="17" t="inlineStr">
        <is>
          <t>a</t>
        </is>
      </c>
      <c r="N957" s="16" t="n">
        <v>46142</v>
      </c>
      <c r="R957" s="18" t="inlineStr">
        <is>
          <t>HISTÓRICO DEL CUPS · HOJA TTVA LUZ</t>
        </is>
      </c>
    </row>
    <row r="958">
      <c r="A958" s="19" t="inlineStr">
        <is>
          <t>Concepto</t>
        </is>
      </c>
      <c r="B958" s="20" t="inlineStr">
        <is>
          <t>PENDIENTE (sin registrar)</t>
        </is>
      </c>
      <c r="C958" s="21" t="n"/>
      <c r="D958" s="21" t="n"/>
      <c r="E958" s="21" t="n"/>
      <c r="F958" s="21" t="n"/>
      <c r="H958" s="22" t="inlineStr">
        <is>
          <t>MES ANTERIOR · Fact.6413</t>
        </is>
      </c>
      <c r="I958" s="23" t="n"/>
      <c r="J958" s="23" t="n"/>
      <c r="L958" s="24" t="inlineStr">
        <is>
          <t>AÑO ANTERIOR · Fact.4617</t>
        </is>
      </c>
      <c r="M958" s="25" t="n"/>
      <c r="N958" s="25" t="n"/>
      <c r="R958" s="26" t="inlineStr">
        <is>
          <t>Cobrado total: 2.148 €</t>
        </is>
      </c>
    </row>
    <row r="959">
      <c r="B959" s="7" t="inlineStr">
        <is>
          <t>Cant</t>
        </is>
      </c>
      <c r="C959" s="7" t="inlineStr">
        <is>
          <t>Días</t>
        </is>
      </c>
      <c r="D959" s="7" t="inlineStr">
        <is>
          <t>PC real</t>
        </is>
      </c>
      <c r="E959" s="7" t="inlineStr">
        <is>
          <t>PV</t>
        </is>
      </c>
      <c r="F959" s="7" t="inlineStr">
        <is>
          <t>Importe</t>
        </is>
      </c>
      <c r="H959" s="27" t="inlineStr">
        <is>
          <t>Cant</t>
        </is>
      </c>
      <c r="I959" s="27" t="inlineStr">
        <is>
          <t>PV</t>
        </is>
      </c>
      <c r="J959" s="27" t="inlineStr">
        <is>
          <t>Importe</t>
        </is>
      </c>
      <c r="L959" s="28" t="inlineStr">
        <is>
          <t>Cant</t>
        </is>
      </c>
      <c r="M959" s="28" t="inlineStr">
        <is>
          <t>PV</t>
        </is>
      </c>
      <c r="N959" s="28" t="inlineStr">
        <is>
          <t>Importe</t>
        </is>
      </c>
      <c r="R959" s="29" t="inlineStr">
        <is>
          <t>Pagado total: 1.336 €</t>
        </is>
      </c>
    </row>
    <row r="960">
      <c r="A960" s="30" t="inlineStr">
        <is>
          <t>P1 Potencia</t>
        </is>
      </c>
      <c r="B960" s="31" t="n">
        <v>6.9</v>
      </c>
      <c r="C960" s="32">
        <f>$N$957-$L$957+1</f>
        <v/>
      </c>
      <c r="D960" s="33" t="n">
        <v>3.4086</v>
      </c>
      <c r="E960" s="34" t="n">
        <v>4.17</v>
      </c>
      <c r="F960" s="35">
        <f>ROUND(B960*E960,2)</f>
        <v/>
      </c>
      <c r="H960" s="36" t="n">
        <v>6.9</v>
      </c>
      <c r="I960" s="37" t="n">
        <v>4.17</v>
      </c>
      <c r="J960" s="38">
        <f>ROUND(H960*I960,2)</f>
        <v/>
      </c>
      <c r="L960" s="39" t="n">
        <v>6.9</v>
      </c>
      <c r="M960" s="40" t="n">
        <v>4.17</v>
      </c>
      <c r="N960" s="41">
        <f>ROUND(L960*M960,2)</f>
        <v/>
      </c>
      <c r="R960" s="42" t="inlineStr">
        <is>
          <t>DIF: 812 €   ·   Margen hist.: 37.8%</t>
        </is>
      </c>
    </row>
    <row r="961">
      <c r="A961" s="30" t="inlineStr">
        <is>
          <t>P2 Potencia</t>
        </is>
      </c>
      <c r="B961" s="31" t="n">
        <v>6.9</v>
      </c>
      <c r="C961" s="32">
        <f>$N$957-$L$957+1</f>
        <v/>
      </c>
      <c r="D961" s="33" t="n">
        <v>1.09728</v>
      </c>
      <c r="E961" s="34" t="n">
        <v>1.37</v>
      </c>
      <c r="F961" s="35">
        <f>ROUND(B961*E961,2)</f>
        <v/>
      </c>
      <c r="H961" s="36" t="n">
        <v>6.9</v>
      </c>
      <c r="I961" s="37" t="n">
        <v>1.37</v>
      </c>
      <c r="J961" s="38">
        <f>ROUND(H961*I961,2)</f>
        <v/>
      </c>
      <c r="L961" s="39" t="n">
        <v>6.9</v>
      </c>
      <c r="M961" s="40" t="n">
        <v>1.37</v>
      </c>
      <c r="N961" s="41">
        <f>ROUND(L961*M961,2)</f>
        <v/>
      </c>
      <c r="R961" s="43" t="inlineStr">
        <is>
          <t>Mejor mes: 2024-12 · 231 € · margen 34%</t>
        </is>
      </c>
    </row>
    <row r="962">
      <c r="A962" s="30" t="inlineStr">
        <is>
          <t>P1 Energía</t>
        </is>
      </c>
      <c r="B962" s="31">
        <f>IF($P$962&lt;&gt;"",ROUND(AA962*(($AB$962/(1-$P$962))-38.2260)/60.5407,2),IF('Resumen'!$D$3="OPTIMIZAR",ROUND(MAX(AA962,MIN(AA962*(($AB$962/(1-'Resumen'!$F$3))-38.2260)/60.5407,AA962*(183.5918)/60.5407)),3),AA962))</f>
        <v/>
      </c>
      <c r="C962" s="44" t="n"/>
      <c r="D962" s="33" t="n">
        <v>0.110306</v>
      </c>
      <c r="E962" s="34" t="n">
        <v>0.14937</v>
      </c>
      <c r="F962" s="35">
        <f>ROUND(B962*E962,2)</f>
        <v/>
      </c>
      <c r="H962" s="36" t="n">
        <v>270.046</v>
      </c>
      <c r="I962" s="37" t="n">
        <v>0.14937</v>
      </c>
      <c r="J962" s="38">
        <f>ROUND(H962*I962,2)</f>
        <v/>
      </c>
      <c r="L962" s="39" t="n">
        <v>94.717</v>
      </c>
      <c r="M962" s="40" t="n">
        <v>0.14937</v>
      </c>
      <c r="N962" s="41">
        <f>ROUND(L962*M962,2)</f>
        <v/>
      </c>
      <c r="O962" s="45" t="inlineStr">
        <is>
          <t>Margen objetivo (edita % aquí) ▶</t>
        </is>
      </c>
      <c r="P962" s="5" t="n"/>
      <c r="R962" s="43" t="inlineStr">
        <is>
          <t>Peor mes: 2023-06 · 43 € · margen 55%</t>
        </is>
      </c>
      <c r="AA962" t="n">
        <v>104.446</v>
      </c>
      <c r="AB962">
        <f>B960*D960+B961*D961+AA962*D962+AA963*D963+AA964*D964</f>
        <v/>
      </c>
    </row>
    <row r="963">
      <c r="A963" s="30" t="inlineStr">
        <is>
          <t>P2 Energía</t>
        </is>
      </c>
      <c r="B963" s="31">
        <f>IF($P$962&lt;&gt;"",ROUND(AA963*(($AB$962/(1-$P$962))-38.2260)/60.5407,2),IF('Resumen'!$D$3="OPTIMIZAR",ROUND(MAX(AA963,MIN(AA963*(($AB$962/(1-'Resumen'!$F$3))-38.2260)/60.5407,AA963*(183.5918)/60.5407)),3),AA963))</f>
        <v/>
      </c>
      <c r="C963" s="44" t="n"/>
      <c r="D963" s="33" t="n">
        <v>0.110306</v>
      </c>
      <c r="E963" s="34" t="n">
        <v>0.14937</v>
      </c>
      <c r="F963" s="35">
        <f>ROUND(B963*E963,2)</f>
        <v/>
      </c>
      <c r="H963" s="36" t="n">
        <v>255.747</v>
      </c>
      <c r="I963" s="37" t="n">
        <v>0.14937</v>
      </c>
      <c r="J963" s="38">
        <f>ROUND(H963*I963,2)</f>
        <v/>
      </c>
      <c r="L963" s="39" t="n">
        <v>78.59099999999999</v>
      </c>
      <c r="M963" s="40" t="n">
        <v>0.14937</v>
      </c>
      <c r="N963" s="41">
        <f>ROUND(L963*M963,2)</f>
        <v/>
      </c>
      <c r="O963" s="46" t="inlineStr">
        <is>
          <t>Cant. P1/P2/P3 energía suben</t>
        </is>
      </c>
      <c r="R963" s="43" t="inlineStr">
        <is>
          <t>Importe mensual cobrado (€) · 24 meses ▾</t>
        </is>
      </c>
      <c r="AA963" t="n">
        <v>73.601</v>
      </c>
    </row>
    <row r="964">
      <c r="A964" s="30" t="inlineStr">
        <is>
          <t>P3 Energía</t>
        </is>
      </c>
      <c r="B964" s="31">
        <f>IF($P$962&lt;&gt;"",ROUND(AA964*(($AB$962/(1-$P$962))-38.2260)/60.5407,2),IF('Resumen'!$D$3="OPTIMIZAR",ROUND(MAX(AA964,MIN(AA964*(($AB$962/(1-'Resumen'!$F$3))-38.2260)/60.5407,AA964*(183.5918)/60.5407)),3),AA964))</f>
        <v/>
      </c>
      <c r="C964" s="44" t="n"/>
      <c r="D964" s="33" t="n">
        <v>0.110306</v>
      </c>
      <c r="E964" s="34" t="n">
        <v>0.14937</v>
      </c>
      <c r="F964" s="35">
        <f>ROUND(B964*E964,2)</f>
        <v/>
      </c>
      <c r="H964" s="36" t="n">
        <v>369.092</v>
      </c>
      <c r="I964" s="37" t="n">
        <v>0.14937</v>
      </c>
      <c r="J964" s="38">
        <f>ROUND(H964*I964,2)</f>
        <v/>
      </c>
      <c r="L964" s="39" t="n">
        <v>160.305</v>
      </c>
      <c r="M964" s="40" t="n">
        <v>0.14937</v>
      </c>
      <c r="N964" s="41">
        <f>ROUND(L964*M964,2)</f>
        <v/>
      </c>
      <c r="O964" s="46" t="inlineStr">
        <is>
          <t>en proporción para ese margen</t>
        </is>
      </c>
      <c r="AA964" t="n">
        <v>227.26</v>
      </c>
    </row>
    <row r="965">
      <c r="A965" s="30" t="inlineStr">
        <is>
          <t>Alquiler contador</t>
        </is>
      </c>
      <c r="B965" s="31" t="n">
        <v>1</v>
      </c>
      <c r="C965" s="32">
        <f>$N$957-$L$957+1</f>
        <v/>
      </c>
      <c r="D965" s="33" t="n">
        <v>0.7989000000000001</v>
      </c>
      <c r="E965" s="34" t="n">
        <v>4</v>
      </c>
      <c r="F965" s="35">
        <f>ROUND(B965*E965,2)</f>
        <v/>
      </c>
      <c r="H965" s="36" t="n">
        <v>1</v>
      </c>
      <c r="I965" s="37" t="n">
        <v>4</v>
      </c>
      <c r="J965" s="38">
        <f>ROUND(H965*I965,2)</f>
        <v/>
      </c>
      <c r="L965" s="39" t="n">
        <v>1</v>
      </c>
      <c r="M965" s="40" t="n">
        <v>4</v>
      </c>
      <c r="N965" s="41">
        <f>ROUND(L965*M965,2)</f>
        <v/>
      </c>
    </row>
    <row r="966">
      <c r="A966" s="30" t="inlineStr">
        <is>
          <t>Bono social</t>
        </is>
      </c>
      <c r="B966" s="31" t="n">
        <v>30</v>
      </c>
      <c r="C966" s="32">
        <f>$N$957-$L$957+1</f>
        <v/>
      </c>
      <c r="D966" s="33" t="n">
        <v>0.5736</v>
      </c>
      <c r="E966" s="34" t="n">
        <v>0.01274</v>
      </c>
      <c r="F966" s="35">
        <f>ROUND(B966*E966,2)</f>
        <v/>
      </c>
      <c r="H966" s="36" t="n">
        <v>30</v>
      </c>
      <c r="I966" s="37" t="n">
        <v>0.01274</v>
      </c>
      <c r="J966" s="38">
        <f>ROUND(H966*I966,2)</f>
        <v/>
      </c>
      <c r="L966" s="39" t="n">
        <v>30</v>
      </c>
      <c r="M966" s="40" t="n">
        <v>0.00629</v>
      </c>
      <c r="N966" s="41">
        <f>ROUND(L966*M966,2)</f>
        <v/>
      </c>
    </row>
    <row r="967">
      <c r="A967" s="30" t="inlineStr">
        <is>
          <t>Tasa eléctrica</t>
        </is>
      </c>
      <c r="B967" s="31" t="n">
        <v>4.34</v>
      </c>
      <c r="C967" s="44" t="n"/>
      <c r="D967" s="33" t="n">
        <v>0.24729</v>
      </c>
      <c r="E967" s="34" t="n">
        <v>1</v>
      </c>
      <c r="F967" s="35">
        <f>ROUND(B967*E967,2)</f>
        <v/>
      </c>
      <c r="H967" s="36" t="n">
        <v>8.449999999999999</v>
      </c>
      <c r="I967" s="37" t="n">
        <v>1</v>
      </c>
      <c r="J967" s="38">
        <f>ROUND(H967*I967,2)</f>
        <v/>
      </c>
      <c r="L967" s="39" t="n">
        <v>3.75</v>
      </c>
      <c r="M967" s="40" t="n">
        <v>1</v>
      </c>
      <c r="N967" s="41">
        <f>ROUND(L967*M967,2)</f>
        <v/>
      </c>
    </row>
    <row r="968">
      <c r="A968" s="47" t="inlineStr">
        <is>
          <t>TOTAL c/IVA</t>
        </is>
      </c>
      <c r="F968" s="48">
        <f>ROUND((SUM(F960:F967)-F967)*1.1+F967,2)</f>
        <v/>
      </c>
      <c r="J968" s="49">
        <f>ROUND(SUM(J960:J967),2)</f>
        <v/>
      </c>
      <c r="N968" s="50">
        <f>ROUND(SUM(N960:N967),2)</f>
        <v/>
      </c>
    </row>
    <row r="969">
      <c r="A969" s="19" t="inlineStr">
        <is>
          <t>MARGEN sin registrar</t>
        </is>
      </c>
      <c r="B969" s="51">
        <f>IF((F963+F960+F962+F964+F961)=0,"",((F963+F960+F962+F964+F961)-$AB$962)/(F963+F960+F962+F964+F961))</f>
        <v/>
      </c>
      <c r="D969" s="52">
        <f>IF(B969="","SIN PC",IF(B969&gt;=0.3,"APROBAR",IF(B969&gt;=0.2,"REVISAR","RECHAZAR")))</f>
        <v/>
      </c>
      <c r="E969" s="53" t="n"/>
      <c r="F969" s="54" t="n"/>
      <c r="AD969">
        <f>SUM(F962:F964)-60.5407</f>
        <v/>
      </c>
    </row>
    <row r="970">
      <c r="A970" s="55" t="inlineStr">
        <is>
          <t>☀ EXCEDENTES SOLARES (kWh vertidos reales)</t>
        </is>
      </c>
      <c r="B970" s="56" t="n"/>
      <c r="C970" s="56" t="n"/>
      <c r="D970" s="56" t="n"/>
      <c r="E970" s="56" t="n"/>
      <c r="F970" s="56" t="n"/>
    </row>
    <row r="971">
      <c r="A971" s="57" t="inlineStr">
        <is>
          <t>Concepto</t>
        </is>
      </c>
      <c r="B971" s="57" t="inlineStr">
        <is>
          <t>kWh</t>
        </is>
      </c>
      <c r="D971" s="57" t="inlineStr">
        <is>
          <t>€/kWh compra</t>
        </is>
      </c>
      <c r="E971" s="57" t="inlineStr">
        <is>
          <t>€/kWh venta</t>
        </is>
      </c>
      <c r="F971" s="57" t="inlineStr">
        <is>
          <t>Importe</t>
        </is>
      </c>
    </row>
    <row r="972">
      <c r="A972" s="58" t="inlineStr">
        <is>
          <t>Compra excedentes (vertido red)</t>
        </is>
      </c>
      <c r="B972" s="59" t="n">
        <v>263</v>
      </c>
      <c r="C972" s="60" t="n"/>
      <c r="D972" s="33" t="n">
        <v>0.06</v>
      </c>
      <c r="E972" s="60" t="n"/>
      <c r="F972" s="61">
        <f>ROUND(B972*D972,2)</f>
        <v/>
      </c>
    </row>
    <row r="973">
      <c r="A973" s="58" t="inlineStr">
        <is>
          <t>Venta cliente (saldo batería, 1043)</t>
        </is>
      </c>
      <c r="B973" s="60" t="n"/>
      <c r="C973" s="60" t="n"/>
      <c r="D973" s="60" t="n"/>
      <c r="E973" s="62" t="n">
        <v>0.06</v>
      </c>
      <c r="F973" s="61" t="n">
        <v>13.98</v>
      </c>
    </row>
    <row r="974">
      <c r="A974" s="63" t="inlineStr">
        <is>
          <t>NETO Transactiva (compra − venta)</t>
        </is>
      </c>
      <c r="B974" s="60" t="n"/>
      <c r="C974" s="60" t="n"/>
      <c r="D974" s="60" t="n"/>
      <c r="E974" s="60" t="n"/>
      <c r="F974" s="64">
        <f>F972-F973</f>
        <v/>
      </c>
    </row>
    <row r="976">
      <c r="A976" s="15" t="inlineStr">
        <is>
          <t>Factura 8631 · C01540 · FORN MONICA S L</t>
        </is>
      </c>
      <c r="H976" s="15" t="inlineStr">
        <is>
          <t>ES0021000000827388AY · Naturgy</t>
        </is>
      </c>
      <c r="L976" s="16" t="n">
        <v>46113</v>
      </c>
      <c r="M976" s="17" t="inlineStr">
        <is>
          <t>a</t>
        </is>
      </c>
      <c r="N976" s="16" t="n">
        <v>46142</v>
      </c>
      <c r="R976" s="18" t="inlineStr">
        <is>
          <t>HISTÓRICO DEL CUPS · HOJA TTVA LUZ</t>
        </is>
      </c>
    </row>
    <row r="977">
      <c r="A977" s="19" t="inlineStr">
        <is>
          <t>Concepto</t>
        </is>
      </c>
      <c r="B977" s="20" t="inlineStr">
        <is>
          <t>PENDIENTE (sin registrar)</t>
        </is>
      </c>
      <c r="C977" s="21" t="n"/>
      <c r="D977" s="21" t="n"/>
      <c r="E977" s="21" t="n"/>
      <c r="F977" s="21" t="n"/>
      <c r="H977" s="22" t="inlineStr">
        <is>
          <t>MES ANTERIOR · Fact.6412</t>
        </is>
      </c>
      <c r="I977" s="23" t="n"/>
      <c r="J977" s="23" t="n"/>
      <c r="L977" s="24" t="inlineStr">
        <is>
          <t>AÑO ANTERIOR · Fact.4512</t>
        </is>
      </c>
      <c r="M977" s="25" t="n"/>
      <c r="N977" s="25" t="n"/>
      <c r="R977" s="26" t="inlineStr">
        <is>
          <t>Cobrado total: 13.789 €</t>
        </is>
      </c>
    </row>
    <row r="978">
      <c r="B978" s="7" t="inlineStr">
        <is>
          <t>Cant</t>
        </is>
      </c>
      <c r="C978" s="7" t="inlineStr">
        <is>
          <t>Días</t>
        </is>
      </c>
      <c r="D978" s="7" t="inlineStr">
        <is>
          <t>PC real</t>
        </is>
      </c>
      <c r="E978" s="7" t="inlineStr">
        <is>
          <t>PV</t>
        </is>
      </c>
      <c r="F978" s="7" t="inlineStr">
        <is>
          <t>Importe</t>
        </is>
      </c>
      <c r="H978" s="27" t="inlineStr">
        <is>
          <t>Cant</t>
        </is>
      </c>
      <c r="I978" s="27" t="inlineStr">
        <is>
          <t>PV</t>
        </is>
      </c>
      <c r="J978" s="27" t="inlineStr">
        <is>
          <t>Importe</t>
        </is>
      </c>
      <c r="L978" s="28" t="inlineStr">
        <is>
          <t>Cant</t>
        </is>
      </c>
      <c r="M978" s="28" t="inlineStr">
        <is>
          <t>PV</t>
        </is>
      </c>
      <c r="N978" s="28" t="inlineStr">
        <is>
          <t>Importe</t>
        </is>
      </c>
      <c r="R978" s="29" t="inlineStr">
        <is>
          <t>Pagado total: 9.316 €</t>
        </is>
      </c>
    </row>
    <row r="979">
      <c r="A979" s="30" t="inlineStr">
        <is>
          <t>P1 Potencia</t>
        </is>
      </c>
      <c r="B979" s="31" t="n">
        <v>13.2</v>
      </c>
      <c r="C979" s="32">
        <f>$N$976-$L$976+1</f>
        <v/>
      </c>
      <c r="D979" s="33" t="n">
        <v>3.68919</v>
      </c>
      <c r="E979" s="34" t="n">
        <v>4.17</v>
      </c>
      <c r="F979" s="35">
        <f>ROUND(B979*E979,2)</f>
        <v/>
      </c>
      <c r="H979" s="36" t="n">
        <v>13.2</v>
      </c>
      <c r="I979" s="37" t="n">
        <v>4.17</v>
      </c>
      <c r="J979" s="38">
        <f>ROUND(H979*I979,2)</f>
        <v/>
      </c>
      <c r="L979" s="39" t="n">
        <v>13.2</v>
      </c>
      <c r="M979" s="40" t="n">
        <v>4.17</v>
      </c>
      <c r="N979" s="41">
        <f>ROUND(L979*M979,2)</f>
        <v/>
      </c>
      <c r="R979" s="42" t="inlineStr">
        <is>
          <t>DIF: 4.473 €   ·   Margen hist.: 32.4%</t>
        </is>
      </c>
    </row>
    <row r="980">
      <c r="A980" s="30" t="inlineStr">
        <is>
          <t>P2 Potencia</t>
        </is>
      </c>
      <c r="B980" s="31" t="n">
        <v>13.2</v>
      </c>
      <c r="C980" s="32">
        <f>$N$976-$L$976+1</f>
        <v/>
      </c>
      <c r="D980" s="33" t="n">
        <v>1.31928</v>
      </c>
      <c r="E980" s="34" t="n">
        <v>1.37</v>
      </c>
      <c r="F980" s="35">
        <f>ROUND(B980*E980,2)</f>
        <v/>
      </c>
      <c r="H980" s="36" t="n">
        <v>13.2</v>
      </c>
      <c r="I980" s="37" t="n">
        <v>1.37</v>
      </c>
      <c r="J980" s="38">
        <f>ROUND(H980*I980,2)</f>
        <v/>
      </c>
      <c r="L980" s="39" t="n">
        <v>13.2</v>
      </c>
      <c r="M980" s="40" t="n">
        <v>1.37</v>
      </c>
      <c r="N980" s="41">
        <f>ROUND(L980*M980,2)</f>
        <v/>
      </c>
      <c r="R980" s="43" t="inlineStr">
        <is>
          <t>Mejor mes: 2023-08 · 1.795 € · margen 53%</t>
        </is>
      </c>
    </row>
    <row r="981">
      <c r="A981" s="30" t="inlineStr">
        <is>
          <t>P1 Energía</t>
        </is>
      </c>
      <c r="B981" s="31">
        <f>IF($P$981&lt;&gt;"",ROUND(AA981*(($AB$981/(1-$P$981))-73.1280)/337.4462,2),IF('Resumen'!$D$3="OPTIMIZAR",ROUND(MAX(AA981,MIN(AA981*(($AB$981/(1-'Resumen'!$F$3))-73.1280)/337.4462,AA981*(1695.1698)/337.4462)),3),AA981))</f>
        <v/>
      </c>
      <c r="C981" s="44" t="n"/>
      <c r="D981" s="33" t="n">
        <v>0.111171</v>
      </c>
      <c r="E981" s="34" t="n">
        <v>0.1092</v>
      </c>
      <c r="F981" s="35">
        <f>ROUND(B981*E981,2)</f>
        <v/>
      </c>
      <c r="H981" s="36" t="n">
        <v>787.095</v>
      </c>
      <c r="I981" s="37" t="n">
        <v>0.1092</v>
      </c>
      <c r="J981" s="38">
        <f>ROUND(H981*I981,2)</f>
        <v/>
      </c>
      <c r="L981" s="39" t="n">
        <v>696.122</v>
      </c>
      <c r="M981" s="40" t="n">
        <v>0.14937</v>
      </c>
      <c r="N981" s="41">
        <f>ROUND(L981*M981,2)</f>
        <v/>
      </c>
      <c r="O981" s="45" t="inlineStr">
        <is>
          <t>Margen objetivo (edita % aquí) ▶</t>
        </is>
      </c>
      <c r="P981" s="5" t="n"/>
      <c r="R981" s="43" t="inlineStr">
        <is>
          <t>Peor mes: 2024-12 · 586 € · margen 14%</t>
        </is>
      </c>
      <c r="AA981" t="n">
        <v>797.316</v>
      </c>
      <c r="AB981">
        <f>B979*D979+B980*D980+AA981*D981+AA982*D982+AA983*D983</f>
        <v/>
      </c>
    </row>
    <row r="982">
      <c r="A982" s="30" t="inlineStr">
        <is>
          <t>P2 Energía</t>
        </is>
      </c>
      <c r="B982" s="31">
        <f>IF($P$981&lt;&gt;"",ROUND(AA982*(($AB$981/(1-$P$981))-73.1280)/337.4462,2),IF('Resumen'!$D$3="OPTIMIZAR",ROUND(MAX(AA982,MIN(AA982*(($AB$981/(1-'Resumen'!$F$3))-73.1280)/337.4462,AA982*(1695.1698)/337.4462)),3),AA982))</f>
        <v/>
      </c>
      <c r="C982" s="44" t="n"/>
      <c r="D982" s="33" t="n">
        <v>0.111171</v>
      </c>
      <c r="E982" s="34" t="n">
        <v>0.1092</v>
      </c>
      <c r="F982" s="35">
        <f>ROUND(B982*E982,2)</f>
        <v/>
      </c>
      <c r="H982" s="36" t="n">
        <v>706.901</v>
      </c>
      <c r="I982" s="37" t="n">
        <v>0.1092</v>
      </c>
      <c r="J982" s="38">
        <f>ROUND(H982*I982,2)</f>
        <v/>
      </c>
      <c r="L982" s="39" t="n">
        <v>659.449</v>
      </c>
      <c r="M982" s="40" t="n">
        <v>0.14937</v>
      </c>
      <c r="N982" s="41">
        <f>ROUND(L982*M982,2)</f>
        <v/>
      </c>
      <c r="O982" s="46" t="inlineStr">
        <is>
          <t>Cant. P1/P2/P3 energía suben</t>
        </is>
      </c>
      <c r="R982" s="43" t="inlineStr">
        <is>
          <t>Importe mensual cobrado (€) · 24 meses ▾</t>
        </is>
      </c>
      <c r="AA982" t="n">
        <v>730.891</v>
      </c>
    </row>
    <row r="983">
      <c r="A983" s="30" t="inlineStr">
        <is>
          <t>P3 Energía</t>
        </is>
      </c>
      <c r="B983" s="31">
        <f>IF($P$981&lt;&gt;"",ROUND(AA983*(($AB$981/(1-$P$981))-73.1280)/337.4462,2),IF('Resumen'!$D$3="OPTIMIZAR",ROUND(MAX(AA983,MIN(AA983*(($AB$981/(1-'Resumen'!$F$3))-73.1280)/337.4462,AA983*(1695.1698)/337.4462)),3),AA983))</f>
        <v/>
      </c>
      <c r="C983" s="44" t="n"/>
      <c r="D983" s="33" t="n">
        <v>0.111171</v>
      </c>
      <c r="E983" s="34" t="n">
        <v>0.1092</v>
      </c>
      <c r="F983" s="35">
        <f>ROUND(B983*E983,2)</f>
        <v/>
      </c>
      <c r="H983" s="36" t="n">
        <v>1261.87</v>
      </c>
      <c r="I983" s="37" t="n">
        <v>0.1092</v>
      </c>
      <c r="J983" s="38">
        <f>ROUND(H983*I983,2)</f>
        <v/>
      </c>
      <c r="L983" s="39" t="n">
        <v>1600.04</v>
      </c>
      <c r="M983" s="40" t="n">
        <v>0.14937</v>
      </c>
      <c r="N983" s="41">
        <f>ROUND(L983*M983,2)</f>
        <v/>
      </c>
      <c r="O983" s="46" t="inlineStr">
        <is>
          <t>en proporción para ese margen</t>
        </is>
      </c>
      <c r="AA983" t="n">
        <v>1561.96</v>
      </c>
    </row>
    <row r="984">
      <c r="A984" s="30" t="inlineStr">
        <is>
          <t>Alquiler contador</t>
        </is>
      </c>
      <c r="B984" s="31" t="n">
        <v>1</v>
      </c>
      <c r="C984" s="32">
        <f>$N$976-$L$976+1</f>
        <v/>
      </c>
      <c r="D984" s="33" t="n">
        <v>1.3414</v>
      </c>
      <c r="E984" s="34" t="n">
        <v>4</v>
      </c>
      <c r="F984" s="35">
        <f>ROUND(B984*E984,2)</f>
        <v/>
      </c>
      <c r="H984" s="36" t="n">
        <v>1</v>
      </c>
      <c r="I984" s="37" t="n">
        <v>4</v>
      </c>
      <c r="J984" s="38">
        <f>ROUND(H984*I984,2)</f>
        <v/>
      </c>
      <c r="L984" s="39" t="n">
        <v>1</v>
      </c>
      <c r="M984" s="40" t="n">
        <v>4</v>
      </c>
      <c r="N984" s="41">
        <f>ROUND(L984*M984,2)</f>
        <v/>
      </c>
    </row>
    <row r="985">
      <c r="A985" s="30" t="inlineStr">
        <is>
          <t>Bono social</t>
        </is>
      </c>
      <c r="B985" s="31" t="n">
        <v>30</v>
      </c>
      <c r="C985" s="32">
        <f>$N$976-$L$976+1</f>
        <v/>
      </c>
      <c r="D985" s="33" t="n">
        <v>0.5736</v>
      </c>
      <c r="E985" s="34" t="n">
        <v>0.01274</v>
      </c>
      <c r="F985" s="35">
        <f>ROUND(B985*E985,2)</f>
        <v/>
      </c>
      <c r="H985" s="36" t="n">
        <v>30</v>
      </c>
      <c r="I985" s="37" t="n">
        <v>0.01274</v>
      </c>
      <c r="J985" s="38">
        <f>ROUND(H985*I985,2)</f>
        <v/>
      </c>
      <c r="L985" s="39" t="n">
        <v>30</v>
      </c>
      <c r="M985" s="40" t="n">
        <v>0.01247</v>
      </c>
      <c r="N985" s="41">
        <f>ROUND(L985*M985,2)</f>
        <v/>
      </c>
    </row>
    <row r="986">
      <c r="A986" s="30" t="inlineStr">
        <is>
          <t>Tasa eléctrica</t>
        </is>
      </c>
      <c r="B986" s="31" t="n">
        <v>22.13</v>
      </c>
      <c r="C986" s="44" t="n"/>
      <c r="D986" s="33" t="n">
        <v>0.27312</v>
      </c>
      <c r="E986" s="34" t="n">
        <v>1</v>
      </c>
      <c r="F986" s="35">
        <f>ROUND(B986*E986,2)</f>
        <v/>
      </c>
      <c r="H986" s="36" t="n">
        <v>20.2</v>
      </c>
      <c r="I986" s="37" t="n">
        <v>1</v>
      </c>
      <c r="J986" s="38">
        <f>ROUND(H986*I986,2)</f>
        <v/>
      </c>
      <c r="L986" s="39" t="n">
        <v>25.86</v>
      </c>
      <c r="M986" s="40" t="n">
        <v>1</v>
      </c>
      <c r="N986" s="41">
        <f>ROUND(L986*M986,2)</f>
        <v/>
      </c>
    </row>
    <row r="987">
      <c r="A987" s="47" t="inlineStr">
        <is>
          <t>TOTAL c/IVA</t>
        </is>
      </c>
      <c r="F987" s="48">
        <f>ROUND((SUM(F979:F986)-F986)*1.1+F986,2)</f>
        <v/>
      </c>
      <c r="J987" s="49">
        <f>ROUND(SUM(J979:J986),2)</f>
        <v/>
      </c>
      <c r="N987" s="50">
        <f>ROUND(SUM(N979:N986),2)</f>
        <v/>
      </c>
    </row>
    <row r="988">
      <c r="A988" s="19" t="inlineStr">
        <is>
          <t>MARGEN sin registrar</t>
        </is>
      </c>
      <c r="B988" s="51">
        <f>IF((F982+F979+F981+F983+F980)=0,"",((F982+F979+F981+F983+F980)-$AB$981)/(F982+F979+F981+F983+F980))</f>
        <v/>
      </c>
      <c r="D988" s="52">
        <f>IF(B988="","SIN PC",IF(B988&gt;=0.3,"APROBAR",IF(B988&gt;=0.2,"REVISAR","RECHAZAR")))</f>
        <v/>
      </c>
      <c r="E988" s="53" t="n"/>
      <c r="F988" s="54" t="n"/>
      <c r="AD988">
        <f>SUM(F981:F983)-337.4462</f>
        <v/>
      </c>
    </row>
    <row r="990">
      <c r="A990" s="15" t="inlineStr">
        <is>
          <t>Factura 8632 · C01570 · FRANCISCO MULA ROBERTO</t>
        </is>
      </c>
      <c r="H990" s="15" t="inlineStr">
        <is>
          <t>ES0021000000971679CH · Naturgy</t>
        </is>
      </c>
      <c r="L990" s="16" t="n">
        <v>46113</v>
      </c>
      <c r="M990" s="17" t="inlineStr">
        <is>
          <t>a</t>
        </is>
      </c>
      <c r="N990" s="16" t="n">
        <v>46142</v>
      </c>
      <c r="R990" s="18" t="inlineStr">
        <is>
          <t>HISTÓRICO DEL CUPS · HOJA TTVA LUZ</t>
        </is>
      </c>
    </row>
    <row r="991">
      <c r="A991" s="19" t="inlineStr">
        <is>
          <t>Concepto</t>
        </is>
      </c>
      <c r="B991" s="20" t="inlineStr">
        <is>
          <t>PENDIENTE (sin registrar)</t>
        </is>
      </c>
      <c r="C991" s="21" t="n"/>
      <c r="D991" s="21" t="n"/>
      <c r="E991" s="21" t="n"/>
      <c r="F991" s="21" t="n"/>
      <c r="H991" s="22" t="inlineStr">
        <is>
          <t>MES ANTERIOR · Fact.6411</t>
        </is>
      </c>
      <c r="I991" s="23" t="n"/>
      <c r="J991" s="23" t="n"/>
      <c r="L991" s="24" t="inlineStr">
        <is>
          <t>AÑO ANTERIOR · Fact.4615</t>
        </is>
      </c>
      <c r="M991" s="25" t="n"/>
      <c r="N991" s="25" t="n"/>
      <c r="R991" s="26" t="inlineStr">
        <is>
          <t>Cobrado total: 1.850 €</t>
        </is>
      </c>
    </row>
    <row r="992">
      <c r="B992" s="7" t="inlineStr">
        <is>
          <t>Cant</t>
        </is>
      </c>
      <c r="C992" s="7" t="inlineStr">
        <is>
          <t>Días</t>
        </is>
      </c>
      <c r="D992" s="7" t="inlineStr">
        <is>
          <t>PC real</t>
        </is>
      </c>
      <c r="E992" s="7" t="inlineStr">
        <is>
          <t>PV</t>
        </is>
      </c>
      <c r="F992" s="7" t="inlineStr">
        <is>
          <t>Importe</t>
        </is>
      </c>
      <c r="H992" s="27" t="inlineStr">
        <is>
          <t>Cant</t>
        </is>
      </c>
      <c r="I992" s="27" t="inlineStr">
        <is>
          <t>PV</t>
        </is>
      </c>
      <c r="J992" s="27" t="inlineStr">
        <is>
          <t>Importe</t>
        </is>
      </c>
      <c r="L992" s="28" t="inlineStr">
        <is>
          <t>Cant</t>
        </is>
      </c>
      <c r="M992" s="28" t="inlineStr">
        <is>
          <t>PV</t>
        </is>
      </c>
      <c r="N992" s="28" t="inlineStr">
        <is>
          <t>Importe</t>
        </is>
      </c>
      <c r="R992" s="29" t="inlineStr">
        <is>
          <t>Pagado total: 1.169 €</t>
        </is>
      </c>
    </row>
    <row r="993">
      <c r="A993" s="30" t="inlineStr">
        <is>
          <t>P1 Potencia</t>
        </is>
      </c>
      <c r="B993" s="31" t="n">
        <v>4.6</v>
      </c>
      <c r="C993" s="32">
        <f>$N$990-$L$990+1</f>
        <v/>
      </c>
      <c r="D993" s="33" t="n">
        <v>3.68919</v>
      </c>
      <c r="E993" s="34" t="n">
        <v>4.17</v>
      </c>
      <c r="F993" s="35">
        <f>ROUND(B993*E993,2)</f>
        <v/>
      </c>
      <c r="H993" s="36" t="n">
        <v>4.6</v>
      </c>
      <c r="I993" s="37" t="n">
        <v>4.17</v>
      </c>
      <c r="J993" s="38">
        <f>ROUND(H993*I993,2)</f>
        <v/>
      </c>
      <c r="L993" s="39" t="n">
        <v>4.6</v>
      </c>
      <c r="M993" s="40" t="n">
        <v>4.17</v>
      </c>
      <c r="N993" s="41">
        <f>ROUND(L993*M993,2)</f>
        <v/>
      </c>
      <c r="R993" s="42" t="inlineStr">
        <is>
          <t>DIF: 681 €   ·   Margen hist.: 36.8%</t>
        </is>
      </c>
    </row>
    <row r="994">
      <c r="A994" s="30" t="inlineStr">
        <is>
          <t>P2 Potencia</t>
        </is>
      </c>
      <c r="B994" s="31" t="n">
        <v>4.6</v>
      </c>
      <c r="C994" s="32">
        <f>$N$990-$L$990+1</f>
        <v/>
      </c>
      <c r="D994" s="33" t="n">
        <v>1.31928</v>
      </c>
      <c r="E994" s="34" t="n">
        <v>1.37</v>
      </c>
      <c r="F994" s="35">
        <f>ROUND(B994*E994,2)</f>
        <v/>
      </c>
      <c r="H994" s="36" t="n">
        <v>4.6</v>
      </c>
      <c r="I994" s="37" t="n">
        <v>1.37</v>
      </c>
      <c r="J994" s="38">
        <f>ROUND(H994*I994,2)</f>
        <v/>
      </c>
      <c r="L994" s="39" t="n">
        <v>4.6</v>
      </c>
      <c r="M994" s="40" t="n">
        <v>1.37</v>
      </c>
      <c r="N994" s="41">
        <f>ROUND(L994*M994,2)</f>
        <v/>
      </c>
      <c r="R994" s="43" t="inlineStr">
        <is>
          <t>Mejor mes: 2023-07 · 163 € · margen 24%</t>
        </is>
      </c>
    </row>
    <row r="995">
      <c r="A995" s="30" t="inlineStr">
        <is>
          <t>P1 Energía</t>
        </is>
      </c>
      <c r="B995" s="31">
        <f>IF($P$995&lt;&gt;"",ROUND(AA995*(($AB$995/(1-$P$995))-25.4840)/40.2116,2),IF('Resumen'!$D$3="OPTIMIZAR",ROUND(MAX(AA995,MIN(AA995*(($AB$995/(1-'Resumen'!$F$3))-25.4840)/40.2116,AA995*(129.8338)/40.2116)),3),AA995))</f>
        <v/>
      </c>
      <c r="C995" s="44" t="n"/>
      <c r="D995" s="33" t="n">
        <v>0.111171</v>
      </c>
      <c r="E995" s="34" t="n">
        <v>0.14937</v>
      </c>
      <c r="F995" s="35">
        <f>ROUND(B995*E995,2)</f>
        <v/>
      </c>
      <c r="H995" s="36" t="n">
        <v>104.197</v>
      </c>
      <c r="I995" s="37" t="n">
        <v>0.14937</v>
      </c>
      <c r="J995" s="38">
        <f>ROUND(H995*I995,2)</f>
        <v/>
      </c>
      <c r="L995" s="39" t="n">
        <v>65.208</v>
      </c>
      <c r="M995" s="40" t="n">
        <v>0.14937</v>
      </c>
      <c r="N995" s="41">
        <f>ROUND(L995*M995,2)</f>
        <v/>
      </c>
      <c r="O995" s="45" t="inlineStr">
        <is>
          <t>Margen objetivo (edita % aquí) ▶</t>
        </is>
      </c>
      <c r="P995" s="5" t="n"/>
      <c r="R995" s="43" t="inlineStr">
        <is>
          <t>Peor mes: 2023-06 · 57 € · margen 31%</t>
        </is>
      </c>
      <c r="AA995" t="n">
        <v>80.06399999999999</v>
      </c>
      <c r="AB995">
        <f>B993*D993+B994*D994+AA995*D995+AA996*D996+AA997*D997</f>
        <v/>
      </c>
    </row>
    <row r="996">
      <c r="A996" s="30" t="inlineStr">
        <is>
          <t>P2 Energía</t>
        </is>
      </c>
      <c r="B996" s="31">
        <f>IF($P$995&lt;&gt;"",ROUND(AA996*(($AB$995/(1-$P$995))-25.4840)/40.2116,2),IF('Resumen'!$D$3="OPTIMIZAR",ROUND(MAX(AA996,MIN(AA996*(($AB$995/(1-'Resumen'!$F$3))-25.4840)/40.2116,AA996*(129.8338)/40.2116)),3),AA996))</f>
        <v/>
      </c>
      <c r="C996" s="44" t="n"/>
      <c r="D996" s="33" t="n">
        <v>0.111171</v>
      </c>
      <c r="E996" s="34" t="n">
        <v>0.14937</v>
      </c>
      <c r="F996" s="35">
        <f>ROUND(B996*E996,2)</f>
        <v/>
      </c>
      <c r="H996" s="36" t="n">
        <v>106.21</v>
      </c>
      <c r="I996" s="37" t="n">
        <v>0.14937</v>
      </c>
      <c r="J996" s="38">
        <f>ROUND(H996*I996,2)</f>
        <v/>
      </c>
      <c r="L996" s="39" t="n">
        <v>66.151</v>
      </c>
      <c r="M996" s="40" t="n">
        <v>0.14937</v>
      </c>
      <c r="N996" s="41">
        <f>ROUND(L996*M996,2)</f>
        <v/>
      </c>
      <c r="O996" s="46" t="inlineStr">
        <is>
          <t>Cant. P1/P2/P3 energía suben</t>
        </is>
      </c>
      <c r="R996" s="43" t="inlineStr">
        <is>
          <t>Importe mensual cobrado (€) · 24 meses ▾</t>
        </is>
      </c>
      <c r="AA996" t="n">
        <v>83.934</v>
      </c>
    </row>
    <row r="997">
      <c r="A997" s="30" t="inlineStr">
        <is>
          <t>P3 Energía</t>
        </is>
      </c>
      <c r="B997" s="31">
        <f>IF($P$995&lt;&gt;"",ROUND(AA997*(($AB$995/(1-$P$995))-25.4840)/40.2116,2),IF('Resumen'!$D$3="OPTIMIZAR",ROUND(MAX(AA997,MIN(AA997*(($AB$995/(1-'Resumen'!$F$3))-25.4840)/40.2116,AA997*(129.8338)/40.2116)),3),AA997))</f>
        <v/>
      </c>
      <c r="C997" s="44" t="n"/>
      <c r="D997" s="33" t="n">
        <v>0.111171</v>
      </c>
      <c r="E997" s="34" t="n">
        <v>0.14937</v>
      </c>
      <c r="F997" s="35">
        <f>ROUND(B997*E997,2)</f>
        <v/>
      </c>
      <c r="H997" s="36" t="n">
        <v>139.307</v>
      </c>
      <c r="I997" s="37" t="n">
        <v>0.14937</v>
      </c>
      <c r="J997" s="38">
        <f>ROUND(H997*I997,2)</f>
        <v/>
      </c>
      <c r="L997" s="39" t="n">
        <v>91.495</v>
      </c>
      <c r="M997" s="40" t="n">
        <v>0.14937</v>
      </c>
      <c r="N997" s="41">
        <f>ROUND(L997*M997,2)</f>
        <v/>
      </c>
      <c r="O997" s="46" t="inlineStr">
        <is>
          <t>en proporción para ese margen</t>
        </is>
      </c>
      <c r="AA997" t="n">
        <v>105.21</v>
      </c>
    </row>
    <row r="998">
      <c r="A998" s="30" t="inlineStr">
        <is>
          <t>Alquiler contador</t>
        </is>
      </c>
      <c r="B998" s="31" t="n">
        <v>1</v>
      </c>
      <c r="C998" s="32">
        <f>$N$990-$L$990+1</f>
        <v/>
      </c>
      <c r="D998" s="33" t="n">
        <v>0.7989000000000001</v>
      </c>
      <c r="E998" s="34" t="n">
        <v>4</v>
      </c>
      <c r="F998" s="35">
        <f>ROUND(B998*E998,2)</f>
        <v/>
      </c>
      <c r="H998" s="36" t="n">
        <v>1</v>
      </c>
      <c r="I998" s="37" t="n">
        <v>4</v>
      </c>
      <c r="J998" s="38">
        <f>ROUND(H998*I998,2)</f>
        <v/>
      </c>
      <c r="L998" s="39" t="n">
        <v>1</v>
      </c>
      <c r="M998" s="40" t="n">
        <v>4</v>
      </c>
      <c r="N998" s="41">
        <f>ROUND(L998*M998,2)</f>
        <v/>
      </c>
    </row>
    <row r="999">
      <c r="A999" s="30" t="inlineStr">
        <is>
          <t>Bono social</t>
        </is>
      </c>
      <c r="B999" s="31" t="n">
        <v>30</v>
      </c>
      <c r="C999" s="32">
        <f>$N$990-$L$990+1</f>
        <v/>
      </c>
      <c r="D999" s="33" t="n">
        <v>0.5736</v>
      </c>
      <c r="E999" s="34" t="n">
        <v>0.01274</v>
      </c>
      <c r="F999" s="35">
        <f>ROUND(B999*E999,2)</f>
        <v/>
      </c>
      <c r="H999" s="36" t="n">
        <v>30</v>
      </c>
      <c r="I999" s="37" t="n">
        <v>0.01274</v>
      </c>
      <c r="J999" s="38">
        <f>ROUND(H999*I999,2)</f>
        <v/>
      </c>
      <c r="L999" s="39" t="n">
        <v>30</v>
      </c>
      <c r="M999" s="40" t="n">
        <v>0.00629</v>
      </c>
      <c r="N999" s="41">
        <f>ROUND(L999*M999,2)</f>
        <v/>
      </c>
    </row>
    <row r="1000">
      <c r="A1000" s="30" t="inlineStr">
        <is>
          <t>Tasa eléctrica</t>
        </is>
      </c>
      <c r="B1000" s="31" t="n">
        <v>3.37</v>
      </c>
      <c r="C1000" s="44" t="n"/>
      <c r="D1000" s="33" t="n">
        <v>0.27312</v>
      </c>
      <c r="E1000" s="34" t="n">
        <v>1</v>
      </c>
      <c r="F1000" s="35">
        <f>ROUND(B1000*E1000,2)</f>
        <v/>
      </c>
      <c r="H1000" s="36" t="n">
        <v>3.98</v>
      </c>
      <c r="I1000" s="37" t="n">
        <v>1</v>
      </c>
      <c r="J1000" s="38">
        <f>ROUND(H1000*I1000,2)</f>
        <v/>
      </c>
      <c r="L1000" s="39" t="n">
        <v>3.01</v>
      </c>
      <c r="M1000" s="40" t="n">
        <v>1</v>
      </c>
      <c r="N1000" s="41">
        <f>ROUND(L1000*M1000,2)</f>
        <v/>
      </c>
    </row>
    <row r="1001">
      <c r="A1001" s="47" t="inlineStr">
        <is>
          <t>TOTAL c/IVA</t>
        </is>
      </c>
      <c r="F1001" s="48">
        <f>ROUND((SUM(F993:F1000)-F1000)*1.1+F1000,2)</f>
        <v/>
      </c>
      <c r="J1001" s="49">
        <f>ROUND(SUM(J993:J1000),2)</f>
        <v/>
      </c>
      <c r="N1001" s="50">
        <f>ROUND(SUM(N993:N1000),2)</f>
        <v/>
      </c>
    </row>
    <row r="1002">
      <c r="A1002" s="19" t="inlineStr">
        <is>
          <t>MARGEN sin registrar</t>
        </is>
      </c>
      <c r="B1002" s="51">
        <f>IF((F996+F993+F995+F997+F994)=0,"",((F996+F993+F995+F997+F994)-$AB$995)/(F996+F993+F995+F997+F994))</f>
        <v/>
      </c>
      <c r="D1002" s="52">
        <f>IF(B1002="","SIN PC",IF(B1002&gt;=0.3,"APROBAR",IF(B1002&gt;=0.2,"REVISAR","RECHAZAR")))</f>
        <v/>
      </c>
      <c r="E1002" s="53" t="n"/>
      <c r="F1002" s="54" t="n"/>
      <c r="AD1002">
        <f>SUM(F995:F997)-40.2116</f>
        <v/>
      </c>
    </row>
    <row r="1004">
      <c r="A1004" s="15" t="inlineStr">
        <is>
          <t>Factura 8633 · C01600 · HAFELI BRIGITTE</t>
        </is>
      </c>
      <c r="H1004" s="15" t="inlineStr">
        <is>
          <t>ES0021000000958945LA · Naturgy</t>
        </is>
      </c>
      <c r="L1004" s="16" t="n">
        <v>46113</v>
      </c>
      <c r="M1004" s="17" t="inlineStr">
        <is>
          <t>a</t>
        </is>
      </c>
      <c r="N1004" s="16" t="n">
        <v>46142</v>
      </c>
      <c r="R1004" s="18" t="inlineStr">
        <is>
          <t>HISTÓRICO DEL CUPS · HOJA TTVA LUZ</t>
        </is>
      </c>
    </row>
    <row r="1005">
      <c r="A1005" s="19" t="inlineStr">
        <is>
          <t>Concepto</t>
        </is>
      </c>
      <c r="B1005" s="20" t="inlineStr">
        <is>
          <t>PENDIENTE (sin registrar)</t>
        </is>
      </c>
      <c r="C1005" s="21" t="n"/>
      <c r="D1005" s="21" t="n"/>
      <c r="E1005" s="21" t="n"/>
      <c r="F1005" s="21" t="n"/>
      <c r="H1005" s="22" t="inlineStr">
        <is>
          <t>MES ANTERIOR · Fact.6410</t>
        </is>
      </c>
      <c r="I1005" s="23" t="n"/>
      <c r="J1005" s="23" t="n"/>
      <c r="L1005" s="24" t="inlineStr">
        <is>
          <t>AÑO ANTERIOR · Fact.4614</t>
        </is>
      </c>
      <c r="M1005" s="25" t="n"/>
      <c r="N1005" s="25" t="n"/>
      <c r="R1005" s="26" t="inlineStr">
        <is>
          <t>Cobrado total: 2.070 €</t>
        </is>
      </c>
    </row>
    <row r="1006">
      <c r="B1006" s="7" t="inlineStr">
        <is>
          <t>Cant</t>
        </is>
      </c>
      <c r="C1006" s="7" t="inlineStr">
        <is>
          <t>Días</t>
        </is>
      </c>
      <c r="D1006" s="7" t="inlineStr">
        <is>
          <t>PC real</t>
        </is>
      </c>
      <c r="E1006" s="7" t="inlineStr">
        <is>
          <t>PV</t>
        </is>
      </c>
      <c r="F1006" s="7" t="inlineStr">
        <is>
          <t>Importe</t>
        </is>
      </c>
      <c r="H1006" s="27" t="inlineStr">
        <is>
          <t>Cant</t>
        </is>
      </c>
      <c r="I1006" s="27" t="inlineStr">
        <is>
          <t>PV</t>
        </is>
      </c>
      <c r="J1006" s="27" t="inlineStr">
        <is>
          <t>Importe</t>
        </is>
      </c>
      <c r="L1006" s="28" t="inlineStr">
        <is>
          <t>Cant</t>
        </is>
      </c>
      <c r="M1006" s="28" t="inlineStr">
        <is>
          <t>PV</t>
        </is>
      </c>
      <c r="N1006" s="28" t="inlineStr">
        <is>
          <t>Importe</t>
        </is>
      </c>
      <c r="R1006" s="29" t="inlineStr">
        <is>
          <t>Pagado total: 1.492 €</t>
        </is>
      </c>
    </row>
    <row r="1007">
      <c r="A1007" s="30" t="inlineStr">
        <is>
          <t>P1 Potencia</t>
        </is>
      </c>
      <c r="B1007" s="31" t="n">
        <v>10.392</v>
      </c>
      <c r="C1007" s="32">
        <f>$N$1004-$L$1004+1</f>
        <v/>
      </c>
      <c r="D1007" s="33" t="n">
        <v>3.4086</v>
      </c>
      <c r="E1007" s="34" t="n">
        <v>4.17</v>
      </c>
      <c r="F1007" s="35">
        <f>ROUND(B1007*E1007,2)</f>
        <v/>
      </c>
      <c r="H1007" s="36" t="n">
        <v>10.392</v>
      </c>
      <c r="I1007" s="37" t="n">
        <v>4.17</v>
      </c>
      <c r="J1007" s="38">
        <f>ROUND(H1007*I1007,2)</f>
        <v/>
      </c>
      <c r="L1007" s="39" t="n">
        <v>10.392</v>
      </c>
      <c r="M1007" s="40" t="n">
        <v>4.17</v>
      </c>
      <c r="N1007" s="41">
        <f>ROUND(L1007*M1007,2)</f>
        <v/>
      </c>
      <c r="R1007" s="42" t="inlineStr">
        <is>
          <t>DIF: 578 €   ·   Margen hist.: 27.9%</t>
        </is>
      </c>
    </row>
    <row r="1008">
      <c r="A1008" s="30" t="inlineStr">
        <is>
          <t>P2 Potencia</t>
        </is>
      </c>
      <c r="B1008" s="31" t="n">
        <v>10.392</v>
      </c>
      <c r="C1008" s="32">
        <f>$N$1004-$L$1004+1</f>
        <v/>
      </c>
      <c r="D1008" s="33" t="n">
        <v>1.09728</v>
      </c>
      <c r="E1008" s="34" t="n">
        <v>1.37</v>
      </c>
      <c r="F1008" s="35">
        <f>ROUND(B1008*E1008,2)</f>
        <v/>
      </c>
      <c r="H1008" s="36" t="n">
        <v>10.392</v>
      </c>
      <c r="I1008" s="37" t="n">
        <v>1.37</v>
      </c>
      <c r="J1008" s="38">
        <f>ROUND(H1008*I1008,2)</f>
        <v/>
      </c>
      <c r="L1008" s="39" t="n">
        <v>10.392</v>
      </c>
      <c r="M1008" s="40" t="n">
        <v>1.37</v>
      </c>
      <c r="N1008" s="41">
        <f>ROUND(L1008*M1008,2)</f>
        <v/>
      </c>
      <c r="R1008" s="43" t="inlineStr">
        <is>
          <t>Mejor mes: 2023-12 · 313 € · margen -2347%</t>
        </is>
      </c>
    </row>
    <row r="1009">
      <c r="A1009" s="30" t="inlineStr">
        <is>
          <t>P1 Energía</t>
        </is>
      </c>
      <c r="B1009" s="31">
        <f>IF($P$1009&lt;&gt;"",ROUND(AA1009*(($AB$1009/(1-$P$1009))-57.5717)/18.4140,2),IF('Resumen'!$D$3="OPTIMIZAR",ROUND(MAX(AA1009,MIN(AA1009*(($AB$1009/(1-'Resumen'!$F$3))-57.5717)/18.4140,AA1009*(248.5561)/18.4140)),3),AA1009))</f>
        <v/>
      </c>
      <c r="C1009" s="44" t="n"/>
      <c r="D1009" s="33" t="n">
        <v>0.110306</v>
      </c>
      <c r="E1009" s="34" t="n">
        <v>0.14937</v>
      </c>
      <c r="F1009" s="35">
        <f>ROUND(B1009*E1009,2)</f>
        <v/>
      </c>
      <c r="H1009" s="36" t="n">
        <v>120.342</v>
      </c>
      <c r="I1009" s="37" t="n">
        <v>0.14937</v>
      </c>
      <c r="J1009" s="38">
        <f>ROUND(H1009*I1009,2)</f>
        <v/>
      </c>
      <c r="L1009" s="39" t="n">
        <v>66.733</v>
      </c>
      <c r="M1009" s="40" t="n">
        <v>0.14937</v>
      </c>
      <c r="N1009" s="41">
        <f>ROUND(L1009*M1009,2)</f>
        <v/>
      </c>
      <c r="O1009" s="45" t="inlineStr">
        <is>
          <t>Margen objetivo (edita % aquí) ▶</t>
        </is>
      </c>
      <c r="P1009" s="5" t="n"/>
      <c r="R1009" s="43" t="inlineStr">
        <is>
          <t>Peor mes: 2023-10 · 20 €</t>
        </is>
      </c>
      <c r="AA1009" t="n">
        <v>5.433</v>
      </c>
      <c r="AB1009">
        <f>B1007*D1007+B1008*D1008+AA1009*D1009+AA1010*D1010+AA1011*D1011</f>
        <v/>
      </c>
    </row>
    <row r="1010">
      <c r="A1010" s="30" t="inlineStr">
        <is>
          <t>P2 Energía</t>
        </is>
      </c>
      <c r="B1010" s="31">
        <f>IF($P$1009&lt;&gt;"",ROUND(AA1010*(($AB$1009/(1-$P$1009))-57.5717)/18.4140,2),IF('Resumen'!$D$3="OPTIMIZAR",ROUND(MAX(AA1010,MIN(AA1010*(($AB$1009/(1-'Resumen'!$F$3))-57.5717)/18.4140,AA1010*(248.5561)/18.4140)),3),AA1010))</f>
        <v/>
      </c>
      <c r="C1010" s="44" t="n"/>
      <c r="D1010" s="33" t="n">
        <v>0.110306</v>
      </c>
      <c r="E1010" s="34" t="n">
        <v>0.14937</v>
      </c>
      <c r="F1010" s="35">
        <f>ROUND(B1010*E1010,2)</f>
        <v/>
      </c>
      <c r="H1010" s="36" t="n">
        <v>124.689</v>
      </c>
      <c r="I1010" s="37" t="n">
        <v>0.14937</v>
      </c>
      <c r="J1010" s="38">
        <f>ROUND(H1010*I1010,2)</f>
        <v/>
      </c>
      <c r="L1010" s="39" t="n">
        <v>85.038</v>
      </c>
      <c r="M1010" s="40" t="n">
        <v>0.14937</v>
      </c>
      <c r="N1010" s="41">
        <f>ROUND(L1010*M1010,2)</f>
        <v/>
      </c>
      <c r="O1010" s="46" t="inlineStr">
        <is>
          <t>Cant. P1/P2/P3 energía suben</t>
        </is>
      </c>
      <c r="R1010" s="43" t="inlineStr">
        <is>
          <t>Importe mensual cobrado (€) · 24 meses ▾</t>
        </is>
      </c>
      <c r="AA1010" t="n">
        <v>25.091</v>
      </c>
    </row>
    <row r="1011">
      <c r="A1011" s="30" t="inlineStr">
        <is>
          <t>P3 Energía</t>
        </is>
      </c>
      <c r="B1011" s="31">
        <f>IF($P$1009&lt;&gt;"",ROUND(AA1011*(($AB$1009/(1-$P$1009))-57.5717)/18.4140,2),IF('Resumen'!$D$3="OPTIMIZAR",ROUND(MAX(AA1011,MIN(AA1011*(($AB$1009/(1-'Resumen'!$F$3))-57.5717)/18.4140,AA1011*(248.5561)/18.4140)),3),AA1011))</f>
        <v/>
      </c>
      <c r="C1011" s="44" t="n"/>
      <c r="D1011" s="33" t="n">
        <v>0.110306</v>
      </c>
      <c r="E1011" s="34" t="n">
        <v>0.14937</v>
      </c>
      <c r="F1011" s="35">
        <f>ROUND(B1011*E1011,2)</f>
        <v/>
      </c>
      <c r="H1011" s="36" t="n">
        <v>279.65</v>
      </c>
      <c r="I1011" s="37" t="n">
        <v>0.14937</v>
      </c>
      <c r="J1011" s="38">
        <f>ROUND(H1011*I1011,2)</f>
        <v/>
      </c>
      <c r="L1011" s="39" t="n">
        <v>257.035</v>
      </c>
      <c r="M1011" s="40" t="n">
        <v>0.14937</v>
      </c>
      <c r="N1011" s="41">
        <f>ROUND(L1011*M1011,2)</f>
        <v/>
      </c>
      <c r="O1011" s="46" t="inlineStr">
        <is>
          <t>en proporción para ese margen</t>
        </is>
      </c>
      <c r="AA1011" t="n">
        <v>92.754</v>
      </c>
    </row>
    <row r="1012">
      <c r="A1012" s="30" t="inlineStr">
        <is>
          <t>Alquiler contador</t>
        </is>
      </c>
      <c r="B1012" s="31" t="n">
        <v>1</v>
      </c>
      <c r="C1012" s="32">
        <f>$N$1004-$L$1004+1</f>
        <v/>
      </c>
      <c r="D1012" s="33" t="n">
        <v>1.3414</v>
      </c>
      <c r="E1012" s="34" t="n">
        <v>4</v>
      </c>
      <c r="F1012" s="35">
        <f>ROUND(B1012*E1012,2)</f>
        <v/>
      </c>
      <c r="H1012" s="36" t="n">
        <v>1</v>
      </c>
      <c r="I1012" s="37" t="n">
        <v>4</v>
      </c>
      <c r="J1012" s="38">
        <f>ROUND(H1012*I1012,2)</f>
        <v/>
      </c>
      <c r="L1012" s="39" t="n">
        <v>1</v>
      </c>
      <c r="M1012" s="40" t="n">
        <v>4</v>
      </c>
      <c r="N1012" s="41">
        <f>ROUND(L1012*M1012,2)</f>
        <v/>
      </c>
    </row>
    <row r="1013">
      <c r="A1013" s="30" t="inlineStr">
        <is>
          <t>Bono social</t>
        </is>
      </c>
      <c r="B1013" s="31" t="n">
        <v>30</v>
      </c>
      <c r="C1013" s="32">
        <f>$N$1004-$L$1004+1</f>
        <v/>
      </c>
      <c r="D1013" s="33" t="n">
        <v>0.5736</v>
      </c>
      <c r="E1013" s="34" t="n">
        <v>0.01274</v>
      </c>
      <c r="F1013" s="35">
        <f>ROUND(B1013*E1013,2)</f>
        <v/>
      </c>
      <c r="H1013" s="36" t="n">
        <v>30</v>
      </c>
      <c r="I1013" s="37" t="n">
        <v>0.01274</v>
      </c>
      <c r="J1013" s="38">
        <f>ROUND(H1013*I1013,2)</f>
        <v/>
      </c>
      <c r="L1013" s="39" t="n">
        <v>30</v>
      </c>
      <c r="M1013" s="40" t="n">
        <v>0.00629</v>
      </c>
      <c r="N1013" s="41">
        <f>ROUND(L1013*M1013,2)</f>
        <v/>
      </c>
    </row>
    <row r="1014">
      <c r="A1014" s="30" t="inlineStr">
        <is>
          <t>Tasa eléctrica</t>
        </is>
      </c>
      <c r="B1014" s="31" t="n">
        <v>2.95</v>
      </c>
      <c r="C1014" s="44" t="n"/>
      <c r="D1014" s="33" t="n">
        <v>0.24729</v>
      </c>
      <c r="E1014" s="34" t="n">
        <v>1</v>
      </c>
      <c r="F1014" s="35">
        <f>ROUND(B1014*E1014,2)</f>
        <v/>
      </c>
      <c r="H1014" s="36" t="n">
        <v>5.77</v>
      </c>
      <c r="I1014" s="37" t="n">
        <v>1</v>
      </c>
      <c r="J1014" s="38">
        <f>ROUND(H1014*I1014,2)</f>
        <v/>
      </c>
      <c r="L1014" s="39" t="n">
        <v>5.01</v>
      </c>
      <c r="M1014" s="40" t="n">
        <v>1</v>
      </c>
      <c r="N1014" s="41">
        <f>ROUND(L1014*M1014,2)</f>
        <v/>
      </c>
    </row>
    <row r="1015">
      <c r="A1015" s="47" t="inlineStr">
        <is>
          <t>TOTAL c/IVA</t>
        </is>
      </c>
      <c r="F1015" s="48">
        <f>ROUND((SUM(F1007:F1014)-F1014)*1.1+F1014,2)</f>
        <v/>
      </c>
      <c r="J1015" s="49">
        <f>ROUND(SUM(J1007:J1014),2)</f>
        <v/>
      </c>
      <c r="N1015" s="50">
        <f>ROUND(SUM(N1007:N1014),2)</f>
        <v/>
      </c>
    </row>
    <row r="1016">
      <c r="A1016" s="19" t="inlineStr">
        <is>
          <t>MARGEN sin registrar</t>
        </is>
      </c>
      <c r="B1016" s="51">
        <f>IF((F1010+F1007+F1009+F1011+F1008)=0,"",((F1010+F1007+F1009+F1011+F1008)-$AB$1009)/(F1010+F1007+F1009+F1011+F1008))</f>
        <v/>
      </c>
      <c r="D1016" s="52">
        <f>IF(B1016="","SIN PC",IF(B1016&gt;=0.3,"APROBAR",IF(B1016&gt;=0.2,"REVISAR","RECHAZAR")))</f>
        <v/>
      </c>
      <c r="E1016" s="53" t="n"/>
      <c r="F1016" s="54" t="n"/>
      <c r="AD1016">
        <f>SUM(F1009:F1011)-18.4140</f>
        <v/>
      </c>
    </row>
    <row r="1017">
      <c r="A1017" s="55" t="inlineStr">
        <is>
          <t>☀ EXCEDENTES SOLARES (kWh vertidos reales)</t>
        </is>
      </c>
      <c r="B1017" s="56" t="n"/>
      <c r="C1017" s="56" t="n"/>
      <c r="D1017" s="56" t="n"/>
      <c r="E1017" s="56" t="n"/>
      <c r="F1017" s="56" t="n"/>
    </row>
    <row r="1018">
      <c r="A1018" s="57" t="inlineStr">
        <is>
          <t>Concepto</t>
        </is>
      </c>
      <c r="B1018" s="57" t="inlineStr">
        <is>
          <t>kWh</t>
        </is>
      </c>
      <c r="D1018" s="57" t="inlineStr">
        <is>
          <t>€/kWh compra</t>
        </is>
      </c>
      <c r="E1018" s="57" t="inlineStr">
        <is>
          <t>€/kWh venta</t>
        </is>
      </c>
      <c r="F1018" s="57" t="inlineStr">
        <is>
          <t>Importe</t>
        </is>
      </c>
    </row>
    <row r="1019">
      <c r="A1019" s="58" t="inlineStr">
        <is>
          <t>Compra excedentes (vertido red)</t>
        </is>
      </c>
      <c r="B1019" s="59" t="n">
        <v>709</v>
      </c>
      <c r="C1019" s="60" t="n"/>
      <c r="D1019" s="33" t="n">
        <v>0.06</v>
      </c>
      <c r="E1019" s="60" t="n"/>
      <c r="F1019" s="61">
        <f>ROUND(B1019*D1019,2)</f>
        <v/>
      </c>
    </row>
    <row r="1020">
      <c r="A1020" s="58" t="inlineStr">
        <is>
          <t>Venta cliente (saldo batería, 1043)</t>
        </is>
      </c>
      <c r="B1020" s="60" t="n"/>
      <c r="C1020" s="60" t="n"/>
      <c r="D1020" s="60" t="n"/>
      <c r="E1020" s="62" t="n">
        <v>0.06</v>
      </c>
      <c r="F1020" s="61" t="n">
        <v>18.41</v>
      </c>
    </row>
    <row r="1021">
      <c r="A1021" s="63" t="inlineStr">
        <is>
          <t>NETO Transactiva (compra − venta)</t>
        </is>
      </c>
      <c r="B1021" s="60" t="n"/>
      <c r="C1021" s="60" t="n"/>
      <c r="D1021" s="60" t="n"/>
      <c r="E1021" s="60" t="n"/>
      <c r="F1021" s="64">
        <f>F1019-F1020</f>
        <v/>
      </c>
    </row>
    <row r="1023">
      <c r="A1023" s="15" t="inlineStr">
        <is>
          <t>Factura 8634 · C01620 · MIA EDELTRUDIS JOSEPHINA ZANTMAN</t>
        </is>
      </c>
      <c r="H1023" s="15" t="inlineStr">
        <is>
          <t>ES0021000000828286LF · Naturgy</t>
        </is>
      </c>
      <c r="L1023" s="16" t="n">
        <v>46113</v>
      </c>
      <c r="M1023" s="17" t="inlineStr">
        <is>
          <t>a</t>
        </is>
      </c>
      <c r="N1023" s="16" t="n">
        <v>46142</v>
      </c>
      <c r="R1023" s="18" t="inlineStr">
        <is>
          <t>HISTÓRICO DEL CUPS · HOJA TTVA LUZ</t>
        </is>
      </c>
    </row>
    <row r="1024">
      <c r="A1024" s="19" t="inlineStr">
        <is>
          <t>Concepto</t>
        </is>
      </c>
      <c r="B1024" s="20" t="inlineStr">
        <is>
          <t>PENDIENTE (sin registrar)</t>
        </is>
      </c>
      <c r="C1024" s="21" t="n"/>
      <c r="D1024" s="21" t="n"/>
      <c r="E1024" s="21" t="n"/>
      <c r="F1024" s="21" t="n"/>
      <c r="H1024" s="22" t="inlineStr">
        <is>
          <t>MES ANTERIOR · Fact.6409</t>
        </is>
      </c>
      <c r="I1024" s="23" t="n"/>
      <c r="J1024" s="23" t="n"/>
      <c r="L1024" s="24" t="inlineStr">
        <is>
          <t>AÑO ANTERIOR · Fact.4613</t>
        </is>
      </c>
      <c r="M1024" s="25" t="n"/>
      <c r="N1024" s="25" t="n"/>
      <c r="R1024" s="26" t="inlineStr">
        <is>
          <t>Cobrado total: 282 €</t>
        </is>
      </c>
    </row>
    <row r="1025">
      <c r="B1025" s="7" t="inlineStr">
        <is>
          <t>Cant</t>
        </is>
      </c>
      <c r="C1025" s="7" t="inlineStr">
        <is>
          <t>Días</t>
        </is>
      </c>
      <c r="D1025" s="7" t="inlineStr">
        <is>
          <t>PC real</t>
        </is>
      </c>
      <c r="E1025" s="7" t="inlineStr">
        <is>
          <t>PV</t>
        </is>
      </c>
      <c r="F1025" s="7" t="inlineStr">
        <is>
          <t>Importe</t>
        </is>
      </c>
      <c r="H1025" s="27" t="inlineStr">
        <is>
          <t>Cant</t>
        </is>
      </c>
      <c r="I1025" s="27" t="inlineStr">
        <is>
          <t>PV</t>
        </is>
      </c>
      <c r="J1025" s="27" t="inlineStr">
        <is>
          <t>Importe</t>
        </is>
      </c>
      <c r="L1025" s="28" t="inlineStr">
        <is>
          <t>Cant</t>
        </is>
      </c>
      <c r="M1025" s="28" t="inlineStr">
        <is>
          <t>PV</t>
        </is>
      </c>
      <c r="N1025" s="28" t="inlineStr">
        <is>
          <t>Importe</t>
        </is>
      </c>
      <c r="R1025" s="29" t="inlineStr">
        <is>
          <t>Pagado total: 515 €</t>
        </is>
      </c>
    </row>
    <row r="1026">
      <c r="A1026" s="30" t="inlineStr">
        <is>
          <t>P1 Potencia</t>
        </is>
      </c>
      <c r="B1026" s="31" t="n">
        <v>5.5</v>
      </c>
      <c r="C1026" s="32">
        <f>$N$1023-$L$1023+1</f>
        <v/>
      </c>
      <c r="D1026" s="33" t="n">
        <v>3.4086</v>
      </c>
      <c r="E1026" s="34" t="n">
        <v>4.17</v>
      </c>
      <c r="F1026" s="35">
        <f>ROUND(B1026*E1026,2)</f>
        <v/>
      </c>
      <c r="H1026" s="36" t="n">
        <v>5.5</v>
      </c>
      <c r="I1026" s="37" t="n">
        <v>4.17</v>
      </c>
      <c r="J1026" s="38">
        <f>ROUND(H1026*I1026,2)</f>
        <v/>
      </c>
      <c r="L1026" s="39" t="n">
        <v>5.5</v>
      </c>
      <c r="M1026" s="40" t="n">
        <v>4.17</v>
      </c>
      <c r="N1026" s="41">
        <f>ROUND(L1026*M1026,2)</f>
        <v/>
      </c>
      <c r="R1026" s="42" t="inlineStr">
        <is>
          <t>DIF: -233 €   ·   Margen hist.: -82.4%</t>
        </is>
      </c>
    </row>
    <row r="1027">
      <c r="A1027" s="30" t="inlineStr">
        <is>
          <t>P2 Potencia</t>
        </is>
      </c>
      <c r="B1027" s="31" t="n">
        <v>5.5</v>
      </c>
      <c r="C1027" s="32">
        <f>$N$1023-$L$1023+1</f>
        <v/>
      </c>
      <c r="D1027" s="33" t="n">
        <v>1.09728</v>
      </c>
      <c r="E1027" s="34" t="n">
        <v>1.37</v>
      </c>
      <c r="F1027" s="35">
        <f>ROUND(B1027*E1027,2)</f>
        <v/>
      </c>
      <c r="H1027" s="36" t="n">
        <v>5.5</v>
      </c>
      <c r="I1027" s="37" t="n">
        <v>1.37</v>
      </c>
      <c r="J1027" s="38">
        <f>ROUND(H1027*I1027,2)</f>
        <v/>
      </c>
      <c r="L1027" s="39" t="n">
        <v>5.5</v>
      </c>
      <c r="M1027" s="40" t="n">
        <v>1.37</v>
      </c>
      <c r="N1027" s="41">
        <f>ROUND(L1027*M1027,2)</f>
        <v/>
      </c>
      <c r="R1027" s="43" t="inlineStr">
        <is>
          <t>Mejor mes: 2024-11 · 38 € · margen 27%</t>
        </is>
      </c>
    </row>
    <row r="1028">
      <c r="A1028" s="30" t="inlineStr">
        <is>
          <t>P1 Energía</t>
        </is>
      </c>
      <c r="B1028" s="31">
        <f>IF($P$1028&lt;&gt;"",ROUND(AA1028*(($AB$1028/(1-$P$1028))-30.4700)/11.3584,2),IF('Resumen'!$D$3="OPTIMIZAR",ROUND(MAX(AA1028,MIN(AA1028*(($AB$1028/(1-'Resumen'!$F$3))-30.4700)/11.3584,AA1028*(1.2078)/11.3584)),3),AA1028))</f>
        <v/>
      </c>
      <c r="C1028" s="44" t="n"/>
      <c r="D1028" s="33" t="n">
        <v>0.110306</v>
      </c>
      <c r="E1028" s="34" t="n">
        <v>0.14937</v>
      </c>
      <c r="F1028" s="35">
        <f>ROUND(B1028*E1028,2)</f>
        <v/>
      </c>
      <c r="H1028" s="36" t="n">
        <v>18.236</v>
      </c>
      <c r="I1028" s="37" t="n">
        <v>0.14937</v>
      </c>
      <c r="J1028" s="38">
        <f>ROUND(H1028*I1028,2)</f>
        <v/>
      </c>
      <c r="L1028" s="39" t="n">
        <v>4.307</v>
      </c>
      <c r="M1028" s="40" t="n">
        <v>0.14937</v>
      </c>
      <c r="N1028" s="41">
        <f>ROUND(L1028*M1028,2)</f>
        <v/>
      </c>
      <c r="O1028" s="45" t="inlineStr">
        <is>
          <t>Margen objetivo (edita % aquí) ▶</t>
        </is>
      </c>
      <c r="P1028" s="5" t="n"/>
      <c r="R1028" s="43" t="inlineStr">
        <is>
          <t>Peor mes: 2024-05 · 0 € · margen 100%</t>
        </is>
      </c>
      <c r="AA1028" t="n">
        <v>17.133</v>
      </c>
      <c r="AB1028">
        <f>B1026*D1026+B1027*D1027+AA1028*D1028+AA1029*D1029+AA1030*D1030</f>
        <v/>
      </c>
    </row>
    <row r="1029">
      <c r="A1029" s="30" t="inlineStr">
        <is>
          <t>P2 Energía</t>
        </is>
      </c>
      <c r="B1029" s="31">
        <f>IF($P$1028&lt;&gt;"",ROUND(AA1029*(($AB$1028/(1-$P$1028))-30.4700)/11.3584,2),IF('Resumen'!$D$3="OPTIMIZAR",ROUND(MAX(AA1029,MIN(AA1029*(($AB$1028/(1-'Resumen'!$F$3))-30.4700)/11.3584,AA1029*(1.2078)/11.3584)),3),AA1029))</f>
        <v/>
      </c>
      <c r="C1029" s="44" t="n"/>
      <c r="D1029" s="33" t="n">
        <v>0.110306</v>
      </c>
      <c r="E1029" s="34" t="n">
        <v>0.14937</v>
      </c>
      <c r="F1029" s="35">
        <f>ROUND(B1029*E1029,2)</f>
        <v/>
      </c>
      <c r="H1029" s="36" t="n">
        <v>3.786</v>
      </c>
      <c r="I1029" s="37" t="n">
        <v>0.14937</v>
      </c>
      <c r="J1029" s="38">
        <f>ROUND(H1029*I1029,2)</f>
        <v/>
      </c>
      <c r="L1029" s="39" t="n">
        <v>2.934</v>
      </c>
      <c r="M1029" s="40" t="n">
        <v>0.14937</v>
      </c>
      <c r="N1029" s="41">
        <f>ROUND(L1029*M1029,2)</f>
        <v/>
      </c>
      <c r="O1029" s="46" t="inlineStr">
        <is>
          <t>Cant. P1/P2/P3 energía suben</t>
        </is>
      </c>
      <c r="R1029" s="43" t="inlineStr">
        <is>
          <t>Importe mensual cobrado (€) · 24 meses ▾</t>
        </is>
      </c>
      <c r="AA1029" t="n">
        <v>17.593</v>
      </c>
    </row>
    <row r="1030">
      <c r="A1030" s="30" t="inlineStr">
        <is>
          <t>P3 Energía</t>
        </is>
      </c>
      <c r="B1030" s="31">
        <f>IF($P$1028&lt;&gt;"",ROUND(AA1030*(($AB$1028/(1-$P$1028))-30.4700)/11.3584,2),IF('Resumen'!$D$3="OPTIMIZAR",ROUND(MAX(AA1030,MIN(AA1030*(($AB$1028/(1-'Resumen'!$F$3))-30.4700)/11.3584,AA1030*(1.2078)/11.3584)),3),AA1030))</f>
        <v/>
      </c>
      <c r="C1030" s="44" t="n"/>
      <c r="D1030" s="33" t="n">
        <v>0.110306</v>
      </c>
      <c r="E1030" s="34" t="n">
        <v>0.14937</v>
      </c>
      <c r="F1030" s="35">
        <f>ROUND(B1030*E1030,2)</f>
        <v/>
      </c>
      <c r="H1030" s="36" t="n">
        <v>18.968</v>
      </c>
      <c r="I1030" s="37" t="n">
        <v>0.14937</v>
      </c>
      <c r="J1030" s="38">
        <f>ROUND(H1030*I1030,2)</f>
        <v/>
      </c>
      <c r="L1030" s="39" t="n">
        <v>16.756</v>
      </c>
      <c r="M1030" s="40" t="n">
        <v>0.14937</v>
      </c>
      <c r="N1030" s="41">
        <f>ROUND(L1030*M1030,2)</f>
        <v/>
      </c>
      <c r="O1030" s="46" t="inlineStr">
        <is>
          <t>en proporción para ese margen</t>
        </is>
      </c>
      <c r="AA1030" t="n">
        <v>41.316</v>
      </c>
    </row>
    <row r="1031">
      <c r="A1031" s="30" t="inlineStr">
        <is>
          <t>Alquiler contador</t>
        </is>
      </c>
      <c r="B1031" s="31" t="n">
        <v>1</v>
      </c>
      <c r="C1031" s="32">
        <f>$N$1023-$L$1023+1</f>
        <v/>
      </c>
      <c r="D1031" s="33" t="n">
        <v>0.7989000000000001</v>
      </c>
      <c r="E1031" s="34" t="n">
        <v>4</v>
      </c>
      <c r="F1031" s="35">
        <f>ROUND(B1031*E1031,2)</f>
        <v/>
      </c>
      <c r="H1031" s="36" t="n">
        <v>1</v>
      </c>
      <c r="I1031" s="37" t="n">
        <v>4</v>
      </c>
      <c r="J1031" s="38">
        <f>ROUND(H1031*I1031,2)</f>
        <v/>
      </c>
      <c r="L1031" s="39" t="n">
        <v>1</v>
      </c>
      <c r="M1031" s="40" t="n">
        <v>4</v>
      </c>
      <c r="N1031" s="41">
        <f>ROUND(L1031*M1031,2)</f>
        <v/>
      </c>
    </row>
    <row r="1032">
      <c r="A1032" s="30" t="inlineStr">
        <is>
          <t>Bono social</t>
        </is>
      </c>
      <c r="B1032" s="31" t="n">
        <v>30</v>
      </c>
      <c r="C1032" s="32">
        <f>$N$1023-$L$1023+1</f>
        <v/>
      </c>
      <c r="D1032" s="33" t="n">
        <v>0.5736</v>
      </c>
      <c r="E1032" s="34" t="n">
        <v>0.01274</v>
      </c>
      <c r="F1032" s="35">
        <f>ROUND(B1032*E1032,2)</f>
        <v/>
      </c>
      <c r="H1032" s="36" t="n">
        <v>30</v>
      </c>
      <c r="I1032" s="37" t="n">
        <v>0.01274</v>
      </c>
      <c r="J1032" s="38">
        <f>ROUND(H1032*I1032,2)</f>
        <v/>
      </c>
      <c r="L1032" s="39" t="n">
        <v>30</v>
      </c>
      <c r="M1032" s="40" t="n">
        <v>0.00629</v>
      </c>
      <c r="N1032" s="41">
        <f>ROUND(L1032*M1032,2)</f>
        <v/>
      </c>
    </row>
    <row r="1033">
      <c r="A1033" s="30" t="inlineStr">
        <is>
          <t>Tasa eléctrica</t>
        </is>
      </c>
      <c r="B1033" s="31" t="n">
        <v>1.57</v>
      </c>
      <c r="C1033" s="44" t="n"/>
      <c r="D1033" s="33" t="n">
        <v>0.24729</v>
      </c>
      <c r="E1033" s="34" t="n">
        <v>1</v>
      </c>
      <c r="F1033" s="35">
        <f>ROUND(B1033*E1033,2)</f>
        <v/>
      </c>
      <c r="H1033" s="36" t="n">
        <v>1.57</v>
      </c>
      <c r="I1033" s="37" t="n">
        <v>1</v>
      </c>
      <c r="J1033" s="38">
        <f>ROUND(H1033*I1033,2)</f>
        <v/>
      </c>
      <c r="L1033" s="39" t="n">
        <v>1.57</v>
      </c>
      <c r="M1033" s="40" t="n">
        <v>1</v>
      </c>
      <c r="N1033" s="41">
        <f>ROUND(L1033*M1033,2)</f>
        <v/>
      </c>
    </row>
    <row r="1034">
      <c r="A1034" s="47" t="inlineStr">
        <is>
          <t>TOTAL c/IVA</t>
        </is>
      </c>
      <c r="F1034" s="48">
        <f>ROUND((SUM(F1026:F1033)-F1033)*1.1+F1033,2)</f>
        <v/>
      </c>
      <c r="J1034" s="49">
        <f>ROUND(SUM(J1026:J1033),2)</f>
        <v/>
      </c>
      <c r="N1034" s="50">
        <f>ROUND(SUM(N1026:N1033),2)</f>
        <v/>
      </c>
    </row>
    <row r="1035">
      <c r="A1035" s="19" t="inlineStr">
        <is>
          <t>MARGEN sin registrar</t>
        </is>
      </c>
      <c r="B1035" s="51">
        <f>IF((F1029+F1026+F1028+F1030+F1027)=0,"",((F1029+F1026+F1028+F1030+F1027)-$AB$1028)/(F1029+F1026+F1028+F1030+F1027))</f>
        <v/>
      </c>
      <c r="D1035" s="52">
        <f>IF(B1035="","SIN PC",IF(B1035&gt;=0.3,"APROBAR",IF(B1035&gt;=0.2,"REVISAR","RECHAZAR")))</f>
        <v/>
      </c>
      <c r="E1035" s="53" t="n"/>
      <c r="F1035" s="54" t="n"/>
      <c r="AD1035">
        <f>SUM(F1028:F1030)-11.3584</f>
        <v/>
      </c>
    </row>
    <row r="1036">
      <c r="A1036" s="55" t="inlineStr">
        <is>
          <t>☀ EXCEDENTES SOLARES (kWh vertidos reales)</t>
        </is>
      </c>
      <c r="B1036" s="56" t="n"/>
      <c r="C1036" s="56" t="n"/>
      <c r="D1036" s="56" t="n"/>
      <c r="E1036" s="56" t="n"/>
      <c r="F1036" s="56" t="n"/>
    </row>
    <row r="1037">
      <c r="A1037" s="57" t="inlineStr">
        <is>
          <t>Concepto</t>
        </is>
      </c>
      <c r="B1037" s="57" t="inlineStr">
        <is>
          <t>kWh</t>
        </is>
      </c>
      <c r="D1037" s="57" t="inlineStr">
        <is>
          <t>€/kWh compra</t>
        </is>
      </c>
      <c r="E1037" s="57" t="inlineStr">
        <is>
          <t>€/kWh venta</t>
        </is>
      </c>
      <c r="F1037" s="57" t="inlineStr">
        <is>
          <t>Importe</t>
        </is>
      </c>
    </row>
    <row r="1038">
      <c r="A1038" s="58" t="inlineStr">
        <is>
          <t>Compra excedentes (vertido red)</t>
        </is>
      </c>
      <c r="B1038" s="59" t="n">
        <v>697</v>
      </c>
      <c r="C1038" s="60" t="n"/>
      <c r="D1038" s="33" t="n">
        <v>0.06</v>
      </c>
      <c r="E1038" s="60" t="n"/>
      <c r="F1038" s="61">
        <f>ROUND(B1038*D1038,2)</f>
        <v/>
      </c>
    </row>
    <row r="1039">
      <c r="A1039" s="58" t="inlineStr">
        <is>
          <t>Venta cliente (saldo batería, 1043)</t>
        </is>
      </c>
      <c r="B1039" s="60" t="n"/>
      <c r="C1039" s="60" t="n"/>
      <c r="D1039" s="60" t="n"/>
      <c r="E1039" s="62" t="n">
        <v>0.06</v>
      </c>
      <c r="F1039" s="61" t="n">
        <v>11.36</v>
      </c>
    </row>
    <row r="1040">
      <c r="A1040" s="63" t="inlineStr">
        <is>
          <t>NETO Transactiva (compra − venta)</t>
        </is>
      </c>
      <c r="B1040" s="60" t="n"/>
      <c r="C1040" s="60" t="n"/>
      <c r="D1040" s="60" t="n"/>
      <c r="E1040" s="60" t="n"/>
      <c r="F1040" s="64">
        <f>F1038-F1039</f>
        <v/>
      </c>
    </row>
    <row r="1042">
      <c r="A1042" s="15" t="inlineStr">
        <is>
          <t>Factura 8636 · C01660 · LIEUWE KOOPMANS (2)</t>
        </is>
      </c>
      <c r="H1042" s="15" t="inlineStr">
        <is>
          <t>ES0021000000820403KJ · Naturgy</t>
        </is>
      </c>
      <c r="L1042" s="16" t="n">
        <v>46113</v>
      </c>
      <c r="M1042" s="17" t="inlineStr">
        <is>
          <t>a</t>
        </is>
      </c>
      <c r="N1042" s="16" t="n">
        <v>46142</v>
      </c>
      <c r="R1042" s="18" t="inlineStr">
        <is>
          <t>HISTÓRICO DEL CUPS · HOJA TTVA LUZ</t>
        </is>
      </c>
    </row>
    <row r="1043">
      <c r="A1043" s="19" t="inlineStr">
        <is>
          <t>Concepto</t>
        </is>
      </c>
      <c r="B1043" s="20" t="inlineStr">
        <is>
          <t>PENDIENTE (sin registrar)</t>
        </is>
      </c>
      <c r="C1043" s="21" t="n"/>
      <c r="D1043" s="21" t="n"/>
      <c r="E1043" s="21" t="n"/>
      <c r="F1043" s="21" t="n"/>
      <c r="H1043" s="22" t="inlineStr">
        <is>
          <t>MES ANTERIOR · Fact.6407</t>
        </is>
      </c>
      <c r="I1043" s="23" t="n"/>
      <c r="J1043" s="23" t="n"/>
      <c r="L1043" s="24" t="inlineStr">
        <is>
          <t>AÑO ANTERIOR · Fact.4612</t>
        </is>
      </c>
      <c r="M1043" s="25" t="n"/>
      <c r="N1043" s="25" t="n"/>
      <c r="R1043" s="26" t="inlineStr">
        <is>
          <t>Cobrado total: 2.327 €</t>
        </is>
      </c>
    </row>
    <row r="1044">
      <c r="B1044" s="7" t="inlineStr">
        <is>
          <t>Cant</t>
        </is>
      </c>
      <c r="C1044" s="7" t="inlineStr">
        <is>
          <t>Días</t>
        </is>
      </c>
      <c r="D1044" s="7" t="inlineStr">
        <is>
          <t>PC real</t>
        </is>
      </c>
      <c r="E1044" s="7" t="inlineStr">
        <is>
          <t>PV</t>
        </is>
      </c>
      <c r="F1044" s="7" t="inlineStr">
        <is>
          <t>Importe</t>
        </is>
      </c>
      <c r="H1044" s="27" t="inlineStr">
        <is>
          <t>Cant</t>
        </is>
      </c>
      <c r="I1044" s="27" t="inlineStr">
        <is>
          <t>PV</t>
        </is>
      </c>
      <c r="J1044" s="27" t="inlineStr">
        <is>
          <t>Importe</t>
        </is>
      </c>
      <c r="L1044" s="28" t="inlineStr">
        <is>
          <t>Cant</t>
        </is>
      </c>
      <c r="M1044" s="28" t="inlineStr">
        <is>
          <t>PV</t>
        </is>
      </c>
      <c r="N1044" s="28" t="inlineStr">
        <is>
          <t>Importe</t>
        </is>
      </c>
      <c r="R1044" s="29" t="inlineStr">
        <is>
          <t>Pagado total: 1.681 €</t>
        </is>
      </c>
    </row>
    <row r="1045">
      <c r="A1045" s="30" t="inlineStr">
        <is>
          <t>P1 Potencia</t>
        </is>
      </c>
      <c r="B1045" s="31" t="n">
        <v>5.5</v>
      </c>
      <c r="C1045" s="32">
        <f>$N$1042-$L$1042+1</f>
        <v/>
      </c>
      <c r="D1045" s="33" t="n">
        <v>3.4086</v>
      </c>
      <c r="E1045" s="34" t="n">
        <v>3.85</v>
      </c>
      <c r="F1045" s="35">
        <f>ROUND(B1045*E1045,2)</f>
        <v/>
      </c>
      <c r="H1045" s="36" t="n">
        <v>5.5</v>
      </c>
      <c r="I1045" s="37" t="n">
        <v>3.85</v>
      </c>
      <c r="J1045" s="38">
        <f>ROUND(H1045*I1045,2)</f>
        <v/>
      </c>
      <c r="L1045" s="39" t="n">
        <v>5.5</v>
      </c>
      <c r="M1045" s="40" t="n">
        <v>3.85</v>
      </c>
      <c r="N1045" s="41">
        <f>ROUND(L1045*M1045,2)</f>
        <v/>
      </c>
      <c r="R1045" s="42" t="inlineStr">
        <is>
          <t>DIF: 646 €   ·   Margen hist.: 27.8%</t>
        </is>
      </c>
    </row>
    <row r="1046">
      <c r="A1046" s="30" t="inlineStr">
        <is>
          <t>P2 Potencia</t>
        </is>
      </c>
      <c r="B1046" s="31" t="n">
        <v>5.5</v>
      </c>
      <c r="C1046" s="32">
        <f>$N$1042-$L$1042+1</f>
        <v/>
      </c>
      <c r="D1046" s="33" t="n">
        <v>1.09728</v>
      </c>
      <c r="E1046" s="34" t="n">
        <v>1.33</v>
      </c>
      <c r="F1046" s="35">
        <f>ROUND(B1046*E1046,2)</f>
        <v/>
      </c>
      <c r="H1046" s="36" t="n">
        <v>5.5</v>
      </c>
      <c r="I1046" s="37" t="n">
        <v>1.33</v>
      </c>
      <c r="J1046" s="38">
        <f>ROUND(H1046*I1046,2)</f>
        <v/>
      </c>
      <c r="L1046" s="39" t="n">
        <v>5.5</v>
      </c>
      <c r="M1046" s="40" t="n">
        <v>1.33</v>
      </c>
      <c r="N1046" s="41">
        <f>ROUND(L1046*M1046,2)</f>
        <v/>
      </c>
      <c r="R1046" s="43" t="inlineStr">
        <is>
          <t>Mejor mes: 2024-08 · 288 € · margen 12%</t>
        </is>
      </c>
    </row>
    <row r="1047">
      <c r="A1047" s="30" t="inlineStr">
        <is>
          <t>P1 Energía</t>
        </is>
      </c>
      <c r="B1047" s="31">
        <f>IF($P$1047&lt;&gt;"",ROUND(AA1047*(($AB$1047/(1-$P$1047))-28.4900)/31.1272,2),IF('Resumen'!$D$3="OPTIMIZAR",ROUND(MAX(AA1047,MIN(AA1047*(($AB$1047/(1-'Resumen'!$F$3))-28.4900)/31.1272,AA1047*(253.8878)/31.1272)),3),AA1047))</f>
        <v/>
      </c>
      <c r="C1047" s="44" t="n"/>
      <c r="D1047" s="33" t="n">
        <v>0.110306</v>
      </c>
      <c r="E1047" s="34" t="n">
        <v>0.13788</v>
      </c>
      <c r="F1047" s="35">
        <f>ROUND(B1047*E1047,2)</f>
        <v/>
      </c>
      <c r="H1047" s="36" t="n">
        <v>68.467</v>
      </c>
      <c r="I1047" s="37" t="n">
        <v>0.13788</v>
      </c>
      <c r="J1047" s="38">
        <f>ROUND(H1047*I1047,2)</f>
        <v/>
      </c>
      <c r="L1047" s="39" t="n">
        <v>87.61199999999999</v>
      </c>
      <c r="M1047" s="40" t="n">
        <v>0.13788</v>
      </c>
      <c r="N1047" s="41">
        <f>ROUND(L1047*M1047,2)</f>
        <v/>
      </c>
      <c r="O1047" s="45" t="inlineStr">
        <is>
          <t>Margen objetivo (edita % aquí) ▶</t>
        </is>
      </c>
      <c r="P1047" s="5" t="n"/>
      <c r="R1047" s="43" t="inlineStr">
        <is>
          <t>Peor mes: 2024-11 · 67 € · margen 31%</t>
        </is>
      </c>
      <c r="AA1047" t="n">
        <v>50.062</v>
      </c>
      <c r="AB1047">
        <f>B1045*D1045+B1046*D1046+AA1047*D1047+AA1048*D1048+AA1049*D1049</f>
        <v/>
      </c>
    </row>
    <row r="1048">
      <c r="A1048" s="30" t="inlineStr">
        <is>
          <t>P2 Energía</t>
        </is>
      </c>
      <c r="B1048" s="31">
        <f>IF($P$1047&lt;&gt;"",ROUND(AA1048*(($AB$1047/(1-$P$1047))-28.4900)/31.1272,2),IF('Resumen'!$D$3="OPTIMIZAR",ROUND(MAX(AA1048,MIN(AA1048*(($AB$1047/(1-'Resumen'!$F$3))-28.4900)/31.1272,AA1048*(253.8878)/31.1272)),3),AA1048))</f>
        <v/>
      </c>
      <c r="C1048" s="44" t="n"/>
      <c r="D1048" s="33" t="n">
        <v>0.110306</v>
      </c>
      <c r="E1048" s="34" t="n">
        <v>0.13788</v>
      </c>
      <c r="F1048" s="35">
        <f>ROUND(B1048*E1048,2)</f>
        <v/>
      </c>
      <c r="H1048" s="36" t="n">
        <v>58.682</v>
      </c>
      <c r="I1048" s="37" t="n">
        <v>0.13788</v>
      </c>
      <c r="J1048" s="38">
        <f>ROUND(H1048*I1048,2)</f>
        <v/>
      </c>
      <c r="L1048" s="39" t="n">
        <v>74.99299999999999</v>
      </c>
      <c r="M1048" s="40" t="n">
        <v>0.13788</v>
      </c>
      <c r="N1048" s="41">
        <f>ROUND(L1048*M1048,2)</f>
        <v/>
      </c>
      <c r="O1048" s="46" t="inlineStr">
        <is>
          <t>Cant. P1/P2/P3 energía suben</t>
        </is>
      </c>
      <c r="R1048" s="43" t="inlineStr">
        <is>
          <t>Importe mensual cobrado (€) · 24 meses ▾</t>
        </is>
      </c>
      <c r="AA1048" t="n">
        <v>48.315</v>
      </c>
    </row>
    <row r="1049">
      <c r="A1049" s="30" t="inlineStr">
        <is>
          <t>P3 Energía</t>
        </is>
      </c>
      <c r="B1049" s="31">
        <f>IF($P$1047&lt;&gt;"",ROUND(AA1049*(($AB$1047/(1-$P$1047))-28.4900)/31.1272,2),IF('Resumen'!$D$3="OPTIMIZAR",ROUND(MAX(AA1049,MIN(AA1049*(($AB$1047/(1-'Resumen'!$F$3))-28.4900)/31.1272,AA1049*(253.8878)/31.1272)),3),AA1049))</f>
        <v/>
      </c>
      <c r="C1049" s="44" t="n"/>
      <c r="D1049" s="33" t="n">
        <v>0.110306</v>
      </c>
      <c r="E1049" s="34" t="n">
        <v>0.13788</v>
      </c>
      <c r="F1049" s="35">
        <f>ROUND(B1049*E1049,2)</f>
        <v/>
      </c>
      <c r="H1049" s="36" t="n">
        <v>140.567</v>
      </c>
      <c r="I1049" s="37" t="n">
        <v>0.13788</v>
      </c>
      <c r="J1049" s="38">
        <f>ROUND(H1049*I1049,2)</f>
        <v/>
      </c>
      <c r="L1049" s="39" t="n">
        <v>155.738</v>
      </c>
      <c r="M1049" s="40" t="n">
        <v>0.13788</v>
      </c>
      <c r="N1049" s="41">
        <f>ROUND(L1049*M1049,2)</f>
        <v/>
      </c>
      <c r="O1049" s="46" t="inlineStr">
        <is>
          <t>en proporción para ese margen</t>
        </is>
      </c>
      <c r="AA1049" t="n">
        <v>127.379</v>
      </c>
    </row>
    <row r="1050">
      <c r="A1050" s="30" t="inlineStr">
        <is>
          <t>Alquiler contador</t>
        </is>
      </c>
      <c r="B1050" s="31" t="n">
        <v>1</v>
      </c>
      <c r="C1050" s="32">
        <f>$N$1042-$L$1042+1</f>
        <v/>
      </c>
      <c r="D1050" s="33" t="n">
        <v>0.7989000000000001</v>
      </c>
      <c r="E1050" s="34" t="n">
        <v>3</v>
      </c>
      <c r="F1050" s="35">
        <f>ROUND(B1050*E1050,2)</f>
        <v/>
      </c>
      <c r="H1050" s="36" t="n">
        <v>1</v>
      </c>
      <c r="I1050" s="37" t="n">
        <v>3</v>
      </c>
      <c r="J1050" s="38">
        <f>ROUND(H1050*I1050,2)</f>
        <v/>
      </c>
      <c r="L1050" s="39" t="n">
        <v>1</v>
      </c>
      <c r="M1050" s="40" t="n">
        <v>3</v>
      </c>
      <c r="N1050" s="41">
        <f>ROUND(L1050*M1050,2)</f>
        <v/>
      </c>
    </row>
    <row r="1051">
      <c r="A1051" s="30" t="inlineStr">
        <is>
          <t>Bono social</t>
        </is>
      </c>
      <c r="B1051" s="31" t="n">
        <v>30</v>
      </c>
      <c r="C1051" s="32">
        <f>$N$1042-$L$1042+1</f>
        <v/>
      </c>
      <c r="D1051" s="33" t="n">
        <v>0.5736</v>
      </c>
      <c r="E1051" s="34" t="n">
        <v>0.01274</v>
      </c>
      <c r="F1051" s="35">
        <f>ROUND(B1051*E1051,2)</f>
        <v/>
      </c>
      <c r="H1051" s="36" t="n">
        <v>30</v>
      </c>
      <c r="I1051" s="37" t="n">
        <v>0.01274</v>
      </c>
      <c r="J1051" s="38">
        <f>ROUND(H1051*I1051,2)</f>
        <v/>
      </c>
      <c r="L1051" s="39" t="n">
        <v>30</v>
      </c>
      <c r="M1051" s="40" t="n">
        <v>0.00629</v>
      </c>
      <c r="N1051" s="41">
        <f>ROUND(L1051*M1051,2)</f>
        <v/>
      </c>
    </row>
    <row r="1052">
      <c r="A1052" s="30" t="inlineStr">
        <is>
          <t>Tasa eléctrica</t>
        </is>
      </c>
      <c r="B1052" s="31" t="n">
        <v>2.5</v>
      </c>
      <c r="C1052" s="44" t="n"/>
      <c r="D1052" s="33" t="n">
        <v>0.24729</v>
      </c>
      <c r="E1052" s="34" t="n">
        <v>1</v>
      </c>
      <c r="F1052" s="35">
        <f>ROUND(B1052*E1052,2)</f>
        <v/>
      </c>
      <c r="H1052" s="36" t="n">
        <v>3.03</v>
      </c>
      <c r="I1052" s="37" t="n">
        <v>1</v>
      </c>
      <c r="J1052" s="38">
        <f>ROUND(H1052*I1052,2)</f>
        <v/>
      </c>
      <c r="L1052" s="39" t="n">
        <v>3.12</v>
      </c>
      <c r="M1052" s="40" t="n">
        <v>1</v>
      </c>
      <c r="N1052" s="41">
        <f>ROUND(L1052*M1052,2)</f>
        <v/>
      </c>
    </row>
    <row r="1053">
      <c r="A1053" s="47" t="inlineStr">
        <is>
          <t>TOTAL c/IVA</t>
        </is>
      </c>
      <c r="F1053" s="48">
        <f>ROUND((SUM(F1045:F1052)-F1052)*1.1+F1052,2)</f>
        <v/>
      </c>
      <c r="J1053" s="49">
        <f>ROUND(SUM(J1045:J1052),2)</f>
        <v/>
      </c>
      <c r="N1053" s="50">
        <f>ROUND(SUM(N1045:N1052),2)</f>
        <v/>
      </c>
    </row>
    <row r="1054">
      <c r="A1054" s="19" t="inlineStr">
        <is>
          <t>MARGEN sin registrar</t>
        </is>
      </c>
      <c r="B1054" s="51">
        <f>IF((F1048+F1045+F1047+F1049+F1046)=0,"",((F1048+F1045+F1047+F1049+F1046)-$AB$1047)/(F1048+F1045+F1047+F1049+F1046))</f>
        <v/>
      </c>
      <c r="D1054" s="52">
        <f>IF(B1054="","SIN PC",IF(B1054&gt;=0.3,"APROBAR",IF(B1054&gt;=0.2,"REVISAR","RECHAZAR")))</f>
        <v/>
      </c>
      <c r="E1054" s="53" t="n"/>
      <c r="F1054" s="54" t="n"/>
      <c r="AD1054">
        <f>SUM(F1047:F1049)-31.1272</f>
        <v/>
      </c>
    </row>
    <row r="1055">
      <c r="A1055" s="55" t="inlineStr">
        <is>
          <t>☀ EXCEDENTES SOLARES (kWh vertidos reales)</t>
        </is>
      </c>
      <c r="B1055" s="56" t="n"/>
      <c r="C1055" s="56" t="n"/>
      <c r="D1055" s="56" t="n"/>
      <c r="E1055" s="56" t="n"/>
      <c r="F1055" s="56" t="n"/>
    </row>
    <row r="1056">
      <c r="A1056" s="57" t="inlineStr">
        <is>
          <t>Concepto</t>
        </is>
      </c>
      <c r="B1056" s="57" t="inlineStr">
        <is>
          <t>kWh</t>
        </is>
      </c>
      <c r="D1056" s="57" t="inlineStr">
        <is>
          <t>€/kWh compra</t>
        </is>
      </c>
      <c r="E1056" s="57" t="inlineStr">
        <is>
          <t>€/kWh venta</t>
        </is>
      </c>
      <c r="F1056" s="57" t="inlineStr">
        <is>
          <t>Importe</t>
        </is>
      </c>
    </row>
    <row r="1057">
      <c r="A1057" s="58" t="inlineStr">
        <is>
          <t>Compra excedentes (vertido red)</t>
        </is>
      </c>
      <c r="B1057" s="59" t="n">
        <v>171</v>
      </c>
      <c r="C1057" s="60" t="n"/>
      <c r="D1057" s="33" t="n">
        <v>0.06</v>
      </c>
      <c r="E1057" s="60" t="n"/>
      <c r="F1057" s="61">
        <f>ROUND(B1057*D1057,2)</f>
        <v/>
      </c>
    </row>
    <row r="1058">
      <c r="A1058" s="58" t="inlineStr">
        <is>
          <t>Venta cliente (saldo batería, 1043)</t>
        </is>
      </c>
      <c r="B1058" s="60" t="n"/>
      <c r="C1058" s="60" t="n"/>
      <c r="D1058" s="60" t="n"/>
      <c r="E1058" s="62" t="n">
        <v>0.06</v>
      </c>
      <c r="F1058" s="61" t="n">
        <v>10.81</v>
      </c>
    </row>
    <row r="1059">
      <c r="A1059" s="63" t="inlineStr">
        <is>
          <t>NETO Transactiva (compra − venta)</t>
        </is>
      </c>
      <c r="B1059" s="60" t="n"/>
      <c r="C1059" s="60" t="n"/>
      <c r="D1059" s="60" t="n"/>
      <c r="E1059" s="60" t="n"/>
      <c r="F1059" s="64">
        <f>F1057-F1058</f>
        <v/>
      </c>
    </row>
    <row r="1061">
      <c r="A1061" s="15" t="inlineStr">
        <is>
          <t>Factura 8637 · C01670 · COCKTAIL BAR AYAHUMA</t>
        </is>
      </c>
      <c r="H1061" s="15" t="inlineStr">
        <is>
          <t>ES0021000001205999LZ · Naturgy</t>
        </is>
      </c>
      <c r="L1061" s="16" t="n">
        <v>46113</v>
      </c>
      <c r="M1061" s="17" t="inlineStr">
        <is>
          <t>a</t>
        </is>
      </c>
      <c r="N1061" s="16" t="n">
        <v>46142</v>
      </c>
      <c r="R1061" s="18" t="inlineStr">
        <is>
          <t>HISTÓRICO DEL CUPS · HOJA TTVA LUZ</t>
        </is>
      </c>
    </row>
    <row r="1062">
      <c r="A1062" s="19" t="inlineStr">
        <is>
          <t>Concepto</t>
        </is>
      </c>
      <c r="B1062" s="20" t="inlineStr">
        <is>
          <t>PENDIENTE (sin registrar)</t>
        </is>
      </c>
      <c r="C1062" s="21" t="n"/>
      <c r="D1062" s="21" t="n"/>
      <c r="E1062" s="21" t="n"/>
      <c r="F1062" s="21" t="n"/>
      <c r="H1062" s="22" t="inlineStr">
        <is>
          <t>MES ANTERIOR · Fact.6406</t>
        </is>
      </c>
      <c r="I1062" s="23" t="n"/>
      <c r="J1062" s="23" t="n"/>
      <c r="L1062" s="24" t="inlineStr">
        <is>
          <t>AÑO ANTERIOR · Fact.4611</t>
        </is>
      </c>
      <c r="M1062" s="25" t="n"/>
      <c r="N1062" s="25" t="n"/>
      <c r="R1062" s="26" t="inlineStr">
        <is>
          <t>Cobrado total: 5.393 €</t>
        </is>
      </c>
    </row>
    <row r="1063">
      <c r="B1063" s="7" t="inlineStr">
        <is>
          <t>Cant</t>
        </is>
      </c>
      <c r="C1063" s="7" t="inlineStr">
        <is>
          <t>Días</t>
        </is>
      </c>
      <c r="D1063" s="7" t="inlineStr">
        <is>
          <t>PC real</t>
        </is>
      </c>
      <c r="E1063" s="7" t="inlineStr">
        <is>
          <t>PV</t>
        </is>
      </c>
      <c r="F1063" s="7" t="inlineStr">
        <is>
          <t>Importe</t>
        </is>
      </c>
      <c r="H1063" s="27" t="inlineStr">
        <is>
          <t>Cant</t>
        </is>
      </c>
      <c r="I1063" s="27" t="inlineStr">
        <is>
          <t>PV</t>
        </is>
      </c>
      <c r="J1063" s="27" t="inlineStr">
        <is>
          <t>Importe</t>
        </is>
      </c>
      <c r="L1063" s="28" t="inlineStr">
        <is>
          <t>Cant</t>
        </is>
      </c>
      <c r="M1063" s="28" t="inlineStr">
        <is>
          <t>PV</t>
        </is>
      </c>
      <c r="N1063" s="28" t="inlineStr">
        <is>
          <t>Importe</t>
        </is>
      </c>
      <c r="R1063" s="29" t="inlineStr">
        <is>
          <t>Pagado total: 3.728 €</t>
        </is>
      </c>
    </row>
    <row r="1064">
      <c r="A1064" s="30" t="inlineStr">
        <is>
          <t>P1 Potencia</t>
        </is>
      </c>
      <c r="B1064" s="31" t="n">
        <v>5.75</v>
      </c>
      <c r="C1064" s="32">
        <f>$N$1061-$L$1061+1</f>
        <v/>
      </c>
      <c r="D1064" s="33" t="n">
        <v>3.68919</v>
      </c>
      <c r="E1064" s="34" t="n">
        <v>4.17</v>
      </c>
      <c r="F1064" s="35">
        <f>ROUND(B1064*E1064,2)</f>
        <v/>
      </c>
      <c r="H1064" s="36" t="n">
        <v>5.75</v>
      </c>
      <c r="I1064" s="37" t="n">
        <v>4.17</v>
      </c>
      <c r="J1064" s="38">
        <f>ROUND(H1064*I1064,2)</f>
        <v/>
      </c>
      <c r="L1064" s="39" t="n">
        <v>5.75</v>
      </c>
      <c r="M1064" s="40" t="n">
        <v>4.17</v>
      </c>
      <c r="N1064" s="41">
        <f>ROUND(L1064*M1064,2)</f>
        <v/>
      </c>
      <c r="R1064" s="42" t="inlineStr">
        <is>
          <t>DIF: 1.665 €   ·   Margen hist.: 30.9%</t>
        </is>
      </c>
    </row>
    <row r="1065">
      <c r="A1065" s="30" t="inlineStr">
        <is>
          <t>P2 Potencia</t>
        </is>
      </c>
      <c r="B1065" s="31" t="n">
        <v>5.75</v>
      </c>
      <c r="C1065" s="32">
        <f>$N$1061-$L$1061+1</f>
        <v/>
      </c>
      <c r="D1065" s="33" t="n">
        <v>1.31928</v>
      </c>
      <c r="E1065" s="34" t="n">
        <v>1.37</v>
      </c>
      <c r="F1065" s="35">
        <f>ROUND(B1065*E1065,2)</f>
        <v/>
      </c>
      <c r="H1065" s="36" t="n">
        <v>5.75</v>
      </c>
      <c r="I1065" s="37" t="n">
        <v>1.37</v>
      </c>
      <c r="J1065" s="38">
        <f>ROUND(H1065*I1065,2)</f>
        <v/>
      </c>
      <c r="L1065" s="39" t="n">
        <v>5.75</v>
      </c>
      <c r="M1065" s="40" t="n">
        <v>1.37</v>
      </c>
      <c r="N1065" s="41">
        <f>ROUND(L1065*M1065,2)</f>
        <v/>
      </c>
      <c r="R1065" s="43" t="inlineStr">
        <is>
          <t>Mejor mes: 2024-08 · 502 € · margen 79%</t>
        </is>
      </c>
    </row>
    <row r="1066">
      <c r="A1066" s="30" t="inlineStr">
        <is>
          <t>P1 Energía</t>
        </is>
      </c>
      <c r="B1066" s="31">
        <f>IF($P$1066&lt;&gt;"",ROUND(AA1066*(($AB$1066/(1-$P$1066))-31.8550)/197.8389,2),IF('Resumen'!$D$3="OPTIMIZAR",ROUND(MAX(AA1066,MIN(AA1066*(($AB$1066/(1-'Resumen'!$F$3))-31.8550)/197.8389,AA1066*(453.9628)/197.8389)),3),AA1066))</f>
        <v/>
      </c>
      <c r="C1066" s="44" t="n"/>
      <c r="D1066" s="33" t="n">
        <v>0.111171</v>
      </c>
      <c r="E1066" s="34" t="n">
        <v>0.14937</v>
      </c>
      <c r="F1066" s="35">
        <f>ROUND(B1066*E1066,2)</f>
        <v/>
      </c>
      <c r="H1066" s="36" t="n">
        <v>400.896</v>
      </c>
      <c r="I1066" s="37" t="n">
        <v>0.139</v>
      </c>
      <c r="J1066" s="38">
        <f>ROUND(H1066*I1066,2)</f>
        <v/>
      </c>
      <c r="L1066" s="39" t="n">
        <v>250.786</v>
      </c>
      <c r="M1066" s="40" t="n">
        <v>0.14937</v>
      </c>
      <c r="N1066" s="41">
        <f>ROUND(L1066*M1066,2)</f>
        <v/>
      </c>
      <c r="O1066" s="45" t="inlineStr">
        <is>
          <t>Margen objetivo (edita % aquí) ▶</t>
        </is>
      </c>
      <c r="P1066" s="5" t="n"/>
      <c r="R1066" s="43" t="inlineStr">
        <is>
          <t>Peor mes: 2024-11 · 81 € · margen -20%</t>
        </is>
      </c>
      <c r="AA1066" t="n">
        <v>329.249</v>
      </c>
      <c r="AB1066">
        <f>B1064*D1064+B1065*D1065+AA1066*D1066+AA1067*D1067+AA1068*D1068</f>
        <v/>
      </c>
    </row>
    <row r="1067">
      <c r="A1067" s="30" t="inlineStr">
        <is>
          <t>P2 Energía</t>
        </is>
      </c>
      <c r="B1067" s="31">
        <f>IF($P$1066&lt;&gt;"",ROUND(AA1067*(($AB$1066/(1-$P$1066))-31.8550)/197.8389,2),IF('Resumen'!$D$3="OPTIMIZAR",ROUND(MAX(AA1067,MIN(AA1067*(($AB$1066/(1-'Resumen'!$F$3))-31.8550)/197.8389,AA1067*(453.9628)/197.8389)),3),AA1067))</f>
        <v/>
      </c>
      <c r="C1067" s="44" t="n"/>
      <c r="D1067" s="33" t="n">
        <v>0.111171</v>
      </c>
      <c r="E1067" s="34" t="n">
        <v>0.14937</v>
      </c>
      <c r="F1067" s="35">
        <f>ROUND(B1067*E1067,2)</f>
        <v/>
      </c>
      <c r="H1067" s="36" t="n">
        <v>379.298</v>
      </c>
      <c r="I1067" s="37" t="n">
        <v>0.135</v>
      </c>
      <c r="J1067" s="38">
        <f>ROUND(H1067*I1067,2)</f>
        <v/>
      </c>
      <c r="L1067" s="39" t="n">
        <v>263.486</v>
      </c>
      <c r="M1067" s="40" t="n">
        <v>0.14937</v>
      </c>
      <c r="N1067" s="41">
        <f>ROUND(L1067*M1067,2)</f>
        <v/>
      </c>
      <c r="O1067" s="46" t="inlineStr">
        <is>
          <t>Cant. P1/P2/P3 energía suben</t>
        </is>
      </c>
      <c r="R1067" s="43" t="inlineStr">
        <is>
          <t>Importe mensual cobrado (€) · 24 meses ▾</t>
        </is>
      </c>
      <c r="AA1067" t="n">
        <v>316.565</v>
      </c>
    </row>
    <row r="1068">
      <c r="A1068" s="30" t="inlineStr">
        <is>
          <t>P3 Energía</t>
        </is>
      </c>
      <c r="B1068" s="31">
        <f>IF($P$1066&lt;&gt;"",ROUND(AA1068*(($AB$1066/(1-$P$1066))-31.8550)/197.8389,2),IF('Resumen'!$D$3="OPTIMIZAR",ROUND(MAX(AA1068,MIN(AA1068*(($AB$1066/(1-'Resumen'!$F$3))-31.8550)/197.8389,AA1068*(453.9628)/197.8389)),3),AA1068))</f>
        <v/>
      </c>
      <c r="C1068" s="44" t="n"/>
      <c r="D1068" s="33" t="n">
        <v>0.111171</v>
      </c>
      <c r="E1068" s="34" t="n">
        <v>0.14937</v>
      </c>
      <c r="F1068" s="35">
        <f>ROUND(B1068*E1068,2)</f>
        <v/>
      </c>
      <c r="H1068" s="36" t="n">
        <v>590.773</v>
      </c>
      <c r="I1068" s="37" t="n">
        <v>0.135</v>
      </c>
      <c r="J1068" s="38">
        <f>ROUND(H1068*I1068,2)</f>
        <v/>
      </c>
      <c r="L1068" s="39" t="n">
        <v>539.254</v>
      </c>
      <c r="M1068" s="40" t="n">
        <v>0.14937</v>
      </c>
      <c r="N1068" s="41">
        <f>ROUND(L1068*M1068,2)</f>
        <v/>
      </c>
      <c r="O1068" s="46" t="inlineStr">
        <is>
          <t>en proporción para ese margen</t>
        </is>
      </c>
      <c r="AA1068" t="n">
        <v>678.675</v>
      </c>
    </row>
    <row r="1069">
      <c r="A1069" s="30" t="inlineStr">
        <is>
          <t>Alquiler contador</t>
        </is>
      </c>
      <c r="B1069" s="31" t="n">
        <v>1</v>
      </c>
      <c r="C1069" s="32">
        <f>$N$1061-$L$1061+1</f>
        <v/>
      </c>
      <c r="D1069" s="33" t="n">
        <v>0.7989000000000001</v>
      </c>
      <c r="E1069" s="34" t="n">
        <v>4</v>
      </c>
      <c r="F1069" s="35">
        <f>ROUND(B1069*E1069,2)</f>
        <v/>
      </c>
      <c r="H1069" s="36" t="n">
        <v>1</v>
      </c>
      <c r="I1069" s="37" t="n">
        <v>4</v>
      </c>
      <c r="J1069" s="38">
        <f>ROUND(H1069*I1069,2)</f>
        <v/>
      </c>
      <c r="L1069" s="39" t="n">
        <v>1</v>
      </c>
      <c r="M1069" s="40" t="n">
        <v>4</v>
      </c>
      <c r="N1069" s="41">
        <f>ROUND(L1069*M1069,2)</f>
        <v/>
      </c>
    </row>
    <row r="1070">
      <c r="A1070" s="30" t="inlineStr">
        <is>
          <t>Bono social</t>
        </is>
      </c>
      <c r="B1070" s="31" t="n">
        <v>30</v>
      </c>
      <c r="C1070" s="32">
        <f>$N$1061-$L$1061+1</f>
        <v/>
      </c>
      <c r="D1070" s="33" t="n">
        <v>0.5736</v>
      </c>
      <c r="E1070" s="34" t="n">
        <v>0.01274</v>
      </c>
      <c r="F1070" s="35">
        <f>ROUND(B1070*E1070,2)</f>
        <v/>
      </c>
      <c r="H1070" s="36" t="n">
        <v>30</v>
      </c>
      <c r="I1070" s="37" t="n">
        <v>0.01274</v>
      </c>
      <c r="J1070" s="38">
        <f>ROUND(H1070*I1070,2)</f>
        <v/>
      </c>
      <c r="L1070" s="39" t="n">
        <v>30</v>
      </c>
      <c r="M1070" s="40" t="n">
        <v>0.00629</v>
      </c>
      <c r="N1070" s="41">
        <f>ROUND(L1070*M1070,2)</f>
        <v/>
      </c>
    </row>
    <row r="1071">
      <c r="A1071" s="30" t="inlineStr">
        <is>
          <t>Tasa eléctrica</t>
        </is>
      </c>
      <c r="B1071" s="31" t="n">
        <v>11.75</v>
      </c>
      <c r="C1071" s="44" t="n"/>
      <c r="D1071" s="33" t="n">
        <v>0.27312</v>
      </c>
      <c r="E1071" s="34" t="n">
        <v>1</v>
      </c>
      <c r="F1071" s="35">
        <f>ROUND(B1071*E1071,2)</f>
        <v/>
      </c>
      <c r="H1071" s="36" t="n">
        <v>11.93</v>
      </c>
      <c r="I1071" s="37" t="n">
        <v>1</v>
      </c>
      <c r="J1071" s="38">
        <f>ROUND(H1071*I1071,2)</f>
        <v/>
      </c>
      <c r="L1071" s="39" t="n">
        <v>9.68</v>
      </c>
      <c r="M1071" s="40" t="n">
        <v>1</v>
      </c>
      <c r="N1071" s="41">
        <f>ROUND(L1071*M1071,2)</f>
        <v/>
      </c>
    </row>
    <row r="1072">
      <c r="A1072" s="47" t="inlineStr">
        <is>
          <t>TOTAL c/IVA</t>
        </is>
      </c>
      <c r="F1072" s="48">
        <f>ROUND((SUM(F1064:F1071)-F1071)*1.1+F1071,2)</f>
        <v/>
      </c>
      <c r="J1072" s="49">
        <f>ROUND(SUM(J1064:J1071),2)</f>
        <v/>
      </c>
      <c r="N1072" s="50">
        <f>ROUND(SUM(N1064:N1071),2)</f>
        <v/>
      </c>
    </row>
    <row r="1073">
      <c r="A1073" s="19" t="inlineStr">
        <is>
          <t>MARGEN sin registrar</t>
        </is>
      </c>
      <c r="B1073" s="51">
        <f>IF((F1067+F1064+F1066+F1068+F1065)=0,"",((F1067+F1064+F1066+F1068+F1065)-$AB$1066)/(F1067+F1064+F1066+F1068+F1065))</f>
        <v/>
      </c>
      <c r="D1073" s="52">
        <f>IF(B1073="","SIN PC",IF(B1073&gt;=0.3,"APROBAR",IF(B1073&gt;=0.2,"REVISAR","RECHAZAR")))</f>
        <v/>
      </c>
      <c r="E1073" s="53" t="n"/>
      <c r="F1073" s="54" t="n"/>
      <c r="AD1073">
        <f>SUM(F1066:F1068)-197.8389</f>
        <v/>
      </c>
    </row>
    <row r="1075">
      <c r="A1075" s="15" t="inlineStr">
        <is>
          <t>Factura 8639 · C01720 · AHMED DAHMAN</t>
        </is>
      </c>
      <c r="H1075" s="15" t="inlineStr">
        <is>
          <t>ES0021000001212203JP · Naturgy</t>
        </is>
      </c>
      <c r="L1075" s="16" t="n">
        <v>46113</v>
      </c>
      <c r="M1075" s="17" t="inlineStr">
        <is>
          <t>a</t>
        </is>
      </c>
      <c r="N1075" s="16" t="n">
        <v>46142</v>
      </c>
      <c r="R1075" s="18" t="inlineStr">
        <is>
          <t>HISTÓRICO DEL CUPS · HOJA TTVA LUZ</t>
        </is>
      </c>
    </row>
    <row r="1076">
      <c r="A1076" s="19" t="inlineStr">
        <is>
          <t>Concepto</t>
        </is>
      </c>
      <c r="B1076" s="20" t="inlineStr">
        <is>
          <t>PENDIENTE (sin registrar)</t>
        </is>
      </c>
      <c r="C1076" s="21" t="n"/>
      <c r="D1076" s="21" t="n"/>
      <c r="E1076" s="21" t="n"/>
      <c r="F1076" s="21" t="n"/>
      <c r="H1076" s="22" t="inlineStr">
        <is>
          <t>MES ANTERIOR · Fact.6404</t>
        </is>
      </c>
      <c r="I1076" s="23" t="n"/>
      <c r="J1076" s="23" t="n"/>
      <c r="L1076" s="24" t="inlineStr">
        <is>
          <t>AÑO ANTERIOR · Fact.4609</t>
        </is>
      </c>
      <c r="M1076" s="25" t="n"/>
      <c r="N1076" s="25" t="n"/>
      <c r="R1076" s="26" t="inlineStr">
        <is>
          <t>Cobrado total: 1.990 €</t>
        </is>
      </c>
    </row>
    <row r="1077">
      <c r="B1077" s="7" t="inlineStr">
        <is>
          <t>Cant</t>
        </is>
      </c>
      <c r="C1077" s="7" t="inlineStr">
        <is>
          <t>Días</t>
        </is>
      </c>
      <c r="D1077" s="7" t="inlineStr">
        <is>
          <t>PC real</t>
        </is>
      </c>
      <c r="E1077" s="7" t="inlineStr">
        <is>
          <t>PV</t>
        </is>
      </c>
      <c r="F1077" s="7" t="inlineStr">
        <is>
          <t>Importe</t>
        </is>
      </c>
      <c r="H1077" s="27" t="inlineStr">
        <is>
          <t>Cant</t>
        </is>
      </c>
      <c r="I1077" s="27" t="inlineStr">
        <is>
          <t>PV</t>
        </is>
      </c>
      <c r="J1077" s="27" t="inlineStr">
        <is>
          <t>Importe</t>
        </is>
      </c>
      <c r="L1077" s="28" t="inlineStr">
        <is>
          <t>Cant</t>
        </is>
      </c>
      <c r="M1077" s="28" t="inlineStr">
        <is>
          <t>PV</t>
        </is>
      </c>
      <c r="N1077" s="28" t="inlineStr">
        <is>
          <t>Importe</t>
        </is>
      </c>
      <c r="R1077" s="29" t="inlineStr">
        <is>
          <t>Pagado total: 1.321 €</t>
        </is>
      </c>
    </row>
    <row r="1078">
      <c r="A1078" s="30" t="inlineStr">
        <is>
          <t>P1 Potencia</t>
        </is>
      </c>
      <c r="B1078" s="31" t="n">
        <v>5.75</v>
      </c>
      <c r="C1078" s="32">
        <f>$N$1075-$L$1075+1</f>
        <v/>
      </c>
      <c r="D1078" s="33" t="n">
        <v>3.68919</v>
      </c>
      <c r="E1078" s="34" t="n">
        <v>3.85</v>
      </c>
      <c r="F1078" s="35">
        <f>ROUND(B1078*E1078,2)</f>
        <v/>
      </c>
      <c r="H1078" s="36" t="n">
        <v>5.75</v>
      </c>
      <c r="I1078" s="37" t="n">
        <v>3.85</v>
      </c>
      <c r="J1078" s="38">
        <f>ROUND(H1078*I1078,2)</f>
        <v/>
      </c>
      <c r="L1078" s="39" t="n">
        <v>5.75</v>
      </c>
      <c r="M1078" s="40" t="n">
        <v>3.85</v>
      </c>
      <c r="N1078" s="41">
        <f>ROUND(L1078*M1078,2)</f>
        <v/>
      </c>
      <c r="R1078" s="42" t="inlineStr">
        <is>
          <t>DIF: 668 €   ·   Margen hist.: 33.6%</t>
        </is>
      </c>
    </row>
    <row r="1079">
      <c r="A1079" s="30" t="inlineStr">
        <is>
          <t>P2 Potencia</t>
        </is>
      </c>
      <c r="B1079" s="31" t="n">
        <v>5.75</v>
      </c>
      <c r="C1079" s="32">
        <f>$N$1075-$L$1075+1</f>
        <v/>
      </c>
      <c r="D1079" s="33" t="n">
        <v>1.31928</v>
      </c>
      <c r="E1079" s="34" t="n">
        <v>1.33</v>
      </c>
      <c r="F1079" s="35">
        <f>ROUND(B1079*E1079,2)</f>
        <v/>
      </c>
      <c r="H1079" s="36" t="n">
        <v>5.75</v>
      </c>
      <c r="I1079" s="37" t="n">
        <v>1.33</v>
      </c>
      <c r="J1079" s="38">
        <f>ROUND(H1079*I1079,2)</f>
        <v/>
      </c>
      <c r="L1079" s="39" t="n">
        <v>5.75</v>
      </c>
      <c r="M1079" s="40" t="n">
        <v>1.33</v>
      </c>
      <c r="N1079" s="41">
        <f>ROUND(L1079*M1079,2)</f>
        <v/>
      </c>
      <c r="R1079" s="43" t="inlineStr">
        <is>
          <t>Mejor mes: 2023-08 · 167 €</t>
        </is>
      </c>
    </row>
    <row r="1080">
      <c r="A1080" s="30" t="inlineStr">
        <is>
          <t>P1 Energía</t>
        </is>
      </c>
      <c r="B1080" s="31">
        <f>IF($P$1080&lt;&gt;"",ROUND(AA1080*(($AB$1080/(1-$P$1080))-29.7850)/59.1472,2),IF('Resumen'!$D$3="OPTIMIZAR",ROUND(MAX(AA1080,MIN(AA1080*(($AB$1080/(1-'Resumen'!$F$3))-29.7850)/59.1472,AA1080*(129.0728)/59.1472)),3),AA1080))</f>
        <v/>
      </c>
      <c r="C1080" s="44" t="n"/>
      <c r="D1080" s="33" t="n">
        <v>0.111171</v>
      </c>
      <c r="E1080" s="34" t="n">
        <v>0.13788</v>
      </c>
      <c r="F1080" s="35">
        <f>ROUND(B1080*E1080,2)</f>
        <v/>
      </c>
      <c r="H1080" s="36" t="n">
        <v>137.206</v>
      </c>
      <c r="I1080" s="37" t="n">
        <v>0.13788</v>
      </c>
      <c r="J1080" s="38">
        <f>ROUND(H1080*I1080,2)</f>
        <v/>
      </c>
      <c r="L1080" s="39" t="n">
        <v>102.969</v>
      </c>
      <c r="M1080" s="40" t="n">
        <v>0.13788</v>
      </c>
      <c r="N1080" s="41">
        <f>ROUND(L1080*M1080,2)</f>
        <v/>
      </c>
      <c r="O1080" s="45" t="inlineStr">
        <is>
          <t>Margen objetivo (edita % aquí) ▶</t>
        </is>
      </c>
      <c r="P1080" s="5" t="n"/>
      <c r="R1080" s="43" t="inlineStr">
        <is>
          <t>Peor mes: 2023-07 · 48 €</t>
        </is>
      </c>
      <c r="AA1080" t="n">
        <v>151.71</v>
      </c>
      <c r="AB1080">
        <f>B1078*D1078+B1079*D1079+AA1080*D1080+AA1081*D1081+AA1082*D1082</f>
        <v/>
      </c>
    </row>
    <row r="1081">
      <c r="A1081" s="30" t="inlineStr">
        <is>
          <t>P2 Energía</t>
        </is>
      </c>
      <c r="B1081" s="31">
        <f>IF($P$1080&lt;&gt;"",ROUND(AA1081*(($AB$1080/(1-$P$1080))-29.7850)/59.1472,2),IF('Resumen'!$D$3="OPTIMIZAR",ROUND(MAX(AA1081,MIN(AA1081*(($AB$1080/(1-'Resumen'!$F$3))-29.7850)/59.1472,AA1081*(129.0728)/59.1472)),3),AA1081))</f>
        <v/>
      </c>
      <c r="C1081" s="44" t="n"/>
      <c r="D1081" s="33" t="n">
        <v>0.111171</v>
      </c>
      <c r="E1081" s="34" t="n">
        <v>0.13788</v>
      </c>
      <c r="F1081" s="35">
        <f>ROUND(B1081*E1081,2)</f>
        <v/>
      </c>
      <c r="H1081" s="36" t="n">
        <v>123.453</v>
      </c>
      <c r="I1081" s="37" t="n">
        <v>0.13788</v>
      </c>
      <c r="J1081" s="38">
        <f>ROUND(H1081*I1081,2)</f>
        <v/>
      </c>
      <c r="L1081" s="39" t="n">
        <v>106.748</v>
      </c>
      <c r="M1081" s="40" t="n">
        <v>0.13788</v>
      </c>
      <c r="N1081" s="41">
        <f>ROUND(L1081*M1081,2)</f>
        <v/>
      </c>
      <c r="O1081" s="46" t="inlineStr">
        <is>
          <t>Cant. P1/P2/P3 energía suben</t>
        </is>
      </c>
      <c r="R1081" s="43" t="inlineStr">
        <is>
          <t>Importe mensual cobrado (€) · 24 meses ▾</t>
        </is>
      </c>
      <c r="AA1081" t="n">
        <v>145.141</v>
      </c>
    </row>
    <row r="1082">
      <c r="A1082" s="30" t="inlineStr">
        <is>
          <t>P3 Energía</t>
        </is>
      </c>
      <c r="B1082" s="31">
        <f>IF($P$1080&lt;&gt;"",ROUND(AA1082*(($AB$1080/(1-$P$1080))-29.7850)/59.1472,2),IF('Resumen'!$D$3="OPTIMIZAR",ROUND(MAX(AA1082,MIN(AA1082*(($AB$1080/(1-'Resumen'!$F$3))-29.7850)/59.1472,AA1082*(129.0728)/59.1472)),3),AA1082))</f>
        <v/>
      </c>
      <c r="C1082" s="44" t="n"/>
      <c r="D1082" s="33" t="n">
        <v>0.111171</v>
      </c>
      <c r="E1082" s="34" t="n">
        <v>0.13788</v>
      </c>
      <c r="F1082" s="35">
        <f>ROUND(B1082*E1082,2)</f>
        <v/>
      </c>
      <c r="H1082" s="36" t="n">
        <v>120.741</v>
      </c>
      <c r="I1082" s="37" t="n">
        <v>0.13788</v>
      </c>
      <c r="J1082" s="38">
        <f>ROUND(H1082*I1082,2)</f>
        <v/>
      </c>
      <c r="L1082" s="39" t="n">
        <v>110.985</v>
      </c>
      <c r="M1082" s="40" t="n">
        <v>0.13788</v>
      </c>
      <c r="N1082" s="41">
        <f>ROUND(L1082*M1082,2)</f>
        <v/>
      </c>
      <c r="O1082" s="46" t="inlineStr">
        <is>
          <t>en proporción para ese margen</t>
        </is>
      </c>
      <c r="AA1082" t="n">
        <v>132.125</v>
      </c>
    </row>
    <row r="1083">
      <c r="A1083" s="30" t="inlineStr">
        <is>
          <t>Alquiler contador</t>
        </is>
      </c>
      <c r="B1083" s="31" t="n">
        <v>1</v>
      </c>
      <c r="C1083" s="32">
        <f>$N$1075-$L$1075+1</f>
        <v/>
      </c>
      <c r="D1083" s="33" t="n">
        <v>0.7989000000000001</v>
      </c>
      <c r="E1083" s="34" t="n">
        <v>3</v>
      </c>
      <c r="F1083" s="35">
        <f>ROUND(B1083*E1083,2)</f>
        <v/>
      </c>
      <c r="H1083" s="36" t="n">
        <v>1</v>
      </c>
      <c r="I1083" s="37" t="n">
        <v>3</v>
      </c>
      <c r="J1083" s="38">
        <f>ROUND(H1083*I1083,2)</f>
        <v/>
      </c>
      <c r="L1083" s="39" t="n">
        <v>1</v>
      </c>
      <c r="M1083" s="40" t="n">
        <v>3</v>
      </c>
      <c r="N1083" s="41">
        <f>ROUND(L1083*M1083,2)</f>
        <v/>
      </c>
    </row>
    <row r="1084">
      <c r="A1084" s="30" t="inlineStr">
        <is>
          <t>Bono social</t>
        </is>
      </c>
      <c r="B1084" s="31" t="n">
        <v>30</v>
      </c>
      <c r="C1084" s="32">
        <f>$N$1075-$L$1075+1</f>
        <v/>
      </c>
      <c r="D1084" s="33" t="n">
        <v>0.5736</v>
      </c>
      <c r="E1084" s="34" t="n">
        <v>0.01274</v>
      </c>
      <c r="F1084" s="35">
        <f>ROUND(B1084*E1084,2)</f>
        <v/>
      </c>
      <c r="H1084" s="36" t="n">
        <v>30</v>
      </c>
      <c r="I1084" s="37" t="n">
        <v>0.01274</v>
      </c>
      <c r="J1084" s="38">
        <f>ROUND(H1084*I1084,2)</f>
        <v/>
      </c>
      <c r="L1084" s="39" t="n">
        <v>30</v>
      </c>
      <c r="M1084" s="40" t="n">
        <v>0.00629</v>
      </c>
      <c r="N1084" s="41">
        <f>ROUND(L1084*M1084,2)</f>
        <v/>
      </c>
    </row>
    <row r="1085">
      <c r="A1085" s="30" t="inlineStr">
        <is>
          <t>Tasa eléctrica</t>
        </is>
      </c>
      <c r="B1085" s="31" t="n">
        <v>4.55</v>
      </c>
      <c r="C1085" s="44" t="n"/>
      <c r="D1085" s="33" t="n">
        <v>0.02671</v>
      </c>
      <c r="E1085" s="34" t="n">
        <v>1</v>
      </c>
      <c r="F1085" s="35">
        <f>ROUND(B1085*E1085,2)</f>
        <v/>
      </c>
      <c r="H1085" s="36" t="n">
        <v>4.22</v>
      </c>
      <c r="I1085" s="37" t="n">
        <v>1</v>
      </c>
      <c r="J1085" s="38">
        <f>ROUND(H1085*I1085,2)</f>
        <v/>
      </c>
      <c r="L1085" s="39" t="n">
        <v>3.79</v>
      </c>
      <c r="M1085" s="40" t="n">
        <v>1</v>
      </c>
      <c r="N1085" s="41">
        <f>ROUND(L1085*M1085,2)</f>
        <v/>
      </c>
    </row>
    <row r="1086">
      <c r="A1086" s="47" t="inlineStr">
        <is>
          <t>TOTAL c/IVA</t>
        </is>
      </c>
      <c r="F1086" s="48">
        <f>ROUND((SUM(F1078:F1085)-F1085)*1.1+F1085,2)</f>
        <v/>
      </c>
      <c r="J1086" s="49">
        <f>ROUND(SUM(J1078:J1085),2)</f>
        <v/>
      </c>
      <c r="N1086" s="50">
        <f>ROUND(SUM(N1078:N1085),2)</f>
        <v/>
      </c>
    </row>
    <row r="1087">
      <c r="A1087" s="19" t="inlineStr">
        <is>
          <t>MARGEN sin registrar</t>
        </is>
      </c>
      <c r="B1087" s="51">
        <f>IF((F1081+F1078+F1080+F1082+F1079)=0,"",((F1081+F1078+F1080+F1082+F1079)-$AB$1080)/(F1081+F1078+F1080+F1082+F1079))</f>
        <v/>
      </c>
      <c r="D1087" s="52">
        <f>IF(B1087="","SIN PC",IF(B1087&gt;=0.3,"APROBAR",IF(B1087&gt;=0.2,"REVISAR","RECHAZAR")))</f>
        <v/>
      </c>
      <c r="E1087" s="53" t="n"/>
      <c r="F1087" s="54" t="n"/>
      <c r="AD1087">
        <f>SUM(F1080:F1082)-59.1472</f>
        <v/>
      </c>
    </row>
    <row r="1089">
      <c r="A1089" s="15" t="inlineStr">
        <is>
          <t>Factura 8640 · C01730 · LORENA ROCIO PAUCAR LÓPEZ</t>
        </is>
      </c>
      <c r="H1089" s="15" t="inlineStr">
        <is>
          <t>ES0021000001192552DE · Naturgy</t>
        </is>
      </c>
      <c r="L1089" s="16" t="n">
        <v>46113</v>
      </c>
      <c r="M1089" s="17" t="inlineStr">
        <is>
          <t>a</t>
        </is>
      </c>
      <c r="N1089" s="16" t="n">
        <v>46142</v>
      </c>
      <c r="R1089" s="18" t="inlineStr">
        <is>
          <t>HISTÓRICO DEL CUPS · HOJA TTVA LUZ</t>
        </is>
      </c>
    </row>
    <row r="1090">
      <c r="A1090" s="19" t="inlineStr">
        <is>
          <t>Concepto</t>
        </is>
      </c>
      <c r="B1090" s="20" t="inlineStr">
        <is>
          <t>PENDIENTE (sin registrar)</t>
        </is>
      </c>
      <c r="C1090" s="21" t="n"/>
      <c r="D1090" s="21" t="n"/>
      <c r="E1090" s="21" t="n"/>
      <c r="F1090" s="21" t="n"/>
      <c r="H1090" s="22" t="inlineStr">
        <is>
          <t>MES ANTERIOR · Fact.6403</t>
        </is>
      </c>
      <c r="I1090" s="23" t="n"/>
      <c r="J1090" s="23" t="n"/>
      <c r="L1090" s="24" t="inlineStr">
        <is>
          <t>AÑO ANTERIOR · Fact.4608</t>
        </is>
      </c>
      <c r="M1090" s="25" t="n"/>
      <c r="N1090" s="25" t="n"/>
      <c r="R1090" s="26" t="inlineStr">
        <is>
          <t>Cobrado total: 7.311 €</t>
        </is>
      </c>
    </row>
    <row r="1091">
      <c r="B1091" s="7" t="inlineStr">
        <is>
          <t>Cant</t>
        </is>
      </c>
      <c r="C1091" s="7" t="inlineStr">
        <is>
          <t>Días</t>
        </is>
      </c>
      <c r="D1091" s="7" t="inlineStr">
        <is>
          <t>PC real</t>
        </is>
      </c>
      <c r="E1091" s="7" t="inlineStr">
        <is>
          <t>PV</t>
        </is>
      </c>
      <c r="F1091" s="7" t="inlineStr">
        <is>
          <t>Importe</t>
        </is>
      </c>
      <c r="H1091" s="27" t="inlineStr">
        <is>
          <t>Cant</t>
        </is>
      </c>
      <c r="I1091" s="27" t="inlineStr">
        <is>
          <t>PV</t>
        </is>
      </c>
      <c r="J1091" s="27" t="inlineStr">
        <is>
          <t>Importe</t>
        </is>
      </c>
      <c r="L1091" s="28" t="inlineStr">
        <is>
          <t>Cant</t>
        </is>
      </c>
      <c r="M1091" s="28" t="inlineStr">
        <is>
          <t>PV</t>
        </is>
      </c>
      <c r="N1091" s="28" t="inlineStr">
        <is>
          <t>Importe</t>
        </is>
      </c>
      <c r="R1091" s="29" t="inlineStr">
        <is>
          <t>Pagado total: 4.761 €</t>
        </is>
      </c>
    </row>
    <row r="1092">
      <c r="A1092" s="30" t="inlineStr">
        <is>
          <t>P1 Potencia</t>
        </is>
      </c>
      <c r="B1092" s="31" t="n">
        <v>10</v>
      </c>
      <c r="C1092" s="32">
        <f>$N$1089-$L$1089+1</f>
        <v/>
      </c>
      <c r="D1092" s="33" t="n">
        <v>3.68919</v>
      </c>
      <c r="E1092" s="34" t="n">
        <v>3.85</v>
      </c>
      <c r="F1092" s="35">
        <f>ROUND(B1092*E1092,2)</f>
        <v/>
      </c>
      <c r="H1092" s="36" t="n">
        <v>10</v>
      </c>
      <c r="I1092" s="37" t="n">
        <v>3.85</v>
      </c>
      <c r="J1092" s="38">
        <f>ROUND(H1092*I1092,2)</f>
        <v/>
      </c>
      <c r="L1092" s="39" t="n">
        <v>10</v>
      </c>
      <c r="M1092" s="40" t="n">
        <v>3.85</v>
      </c>
      <c r="N1092" s="41">
        <f>ROUND(L1092*M1092,2)</f>
        <v/>
      </c>
      <c r="R1092" s="42" t="inlineStr">
        <is>
          <t>DIF: 2.550 €   ·   Margen hist.: 34.9%</t>
        </is>
      </c>
    </row>
    <row r="1093">
      <c r="A1093" s="30" t="inlineStr">
        <is>
          <t>P2 Potencia</t>
        </is>
      </c>
      <c r="B1093" s="31" t="n">
        <v>10</v>
      </c>
      <c r="C1093" s="32">
        <f>$N$1089-$L$1089+1</f>
        <v/>
      </c>
      <c r="D1093" s="33" t="n">
        <v>1.31928</v>
      </c>
      <c r="E1093" s="34" t="n">
        <v>1.33</v>
      </c>
      <c r="F1093" s="35">
        <f>ROUND(B1093*E1093,2)</f>
        <v/>
      </c>
      <c r="H1093" s="36" t="n">
        <v>10</v>
      </c>
      <c r="I1093" s="37" t="n">
        <v>1.33</v>
      </c>
      <c r="J1093" s="38">
        <f>ROUND(H1093*I1093,2)</f>
        <v/>
      </c>
      <c r="L1093" s="39" t="n">
        <v>10</v>
      </c>
      <c r="M1093" s="40" t="n">
        <v>1.33</v>
      </c>
      <c r="N1093" s="41">
        <f>ROUND(L1093*M1093,2)</f>
        <v/>
      </c>
      <c r="R1093" s="43" t="inlineStr">
        <is>
          <t>Mejor mes: 2024-12 · 794 € · margen 72%</t>
        </is>
      </c>
    </row>
    <row r="1094">
      <c r="A1094" s="30" t="inlineStr">
        <is>
          <t>P1 Energía</t>
        </is>
      </c>
      <c r="B1094" s="31">
        <f>IF($P$1094&lt;&gt;"",ROUND(AA1094*(($AB$1094/(1-$P$1094))-51.8000)/374.0067,2),IF('Resumen'!$D$3="OPTIMIZAR",ROUND(MAX(AA1094,MIN(AA1094*(($AB$1094/(1-'Resumen'!$F$3))-51.8000)/374.0067,AA1094*(716.4178)/374.0067)),3),AA1094))</f>
        <v/>
      </c>
      <c r="C1094" s="44" t="n"/>
      <c r="D1094" s="33" t="n">
        <v>0.111171</v>
      </c>
      <c r="E1094" s="34" t="n">
        <v>0.13788</v>
      </c>
      <c r="F1094" s="35">
        <f>ROUND(B1094*E1094,2)</f>
        <v/>
      </c>
      <c r="H1094" s="36" t="n">
        <v>663.883</v>
      </c>
      <c r="I1094" s="37" t="n">
        <v>0.13788</v>
      </c>
      <c r="J1094" s="38">
        <f>ROUND(H1094*I1094,2)</f>
        <v/>
      </c>
      <c r="L1094" s="39" t="n">
        <v>2990</v>
      </c>
      <c r="M1094" s="40" t="n">
        <v>0.13788</v>
      </c>
      <c r="N1094" s="41">
        <f>ROUND(L1094*M1094,2)</f>
        <v/>
      </c>
      <c r="O1094" s="45" t="inlineStr">
        <is>
          <t>Margen objetivo (edita % aquí) ▶</t>
        </is>
      </c>
      <c r="P1094" s="5" t="n"/>
      <c r="R1094" s="43" t="inlineStr">
        <is>
          <t>Peor mes: 2023-11 · 142 €</t>
        </is>
      </c>
      <c r="AA1094" t="n">
        <v>694.92</v>
      </c>
      <c r="AB1094">
        <f>B1092*D1092+B1093*D1093+AA1094*D1094+AA1095*D1095+AA1096*D1096</f>
        <v/>
      </c>
    </row>
    <row r="1095">
      <c r="A1095" s="30" t="inlineStr">
        <is>
          <t>P2 Energía</t>
        </is>
      </c>
      <c r="B1095" s="31">
        <f>IF($P$1094&lt;&gt;"",ROUND(AA1095*(($AB$1094/(1-$P$1094))-51.8000)/374.0067,2),IF('Resumen'!$D$3="OPTIMIZAR",ROUND(MAX(AA1095,MIN(AA1095*(($AB$1094/(1-'Resumen'!$F$3))-51.8000)/374.0067,AA1095*(716.4178)/374.0067)),3),AA1095))</f>
        <v/>
      </c>
      <c r="C1095" s="44" t="n"/>
      <c r="D1095" s="33" t="n">
        <v>0.111171</v>
      </c>
      <c r="E1095" s="34" t="n">
        <v>0.13788</v>
      </c>
      <c r="F1095" s="35">
        <f>ROUND(B1095*E1095,2)</f>
        <v/>
      </c>
      <c r="H1095" s="36" t="n">
        <v>676.67</v>
      </c>
      <c r="I1095" s="37" t="n">
        <v>0.13788</v>
      </c>
      <c r="J1095" s="38">
        <f>ROUND(H1095*I1095,2)</f>
        <v/>
      </c>
      <c r="L1095" s="65" t="n"/>
      <c r="M1095" s="65" t="n"/>
      <c r="N1095" s="65" t="n"/>
      <c r="O1095" s="46" t="inlineStr">
        <is>
          <t>Cant. P1/P2/P3 energía suben</t>
        </is>
      </c>
      <c r="R1095" s="43" t="inlineStr">
        <is>
          <t>Importe mensual cobrado (€) · 24 meses ▾</t>
        </is>
      </c>
      <c r="AA1095" t="n">
        <v>791.092</v>
      </c>
    </row>
    <row r="1096">
      <c r="A1096" s="30" t="inlineStr">
        <is>
          <t>P3 Energía</t>
        </is>
      </c>
      <c r="B1096" s="31">
        <f>IF($P$1094&lt;&gt;"",ROUND(AA1096*(($AB$1094/(1-$P$1094))-51.8000)/374.0067,2),IF('Resumen'!$D$3="OPTIMIZAR",ROUND(MAX(AA1096,MIN(AA1096*(($AB$1094/(1-'Resumen'!$F$3))-51.8000)/374.0067,AA1096*(716.4178)/374.0067)),3),AA1096))</f>
        <v/>
      </c>
      <c r="C1096" s="44" t="n"/>
      <c r="D1096" s="33" t="n">
        <v>0.111171</v>
      </c>
      <c r="E1096" s="34" t="n">
        <v>0.13788</v>
      </c>
      <c r="F1096" s="35">
        <f>ROUND(B1096*E1096,2)</f>
        <v/>
      </c>
      <c r="H1096" s="36" t="n">
        <v>737.0890000000001</v>
      </c>
      <c r="I1096" s="37" t="n">
        <v>0.13788</v>
      </c>
      <c r="J1096" s="38">
        <f>ROUND(H1096*I1096,2)</f>
        <v/>
      </c>
      <c r="L1096" s="65" t="n"/>
      <c r="M1096" s="65" t="n"/>
      <c r="N1096" s="65" t="n"/>
      <c r="O1096" s="46" t="inlineStr">
        <is>
          <t>en proporción para ese margen</t>
        </is>
      </c>
      <c r="AA1096" t="n">
        <v>1226.54</v>
      </c>
    </row>
    <row r="1097">
      <c r="A1097" s="30" t="inlineStr">
        <is>
          <t>Alquiler contador</t>
        </is>
      </c>
      <c r="B1097" s="31" t="n">
        <v>1</v>
      </c>
      <c r="C1097" s="32">
        <f>$N$1089-$L$1089+1</f>
        <v/>
      </c>
      <c r="D1097" s="33" t="n">
        <v>1.3414</v>
      </c>
      <c r="E1097" s="34" t="n">
        <v>3</v>
      </c>
      <c r="F1097" s="35">
        <f>ROUND(B1097*E1097,2)</f>
        <v/>
      </c>
      <c r="H1097" s="36" t="n">
        <v>1</v>
      </c>
      <c r="I1097" s="37" t="n">
        <v>3</v>
      </c>
      <c r="J1097" s="38">
        <f>ROUND(H1097*I1097,2)</f>
        <v/>
      </c>
      <c r="L1097" s="39" t="n">
        <v>1</v>
      </c>
      <c r="M1097" s="40" t="n">
        <v>3</v>
      </c>
      <c r="N1097" s="41">
        <f>ROUND(L1097*M1097,2)</f>
        <v/>
      </c>
    </row>
    <row r="1098">
      <c r="A1098" s="30" t="inlineStr">
        <is>
          <t>Bono social</t>
        </is>
      </c>
      <c r="B1098" s="31" t="n">
        <v>30</v>
      </c>
      <c r="C1098" s="32">
        <f>$N$1089-$L$1089+1</f>
        <v/>
      </c>
      <c r="D1098" s="33" t="n">
        <v>0.5736</v>
      </c>
      <c r="E1098" s="34" t="n">
        <v>0.01274</v>
      </c>
      <c r="F1098" s="35">
        <f>ROUND(B1098*E1098,2)</f>
        <v/>
      </c>
      <c r="H1098" s="36" t="n">
        <v>30</v>
      </c>
      <c r="I1098" s="37" t="n">
        <v>0.01274</v>
      </c>
      <c r="J1098" s="38">
        <f>ROUND(H1098*I1098,2)</f>
        <v/>
      </c>
      <c r="L1098" s="39" t="n">
        <v>30</v>
      </c>
      <c r="M1098" s="40" t="n">
        <v>0.01274</v>
      </c>
      <c r="N1098" s="41">
        <f>ROUND(L1098*M1098,2)</f>
        <v/>
      </c>
    </row>
    <row r="1099">
      <c r="A1099" s="30" t="inlineStr">
        <is>
          <t>Tasa eléctrica</t>
        </is>
      </c>
      <c r="B1099" s="31" t="n">
        <v>22.86</v>
      </c>
      <c r="C1099" s="44" t="n"/>
      <c r="D1099" s="33" t="n">
        <v>0.27312</v>
      </c>
      <c r="E1099" s="34" t="n">
        <v>1</v>
      </c>
      <c r="F1099" s="35">
        <f>ROUND(B1099*E1099,2)</f>
        <v/>
      </c>
      <c r="H1099" s="36" t="n">
        <v>18.27</v>
      </c>
      <c r="I1099" s="37" t="n">
        <v>1</v>
      </c>
      <c r="J1099" s="38">
        <f>ROUND(H1099*I1099,2)</f>
        <v/>
      </c>
      <c r="L1099" s="39" t="n">
        <v>25.14</v>
      </c>
      <c r="M1099" s="40" t="n">
        <v>1</v>
      </c>
      <c r="N1099" s="41">
        <f>ROUND(L1099*M1099,2)</f>
        <v/>
      </c>
    </row>
    <row r="1100">
      <c r="A1100" s="47" t="inlineStr">
        <is>
          <t>TOTAL c/IVA</t>
        </is>
      </c>
      <c r="F1100" s="48">
        <f>ROUND((SUM(F1092:F1099)-F1099)*1.1+F1099,2)</f>
        <v/>
      </c>
      <c r="J1100" s="49">
        <f>ROUND(SUM(J1092:J1099),2)</f>
        <v/>
      </c>
      <c r="N1100" s="50">
        <f>ROUND(SUM(N1092:N1099),2)</f>
        <v/>
      </c>
    </row>
    <row r="1101">
      <c r="A1101" s="19" t="inlineStr">
        <is>
          <t>MARGEN sin registrar</t>
        </is>
      </c>
      <c r="B1101" s="51">
        <f>IF((F1095+F1092+F1094+F1096+F1093)=0,"",((F1095+F1092+F1094+F1096+F1093)-$AB$1094)/(F1095+F1092+F1094+F1096+F1093))</f>
        <v/>
      </c>
      <c r="D1101" s="52">
        <f>IF(B1101="","SIN PC",IF(B1101&gt;=0.3,"APROBAR",IF(B1101&gt;=0.2,"REVISAR","RECHAZAR")))</f>
        <v/>
      </c>
      <c r="E1101" s="53" t="n"/>
      <c r="F1101" s="54" t="n"/>
      <c r="AD1101">
        <f>SUM(F1094:F1096)-374.0067</f>
        <v/>
      </c>
    </row>
    <row r="1103">
      <c r="A1103" s="15" t="inlineStr">
        <is>
          <t>Factura 8642 · C01800 · ROY SCHOLTEN</t>
        </is>
      </c>
      <c r="H1103" s="15" t="inlineStr">
        <is>
          <t>ES0021000001501271TN · Naturgy</t>
        </is>
      </c>
      <c r="L1103" s="16" t="n">
        <v>46113</v>
      </c>
      <c r="M1103" s="17" t="inlineStr">
        <is>
          <t>a</t>
        </is>
      </c>
      <c r="N1103" s="16" t="n">
        <v>46142</v>
      </c>
      <c r="R1103" s="18" t="inlineStr">
        <is>
          <t>HISTÓRICO DEL CUPS · HOJA TTVA LUZ</t>
        </is>
      </c>
    </row>
    <row r="1104">
      <c r="A1104" s="19" t="inlineStr">
        <is>
          <t>Concepto</t>
        </is>
      </c>
      <c r="B1104" s="20" t="inlineStr">
        <is>
          <t>PENDIENTE (sin registrar)</t>
        </is>
      </c>
      <c r="C1104" s="21" t="n"/>
      <c r="D1104" s="21" t="n"/>
      <c r="E1104" s="21" t="n"/>
      <c r="F1104" s="21" t="n"/>
      <c r="H1104" s="22" t="inlineStr">
        <is>
          <t>MES ANTERIOR · Fact.6401</t>
        </is>
      </c>
      <c r="I1104" s="23" t="n"/>
      <c r="J1104" s="23" t="n"/>
      <c r="L1104" s="24" t="inlineStr">
        <is>
          <t>AÑO ANTERIOR · Fact.4606</t>
        </is>
      </c>
      <c r="M1104" s="25" t="n"/>
      <c r="N1104" s="25" t="n"/>
      <c r="R1104" s="26" t="inlineStr">
        <is>
          <t>Cobrado total: 1.292 €</t>
        </is>
      </c>
    </row>
    <row r="1105">
      <c r="B1105" s="7" t="inlineStr">
        <is>
          <t>Cant</t>
        </is>
      </c>
      <c r="C1105" s="7" t="inlineStr">
        <is>
          <t>Días</t>
        </is>
      </c>
      <c r="D1105" s="7" t="inlineStr">
        <is>
          <t>PC real</t>
        </is>
      </c>
      <c r="E1105" s="7" t="inlineStr">
        <is>
          <t>PV</t>
        </is>
      </c>
      <c r="F1105" s="7" t="inlineStr">
        <is>
          <t>Importe</t>
        </is>
      </c>
      <c r="H1105" s="27" t="inlineStr">
        <is>
          <t>Cant</t>
        </is>
      </c>
      <c r="I1105" s="27" t="inlineStr">
        <is>
          <t>PV</t>
        </is>
      </c>
      <c r="J1105" s="27" t="inlineStr">
        <is>
          <t>Importe</t>
        </is>
      </c>
      <c r="L1105" s="28" t="inlineStr">
        <is>
          <t>Cant</t>
        </is>
      </c>
      <c r="M1105" s="28" t="inlineStr">
        <is>
          <t>PV</t>
        </is>
      </c>
      <c r="N1105" s="28" t="inlineStr">
        <is>
          <t>Importe</t>
        </is>
      </c>
      <c r="R1105" s="29" t="inlineStr">
        <is>
          <t>Pagado total: 1.001 €</t>
        </is>
      </c>
    </row>
    <row r="1106">
      <c r="A1106" s="30" t="inlineStr">
        <is>
          <t>P1 Potencia</t>
        </is>
      </c>
      <c r="B1106" s="31" t="n">
        <v>9.199999999999999</v>
      </c>
      <c r="C1106" s="32">
        <f>$N$1103-$L$1103+1</f>
        <v/>
      </c>
      <c r="D1106" s="33" t="n">
        <v>3.4086</v>
      </c>
      <c r="E1106" s="34" t="n">
        <v>4.17</v>
      </c>
      <c r="F1106" s="35">
        <f>ROUND(B1106*E1106,2)</f>
        <v/>
      </c>
      <c r="H1106" s="36" t="n">
        <v>9.199999999999999</v>
      </c>
      <c r="I1106" s="37" t="n">
        <v>4.17</v>
      </c>
      <c r="J1106" s="38">
        <f>ROUND(H1106*I1106,2)</f>
        <v/>
      </c>
      <c r="L1106" s="39" t="n">
        <v>9.199999999999999</v>
      </c>
      <c r="M1106" s="40" t="n">
        <v>4.17</v>
      </c>
      <c r="N1106" s="41">
        <f>ROUND(L1106*M1106,2)</f>
        <v/>
      </c>
      <c r="R1106" s="42" t="inlineStr">
        <is>
          <t>DIF: 291 €   ·   Margen hist.: 22.5%</t>
        </is>
      </c>
    </row>
    <row r="1107">
      <c r="A1107" s="30" t="inlineStr">
        <is>
          <t>P2 Potencia</t>
        </is>
      </c>
      <c r="B1107" s="31" t="n">
        <v>9.199999999999999</v>
      </c>
      <c r="C1107" s="32">
        <f>$N$1103-$L$1103+1</f>
        <v/>
      </c>
      <c r="D1107" s="33" t="n">
        <v>1.09728</v>
      </c>
      <c r="E1107" s="34" t="n">
        <v>1.37</v>
      </c>
      <c r="F1107" s="35">
        <f>ROUND(B1107*E1107,2)</f>
        <v/>
      </c>
      <c r="H1107" s="36" t="n">
        <v>9.199999999999999</v>
      </c>
      <c r="I1107" s="37" t="n">
        <v>1.37</v>
      </c>
      <c r="J1107" s="38">
        <f>ROUND(H1107*I1107,2)</f>
        <v/>
      </c>
      <c r="L1107" s="39" t="n">
        <v>9.199999999999999</v>
      </c>
      <c r="M1107" s="40" t="n">
        <v>1.37</v>
      </c>
      <c r="N1107" s="41">
        <f>ROUND(L1107*M1107,2)</f>
        <v/>
      </c>
      <c r="R1107" s="43" t="inlineStr">
        <is>
          <t>Mejor mes: 2024-08 · 164 € · margen 36%</t>
        </is>
      </c>
    </row>
    <row r="1108">
      <c r="A1108" s="30" t="inlineStr">
        <is>
          <t>P1 Energía</t>
        </is>
      </c>
      <c r="B1108" s="31">
        <f>IF($P$1108&lt;&gt;"",ROUND(AA1108*(($AB$1108/(1-$P$1108))-50.9680)/18.3933,2),IF('Resumen'!$D$3="OPTIMIZAR",ROUND(MAX(AA1108,MIN(AA1108*(($AB$1108/(1-'Resumen'!$F$3))-50.9680)/18.3933,AA1108*(106.0398)/18.3933)),3),AA1108))</f>
        <v/>
      </c>
      <c r="C1108" s="44" t="n"/>
      <c r="D1108" s="33" t="n">
        <v>0.110306</v>
      </c>
      <c r="E1108" s="34" t="n">
        <v>0.14937</v>
      </c>
      <c r="F1108" s="35">
        <f>ROUND(B1108*E1108,2)</f>
        <v/>
      </c>
      <c r="H1108" s="36" t="n">
        <v>96.458</v>
      </c>
      <c r="I1108" s="37" t="n">
        <v>0.14937</v>
      </c>
      <c r="J1108" s="38">
        <f>ROUND(H1108*I1108,2)</f>
        <v/>
      </c>
      <c r="L1108" s="39" t="n">
        <v>9.16</v>
      </c>
      <c r="M1108" s="40" t="n">
        <v>0.14937</v>
      </c>
      <c r="N1108" s="41">
        <f>ROUND(L1108*M1108,2)</f>
        <v/>
      </c>
      <c r="O1108" s="45" t="inlineStr">
        <is>
          <t>Margen objetivo (edita % aquí) ▶</t>
        </is>
      </c>
      <c r="P1108" s="5" t="n"/>
      <c r="R1108" s="43" t="inlineStr">
        <is>
          <t>Peor mes: 2023-12 · 38 € · margen 43%</t>
        </is>
      </c>
      <c r="AA1108" t="n">
        <v>37.814</v>
      </c>
      <c r="AB1108">
        <f>B1106*D1106+B1107*D1107+AA1108*D1108+AA1109*D1109+AA1110*D1110</f>
        <v/>
      </c>
    </row>
    <row r="1109">
      <c r="A1109" s="30" t="inlineStr">
        <is>
          <t>P2 Energía</t>
        </is>
      </c>
      <c r="B1109" s="31">
        <f>IF($P$1108&lt;&gt;"",ROUND(AA1109*(($AB$1108/(1-$P$1108))-50.9680)/18.3933,2),IF('Resumen'!$D$3="OPTIMIZAR",ROUND(MAX(AA1109,MIN(AA1109*(($AB$1108/(1-'Resumen'!$F$3))-50.9680)/18.3933,AA1109*(106.0398)/18.3933)),3),AA1109))</f>
        <v/>
      </c>
      <c r="C1109" s="44" t="n"/>
      <c r="D1109" s="33" t="n">
        <v>0.110306</v>
      </c>
      <c r="E1109" s="34" t="n">
        <v>0.14937</v>
      </c>
      <c r="F1109" s="35">
        <f>ROUND(B1109*E1109,2)</f>
        <v/>
      </c>
      <c r="H1109" s="36" t="n">
        <v>60.026</v>
      </c>
      <c r="I1109" s="37" t="n">
        <v>0.14937</v>
      </c>
      <c r="J1109" s="38">
        <f>ROUND(H1109*I1109,2)</f>
        <v/>
      </c>
      <c r="L1109" s="39" t="n">
        <v>24.46</v>
      </c>
      <c r="M1109" s="40" t="n">
        <v>0.14937</v>
      </c>
      <c r="N1109" s="41">
        <f>ROUND(L1109*M1109,2)</f>
        <v/>
      </c>
      <c r="O1109" s="46" t="inlineStr">
        <is>
          <t>Cant. P1/P2/P3 energía suben</t>
        </is>
      </c>
      <c r="R1109" s="43" t="inlineStr">
        <is>
          <t>Importe mensual cobrado (€) · 24 meses ▾</t>
        </is>
      </c>
      <c r="AA1109" t="n">
        <v>21.919</v>
      </c>
    </row>
    <row r="1110">
      <c r="A1110" s="30" t="inlineStr">
        <is>
          <t>P3 Energía</t>
        </is>
      </c>
      <c r="B1110" s="31">
        <f>IF($P$1108&lt;&gt;"",ROUND(AA1110*(($AB$1108/(1-$P$1108))-50.9680)/18.3933,2),IF('Resumen'!$D$3="OPTIMIZAR",ROUND(MAX(AA1110,MIN(AA1110*(($AB$1108/(1-'Resumen'!$F$3))-50.9680)/18.3933,AA1110*(106.0398)/18.3933)),3),AA1110))</f>
        <v/>
      </c>
      <c r="C1110" s="44" t="n"/>
      <c r="D1110" s="33" t="n">
        <v>0.110306</v>
      </c>
      <c r="E1110" s="34" t="n">
        <v>0.14937</v>
      </c>
      <c r="F1110" s="35">
        <f>ROUND(B1110*E1110,2)</f>
        <v/>
      </c>
      <c r="H1110" s="36" t="n">
        <v>220.16</v>
      </c>
      <c r="I1110" s="37" t="n">
        <v>0.14937</v>
      </c>
      <c r="J1110" s="38">
        <f>ROUND(H1110*I1110,2)</f>
        <v/>
      </c>
      <c r="L1110" s="39" t="n">
        <v>76.63200000000001</v>
      </c>
      <c r="M1110" s="40" t="n">
        <v>0.14937</v>
      </c>
      <c r="N1110" s="41">
        <f>ROUND(L1110*M1110,2)</f>
        <v/>
      </c>
      <c r="O1110" s="46" t="inlineStr">
        <is>
          <t>en proporción para ese margen</t>
        </is>
      </c>
      <c r="AA1110" t="n">
        <v>63.406</v>
      </c>
    </row>
    <row r="1111">
      <c r="A1111" s="30" t="inlineStr">
        <is>
          <t>Alquiler contador</t>
        </is>
      </c>
      <c r="B1111" s="31" t="n">
        <v>1</v>
      </c>
      <c r="C1111" s="32">
        <f>$N$1103-$L$1103+1</f>
        <v/>
      </c>
      <c r="D1111" s="33" t="n">
        <v>0.7989000000000001</v>
      </c>
      <c r="E1111" s="34" t="n">
        <v>4</v>
      </c>
      <c r="F1111" s="35">
        <f>ROUND(B1111*E1111,2)</f>
        <v/>
      </c>
      <c r="H1111" s="36" t="n">
        <v>1</v>
      </c>
      <c r="I1111" s="37" t="n">
        <v>4</v>
      </c>
      <c r="J1111" s="38">
        <f>ROUND(H1111*I1111,2)</f>
        <v/>
      </c>
      <c r="L1111" s="39" t="n">
        <v>1</v>
      </c>
      <c r="M1111" s="40" t="n">
        <v>4</v>
      </c>
      <c r="N1111" s="41">
        <f>ROUND(L1111*M1111,2)</f>
        <v/>
      </c>
    </row>
    <row r="1112">
      <c r="A1112" s="30" t="inlineStr">
        <is>
          <t>Bono social</t>
        </is>
      </c>
      <c r="B1112" s="31" t="n">
        <v>30</v>
      </c>
      <c r="C1112" s="32">
        <f>$N$1103-$L$1103+1</f>
        <v/>
      </c>
      <c r="D1112" s="33" t="n">
        <v>0.5736</v>
      </c>
      <c r="E1112" s="34" t="n">
        <v>0.01274</v>
      </c>
      <c r="F1112" s="35">
        <f>ROUND(B1112*E1112,2)</f>
        <v/>
      </c>
      <c r="H1112" s="36" t="n">
        <v>30</v>
      </c>
      <c r="I1112" s="37" t="n">
        <v>0.01274</v>
      </c>
      <c r="J1112" s="38">
        <f>ROUND(H1112*I1112,2)</f>
        <v/>
      </c>
      <c r="L1112" s="39" t="n">
        <v>30</v>
      </c>
      <c r="M1112" s="40" t="n">
        <v>0.00629</v>
      </c>
      <c r="N1112" s="41">
        <f>ROUND(L1112*M1112,2)</f>
        <v/>
      </c>
    </row>
    <row r="1113">
      <c r="A1113" s="30" t="inlineStr">
        <is>
          <t>Tasa eléctrica</t>
        </is>
      </c>
      <c r="B1113" s="31" t="n">
        <v>2.61</v>
      </c>
      <c r="C1113" s="44" t="n"/>
      <c r="D1113" s="33" t="n">
        <v>0.24729</v>
      </c>
      <c r="E1113" s="34" t="n">
        <v>1</v>
      </c>
      <c r="F1113" s="35">
        <f>ROUND(B1113*E1113,2)</f>
        <v/>
      </c>
      <c r="H1113" s="36" t="n">
        <v>4.89</v>
      </c>
      <c r="I1113" s="37" t="n">
        <v>1</v>
      </c>
      <c r="J1113" s="38">
        <f>ROUND(H1113*I1113,2)</f>
        <v/>
      </c>
      <c r="L1113" s="39" t="n">
        <v>2.61</v>
      </c>
      <c r="M1113" s="40" t="n">
        <v>1</v>
      </c>
      <c r="N1113" s="41">
        <f>ROUND(L1113*M1113,2)</f>
        <v/>
      </c>
    </row>
    <row r="1114">
      <c r="A1114" s="47" t="inlineStr">
        <is>
          <t>TOTAL c/IVA</t>
        </is>
      </c>
      <c r="F1114" s="48">
        <f>ROUND((SUM(F1106:F1113)-F1113)*1.1+F1113,2)</f>
        <v/>
      </c>
      <c r="J1114" s="49">
        <f>ROUND(SUM(J1106:J1113),2)</f>
        <v/>
      </c>
      <c r="N1114" s="50">
        <f>ROUND(SUM(N1106:N1113),2)</f>
        <v/>
      </c>
    </row>
    <row r="1115">
      <c r="A1115" s="19" t="inlineStr">
        <is>
          <t>MARGEN sin registrar</t>
        </is>
      </c>
      <c r="B1115" s="51">
        <f>IF((F1109+F1106+F1108+F1110+F1107)=0,"",((F1109+F1106+F1108+F1110+F1107)-$AB$1108)/(F1109+F1106+F1108+F1110+F1107))</f>
        <v/>
      </c>
      <c r="D1115" s="52">
        <f>IF(B1115="","SIN PC",IF(B1115&gt;=0.3,"APROBAR",IF(B1115&gt;=0.2,"REVISAR","RECHAZAR")))</f>
        <v/>
      </c>
      <c r="E1115" s="53" t="n"/>
      <c r="F1115" s="54" t="n"/>
      <c r="AD1115">
        <f>SUM(F1108:F1110)-18.3933</f>
        <v/>
      </c>
    </row>
    <row r="1116">
      <c r="A1116" s="55" t="inlineStr">
        <is>
          <t>☀ EXCEDENTES SOLARES (kWh vertidos reales)</t>
        </is>
      </c>
      <c r="B1116" s="56" t="n"/>
      <c r="C1116" s="56" t="n"/>
      <c r="D1116" s="56" t="n"/>
      <c r="E1116" s="56" t="n"/>
      <c r="F1116" s="56" t="n"/>
    </row>
    <row r="1117">
      <c r="A1117" s="57" t="inlineStr">
        <is>
          <t>Concepto</t>
        </is>
      </c>
      <c r="B1117" s="57" t="inlineStr">
        <is>
          <t>kWh</t>
        </is>
      </c>
      <c r="D1117" s="57" t="inlineStr">
        <is>
          <t>€/kWh compra</t>
        </is>
      </c>
      <c r="E1117" s="57" t="inlineStr">
        <is>
          <t>€/kWh venta</t>
        </is>
      </c>
      <c r="F1117" s="57" t="inlineStr">
        <is>
          <t>Importe</t>
        </is>
      </c>
    </row>
    <row r="1118">
      <c r="A1118" s="58" t="inlineStr">
        <is>
          <t>Compra excedentes (vertido red)</t>
        </is>
      </c>
      <c r="B1118" s="59" t="n">
        <v>403</v>
      </c>
      <c r="C1118" s="60" t="n"/>
      <c r="D1118" s="33" t="n">
        <v>0.06</v>
      </c>
      <c r="E1118" s="60" t="n"/>
      <c r="F1118" s="61">
        <f>ROUND(B1118*D1118,2)</f>
        <v/>
      </c>
    </row>
    <row r="1119">
      <c r="A1119" s="58" t="inlineStr">
        <is>
          <t>Venta cliente (saldo batería, 1043)</t>
        </is>
      </c>
      <c r="B1119" s="60" t="n"/>
      <c r="C1119" s="60" t="n"/>
      <c r="D1119" s="60" t="n"/>
      <c r="E1119" s="62" t="n">
        <v>0.06</v>
      </c>
      <c r="F1119" s="61" t="n">
        <v>18.39</v>
      </c>
    </row>
    <row r="1120">
      <c r="A1120" s="63" t="inlineStr">
        <is>
          <t>NETO Transactiva (compra − venta)</t>
        </is>
      </c>
      <c r="B1120" s="60" t="n"/>
      <c r="C1120" s="60" t="n"/>
      <c r="D1120" s="60" t="n"/>
      <c r="E1120" s="60" t="n"/>
      <c r="F1120" s="64">
        <f>F1118-F1119</f>
        <v/>
      </c>
    </row>
    <row r="1122">
      <c r="A1122" s="15" t="inlineStr">
        <is>
          <t>Factura 8645 · C01850 · GUILLERMO CHOLBI SART</t>
        </is>
      </c>
      <c r="H1122" s="15" t="inlineStr">
        <is>
          <t>ES0021000001204184DQ · Naturgy</t>
        </is>
      </c>
      <c r="L1122" s="16" t="n">
        <v>46113</v>
      </c>
      <c r="M1122" s="17" t="inlineStr">
        <is>
          <t>a</t>
        </is>
      </c>
      <c r="N1122" s="16" t="n">
        <v>46142</v>
      </c>
      <c r="R1122" s="18" t="inlineStr">
        <is>
          <t>HISTÓRICO DEL CUPS · HOJA TTVA LUZ</t>
        </is>
      </c>
    </row>
    <row r="1123">
      <c r="A1123" s="19" t="inlineStr">
        <is>
          <t>Concepto</t>
        </is>
      </c>
      <c r="B1123" s="20" t="inlineStr">
        <is>
          <t>PENDIENTE (sin registrar)</t>
        </is>
      </c>
      <c r="C1123" s="21" t="n"/>
      <c r="D1123" s="21" t="n"/>
      <c r="E1123" s="21" t="n"/>
      <c r="F1123" s="21" t="n"/>
      <c r="H1123" s="22" t="inlineStr">
        <is>
          <t>MES ANTERIOR · Fact.6398</t>
        </is>
      </c>
      <c r="I1123" s="23" t="n"/>
      <c r="J1123" s="23" t="n"/>
      <c r="L1123" s="24" t="inlineStr">
        <is>
          <t>AÑO ANTERIOR · Fact.4604</t>
        </is>
      </c>
      <c r="M1123" s="25" t="n"/>
      <c r="N1123" s="25" t="n"/>
      <c r="R1123" s="26" t="inlineStr">
        <is>
          <t>Cobrado total: 669 €</t>
        </is>
      </c>
    </row>
    <row r="1124">
      <c r="B1124" s="7" t="inlineStr">
        <is>
          <t>Cant</t>
        </is>
      </c>
      <c r="C1124" s="7" t="inlineStr">
        <is>
          <t>Días</t>
        </is>
      </c>
      <c r="D1124" s="7" t="inlineStr">
        <is>
          <t>PC real</t>
        </is>
      </c>
      <c r="E1124" s="7" t="inlineStr">
        <is>
          <t>PV</t>
        </is>
      </c>
      <c r="F1124" s="7" t="inlineStr">
        <is>
          <t>Importe</t>
        </is>
      </c>
      <c r="H1124" s="27" t="inlineStr">
        <is>
          <t>Cant</t>
        </is>
      </c>
      <c r="I1124" s="27" t="inlineStr">
        <is>
          <t>PV</t>
        </is>
      </c>
      <c r="J1124" s="27" t="inlineStr">
        <is>
          <t>Importe</t>
        </is>
      </c>
      <c r="L1124" s="28" t="inlineStr">
        <is>
          <t>Cant</t>
        </is>
      </c>
      <c r="M1124" s="28" t="inlineStr">
        <is>
          <t>PV</t>
        </is>
      </c>
      <c r="N1124" s="28" t="inlineStr">
        <is>
          <t>Importe</t>
        </is>
      </c>
      <c r="R1124" s="29" t="inlineStr">
        <is>
          <t>Pagado total: 495 €</t>
        </is>
      </c>
    </row>
    <row r="1125">
      <c r="A1125" s="30" t="inlineStr">
        <is>
          <t>P1 Potencia</t>
        </is>
      </c>
      <c r="B1125" s="31" t="n">
        <v>3.3</v>
      </c>
      <c r="C1125" s="32">
        <f>$N$1122-$L$1122+1</f>
        <v/>
      </c>
      <c r="D1125" s="33" t="n">
        <v>3.68919</v>
      </c>
      <c r="E1125" s="34" t="n">
        <v>3.85</v>
      </c>
      <c r="F1125" s="35">
        <f>ROUND(B1125*E1125,2)</f>
        <v/>
      </c>
      <c r="H1125" s="36" t="n">
        <v>3.3</v>
      </c>
      <c r="I1125" s="37" t="n">
        <v>3.85</v>
      </c>
      <c r="J1125" s="38">
        <f>ROUND(H1125*I1125,2)</f>
        <v/>
      </c>
      <c r="L1125" s="39" t="n">
        <v>3.3</v>
      </c>
      <c r="M1125" s="40" t="n">
        <v>3.85</v>
      </c>
      <c r="N1125" s="41">
        <f>ROUND(L1125*M1125,2)</f>
        <v/>
      </c>
      <c r="R1125" s="42" t="inlineStr">
        <is>
          <t>DIF: 174 €   ·   Margen hist.: 26.0%</t>
        </is>
      </c>
    </row>
    <row r="1126">
      <c r="A1126" s="30" t="inlineStr">
        <is>
          <t>P2 Potencia</t>
        </is>
      </c>
      <c r="B1126" s="31" t="n">
        <v>3.3</v>
      </c>
      <c r="C1126" s="32">
        <f>$N$1122-$L$1122+1</f>
        <v/>
      </c>
      <c r="D1126" s="33" t="n">
        <v>1.31928</v>
      </c>
      <c r="E1126" s="34" t="n">
        <v>1.33</v>
      </c>
      <c r="F1126" s="35">
        <f>ROUND(B1126*E1126,2)</f>
        <v/>
      </c>
      <c r="H1126" s="36" t="n">
        <v>3.3</v>
      </c>
      <c r="I1126" s="37" t="n">
        <v>1.33</v>
      </c>
      <c r="J1126" s="38">
        <f>ROUND(H1126*I1126,2)</f>
        <v/>
      </c>
      <c r="L1126" s="39" t="n">
        <v>3.3</v>
      </c>
      <c r="M1126" s="40" t="n">
        <v>1.33</v>
      </c>
      <c r="N1126" s="41">
        <f>ROUND(L1126*M1126,2)</f>
        <v/>
      </c>
      <c r="R1126" s="43" t="inlineStr">
        <is>
          <t>Mejor mes: 2023-11 · 54 € · margen 8%</t>
        </is>
      </c>
    </row>
    <row r="1127">
      <c r="A1127" s="30" t="inlineStr">
        <is>
          <t>P1 Energía</t>
        </is>
      </c>
      <c r="B1127" s="31">
        <f>IF($P$1127&lt;&gt;"",ROUND(AA1127*(($AB$1127/(1-$P$1127))-17.0940)/8.0985,2),IF('Resumen'!$D$3="OPTIMIZAR",ROUND(MAX(AA1127,MIN(AA1127*(($AB$1127/(1-'Resumen'!$F$3))-17.0940)/8.0985,AA1127*(32.5038)/8.0985)),3),AA1127))</f>
        <v/>
      </c>
      <c r="C1127" s="44" t="n"/>
      <c r="D1127" s="33" t="n">
        <v>0.111171</v>
      </c>
      <c r="E1127" s="34" t="n">
        <v>0.13788</v>
      </c>
      <c r="F1127" s="35">
        <f>ROUND(B1127*E1127,2)</f>
        <v/>
      </c>
      <c r="H1127" s="36" t="n">
        <v>19.923</v>
      </c>
      <c r="I1127" s="37" t="n">
        <v>0.13788</v>
      </c>
      <c r="J1127" s="38">
        <f>ROUND(H1127*I1127,2)</f>
        <v/>
      </c>
      <c r="L1127" s="39" t="n">
        <v>31.912</v>
      </c>
      <c r="M1127" s="40" t="n">
        <v>0.13788</v>
      </c>
      <c r="N1127" s="41">
        <f>ROUND(L1127*M1127,2)</f>
        <v/>
      </c>
      <c r="O1127" s="45" t="inlineStr">
        <is>
          <t>Margen objetivo (edita % aquí) ▶</t>
        </is>
      </c>
      <c r="P1127" s="5" t="n"/>
      <c r="R1127" s="43" t="inlineStr">
        <is>
          <t>Peor mes: 2024-11 · 42 € · margen 23%</t>
        </is>
      </c>
      <c r="AA1127" t="n">
        <v>22.41</v>
      </c>
      <c r="AB1127">
        <f>B1125*D1125+B1126*D1126+AA1127*D1127+AA1128*D1128+AA1129*D1129</f>
        <v/>
      </c>
    </row>
    <row r="1128">
      <c r="A1128" s="30" t="inlineStr">
        <is>
          <t>P2 Energía</t>
        </is>
      </c>
      <c r="B1128" s="31">
        <f>IF($P$1127&lt;&gt;"",ROUND(AA1128*(($AB$1127/(1-$P$1127))-17.0940)/8.0985,2),IF('Resumen'!$D$3="OPTIMIZAR",ROUND(MAX(AA1128,MIN(AA1128*(($AB$1127/(1-'Resumen'!$F$3))-17.0940)/8.0985,AA1128*(32.5038)/8.0985)),3),AA1128))</f>
        <v/>
      </c>
      <c r="C1128" s="44" t="n"/>
      <c r="D1128" s="33" t="n">
        <v>0.111171</v>
      </c>
      <c r="E1128" s="34" t="n">
        <v>0.13788</v>
      </c>
      <c r="F1128" s="35">
        <f>ROUND(B1128*E1128,2)</f>
        <v/>
      </c>
      <c r="H1128" s="36" t="n">
        <v>14.315</v>
      </c>
      <c r="I1128" s="37" t="n">
        <v>0.13788</v>
      </c>
      <c r="J1128" s="38">
        <f>ROUND(H1128*I1128,2)</f>
        <v/>
      </c>
      <c r="L1128" s="39" t="n">
        <v>16.468</v>
      </c>
      <c r="M1128" s="40" t="n">
        <v>0.13788</v>
      </c>
      <c r="N1128" s="41">
        <f>ROUND(L1128*M1128,2)</f>
        <v/>
      </c>
      <c r="O1128" s="46" t="inlineStr">
        <is>
          <t>Cant. P1/P2/P3 energía suben</t>
        </is>
      </c>
      <c r="R1128" s="43" t="inlineStr">
        <is>
          <t>Importe mensual cobrado (€) · 24 meses ▾</t>
        </is>
      </c>
      <c r="AA1128" t="n">
        <v>11.739</v>
      </c>
    </row>
    <row r="1129">
      <c r="A1129" s="30" t="inlineStr">
        <is>
          <t>P3 Energía</t>
        </is>
      </c>
      <c r="B1129" s="31">
        <f>IF($P$1127&lt;&gt;"",ROUND(AA1129*(($AB$1127/(1-$P$1127))-17.0940)/8.0985,2),IF('Resumen'!$D$3="OPTIMIZAR",ROUND(MAX(AA1129,MIN(AA1129*(($AB$1127/(1-'Resumen'!$F$3))-17.0940)/8.0985,AA1129*(32.5038)/8.0985)),3),AA1129))</f>
        <v/>
      </c>
      <c r="C1129" s="44" t="n"/>
      <c r="D1129" s="33" t="n">
        <v>0.111171</v>
      </c>
      <c r="E1129" s="34" t="n">
        <v>0.13788</v>
      </c>
      <c r="F1129" s="35">
        <f>ROUND(B1129*E1129,2)</f>
        <v/>
      </c>
      <c r="H1129" s="36" t="n">
        <v>26.446</v>
      </c>
      <c r="I1129" s="37" t="n">
        <v>0.13788</v>
      </c>
      <c r="J1129" s="38">
        <f>ROUND(H1129*I1129,2)</f>
        <v/>
      </c>
      <c r="L1129" s="39" t="n">
        <v>24.569</v>
      </c>
      <c r="M1129" s="40" t="n">
        <v>0.13788</v>
      </c>
      <c r="N1129" s="41">
        <f>ROUND(L1129*M1129,2)</f>
        <v/>
      </c>
      <c r="O1129" s="46" t="inlineStr">
        <is>
          <t>en proporción para ese margen</t>
        </is>
      </c>
      <c r="AA1129" t="n">
        <v>24.587</v>
      </c>
    </row>
    <row r="1130">
      <c r="A1130" s="30" t="inlineStr">
        <is>
          <t>Alquiler contador</t>
        </is>
      </c>
      <c r="B1130" s="31" t="n">
        <v>1</v>
      </c>
      <c r="C1130" s="32">
        <f>$N$1122-$L$1122+1</f>
        <v/>
      </c>
      <c r="D1130" s="33" t="n">
        <v>0.7989000000000001</v>
      </c>
      <c r="E1130" s="34" t="n">
        <v>3</v>
      </c>
      <c r="F1130" s="35">
        <f>ROUND(B1130*E1130,2)</f>
        <v/>
      </c>
      <c r="H1130" s="36" t="n">
        <v>1</v>
      </c>
      <c r="I1130" s="37" t="n">
        <v>3</v>
      </c>
      <c r="J1130" s="38">
        <f>ROUND(H1130*I1130,2)</f>
        <v/>
      </c>
      <c r="L1130" s="39" t="n">
        <v>1</v>
      </c>
      <c r="M1130" s="40" t="n">
        <v>3</v>
      </c>
      <c r="N1130" s="41">
        <f>ROUND(L1130*M1130,2)</f>
        <v/>
      </c>
    </row>
    <row r="1131">
      <c r="A1131" s="30" t="inlineStr">
        <is>
          <t>Bono social</t>
        </is>
      </c>
      <c r="B1131" s="31" t="n">
        <v>30</v>
      </c>
      <c r="C1131" s="32">
        <f>$N$1122-$L$1122+1</f>
        <v/>
      </c>
      <c r="D1131" s="33" t="n">
        <v>0.5736</v>
      </c>
      <c r="E1131" s="34" t="n">
        <v>0.01274</v>
      </c>
      <c r="F1131" s="35">
        <f>ROUND(B1131*E1131,2)</f>
        <v/>
      </c>
      <c r="H1131" s="36" t="n">
        <v>30</v>
      </c>
      <c r="I1131" s="37" t="n">
        <v>0.01274</v>
      </c>
      <c r="J1131" s="38">
        <f>ROUND(H1131*I1131,2)</f>
        <v/>
      </c>
      <c r="L1131" s="39" t="n">
        <v>30</v>
      </c>
      <c r="M1131" s="40" t="n">
        <v>0.00629</v>
      </c>
      <c r="N1131" s="41">
        <f>ROUND(L1131*M1131,2)</f>
        <v/>
      </c>
    </row>
    <row r="1132">
      <c r="A1132" s="30" t="inlineStr">
        <is>
          <t>Tasa eléctrica</t>
        </is>
      </c>
      <c r="B1132" s="31" t="n">
        <v>1.3</v>
      </c>
      <c r="C1132" s="44" t="n"/>
      <c r="D1132" s="33" t="n">
        <v>0.02671</v>
      </c>
      <c r="E1132" s="34" t="n">
        <v>1</v>
      </c>
      <c r="F1132" s="35">
        <f>ROUND(B1132*E1132,2)</f>
        <v/>
      </c>
      <c r="H1132" s="36" t="n">
        <v>1.31</v>
      </c>
      <c r="I1132" s="37" t="n">
        <v>1</v>
      </c>
      <c r="J1132" s="38">
        <f>ROUND(H1132*I1132,2)</f>
        <v/>
      </c>
      <c r="L1132" s="39" t="n">
        <v>1.4</v>
      </c>
      <c r="M1132" s="40" t="n">
        <v>1</v>
      </c>
      <c r="N1132" s="41">
        <f>ROUND(L1132*M1132,2)</f>
        <v/>
      </c>
    </row>
    <row r="1133">
      <c r="A1133" s="47" t="inlineStr">
        <is>
          <t>TOTAL c/IVA</t>
        </is>
      </c>
      <c r="F1133" s="48">
        <f>ROUND((SUM(F1125:F1132)-F1132)*1.1+F1132,2)</f>
        <v/>
      </c>
      <c r="J1133" s="49">
        <f>ROUND(SUM(J1125:J1132),2)</f>
        <v/>
      </c>
      <c r="N1133" s="50">
        <f>ROUND(SUM(N1125:N1132),2)</f>
        <v/>
      </c>
    </row>
    <row r="1134">
      <c r="A1134" s="19" t="inlineStr">
        <is>
          <t>MARGEN sin registrar</t>
        </is>
      </c>
      <c r="B1134" s="51">
        <f>IF((F1128+F1125+F1127+F1129+F1126)=0,"",((F1128+F1125+F1127+F1129+F1126)-$AB$1127)/(F1128+F1125+F1127+F1129+F1126))</f>
        <v/>
      </c>
      <c r="D1134" s="52">
        <f>IF(B1134="","SIN PC",IF(B1134&gt;=0.3,"APROBAR",IF(B1134&gt;=0.2,"REVISAR","RECHAZAR")))</f>
        <v/>
      </c>
      <c r="E1134" s="53" t="n"/>
      <c r="F1134" s="54" t="n"/>
      <c r="AD1134">
        <f>SUM(F1127:F1129)-8.0985</f>
        <v/>
      </c>
    </row>
    <row r="1136">
      <c r="A1136" s="15" t="inlineStr">
        <is>
          <t>Factura 8646 · C01860 · GUILLERMO CHOLBI SART</t>
        </is>
      </c>
      <c r="H1136" s="15" t="inlineStr">
        <is>
          <t>ES0021000001664631LA · Naturgy</t>
        </is>
      </c>
      <c r="L1136" s="16" t="n">
        <v>46113</v>
      </c>
      <c r="M1136" s="17" t="inlineStr">
        <is>
          <t>a</t>
        </is>
      </c>
      <c r="N1136" s="16" t="n">
        <v>46142</v>
      </c>
      <c r="R1136" s="18" t="inlineStr">
        <is>
          <t>HISTÓRICO DEL CUPS · HOJA TTVA LUZ</t>
        </is>
      </c>
    </row>
    <row r="1137">
      <c r="A1137" s="19" t="inlineStr">
        <is>
          <t>Concepto</t>
        </is>
      </c>
      <c r="B1137" s="20" t="inlineStr">
        <is>
          <t>PENDIENTE (sin registrar)</t>
        </is>
      </c>
      <c r="C1137" s="21" t="n"/>
      <c r="D1137" s="21" t="n"/>
      <c r="E1137" s="21" t="n"/>
      <c r="F1137" s="21" t="n"/>
      <c r="H1137" s="22" t="inlineStr">
        <is>
          <t>MES ANTERIOR · Fact.6397</t>
        </is>
      </c>
      <c r="I1137" s="23" t="n"/>
      <c r="J1137" s="23" t="n"/>
      <c r="L1137" s="24" t="inlineStr">
        <is>
          <t>AÑO ANTERIOR · Fact.4603</t>
        </is>
      </c>
      <c r="M1137" s="25" t="n"/>
      <c r="N1137" s="25" t="n"/>
      <c r="R1137" s="26" t="inlineStr">
        <is>
          <t>Cobrado total: 3.662 €</t>
        </is>
      </c>
    </row>
    <row r="1138">
      <c r="B1138" s="7" t="inlineStr">
        <is>
          <t>Cant</t>
        </is>
      </c>
      <c r="C1138" s="7" t="inlineStr">
        <is>
          <t>Días</t>
        </is>
      </c>
      <c r="D1138" s="7" t="inlineStr">
        <is>
          <t>PC real</t>
        </is>
      </c>
      <c r="E1138" s="7" t="inlineStr">
        <is>
          <t>PV</t>
        </is>
      </c>
      <c r="F1138" s="7" t="inlineStr">
        <is>
          <t>Importe</t>
        </is>
      </c>
      <c r="H1138" s="27" t="inlineStr">
        <is>
          <t>Cant</t>
        </is>
      </c>
      <c r="I1138" s="27" t="inlineStr">
        <is>
          <t>PV</t>
        </is>
      </c>
      <c r="J1138" s="27" t="inlineStr">
        <is>
          <t>Importe</t>
        </is>
      </c>
      <c r="L1138" s="28" t="inlineStr">
        <is>
          <t>Cant</t>
        </is>
      </c>
      <c r="M1138" s="28" t="inlineStr">
        <is>
          <t>PV</t>
        </is>
      </c>
      <c r="N1138" s="28" t="inlineStr">
        <is>
          <t>Importe</t>
        </is>
      </c>
      <c r="R1138" s="29" t="inlineStr">
        <is>
          <t>Pagado total: 3.169 €</t>
        </is>
      </c>
    </row>
    <row r="1139">
      <c r="A1139" s="30" t="inlineStr">
        <is>
          <t>P1 Potencia</t>
        </is>
      </c>
      <c r="B1139" s="31" t="n">
        <v>8.800000000000001</v>
      </c>
      <c r="C1139" s="32">
        <f>$N$1136-$L$1136+1</f>
        <v/>
      </c>
      <c r="D1139" s="33" t="n">
        <v>3.68919</v>
      </c>
      <c r="E1139" s="34" t="n">
        <v>3.85</v>
      </c>
      <c r="F1139" s="35">
        <f>ROUND(B1139*E1139,2)</f>
        <v/>
      </c>
      <c r="H1139" s="36" t="n">
        <v>8.800000000000001</v>
      </c>
      <c r="I1139" s="37" t="n">
        <v>3.85</v>
      </c>
      <c r="J1139" s="38">
        <f>ROUND(H1139*I1139,2)</f>
        <v/>
      </c>
      <c r="L1139" s="39" t="n">
        <v>8.800000000000001</v>
      </c>
      <c r="M1139" s="40" t="n">
        <v>3.85</v>
      </c>
      <c r="N1139" s="41">
        <f>ROUND(L1139*M1139,2)</f>
        <v/>
      </c>
      <c r="R1139" s="42" t="inlineStr">
        <is>
          <t>DIF: 492 €   ·   Margen hist.: 13.5%</t>
        </is>
      </c>
    </row>
    <row r="1140">
      <c r="A1140" s="30" t="inlineStr">
        <is>
          <t>P2 Potencia</t>
        </is>
      </c>
      <c r="B1140" s="31" t="n">
        <v>8.800000000000001</v>
      </c>
      <c r="C1140" s="32">
        <f>$N$1136-$L$1136+1</f>
        <v/>
      </c>
      <c r="D1140" s="33" t="n">
        <v>1.31928</v>
      </c>
      <c r="E1140" s="34" t="n">
        <v>1.33</v>
      </c>
      <c r="F1140" s="35">
        <f>ROUND(B1140*E1140,2)</f>
        <v/>
      </c>
      <c r="H1140" s="36" t="n">
        <v>8.800000000000001</v>
      </c>
      <c r="I1140" s="37" t="n">
        <v>1.33</v>
      </c>
      <c r="J1140" s="38">
        <f>ROUND(H1140*I1140,2)</f>
        <v/>
      </c>
      <c r="L1140" s="39" t="n">
        <v>8.800000000000001</v>
      </c>
      <c r="M1140" s="40" t="n">
        <v>1.33</v>
      </c>
      <c r="N1140" s="41">
        <f>ROUND(L1140*M1140,2)</f>
        <v/>
      </c>
      <c r="R1140" s="43" t="inlineStr">
        <is>
          <t>Mejor mes: 2024-03 · 458 € · margen 25%</t>
        </is>
      </c>
    </row>
    <row r="1141">
      <c r="A1141" s="30" t="inlineStr">
        <is>
          <t>P1 Energía</t>
        </is>
      </c>
      <c r="B1141" s="31">
        <f>IF($P$1141&lt;&gt;"",ROUND(AA1141*(($AB$1141/(1-$P$1141))-45.5840)/185.6340,2),IF('Resumen'!$D$3="OPTIMIZAR",ROUND(MAX(AA1141,MIN(AA1141*(($AB$1141/(1-'Resumen'!$F$3))-45.5840)/185.6340,AA1141*(397.6238)/185.6340)),3),AA1141))</f>
        <v/>
      </c>
      <c r="C1141" s="44" t="n"/>
      <c r="D1141" s="33" t="n">
        <v>0.111171</v>
      </c>
      <c r="E1141" s="34" t="n">
        <v>0.13788</v>
      </c>
      <c r="F1141" s="35">
        <f>ROUND(B1141*E1141,2)</f>
        <v/>
      </c>
      <c r="H1141" s="36" t="n">
        <v>526.221</v>
      </c>
      <c r="I1141" s="37" t="n">
        <v>0.13788</v>
      </c>
      <c r="J1141" s="38">
        <f>ROUND(H1141*I1141,2)</f>
        <v/>
      </c>
      <c r="L1141" s="39" t="n">
        <v>294.289</v>
      </c>
      <c r="M1141" s="40" t="n">
        <v>0.13788</v>
      </c>
      <c r="N1141" s="41">
        <f>ROUND(L1141*M1141,2)</f>
        <v/>
      </c>
      <c r="O1141" s="45" t="inlineStr">
        <is>
          <t>Margen objetivo (edita % aquí) ▶</t>
        </is>
      </c>
      <c r="P1141" s="5" t="n"/>
      <c r="R1141" s="43" t="inlineStr">
        <is>
          <t>Peor mes: 2023-12 · 125 € · margen 42%</t>
        </is>
      </c>
      <c r="AA1141" t="n">
        <v>334.871</v>
      </c>
      <c r="AB1141">
        <f>B1139*D1139+B1140*D1140+AA1141*D1141+AA1142*D1142+AA1143*D1143</f>
        <v/>
      </c>
    </row>
    <row r="1142">
      <c r="A1142" s="30" t="inlineStr">
        <is>
          <t>P2 Energía</t>
        </is>
      </c>
      <c r="B1142" s="31">
        <f>IF($P$1141&lt;&gt;"",ROUND(AA1142*(($AB$1141/(1-$P$1141))-45.5840)/185.6340,2),IF('Resumen'!$D$3="OPTIMIZAR",ROUND(MAX(AA1142,MIN(AA1142*(($AB$1141/(1-'Resumen'!$F$3))-45.5840)/185.6340,AA1142*(397.6238)/185.6340)),3),AA1142))</f>
        <v/>
      </c>
      <c r="C1142" s="44" t="n"/>
      <c r="D1142" s="33" t="n">
        <v>0.111171</v>
      </c>
      <c r="E1142" s="34" t="n">
        <v>0.13788</v>
      </c>
      <c r="F1142" s="35">
        <f>ROUND(B1142*E1142,2)</f>
        <v/>
      </c>
      <c r="H1142" s="36" t="n">
        <v>556.114</v>
      </c>
      <c r="I1142" s="37" t="n">
        <v>0.13788</v>
      </c>
      <c r="J1142" s="38">
        <f>ROUND(H1142*I1142,2)</f>
        <v/>
      </c>
      <c r="L1142" s="39" t="n">
        <v>356.427</v>
      </c>
      <c r="M1142" s="40" t="n">
        <v>0.13788</v>
      </c>
      <c r="N1142" s="41">
        <f>ROUND(L1142*M1142,2)</f>
        <v/>
      </c>
      <c r="O1142" s="46" t="inlineStr">
        <is>
          <t>Cant. P1/P2/P3 energía suben</t>
        </is>
      </c>
      <c r="R1142" s="43" t="inlineStr">
        <is>
          <t>Importe mensual cobrado (€) · 24 meses ▾</t>
        </is>
      </c>
      <c r="AA1142" t="n">
        <v>313.035</v>
      </c>
    </row>
    <row r="1143">
      <c r="A1143" s="30" t="inlineStr">
        <is>
          <t>P3 Energía</t>
        </is>
      </c>
      <c r="B1143" s="31">
        <f>IF($P$1141&lt;&gt;"",ROUND(AA1143*(($AB$1141/(1-$P$1141))-45.5840)/185.6340,2),IF('Resumen'!$D$3="OPTIMIZAR",ROUND(MAX(AA1143,MIN(AA1143*(($AB$1141/(1-'Resumen'!$F$3))-45.5840)/185.6340,AA1143*(397.6238)/185.6340)),3),AA1143))</f>
        <v/>
      </c>
      <c r="C1143" s="44" t="n"/>
      <c r="D1143" s="33" t="n">
        <v>0.111171</v>
      </c>
      <c r="E1143" s="34" t="n">
        <v>0.13788</v>
      </c>
      <c r="F1143" s="35">
        <f>ROUND(B1143*E1143,2)</f>
        <v/>
      </c>
      <c r="H1143" s="36" t="n">
        <v>1161.64</v>
      </c>
      <c r="I1143" s="37" t="n">
        <v>0.13788</v>
      </c>
      <c r="J1143" s="38">
        <f>ROUND(H1143*I1143,2)</f>
        <v/>
      </c>
      <c r="L1143" s="39" t="n">
        <v>764.901</v>
      </c>
      <c r="M1143" s="40" t="n">
        <v>0.13788</v>
      </c>
      <c r="N1143" s="41">
        <f>ROUND(L1143*M1143,2)</f>
        <v/>
      </c>
      <c r="O1143" s="46" t="inlineStr">
        <is>
          <t>en proporción para ese margen</t>
        </is>
      </c>
      <c r="AA1143" t="n">
        <v>698.439</v>
      </c>
    </row>
    <row r="1144">
      <c r="A1144" s="30" t="inlineStr">
        <is>
          <t>Alquiler contador</t>
        </is>
      </c>
      <c r="B1144" s="31" t="n">
        <v>1</v>
      </c>
      <c r="C1144" s="32">
        <f>$N$1136-$L$1136+1</f>
        <v/>
      </c>
      <c r="D1144" s="33" t="n">
        <v>0.7989000000000001</v>
      </c>
      <c r="E1144" s="34" t="n">
        <v>3</v>
      </c>
      <c r="F1144" s="35">
        <f>ROUND(B1144*E1144,2)</f>
        <v/>
      </c>
      <c r="H1144" s="36" t="n">
        <v>1</v>
      </c>
      <c r="I1144" s="37" t="n">
        <v>3</v>
      </c>
      <c r="J1144" s="38">
        <f>ROUND(H1144*I1144,2)</f>
        <v/>
      </c>
      <c r="L1144" s="39" t="n">
        <v>1</v>
      </c>
      <c r="M1144" s="40" t="n">
        <v>3</v>
      </c>
      <c r="N1144" s="41">
        <f>ROUND(L1144*M1144,2)</f>
        <v/>
      </c>
    </row>
    <row r="1145">
      <c r="A1145" s="30" t="inlineStr">
        <is>
          <t>Bono social</t>
        </is>
      </c>
      <c r="B1145" s="31" t="n">
        <v>30</v>
      </c>
      <c r="C1145" s="32">
        <f>$N$1136-$L$1136+1</f>
        <v/>
      </c>
      <c r="D1145" s="33" t="n">
        <v>0.5736</v>
      </c>
      <c r="E1145" s="34" t="n">
        <v>0.01274</v>
      </c>
      <c r="F1145" s="35">
        <f>ROUND(B1145*E1145,2)</f>
        <v/>
      </c>
      <c r="H1145" s="36" t="n">
        <v>30</v>
      </c>
      <c r="I1145" s="37" t="n">
        <v>0.01274</v>
      </c>
      <c r="J1145" s="38">
        <f>ROUND(H1145*I1145,2)</f>
        <v/>
      </c>
      <c r="L1145" s="39" t="n">
        <v>30</v>
      </c>
      <c r="M1145" s="40" t="n">
        <v>0.00629</v>
      </c>
      <c r="N1145" s="41">
        <f>ROUND(L1145*M1145,2)</f>
        <v/>
      </c>
    </row>
    <row r="1146">
      <c r="A1146" s="30" t="inlineStr">
        <is>
          <t>Tasa eléctrica</t>
        </is>
      </c>
      <c r="B1146" s="31" t="n">
        <v>11.82</v>
      </c>
      <c r="C1146" s="44" t="n"/>
      <c r="D1146" s="33" t="n">
        <v>0.27312</v>
      </c>
      <c r="E1146" s="34" t="n">
        <v>1</v>
      </c>
      <c r="F1146" s="35">
        <f>ROUND(B1146*E1146,2)</f>
        <v/>
      </c>
      <c r="H1146" s="36" t="n">
        <v>18.15</v>
      </c>
      <c r="I1146" s="37" t="n">
        <v>1</v>
      </c>
      <c r="J1146" s="38">
        <f>ROUND(H1146*I1146,2)</f>
        <v/>
      </c>
      <c r="L1146" s="39" t="n">
        <v>12.31</v>
      </c>
      <c r="M1146" s="40" t="n">
        <v>1</v>
      </c>
      <c r="N1146" s="41">
        <f>ROUND(L1146*M1146,2)</f>
        <v/>
      </c>
    </row>
    <row r="1147">
      <c r="A1147" s="47" t="inlineStr">
        <is>
          <t>TOTAL c/IVA</t>
        </is>
      </c>
      <c r="F1147" s="48">
        <f>ROUND((SUM(F1139:F1146)-F1146)*1.1+F1146,2)</f>
        <v/>
      </c>
      <c r="J1147" s="49">
        <f>ROUND(SUM(J1139:J1146),2)</f>
        <v/>
      </c>
      <c r="N1147" s="50">
        <f>ROUND(SUM(N1139:N1146),2)</f>
        <v/>
      </c>
    </row>
    <row r="1148">
      <c r="A1148" s="19" t="inlineStr">
        <is>
          <t>MARGEN sin registrar</t>
        </is>
      </c>
      <c r="B1148" s="51">
        <f>IF((F1142+F1139+F1141+F1143+F1140)=0,"",((F1142+F1139+F1141+F1143+F1140)-$AB$1141)/(F1142+F1139+F1141+F1143+F1140))</f>
        <v/>
      </c>
      <c r="D1148" s="52">
        <f>IF(B1148="","SIN PC",IF(B1148&gt;=0.3,"APROBAR",IF(B1148&gt;=0.2,"REVISAR","RECHAZAR")))</f>
        <v/>
      </c>
      <c r="E1148" s="53" t="n"/>
      <c r="F1148" s="54" t="n"/>
      <c r="AD1148">
        <f>SUM(F1141:F1143)-185.6340</f>
        <v/>
      </c>
    </row>
    <row r="1150">
      <c r="A1150" s="15" t="inlineStr">
        <is>
          <t>Factura 8647 · C01870 · GUILLERMO CHOLBI SART</t>
        </is>
      </c>
      <c r="H1150" s="15" t="inlineStr">
        <is>
          <t>ES0021000001150884SF · Naturgy</t>
        </is>
      </c>
      <c r="L1150" s="16" t="n">
        <v>46113</v>
      </c>
      <c r="M1150" s="17" t="inlineStr">
        <is>
          <t>a</t>
        </is>
      </c>
      <c r="N1150" s="16" t="n">
        <v>46142</v>
      </c>
      <c r="R1150" s="18" t="inlineStr">
        <is>
          <t>HISTÓRICO DEL CUPS · HOJA TTVA LUZ</t>
        </is>
      </c>
    </row>
    <row r="1151">
      <c r="A1151" s="19" t="inlineStr">
        <is>
          <t>Concepto</t>
        </is>
      </c>
      <c r="B1151" s="20" t="inlineStr">
        <is>
          <t>PENDIENTE (sin registrar)</t>
        </is>
      </c>
      <c r="C1151" s="21" t="n"/>
      <c r="D1151" s="21" t="n"/>
      <c r="E1151" s="21" t="n"/>
      <c r="F1151" s="21" t="n"/>
      <c r="H1151" s="22" t="inlineStr">
        <is>
          <t>MES ANTERIOR · Fact.6396</t>
        </is>
      </c>
      <c r="I1151" s="23" t="n"/>
      <c r="J1151" s="23" t="n"/>
      <c r="L1151" s="24" t="inlineStr">
        <is>
          <t>AÑO ANTERIOR · Fact.4602</t>
        </is>
      </c>
      <c r="M1151" s="25" t="n"/>
      <c r="N1151" s="25" t="n"/>
      <c r="R1151" s="26" t="inlineStr">
        <is>
          <t>Cobrado total: 1.402 €</t>
        </is>
      </c>
    </row>
    <row r="1152">
      <c r="B1152" s="7" t="inlineStr">
        <is>
          <t>Cant</t>
        </is>
      </c>
      <c r="C1152" s="7" t="inlineStr">
        <is>
          <t>Días</t>
        </is>
      </c>
      <c r="D1152" s="7" t="inlineStr">
        <is>
          <t>PC real</t>
        </is>
      </c>
      <c r="E1152" s="7" t="inlineStr">
        <is>
          <t>PV</t>
        </is>
      </c>
      <c r="F1152" s="7" t="inlineStr">
        <is>
          <t>Importe</t>
        </is>
      </c>
      <c r="H1152" s="27" t="inlineStr">
        <is>
          <t>Cant</t>
        </is>
      </c>
      <c r="I1152" s="27" t="inlineStr">
        <is>
          <t>PV</t>
        </is>
      </c>
      <c r="J1152" s="27" t="inlineStr">
        <is>
          <t>Importe</t>
        </is>
      </c>
      <c r="L1152" s="28" t="inlineStr">
        <is>
          <t>Cant</t>
        </is>
      </c>
      <c r="M1152" s="28" t="inlineStr">
        <is>
          <t>PV</t>
        </is>
      </c>
      <c r="N1152" s="28" t="inlineStr">
        <is>
          <t>Importe</t>
        </is>
      </c>
      <c r="R1152" s="29" t="inlineStr">
        <is>
          <t>Pagado total: 1.128 €</t>
        </is>
      </c>
    </row>
    <row r="1153">
      <c r="A1153" s="30" t="inlineStr">
        <is>
          <t>P1 Potencia</t>
        </is>
      </c>
      <c r="B1153" s="31" t="n">
        <v>5</v>
      </c>
      <c r="C1153" s="32">
        <f>$N$1150-$L$1150+1</f>
        <v/>
      </c>
      <c r="D1153" s="33" t="n">
        <v>3.68919</v>
      </c>
      <c r="E1153" s="34" t="n">
        <v>3.85</v>
      </c>
      <c r="F1153" s="35">
        <f>ROUND(B1153*E1153,2)</f>
        <v/>
      </c>
      <c r="H1153" s="36" t="n">
        <v>5</v>
      </c>
      <c r="I1153" s="37" t="n">
        <v>3.85</v>
      </c>
      <c r="J1153" s="38">
        <f>ROUND(H1153*I1153,2)</f>
        <v/>
      </c>
      <c r="L1153" s="39" t="n">
        <v>5</v>
      </c>
      <c r="M1153" s="40" t="n">
        <v>3.85</v>
      </c>
      <c r="N1153" s="41">
        <f>ROUND(L1153*M1153,2)</f>
        <v/>
      </c>
      <c r="R1153" s="42" t="inlineStr">
        <is>
          <t>DIF: 274 €   ·   Margen hist.: 19.5%</t>
        </is>
      </c>
    </row>
    <row r="1154">
      <c r="A1154" s="30" t="inlineStr">
        <is>
          <t>P2 Potencia</t>
        </is>
      </c>
      <c r="B1154" s="31" t="n">
        <v>5</v>
      </c>
      <c r="C1154" s="32">
        <f>$N$1150-$L$1150+1</f>
        <v/>
      </c>
      <c r="D1154" s="33" t="n">
        <v>1.31928</v>
      </c>
      <c r="E1154" s="34" t="n">
        <v>1.33</v>
      </c>
      <c r="F1154" s="35">
        <f>ROUND(B1154*E1154,2)</f>
        <v/>
      </c>
      <c r="H1154" s="36" t="n">
        <v>5</v>
      </c>
      <c r="I1154" s="37" t="n">
        <v>1.33</v>
      </c>
      <c r="J1154" s="38">
        <f>ROUND(H1154*I1154,2)</f>
        <v/>
      </c>
      <c r="L1154" s="39" t="n">
        <v>5</v>
      </c>
      <c r="M1154" s="40" t="n">
        <v>1.33</v>
      </c>
      <c r="N1154" s="41">
        <f>ROUND(L1154*M1154,2)</f>
        <v/>
      </c>
      <c r="R1154" s="43" t="inlineStr">
        <is>
          <t>Mejor mes: 2024-12 · 142 € · margen 16%</t>
        </is>
      </c>
    </row>
    <row r="1155">
      <c r="A1155" s="30" t="inlineStr">
        <is>
          <t>P1 Energía</t>
        </is>
      </c>
      <c r="B1155" s="31">
        <f>IF($P$1155&lt;&gt;"",ROUND(AA1155*(($AB$1155/(1-$P$1155))-25.9000)/34.3931,2),IF('Resumen'!$D$3="OPTIMIZAR",ROUND(MAX(AA1155,MIN(AA1155*(($AB$1155/(1-'Resumen'!$F$3))-25.9000)/34.3931,AA1155*(109.6478)/34.3931)),3),AA1155))</f>
        <v/>
      </c>
      <c r="C1155" s="44" t="n"/>
      <c r="D1155" s="33" t="n">
        <v>0.111171</v>
      </c>
      <c r="E1155" s="34" t="n">
        <v>0.13788</v>
      </c>
      <c r="F1155" s="35">
        <f>ROUND(B1155*E1155,2)</f>
        <v/>
      </c>
      <c r="H1155" s="36" t="n">
        <v>189.172</v>
      </c>
      <c r="I1155" s="37" t="n">
        <v>0.13788</v>
      </c>
      <c r="J1155" s="38">
        <f>ROUND(H1155*I1155,2)</f>
        <v/>
      </c>
      <c r="L1155" s="39" t="n">
        <v>96.81</v>
      </c>
      <c r="M1155" s="40" t="n">
        <v>0.13788</v>
      </c>
      <c r="N1155" s="41">
        <f>ROUND(L1155*M1155,2)</f>
        <v/>
      </c>
      <c r="O1155" s="45" t="inlineStr">
        <is>
          <t>Margen objetivo (edita % aquí) ▶</t>
        </is>
      </c>
      <c r="P1155" s="5" t="n"/>
      <c r="R1155" s="43" t="inlineStr">
        <is>
          <t>Peor mes: 2024-09 · 49 € · margen 24%</t>
        </is>
      </c>
      <c r="AA1155" t="n">
        <v>85.06100000000001</v>
      </c>
      <c r="AB1155">
        <f>B1153*D1153+B1154*D1154+AA1155*D1155+AA1156*D1156+AA1157*D1157</f>
        <v/>
      </c>
    </row>
    <row r="1156">
      <c r="A1156" s="30" t="inlineStr">
        <is>
          <t>P2 Energía</t>
        </is>
      </c>
      <c r="B1156" s="31">
        <f>IF($P$1155&lt;&gt;"",ROUND(AA1156*(($AB$1155/(1-$P$1155))-25.9000)/34.3931,2),IF('Resumen'!$D$3="OPTIMIZAR",ROUND(MAX(AA1156,MIN(AA1156*(($AB$1155/(1-'Resumen'!$F$3))-25.9000)/34.3931,AA1156*(109.6478)/34.3931)),3),AA1156))</f>
        <v/>
      </c>
      <c r="C1156" s="44" t="n"/>
      <c r="D1156" s="33" t="n">
        <v>0.111171</v>
      </c>
      <c r="E1156" s="34" t="n">
        <v>0.13788</v>
      </c>
      <c r="F1156" s="35">
        <f>ROUND(B1156*E1156,2)</f>
        <v/>
      </c>
      <c r="H1156" s="36" t="n">
        <v>152.436</v>
      </c>
      <c r="I1156" s="37" t="n">
        <v>0.13788</v>
      </c>
      <c r="J1156" s="38">
        <f>ROUND(H1156*I1156,2)</f>
        <v/>
      </c>
      <c r="L1156" s="39" t="n">
        <v>85.76000000000001</v>
      </c>
      <c r="M1156" s="40" t="n">
        <v>0.13788</v>
      </c>
      <c r="N1156" s="41">
        <f>ROUND(L1156*M1156,2)</f>
        <v/>
      </c>
      <c r="O1156" s="46" t="inlineStr">
        <is>
          <t>Cant. P1/P2/P3 energía suben</t>
        </is>
      </c>
      <c r="R1156" s="43" t="inlineStr">
        <is>
          <t>Importe mensual cobrado (€) · 24 meses ▾</t>
        </is>
      </c>
      <c r="AA1156" t="n">
        <v>62.424</v>
      </c>
    </row>
    <row r="1157">
      <c r="A1157" s="30" t="inlineStr">
        <is>
          <t>P3 Energía</t>
        </is>
      </c>
      <c r="B1157" s="31">
        <f>IF($P$1155&lt;&gt;"",ROUND(AA1157*(($AB$1155/(1-$P$1155))-25.9000)/34.3931,2),IF('Resumen'!$D$3="OPTIMIZAR",ROUND(MAX(AA1157,MIN(AA1157*(($AB$1155/(1-'Resumen'!$F$3))-25.9000)/34.3931,AA1157*(109.6478)/34.3931)),3),AA1157))</f>
        <v/>
      </c>
      <c r="C1157" s="44" t="n"/>
      <c r="D1157" s="33" t="n">
        <v>0.111171</v>
      </c>
      <c r="E1157" s="34" t="n">
        <v>0.13788</v>
      </c>
      <c r="F1157" s="35">
        <f>ROUND(B1157*E1157,2)</f>
        <v/>
      </c>
      <c r="H1157" s="36" t="n">
        <v>214.461</v>
      </c>
      <c r="I1157" s="37" t="n">
        <v>0.13788</v>
      </c>
      <c r="J1157" s="38">
        <f>ROUND(H1157*I1157,2)</f>
        <v/>
      </c>
      <c r="L1157" s="39" t="n">
        <v>133.277</v>
      </c>
      <c r="M1157" s="40" t="n">
        <v>0.13788</v>
      </c>
      <c r="N1157" s="41">
        <f>ROUND(L1157*M1157,2)</f>
        <v/>
      </c>
      <c r="O1157" s="46" t="inlineStr">
        <is>
          <t>en proporción para ese margen</t>
        </is>
      </c>
      <c r="AA1157" t="n">
        <v>101.957</v>
      </c>
    </row>
    <row r="1158">
      <c r="A1158" s="30" t="inlineStr">
        <is>
          <t>Alquiler contador</t>
        </is>
      </c>
      <c r="B1158" s="31" t="n">
        <v>1</v>
      </c>
      <c r="C1158" s="32">
        <f>$N$1150-$L$1150+1</f>
        <v/>
      </c>
      <c r="D1158" s="33" t="n">
        <v>0.7989000000000001</v>
      </c>
      <c r="E1158" s="34" t="n">
        <v>3</v>
      </c>
      <c r="F1158" s="35">
        <f>ROUND(B1158*E1158,2)</f>
        <v/>
      </c>
      <c r="H1158" s="36" t="n">
        <v>1</v>
      </c>
      <c r="I1158" s="37" t="n">
        <v>3</v>
      </c>
      <c r="J1158" s="38">
        <f>ROUND(H1158*I1158,2)</f>
        <v/>
      </c>
      <c r="L1158" s="39" t="n">
        <v>1</v>
      </c>
      <c r="M1158" s="40" t="n">
        <v>3</v>
      </c>
      <c r="N1158" s="41">
        <f>ROUND(L1158*M1158,2)</f>
        <v/>
      </c>
    </row>
    <row r="1159">
      <c r="A1159" s="30" t="inlineStr">
        <is>
          <t>Bono social</t>
        </is>
      </c>
      <c r="B1159" s="31" t="n">
        <v>30</v>
      </c>
      <c r="C1159" s="32">
        <f>$N$1150-$L$1150+1</f>
        <v/>
      </c>
      <c r="D1159" s="33" t="n">
        <v>0.5736</v>
      </c>
      <c r="E1159" s="34" t="n">
        <v>0.01274</v>
      </c>
      <c r="F1159" s="35">
        <f>ROUND(B1159*E1159,2)</f>
        <v/>
      </c>
      <c r="H1159" s="36" t="n">
        <v>30</v>
      </c>
      <c r="I1159" s="37" t="n">
        <v>0.01274</v>
      </c>
      <c r="J1159" s="38">
        <f>ROUND(H1159*I1159,2)</f>
        <v/>
      </c>
      <c r="L1159" s="39" t="n">
        <v>30</v>
      </c>
      <c r="M1159" s="40" t="n">
        <v>0.00629</v>
      </c>
      <c r="N1159" s="41">
        <f>ROUND(L1159*M1159,2)</f>
        <v/>
      </c>
    </row>
    <row r="1160">
      <c r="A1160" s="30" t="inlineStr">
        <is>
          <t>Tasa eléctrica</t>
        </is>
      </c>
      <c r="B1160" s="31" t="n">
        <v>3.09</v>
      </c>
      <c r="C1160" s="44" t="n"/>
      <c r="D1160" s="33" t="n">
        <v>0.27312</v>
      </c>
      <c r="E1160" s="34" t="n">
        <v>1</v>
      </c>
      <c r="F1160" s="35">
        <f>ROUND(B1160*E1160,2)</f>
        <v/>
      </c>
      <c r="H1160" s="36" t="n">
        <v>5.25</v>
      </c>
      <c r="I1160" s="37" t="n">
        <v>1</v>
      </c>
      <c r="J1160" s="38">
        <f>ROUND(H1160*I1160,2)</f>
        <v/>
      </c>
      <c r="L1160" s="39" t="n">
        <v>3.56</v>
      </c>
      <c r="M1160" s="40" t="n">
        <v>1</v>
      </c>
      <c r="N1160" s="41">
        <f>ROUND(L1160*M1160,2)</f>
        <v/>
      </c>
    </row>
    <row r="1161">
      <c r="A1161" s="47" t="inlineStr">
        <is>
          <t>TOTAL c/IVA</t>
        </is>
      </c>
      <c r="F1161" s="48">
        <f>ROUND((SUM(F1153:F1160)-F1160)*1.1+F1160,2)</f>
        <v/>
      </c>
      <c r="J1161" s="49">
        <f>ROUND(SUM(J1153:J1160),2)</f>
        <v/>
      </c>
      <c r="N1161" s="50">
        <f>ROUND(SUM(N1153:N1160),2)</f>
        <v/>
      </c>
    </row>
    <row r="1162">
      <c r="A1162" s="19" t="inlineStr">
        <is>
          <t>MARGEN sin registrar</t>
        </is>
      </c>
      <c r="B1162" s="51">
        <f>IF((F1156+F1153+F1155+F1157+F1154)=0,"",((F1156+F1153+F1155+F1157+F1154)-$AB$1155)/(F1156+F1153+F1155+F1157+F1154))</f>
        <v/>
      </c>
      <c r="D1162" s="52">
        <f>IF(B1162="","SIN PC",IF(B1162&gt;=0.3,"APROBAR",IF(B1162&gt;=0.2,"REVISAR","RECHAZAR")))</f>
        <v/>
      </c>
      <c r="E1162" s="53" t="n"/>
      <c r="F1162" s="54" t="n"/>
      <c r="AD1162">
        <f>SUM(F1155:F1157)-34.3931</f>
        <v/>
      </c>
    </row>
    <row r="1164">
      <c r="A1164" s="15" t="inlineStr">
        <is>
          <t>Factura 8648 · C01880 · ALEJANDRO BOX CANDELA</t>
        </is>
      </c>
      <c r="H1164" s="15" t="inlineStr">
        <is>
          <t>ES0021000001216036LT · Naturgy</t>
        </is>
      </c>
      <c r="L1164" s="16" t="n">
        <v>46113</v>
      </c>
      <c r="M1164" s="17" t="inlineStr">
        <is>
          <t>a</t>
        </is>
      </c>
      <c r="N1164" s="16" t="n">
        <v>46142</v>
      </c>
      <c r="R1164" s="18" t="inlineStr">
        <is>
          <t>HISTÓRICO DEL CUPS · HOJA TTVA LUZ</t>
        </is>
      </c>
    </row>
    <row r="1165">
      <c r="A1165" s="19" t="inlineStr">
        <is>
          <t>Concepto</t>
        </is>
      </c>
      <c r="B1165" s="20" t="inlineStr">
        <is>
          <t>PENDIENTE (sin registrar)</t>
        </is>
      </c>
      <c r="C1165" s="21" t="n"/>
      <c r="D1165" s="21" t="n"/>
      <c r="E1165" s="21" t="n"/>
      <c r="F1165" s="21" t="n"/>
      <c r="H1165" s="22" t="inlineStr">
        <is>
          <t>MES ANTERIOR · Fact.6395</t>
        </is>
      </c>
      <c r="I1165" s="23" t="n"/>
      <c r="J1165" s="23" t="n"/>
      <c r="L1165" s="24" t="inlineStr">
        <is>
          <t>AÑO ANTERIOR · Fact.4601</t>
        </is>
      </c>
      <c r="M1165" s="25" t="n"/>
      <c r="N1165" s="25" t="n"/>
      <c r="R1165" s="26" t="inlineStr">
        <is>
          <t>Cobrado total: 1.365 €</t>
        </is>
      </c>
    </row>
    <row r="1166">
      <c r="B1166" s="7" t="inlineStr">
        <is>
          <t>Cant</t>
        </is>
      </c>
      <c r="C1166" s="7" t="inlineStr">
        <is>
          <t>Días</t>
        </is>
      </c>
      <c r="D1166" s="7" t="inlineStr">
        <is>
          <t>PC real</t>
        </is>
      </c>
      <c r="E1166" s="7" t="inlineStr">
        <is>
          <t>PV</t>
        </is>
      </c>
      <c r="F1166" s="7" t="inlineStr">
        <is>
          <t>Importe</t>
        </is>
      </c>
      <c r="H1166" s="27" t="inlineStr">
        <is>
          <t>Cant</t>
        </is>
      </c>
      <c r="I1166" s="27" t="inlineStr">
        <is>
          <t>PV</t>
        </is>
      </c>
      <c r="J1166" s="27" t="inlineStr">
        <is>
          <t>Importe</t>
        </is>
      </c>
      <c r="L1166" s="28" t="inlineStr">
        <is>
          <t>Cant</t>
        </is>
      </c>
      <c r="M1166" s="28" t="inlineStr">
        <is>
          <t>PV</t>
        </is>
      </c>
      <c r="N1166" s="28" t="inlineStr">
        <is>
          <t>Importe</t>
        </is>
      </c>
      <c r="R1166" s="29" t="inlineStr">
        <is>
          <t>Pagado total: 1.033 €</t>
        </is>
      </c>
    </row>
    <row r="1167">
      <c r="A1167" s="30" t="inlineStr">
        <is>
          <t>P1 Potencia</t>
        </is>
      </c>
      <c r="B1167" s="31" t="n">
        <v>5.75</v>
      </c>
      <c r="C1167" s="32">
        <f>$N$1164-$L$1164+1</f>
        <v/>
      </c>
      <c r="D1167" s="33" t="n">
        <v>3.4086</v>
      </c>
      <c r="E1167" s="34" t="n">
        <v>3.85</v>
      </c>
      <c r="F1167" s="35">
        <f>ROUND(B1167*E1167,2)</f>
        <v/>
      </c>
      <c r="H1167" s="36" t="n">
        <v>5.75</v>
      </c>
      <c r="I1167" s="37" t="n">
        <v>3.85</v>
      </c>
      <c r="J1167" s="38">
        <f>ROUND(H1167*I1167,2)</f>
        <v/>
      </c>
      <c r="L1167" s="39" t="n">
        <v>5.75</v>
      </c>
      <c r="M1167" s="40" t="n">
        <v>3.85</v>
      </c>
      <c r="N1167" s="41">
        <f>ROUND(L1167*M1167,2)</f>
        <v/>
      </c>
      <c r="R1167" s="42" t="inlineStr">
        <is>
          <t>DIF: 332 €   ·   Margen hist.: 24.3%</t>
        </is>
      </c>
    </row>
    <row r="1168">
      <c r="A1168" s="30" t="inlineStr">
        <is>
          <t>P2 Potencia</t>
        </is>
      </c>
      <c r="B1168" s="31" t="n">
        <v>5.75</v>
      </c>
      <c r="C1168" s="32">
        <f>$N$1164-$L$1164+1</f>
        <v/>
      </c>
      <c r="D1168" s="33" t="n">
        <v>1.09728</v>
      </c>
      <c r="E1168" s="34" t="n">
        <v>1.33</v>
      </c>
      <c r="F1168" s="35">
        <f>ROUND(B1168*E1168,2)</f>
        <v/>
      </c>
      <c r="H1168" s="36" t="n">
        <v>5.75</v>
      </c>
      <c r="I1168" s="37" t="n">
        <v>1.33</v>
      </c>
      <c r="J1168" s="38">
        <f>ROUND(H1168*I1168,2)</f>
        <v/>
      </c>
      <c r="L1168" s="39" t="n">
        <v>5.75</v>
      </c>
      <c r="M1168" s="40" t="n">
        <v>1.33</v>
      </c>
      <c r="N1168" s="41">
        <f>ROUND(L1168*M1168,2)</f>
        <v/>
      </c>
      <c r="R1168" s="43" t="inlineStr">
        <is>
          <t>Mejor mes: 2024-03 · 142 € · margen 44%</t>
        </is>
      </c>
    </row>
    <row r="1169">
      <c r="A1169" s="30" t="inlineStr">
        <is>
          <t>P1 Energía</t>
        </is>
      </c>
      <c r="B1169" s="31">
        <f>IF($P$1169&lt;&gt;"",ROUND(AA1169*(($AB$1169/(1-$P$1169))-29.7850)/66.9687,2),IF('Resumen'!$D$3="OPTIMIZAR",ROUND(MAX(AA1169,MIN(AA1169*(($AB$1169/(1-'Resumen'!$F$3))-29.7850)/66.9687,AA1169*(103.4428)/66.9687)),3),AA1169))</f>
        <v/>
      </c>
      <c r="C1169" s="44" t="n"/>
      <c r="D1169" s="33" t="n">
        <v>0.110306</v>
      </c>
      <c r="E1169" s="34" t="n">
        <v>0.13788</v>
      </c>
      <c r="F1169" s="35">
        <f>ROUND(B1169*E1169,2)</f>
        <v/>
      </c>
      <c r="H1169" s="36" t="n">
        <v>150.9</v>
      </c>
      <c r="I1169" s="37" t="n">
        <v>0.13788</v>
      </c>
      <c r="J1169" s="38">
        <f>ROUND(H1169*I1169,2)</f>
        <v/>
      </c>
      <c r="L1169" s="39" t="n">
        <v>100.464</v>
      </c>
      <c r="M1169" s="40" t="n">
        <v>0.13788</v>
      </c>
      <c r="N1169" s="41">
        <f>ROUND(L1169*M1169,2)</f>
        <v/>
      </c>
      <c r="O1169" s="45" t="inlineStr">
        <is>
          <t>Margen objetivo (edita % aquí) ▶</t>
        </is>
      </c>
      <c r="P1169" s="5" t="n"/>
      <c r="R1169" s="43" t="inlineStr">
        <is>
          <t>Peor mes: 2024-11 · 40 € · margen 45%</t>
        </is>
      </c>
      <c r="AA1169" t="n">
        <v>196.826</v>
      </c>
      <c r="AB1169">
        <f>B1167*D1167+B1168*D1168+AA1169*D1169+AA1170*D1170+AA1171*D1171</f>
        <v/>
      </c>
    </row>
    <row r="1170">
      <c r="A1170" s="30" t="inlineStr">
        <is>
          <t>P2 Energía</t>
        </is>
      </c>
      <c r="B1170" s="31">
        <f>IF($P$1169&lt;&gt;"",ROUND(AA1170*(($AB$1169/(1-$P$1169))-29.7850)/66.9687,2),IF('Resumen'!$D$3="OPTIMIZAR",ROUND(MAX(AA1170,MIN(AA1170*(($AB$1169/(1-'Resumen'!$F$3))-29.7850)/66.9687,AA1170*(103.4428)/66.9687)),3),AA1170))</f>
        <v/>
      </c>
      <c r="C1170" s="44" t="n"/>
      <c r="D1170" s="33" t="n">
        <v>0.110306</v>
      </c>
      <c r="E1170" s="34" t="n">
        <v>0.13788</v>
      </c>
      <c r="F1170" s="35">
        <f>ROUND(B1170*E1170,2)</f>
        <v/>
      </c>
      <c r="H1170" s="36" t="n">
        <v>131.444</v>
      </c>
      <c r="I1170" s="37" t="n">
        <v>0.13788</v>
      </c>
      <c r="J1170" s="38">
        <f>ROUND(H1170*I1170,2)</f>
        <v/>
      </c>
      <c r="L1170" s="39" t="n">
        <v>110.913</v>
      </c>
      <c r="M1170" s="40" t="n">
        <v>0.13788</v>
      </c>
      <c r="N1170" s="41">
        <f>ROUND(L1170*M1170,2)</f>
        <v/>
      </c>
      <c r="O1170" s="46" t="inlineStr">
        <is>
          <t>Cant. P1/P2/P3 energía suben</t>
        </is>
      </c>
      <c r="R1170" s="43" t="inlineStr">
        <is>
          <t>Importe mensual cobrado (€) · 24 meses ▾</t>
        </is>
      </c>
      <c r="AA1170" t="n">
        <v>159.465</v>
      </c>
    </row>
    <row r="1171">
      <c r="A1171" s="30" t="inlineStr">
        <is>
          <t>P3 Energía</t>
        </is>
      </c>
      <c r="B1171" s="31">
        <f>IF($P$1169&lt;&gt;"",ROUND(AA1171*(($AB$1169/(1-$P$1169))-29.7850)/66.9687,2),IF('Resumen'!$D$3="OPTIMIZAR",ROUND(MAX(AA1171,MIN(AA1171*(($AB$1169/(1-'Resumen'!$F$3))-29.7850)/66.9687,AA1171*(103.4428)/66.9687)),3),AA1171))</f>
        <v/>
      </c>
      <c r="C1171" s="44" t="n"/>
      <c r="D1171" s="33" t="n">
        <v>0.110306</v>
      </c>
      <c r="E1171" s="34" t="n">
        <v>0.13788</v>
      </c>
      <c r="F1171" s="35">
        <f>ROUND(B1171*E1171,2)</f>
        <v/>
      </c>
      <c r="H1171" s="36" t="n">
        <v>113.935</v>
      </c>
      <c r="I1171" s="37" t="n">
        <v>0.13788</v>
      </c>
      <c r="J1171" s="38">
        <f>ROUND(H1171*I1171,2)</f>
        <v/>
      </c>
      <c r="L1171" s="39" t="n">
        <v>133.101</v>
      </c>
      <c r="M1171" s="40" t="n">
        <v>0.13788</v>
      </c>
      <c r="N1171" s="41">
        <f>ROUND(L1171*M1171,2)</f>
        <v/>
      </c>
      <c r="O1171" s="46" t="inlineStr">
        <is>
          <t>en proporción para ese margen</t>
        </is>
      </c>
      <c r="AA1171" t="n">
        <v>129.412</v>
      </c>
    </row>
    <row r="1172">
      <c r="A1172" s="30" t="inlineStr">
        <is>
          <t>Alquiler contador</t>
        </is>
      </c>
      <c r="B1172" s="31" t="n">
        <v>1</v>
      </c>
      <c r="C1172" s="32">
        <f>$N$1164-$L$1164+1</f>
        <v/>
      </c>
      <c r="D1172" s="33" t="n">
        <v>0.7989000000000001</v>
      </c>
      <c r="E1172" s="34" t="n">
        <v>3</v>
      </c>
      <c r="F1172" s="35">
        <f>ROUND(B1172*E1172,2)</f>
        <v/>
      </c>
      <c r="H1172" s="36" t="n">
        <v>1</v>
      </c>
      <c r="I1172" s="37" t="n">
        <v>3</v>
      </c>
      <c r="J1172" s="38">
        <f>ROUND(H1172*I1172,2)</f>
        <v/>
      </c>
      <c r="L1172" s="39" t="n">
        <v>1</v>
      </c>
      <c r="M1172" s="40" t="n">
        <v>3</v>
      </c>
      <c r="N1172" s="41">
        <f>ROUND(L1172*M1172,2)</f>
        <v/>
      </c>
    </row>
    <row r="1173">
      <c r="A1173" s="30" t="inlineStr">
        <is>
          <t>Bono social</t>
        </is>
      </c>
      <c r="B1173" s="31" t="n">
        <v>30</v>
      </c>
      <c r="C1173" s="32">
        <f>$N$1164-$L$1164+1</f>
        <v/>
      </c>
      <c r="D1173" s="33" t="n">
        <v>0.5736</v>
      </c>
      <c r="E1173" s="34" t="n">
        <v>0.01274</v>
      </c>
      <c r="F1173" s="35">
        <f>ROUND(B1173*E1173,2)</f>
        <v/>
      </c>
      <c r="H1173" s="36" t="n">
        <v>30</v>
      </c>
      <c r="I1173" s="37" t="n">
        <v>0.01274</v>
      </c>
      <c r="J1173" s="38">
        <f>ROUND(H1173*I1173,2)</f>
        <v/>
      </c>
      <c r="L1173" s="39" t="n">
        <v>30</v>
      </c>
      <c r="M1173" s="40" t="n">
        <v>0.00629</v>
      </c>
      <c r="N1173" s="41">
        <f>ROUND(L1173*M1173,2)</f>
        <v/>
      </c>
    </row>
    <row r="1174">
      <c r="A1174" s="30" t="inlineStr">
        <is>
          <t>Tasa eléctrica</t>
        </is>
      </c>
      <c r="B1174" s="31" t="n">
        <v>4.95</v>
      </c>
      <c r="C1174" s="44" t="n"/>
      <c r="D1174" s="33" t="n">
        <v>0.24729</v>
      </c>
      <c r="E1174" s="34" t="n">
        <v>1</v>
      </c>
      <c r="F1174" s="35">
        <f>ROUND(B1174*E1174,2)</f>
        <v/>
      </c>
      <c r="H1174" s="36" t="n">
        <v>4.32</v>
      </c>
      <c r="I1174" s="37" t="n">
        <v>1</v>
      </c>
      <c r="J1174" s="38">
        <f>ROUND(H1174*I1174,2)</f>
        <v/>
      </c>
      <c r="L1174" s="39" t="n">
        <v>3.96</v>
      </c>
      <c r="M1174" s="40" t="n">
        <v>1</v>
      </c>
      <c r="N1174" s="41">
        <f>ROUND(L1174*M1174,2)</f>
        <v/>
      </c>
    </row>
    <row r="1175">
      <c r="A1175" s="47" t="inlineStr">
        <is>
          <t>TOTAL c/IVA</t>
        </is>
      </c>
      <c r="F1175" s="48">
        <f>ROUND((SUM(F1167:F1174)-F1174)*1.1+F1174,2)</f>
        <v/>
      </c>
      <c r="J1175" s="49">
        <f>ROUND(SUM(J1167:J1174),2)</f>
        <v/>
      </c>
      <c r="N1175" s="50">
        <f>ROUND(SUM(N1167:N1174),2)</f>
        <v/>
      </c>
    </row>
    <row r="1176">
      <c r="A1176" s="19" t="inlineStr">
        <is>
          <t>MARGEN sin registrar</t>
        </is>
      </c>
      <c r="B1176" s="51">
        <f>IF((F1170+F1167+F1169+F1171+F1168)=0,"",((F1170+F1167+F1169+F1171+F1168)-$AB$1169)/(F1170+F1167+F1169+F1171+F1168))</f>
        <v/>
      </c>
      <c r="D1176" s="52">
        <f>IF(B1176="","SIN PC",IF(B1176&gt;=0.3,"APROBAR",IF(B1176&gt;=0.2,"REVISAR","RECHAZAR")))</f>
        <v/>
      </c>
      <c r="E1176" s="53" t="n"/>
      <c r="F1176" s="54" t="n"/>
      <c r="AD1176">
        <f>SUM(F1169:F1171)-66.9687</f>
        <v/>
      </c>
    </row>
    <row r="1178">
      <c r="A1178" s="15" t="inlineStr">
        <is>
          <t>Factura 8650 · C01990 · GERRIT JONGEJAN</t>
        </is>
      </c>
      <c r="H1178" s="15" t="inlineStr">
        <is>
          <t>ES0021000000821181DD · Naturgy</t>
        </is>
      </c>
      <c r="L1178" s="16" t="n">
        <v>46113</v>
      </c>
      <c r="M1178" s="17" t="inlineStr">
        <is>
          <t>a</t>
        </is>
      </c>
      <c r="N1178" s="16" t="n">
        <v>46142</v>
      </c>
      <c r="R1178" s="18" t="inlineStr">
        <is>
          <t>HISTÓRICO DEL CUPS · HOJA TTVA LUZ</t>
        </is>
      </c>
    </row>
    <row r="1179">
      <c r="A1179" s="19" t="inlineStr">
        <is>
          <t>Concepto</t>
        </is>
      </c>
      <c r="B1179" s="20" t="inlineStr">
        <is>
          <t>PENDIENTE (sin registrar)</t>
        </is>
      </c>
      <c r="C1179" s="21" t="n"/>
      <c r="D1179" s="21" t="n"/>
      <c r="E1179" s="21" t="n"/>
      <c r="F1179" s="21" t="n"/>
      <c r="H1179" s="22" t="inlineStr">
        <is>
          <t>MES ANTERIOR · Fact.6393</t>
        </is>
      </c>
      <c r="I1179" s="23" t="n"/>
      <c r="J1179" s="23" t="n"/>
      <c r="L1179" s="24" t="inlineStr">
        <is>
          <t>AÑO ANTERIOR · Fact.4595</t>
        </is>
      </c>
      <c r="M1179" s="25" t="n"/>
      <c r="N1179" s="25" t="n"/>
      <c r="R1179" s="26" t="inlineStr">
        <is>
          <t>Cobrado total: 609 €</t>
        </is>
      </c>
    </row>
    <row r="1180">
      <c r="B1180" s="7" t="inlineStr">
        <is>
          <t>Cant</t>
        </is>
      </c>
      <c r="C1180" s="7" t="inlineStr">
        <is>
          <t>Días</t>
        </is>
      </c>
      <c r="D1180" s="7" t="inlineStr">
        <is>
          <t>PC real</t>
        </is>
      </c>
      <c r="E1180" s="7" t="inlineStr">
        <is>
          <t>PV</t>
        </is>
      </c>
      <c r="F1180" s="7" t="inlineStr">
        <is>
          <t>Importe</t>
        </is>
      </c>
      <c r="H1180" s="27" t="inlineStr">
        <is>
          <t>Cant</t>
        </is>
      </c>
      <c r="I1180" s="27" t="inlineStr">
        <is>
          <t>PV</t>
        </is>
      </c>
      <c r="J1180" s="27" t="inlineStr">
        <is>
          <t>Importe</t>
        </is>
      </c>
      <c r="L1180" s="28" t="inlineStr">
        <is>
          <t>Cant</t>
        </is>
      </c>
      <c r="M1180" s="28" t="inlineStr">
        <is>
          <t>PV</t>
        </is>
      </c>
      <c r="N1180" s="28" t="inlineStr">
        <is>
          <t>Importe</t>
        </is>
      </c>
      <c r="R1180" s="29" t="inlineStr">
        <is>
          <t>Pagado total: 577 €</t>
        </is>
      </c>
    </row>
    <row r="1181">
      <c r="A1181" s="30" t="inlineStr">
        <is>
          <t>P1 Potencia</t>
        </is>
      </c>
      <c r="B1181" s="31" t="n">
        <v>5.75</v>
      </c>
      <c r="C1181" s="32">
        <f>$N$1178-$L$1178+1</f>
        <v/>
      </c>
      <c r="D1181" s="33" t="n">
        <v>3.68919</v>
      </c>
      <c r="E1181" s="34" t="n">
        <v>4.82</v>
      </c>
      <c r="F1181" s="35">
        <f>ROUND(B1181*E1181,2)</f>
        <v/>
      </c>
      <c r="H1181" s="36" t="n">
        <v>5.75</v>
      </c>
      <c r="I1181" s="37" t="n">
        <v>4.82</v>
      </c>
      <c r="J1181" s="38">
        <f>ROUND(H1181*I1181,2)</f>
        <v/>
      </c>
      <c r="L1181" s="39" t="n">
        <v>5.75</v>
      </c>
      <c r="M1181" s="40" t="n">
        <v>4.82</v>
      </c>
      <c r="N1181" s="41">
        <f>ROUND(L1181*M1181,2)</f>
        <v/>
      </c>
      <c r="R1181" s="42" t="inlineStr">
        <is>
          <t>DIF: 33 €   ·   Margen hist.: 5.4%</t>
        </is>
      </c>
    </row>
    <row r="1182">
      <c r="A1182" s="30" t="inlineStr">
        <is>
          <t>P2 Potencia</t>
        </is>
      </c>
      <c r="B1182" s="31" t="n">
        <v>5.75</v>
      </c>
      <c r="C1182" s="32">
        <f>$N$1178-$L$1178+1</f>
        <v/>
      </c>
      <c r="D1182" s="33" t="n">
        <v>1.31928</v>
      </c>
      <c r="E1182" s="34" t="n">
        <v>2.3744</v>
      </c>
      <c r="F1182" s="35">
        <f>ROUND(B1182*E1182,2)</f>
        <v/>
      </c>
      <c r="H1182" s="36" t="n">
        <v>5.75</v>
      </c>
      <c r="I1182" s="37" t="n">
        <v>2.3744</v>
      </c>
      <c r="J1182" s="38">
        <f>ROUND(H1182*I1182,2)</f>
        <v/>
      </c>
      <c r="L1182" s="39" t="n">
        <v>5.75</v>
      </c>
      <c r="M1182" s="40" t="n">
        <v>2.3744</v>
      </c>
      <c r="N1182" s="41">
        <f>ROUND(L1182*M1182,2)</f>
        <v/>
      </c>
      <c r="R1182" s="43" t="inlineStr">
        <is>
          <t>Mejor mes: 2024-08 · 162 € · margen 90%</t>
        </is>
      </c>
    </row>
    <row r="1183">
      <c r="A1183" s="30" t="inlineStr">
        <is>
          <t>P1 Energía</t>
        </is>
      </c>
      <c r="B1183" s="31">
        <f>IF($P$1183&lt;&gt;"",ROUND(AA1183*(($AB$1183/(1-$P$1183))-41.3678)/22.5019,2),IF('Resumen'!$D$3="OPTIMIZAR",ROUND(MAX(AA1183,MIN(AA1183*(($AB$1183/(1-'Resumen'!$F$3))-41.3678)/22.5019,AA1183*(112.1700)/22.5019)),3),AA1183))</f>
        <v/>
      </c>
      <c r="C1183" s="44" t="n"/>
      <c r="D1183" s="33" t="n">
        <v>0.111171</v>
      </c>
      <c r="E1183" s="34" t="n">
        <v>0.139</v>
      </c>
      <c r="F1183" s="35">
        <f>ROUND(B1183*E1183,2)</f>
        <v/>
      </c>
      <c r="H1183" s="36" t="n">
        <v>44.943</v>
      </c>
      <c r="I1183" s="37" t="n">
        <v>0.139</v>
      </c>
      <c r="J1183" s="38">
        <f>ROUND(H1183*I1183,2)</f>
        <v/>
      </c>
      <c r="L1183" s="39" t="n">
        <v>55.127</v>
      </c>
      <c r="M1183" s="40" t="n">
        <v>0.1724</v>
      </c>
      <c r="N1183" s="41">
        <f>ROUND(L1183*M1183,2)</f>
        <v/>
      </c>
      <c r="O1183" s="45" t="inlineStr">
        <is>
          <t>Margen objetivo (edita % aquí) ▶</t>
        </is>
      </c>
      <c r="P1183" s="5" t="n"/>
      <c r="R1183" s="43" t="inlineStr">
        <is>
          <t>Peor mes: 2024-02 · 12 €</t>
        </is>
      </c>
      <c r="AA1183" t="n">
        <v>51.324</v>
      </c>
      <c r="AB1183">
        <f>B1181*D1181+B1182*D1182+AA1183*D1183+AA1184*D1184+AA1185*D1185</f>
        <v/>
      </c>
    </row>
    <row r="1184">
      <c r="A1184" s="30" t="inlineStr">
        <is>
          <t>P2 Energía</t>
        </is>
      </c>
      <c r="B1184" s="31">
        <f>IF($P$1183&lt;&gt;"",ROUND(AA1184*(($AB$1183/(1-$P$1183))-41.3678)/22.5019,2),IF('Resumen'!$D$3="OPTIMIZAR",ROUND(MAX(AA1184,MIN(AA1184*(($AB$1183/(1-'Resumen'!$F$3))-41.3678)/22.5019,AA1184*(112.1700)/22.5019)),3),AA1184))</f>
        <v/>
      </c>
      <c r="C1184" s="44" t="n"/>
      <c r="D1184" s="33" t="n">
        <v>0.111171</v>
      </c>
      <c r="E1184" s="34" t="n">
        <v>0.139</v>
      </c>
      <c r="F1184" s="35">
        <f>ROUND(B1184*E1184,2)</f>
        <v/>
      </c>
      <c r="H1184" s="36" t="n">
        <v>24.243</v>
      </c>
      <c r="I1184" s="37" t="n">
        <v>0.139</v>
      </c>
      <c r="J1184" s="38">
        <f>ROUND(H1184*I1184,2)</f>
        <v/>
      </c>
      <c r="L1184" s="39" t="n">
        <v>55.993</v>
      </c>
      <c r="M1184" s="40" t="n">
        <v>0.1724</v>
      </c>
      <c r="N1184" s="41">
        <f>ROUND(L1184*M1184,2)</f>
        <v/>
      </c>
      <c r="O1184" s="46" t="inlineStr">
        <is>
          <t>Cant. P1/P2/P3 energía suben</t>
        </is>
      </c>
      <c r="R1184" s="43" t="inlineStr">
        <is>
          <t>Importe mensual cobrado (€) · 24 meses ▾</t>
        </is>
      </c>
      <c r="AA1184" t="n">
        <v>21.674</v>
      </c>
    </row>
    <row r="1185">
      <c r="A1185" s="30" t="inlineStr">
        <is>
          <t>P3 Energía</t>
        </is>
      </c>
      <c r="B1185" s="31">
        <f>IF($P$1183&lt;&gt;"",ROUND(AA1185*(($AB$1183/(1-$P$1183))-41.3678)/22.5019,2),IF('Resumen'!$D$3="OPTIMIZAR",ROUND(MAX(AA1185,MIN(AA1185*(($AB$1183/(1-'Resumen'!$F$3))-41.3678)/22.5019,AA1185*(112.1700)/22.5019)),3),AA1185))</f>
        <v/>
      </c>
      <c r="C1185" s="44" t="n"/>
      <c r="D1185" s="33" t="n">
        <v>0.111171</v>
      </c>
      <c r="E1185" s="34" t="n">
        <v>0.139</v>
      </c>
      <c r="F1185" s="35">
        <f>ROUND(B1185*E1185,2)</f>
        <v/>
      </c>
      <c r="H1185" s="36" t="n">
        <v>88.20999999999999</v>
      </c>
      <c r="I1185" s="37" t="n">
        <v>0.139</v>
      </c>
      <c r="J1185" s="38">
        <f>ROUND(H1185*I1185,2)</f>
        <v/>
      </c>
      <c r="L1185" s="39" t="n">
        <v>120.095</v>
      </c>
      <c r="M1185" s="40" t="n">
        <v>0.1724</v>
      </c>
      <c r="N1185" s="41">
        <f>ROUND(L1185*M1185,2)</f>
        <v/>
      </c>
      <c r="O1185" s="46" t="inlineStr">
        <is>
          <t>en proporción para ese margen</t>
        </is>
      </c>
      <c r="AA1185" t="n">
        <v>88.886</v>
      </c>
    </row>
    <row r="1186">
      <c r="A1186" s="30" t="inlineStr">
        <is>
          <t>Alquiler contador</t>
        </is>
      </c>
      <c r="B1186" s="31" t="n">
        <v>1</v>
      </c>
      <c r="C1186" s="32">
        <f>$N$1178-$L$1178+1</f>
        <v/>
      </c>
      <c r="D1186" s="33" t="n">
        <v>0.7989000000000001</v>
      </c>
      <c r="E1186" s="34" t="n">
        <v>6</v>
      </c>
      <c r="F1186" s="35">
        <f>ROUND(B1186*E1186,2)</f>
        <v/>
      </c>
      <c r="H1186" s="36" t="n">
        <v>1</v>
      </c>
      <c r="I1186" s="37" t="n">
        <v>6</v>
      </c>
      <c r="J1186" s="38">
        <f>ROUND(H1186*I1186,2)</f>
        <v/>
      </c>
      <c r="L1186" s="39" t="n">
        <v>1</v>
      </c>
      <c r="M1186" s="40" t="n">
        <v>6</v>
      </c>
      <c r="N1186" s="41">
        <f>ROUND(L1186*M1186,2)</f>
        <v/>
      </c>
    </row>
    <row r="1187">
      <c r="A1187" s="30" t="inlineStr">
        <is>
          <t>Bono social</t>
        </is>
      </c>
      <c r="B1187" s="31" t="n">
        <v>30</v>
      </c>
      <c r="C1187" s="32">
        <f>$N$1178-$L$1178+1</f>
        <v/>
      </c>
      <c r="D1187" s="33" t="n">
        <v>0.5736</v>
      </c>
      <c r="E1187" s="34" t="n">
        <v>0.01274</v>
      </c>
      <c r="F1187" s="35">
        <f>ROUND(B1187*E1187,2)</f>
        <v/>
      </c>
      <c r="H1187" s="36" t="n">
        <v>30</v>
      </c>
      <c r="I1187" s="37" t="n">
        <v>0.01274</v>
      </c>
      <c r="J1187" s="38">
        <f>ROUND(H1187*I1187,2)</f>
        <v/>
      </c>
      <c r="L1187" s="39" t="n">
        <v>30</v>
      </c>
      <c r="M1187" s="40" t="n">
        <v>0.00629</v>
      </c>
      <c r="N1187" s="41">
        <f>ROUND(L1187*M1187,2)</f>
        <v/>
      </c>
    </row>
    <row r="1188">
      <c r="A1188" s="30" t="inlineStr">
        <is>
          <t>Tasa eléctrica</t>
        </is>
      </c>
      <c r="B1188" s="31" t="n">
        <v>2.4</v>
      </c>
      <c r="C1188" s="44" t="n"/>
      <c r="D1188" s="33" t="n">
        <v>0.27312</v>
      </c>
      <c r="E1188" s="34" t="n">
        <v>1</v>
      </c>
      <c r="F1188" s="35">
        <f>ROUND(B1188*E1188,2)</f>
        <v/>
      </c>
      <c r="H1188" s="36" t="n">
        <v>2.53</v>
      </c>
      <c r="I1188" s="37" t="n">
        <v>1</v>
      </c>
      <c r="J1188" s="38">
        <f>ROUND(H1188*I1188,2)</f>
        <v/>
      </c>
      <c r="L1188" s="39" t="n">
        <v>3.33</v>
      </c>
      <c r="M1188" s="40" t="n">
        <v>1</v>
      </c>
      <c r="N1188" s="41">
        <f>ROUND(L1188*M1188,2)</f>
        <v/>
      </c>
    </row>
    <row r="1189">
      <c r="A1189" s="47" t="inlineStr">
        <is>
          <t>TOTAL c/IVA</t>
        </is>
      </c>
      <c r="F1189" s="48">
        <f>ROUND((SUM(F1181:F1188)-F1188)*1.1+F1188,2)</f>
        <v/>
      </c>
      <c r="J1189" s="49">
        <f>ROUND(SUM(J1181:J1188),2)</f>
        <v/>
      </c>
      <c r="N1189" s="50">
        <f>ROUND(SUM(N1181:N1188),2)</f>
        <v/>
      </c>
    </row>
    <row r="1190">
      <c r="A1190" s="19" t="inlineStr">
        <is>
          <t>MARGEN sin registrar</t>
        </is>
      </c>
      <c r="B1190" s="51">
        <f>IF((F1184+F1181+F1183+F1185+F1182)=0,"",((F1184+F1181+F1183+F1185+F1182)-$AB$1183)/(F1184+F1181+F1183+F1185+F1182))</f>
        <v/>
      </c>
      <c r="D1190" s="52">
        <f>IF(B1190="","SIN PC",IF(B1190&gt;=0.3,"APROBAR",IF(B1190&gt;=0.2,"REVISAR","RECHAZAR")))</f>
        <v/>
      </c>
      <c r="E1190" s="53" t="n"/>
      <c r="F1190" s="54" t="n"/>
      <c r="AD1190">
        <f>SUM(F1183:F1185)-22.5019</f>
        <v/>
      </c>
    </row>
    <row r="1191">
      <c r="A1191" s="55" t="inlineStr">
        <is>
          <t>☀ EXCEDENTES SOLARES (kWh vertidos reales)</t>
        </is>
      </c>
      <c r="B1191" s="56" t="n"/>
      <c r="C1191" s="56" t="n"/>
      <c r="D1191" s="56" t="n"/>
      <c r="E1191" s="56" t="n"/>
      <c r="F1191" s="56" t="n"/>
    </row>
    <row r="1192">
      <c r="A1192" s="57" t="inlineStr">
        <is>
          <t>Concepto</t>
        </is>
      </c>
      <c r="B1192" s="57" t="inlineStr">
        <is>
          <t>kWh</t>
        </is>
      </c>
      <c r="D1192" s="57" t="inlineStr">
        <is>
          <t>€/kWh compra</t>
        </is>
      </c>
      <c r="E1192" s="57" t="inlineStr">
        <is>
          <t>€/kWh venta</t>
        </is>
      </c>
      <c r="F1192" s="57" t="inlineStr">
        <is>
          <t>Importe</t>
        </is>
      </c>
    </row>
    <row r="1193">
      <c r="A1193" s="58" t="inlineStr">
        <is>
          <t>Compra excedentes (vertido red)</t>
        </is>
      </c>
      <c r="B1193" s="59" t="n">
        <v>524</v>
      </c>
      <c r="C1193" s="60" t="n"/>
      <c r="D1193" s="33" t="n">
        <v>0.06</v>
      </c>
      <c r="E1193" s="60" t="n"/>
      <c r="F1193" s="61">
        <f>ROUND(B1193*D1193,2)</f>
        <v/>
      </c>
    </row>
    <row r="1194">
      <c r="A1194" s="58" t="inlineStr">
        <is>
          <t>Venta cliente (saldo batería, 1043)</t>
        </is>
      </c>
      <c r="B1194" s="60" t="n"/>
      <c r="C1194" s="60" t="n"/>
      <c r="D1194" s="60" t="n"/>
      <c r="E1194" s="62" t="n">
        <v>0.06</v>
      </c>
      <c r="F1194" s="61" t="n">
        <v>17.17</v>
      </c>
    </row>
    <row r="1195">
      <c r="A1195" s="63" t="inlineStr">
        <is>
          <t>NETO Transactiva (compra − venta)</t>
        </is>
      </c>
      <c r="B1195" s="60" t="n"/>
      <c r="C1195" s="60" t="n"/>
      <c r="D1195" s="60" t="n"/>
      <c r="E1195" s="60" t="n"/>
      <c r="F1195" s="64">
        <f>F1193-F1194</f>
        <v/>
      </c>
    </row>
    <row r="1197">
      <c r="A1197" s="15" t="inlineStr">
        <is>
          <t>Factura 8651 · C02160 · CASA LILI SL (V)</t>
        </is>
      </c>
      <c r="H1197" s="15" t="inlineStr">
        <is>
          <t>ES0021000012599393XJ · Naturgy</t>
        </is>
      </c>
      <c r="L1197" s="16" t="n">
        <v>46113</v>
      </c>
      <c r="M1197" s="17" t="inlineStr">
        <is>
          <t>a</t>
        </is>
      </c>
      <c r="N1197" s="16" t="n">
        <v>46142</v>
      </c>
      <c r="R1197" s="18" t="inlineStr">
        <is>
          <t>HISTÓRICO DEL CUPS · HOJA TTVA LUZ</t>
        </is>
      </c>
    </row>
    <row r="1198">
      <c r="A1198" s="19" t="inlineStr">
        <is>
          <t>Concepto</t>
        </is>
      </c>
      <c r="B1198" s="20" t="inlineStr">
        <is>
          <t>PENDIENTE (sin registrar)</t>
        </is>
      </c>
      <c r="C1198" s="21" t="n"/>
      <c r="D1198" s="21" t="n"/>
      <c r="E1198" s="21" t="n"/>
      <c r="F1198" s="21" t="n"/>
      <c r="H1198" s="22" t="inlineStr">
        <is>
          <t>MES ANTERIOR · Fact.6392</t>
        </is>
      </c>
      <c r="I1198" s="23" t="n"/>
      <c r="J1198" s="23" t="n"/>
      <c r="L1198" s="24" t="inlineStr">
        <is>
          <t>AÑO ANTERIOR · Fact.4582</t>
        </is>
      </c>
      <c r="M1198" s="25" t="n"/>
      <c r="N1198" s="25" t="n"/>
      <c r="R1198" s="26" t="inlineStr">
        <is>
          <t>Cobrado total: 2.035 €</t>
        </is>
      </c>
    </row>
    <row r="1199">
      <c r="B1199" s="7" t="inlineStr">
        <is>
          <t>Cant</t>
        </is>
      </c>
      <c r="C1199" s="7" t="inlineStr">
        <is>
          <t>Días</t>
        </is>
      </c>
      <c r="D1199" s="7" t="inlineStr">
        <is>
          <t>PC real</t>
        </is>
      </c>
      <c r="E1199" s="7" t="inlineStr">
        <is>
          <t>PV</t>
        </is>
      </c>
      <c r="F1199" s="7" t="inlineStr">
        <is>
          <t>Importe</t>
        </is>
      </c>
      <c r="H1199" s="27" t="inlineStr">
        <is>
          <t>Cant</t>
        </is>
      </c>
      <c r="I1199" s="27" t="inlineStr">
        <is>
          <t>PV</t>
        </is>
      </c>
      <c r="J1199" s="27" t="inlineStr">
        <is>
          <t>Importe</t>
        </is>
      </c>
      <c r="L1199" s="28" t="inlineStr">
        <is>
          <t>Cant</t>
        </is>
      </c>
      <c r="M1199" s="28" t="inlineStr">
        <is>
          <t>PV</t>
        </is>
      </c>
      <c r="N1199" s="28" t="inlineStr">
        <is>
          <t>Importe</t>
        </is>
      </c>
      <c r="R1199" s="29" t="inlineStr">
        <is>
          <t>Pagado total: 1.399 €</t>
        </is>
      </c>
    </row>
    <row r="1200">
      <c r="A1200" s="30" t="inlineStr">
        <is>
          <t>P1 Potencia</t>
        </is>
      </c>
      <c r="B1200" s="31" t="n">
        <v>5.75</v>
      </c>
      <c r="C1200" s="32">
        <f>$N$1197-$L$1197+1</f>
        <v/>
      </c>
      <c r="D1200" s="33" t="n">
        <v>3.68919</v>
      </c>
      <c r="E1200" s="34" t="n">
        <v>4.17</v>
      </c>
      <c r="F1200" s="35">
        <f>ROUND(B1200*E1200,2)</f>
        <v/>
      </c>
      <c r="H1200" s="36" t="n">
        <v>5.75</v>
      </c>
      <c r="I1200" s="37" t="n">
        <v>4.17</v>
      </c>
      <c r="J1200" s="38">
        <f>ROUND(H1200*I1200,2)</f>
        <v/>
      </c>
      <c r="L1200" s="39" t="n">
        <v>5.75</v>
      </c>
      <c r="M1200" s="40" t="n">
        <v>4.17</v>
      </c>
      <c r="N1200" s="41">
        <f>ROUND(L1200*M1200,2)</f>
        <v/>
      </c>
      <c r="R1200" s="42" t="inlineStr">
        <is>
          <t>DIF: 636 €   ·   Margen hist.: 31.2%</t>
        </is>
      </c>
    </row>
    <row r="1201">
      <c r="A1201" s="30" t="inlineStr">
        <is>
          <t>P2 Potencia</t>
        </is>
      </c>
      <c r="B1201" s="31" t="n">
        <v>5.75</v>
      </c>
      <c r="C1201" s="32">
        <f>$N$1197-$L$1197+1</f>
        <v/>
      </c>
      <c r="D1201" s="33" t="n">
        <v>1.31928</v>
      </c>
      <c r="E1201" s="34" t="n">
        <v>1.37</v>
      </c>
      <c r="F1201" s="35">
        <f>ROUND(B1201*E1201,2)</f>
        <v/>
      </c>
      <c r="H1201" s="36" t="n">
        <v>5.75</v>
      </c>
      <c r="I1201" s="37" t="n">
        <v>1.37</v>
      </c>
      <c r="J1201" s="38">
        <f>ROUND(H1201*I1201,2)</f>
        <v/>
      </c>
      <c r="L1201" s="39" t="n">
        <v>5.75</v>
      </c>
      <c r="M1201" s="40" t="n">
        <v>1.37</v>
      </c>
      <c r="N1201" s="41">
        <f>ROUND(L1201*M1201,2)</f>
        <v/>
      </c>
      <c r="R1201" s="43" t="inlineStr">
        <is>
          <t>Mejor mes: 2024-12 · 215 € · margen 27%</t>
        </is>
      </c>
    </row>
    <row r="1202">
      <c r="A1202" s="30" t="inlineStr">
        <is>
          <t>P1 Energía</t>
        </is>
      </c>
      <c r="B1202" s="31">
        <f>IF($P$1202&lt;&gt;"",ROUND(AA1202*(($AB$1202/(1-$P$1202))-31.8550)/74.1698,2),IF('Resumen'!$D$3="OPTIMIZAR",ROUND(MAX(AA1202,MIN(AA1202*(($AB$1202/(1-'Resumen'!$F$3))-31.8550)/74.1698,AA1202*(173.0728)/74.1698)),3),AA1202))</f>
        <v/>
      </c>
      <c r="C1202" s="44" t="n"/>
      <c r="D1202" s="33" t="n">
        <v>0.111171</v>
      </c>
      <c r="E1202" s="34" t="n">
        <v>0.135</v>
      </c>
      <c r="F1202" s="35">
        <f>ROUND(B1202*E1202,2)</f>
        <v/>
      </c>
      <c r="H1202" s="36" t="n">
        <v>207.556</v>
      </c>
      <c r="I1202" s="37" t="n">
        <v>0.139</v>
      </c>
      <c r="J1202" s="38">
        <f>ROUND(H1202*I1202,2)</f>
        <v/>
      </c>
      <c r="L1202" s="39" t="n">
        <v>226.375</v>
      </c>
      <c r="M1202" s="40" t="n">
        <v>0.14937</v>
      </c>
      <c r="N1202" s="41">
        <f>ROUND(L1202*M1202,2)</f>
        <v/>
      </c>
      <c r="O1202" s="45" t="inlineStr">
        <is>
          <t>Margen objetivo (edita % aquí) ▶</t>
        </is>
      </c>
      <c r="P1202" s="5" t="n"/>
      <c r="R1202" s="43" t="inlineStr">
        <is>
          <t>Peor mes: 2024-02 · 88 €</t>
        </is>
      </c>
      <c r="AA1202" t="n">
        <v>209.96</v>
      </c>
      <c r="AB1202">
        <f>B1200*D1200+B1201*D1201+AA1202*D1202+AA1203*D1203+AA1204*D1204</f>
        <v/>
      </c>
    </row>
    <row r="1203">
      <c r="A1203" s="30" t="inlineStr">
        <is>
          <t>P2 Energía</t>
        </is>
      </c>
      <c r="B1203" s="31">
        <f>IF($P$1202&lt;&gt;"",ROUND(AA1203*(($AB$1202/(1-$P$1202))-31.8550)/74.1698,2),IF('Resumen'!$D$3="OPTIMIZAR",ROUND(MAX(AA1203,MIN(AA1203*(($AB$1202/(1-'Resumen'!$F$3))-31.8550)/74.1698,AA1203*(173.0728)/74.1698)),3),AA1203))</f>
        <v/>
      </c>
      <c r="C1203" s="44" t="n"/>
      <c r="D1203" s="33" t="n">
        <v>0.111171</v>
      </c>
      <c r="E1203" s="34" t="n">
        <v>0.135</v>
      </c>
      <c r="F1203" s="35">
        <f>ROUND(B1203*E1203,2)</f>
        <v/>
      </c>
      <c r="H1203" s="36" t="n">
        <v>169.317</v>
      </c>
      <c r="I1203" s="37" t="n">
        <v>0.13</v>
      </c>
      <c r="J1203" s="38">
        <f>ROUND(H1203*I1203,2)</f>
        <v/>
      </c>
      <c r="L1203" s="39" t="n">
        <v>152.843</v>
      </c>
      <c r="M1203" s="40" t="n">
        <v>0.14937</v>
      </c>
      <c r="N1203" s="41">
        <f>ROUND(L1203*M1203,2)</f>
        <v/>
      </c>
      <c r="O1203" s="46" t="inlineStr">
        <is>
          <t>Cant. P1/P2/P3 energía suben</t>
        </is>
      </c>
      <c r="R1203" s="43" t="inlineStr">
        <is>
          <t>Importe mensual cobrado (€) · 24 meses ▾</t>
        </is>
      </c>
      <c r="AA1203" t="n">
        <v>122.245</v>
      </c>
    </row>
    <row r="1204">
      <c r="A1204" s="30" t="inlineStr">
        <is>
          <t>P3 Energía</t>
        </is>
      </c>
      <c r="B1204" s="31">
        <f>IF($P$1202&lt;&gt;"",ROUND(AA1204*(($AB$1202/(1-$P$1202))-31.8550)/74.1698,2),IF('Resumen'!$D$3="OPTIMIZAR",ROUND(MAX(AA1204,MIN(AA1204*(($AB$1202/(1-'Resumen'!$F$3))-31.8550)/74.1698,AA1204*(173.0728)/74.1698)),3),AA1204))</f>
        <v/>
      </c>
      <c r="C1204" s="44" t="n"/>
      <c r="D1204" s="33" t="n">
        <v>0.111171</v>
      </c>
      <c r="E1204" s="34" t="n">
        <v>0.135</v>
      </c>
      <c r="F1204" s="35">
        <f>ROUND(B1204*E1204,2)</f>
        <v/>
      </c>
      <c r="H1204" s="36" t="n">
        <v>245.327</v>
      </c>
      <c r="I1204" s="37" t="n">
        <v>0.13</v>
      </c>
      <c r="J1204" s="38">
        <f>ROUND(H1204*I1204,2)</f>
        <v/>
      </c>
      <c r="L1204" s="39" t="n">
        <v>270.158</v>
      </c>
      <c r="M1204" s="40" t="n">
        <v>0.14937</v>
      </c>
      <c r="N1204" s="41">
        <f>ROUND(L1204*M1204,2)</f>
        <v/>
      </c>
      <c r="O1204" s="46" t="inlineStr">
        <is>
          <t>en proporción para ese margen</t>
        </is>
      </c>
      <c r="AA1204" t="n">
        <v>217.201</v>
      </c>
    </row>
    <row r="1205">
      <c r="A1205" s="30" t="inlineStr">
        <is>
          <t>Alquiler contador</t>
        </is>
      </c>
      <c r="B1205" s="31" t="n">
        <v>1</v>
      </c>
      <c r="C1205" s="32">
        <f>$N$1197-$L$1197+1</f>
        <v/>
      </c>
      <c r="D1205" s="33" t="n">
        <v>0.7989000000000001</v>
      </c>
      <c r="E1205" s="34" t="n">
        <v>4</v>
      </c>
      <c r="F1205" s="35">
        <f>ROUND(B1205*E1205,2)</f>
        <v/>
      </c>
      <c r="H1205" s="36" t="n">
        <v>1</v>
      </c>
      <c r="I1205" s="37" t="n">
        <v>4</v>
      </c>
      <c r="J1205" s="38">
        <f>ROUND(H1205*I1205,2)</f>
        <v/>
      </c>
      <c r="L1205" s="39" t="n">
        <v>1</v>
      </c>
      <c r="M1205" s="40" t="n">
        <v>4</v>
      </c>
      <c r="N1205" s="41">
        <f>ROUND(L1205*M1205,2)</f>
        <v/>
      </c>
    </row>
    <row r="1206">
      <c r="A1206" s="30" t="inlineStr">
        <is>
          <t>Bono social</t>
        </is>
      </c>
      <c r="B1206" s="31" t="n">
        <v>30</v>
      </c>
      <c r="C1206" s="32">
        <f>$N$1197-$L$1197+1</f>
        <v/>
      </c>
      <c r="D1206" s="33" t="n">
        <v>0.5736</v>
      </c>
      <c r="E1206" s="34" t="n">
        <v>0.01274</v>
      </c>
      <c r="F1206" s="35">
        <f>ROUND(B1206*E1206,2)</f>
        <v/>
      </c>
      <c r="H1206" s="36" t="n">
        <v>30</v>
      </c>
      <c r="I1206" s="37" t="n">
        <v>0.01274</v>
      </c>
      <c r="J1206" s="38">
        <f>ROUND(H1206*I1206,2)</f>
        <v/>
      </c>
      <c r="L1206" s="39" t="n">
        <v>30</v>
      </c>
      <c r="M1206" s="40" t="n">
        <v>0.00629</v>
      </c>
      <c r="N1206" s="41">
        <f>ROUND(L1206*M1206,2)</f>
        <v/>
      </c>
    </row>
    <row r="1207">
      <c r="A1207" s="30" t="inlineStr">
        <is>
          <t>Tasa eléctrica</t>
        </is>
      </c>
      <c r="B1207" s="31" t="n">
        <v>5.83</v>
      </c>
      <c r="C1207" s="44" t="n"/>
      <c r="D1207" s="33" t="n">
        <v>0.27312</v>
      </c>
      <c r="E1207" s="34" t="n">
        <v>1</v>
      </c>
      <c r="F1207" s="35">
        <f>ROUND(B1207*E1207,2)</f>
        <v/>
      </c>
      <c r="H1207" s="36" t="n">
        <v>6.4</v>
      </c>
      <c r="I1207" s="37" t="n">
        <v>1</v>
      </c>
      <c r="J1207" s="38">
        <f>ROUND(H1207*I1207,2)</f>
        <v/>
      </c>
      <c r="L1207" s="39" t="n">
        <v>6.59</v>
      </c>
      <c r="M1207" s="40" t="n">
        <v>1</v>
      </c>
      <c r="N1207" s="41">
        <f>ROUND(L1207*M1207,2)</f>
        <v/>
      </c>
    </row>
    <row r="1208">
      <c r="A1208" s="47" t="inlineStr">
        <is>
          <t>TOTAL c/IVA</t>
        </is>
      </c>
      <c r="F1208" s="48">
        <f>ROUND((SUM(F1200:F1207)-F1207)*1.1+F1207,2)</f>
        <v/>
      </c>
      <c r="J1208" s="49">
        <f>ROUND(SUM(J1200:J1207),2)</f>
        <v/>
      </c>
      <c r="N1208" s="50">
        <f>ROUND(SUM(N1200:N1207),2)</f>
        <v/>
      </c>
    </row>
    <row r="1209">
      <c r="A1209" s="19" t="inlineStr">
        <is>
          <t>MARGEN sin registrar</t>
        </is>
      </c>
      <c r="B1209" s="51">
        <f>IF((F1203+F1200+F1202+F1204+F1201)=0,"",((F1203+F1200+F1202+F1204+F1201)-$AB$1202)/(F1203+F1200+F1202+F1204+F1201))</f>
        <v/>
      </c>
      <c r="D1209" s="52">
        <f>IF(B1209="","SIN PC",IF(B1209&gt;=0.3,"APROBAR",IF(B1209&gt;=0.2,"REVISAR","RECHAZAR")))</f>
        <v/>
      </c>
      <c r="E1209" s="53" t="n"/>
      <c r="F1209" s="54" t="n"/>
      <c r="AD1209">
        <f>SUM(F1202:F1204)-74.1698</f>
        <v/>
      </c>
    </row>
    <row r="1211">
      <c r="A1211" s="15" t="inlineStr">
        <is>
          <t>Factura 8653 · C02190 · TAIRÉ VERA</t>
        </is>
      </c>
      <c r="H1211" s="15" t="inlineStr">
        <is>
          <t>ES0021000000961277MN · Naturgy</t>
        </is>
      </c>
      <c r="L1211" s="16" t="n">
        <v>46113</v>
      </c>
      <c r="M1211" s="17" t="inlineStr">
        <is>
          <t>a</t>
        </is>
      </c>
      <c r="N1211" s="16" t="n">
        <v>46142</v>
      </c>
      <c r="R1211" s="18" t="inlineStr">
        <is>
          <t>HISTÓRICO DEL CUPS · HOJA TTVA LUZ</t>
        </is>
      </c>
    </row>
    <row r="1212">
      <c r="A1212" s="19" t="inlineStr">
        <is>
          <t>Concepto</t>
        </is>
      </c>
      <c r="B1212" s="20" t="inlineStr">
        <is>
          <t>PENDIENTE (sin registrar)</t>
        </is>
      </c>
      <c r="C1212" s="21" t="n"/>
      <c r="D1212" s="21" t="n"/>
      <c r="E1212" s="21" t="n"/>
      <c r="F1212" s="21" t="n"/>
      <c r="H1212" s="22" t="inlineStr">
        <is>
          <t>MES ANTERIOR · Fact.6390</t>
        </is>
      </c>
      <c r="I1212" s="23" t="n"/>
      <c r="J1212" s="23" t="n"/>
      <c r="L1212" s="24" t="inlineStr">
        <is>
          <t>AÑO ANTERIOR · Fact.4580</t>
        </is>
      </c>
      <c r="M1212" s="25" t="n"/>
      <c r="N1212" s="25" t="n"/>
      <c r="R1212" s="26" t="inlineStr">
        <is>
          <t>Cobrado total: 598 €</t>
        </is>
      </c>
    </row>
    <row r="1213">
      <c r="B1213" s="7" t="inlineStr">
        <is>
          <t>Cant</t>
        </is>
      </c>
      <c r="C1213" s="7" t="inlineStr">
        <is>
          <t>Días</t>
        </is>
      </c>
      <c r="D1213" s="7" t="inlineStr">
        <is>
          <t>PC real</t>
        </is>
      </c>
      <c r="E1213" s="7" t="inlineStr">
        <is>
          <t>PV</t>
        </is>
      </c>
      <c r="F1213" s="7" t="inlineStr">
        <is>
          <t>Importe</t>
        </is>
      </c>
      <c r="H1213" s="27" t="inlineStr">
        <is>
          <t>Cant</t>
        </is>
      </c>
      <c r="I1213" s="27" t="inlineStr">
        <is>
          <t>PV</t>
        </is>
      </c>
      <c r="J1213" s="27" t="inlineStr">
        <is>
          <t>Importe</t>
        </is>
      </c>
      <c r="L1213" s="28" t="inlineStr">
        <is>
          <t>Cant</t>
        </is>
      </c>
      <c r="M1213" s="28" t="inlineStr">
        <is>
          <t>PV</t>
        </is>
      </c>
      <c r="N1213" s="28" t="inlineStr">
        <is>
          <t>Importe</t>
        </is>
      </c>
      <c r="R1213" s="29" t="inlineStr">
        <is>
          <t>Pagado total: 527 €</t>
        </is>
      </c>
    </row>
    <row r="1214">
      <c r="A1214" s="30" t="inlineStr">
        <is>
          <t>P1 Potencia</t>
        </is>
      </c>
      <c r="B1214" s="31" t="n">
        <v>5.5</v>
      </c>
      <c r="C1214" s="32">
        <f>$N$1211-$L$1211+1</f>
        <v/>
      </c>
      <c r="D1214" s="33" t="n">
        <v>3.68919</v>
      </c>
      <c r="E1214" s="34" t="n">
        <v>3.85</v>
      </c>
      <c r="F1214" s="35">
        <f>ROUND(B1214*E1214,2)</f>
        <v/>
      </c>
      <c r="H1214" s="36" t="n">
        <v>5.5</v>
      </c>
      <c r="I1214" s="37" t="n">
        <v>3.85</v>
      </c>
      <c r="J1214" s="38">
        <f>ROUND(H1214*I1214,2)</f>
        <v/>
      </c>
      <c r="L1214" s="39" t="n">
        <v>5.5</v>
      </c>
      <c r="M1214" s="40" t="n">
        <v>3.85</v>
      </c>
      <c r="N1214" s="41">
        <f>ROUND(L1214*M1214,2)</f>
        <v/>
      </c>
      <c r="R1214" s="42" t="inlineStr">
        <is>
          <t>DIF: 71 €   ·   Margen hist.: 11.9%</t>
        </is>
      </c>
    </row>
    <row r="1215">
      <c r="A1215" s="30" t="inlineStr">
        <is>
          <t>P2 Potencia</t>
        </is>
      </c>
      <c r="B1215" s="31" t="n">
        <v>5.5</v>
      </c>
      <c r="C1215" s="32">
        <f>$N$1211-$L$1211+1</f>
        <v/>
      </c>
      <c r="D1215" s="33" t="n">
        <v>1.31928</v>
      </c>
      <c r="E1215" s="34" t="n">
        <v>1.33</v>
      </c>
      <c r="F1215" s="35">
        <f>ROUND(B1215*E1215,2)</f>
        <v/>
      </c>
      <c r="H1215" s="36" t="n">
        <v>5.5</v>
      </c>
      <c r="I1215" s="37" t="n">
        <v>1.33</v>
      </c>
      <c r="J1215" s="38">
        <f>ROUND(H1215*I1215,2)</f>
        <v/>
      </c>
      <c r="L1215" s="39" t="n">
        <v>5.5</v>
      </c>
      <c r="M1215" s="40" t="n">
        <v>1.33</v>
      </c>
      <c r="N1215" s="41">
        <f>ROUND(L1215*M1215,2)</f>
        <v/>
      </c>
      <c r="R1215" s="43" t="inlineStr">
        <is>
          <t>Mejor mes: 2024-08 · 95 € · margen 18%</t>
        </is>
      </c>
    </row>
    <row r="1216">
      <c r="A1216" s="30" t="inlineStr">
        <is>
          <t>P1 Energía</t>
        </is>
      </c>
      <c r="B1216" s="31">
        <f>IF($P$1216&lt;&gt;"",ROUND(AA1216*(($AB$1216/(1-$P$1216))-28.4900)/20.4834,2),IF('Resumen'!$D$3="OPTIMIZAR",ROUND(MAX(AA1216,MIN(AA1216*(($AB$1216/(1-'Resumen'!$F$3))-28.4900)/20.4834,AA1216*(60.5613)/20.4834)),3),AA1216))</f>
        <v/>
      </c>
      <c r="C1216" s="44" t="n"/>
      <c r="D1216" s="33" t="n">
        <v>0.111171</v>
      </c>
      <c r="E1216" s="34" t="n">
        <v>0.129</v>
      </c>
      <c r="F1216" s="35">
        <f>ROUND(B1216*E1216,2)</f>
        <v/>
      </c>
      <c r="H1216" s="36" t="n">
        <v>92.627</v>
      </c>
      <c r="I1216" s="37" t="n">
        <v>0.129</v>
      </c>
      <c r="J1216" s="38">
        <f>ROUND(H1216*I1216,2)</f>
        <v/>
      </c>
      <c r="L1216" s="39" t="n">
        <v>51.292</v>
      </c>
      <c r="M1216" s="40" t="n">
        <v>0.129</v>
      </c>
      <c r="N1216" s="41">
        <f>ROUND(L1216*M1216,2)</f>
        <v/>
      </c>
      <c r="O1216" s="45" t="inlineStr">
        <is>
          <t>Margen objetivo (edita % aquí) ▶</t>
        </is>
      </c>
      <c r="P1216" s="5" t="n"/>
      <c r="R1216" s="43" t="inlineStr">
        <is>
          <t>Peor mes: 2024-04 · 12 € · margen 2%</t>
        </is>
      </c>
      <c r="AA1216" t="n">
        <v>53.507</v>
      </c>
      <c r="AB1216">
        <f>B1214*D1214+B1215*D1215+AA1216*D1216+AA1217*D1217+AA1218*D1218</f>
        <v/>
      </c>
    </row>
    <row r="1217">
      <c r="A1217" s="30" t="inlineStr">
        <is>
          <t>P2 Energía</t>
        </is>
      </c>
      <c r="B1217" s="31">
        <f>IF($P$1216&lt;&gt;"",ROUND(AA1217*(($AB$1216/(1-$P$1216))-28.4900)/20.4834,2),IF('Resumen'!$D$3="OPTIMIZAR",ROUND(MAX(AA1217,MIN(AA1217*(($AB$1216/(1-'Resumen'!$F$3))-28.4900)/20.4834,AA1217*(60.5613)/20.4834)),3),AA1217))</f>
        <v/>
      </c>
      <c r="C1217" s="44" t="n"/>
      <c r="D1217" s="33" t="n">
        <v>0.111171</v>
      </c>
      <c r="E1217" s="34" t="n">
        <v>0.129</v>
      </c>
      <c r="F1217" s="35">
        <f>ROUND(B1217*E1217,2)</f>
        <v/>
      </c>
      <c r="H1217" s="36" t="n">
        <v>63.818</v>
      </c>
      <c r="I1217" s="37" t="n">
        <v>0.129</v>
      </c>
      <c r="J1217" s="38">
        <f>ROUND(H1217*I1217,2)</f>
        <v/>
      </c>
      <c r="L1217" s="39" t="n">
        <v>37.431</v>
      </c>
      <c r="M1217" s="40" t="n">
        <v>0.129</v>
      </c>
      <c r="N1217" s="41">
        <f>ROUND(L1217*M1217,2)</f>
        <v/>
      </c>
      <c r="O1217" s="46" t="inlineStr">
        <is>
          <t>Cant. P1/P2/P3 energía suben</t>
        </is>
      </c>
      <c r="R1217" s="43" t="inlineStr">
        <is>
          <t>Importe mensual cobrado (€) · 24 meses ▾</t>
        </is>
      </c>
      <c r="AA1217" t="n">
        <v>42.168</v>
      </c>
    </row>
    <row r="1218">
      <c r="A1218" s="30" t="inlineStr">
        <is>
          <t>P3 Energía</t>
        </is>
      </c>
      <c r="B1218" s="31">
        <f>IF($P$1216&lt;&gt;"",ROUND(AA1218*(($AB$1216/(1-$P$1216))-28.4900)/20.4834,2),IF('Resumen'!$D$3="OPTIMIZAR",ROUND(MAX(AA1218,MIN(AA1218*(($AB$1216/(1-'Resumen'!$F$3))-28.4900)/20.4834,AA1218*(60.5613)/20.4834)),3),AA1218))</f>
        <v/>
      </c>
      <c r="C1218" s="44" t="n"/>
      <c r="D1218" s="33" t="n">
        <v>0.111171</v>
      </c>
      <c r="E1218" s="34" t="n">
        <v>0.129</v>
      </c>
      <c r="F1218" s="35">
        <f>ROUND(B1218*E1218,2)</f>
        <v/>
      </c>
      <c r="H1218" s="36" t="n">
        <v>111.282</v>
      </c>
      <c r="I1218" s="37" t="n">
        <v>0.129</v>
      </c>
      <c r="J1218" s="38">
        <f>ROUND(H1218*I1218,2)</f>
        <v/>
      </c>
      <c r="L1218" s="39" t="n">
        <v>57.706</v>
      </c>
      <c r="M1218" s="40" t="n">
        <v>0.129</v>
      </c>
      <c r="N1218" s="41">
        <f>ROUND(L1218*M1218,2)</f>
        <v/>
      </c>
      <c r="O1218" s="46" t="inlineStr">
        <is>
          <t>en proporción para ese margen</t>
        </is>
      </c>
      <c r="AA1218" t="n">
        <v>63.111</v>
      </c>
    </row>
    <row r="1219">
      <c r="A1219" s="30" t="inlineStr">
        <is>
          <t>Alquiler contador</t>
        </is>
      </c>
      <c r="B1219" s="31" t="n">
        <v>1</v>
      </c>
      <c r="C1219" s="32">
        <f>$N$1211-$L$1211+1</f>
        <v/>
      </c>
      <c r="D1219" s="33" t="n">
        <v>0.7989000000000001</v>
      </c>
      <c r="E1219" s="34" t="n">
        <v>3</v>
      </c>
      <c r="F1219" s="35">
        <f>ROUND(B1219*E1219,2)</f>
        <v/>
      </c>
      <c r="H1219" s="36" t="n">
        <v>1</v>
      </c>
      <c r="I1219" s="37" t="n">
        <v>3</v>
      </c>
      <c r="J1219" s="38">
        <f>ROUND(H1219*I1219,2)</f>
        <v/>
      </c>
      <c r="L1219" s="39" t="n">
        <v>1</v>
      </c>
      <c r="M1219" s="40" t="n">
        <v>3</v>
      </c>
      <c r="N1219" s="41">
        <f>ROUND(L1219*M1219,2)</f>
        <v/>
      </c>
    </row>
    <row r="1220">
      <c r="A1220" s="30" t="inlineStr">
        <is>
          <t>Bono social</t>
        </is>
      </c>
      <c r="B1220" s="31" t="n">
        <v>30</v>
      </c>
      <c r="C1220" s="32">
        <f>$N$1211-$L$1211+1</f>
        <v/>
      </c>
      <c r="D1220" s="33" t="n">
        <v>0.5736</v>
      </c>
      <c r="E1220" s="34" t="n">
        <v>0.00629</v>
      </c>
      <c r="F1220" s="35">
        <f>ROUND(B1220*E1220,2)</f>
        <v/>
      </c>
      <c r="H1220" s="36" t="n">
        <v>30</v>
      </c>
      <c r="I1220" s="37" t="n">
        <v>0.00629</v>
      </c>
      <c r="J1220" s="38">
        <f>ROUND(H1220*I1220,2)</f>
        <v/>
      </c>
      <c r="L1220" s="39" t="n">
        <v>30</v>
      </c>
      <c r="M1220" s="40" t="n">
        <v>0.00629</v>
      </c>
      <c r="N1220" s="41">
        <f>ROUND(L1220*M1220,2)</f>
        <v/>
      </c>
    </row>
    <row r="1221">
      <c r="A1221" s="30" t="inlineStr">
        <is>
          <t>Tasa eléctrica</t>
        </is>
      </c>
      <c r="B1221" s="31" t="n">
        <v>2.51</v>
      </c>
      <c r="C1221" s="44" t="n"/>
      <c r="D1221" s="33" t="n">
        <v>0.27312</v>
      </c>
      <c r="E1221" s="34" t="n">
        <v>1</v>
      </c>
      <c r="F1221" s="35">
        <f>ROUND(B1221*E1221,2)</f>
        <v/>
      </c>
      <c r="H1221" s="36" t="n">
        <v>3.23</v>
      </c>
      <c r="I1221" s="37" t="n">
        <v>1</v>
      </c>
      <c r="J1221" s="38">
        <f>ROUND(H1221*I1221,2)</f>
        <v/>
      </c>
      <c r="L1221" s="39" t="n">
        <v>2.43</v>
      </c>
      <c r="M1221" s="40" t="n">
        <v>1</v>
      </c>
      <c r="N1221" s="41">
        <f>ROUND(L1221*M1221,2)</f>
        <v/>
      </c>
    </row>
    <row r="1222">
      <c r="A1222" s="47" t="inlineStr">
        <is>
          <t>TOTAL c/IVA</t>
        </is>
      </c>
      <c r="F1222" s="48">
        <f>ROUND((SUM(F1214:F1221)-F1221)*1.1+F1221,2)</f>
        <v/>
      </c>
      <c r="J1222" s="49">
        <f>ROUND(SUM(J1214:J1221),2)</f>
        <v/>
      </c>
      <c r="N1222" s="50">
        <f>ROUND(SUM(N1214:N1221),2)</f>
        <v/>
      </c>
    </row>
    <row r="1223">
      <c r="A1223" s="19" t="inlineStr">
        <is>
          <t>MARGEN sin registrar</t>
        </is>
      </c>
      <c r="B1223" s="51">
        <f>IF((F1217+F1214+F1216+F1218+F1215)=0,"",((F1217+F1214+F1216+F1218+F1215)-$AB$1216)/(F1217+F1214+F1216+F1218+F1215))</f>
        <v/>
      </c>
      <c r="D1223" s="52">
        <f>IF(B1223="","SIN PC",IF(B1223&gt;=0.3,"APROBAR",IF(B1223&gt;=0.2,"REVISAR","RECHAZAR")))</f>
        <v/>
      </c>
      <c r="E1223" s="53" t="n"/>
      <c r="F1223" s="54" t="n"/>
      <c r="AD1223">
        <f>SUM(F1216:F1218)-20.4834</f>
        <v/>
      </c>
    </row>
    <row r="1225">
      <c r="A1225" s="15" t="inlineStr">
        <is>
          <t>Factura 8655 · C02240 · SANDRA GONZALEZ LECHUGA</t>
        </is>
      </c>
      <c r="H1225" s="15" t="inlineStr">
        <is>
          <t>ES0021000001206078TR · Naturgy</t>
        </is>
      </c>
      <c r="L1225" s="16" t="n">
        <v>46113</v>
      </c>
      <c r="M1225" s="17" t="inlineStr">
        <is>
          <t>a</t>
        </is>
      </c>
      <c r="N1225" s="16" t="n">
        <v>46142</v>
      </c>
      <c r="R1225" s="18" t="inlineStr">
        <is>
          <t>HISTÓRICO DEL CUPS · HOJA TTVA LUZ</t>
        </is>
      </c>
    </row>
    <row r="1226">
      <c r="A1226" s="19" t="inlineStr">
        <is>
          <t>Concepto</t>
        </is>
      </c>
      <c r="B1226" s="20" t="inlineStr">
        <is>
          <t>PENDIENTE (sin registrar)</t>
        </is>
      </c>
      <c r="C1226" s="21" t="n"/>
      <c r="D1226" s="21" t="n"/>
      <c r="E1226" s="21" t="n"/>
      <c r="F1226" s="21" t="n"/>
      <c r="H1226" s="22" t="inlineStr">
        <is>
          <t>MES ANTERIOR · Fact.6388</t>
        </is>
      </c>
      <c r="I1226" s="23" t="n"/>
      <c r="J1226" s="23" t="n"/>
      <c r="L1226" s="24" t="inlineStr">
        <is>
          <t>AÑO ANTERIOR · Fact.4578</t>
        </is>
      </c>
      <c r="M1226" s="25" t="n"/>
      <c r="N1226" s="25" t="n"/>
      <c r="R1226" s="26" t="inlineStr">
        <is>
          <t>Cobrado total: 195 €</t>
        </is>
      </c>
    </row>
    <row r="1227">
      <c r="B1227" s="7" t="inlineStr">
        <is>
          <t>Cant</t>
        </is>
      </c>
      <c r="C1227" s="7" t="inlineStr">
        <is>
          <t>Días</t>
        </is>
      </c>
      <c r="D1227" s="7" t="inlineStr">
        <is>
          <t>PC real</t>
        </is>
      </c>
      <c r="E1227" s="7" t="inlineStr">
        <is>
          <t>PV</t>
        </is>
      </c>
      <c r="F1227" s="7" t="inlineStr">
        <is>
          <t>Importe</t>
        </is>
      </c>
      <c r="H1227" s="27" t="inlineStr">
        <is>
          <t>Cant</t>
        </is>
      </c>
      <c r="I1227" s="27" t="inlineStr">
        <is>
          <t>PV</t>
        </is>
      </c>
      <c r="J1227" s="27" t="inlineStr">
        <is>
          <t>Importe</t>
        </is>
      </c>
      <c r="L1227" s="28" t="inlineStr">
        <is>
          <t>Cant</t>
        </is>
      </c>
      <c r="M1227" s="28" t="inlineStr">
        <is>
          <t>PV</t>
        </is>
      </c>
      <c r="N1227" s="28" t="inlineStr">
        <is>
          <t>Importe</t>
        </is>
      </c>
      <c r="R1227" s="29" t="inlineStr">
        <is>
          <t>Pagado total: 220 €</t>
        </is>
      </c>
    </row>
    <row r="1228">
      <c r="A1228" s="30" t="inlineStr">
        <is>
          <t>P1 Potencia</t>
        </is>
      </c>
      <c r="B1228" s="31" t="n">
        <v>5</v>
      </c>
      <c r="C1228" s="32">
        <f>$N$1225-$L$1225+1</f>
        <v/>
      </c>
      <c r="D1228" s="33" t="n">
        <v>3.68919</v>
      </c>
      <c r="E1228" s="34" t="n">
        <v>3.85</v>
      </c>
      <c r="F1228" s="35">
        <f>ROUND(B1228*E1228,2)</f>
        <v/>
      </c>
      <c r="H1228" s="36" t="n">
        <v>5</v>
      </c>
      <c r="I1228" s="37" t="n">
        <v>3.85</v>
      </c>
      <c r="J1228" s="38">
        <f>ROUND(H1228*I1228,2)</f>
        <v/>
      </c>
      <c r="L1228" s="39" t="n">
        <v>5</v>
      </c>
      <c r="M1228" s="40" t="n">
        <v>3.85</v>
      </c>
      <c r="N1228" s="41">
        <f>ROUND(L1228*M1228,2)</f>
        <v/>
      </c>
      <c r="R1228" s="42" t="inlineStr">
        <is>
          <t>DIF: -25 €   ·   Margen hist.: -12.7%</t>
        </is>
      </c>
    </row>
    <row r="1229">
      <c r="A1229" s="30" t="inlineStr">
        <is>
          <t>P2 Potencia</t>
        </is>
      </c>
      <c r="B1229" s="31" t="n">
        <v>5</v>
      </c>
      <c r="C1229" s="32">
        <f>$N$1225-$L$1225+1</f>
        <v/>
      </c>
      <c r="D1229" s="33" t="n">
        <v>1.31928</v>
      </c>
      <c r="E1229" s="34" t="n">
        <v>1.33</v>
      </c>
      <c r="F1229" s="35">
        <f>ROUND(B1229*E1229,2)</f>
        <v/>
      </c>
      <c r="H1229" s="36" t="n">
        <v>5</v>
      </c>
      <c r="I1229" s="37" t="n">
        <v>1.33</v>
      </c>
      <c r="J1229" s="38">
        <f>ROUND(H1229*I1229,2)</f>
        <v/>
      </c>
      <c r="L1229" s="39" t="n">
        <v>5</v>
      </c>
      <c r="M1229" s="40" t="n">
        <v>1.33</v>
      </c>
      <c r="N1229" s="41">
        <f>ROUND(L1229*M1229,2)</f>
        <v/>
      </c>
      <c r="R1229" s="43" t="inlineStr">
        <is>
          <t>Mejor mes: 2024-12 · 29 € · margen -11%</t>
        </is>
      </c>
    </row>
    <row r="1230">
      <c r="A1230" s="30" t="inlineStr">
        <is>
          <t>P1 Energía</t>
        </is>
      </c>
      <c r="B1230" s="31">
        <f>IF($P$1230&lt;&gt;"",ROUND(AA1230*(($AB$1230/(1-$P$1230))-25.9000)/95.0874,2),IF('Resumen'!$D$3="OPTIMIZAR",ROUND(MAX(AA1230,MIN(AA1230*(($AB$1230/(1-'Resumen'!$F$3))-25.9000)/95.0874,AA1230*(-6.3222)/95.0874)),3),AA1230))</f>
        <v/>
      </c>
      <c r="C1230" s="44" t="n"/>
      <c r="D1230" s="33" t="n">
        <v>0.111171</v>
      </c>
      <c r="E1230" s="34" t="n">
        <v>0.13788</v>
      </c>
      <c r="F1230" s="35">
        <f>ROUND(B1230*E1230,2)</f>
        <v/>
      </c>
      <c r="H1230" s="36" t="n">
        <v>329.109</v>
      </c>
      <c r="I1230" s="37" t="n">
        <v>0.13788</v>
      </c>
      <c r="J1230" s="38">
        <f>ROUND(H1230*I1230,2)</f>
        <v/>
      </c>
      <c r="L1230" s="65" t="n"/>
      <c r="M1230" s="65" t="n"/>
      <c r="N1230" s="65" t="n"/>
      <c r="O1230" s="45" t="inlineStr">
        <is>
          <t>Margen objetivo (edita % aquí) ▶</t>
        </is>
      </c>
      <c r="P1230" s="5" t="n"/>
      <c r="R1230" s="43" t="inlineStr">
        <is>
          <t>Peor mes: 2024-04 · 6 € · margen 5%</t>
        </is>
      </c>
      <c r="AA1230" t="n">
        <v>190.077</v>
      </c>
      <c r="AB1230">
        <f>B1228*D1228+B1229*D1229+AA1230*D1230+AA1231*D1231+AA1232*D1232</f>
        <v/>
      </c>
    </row>
    <row r="1231">
      <c r="A1231" s="30" t="inlineStr">
        <is>
          <t>P2 Energía</t>
        </is>
      </c>
      <c r="B1231" s="31">
        <f>IF($P$1230&lt;&gt;"",ROUND(AA1231*(($AB$1230/(1-$P$1230))-25.9000)/95.0874,2),IF('Resumen'!$D$3="OPTIMIZAR",ROUND(MAX(AA1231,MIN(AA1231*(($AB$1230/(1-'Resumen'!$F$3))-25.9000)/95.0874,AA1231*(-6.3222)/95.0874)),3),AA1231))</f>
        <v/>
      </c>
      <c r="C1231" s="44" t="n"/>
      <c r="D1231" s="33" t="n">
        <v>0.111171</v>
      </c>
      <c r="E1231" s="34" t="n">
        <v>0.13788</v>
      </c>
      <c r="F1231" s="35">
        <f>ROUND(B1231*E1231,2)</f>
        <v/>
      </c>
      <c r="H1231" s="36" t="n">
        <v>322.196</v>
      </c>
      <c r="I1231" s="37" t="n">
        <v>0.13788</v>
      </c>
      <c r="J1231" s="38">
        <f>ROUND(H1231*I1231,2)</f>
        <v/>
      </c>
      <c r="L1231" s="65" t="n"/>
      <c r="M1231" s="65" t="n"/>
      <c r="N1231" s="65" t="n"/>
      <c r="O1231" s="46" t="inlineStr">
        <is>
          <t>Cant. P1/P2/P3 energía suben</t>
        </is>
      </c>
      <c r="R1231" s="43" t="inlineStr">
        <is>
          <t>Importe mensual cobrado (€) · 24 meses ▾</t>
        </is>
      </c>
      <c r="AA1231" t="n">
        <v>146.507</v>
      </c>
    </row>
    <row r="1232">
      <c r="A1232" s="30" t="inlineStr">
        <is>
          <t>P3 Energía</t>
        </is>
      </c>
      <c r="B1232" s="31">
        <f>IF($P$1230&lt;&gt;"",ROUND(AA1232*(($AB$1230/(1-$P$1230))-25.9000)/95.0874,2),IF('Resumen'!$D$3="OPTIMIZAR",ROUND(MAX(AA1232,MIN(AA1232*(($AB$1230/(1-'Resumen'!$F$3))-25.9000)/95.0874,AA1232*(-6.3222)/95.0874)),3),AA1232))</f>
        <v/>
      </c>
      <c r="C1232" s="44" t="n"/>
      <c r="D1232" s="33" t="n">
        <v>0.111171</v>
      </c>
      <c r="E1232" s="34" t="n">
        <v>0.13788</v>
      </c>
      <c r="F1232" s="35">
        <f>ROUND(B1232*E1232,2)</f>
        <v/>
      </c>
      <c r="H1232" s="36" t="n">
        <v>608.369</v>
      </c>
      <c r="I1232" s="37" t="n">
        <v>0.13788</v>
      </c>
      <c r="J1232" s="38">
        <f>ROUND(H1232*I1232,2)</f>
        <v/>
      </c>
      <c r="L1232" s="39" t="n">
        <v>0.171</v>
      </c>
      <c r="M1232" s="40" t="n">
        <v>0.13788</v>
      </c>
      <c r="N1232" s="41">
        <f>ROUND(L1232*M1232,2)</f>
        <v/>
      </c>
      <c r="O1232" s="46" t="inlineStr">
        <is>
          <t>en proporción para ese margen</t>
        </is>
      </c>
      <c r="AA1232" t="n">
        <v>353.055</v>
      </c>
    </row>
    <row r="1233">
      <c r="A1233" s="30" t="inlineStr">
        <is>
          <t>Alquiler contador</t>
        </is>
      </c>
      <c r="B1233" s="31" t="n">
        <v>1</v>
      </c>
      <c r="C1233" s="32">
        <f>$N$1225-$L$1225+1</f>
        <v/>
      </c>
      <c r="D1233" s="33" t="n">
        <v>0.7989000000000001</v>
      </c>
      <c r="E1233" s="34" t="n">
        <v>3</v>
      </c>
      <c r="F1233" s="35">
        <f>ROUND(B1233*E1233,2)</f>
        <v/>
      </c>
      <c r="H1233" s="36" t="n">
        <v>1</v>
      </c>
      <c r="I1233" s="37" t="n">
        <v>3</v>
      </c>
      <c r="J1233" s="38">
        <f>ROUND(H1233*I1233,2)</f>
        <v/>
      </c>
      <c r="L1233" s="39" t="n">
        <v>1</v>
      </c>
      <c r="M1233" s="40" t="n">
        <v>3</v>
      </c>
      <c r="N1233" s="41">
        <f>ROUND(L1233*M1233,2)</f>
        <v/>
      </c>
    </row>
    <row r="1234">
      <c r="A1234" s="30" t="inlineStr">
        <is>
          <t>Bono social</t>
        </is>
      </c>
      <c r="B1234" s="31" t="n">
        <v>30</v>
      </c>
      <c r="C1234" s="32">
        <f>$N$1225-$L$1225+1</f>
        <v/>
      </c>
      <c r="D1234" s="33" t="n">
        <v>0.5736</v>
      </c>
      <c r="E1234" s="34" t="n">
        <v>0.01274</v>
      </c>
      <c r="F1234" s="35">
        <f>ROUND(B1234*E1234,2)</f>
        <v/>
      </c>
      <c r="H1234" s="36" t="n">
        <v>30</v>
      </c>
      <c r="I1234" s="37" t="n">
        <v>0.01274</v>
      </c>
      <c r="J1234" s="38">
        <f>ROUND(H1234*I1234,2)</f>
        <v/>
      </c>
      <c r="L1234" s="39" t="n">
        <v>30</v>
      </c>
      <c r="M1234" s="40" t="n">
        <v>0.00629</v>
      </c>
      <c r="N1234" s="41">
        <f>ROUND(L1234*M1234,2)</f>
        <v/>
      </c>
    </row>
    <row r="1235">
      <c r="A1235" s="30" t="inlineStr">
        <is>
          <t>Tasa eléctrica</t>
        </is>
      </c>
      <c r="B1235" s="31" t="n">
        <v>6.19</v>
      </c>
      <c r="C1235" s="44" t="n"/>
      <c r="D1235" s="33" t="n">
        <v>0.27312</v>
      </c>
      <c r="E1235" s="34" t="n">
        <v>1</v>
      </c>
      <c r="F1235" s="35">
        <f>ROUND(B1235*E1235,2)</f>
        <v/>
      </c>
      <c r="H1235" s="36" t="n">
        <v>10.21</v>
      </c>
      <c r="I1235" s="37" t="n">
        <v>1</v>
      </c>
      <c r="J1235" s="38">
        <f>ROUND(H1235*I1235,2)</f>
        <v/>
      </c>
      <c r="L1235" s="39" t="n">
        <v>1.33</v>
      </c>
      <c r="M1235" s="40" t="n">
        <v>1</v>
      </c>
      <c r="N1235" s="41">
        <f>ROUND(L1235*M1235,2)</f>
        <v/>
      </c>
    </row>
    <row r="1236">
      <c r="A1236" s="47" t="inlineStr">
        <is>
          <t>TOTAL c/IVA</t>
        </is>
      </c>
      <c r="F1236" s="48">
        <f>ROUND((SUM(F1228:F1235)-F1235)*1.1+F1235,2)</f>
        <v/>
      </c>
      <c r="J1236" s="49">
        <f>ROUND(SUM(J1228:J1235),2)</f>
        <v/>
      </c>
      <c r="N1236" s="50">
        <f>ROUND(SUM(N1228:N1235),2)</f>
        <v/>
      </c>
    </row>
    <row r="1237">
      <c r="A1237" s="19" t="inlineStr">
        <is>
          <t>MARGEN sin registrar</t>
        </is>
      </c>
      <c r="B1237" s="51">
        <f>IF((F1231+F1228+F1230+F1232+F1229)=0,"",((F1231+F1228+F1230+F1232+F1229)-$AB$1230)/(F1231+F1228+F1230+F1232+F1229))</f>
        <v/>
      </c>
      <c r="D1237" s="52">
        <f>IF(B1237="","SIN PC",IF(B1237&gt;=0.3,"APROBAR",IF(B1237&gt;=0.2,"REVISAR","RECHAZAR")))</f>
        <v/>
      </c>
      <c r="E1237" s="53" t="n"/>
      <c r="F1237" s="54" t="n"/>
      <c r="AD1237">
        <f>SUM(F1230:F1232)-95.0874</f>
        <v/>
      </c>
    </row>
    <row r="1239">
      <c r="A1239" s="15" t="inlineStr">
        <is>
          <t>Factura 8656 · C02340 · PRISCILA WELTER CARRASCO</t>
        </is>
      </c>
      <c r="H1239" s="15" t="inlineStr">
        <is>
          <t>ES0021000012718599HX · Naturgy</t>
        </is>
      </c>
      <c r="L1239" s="16" t="n">
        <v>46113</v>
      </c>
      <c r="M1239" s="17" t="inlineStr">
        <is>
          <t>a</t>
        </is>
      </c>
      <c r="N1239" s="16" t="n">
        <v>46142</v>
      </c>
      <c r="R1239" s="18" t="inlineStr">
        <is>
          <t>HISTÓRICO DEL CUPS · HOJA TTVA LUZ</t>
        </is>
      </c>
    </row>
    <row r="1240">
      <c r="A1240" s="19" t="inlineStr">
        <is>
          <t>Concepto</t>
        </is>
      </c>
      <c r="B1240" s="20" t="inlineStr">
        <is>
          <t>PENDIENTE (sin registrar)</t>
        </is>
      </c>
      <c r="C1240" s="21" t="n"/>
      <c r="D1240" s="21" t="n"/>
      <c r="E1240" s="21" t="n"/>
      <c r="F1240" s="21" t="n"/>
      <c r="H1240" s="22" t="inlineStr">
        <is>
          <t>MES ANTERIOR · Fact.6387</t>
        </is>
      </c>
      <c r="I1240" s="23" t="n"/>
      <c r="J1240" s="23" t="n"/>
      <c r="L1240" s="24" t="inlineStr">
        <is>
          <t>AÑO ANTERIOR · Fact.4544</t>
        </is>
      </c>
      <c r="M1240" s="25" t="n"/>
      <c r="N1240" s="25" t="n"/>
      <c r="R1240" s="26" t="inlineStr">
        <is>
          <t>Cobrado total: 1.439 €</t>
        </is>
      </c>
    </row>
    <row r="1241">
      <c r="B1241" s="7" t="inlineStr">
        <is>
          <t>Cant</t>
        </is>
      </c>
      <c r="C1241" s="7" t="inlineStr">
        <is>
          <t>Días</t>
        </is>
      </c>
      <c r="D1241" s="7" t="inlineStr">
        <is>
          <t>PC real</t>
        </is>
      </c>
      <c r="E1241" s="7" t="inlineStr">
        <is>
          <t>PV</t>
        </is>
      </c>
      <c r="F1241" s="7" t="inlineStr">
        <is>
          <t>Importe</t>
        </is>
      </c>
      <c r="H1241" s="27" t="inlineStr">
        <is>
          <t>Cant</t>
        </is>
      </c>
      <c r="I1241" s="27" t="inlineStr">
        <is>
          <t>PV</t>
        </is>
      </c>
      <c r="J1241" s="27" t="inlineStr">
        <is>
          <t>Importe</t>
        </is>
      </c>
      <c r="L1241" s="28" t="inlineStr">
        <is>
          <t>Cant</t>
        </is>
      </c>
      <c r="M1241" s="28" t="inlineStr">
        <is>
          <t>PV</t>
        </is>
      </c>
      <c r="N1241" s="28" t="inlineStr">
        <is>
          <t>Importe</t>
        </is>
      </c>
      <c r="R1241" s="29" t="inlineStr">
        <is>
          <t>Pagado total: 1.464 €</t>
        </is>
      </c>
    </row>
    <row r="1242">
      <c r="A1242" s="30" t="inlineStr">
        <is>
          <t>P1 Potencia</t>
        </is>
      </c>
      <c r="B1242" s="31" t="n">
        <v>9.9</v>
      </c>
      <c r="C1242" s="32">
        <f>$N$1239-$L$1239+1</f>
        <v/>
      </c>
      <c r="D1242" s="33" t="n">
        <v>3.68919</v>
      </c>
      <c r="E1242" s="34" t="n">
        <v>3.85</v>
      </c>
      <c r="F1242" s="35">
        <f>ROUND(B1242*E1242,2)</f>
        <v/>
      </c>
      <c r="H1242" s="36" t="n">
        <v>9.9</v>
      </c>
      <c r="I1242" s="37" t="n">
        <v>3.85</v>
      </c>
      <c r="J1242" s="38">
        <f>ROUND(H1242*I1242,2)</f>
        <v/>
      </c>
      <c r="L1242" s="39" t="n">
        <v>9.9</v>
      </c>
      <c r="M1242" s="40" t="n">
        <v>4.17</v>
      </c>
      <c r="N1242" s="41">
        <f>ROUND(L1242*M1242,2)</f>
        <v/>
      </c>
      <c r="R1242" s="42" t="inlineStr">
        <is>
          <t>DIF: -25 €   ·   Margen hist.: -1.7%</t>
        </is>
      </c>
    </row>
    <row r="1243">
      <c r="A1243" s="30" t="inlineStr">
        <is>
          <t>P2 Potencia</t>
        </is>
      </c>
      <c r="B1243" s="31" t="n">
        <v>9.9</v>
      </c>
      <c r="C1243" s="32">
        <f>$N$1239-$L$1239+1</f>
        <v/>
      </c>
      <c r="D1243" s="33" t="n">
        <v>1.31928</v>
      </c>
      <c r="E1243" s="34" t="n">
        <v>1.33</v>
      </c>
      <c r="F1243" s="35">
        <f>ROUND(B1243*E1243,2)</f>
        <v/>
      </c>
      <c r="H1243" s="36" t="n">
        <v>9.9</v>
      </c>
      <c r="I1243" s="37" t="n">
        <v>1.33</v>
      </c>
      <c r="J1243" s="38">
        <f>ROUND(H1243*I1243,2)</f>
        <v/>
      </c>
      <c r="L1243" s="65" t="n"/>
      <c r="M1243" s="65" t="n"/>
      <c r="N1243" s="65" t="n"/>
      <c r="R1243" s="43" t="inlineStr">
        <is>
          <t>Mejor mes: 2024-08 · 269 € · margen 32%</t>
        </is>
      </c>
    </row>
    <row r="1244">
      <c r="A1244" s="30" t="inlineStr">
        <is>
          <t>P1 Energía</t>
        </is>
      </c>
      <c r="B1244" s="31">
        <f>IF($P$1244&lt;&gt;"",ROUND(AA1244*(($AB$1244/(1-$P$1244))-51.2820)/46.5007,2),IF('Resumen'!$D$3="OPTIMIZAR",ROUND(MAX(AA1244,MIN(AA1244*(($AB$1244/(1-'Resumen'!$F$3))-51.2820)/46.5007,AA1244*(209.5458)/46.5007)),3),AA1244))</f>
        <v/>
      </c>
      <c r="C1244" s="44" t="n"/>
      <c r="D1244" s="33" t="n">
        <v>0.111171</v>
      </c>
      <c r="E1244" s="34" t="n">
        <v>0.13788</v>
      </c>
      <c r="F1244" s="35">
        <f>ROUND(B1244*E1244,2)</f>
        <v/>
      </c>
      <c r="H1244" s="36" t="n">
        <v>197.868</v>
      </c>
      <c r="I1244" s="37" t="n">
        <v>0.13788</v>
      </c>
      <c r="J1244" s="38">
        <f>ROUND(H1244*I1244,2)</f>
        <v/>
      </c>
      <c r="L1244" s="39" t="n">
        <v>305</v>
      </c>
      <c r="M1244" s="40" t="n">
        <v>0.13788</v>
      </c>
      <c r="N1244" s="41">
        <f>ROUND(L1244*M1244,2)</f>
        <v/>
      </c>
      <c r="O1244" s="45" t="inlineStr">
        <is>
          <t>Margen objetivo (edita % aquí) ▶</t>
        </is>
      </c>
      <c r="P1244" s="5" t="n"/>
      <c r="R1244" s="43" t="inlineStr">
        <is>
          <t>Peor mes: 2024-11 · 103 € · margen -112%</t>
        </is>
      </c>
      <c r="AA1244" t="n">
        <v>145.06</v>
      </c>
      <c r="AB1244">
        <f>B1242*D1242+B1243*D1243+AA1244*D1244+AA1245*D1245+AA1246*D1246</f>
        <v/>
      </c>
    </row>
    <row r="1245">
      <c r="A1245" s="30" t="inlineStr">
        <is>
          <t>P2 Energía</t>
        </is>
      </c>
      <c r="B1245" s="31">
        <f>IF($P$1244&lt;&gt;"",ROUND(AA1245*(($AB$1244/(1-$P$1244))-51.2820)/46.5007,2),IF('Resumen'!$D$3="OPTIMIZAR",ROUND(MAX(AA1245,MIN(AA1245*(($AB$1244/(1-'Resumen'!$F$3))-51.2820)/46.5007,AA1245*(209.5458)/46.5007)),3),AA1245))</f>
        <v/>
      </c>
      <c r="C1245" s="44" t="n"/>
      <c r="D1245" s="33" t="n">
        <v>0.111171</v>
      </c>
      <c r="E1245" s="34" t="n">
        <v>0.13788</v>
      </c>
      <c r="F1245" s="35">
        <f>ROUND(B1245*E1245,2)</f>
        <v/>
      </c>
      <c r="H1245" s="36" t="n">
        <v>91.815</v>
      </c>
      <c r="I1245" s="37" t="n">
        <v>0.13788</v>
      </c>
      <c r="J1245" s="38">
        <f>ROUND(H1245*I1245,2)</f>
        <v/>
      </c>
      <c r="L1245" s="65" t="n"/>
      <c r="M1245" s="65" t="n"/>
      <c r="N1245" s="65" t="n"/>
      <c r="O1245" s="46" t="inlineStr">
        <is>
          <t>Cant. P1/P2/P3 energía suben</t>
        </is>
      </c>
      <c r="R1245" s="43" t="inlineStr">
        <is>
          <t>Importe mensual cobrado (€) · 24 meses ▾</t>
        </is>
      </c>
      <c r="AA1245" t="n">
        <v>62.333</v>
      </c>
    </row>
    <row r="1246">
      <c r="A1246" s="30" t="inlineStr">
        <is>
          <t>P3 Energía</t>
        </is>
      </c>
      <c r="B1246" s="31">
        <f>IF($P$1244&lt;&gt;"",ROUND(AA1246*(($AB$1244/(1-$P$1244))-51.2820)/46.5007,2),IF('Resumen'!$D$3="OPTIMIZAR",ROUND(MAX(AA1246,MIN(AA1246*(($AB$1244/(1-'Resumen'!$F$3))-51.2820)/46.5007,AA1246*(209.5458)/46.5007)),3),AA1246))</f>
        <v/>
      </c>
      <c r="C1246" s="44" t="n"/>
      <c r="D1246" s="33" t="n">
        <v>0.111171</v>
      </c>
      <c r="E1246" s="34" t="n">
        <v>0.13788</v>
      </c>
      <c r="F1246" s="35">
        <f>ROUND(B1246*E1246,2)</f>
        <v/>
      </c>
      <c r="H1246" s="36" t="n">
        <v>162.875</v>
      </c>
      <c r="I1246" s="37" t="n">
        <v>0.13788</v>
      </c>
      <c r="J1246" s="38">
        <f>ROUND(H1246*I1246,2)</f>
        <v/>
      </c>
      <c r="L1246" s="65" t="n"/>
      <c r="M1246" s="65" t="n"/>
      <c r="N1246" s="65" t="n"/>
      <c r="O1246" s="46" t="inlineStr">
        <is>
          <t>en proporción para ese margen</t>
        </is>
      </c>
      <c r="AA1246" t="n">
        <v>129.862</v>
      </c>
    </row>
    <row r="1247">
      <c r="A1247" s="30" t="inlineStr">
        <is>
          <t>Alquiler contador</t>
        </is>
      </c>
      <c r="B1247" s="31" t="n">
        <v>1</v>
      </c>
      <c r="C1247" s="32">
        <f>$N$1239-$L$1239+1</f>
        <v/>
      </c>
      <c r="D1247" s="33" t="n">
        <v>1.3414</v>
      </c>
      <c r="E1247" s="34" t="n">
        <v>3</v>
      </c>
      <c r="F1247" s="35">
        <f>ROUND(B1247*E1247,2)</f>
        <v/>
      </c>
      <c r="H1247" s="36" t="n">
        <v>1</v>
      </c>
      <c r="I1247" s="37" t="n">
        <v>3</v>
      </c>
      <c r="J1247" s="38">
        <f>ROUND(H1247*I1247,2)</f>
        <v/>
      </c>
      <c r="L1247" s="39" t="n">
        <v>1</v>
      </c>
      <c r="M1247" s="40" t="n">
        <v>3</v>
      </c>
      <c r="N1247" s="41">
        <f>ROUND(L1247*M1247,2)</f>
        <v/>
      </c>
    </row>
    <row r="1248">
      <c r="A1248" s="30" t="inlineStr">
        <is>
          <t>Bono social</t>
        </is>
      </c>
      <c r="B1248" s="31" t="n">
        <v>30</v>
      </c>
      <c r="C1248" s="32">
        <f>$N$1239-$L$1239+1</f>
        <v/>
      </c>
      <c r="D1248" s="33" t="n">
        <v>0.5736</v>
      </c>
      <c r="E1248" s="34" t="n">
        <v>0.01274</v>
      </c>
      <c r="F1248" s="35">
        <f>ROUND(B1248*E1248,2)</f>
        <v/>
      </c>
      <c r="H1248" s="36" t="n">
        <v>30</v>
      </c>
      <c r="I1248" s="37" t="n">
        <v>0.01274</v>
      </c>
      <c r="J1248" s="38">
        <f>ROUND(H1248*I1248,2)</f>
        <v/>
      </c>
      <c r="L1248" s="39" t="n">
        <v>30</v>
      </c>
      <c r="M1248" s="40" t="n">
        <v>0.01274</v>
      </c>
      <c r="N1248" s="41">
        <f>ROUND(L1248*M1248,2)</f>
        <v/>
      </c>
    </row>
    <row r="1249">
      <c r="A1249" s="30" t="inlineStr">
        <is>
          <t>Tasa eléctrica</t>
        </is>
      </c>
      <c r="B1249" s="31" t="n">
        <v>5.01</v>
      </c>
      <c r="C1249" s="44" t="n"/>
      <c r="D1249" s="33" t="n">
        <v>0.02671</v>
      </c>
      <c r="E1249" s="34" t="n">
        <v>1</v>
      </c>
      <c r="F1249" s="35">
        <f>ROUND(B1249*E1249,2)</f>
        <v/>
      </c>
      <c r="H1249" s="36" t="n">
        <v>5.82</v>
      </c>
      <c r="I1249" s="37" t="n">
        <v>1</v>
      </c>
      <c r="J1249" s="38">
        <f>ROUND(H1249*I1249,2)</f>
        <v/>
      </c>
      <c r="L1249" s="39" t="n">
        <v>5</v>
      </c>
      <c r="M1249" s="40" t="n">
        <v>1</v>
      </c>
      <c r="N1249" s="41">
        <f>ROUND(L1249*M1249,2)</f>
        <v/>
      </c>
    </row>
    <row r="1250">
      <c r="A1250" s="47" t="inlineStr">
        <is>
          <t>TOTAL c/IVA</t>
        </is>
      </c>
      <c r="F1250" s="48">
        <f>ROUND((SUM(F1242:F1249)-F1249)*1.1+F1249,2)</f>
        <v/>
      </c>
      <c r="J1250" s="49">
        <f>ROUND(SUM(J1242:J1249),2)</f>
        <v/>
      </c>
      <c r="N1250" s="50">
        <f>ROUND(SUM(N1242:N1249),2)</f>
        <v/>
      </c>
    </row>
    <row r="1251">
      <c r="A1251" s="19" t="inlineStr">
        <is>
          <t>MARGEN sin registrar</t>
        </is>
      </c>
      <c r="B1251" s="51">
        <f>IF((F1245+F1242+F1244+F1246+F1243)=0,"",((F1245+F1242+F1244+F1246+F1243)-$AB$1244)/(F1245+F1242+F1244+F1246+F1243))</f>
        <v/>
      </c>
      <c r="D1251" s="52">
        <f>IF(B1251="","SIN PC",IF(B1251&gt;=0.3,"APROBAR",IF(B1251&gt;=0.2,"REVISAR","RECHAZAR")))</f>
        <v/>
      </c>
      <c r="E1251" s="53" t="n"/>
      <c r="F1251" s="54" t="n"/>
      <c r="AD1251">
        <f>SUM(F1244:F1246)-46.5007</f>
        <v/>
      </c>
    </row>
    <row r="1253">
      <c r="A1253" s="15" t="inlineStr">
        <is>
          <t>Factura 8657 · C02350 · YANIS DAHIANA JIMENEZ JIMENEZ</t>
        </is>
      </c>
      <c r="H1253" s="15" t="inlineStr">
        <is>
          <t>ES0021000001202657NF · Naturgy</t>
        </is>
      </c>
      <c r="L1253" s="16" t="n">
        <v>46113</v>
      </c>
      <c r="M1253" s="17" t="inlineStr">
        <is>
          <t>a</t>
        </is>
      </c>
      <c r="N1253" s="16" t="n">
        <v>46142</v>
      </c>
      <c r="R1253" s="18" t="inlineStr">
        <is>
          <t>HISTÓRICO DEL CUPS · HOJA TTVA LUZ</t>
        </is>
      </c>
    </row>
    <row r="1254">
      <c r="A1254" s="19" t="inlineStr">
        <is>
          <t>Concepto</t>
        </is>
      </c>
      <c r="B1254" s="20" t="inlineStr">
        <is>
          <t>PENDIENTE (sin registrar)</t>
        </is>
      </c>
      <c r="C1254" s="21" t="n"/>
      <c r="D1254" s="21" t="n"/>
      <c r="E1254" s="21" t="n"/>
      <c r="F1254" s="21" t="n"/>
      <c r="H1254" s="22" t="inlineStr">
        <is>
          <t>MES ANTERIOR · Fact.6386</t>
        </is>
      </c>
      <c r="I1254" s="23" t="n"/>
      <c r="J1254" s="23" t="n"/>
      <c r="L1254" s="24" t="inlineStr">
        <is>
          <t>AÑO ANTERIOR · Fact.4576</t>
        </is>
      </c>
      <c r="M1254" s="25" t="n"/>
      <c r="N1254" s="25" t="n"/>
      <c r="R1254" s="26" t="inlineStr">
        <is>
          <t>Cobrado total: 4.242 €</t>
        </is>
      </c>
    </row>
    <row r="1255">
      <c r="B1255" s="7" t="inlineStr">
        <is>
          <t>Cant</t>
        </is>
      </c>
      <c r="C1255" s="7" t="inlineStr">
        <is>
          <t>Días</t>
        </is>
      </c>
      <c r="D1255" s="7" t="inlineStr">
        <is>
          <t>PC real</t>
        </is>
      </c>
      <c r="E1255" s="7" t="inlineStr">
        <is>
          <t>PV</t>
        </is>
      </c>
      <c r="F1255" s="7" t="inlineStr">
        <is>
          <t>Importe</t>
        </is>
      </c>
      <c r="H1255" s="27" t="inlineStr">
        <is>
          <t>Cant</t>
        </is>
      </c>
      <c r="I1255" s="27" t="inlineStr">
        <is>
          <t>PV</t>
        </is>
      </c>
      <c r="J1255" s="27" t="inlineStr">
        <is>
          <t>Importe</t>
        </is>
      </c>
      <c r="L1255" s="28" t="inlineStr">
        <is>
          <t>Cant</t>
        </is>
      </c>
      <c r="M1255" s="28" t="inlineStr">
        <is>
          <t>PV</t>
        </is>
      </c>
      <c r="N1255" s="28" t="inlineStr">
        <is>
          <t>Importe</t>
        </is>
      </c>
      <c r="R1255" s="29" t="inlineStr">
        <is>
          <t>Pagado total: 3.900 €</t>
        </is>
      </c>
    </row>
    <row r="1256">
      <c r="A1256" s="30" t="inlineStr">
        <is>
          <t>P1 Potencia</t>
        </is>
      </c>
      <c r="B1256" s="31" t="n">
        <v>11</v>
      </c>
      <c r="C1256" s="32">
        <f>$N$1253-$L$1253+1</f>
        <v/>
      </c>
      <c r="D1256" s="33" t="n">
        <v>3.68919</v>
      </c>
      <c r="E1256" s="34" t="n">
        <v>4.17</v>
      </c>
      <c r="F1256" s="35">
        <f>ROUND(B1256*E1256,2)</f>
        <v/>
      </c>
      <c r="H1256" s="36" t="n">
        <v>11</v>
      </c>
      <c r="I1256" s="37" t="n">
        <v>4.17</v>
      </c>
      <c r="J1256" s="38">
        <f>ROUND(H1256*I1256,2)</f>
        <v/>
      </c>
      <c r="L1256" s="39" t="n">
        <v>11</v>
      </c>
      <c r="M1256" s="40" t="n">
        <v>4.17</v>
      </c>
      <c r="N1256" s="41">
        <f>ROUND(L1256*M1256,2)</f>
        <v/>
      </c>
      <c r="R1256" s="42" t="inlineStr">
        <is>
          <t>DIF: 342 €   ·   Margen hist.: 8.1%</t>
        </is>
      </c>
    </row>
    <row r="1257">
      <c r="A1257" s="30" t="inlineStr">
        <is>
          <t>P2 Potencia</t>
        </is>
      </c>
      <c r="B1257" s="31" t="n">
        <v>11</v>
      </c>
      <c r="C1257" s="32">
        <f>$N$1253-$L$1253+1</f>
        <v/>
      </c>
      <c r="D1257" s="33" t="n">
        <v>1.31928</v>
      </c>
      <c r="E1257" s="34" t="n">
        <v>1.37</v>
      </c>
      <c r="F1257" s="35">
        <f>ROUND(B1257*E1257,2)</f>
        <v/>
      </c>
      <c r="H1257" s="36" t="n">
        <v>11</v>
      </c>
      <c r="I1257" s="37" t="n">
        <v>1.37</v>
      </c>
      <c r="J1257" s="38">
        <f>ROUND(H1257*I1257,2)</f>
        <v/>
      </c>
      <c r="L1257" s="39" t="n">
        <v>11</v>
      </c>
      <c r="M1257" s="40" t="n">
        <v>1.37</v>
      </c>
      <c r="N1257" s="41">
        <f>ROUND(L1257*M1257,2)</f>
        <v/>
      </c>
      <c r="R1257" s="43" t="inlineStr">
        <is>
          <t>Mejor mes: 2024-07 · 759 € · margen 10%</t>
        </is>
      </c>
    </row>
    <row r="1258">
      <c r="A1258" s="30" t="inlineStr">
        <is>
          <t>P1 Energía</t>
        </is>
      </c>
      <c r="B1258" s="31">
        <f>IF($P$1258&lt;&gt;"",ROUND(AA1258*(($AB$1258/(1-$P$1258))-60.9400)/403.7420,2),IF('Resumen'!$D$3="OPTIMIZAR",ROUND(MAX(AA1258,MIN(AA1258*(($AB$1258/(1-'Resumen'!$F$3))-60.9400)/403.7420,AA1258*(668.7878)/403.7420)),3),AA1258))</f>
        <v/>
      </c>
      <c r="C1258" s="44" t="n"/>
      <c r="D1258" s="33" t="n">
        <v>0.111171</v>
      </c>
      <c r="E1258" s="34" t="n">
        <v>0.129</v>
      </c>
      <c r="F1258" s="35">
        <f>ROUND(B1258*E1258,2)</f>
        <v/>
      </c>
      <c r="H1258" s="36" t="n">
        <v>741.323</v>
      </c>
      <c r="I1258" s="37" t="n">
        <v>0.129</v>
      </c>
      <c r="J1258" s="38">
        <f>ROUND(H1258*I1258,2)</f>
        <v/>
      </c>
      <c r="L1258" s="39" t="n">
        <v>617.707</v>
      </c>
      <c r="M1258" s="40" t="n">
        <v>0.14937</v>
      </c>
      <c r="N1258" s="41">
        <f>ROUND(L1258*M1258,2)</f>
        <v/>
      </c>
      <c r="O1258" s="45" t="inlineStr">
        <is>
          <t>Margen objetivo (edita % aquí) ▶</t>
        </is>
      </c>
      <c r="P1258" s="5" t="n"/>
      <c r="R1258" s="43" t="inlineStr">
        <is>
          <t>Peor mes: 2024-05 · 234 € · margen 13%</t>
        </is>
      </c>
      <c r="AA1258" t="n">
        <v>837.455</v>
      </c>
      <c r="AB1258">
        <f>B1256*D1256+B1257*D1257+AA1258*D1258+AA1259*D1259+AA1260*D1260</f>
        <v/>
      </c>
    </row>
    <row r="1259">
      <c r="A1259" s="30" t="inlineStr">
        <is>
          <t>P2 Energía</t>
        </is>
      </c>
      <c r="B1259" s="31">
        <f>IF($P$1258&lt;&gt;"",ROUND(AA1259*(($AB$1258/(1-$P$1258))-60.9400)/403.7420,2),IF('Resumen'!$D$3="OPTIMIZAR",ROUND(MAX(AA1259,MIN(AA1259*(($AB$1258/(1-'Resumen'!$F$3))-60.9400)/403.7420,AA1259*(668.7878)/403.7420)),3),AA1259))</f>
        <v/>
      </c>
      <c r="C1259" s="44" t="n"/>
      <c r="D1259" s="33" t="n">
        <v>0.111171</v>
      </c>
      <c r="E1259" s="34" t="n">
        <v>0.129</v>
      </c>
      <c r="F1259" s="35">
        <f>ROUND(B1259*E1259,2)</f>
        <v/>
      </c>
      <c r="H1259" s="36" t="n">
        <v>536.852</v>
      </c>
      <c r="I1259" s="37" t="n">
        <v>0.129</v>
      </c>
      <c r="J1259" s="38">
        <f>ROUND(H1259*I1259,2)</f>
        <v/>
      </c>
      <c r="L1259" s="39" t="n">
        <v>506.77</v>
      </c>
      <c r="M1259" s="40" t="n">
        <v>0.14937</v>
      </c>
      <c r="N1259" s="41">
        <f>ROUND(L1259*M1259,2)</f>
        <v/>
      </c>
      <c r="O1259" s="46" t="inlineStr">
        <is>
          <t>Cant. P1/P2/P3 energía suben</t>
        </is>
      </c>
      <c r="R1259" s="43" t="inlineStr">
        <is>
          <t>Importe mensual cobrado (€) · 24 meses ▾</t>
        </is>
      </c>
      <c r="AA1259" t="n">
        <v>780.818</v>
      </c>
    </row>
    <row r="1260">
      <c r="A1260" s="30" t="inlineStr">
        <is>
          <t>P3 Energía</t>
        </is>
      </c>
      <c r="B1260" s="31">
        <f>IF($P$1258&lt;&gt;"",ROUND(AA1260*(($AB$1258/(1-$P$1258))-60.9400)/403.7420,2),IF('Resumen'!$D$3="OPTIMIZAR",ROUND(MAX(AA1260,MIN(AA1260*(($AB$1258/(1-'Resumen'!$F$3))-60.9400)/403.7420,AA1260*(668.7878)/403.7420)),3),AA1260))</f>
        <v/>
      </c>
      <c r="C1260" s="44" t="n"/>
      <c r="D1260" s="33" t="n">
        <v>0.111171</v>
      </c>
      <c r="E1260" s="34" t="n">
        <v>0.129</v>
      </c>
      <c r="F1260" s="35">
        <f>ROUND(B1260*E1260,2)</f>
        <v/>
      </c>
      <c r="H1260" s="36" t="n">
        <v>1298.26</v>
      </c>
      <c r="I1260" s="37" t="n">
        <v>0.129</v>
      </c>
      <c r="J1260" s="38">
        <f>ROUND(H1260*I1260,2)</f>
        <v/>
      </c>
      <c r="L1260" s="39" t="n">
        <v>1039.06</v>
      </c>
      <c r="M1260" s="40" t="n">
        <v>0.14937</v>
      </c>
      <c r="N1260" s="41">
        <f>ROUND(L1260*M1260,2)</f>
        <v/>
      </c>
      <c r="O1260" s="46" t="inlineStr">
        <is>
          <t>en proporción para ese margen</t>
        </is>
      </c>
      <c r="AA1260" t="n">
        <v>1511.51</v>
      </c>
    </row>
    <row r="1261">
      <c r="A1261" s="30" t="inlineStr">
        <is>
          <t>Alquiler contador</t>
        </is>
      </c>
      <c r="B1261" s="31" t="n">
        <v>1</v>
      </c>
      <c r="C1261" s="32">
        <f>$N$1253-$L$1253+1</f>
        <v/>
      </c>
      <c r="D1261" s="33" t="n">
        <v>1.3414</v>
      </c>
      <c r="E1261" s="34" t="n">
        <v>4</v>
      </c>
      <c r="F1261" s="35">
        <f>ROUND(B1261*E1261,2)</f>
        <v/>
      </c>
      <c r="H1261" s="36" t="n">
        <v>1</v>
      </c>
      <c r="I1261" s="37" t="n">
        <v>1</v>
      </c>
      <c r="J1261" s="38">
        <f>ROUND(H1261*I1261,2)</f>
        <v/>
      </c>
      <c r="L1261" s="39" t="n">
        <v>1</v>
      </c>
      <c r="M1261" s="40" t="n">
        <v>4</v>
      </c>
      <c r="N1261" s="41">
        <f>ROUND(L1261*M1261,2)</f>
        <v/>
      </c>
    </row>
    <row r="1262">
      <c r="A1262" s="30" t="inlineStr">
        <is>
          <t>Bono social</t>
        </is>
      </c>
      <c r="B1262" s="31" t="n">
        <v>30</v>
      </c>
      <c r="C1262" s="32">
        <f>$N$1253-$L$1253+1</f>
        <v/>
      </c>
      <c r="D1262" s="33" t="n">
        <v>0.5736</v>
      </c>
      <c r="E1262" s="34" t="n">
        <v>0.01274</v>
      </c>
      <c r="F1262" s="35">
        <f>ROUND(B1262*E1262,2)</f>
        <v/>
      </c>
      <c r="H1262" s="36" t="n">
        <v>30</v>
      </c>
      <c r="I1262" s="37" t="n">
        <v>0.01274</v>
      </c>
      <c r="J1262" s="38">
        <f>ROUND(H1262*I1262,2)</f>
        <v/>
      </c>
      <c r="L1262" s="39" t="n">
        <v>30</v>
      </c>
      <c r="M1262" s="40" t="n">
        <v>0.00629</v>
      </c>
      <c r="N1262" s="41">
        <f>ROUND(L1262*M1262,2)</f>
        <v/>
      </c>
    </row>
    <row r="1263">
      <c r="A1263" s="30" t="inlineStr">
        <is>
          <t>Tasa eléctrica</t>
        </is>
      </c>
      <c r="B1263" s="31" t="n">
        <v>25.15</v>
      </c>
      <c r="C1263" s="44" t="n"/>
      <c r="D1263" s="33" t="n">
        <v>0.27312</v>
      </c>
      <c r="E1263" s="34" t="n">
        <v>1</v>
      </c>
      <c r="F1263" s="35">
        <f>ROUND(B1263*E1263,2)</f>
        <v/>
      </c>
      <c r="H1263" s="36" t="n">
        <v>21.33</v>
      </c>
      <c r="I1263" s="37" t="n">
        <v>1</v>
      </c>
      <c r="J1263" s="38">
        <f>ROUND(H1263*I1263,2)</f>
        <v/>
      </c>
      <c r="L1263" s="39" t="n">
        <v>19.64</v>
      </c>
      <c r="M1263" s="40" t="n">
        <v>1</v>
      </c>
      <c r="N1263" s="41">
        <f>ROUND(L1263*M1263,2)</f>
        <v/>
      </c>
    </row>
    <row r="1264">
      <c r="A1264" s="47" t="inlineStr">
        <is>
          <t>TOTAL c/IVA</t>
        </is>
      </c>
      <c r="F1264" s="48">
        <f>ROUND((SUM(F1256:F1263)-F1263)*1.1+F1263,2)</f>
        <v/>
      </c>
      <c r="J1264" s="49">
        <f>ROUND(SUM(J1256:J1263),2)</f>
        <v/>
      </c>
      <c r="N1264" s="50">
        <f>ROUND(SUM(N1256:N1263),2)</f>
        <v/>
      </c>
    </row>
    <row r="1265">
      <c r="A1265" s="19" t="inlineStr">
        <is>
          <t>MARGEN sin registrar</t>
        </is>
      </c>
      <c r="B1265" s="51">
        <f>IF((F1259+F1256+F1258+F1260+F1257)=0,"",((F1259+F1256+F1258+F1260+F1257)-$AB$1258)/(F1259+F1256+F1258+F1260+F1257))</f>
        <v/>
      </c>
      <c r="D1265" s="52">
        <f>IF(B1265="","SIN PC",IF(B1265&gt;=0.3,"APROBAR",IF(B1265&gt;=0.2,"REVISAR","RECHAZAR")))</f>
        <v/>
      </c>
      <c r="E1265" s="53" t="n"/>
      <c r="F1265" s="54" t="n"/>
      <c r="AD1265">
        <f>SUM(F1258:F1260)-403.7420</f>
        <v/>
      </c>
    </row>
    <row r="1267">
      <c r="A1267" s="15" t="inlineStr">
        <is>
          <t>Factura 8658 · C02380 · FORMATGES MÓNICA</t>
        </is>
      </c>
      <c r="H1267" s="15" t="inlineStr">
        <is>
          <t>ES0021000001192535DM · Naturgy</t>
        </is>
      </c>
      <c r="L1267" s="16" t="n">
        <v>46113</v>
      </c>
      <c r="M1267" s="17" t="inlineStr">
        <is>
          <t>a</t>
        </is>
      </c>
      <c r="N1267" s="16" t="n">
        <v>46142</v>
      </c>
      <c r="R1267" s="18" t="inlineStr">
        <is>
          <t>HISTÓRICO DEL CUPS · HOJA TTVA LUZ</t>
        </is>
      </c>
    </row>
    <row r="1268">
      <c r="A1268" s="19" t="inlineStr">
        <is>
          <t>Concepto</t>
        </is>
      </c>
      <c r="B1268" s="20" t="inlineStr">
        <is>
          <t>PENDIENTE (sin registrar)</t>
        </is>
      </c>
      <c r="C1268" s="21" t="n"/>
      <c r="D1268" s="21" t="n"/>
      <c r="E1268" s="21" t="n"/>
      <c r="F1268" s="21" t="n"/>
      <c r="H1268" s="22" t="inlineStr">
        <is>
          <t>MES ANTERIOR · Fact.6385</t>
        </is>
      </c>
      <c r="I1268" s="23" t="n"/>
      <c r="J1268" s="23" t="n"/>
      <c r="L1268" s="24" t="inlineStr">
        <is>
          <t>AÑO ANTERIOR · Fact.4575</t>
        </is>
      </c>
      <c r="M1268" s="25" t="n"/>
      <c r="N1268" s="25" t="n"/>
      <c r="R1268" s="26" t="inlineStr">
        <is>
          <t>Cobrado total: 945 €</t>
        </is>
      </c>
    </row>
    <row r="1269">
      <c r="B1269" s="7" t="inlineStr">
        <is>
          <t>Cant</t>
        </is>
      </c>
      <c r="C1269" s="7" t="inlineStr">
        <is>
          <t>Días</t>
        </is>
      </c>
      <c r="D1269" s="7" t="inlineStr">
        <is>
          <t>PC real</t>
        </is>
      </c>
      <c r="E1269" s="7" t="inlineStr">
        <is>
          <t>PV</t>
        </is>
      </c>
      <c r="F1269" s="7" t="inlineStr">
        <is>
          <t>Importe</t>
        </is>
      </c>
      <c r="H1269" s="27" t="inlineStr">
        <is>
          <t>Cant</t>
        </is>
      </c>
      <c r="I1269" s="27" t="inlineStr">
        <is>
          <t>PV</t>
        </is>
      </c>
      <c r="J1269" s="27" t="inlineStr">
        <is>
          <t>Importe</t>
        </is>
      </c>
      <c r="L1269" s="28" t="inlineStr">
        <is>
          <t>Cant</t>
        </is>
      </c>
      <c r="M1269" s="28" t="inlineStr">
        <is>
          <t>PV</t>
        </is>
      </c>
      <c r="N1269" s="28" t="inlineStr">
        <is>
          <t>Importe</t>
        </is>
      </c>
      <c r="R1269" s="29" t="inlineStr">
        <is>
          <t>Pagado total: 614 €</t>
        </is>
      </c>
    </row>
    <row r="1270">
      <c r="A1270" s="30" t="inlineStr">
        <is>
          <t>P1 Potencia</t>
        </is>
      </c>
      <c r="B1270" s="31" t="n">
        <v>3.45</v>
      </c>
      <c r="C1270" s="32">
        <f>$N$1267-$L$1267+1</f>
        <v/>
      </c>
      <c r="D1270" s="33" t="n">
        <v>3.68919</v>
      </c>
      <c r="E1270" s="34" t="n">
        <v>3.85</v>
      </c>
      <c r="F1270" s="35">
        <f>ROUND(B1270*E1270,2)</f>
        <v/>
      </c>
      <c r="H1270" s="36" t="n">
        <v>3.45</v>
      </c>
      <c r="I1270" s="37" t="n">
        <v>3.85</v>
      </c>
      <c r="J1270" s="38">
        <f>ROUND(H1270*I1270,2)</f>
        <v/>
      </c>
      <c r="L1270" s="39" t="n">
        <v>3.45</v>
      </c>
      <c r="M1270" s="40" t="n">
        <v>3.85</v>
      </c>
      <c r="N1270" s="41">
        <f>ROUND(L1270*M1270,2)</f>
        <v/>
      </c>
      <c r="R1270" s="42" t="inlineStr">
        <is>
          <t>DIF: 331 €   ·   Margen hist.: 35.0%</t>
        </is>
      </c>
    </row>
    <row r="1271">
      <c r="A1271" s="30" t="inlineStr">
        <is>
          <t>P2 Potencia</t>
        </is>
      </c>
      <c r="B1271" s="31" t="n">
        <v>3.45</v>
      </c>
      <c r="C1271" s="32">
        <f>$N$1267-$L$1267+1</f>
        <v/>
      </c>
      <c r="D1271" s="33" t="n">
        <v>1.31928</v>
      </c>
      <c r="E1271" s="34" t="n">
        <v>1.33</v>
      </c>
      <c r="F1271" s="35">
        <f>ROUND(B1271*E1271,2)</f>
        <v/>
      </c>
      <c r="H1271" s="36" t="n">
        <v>3.45</v>
      </c>
      <c r="I1271" s="37" t="n">
        <v>1.33</v>
      </c>
      <c r="J1271" s="38">
        <f>ROUND(H1271*I1271,2)</f>
        <v/>
      </c>
      <c r="L1271" s="39" t="n">
        <v>3.45</v>
      </c>
      <c r="M1271" s="40" t="n">
        <v>1.33</v>
      </c>
      <c r="N1271" s="41">
        <f>ROUND(L1271*M1271,2)</f>
        <v/>
      </c>
      <c r="R1271" s="43" t="inlineStr">
        <is>
          <t>Mejor mes: 2024-12 · 218 € · margen 75%</t>
        </is>
      </c>
    </row>
    <row r="1272">
      <c r="A1272" s="30" t="inlineStr">
        <is>
          <t>P1 Energía</t>
        </is>
      </c>
      <c r="B1272" s="31">
        <f>IF($P$1272&lt;&gt;"",ROUND(AA1272*(($AB$1272/(1-$P$1272))-17.8710)/83.2412,2),IF('Resumen'!$D$3="OPTIMIZAR",ROUND(MAX(AA1272,MIN(AA1272*(($AB$1272/(1-'Resumen'!$F$3))-17.8710)/83.2412,AA1272*(191.6868)/83.2412)),3),AA1272))</f>
        <v/>
      </c>
      <c r="C1272" s="44" t="n"/>
      <c r="D1272" s="33" t="n">
        <v>0.120671</v>
      </c>
      <c r="E1272" s="34" t="n">
        <v>0.13788</v>
      </c>
      <c r="F1272" s="35">
        <f>ROUND(B1272*E1272,2)</f>
        <v/>
      </c>
      <c r="H1272" s="36" t="n">
        <v>194.824</v>
      </c>
      <c r="I1272" s="37" t="n">
        <v>0.13788</v>
      </c>
      <c r="J1272" s="38">
        <f>ROUND(H1272*I1272,2)</f>
        <v/>
      </c>
      <c r="L1272" s="39" t="n">
        <v>1250</v>
      </c>
      <c r="M1272" s="40" t="n">
        <v>0.13788</v>
      </c>
      <c r="N1272" s="41">
        <f>ROUND(L1272*M1272,2)</f>
        <v/>
      </c>
      <c r="O1272" s="45" t="inlineStr">
        <is>
          <t>Margen objetivo (edita % aquí) ▶</t>
        </is>
      </c>
      <c r="P1272" s="5" t="n"/>
      <c r="R1272" s="43" t="inlineStr">
        <is>
          <t>Peor mes: 2024-09 · 61 € · margen 40%</t>
        </is>
      </c>
      <c r="AA1272" t="n">
        <v>108.642</v>
      </c>
      <c r="AB1272">
        <f>B1270*D1270+B1271*D1271+AA1272*D1272+AA1273*D1273+AA1274*D1274</f>
        <v/>
      </c>
    </row>
    <row r="1273">
      <c r="A1273" s="30" t="inlineStr">
        <is>
          <t>P2 Energía</t>
        </is>
      </c>
      <c r="B1273" s="31">
        <f>IF($P$1272&lt;&gt;"",ROUND(AA1273*(($AB$1272/(1-$P$1272))-17.8710)/83.2412,2),IF('Resumen'!$D$3="OPTIMIZAR",ROUND(MAX(AA1273,MIN(AA1273*(($AB$1272/(1-'Resumen'!$F$3))-17.8710)/83.2412,AA1273*(191.6868)/83.2412)),3),AA1273))</f>
        <v/>
      </c>
      <c r="C1273" s="44" t="n"/>
      <c r="D1273" s="33" t="n">
        <v>0.120671</v>
      </c>
      <c r="E1273" s="34" t="n">
        <v>0.13788</v>
      </c>
      <c r="F1273" s="35">
        <f>ROUND(B1273*E1273,2)</f>
        <v/>
      </c>
      <c r="H1273" s="36" t="n">
        <v>192.971</v>
      </c>
      <c r="I1273" s="37" t="n">
        <v>0.13788</v>
      </c>
      <c r="J1273" s="38">
        <f>ROUND(H1273*I1273,2)</f>
        <v/>
      </c>
      <c r="L1273" s="65" t="n"/>
      <c r="M1273" s="65" t="n"/>
      <c r="N1273" s="65" t="n"/>
      <c r="O1273" s="46" t="inlineStr">
        <is>
          <t>Cant. P1/P2/P3 energía suben</t>
        </is>
      </c>
      <c r="R1273" s="43" t="inlineStr">
        <is>
          <t>Importe mensual cobrado (€) · 24 meses ▾</t>
        </is>
      </c>
      <c r="AA1273" t="n">
        <v>211.867</v>
      </c>
    </row>
    <row r="1274">
      <c r="A1274" s="30" t="inlineStr">
        <is>
          <t>P3 Energía</t>
        </is>
      </c>
      <c r="B1274" s="31">
        <f>IF($P$1272&lt;&gt;"",ROUND(AA1274*(($AB$1272/(1-$P$1272))-17.8710)/83.2412,2),IF('Resumen'!$D$3="OPTIMIZAR",ROUND(MAX(AA1274,MIN(AA1274*(($AB$1272/(1-'Resumen'!$F$3))-17.8710)/83.2412,AA1274*(191.6868)/83.2412)),3),AA1274))</f>
        <v/>
      </c>
      <c r="C1274" s="44" t="n"/>
      <c r="D1274" s="33" t="n">
        <v>0.120671</v>
      </c>
      <c r="E1274" s="34" t="n">
        <v>0.13788</v>
      </c>
      <c r="F1274" s="35">
        <f>ROUND(B1274*E1274,2)</f>
        <v/>
      </c>
      <c r="H1274" s="36" t="n">
        <v>134.629</v>
      </c>
      <c r="I1274" s="37" t="n">
        <v>0.13788</v>
      </c>
      <c r="J1274" s="38">
        <f>ROUND(H1274*I1274,2)</f>
        <v/>
      </c>
      <c r="L1274" s="65" t="n"/>
      <c r="M1274" s="65" t="n"/>
      <c r="N1274" s="65" t="n"/>
      <c r="O1274" s="46" t="inlineStr">
        <is>
          <t>en proporción para ese margen</t>
        </is>
      </c>
      <c r="AA1274" t="n">
        <v>283.213</v>
      </c>
    </row>
    <row r="1275">
      <c r="A1275" s="30" t="inlineStr">
        <is>
          <t>Alquiler contador</t>
        </is>
      </c>
      <c r="B1275" s="31" t="n">
        <v>1</v>
      </c>
      <c r="C1275" s="32">
        <f>$N$1267-$L$1267+1</f>
        <v/>
      </c>
      <c r="D1275" s="33" t="n">
        <v>0.7989000000000001</v>
      </c>
      <c r="E1275" s="34" t="n">
        <v>3</v>
      </c>
      <c r="F1275" s="35">
        <f>ROUND(B1275*E1275,2)</f>
        <v/>
      </c>
      <c r="H1275" s="36" t="n">
        <v>1</v>
      </c>
      <c r="I1275" s="37" t="n">
        <v>3</v>
      </c>
      <c r="J1275" s="38">
        <f>ROUND(H1275*I1275,2)</f>
        <v/>
      </c>
      <c r="L1275" s="39" t="n">
        <v>1</v>
      </c>
      <c r="M1275" s="40" t="n">
        <v>3</v>
      </c>
      <c r="N1275" s="41">
        <f>ROUND(L1275*M1275,2)</f>
        <v/>
      </c>
    </row>
    <row r="1276">
      <c r="A1276" s="30" t="inlineStr">
        <is>
          <t>Bono social</t>
        </is>
      </c>
      <c r="B1276" s="31" t="n">
        <v>30</v>
      </c>
      <c r="C1276" s="32">
        <f>$N$1267-$L$1267+1</f>
        <v/>
      </c>
      <c r="D1276" s="33" t="n">
        <v>0.5736</v>
      </c>
      <c r="E1276" s="34" t="n">
        <v>0.01274</v>
      </c>
      <c r="F1276" s="35">
        <f>ROUND(B1276*E1276,2)</f>
        <v/>
      </c>
      <c r="H1276" s="36" t="n">
        <v>30</v>
      </c>
      <c r="I1276" s="37" t="n">
        <v>0.01274</v>
      </c>
      <c r="J1276" s="38">
        <f>ROUND(H1276*I1276,2)</f>
        <v/>
      </c>
      <c r="L1276" s="39" t="n">
        <v>30</v>
      </c>
      <c r="M1276" s="40" t="n">
        <v>0.00629</v>
      </c>
      <c r="N1276" s="41">
        <f>ROUND(L1276*M1276,2)</f>
        <v/>
      </c>
    </row>
    <row r="1277">
      <c r="A1277" s="30" t="inlineStr">
        <is>
          <t>Tasa eléctrica</t>
        </is>
      </c>
      <c r="B1277" s="31" t="n">
        <v>5.53</v>
      </c>
      <c r="C1277" s="44" t="n"/>
      <c r="D1277" s="33" t="n">
        <v>0.27458</v>
      </c>
      <c r="E1277" s="34" t="n">
        <v>1</v>
      </c>
      <c r="F1277" s="35">
        <f>ROUND(B1277*E1277,2)</f>
        <v/>
      </c>
      <c r="H1277" s="36" t="n">
        <v>4.92</v>
      </c>
      <c r="I1277" s="37" t="n">
        <v>1</v>
      </c>
      <c r="J1277" s="38">
        <f>ROUND(H1277*I1277,2)</f>
        <v/>
      </c>
      <c r="L1277" s="39" t="n">
        <v>0.92</v>
      </c>
      <c r="M1277" s="40" t="n">
        <v>1</v>
      </c>
      <c r="N1277" s="41">
        <f>ROUND(L1277*M1277,2)</f>
        <v/>
      </c>
    </row>
    <row r="1278">
      <c r="A1278" s="47" t="inlineStr">
        <is>
          <t>TOTAL c/IVA</t>
        </is>
      </c>
      <c r="F1278" s="48">
        <f>ROUND((SUM(F1270:F1277)-F1277)*1.1+F1277,2)</f>
        <v/>
      </c>
      <c r="J1278" s="49">
        <f>ROUND(SUM(J1270:J1277),2)</f>
        <v/>
      </c>
      <c r="N1278" s="50">
        <f>ROUND(SUM(N1270:N1277),2)</f>
        <v/>
      </c>
    </row>
    <row r="1279">
      <c r="A1279" s="19" t="inlineStr">
        <is>
          <t>MARGEN sin registrar</t>
        </is>
      </c>
      <c r="B1279" s="51">
        <f>IF((F1273+F1270+F1272+F1274+F1271)=0,"",((F1273+F1270+F1272+F1274+F1271)-$AB$1272)/(F1273+F1270+F1272+F1274+F1271))</f>
        <v/>
      </c>
      <c r="D1279" s="52">
        <f>IF(B1279="","SIN PC",IF(B1279&gt;=0.3,"APROBAR",IF(B1279&gt;=0.2,"REVISAR","RECHAZAR")))</f>
        <v/>
      </c>
      <c r="E1279" s="53" t="n"/>
      <c r="F1279" s="54" t="n"/>
      <c r="AD1279">
        <f>SUM(F1272:F1274)-83.2412</f>
        <v/>
      </c>
    </row>
    <row r="1281">
      <c r="A1281" s="15" t="inlineStr">
        <is>
          <t>Factura 8659 · C02400 · MARUJA CHOLBI PUIG</t>
        </is>
      </c>
      <c r="H1281" s="15" t="inlineStr">
        <is>
          <t>ES0021000001194530AE · Naturgy</t>
        </is>
      </c>
      <c r="L1281" s="16" t="n">
        <v>46113</v>
      </c>
      <c r="M1281" s="17" t="inlineStr">
        <is>
          <t>a</t>
        </is>
      </c>
      <c r="N1281" s="16" t="n">
        <v>46142</v>
      </c>
      <c r="R1281" s="18" t="inlineStr">
        <is>
          <t>HISTÓRICO DEL CUPS · HOJA TTVA LUZ</t>
        </is>
      </c>
    </row>
    <row r="1282">
      <c r="A1282" s="19" t="inlineStr">
        <is>
          <t>Concepto</t>
        </is>
      </c>
      <c r="B1282" s="20" t="inlineStr">
        <is>
          <t>PENDIENTE (sin registrar)</t>
        </is>
      </c>
      <c r="C1282" s="21" t="n"/>
      <c r="D1282" s="21" t="n"/>
      <c r="E1282" s="21" t="n"/>
      <c r="F1282" s="21" t="n"/>
      <c r="H1282" s="22" t="inlineStr">
        <is>
          <t>MES ANTERIOR · Fact.6384</t>
        </is>
      </c>
      <c r="I1282" s="23" t="n"/>
      <c r="J1282" s="23" t="n"/>
      <c r="L1282" s="24" t="inlineStr">
        <is>
          <t>AÑO ANTERIOR · Fact.4573</t>
        </is>
      </c>
      <c r="M1282" s="25" t="n"/>
      <c r="N1282" s="25" t="n"/>
      <c r="R1282" s="26" t="inlineStr">
        <is>
          <t>Cobrado total: 417 €</t>
        </is>
      </c>
    </row>
    <row r="1283">
      <c r="B1283" s="7" t="inlineStr">
        <is>
          <t>Cant</t>
        </is>
      </c>
      <c r="C1283" s="7" t="inlineStr">
        <is>
          <t>Días</t>
        </is>
      </c>
      <c r="D1283" s="7" t="inlineStr">
        <is>
          <t>PC real</t>
        </is>
      </c>
      <c r="E1283" s="7" t="inlineStr">
        <is>
          <t>PV</t>
        </is>
      </c>
      <c r="F1283" s="7" t="inlineStr">
        <is>
          <t>Importe</t>
        </is>
      </c>
      <c r="H1283" s="27" t="inlineStr">
        <is>
          <t>Cant</t>
        </is>
      </c>
      <c r="I1283" s="27" t="inlineStr">
        <is>
          <t>PV</t>
        </is>
      </c>
      <c r="J1283" s="27" t="inlineStr">
        <is>
          <t>Importe</t>
        </is>
      </c>
      <c r="L1283" s="28" t="inlineStr">
        <is>
          <t>Cant</t>
        </is>
      </c>
      <c r="M1283" s="28" t="inlineStr">
        <is>
          <t>PV</t>
        </is>
      </c>
      <c r="N1283" s="28" t="inlineStr">
        <is>
          <t>Importe</t>
        </is>
      </c>
      <c r="R1283" s="29" t="inlineStr">
        <is>
          <t>Pagado total: 295 €</t>
        </is>
      </c>
    </row>
    <row r="1284">
      <c r="A1284" s="30" t="inlineStr">
        <is>
          <t>P1 Potencia</t>
        </is>
      </c>
      <c r="B1284" s="31" t="n">
        <v>5.5</v>
      </c>
      <c r="C1284" s="32">
        <f>$N$1281-$L$1281+1</f>
        <v/>
      </c>
      <c r="D1284" s="33" t="n">
        <v>3.68919</v>
      </c>
      <c r="E1284" s="34" t="n">
        <v>3.85</v>
      </c>
      <c r="F1284" s="35">
        <f>ROUND(B1284*E1284,2)</f>
        <v/>
      </c>
      <c r="H1284" s="36" t="n">
        <v>5.5</v>
      </c>
      <c r="I1284" s="37" t="n">
        <v>3.85</v>
      </c>
      <c r="J1284" s="38">
        <f>ROUND(H1284*I1284,2)</f>
        <v/>
      </c>
      <c r="L1284" s="39" t="n">
        <v>5.5</v>
      </c>
      <c r="M1284" s="40" t="n">
        <v>3.85</v>
      </c>
      <c r="N1284" s="41">
        <f>ROUND(L1284*M1284,2)</f>
        <v/>
      </c>
      <c r="R1284" s="42" t="inlineStr">
        <is>
          <t>DIF: 122 €   ·   Margen hist.: 29.3%</t>
        </is>
      </c>
    </row>
    <row r="1285">
      <c r="A1285" s="30" t="inlineStr">
        <is>
          <t>P2 Potencia</t>
        </is>
      </c>
      <c r="B1285" s="31" t="n">
        <v>5.5</v>
      </c>
      <c r="C1285" s="32">
        <f>$N$1281-$L$1281+1</f>
        <v/>
      </c>
      <c r="D1285" s="33" t="n">
        <v>1.31928</v>
      </c>
      <c r="E1285" s="34" t="n">
        <v>1.33</v>
      </c>
      <c r="F1285" s="35">
        <f>ROUND(B1285*E1285,2)</f>
        <v/>
      </c>
      <c r="H1285" s="36" t="n">
        <v>5.5</v>
      </c>
      <c r="I1285" s="37" t="n">
        <v>1.33</v>
      </c>
      <c r="J1285" s="38">
        <f>ROUND(H1285*I1285,2)</f>
        <v/>
      </c>
      <c r="L1285" s="39" t="n">
        <v>5.5</v>
      </c>
      <c r="M1285" s="40" t="n">
        <v>1.33</v>
      </c>
      <c r="N1285" s="41">
        <f>ROUND(L1285*M1285,2)</f>
        <v/>
      </c>
      <c r="R1285" s="43" t="inlineStr">
        <is>
          <t>Mejor mes: 2024-08 · 110 € · margen 37%</t>
        </is>
      </c>
    </row>
    <row r="1286">
      <c r="A1286" s="30" t="inlineStr">
        <is>
          <t>P1 Energía</t>
        </is>
      </c>
      <c r="B1286" s="31">
        <f>IF($P$1286&lt;&gt;"",ROUND(AA1286*(($AB$1286/(1-$P$1286))-28.4900)/56.8271,2),IF('Resumen'!$D$3="OPTIMIZAR",ROUND(MAX(AA1286,MIN(AA1286*(($AB$1286/(1-'Resumen'!$F$3))-28.4900)/56.8271,AA1286*(73.1778)/56.8271)),3),AA1286))</f>
        <v/>
      </c>
      <c r="C1286" s="44" t="n"/>
      <c r="D1286" s="33" t="n">
        <v>0.111171</v>
      </c>
      <c r="E1286" s="34" t="n">
        <v>0.129</v>
      </c>
      <c r="F1286" s="35">
        <f>ROUND(B1286*E1286,2)</f>
        <v/>
      </c>
      <c r="H1286" s="36" t="n">
        <v>124.004</v>
      </c>
      <c r="I1286" s="37" t="n">
        <v>0.13788</v>
      </c>
      <c r="J1286" s="38">
        <f>ROUND(H1286*I1286,2)</f>
        <v/>
      </c>
      <c r="L1286" s="39" t="n">
        <v>37.809</v>
      </c>
      <c r="M1286" s="40" t="n">
        <v>0.13788</v>
      </c>
      <c r="N1286" s="41">
        <f>ROUND(L1286*M1286,2)</f>
        <v/>
      </c>
      <c r="O1286" s="45" t="inlineStr">
        <is>
          <t>Margen objetivo (edita % aquí) ▶</t>
        </is>
      </c>
      <c r="P1286" s="5" t="n"/>
      <c r="R1286" s="43" t="inlineStr">
        <is>
          <t>Peor mes: 2024-07 · 29 €</t>
        </is>
      </c>
      <c r="AA1286" t="n">
        <v>124.019</v>
      </c>
      <c r="AB1286">
        <f>B1284*D1284+B1285*D1285+AA1286*D1286+AA1287*D1287+AA1288*D1288</f>
        <v/>
      </c>
    </row>
    <row r="1287">
      <c r="A1287" s="30" t="inlineStr">
        <is>
          <t>P2 Energía</t>
        </is>
      </c>
      <c r="B1287" s="31">
        <f>IF($P$1286&lt;&gt;"",ROUND(AA1287*(($AB$1286/(1-$P$1286))-28.4900)/56.8271,2),IF('Resumen'!$D$3="OPTIMIZAR",ROUND(MAX(AA1287,MIN(AA1287*(($AB$1286/(1-'Resumen'!$F$3))-28.4900)/56.8271,AA1287*(73.1778)/56.8271)),3),AA1287))</f>
        <v/>
      </c>
      <c r="C1287" s="44" t="n"/>
      <c r="D1287" s="33" t="n">
        <v>0.111171</v>
      </c>
      <c r="E1287" s="34" t="n">
        <v>0.129</v>
      </c>
      <c r="F1287" s="35">
        <f>ROUND(B1287*E1287,2)</f>
        <v/>
      </c>
      <c r="H1287" s="36" t="n">
        <v>117.61</v>
      </c>
      <c r="I1287" s="37" t="n">
        <v>0.13788</v>
      </c>
      <c r="J1287" s="38">
        <f>ROUND(H1287*I1287,2)</f>
        <v/>
      </c>
      <c r="L1287" s="39" t="n">
        <v>40.053</v>
      </c>
      <c r="M1287" s="40" t="n">
        <v>0.13788</v>
      </c>
      <c r="N1287" s="41">
        <f>ROUND(L1287*M1287,2)</f>
        <v/>
      </c>
      <c r="O1287" s="46" t="inlineStr">
        <is>
          <t>Cant. P1/P2/P3 energía suben</t>
        </is>
      </c>
      <c r="R1287" s="43" t="inlineStr">
        <is>
          <t>Importe mensual cobrado (€) · 24 meses ▾</t>
        </is>
      </c>
      <c r="AA1287" t="n">
        <v>90.667</v>
      </c>
    </row>
    <row r="1288">
      <c r="A1288" s="30" t="inlineStr">
        <is>
          <t>P3 Energía</t>
        </is>
      </c>
      <c r="B1288" s="31">
        <f>IF($P$1286&lt;&gt;"",ROUND(AA1288*(($AB$1286/(1-$P$1286))-28.4900)/56.8271,2),IF('Resumen'!$D$3="OPTIMIZAR",ROUND(MAX(AA1288,MIN(AA1288*(($AB$1286/(1-'Resumen'!$F$3))-28.4900)/56.8271,AA1288*(73.1778)/56.8271)),3),AA1288))</f>
        <v/>
      </c>
      <c r="C1288" s="44" t="n"/>
      <c r="D1288" s="33" t="n">
        <v>0.111171</v>
      </c>
      <c r="E1288" s="34" t="n">
        <v>0.129</v>
      </c>
      <c r="F1288" s="35">
        <f>ROUND(B1288*E1288,2)</f>
        <v/>
      </c>
      <c r="H1288" s="36" t="n">
        <v>232.776</v>
      </c>
      <c r="I1288" s="37" t="n">
        <v>0.13788</v>
      </c>
      <c r="J1288" s="38">
        <f>ROUND(H1288*I1288,2)</f>
        <v/>
      </c>
      <c r="L1288" s="39" t="n">
        <v>99.488</v>
      </c>
      <c r="M1288" s="40" t="n">
        <v>0.13788</v>
      </c>
      <c r="N1288" s="41">
        <f>ROUND(L1288*M1288,2)</f>
        <v/>
      </c>
      <c r="O1288" s="46" t="inlineStr">
        <is>
          <t>en proporción para ese margen</t>
        </is>
      </c>
      <c r="AA1288" t="n">
        <v>225.834</v>
      </c>
    </row>
    <row r="1289">
      <c r="A1289" s="30" t="inlineStr">
        <is>
          <t>Alquiler contador</t>
        </is>
      </c>
      <c r="B1289" s="31" t="n">
        <v>1</v>
      </c>
      <c r="C1289" s="32">
        <f>$N$1281-$L$1281+1</f>
        <v/>
      </c>
      <c r="D1289" s="33" t="n">
        <v>0.7989000000000001</v>
      </c>
      <c r="E1289" s="34" t="n">
        <v>3</v>
      </c>
      <c r="F1289" s="35">
        <f>ROUND(B1289*E1289,2)</f>
        <v/>
      </c>
      <c r="H1289" s="36" t="n">
        <v>1</v>
      </c>
      <c r="I1289" s="37" t="n">
        <v>3</v>
      </c>
      <c r="J1289" s="38">
        <f>ROUND(H1289*I1289,2)</f>
        <v/>
      </c>
      <c r="L1289" s="39" t="n">
        <v>1</v>
      </c>
      <c r="M1289" s="40" t="n">
        <v>3</v>
      </c>
      <c r="N1289" s="41">
        <f>ROUND(L1289*M1289,2)</f>
        <v/>
      </c>
    </row>
    <row r="1290">
      <c r="A1290" s="30" t="inlineStr">
        <is>
          <t>Bono social</t>
        </is>
      </c>
      <c r="B1290" s="31" t="n">
        <v>30</v>
      </c>
      <c r="C1290" s="32">
        <f>$N$1281-$L$1281+1</f>
        <v/>
      </c>
      <c r="D1290" s="33" t="n">
        <v>0.5736</v>
      </c>
      <c r="E1290" s="34" t="n">
        <v>0.01274</v>
      </c>
      <c r="F1290" s="35">
        <f>ROUND(B1290*E1290,2)</f>
        <v/>
      </c>
      <c r="H1290" s="36" t="n">
        <v>30</v>
      </c>
      <c r="I1290" s="37" t="n">
        <v>0.01274</v>
      </c>
      <c r="J1290" s="38">
        <f>ROUND(H1290*I1290,2)</f>
        <v/>
      </c>
      <c r="L1290" s="39" t="n">
        <v>30</v>
      </c>
      <c r="M1290" s="40" t="n">
        <v>0.00629</v>
      </c>
      <c r="N1290" s="41">
        <f>ROUND(L1290*M1290,2)</f>
        <v/>
      </c>
    </row>
    <row r="1291">
      <c r="A1291" s="30" t="inlineStr">
        <is>
          <t>Tasa eléctrica</t>
        </is>
      </c>
      <c r="B1291" s="31" t="n">
        <v>4.76</v>
      </c>
      <c r="C1291" s="44" t="n"/>
      <c r="D1291" s="33" t="n">
        <v>0.27312</v>
      </c>
      <c r="E1291" s="34" t="n">
        <v>1</v>
      </c>
      <c r="F1291" s="35">
        <f>ROUND(B1291*E1291,2)</f>
        <v/>
      </c>
      <c r="H1291" s="36" t="n">
        <v>4.81</v>
      </c>
      <c r="I1291" s="37" t="n">
        <v>1</v>
      </c>
      <c r="J1291" s="38">
        <f>ROUND(H1291*I1291,2)</f>
        <v/>
      </c>
      <c r="L1291" s="39" t="n">
        <v>2.72</v>
      </c>
      <c r="M1291" s="40" t="n">
        <v>1</v>
      </c>
      <c r="N1291" s="41">
        <f>ROUND(L1291*M1291,2)</f>
        <v/>
      </c>
    </row>
    <row r="1292">
      <c r="A1292" s="47" t="inlineStr">
        <is>
          <t>TOTAL c/IVA</t>
        </is>
      </c>
      <c r="F1292" s="48">
        <f>ROUND((SUM(F1284:F1291)-F1291)*1.1+F1291,2)</f>
        <v/>
      </c>
      <c r="J1292" s="49">
        <f>ROUND(SUM(J1284:J1291),2)</f>
        <v/>
      </c>
      <c r="N1292" s="50">
        <f>ROUND(SUM(N1284:N1291),2)</f>
        <v/>
      </c>
    </row>
    <row r="1293">
      <c r="A1293" s="19" t="inlineStr">
        <is>
          <t>MARGEN sin registrar</t>
        </is>
      </c>
      <c r="B1293" s="51">
        <f>IF((F1287+F1284+F1286+F1288+F1285)=0,"",((F1287+F1284+F1286+F1288+F1285)-$AB$1286)/(F1287+F1284+F1286+F1288+F1285))</f>
        <v/>
      </c>
      <c r="D1293" s="52">
        <f>IF(B1293="","SIN PC",IF(B1293&gt;=0.3,"APROBAR",IF(B1293&gt;=0.2,"REVISAR","RECHAZAR")))</f>
        <v/>
      </c>
      <c r="E1293" s="53" t="n"/>
      <c r="F1293" s="54" t="n"/>
      <c r="AD1293">
        <f>SUM(F1286:F1288)-56.8271</f>
        <v/>
      </c>
    </row>
    <row r="1295">
      <c r="A1295" s="15" t="inlineStr">
        <is>
          <t>Factura 8660 · C02420 · KHALID EL JEBLI</t>
        </is>
      </c>
      <c r="H1295" s="15" t="inlineStr">
        <is>
          <t>ES0021000013419226MB · Naturgy</t>
        </is>
      </c>
      <c r="L1295" s="16" t="n">
        <v>46113</v>
      </c>
      <c r="M1295" s="17" t="inlineStr">
        <is>
          <t>a</t>
        </is>
      </c>
      <c r="N1295" s="16" t="n">
        <v>46142</v>
      </c>
      <c r="R1295" s="18" t="inlineStr">
        <is>
          <t>HISTÓRICO DEL CUPS · HOJA TTVA LUZ</t>
        </is>
      </c>
    </row>
    <row r="1296">
      <c r="A1296" s="19" t="inlineStr">
        <is>
          <t>Concepto</t>
        </is>
      </c>
      <c r="B1296" s="20" t="inlineStr">
        <is>
          <t>PENDIENTE (sin registrar)</t>
        </is>
      </c>
      <c r="C1296" s="21" t="n"/>
      <c r="D1296" s="21" t="n"/>
      <c r="E1296" s="21" t="n"/>
      <c r="F1296" s="21" t="n"/>
      <c r="H1296" s="22" t="inlineStr">
        <is>
          <t>MES ANTERIOR · Fact.6383</t>
        </is>
      </c>
      <c r="I1296" s="23" t="n"/>
      <c r="J1296" s="23" t="n"/>
      <c r="L1296" s="24" t="inlineStr">
        <is>
          <t>AÑO ANTERIOR · Fact.4572</t>
        </is>
      </c>
      <c r="M1296" s="25" t="n"/>
      <c r="N1296" s="25" t="n"/>
      <c r="R1296" s="26" t="inlineStr">
        <is>
          <t>Cobrado total: 1.452 €</t>
        </is>
      </c>
    </row>
    <row r="1297">
      <c r="B1297" s="7" t="inlineStr">
        <is>
          <t>Cant</t>
        </is>
      </c>
      <c r="C1297" s="7" t="inlineStr">
        <is>
          <t>Días</t>
        </is>
      </c>
      <c r="D1297" s="7" t="inlineStr">
        <is>
          <t>PC real</t>
        </is>
      </c>
      <c r="E1297" s="7" t="inlineStr">
        <is>
          <t>PV</t>
        </is>
      </c>
      <c r="F1297" s="7" t="inlineStr">
        <is>
          <t>Importe</t>
        </is>
      </c>
      <c r="H1297" s="27" t="inlineStr">
        <is>
          <t>Cant</t>
        </is>
      </c>
      <c r="I1297" s="27" t="inlineStr">
        <is>
          <t>PV</t>
        </is>
      </c>
      <c r="J1297" s="27" t="inlineStr">
        <is>
          <t>Importe</t>
        </is>
      </c>
      <c r="L1297" s="28" t="inlineStr">
        <is>
          <t>Cant</t>
        </is>
      </c>
      <c r="M1297" s="28" t="inlineStr">
        <is>
          <t>PV</t>
        </is>
      </c>
      <c r="N1297" s="28" t="inlineStr">
        <is>
          <t>Importe</t>
        </is>
      </c>
      <c r="R1297" s="29" t="inlineStr">
        <is>
          <t>Pagado total: 1.099 €</t>
        </is>
      </c>
    </row>
    <row r="1298">
      <c r="A1298" s="30" t="inlineStr">
        <is>
          <t>P1 Potencia</t>
        </is>
      </c>
      <c r="B1298" s="31" t="n">
        <v>10</v>
      </c>
      <c r="C1298" s="32">
        <f>$N$1295-$L$1295+1</f>
        <v/>
      </c>
      <c r="D1298" s="33" t="n">
        <v>3.68919</v>
      </c>
      <c r="E1298" s="34" t="n">
        <v>4.17</v>
      </c>
      <c r="F1298" s="35">
        <f>ROUND(B1298*E1298,2)</f>
        <v/>
      </c>
      <c r="H1298" s="36" t="n">
        <v>10</v>
      </c>
      <c r="I1298" s="37" t="n">
        <v>4.17</v>
      </c>
      <c r="J1298" s="38">
        <f>ROUND(H1298*I1298,2)</f>
        <v/>
      </c>
      <c r="L1298" s="39" t="n">
        <v>10</v>
      </c>
      <c r="M1298" s="40" t="n">
        <v>4.82</v>
      </c>
      <c r="N1298" s="41">
        <f>ROUND(L1298*M1298,2)</f>
        <v/>
      </c>
      <c r="R1298" s="42" t="inlineStr">
        <is>
          <t>DIF: 352 €   ·   Margen hist.: 24.3%</t>
        </is>
      </c>
    </row>
    <row r="1299">
      <c r="A1299" s="30" t="inlineStr">
        <is>
          <t>P2 Potencia</t>
        </is>
      </c>
      <c r="B1299" s="31" t="n">
        <v>10</v>
      </c>
      <c r="C1299" s="32">
        <f>$N$1295-$L$1295+1</f>
        <v/>
      </c>
      <c r="D1299" s="33" t="n">
        <v>1.31928</v>
      </c>
      <c r="E1299" s="34" t="n">
        <v>1.37</v>
      </c>
      <c r="F1299" s="35">
        <f>ROUND(B1299*E1299,2)</f>
        <v/>
      </c>
      <c r="H1299" s="36" t="n">
        <v>10</v>
      </c>
      <c r="I1299" s="37" t="n">
        <v>1.37</v>
      </c>
      <c r="J1299" s="38">
        <f>ROUND(H1299*I1299,2)</f>
        <v/>
      </c>
      <c r="L1299" s="39" t="n">
        <v>10</v>
      </c>
      <c r="M1299" s="40" t="n">
        <v>2.3744</v>
      </c>
      <c r="N1299" s="41">
        <f>ROUND(L1299*M1299,2)</f>
        <v/>
      </c>
      <c r="R1299" s="43" t="inlineStr">
        <is>
          <t>Mejor mes: 2024-08 · 346 € · margen 69%</t>
        </is>
      </c>
    </row>
    <row r="1300">
      <c r="A1300" s="30" t="inlineStr">
        <is>
          <t>P1 Energía</t>
        </is>
      </c>
      <c r="B1300" s="31">
        <f>IF($P$1300&lt;&gt;"",ROUND(AA1300*(($AB$1300/(1-$P$1300))-55.4000)/48.8904,2),IF('Resumen'!$D$3="OPTIMIZAR",ROUND(MAX(AA1300,MIN(AA1300*(($AB$1300/(1-'Resumen'!$F$3))-55.4000)/48.8904,AA1300*(281.1778)/48.8904)),3),AA1300))</f>
        <v/>
      </c>
      <c r="C1300" s="44" t="n"/>
      <c r="D1300" s="33" t="n">
        <v>0.111171</v>
      </c>
      <c r="E1300" s="34" t="n">
        <v>0.14937</v>
      </c>
      <c r="F1300" s="35">
        <f>ROUND(B1300*E1300,2)</f>
        <v/>
      </c>
      <c r="H1300" s="36" t="n">
        <v>162.325</v>
      </c>
      <c r="I1300" s="37" t="n">
        <v>0.14937</v>
      </c>
      <c r="J1300" s="38">
        <f>ROUND(H1300*I1300,2)</f>
        <v/>
      </c>
      <c r="L1300" s="39" t="n">
        <v>140.276</v>
      </c>
      <c r="M1300" s="40" t="n">
        <v>0.1724</v>
      </c>
      <c r="N1300" s="41">
        <f>ROUND(L1300*M1300,2)</f>
        <v/>
      </c>
      <c r="O1300" s="45" t="inlineStr">
        <is>
          <t>Margen objetivo (edita % aquí) ▶</t>
        </is>
      </c>
      <c r="P1300" s="5" t="n"/>
      <c r="R1300" s="43" t="inlineStr">
        <is>
          <t>Peor mes: 2024-10 · 203 € · margen 30%</t>
        </is>
      </c>
      <c r="AA1300" t="n">
        <v>69.66</v>
      </c>
      <c r="AB1300">
        <f>B1298*D1298+B1299*D1299+AA1300*D1300+AA1301*D1301+AA1302*D1302</f>
        <v/>
      </c>
    </row>
    <row r="1301">
      <c r="A1301" s="30" t="inlineStr">
        <is>
          <t>P2 Energía</t>
        </is>
      </c>
      <c r="B1301" s="31">
        <f>IF($P$1300&lt;&gt;"",ROUND(AA1301*(($AB$1300/(1-$P$1300))-55.4000)/48.8904,2),IF('Resumen'!$D$3="OPTIMIZAR",ROUND(MAX(AA1301,MIN(AA1301*(($AB$1300/(1-'Resumen'!$F$3))-55.4000)/48.8904,AA1301*(281.1778)/48.8904)),3),AA1301))</f>
        <v/>
      </c>
      <c r="C1301" s="44" t="n"/>
      <c r="D1301" s="33" t="n">
        <v>0.111171</v>
      </c>
      <c r="E1301" s="34" t="n">
        <v>0.14937</v>
      </c>
      <c r="F1301" s="35">
        <f>ROUND(B1301*E1301,2)</f>
        <v/>
      </c>
      <c r="H1301" s="36" t="n">
        <v>166.724</v>
      </c>
      <c r="I1301" s="37" t="n">
        <v>0.14937</v>
      </c>
      <c r="J1301" s="38">
        <f>ROUND(H1301*I1301,2)</f>
        <v/>
      </c>
      <c r="L1301" s="39" t="n">
        <v>114.937</v>
      </c>
      <c r="M1301" s="40" t="n">
        <v>0.1724</v>
      </c>
      <c r="N1301" s="41">
        <f>ROUND(L1301*M1301,2)</f>
        <v/>
      </c>
      <c r="O1301" s="46" t="inlineStr">
        <is>
          <t>Cant. P1/P2/P3 energía suben</t>
        </is>
      </c>
      <c r="R1301" s="43" t="inlineStr">
        <is>
          <t>Importe mensual cobrado (€) · 24 meses ▾</t>
        </is>
      </c>
      <c r="AA1301" t="n">
        <v>77.54900000000001</v>
      </c>
    </row>
    <row r="1302">
      <c r="A1302" s="30" t="inlineStr">
        <is>
          <t>P3 Energía</t>
        </is>
      </c>
      <c r="B1302" s="31">
        <f>IF($P$1300&lt;&gt;"",ROUND(AA1302*(($AB$1300/(1-$P$1300))-55.4000)/48.8904,2),IF('Resumen'!$D$3="OPTIMIZAR",ROUND(MAX(AA1302,MIN(AA1302*(($AB$1300/(1-'Resumen'!$F$3))-55.4000)/48.8904,AA1302*(281.1778)/48.8904)),3),AA1302))</f>
        <v/>
      </c>
      <c r="C1302" s="44" t="n"/>
      <c r="D1302" s="33" t="n">
        <v>0.111171</v>
      </c>
      <c r="E1302" s="34" t="n">
        <v>0.14937</v>
      </c>
      <c r="F1302" s="35">
        <f>ROUND(B1302*E1302,2)</f>
        <v/>
      </c>
      <c r="H1302" s="36" t="n">
        <v>286.938</v>
      </c>
      <c r="I1302" s="37" t="n">
        <v>0.14937</v>
      </c>
      <c r="J1302" s="38">
        <f>ROUND(H1302*I1302,2)</f>
        <v/>
      </c>
      <c r="L1302" s="39" t="n">
        <v>234.658</v>
      </c>
      <c r="M1302" s="40" t="n">
        <v>0.1724</v>
      </c>
      <c r="N1302" s="41">
        <f>ROUND(L1302*M1302,2)</f>
        <v/>
      </c>
      <c r="O1302" s="46" t="inlineStr">
        <is>
          <t>en proporción para ese margen</t>
        </is>
      </c>
      <c r="AA1302" t="n">
        <v>180.102</v>
      </c>
    </row>
    <row r="1303">
      <c r="A1303" s="30" t="inlineStr">
        <is>
          <t>Alquiler contador</t>
        </is>
      </c>
      <c r="B1303" s="31" t="n">
        <v>1</v>
      </c>
      <c r="C1303" s="32">
        <f>$N$1295-$L$1295+1</f>
        <v/>
      </c>
      <c r="D1303" s="33" t="n">
        <v>0.7989000000000001</v>
      </c>
      <c r="E1303" s="34" t="n">
        <v>4</v>
      </c>
      <c r="F1303" s="35">
        <f>ROUND(B1303*E1303,2)</f>
        <v/>
      </c>
      <c r="H1303" s="36" t="n">
        <v>1</v>
      </c>
      <c r="I1303" s="37" t="n">
        <v>4</v>
      </c>
      <c r="J1303" s="38">
        <f>ROUND(H1303*I1303,2)</f>
        <v/>
      </c>
      <c r="L1303" s="39" t="n">
        <v>1</v>
      </c>
      <c r="M1303" s="40" t="n">
        <v>6</v>
      </c>
      <c r="N1303" s="41">
        <f>ROUND(L1303*M1303,2)</f>
        <v/>
      </c>
    </row>
    <row r="1304">
      <c r="A1304" s="30" t="inlineStr">
        <is>
          <t>Bono social</t>
        </is>
      </c>
      <c r="B1304" s="31" t="n">
        <v>30</v>
      </c>
      <c r="C1304" s="32">
        <f>$N$1295-$L$1295+1</f>
        <v/>
      </c>
      <c r="D1304" s="33" t="n">
        <v>0.5736</v>
      </c>
      <c r="E1304" s="34" t="n">
        <v>0.01274</v>
      </c>
      <c r="F1304" s="35">
        <f>ROUND(B1304*E1304,2)</f>
        <v/>
      </c>
      <c r="H1304" s="36" t="n">
        <v>30</v>
      </c>
      <c r="I1304" s="37" t="n">
        <v>0.01274</v>
      </c>
      <c r="J1304" s="38">
        <f>ROUND(H1304*I1304,2)</f>
        <v/>
      </c>
      <c r="L1304" s="39" t="n">
        <v>30</v>
      </c>
      <c r="M1304" s="40" t="n">
        <v>0.00629</v>
      </c>
      <c r="N1304" s="41">
        <f>ROUND(L1304*M1304,2)</f>
        <v/>
      </c>
    </row>
    <row r="1305">
      <c r="A1305" s="30" t="inlineStr">
        <is>
          <t>Tasa eléctrica</t>
        </is>
      </c>
      <c r="B1305" s="31" t="n">
        <v>5.34</v>
      </c>
      <c r="C1305" s="44" t="n"/>
      <c r="D1305" s="33" t="n">
        <v>0.02671</v>
      </c>
      <c r="E1305" s="34" t="n">
        <v>1</v>
      </c>
      <c r="F1305" s="35">
        <f>ROUND(B1305*E1305,2)</f>
        <v/>
      </c>
      <c r="H1305" s="36" t="n">
        <v>7.54</v>
      </c>
      <c r="I1305" s="37" t="n">
        <v>1</v>
      </c>
      <c r="J1305" s="38">
        <f>ROUND(H1305*I1305,2)</f>
        <v/>
      </c>
      <c r="L1305" s="39" t="n">
        <v>8</v>
      </c>
      <c r="M1305" s="40" t="n">
        <v>1</v>
      </c>
      <c r="N1305" s="41">
        <f>ROUND(L1305*M1305,2)</f>
        <v/>
      </c>
    </row>
    <row r="1306">
      <c r="A1306" s="47" t="inlineStr">
        <is>
          <t>TOTAL c/IVA</t>
        </is>
      </c>
      <c r="F1306" s="48">
        <f>ROUND((SUM(F1298:F1305)-F1305)*1.1+F1305,2)</f>
        <v/>
      </c>
      <c r="J1306" s="49">
        <f>ROUND(SUM(J1298:J1305),2)</f>
        <v/>
      </c>
      <c r="N1306" s="50">
        <f>ROUND(SUM(N1298:N1305),2)</f>
        <v/>
      </c>
    </row>
    <row r="1307">
      <c r="A1307" s="19" t="inlineStr">
        <is>
          <t>MARGEN sin registrar</t>
        </is>
      </c>
      <c r="B1307" s="51">
        <f>IF((F1301+F1298+F1300+F1302+F1299)=0,"",((F1301+F1298+F1300+F1302+F1299)-$AB$1300)/(F1301+F1298+F1300+F1302+F1299))</f>
        <v/>
      </c>
      <c r="D1307" s="52">
        <f>IF(B1307="","SIN PC",IF(B1307&gt;=0.3,"APROBAR",IF(B1307&gt;=0.2,"REVISAR","RECHAZAR")))</f>
        <v/>
      </c>
      <c r="E1307" s="53" t="n"/>
      <c r="F1307" s="54" t="n"/>
      <c r="AD1307">
        <f>SUM(F1300:F1302)-48.8904</f>
        <v/>
      </c>
    </row>
    <row r="1309">
      <c r="A1309" s="15" t="inlineStr">
        <is>
          <t>Factura 8662 · C02470 · TALLER SENDRA CUELLO, S.L.</t>
        </is>
      </c>
      <c r="H1309" s="15" t="inlineStr">
        <is>
          <t>ES0021000000822827BE · Naturgy</t>
        </is>
      </c>
      <c r="L1309" s="16" t="n">
        <v>46113</v>
      </c>
      <c r="M1309" s="17" t="inlineStr">
        <is>
          <t>a</t>
        </is>
      </c>
      <c r="N1309" s="16" t="n">
        <v>46142</v>
      </c>
      <c r="R1309" s="18" t="inlineStr">
        <is>
          <t>HISTÓRICO DEL CUPS · HOJA TTVA LUZ</t>
        </is>
      </c>
    </row>
    <row r="1310">
      <c r="A1310" s="19" t="inlineStr">
        <is>
          <t>Concepto</t>
        </is>
      </c>
      <c r="B1310" s="20" t="inlineStr">
        <is>
          <t>PENDIENTE (sin registrar)</t>
        </is>
      </c>
      <c r="C1310" s="21" t="n"/>
      <c r="D1310" s="21" t="n"/>
      <c r="E1310" s="21" t="n"/>
      <c r="F1310" s="21" t="n"/>
      <c r="H1310" s="22" t="inlineStr">
        <is>
          <t>MES ANTERIOR · Fact.6381</t>
        </is>
      </c>
      <c r="I1310" s="23" t="n"/>
      <c r="J1310" s="23" t="n"/>
      <c r="L1310" s="24" t="inlineStr">
        <is>
          <t>AÑO ANTERIOR · Fact.4570</t>
        </is>
      </c>
      <c r="M1310" s="25" t="n"/>
      <c r="N1310" s="25" t="n"/>
      <c r="R1310" s="26" t="inlineStr">
        <is>
          <t>Cobrado total: 338 €</t>
        </is>
      </c>
    </row>
    <row r="1311">
      <c r="B1311" s="7" t="inlineStr">
        <is>
          <t>Cant</t>
        </is>
      </c>
      <c r="C1311" s="7" t="inlineStr">
        <is>
          <t>Días</t>
        </is>
      </c>
      <c r="D1311" s="7" t="inlineStr">
        <is>
          <t>PC real</t>
        </is>
      </c>
      <c r="E1311" s="7" t="inlineStr">
        <is>
          <t>PV</t>
        </is>
      </c>
      <c r="F1311" s="7" t="inlineStr">
        <is>
          <t>Importe</t>
        </is>
      </c>
      <c r="H1311" s="27" t="inlineStr">
        <is>
          <t>Cant</t>
        </is>
      </c>
      <c r="I1311" s="27" t="inlineStr">
        <is>
          <t>PV</t>
        </is>
      </c>
      <c r="J1311" s="27" t="inlineStr">
        <is>
          <t>Importe</t>
        </is>
      </c>
      <c r="L1311" s="28" t="inlineStr">
        <is>
          <t>Cant</t>
        </is>
      </c>
      <c r="M1311" s="28" t="inlineStr">
        <is>
          <t>PV</t>
        </is>
      </c>
      <c r="N1311" s="28" t="inlineStr">
        <is>
          <t>Importe</t>
        </is>
      </c>
      <c r="R1311" s="29" t="inlineStr">
        <is>
          <t>Pagado total: 269 €</t>
        </is>
      </c>
    </row>
    <row r="1312">
      <c r="A1312" s="30" t="inlineStr">
        <is>
          <t>P1 Potencia</t>
        </is>
      </c>
      <c r="B1312" s="31" t="n">
        <v>10.392</v>
      </c>
      <c r="C1312" s="32">
        <f>$N$1309-$L$1309+1</f>
        <v/>
      </c>
      <c r="D1312" s="33" t="n">
        <v>3.68919</v>
      </c>
      <c r="E1312" s="34" t="n">
        <v>4.17</v>
      </c>
      <c r="F1312" s="35">
        <f>ROUND(B1312*E1312,2)</f>
        <v/>
      </c>
      <c r="H1312" s="36" t="n">
        <v>10.392</v>
      </c>
      <c r="I1312" s="37" t="n">
        <v>4.17</v>
      </c>
      <c r="J1312" s="38">
        <f>ROUND(H1312*I1312,2)</f>
        <v/>
      </c>
      <c r="L1312" s="39" t="n">
        <v>10.392</v>
      </c>
      <c r="M1312" s="40" t="n">
        <v>4.17</v>
      </c>
      <c r="N1312" s="41">
        <f>ROUND(L1312*M1312,2)</f>
        <v/>
      </c>
      <c r="R1312" s="42" t="inlineStr">
        <is>
          <t>DIF: 69 €   ·   Margen hist.: 20.5%</t>
        </is>
      </c>
    </row>
    <row r="1313">
      <c r="A1313" s="30" t="inlineStr">
        <is>
          <t>P2 Potencia</t>
        </is>
      </c>
      <c r="B1313" s="31" t="n">
        <v>10.392</v>
      </c>
      <c r="C1313" s="32">
        <f>$N$1309-$L$1309+1</f>
        <v/>
      </c>
      <c r="D1313" s="33" t="n">
        <v>1.31928</v>
      </c>
      <c r="E1313" s="34" t="n">
        <v>1.37</v>
      </c>
      <c r="F1313" s="35">
        <f>ROUND(B1313*E1313,2)</f>
        <v/>
      </c>
      <c r="H1313" s="36" t="n">
        <v>10.392</v>
      </c>
      <c r="I1313" s="37" t="n">
        <v>1.37</v>
      </c>
      <c r="J1313" s="38">
        <f>ROUND(H1313*I1313,2)</f>
        <v/>
      </c>
      <c r="L1313" s="39" t="n">
        <v>10.392</v>
      </c>
      <c r="M1313" s="40" t="n">
        <v>1.37</v>
      </c>
      <c r="N1313" s="41">
        <f>ROUND(L1313*M1313,2)</f>
        <v/>
      </c>
      <c r="R1313" s="43" t="inlineStr">
        <is>
          <t>Mejor mes: 2024-12 · 160 € · margen 21%</t>
        </is>
      </c>
    </row>
    <row r="1314">
      <c r="A1314" s="30" t="inlineStr">
        <is>
          <t>P1 Energía</t>
        </is>
      </c>
      <c r="B1314" s="31">
        <f>IF($P$1314&lt;&gt;"",ROUND(AA1314*(($AB$1314/(1-$P$1314))-57.5717)/36.9954,2),IF('Resumen'!$D$3="OPTIMIZAR",ROUND(MAX(AA1314,MIN(AA1314*(($AB$1314/(1-'Resumen'!$F$3))-57.5717)/36.9954,AA1314*(93.6161)/36.9954)),3),AA1314))</f>
        <v/>
      </c>
      <c r="C1314" s="44" t="n"/>
      <c r="D1314" s="33" t="n">
        <v>0.111171</v>
      </c>
      <c r="E1314" s="34" t="n">
        <v>0.14937</v>
      </c>
      <c r="F1314" s="35">
        <f>ROUND(B1314*E1314,2)</f>
        <v/>
      </c>
      <c r="H1314" s="36" t="n">
        <v>213.802</v>
      </c>
      <c r="I1314" s="37" t="n">
        <v>0.14937</v>
      </c>
      <c r="J1314" s="38">
        <f>ROUND(H1314*I1314,2)</f>
        <v/>
      </c>
      <c r="L1314" s="39" t="n">
        <v>77.051</v>
      </c>
      <c r="M1314" s="40" t="n">
        <v>0.14937</v>
      </c>
      <c r="N1314" s="41">
        <f>ROUND(L1314*M1314,2)</f>
        <v/>
      </c>
      <c r="O1314" s="45" t="inlineStr">
        <is>
          <t>Margen objetivo (edita % aquí) ▶</t>
        </is>
      </c>
      <c r="P1314" s="5" t="n"/>
      <c r="R1314" s="43" t="inlineStr">
        <is>
          <t>Peor mes: 2024-10 · 45 € · margen 28%</t>
        </is>
      </c>
      <c r="AA1314" t="n">
        <v>71.746</v>
      </c>
      <c r="AB1314">
        <f>B1312*D1312+B1313*D1313+AA1314*D1314+AA1315*D1315+AA1316*D1316</f>
        <v/>
      </c>
    </row>
    <row r="1315">
      <c r="A1315" s="30" t="inlineStr">
        <is>
          <t>P2 Energía</t>
        </is>
      </c>
      <c r="B1315" s="31">
        <f>IF($P$1314&lt;&gt;"",ROUND(AA1315*(($AB$1314/(1-$P$1314))-57.5717)/36.9954,2),IF('Resumen'!$D$3="OPTIMIZAR",ROUND(MAX(AA1315,MIN(AA1315*(($AB$1314/(1-'Resumen'!$F$3))-57.5717)/36.9954,AA1315*(93.6161)/36.9954)),3),AA1315))</f>
        <v/>
      </c>
      <c r="C1315" s="44" t="n"/>
      <c r="D1315" s="33" t="n">
        <v>0.111171</v>
      </c>
      <c r="E1315" s="34" t="n">
        <v>0.14937</v>
      </c>
      <c r="F1315" s="35">
        <f>ROUND(B1315*E1315,2)</f>
        <v/>
      </c>
      <c r="H1315" s="36" t="n">
        <v>189.608</v>
      </c>
      <c r="I1315" s="37" t="n">
        <v>0.14937</v>
      </c>
      <c r="J1315" s="38">
        <f>ROUND(H1315*I1315,2)</f>
        <v/>
      </c>
      <c r="L1315" s="39" t="n">
        <v>136.372</v>
      </c>
      <c r="M1315" s="40" t="n">
        <v>0.14937</v>
      </c>
      <c r="N1315" s="41">
        <f>ROUND(L1315*M1315,2)</f>
        <v/>
      </c>
      <c r="O1315" s="46" t="inlineStr">
        <is>
          <t>Cant. P1/P2/P3 energía suben</t>
        </is>
      </c>
      <c r="R1315" s="43" t="inlineStr">
        <is>
          <t>Importe mensual cobrado (€) · 24 meses ▾</t>
        </is>
      </c>
      <c r="AA1315" t="n">
        <v>115.72</v>
      </c>
    </row>
    <row r="1316">
      <c r="A1316" s="30" t="inlineStr">
        <is>
          <t>P3 Energía</t>
        </is>
      </c>
      <c r="B1316" s="31">
        <f>IF($P$1314&lt;&gt;"",ROUND(AA1316*(($AB$1314/(1-$P$1314))-57.5717)/36.9954,2),IF('Resumen'!$D$3="OPTIMIZAR",ROUND(MAX(AA1316,MIN(AA1316*(($AB$1314/(1-'Resumen'!$F$3))-57.5717)/36.9954,AA1316*(93.6161)/36.9954)),3),AA1316))</f>
        <v/>
      </c>
      <c r="C1316" s="44" t="n"/>
      <c r="D1316" s="33" t="n">
        <v>0.111171</v>
      </c>
      <c r="E1316" s="34" t="n">
        <v>0.14937</v>
      </c>
      <c r="F1316" s="35">
        <f>ROUND(B1316*E1316,2)</f>
        <v/>
      </c>
      <c r="H1316" s="36" t="n">
        <v>44.88</v>
      </c>
      <c r="I1316" s="37" t="n">
        <v>0.14937</v>
      </c>
      <c r="J1316" s="38">
        <f>ROUND(H1316*I1316,2)</f>
        <v/>
      </c>
      <c r="L1316" s="39" t="n">
        <v>55.37</v>
      </c>
      <c r="M1316" s="40" t="n">
        <v>0.14937</v>
      </c>
      <c r="N1316" s="41">
        <f>ROUND(L1316*M1316,2)</f>
        <v/>
      </c>
      <c r="O1316" s="46" t="inlineStr">
        <is>
          <t>en proporción para ese margen</t>
        </is>
      </c>
      <c r="AA1316" t="n">
        <v>60.21</v>
      </c>
    </row>
    <row r="1317">
      <c r="A1317" s="30" t="inlineStr">
        <is>
          <t>Alquiler contador</t>
        </is>
      </c>
      <c r="B1317" s="31" t="n">
        <v>1</v>
      </c>
      <c r="C1317" s="32">
        <f>$N$1309-$L$1309+1</f>
        <v/>
      </c>
      <c r="D1317" s="33" t="n">
        <v>1.3414</v>
      </c>
      <c r="E1317" s="34" t="n">
        <v>4</v>
      </c>
      <c r="F1317" s="35">
        <f>ROUND(B1317*E1317,2)</f>
        <v/>
      </c>
      <c r="H1317" s="36" t="n">
        <v>1</v>
      </c>
      <c r="I1317" s="37" t="n">
        <v>4</v>
      </c>
      <c r="J1317" s="38">
        <f>ROUND(H1317*I1317,2)</f>
        <v/>
      </c>
      <c r="L1317" s="39" t="n">
        <v>1</v>
      </c>
      <c r="M1317" s="40" t="n">
        <v>4</v>
      </c>
      <c r="N1317" s="41">
        <f>ROUND(L1317*M1317,2)</f>
        <v/>
      </c>
    </row>
    <row r="1318">
      <c r="A1318" s="30" t="inlineStr">
        <is>
          <t>Bono social</t>
        </is>
      </c>
      <c r="B1318" s="31" t="n">
        <v>30</v>
      </c>
      <c r="C1318" s="32">
        <f>$N$1309-$L$1309+1</f>
        <v/>
      </c>
      <c r="D1318" s="33" t="n">
        <v>0.5736</v>
      </c>
      <c r="E1318" s="34" t="n">
        <v>0.01274</v>
      </c>
      <c r="F1318" s="35">
        <f>ROUND(B1318*E1318,2)</f>
        <v/>
      </c>
      <c r="H1318" s="36" t="n">
        <v>30</v>
      </c>
      <c r="I1318" s="37" t="n">
        <v>0.01274</v>
      </c>
      <c r="J1318" s="38">
        <f>ROUND(H1318*I1318,2)</f>
        <v/>
      </c>
      <c r="L1318" s="39" t="n">
        <v>30</v>
      </c>
      <c r="M1318" s="40" t="n">
        <v>0.00629</v>
      </c>
      <c r="N1318" s="41">
        <f>ROUND(L1318*M1318,2)</f>
        <v/>
      </c>
    </row>
    <row r="1319">
      <c r="A1319" s="30" t="inlineStr">
        <is>
          <t>Tasa eléctrica</t>
        </is>
      </c>
      <c r="B1319" s="31" t="n">
        <v>4.84</v>
      </c>
      <c r="C1319" s="44" t="n"/>
      <c r="D1319" s="33" t="n">
        <v>0.02671</v>
      </c>
      <c r="E1319" s="34" t="n">
        <v>1</v>
      </c>
      <c r="F1319" s="35">
        <f>ROUND(B1319*E1319,2)</f>
        <v/>
      </c>
      <c r="H1319" s="36" t="n">
        <v>6.37</v>
      </c>
      <c r="I1319" s="37" t="n">
        <v>1</v>
      </c>
      <c r="J1319" s="38">
        <f>ROUND(H1319*I1319,2)</f>
        <v/>
      </c>
      <c r="L1319" s="39" t="n">
        <v>5</v>
      </c>
      <c r="M1319" s="40" t="n">
        <v>1</v>
      </c>
      <c r="N1319" s="41">
        <f>ROUND(L1319*M1319,2)</f>
        <v/>
      </c>
    </row>
    <row r="1320">
      <c r="A1320" s="47" t="inlineStr">
        <is>
          <t>TOTAL c/IVA</t>
        </is>
      </c>
      <c r="F1320" s="48">
        <f>ROUND((SUM(F1312:F1319)-F1319)*1.1+F1319,2)</f>
        <v/>
      </c>
      <c r="J1320" s="49">
        <f>ROUND(SUM(J1312:J1319),2)</f>
        <v/>
      </c>
      <c r="N1320" s="50">
        <f>ROUND(SUM(N1312:N1319),2)</f>
        <v/>
      </c>
    </row>
    <row r="1321">
      <c r="A1321" s="19" t="inlineStr">
        <is>
          <t>MARGEN sin registrar</t>
        </is>
      </c>
      <c r="B1321" s="51">
        <f>IF((F1315+F1312+F1314+F1316+F1313)=0,"",((F1315+F1312+F1314+F1316+F1313)-$AB$1314)/(F1315+F1312+F1314+F1316+F1313))</f>
        <v/>
      </c>
      <c r="D1321" s="52">
        <f>IF(B1321="","SIN PC",IF(B1321&gt;=0.3,"APROBAR",IF(B1321&gt;=0.2,"REVISAR","RECHAZAR")))</f>
        <v/>
      </c>
      <c r="E1321" s="53" t="n"/>
      <c r="F1321" s="54" t="n"/>
      <c r="AD1321">
        <f>SUM(F1314:F1316)-36.9954</f>
        <v/>
      </c>
    </row>
    <row r="1323">
      <c r="A1323" s="15" t="inlineStr">
        <is>
          <t>Factura 8663 · C02510 · ANTONIO LLIDO ESPASA</t>
        </is>
      </c>
      <c r="H1323" s="15" t="inlineStr">
        <is>
          <t>ES0021000001197237YS · Naturgy</t>
        </is>
      </c>
      <c r="L1323" s="16" t="n">
        <v>46113</v>
      </c>
      <c r="M1323" s="17" t="inlineStr">
        <is>
          <t>a</t>
        </is>
      </c>
      <c r="N1323" s="16" t="n">
        <v>46142</v>
      </c>
      <c r="R1323" s="18" t="inlineStr">
        <is>
          <t>HISTÓRICO DEL CUPS · HOJA TTVA LUZ</t>
        </is>
      </c>
    </row>
    <row r="1324">
      <c r="A1324" s="19" t="inlineStr">
        <is>
          <t>Concepto</t>
        </is>
      </c>
      <c r="B1324" s="20" t="inlineStr">
        <is>
          <t>PENDIENTE (sin registrar)</t>
        </is>
      </c>
      <c r="C1324" s="21" t="n"/>
      <c r="D1324" s="21" t="n"/>
      <c r="E1324" s="21" t="n"/>
      <c r="F1324" s="21" t="n"/>
      <c r="H1324" s="22" t="inlineStr">
        <is>
          <t>MES ANTERIOR · Fact.6380</t>
        </is>
      </c>
      <c r="I1324" s="23" t="n"/>
      <c r="J1324" s="23" t="n"/>
      <c r="L1324" s="24" t="inlineStr">
        <is>
          <t>AÑO ANTERIOR · Fact.4568</t>
        </is>
      </c>
      <c r="M1324" s="25" t="n"/>
      <c r="N1324" s="25" t="n"/>
      <c r="R1324" s="26" t="inlineStr">
        <is>
          <t>Cobrado total: 234 €</t>
        </is>
      </c>
    </row>
    <row r="1325">
      <c r="B1325" s="7" t="inlineStr">
        <is>
          <t>Cant</t>
        </is>
      </c>
      <c r="C1325" s="7" t="inlineStr">
        <is>
          <t>Días</t>
        </is>
      </c>
      <c r="D1325" s="7" t="inlineStr">
        <is>
          <t>PC real</t>
        </is>
      </c>
      <c r="E1325" s="7" t="inlineStr">
        <is>
          <t>PV</t>
        </is>
      </c>
      <c r="F1325" s="7" t="inlineStr">
        <is>
          <t>Importe</t>
        </is>
      </c>
      <c r="H1325" s="27" t="inlineStr">
        <is>
          <t>Cant</t>
        </is>
      </c>
      <c r="I1325" s="27" t="inlineStr">
        <is>
          <t>PV</t>
        </is>
      </c>
      <c r="J1325" s="27" t="inlineStr">
        <is>
          <t>Importe</t>
        </is>
      </c>
      <c r="L1325" s="28" t="inlineStr">
        <is>
          <t>Cant</t>
        </is>
      </c>
      <c r="M1325" s="28" t="inlineStr">
        <is>
          <t>PV</t>
        </is>
      </c>
      <c r="N1325" s="28" t="inlineStr">
        <is>
          <t>Importe</t>
        </is>
      </c>
      <c r="R1325" s="29" t="inlineStr">
        <is>
          <t>Pagado total: 194 €</t>
        </is>
      </c>
    </row>
    <row r="1326">
      <c r="A1326" s="30" t="inlineStr">
        <is>
          <t>P1 Potencia</t>
        </is>
      </c>
      <c r="B1326" s="31" t="n">
        <v>9.9</v>
      </c>
      <c r="C1326" s="32">
        <f>$N$1323-$L$1323+1</f>
        <v/>
      </c>
      <c r="D1326" s="33" t="n">
        <v>3.68919</v>
      </c>
      <c r="E1326" s="34" t="n">
        <v>3.85</v>
      </c>
      <c r="F1326" s="35">
        <f>ROUND(B1326*E1326,2)</f>
        <v/>
      </c>
      <c r="H1326" s="36" t="n">
        <v>9.9</v>
      </c>
      <c r="I1326" s="37" t="n">
        <v>3.85</v>
      </c>
      <c r="J1326" s="38">
        <f>ROUND(H1326*I1326,2)</f>
        <v/>
      </c>
      <c r="L1326" s="39" t="n">
        <v>9.9</v>
      </c>
      <c r="M1326" s="40" t="n">
        <v>3.85</v>
      </c>
      <c r="N1326" s="41">
        <f>ROUND(L1326*M1326,2)</f>
        <v/>
      </c>
      <c r="R1326" s="42" t="inlineStr">
        <is>
          <t>DIF: 40 €   ·   Margen hist.: 17.0%</t>
        </is>
      </c>
    </row>
    <row r="1327">
      <c r="A1327" s="30" t="inlineStr">
        <is>
          <t>P2 Potencia</t>
        </is>
      </c>
      <c r="B1327" s="31" t="n">
        <v>9.9</v>
      </c>
      <c r="C1327" s="32">
        <f>$N$1323-$L$1323+1</f>
        <v/>
      </c>
      <c r="D1327" s="33" t="n">
        <v>1.31928</v>
      </c>
      <c r="E1327" s="34" t="n">
        <v>1.33</v>
      </c>
      <c r="F1327" s="35">
        <f>ROUND(B1327*E1327,2)</f>
        <v/>
      </c>
      <c r="H1327" s="36" t="n">
        <v>9.9</v>
      </c>
      <c r="I1327" s="37" t="n">
        <v>1.33</v>
      </c>
      <c r="J1327" s="38">
        <f>ROUND(H1327*I1327,2)</f>
        <v/>
      </c>
      <c r="L1327" s="39" t="n">
        <v>9.9</v>
      </c>
      <c r="M1327" s="40" t="n">
        <v>1.33</v>
      </c>
      <c r="N1327" s="41">
        <f>ROUND(L1327*M1327,2)</f>
        <v/>
      </c>
      <c r="R1327" s="43" t="inlineStr">
        <is>
          <t>Mejor mes: 2024-11 · 111 € · margen 23%</t>
        </is>
      </c>
    </row>
    <row r="1328">
      <c r="A1328" s="30" t="inlineStr">
        <is>
          <t>P1 Energía</t>
        </is>
      </c>
      <c r="B1328" s="31">
        <f>IF($P$1328&lt;&gt;"",ROUND(AA1328*(($AB$1328/(1-$P$1328))-51.2820)/24.6888,2),IF('Resumen'!$D$3="OPTIMIZAR",ROUND(MAX(AA1328,MIN(AA1328*(($AB$1328/(1-'Resumen'!$F$3))-51.2820)/24.6888,AA1328*(52.0458)/24.6888)),3),AA1328))</f>
        <v/>
      </c>
      <c r="C1328" s="44" t="n"/>
      <c r="D1328" s="33" t="n">
        <v>0.111171</v>
      </c>
      <c r="E1328" s="34" t="n">
        <v>0.13788</v>
      </c>
      <c r="F1328" s="35">
        <f>ROUND(B1328*E1328,2)</f>
        <v/>
      </c>
      <c r="H1328" s="36" t="n">
        <v>64.22799999999999</v>
      </c>
      <c r="I1328" s="37" t="n">
        <v>0.13788</v>
      </c>
      <c r="J1328" s="38">
        <f>ROUND(H1328*I1328,2)</f>
        <v/>
      </c>
      <c r="L1328" s="39" t="n">
        <v>47.516</v>
      </c>
      <c r="M1328" s="40" t="n">
        <v>0.13788</v>
      </c>
      <c r="N1328" s="41">
        <f>ROUND(L1328*M1328,2)</f>
        <v/>
      </c>
      <c r="O1328" s="45" t="inlineStr">
        <is>
          <t>Margen objetivo (edita % aquí) ▶</t>
        </is>
      </c>
      <c r="P1328" s="5" t="n"/>
      <c r="R1328" s="43" t="inlineStr">
        <is>
          <t>Peor mes: 2024-10 · 15 € · margen -0%</t>
        </is>
      </c>
      <c r="AA1328" t="n">
        <v>54.432</v>
      </c>
      <c r="AB1328">
        <f>B1326*D1326+B1327*D1327+AA1328*D1328+AA1329*D1329+AA1330*D1330</f>
        <v/>
      </c>
    </row>
    <row r="1329">
      <c r="A1329" s="30" t="inlineStr">
        <is>
          <t>P2 Energía</t>
        </is>
      </c>
      <c r="B1329" s="31">
        <f>IF($P$1328&lt;&gt;"",ROUND(AA1329*(($AB$1328/(1-$P$1328))-51.2820)/24.6888,2),IF('Resumen'!$D$3="OPTIMIZAR",ROUND(MAX(AA1329,MIN(AA1329*(($AB$1328/(1-'Resumen'!$F$3))-51.2820)/24.6888,AA1329*(52.0458)/24.6888)),3),AA1329))</f>
        <v/>
      </c>
      <c r="C1329" s="44" t="n"/>
      <c r="D1329" s="33" t="n">
        <v>0.111171</v>
      </c>
      <c r="E1329" s="34" t="n">
        <v>0.13788</v>
      </c>
      <c r="F1329" s="35">
        <f>ROUND(B1329*E1329,2)</f>
        <v/>
      </c>
      <c r="H1329" s="36" t="n">
        <v>72.52800000000001</v>
      </c>
      <c r="I1329" s="37" t="n">
        <v>0.13788</v>
      </c>
      <c r="J1329" s="38">
        <f>ROUND(H1329*I1329,2)</f>
        <v/>
      </c>
      <c r="L1329" s="39" t="n">
        <v>70.601</v>
      </c>
      <c r="M1329" s="40" t="n">
        <v>0.13788</v>
      </c>
      <c r="N1329" s="41">
        <f>ROUND(L1329*M1329,2)</f>
        <v/>
      </c>
      <c r="O1329" s="46" t="inlineStr">
        <is>
          <t>Cant. P1/P2/P3 energía suben</t>
        </is>
      </c>
      <c r="R1329" s="43" t="inlineStr">
        <is>
          <t>Importe mensual cobrado (€) · 24 meses ▾</t>
        </is>
      </c>
      <c r="AA1329" t="n">
        <v>65.256</v>
      </c>
    </row>
    <row r="1330">
      <c r="A1330" s="30" t="inlineStr">
        <is>
          <t>P3 Energía</t>
        </is>
      </c>
      <c r="B1330" s="31">
        <f>IF($P$1328&lt;&gt;"",ROUND(AA1330*(($AB$1328/(1-$P$1328))-51.2820)/24.6888,2),IF('Resumen'!$D$3="OPTIMIZAR",ROUND(MAX(AA1330,MIN(AA1330*(($AB$1328/(1-'Resumen'!$F$3))-51.2820)/24.6888,AA1330*(52.0458)/24.6888)),3),AA1330))</f>
        <v/>
      </c>
      <c r="C1330" s="44" t="n"/>
      <c r="D1330" s="33" t="n">
        <v>0.111171</v>
      </c>
      <c r="E1330" s="34" t="n">
        <v>0.13788</v>
      </c>
      <c r="F1330" s="35">
        <f>ROUND(B1330*E1330,2)</f>
        <v/>
      </c>
      <c r="H1330" s="36" t="n">
        <v>51.703</v>
      </c>
      <c r="I1330" s="37" t="n">
        <v>0.13788</v>
      </c>
      <c r="J1330" s="38">
        <f>ROUND(H1330*I1330,2)</f>
        <v/>
      </c>
      <c r="L1330" s="39" t="n">
        <v>59.669</v>
      </c>
      <c r="M1330" s="40" t="n">
        <v>0.13788</v>
      </c>
      <c r="N1330" s="41">
        <f>ROUND(L1330*M1330,2)</f>
        <v/>
      </c>
      <c r="O1330" s="46" t="inlineStr">
        <is>
          <t>en proporción para ese margen</t>
        </is>
      </c>
      <c r="AA1330" t="n">
        <v>59.372</v>
      </c>
    </row>
    <row r="1331">
      <c r="A1331" s="30" t="inlineStr">
        <is>
          <t>Alquiler contador</t>
        </is>
      </c>
      <c r="B1331" s="31" t="n">
        <v>1</v>
      </c>
      <c r="C1331" s="32">
        <f>$N$1323-$L$1323+1</f>
        <v/>
      </c>
      <c r="D1331" s="33" t="n">
        <v>1.3414</v>
      </c>
      <c r="E1331" s="34" t="n">
        <v>3</v>
      </c>
      <c r="F1331" s="35">
        <f>ROUND(B1331*E1331,2)</f>
        <v/>
      </c>
      <c r="H1331" s="36" t="n">
        <v>1</v>
      </c>
      <c r="I1331" s="37" t="n">
        <v>3</v>
      </c>
      <c r="J1331" s="38">
        <f>ROUND(H1331*I1331,2)</f>
        <v/>
      </c>
      <c r="L1331" s="39" t="n">
        <v>1</v>
      </c>
      <c r="M1331" s="40" t="n">
        <v>3</v>
      </c>
      <c r="N1331" s="41">
        <f>ROUND(L1331*M1331,2)</f>
        <v/>
      </c>
    </row>
    <row r="1332">
      <c r="A1332" s="30" t="inlineStr">
        <is>
          <t>Bono social</t>
        </is>
      </c>
      <c r="B1332" s="31" t="n">
        <v>30</v>
      </c>
      <c r="C1332" s="32">
        <f>$N$1323-$L$1323+1</f>
        <v/>
      </c>
      <c r="D1332" s="33" t="n">
        <v>0.5736</v>
      </c>
      <c r="E1332" s="34" t="n">
        <v>0.01274</v>
      </c>
      <c r="F1332" s="35">
        <f>ROUND(B1332*E1332,2)</f>
        <v/>
      </c>
      <c r="H1332" s="36" t="n">
        <v>30</v>
      </c>
      <c r="I1332" s="37" t="n">
        <v>0.01274</v>
      </c>
      <c r="J1332" s="38">
        <f>ROUND(H1332*I1332,2)</f>
        <v/>
      </c>
      <c r="L1332" s="39" t="n">
        <v>30</v>
      </c>
      <c r="M1332" s="40" t="n">
        <v>0.00629</v>
      </c>
      <c r="N1332" s="41">
        <f>ROUND(L1332*M1332,2)</f>
        <v/>
      </c>
    </row>
    <row r="1333">
      <c r="A1333" s="30" t="inlineStr">
        <is>
          <t>Tasa eléctrica</t>
        </is>
      </c>
      <c r="B1333" s="31" t="n">
        <v>3.89</v>
      </c>
      <c r="C1333" s="44" t="n"/>
      <c r="D1333" s="33" t="n">
        <v>0.02671</v>
      </c>
      <c r="E1333" s="34" t="n">
        <v>1</v>
      </c>
      <c r="F1333" s="35">
        <f>ROUND(B1333*E1333,2)</f>
        <v/>
      </c>
      <c r="H1333" s="36" t="n">
        <v>3.96</v>
      </c>
      <c r="I1333" s="37" t="n">
        <v>1</v>
      </c>
      <c r="J1333" s="38">
        <f>ROUND(H1333*I1333,2)</f>
        <v/>
      </c>
      <c r="L1333" s="39" t="n">
        <v>3.88</v>
      </c>
      <c r="M1333" s="40" t="n">
        <v>1</v>
      </c>
      <c r="N1333" s="41">
        <f>ROUND(L1333*M1333,2)</f>
        <v/>
      </c>
    </row>
    <row r="1334">
      <c r="A1334" s="47" t="inlineStr">
        <is>
          <t>TOTAL c/IVA</t>
        </is>
      </c>
      <c r="F1334" s="48">
        <f>ROUND((SUM(F1326:F1333)-F1333)*1.1+F1333,2)</f>
        <v/>
      </c>
      <c r="J1334" s="49">
        <f>ROUND(SUM(J1326:J1333),2)</f>
        <v/>
      </c>
      <c r="N1334" s="50">
        <f>ROUND(SUM(N1326:N1333),2)</f>
        <v/>
      </c>
    </row>
    <row r="1335">
      <c r="A1335" s="19" t="inlineStr">
        <is>
          <t>MARGEN sin registrar</t>
        </is>
      </c>
      <c r="B1335" s="51">
        <f>IF((F1329+F1326+F1328+F1330+F1327)=0,"",((F1329+F1326+F1328+F1330+F1327)-$AB$1328)/(F1329+F1326+F1328+F1330+F1327))</f>
        <v/>
      </c>
      <c r="D1335" s="52">
        <f>IF(B1335="","SIN PC",IF(B1335&gt;=0.3,"APROBAR",IF(B1335&gt;=0.2,"REVISAR","RECHAZAR")))</f>
        <v/>
      </c>
      <c r="E1335" s="53" t="n"/>
      <c r="F1335" s="54" t="n"/>
      <c r="AD1335">
        <f>SUM(F1328:F1330)-24.6888</f>
        <v/>
      </c>
    </row>
    <row r="1337">
      <c r="A1337" s="15" t="inlineStr">
        <is>
          <t>Factura 8665 · C02530 · JUAN SANCHEZ RONDA</t>
        </is>
      </c>
      <c r="H1337" s="15" t="inlineStr">
        <is>
          <t>ES0021000021069440CB · Naturgy</t>
        </is>
      </c>
      <c r="L1337" s="16" t="n">
        <v>46113</v>
      </c>
      <c r="M1337" s="17" t="inlineStr">
        <is>
          <t>a</t>
        </is>
      </c>
      <c r="N1337" s="16" t="n">
        <v>46142</v>
      </c>
      <c r="R1337" s="18" t="inlineStr">
        <is>
          <t>HISTÓRICO DEL CUPS · HOJA TTVA LUZ</t>
        </is>
      </c>
    </row>
    <row r="1338">
      <c r="A1338" s="19" t="inlineStr">
        <is>
          <t>Concepto</t>
        </is>
      </c>
      <c r="B1338" s="20" t="inlineStr">
        <is>
          <t>PENDIENTE (sin registrar)</t>
        </is>
      </c>
      <c r="C1338" s="21" t="n"/>
      <c r="D1338" s="21" t="n"/>
      <c r="E1338" s="21" t="n"/>
      <c r="F1338" s="21" t="n"/>
      <c r="H1338" s="22" t="inlineStr">
        <is>
          <t>MES ANTERIOR · Fact.6378</t>
        </is>
      </c>
      <c r="I1338" s="23" t="n"/>
      <c r="J1338" s="23" t="n"/>
      <c r="L1338" s="24" t="inlineStr">
        <is>
          <t>AÑO ANTERIOR · Fact.4566</t>
        </is>
      </c>
      <c r="M1338" s="25" t="n"/>
      <c r="N1338" s="25" t="n"/>
      <c r="R1338" s="26" t="inlineStr">
        <is>
          <t>Cobrado total: 275 €</t>
        </is>
      </c>
    </row>
    <row r="1339">
      <c r="B1339" s="7" t="inlineStr">
        <is>
          <t>Cant</t>
        </is>
      </c>
      <c r="C1339" s="7" t="inlineStr">
        <is>
          <t>Días</t>
        </is>
      </c>
      <c r="D1339" s="7" t="inlineStr">
        <is>
          <t>PC real</t>
        </is>
      </c>
      <c r="E1339" s="7" t="inlineStr">
        <is>
          <t>PV</t>
        </is>
      </c>
      <c r="F1339" s="7" t="inlineStr">
        <is>
          <t>Importe</t>
        </is>
      </c>
      <c r="H1339" s="27" t="inlineStr">
        <is>
          <t>Cant</t>
        </is>
      </c>
      <c r="I1339" s="27" t="inlineStr">
        <is>
          <t>PV</t>
        </is>
      </c>
      <c r="J1339" s="27" t="inlineStr">
        <is>
          <t>Importe</t>
        </is>
      </c>
      <c r="L1339" s="28" t="inlineStr">
        <is>
          <t>Cant</t>
        </is>
      </c>
      <c r="M1339" s="28" t="inlineStr">
        <is>
          <t>PV</t>
        </is>
      </c>
      <c r="N1339" s="28" t="inlineStr">
        <is>
          <t>Importe</t>
        </is>
      </c>
      <c r="R1339" s="29" t="inlineStr">
        <is>
          <t>Pagado total: 222 €</t>
        </is>
      </c>
    </row>
    <row r="1340">
      <c r="A1340" s="30" t="inlineStr">
        <is>
          <t>P1 Potencia</t>
        </is>
      </c>
      <c r="B1340" s="31" t="n">
        <v>10.392</v>
      </c>
      <c r="C1340" s="32">
        <f>$N$1337-$L$1337+1</f>
        <v/>
      </c>
      <c r="D1340" s="33" t="n">
        <v>3.68919</v>
      </c>
      <c r="E1340" s="34" t="n">
        <v>3.85</v>
      </c>
      <c r="F1340" s="35">
        <f>ROUND(B1340*E1340,2)</f>
        <v/>
      </c>
      <c r="H1340" s="36" t="n">
        <v>10.392</v>
      </c>
      <c r="I1340" s="37" t="n">
        <v>3.85</v>
      </c>
      <c r="J1340" s="38">
        <f>ROUND(H1340*I1340,2)</f>
        <v/>
      </c>
      <c r="L1340" s="39" t="n">
        <v>10.392</v>
      </c>
      <c r="M1340" s="40" t="n">
        <v>3.85</v>
      </c>
      <c r="N1340" s="41">
        <f>ROUND(L1340*M1340,2)</f>
        <v/>
      </c>
      <c r="R1340" s="42" t="inlineStr">
        <is>
          <t>DIF: 53 €   ·   Margen hist.: 19.4%</t>
        </is>
      </c>
    </row>
    <row r="1341">
      <c r="A1341" s="30" t="inlineStr">
        <is>
          <t>P2 Potencia</t>
        </is>
      </c>
      <c r="B1341" s="31" t="n">
        <v>10.392</v>
      </c>
      <c r="C1341" s="32">
        <f>$N$1337-$L$1337+1</f>
        <v/>
      </c>
      <c r="D1341" s="33" t="n">
        <v>1.31928</v>
      </c>
      <c r="E1341" s="34" t="n">
        <v>1.33</v>
      </c>
      <c r="F1341" s="35">
        <f>ROUND(B1341*E1341,2)</f>
        <v/>
      </c>
      <c r="H1341" s="36" t="n">
        <v>10.392</v>
      </c>
      <c r="I1341" s="37" t="n">
        <v>1.33</v>
      </c>
      <c r="J1341" s="38">
        <f>ROUND(H1341*I1341,2)</f>
        <v/>
      </c>
      <c r="L1341" s="39" t="n">
        <v>10.392</v>
      </c>
      <c r="M1341" s="40" t="n">
        <v>1.33</v>
      </c>
      <c r="N1341" s="41">
        <f>ROUND(L1341*M1341,2)</f>
        <v/>
      </c>
      <c r="R1341" s="43" t="inlineStr">
        <is>
          <t>Mejor mes: 2024-11 · 113 € · margen 22%</t>
        </is>
      </c>
    </row>
    <row r="1342">
      <c r="A1342" s="30" t="inlineStr">
        <is>
          <t>P1 Energía</t>
        </is>
      </c>
      <c r="B1342" s="31">
        <f>IF($P$1342&lt;&gt;"",ROUND(AA1342*(($AB$1342/(1-$P$1342))-53.8306)/32.4159,2),IF('Resumen'!$D$3="OPTIMIZAR",ROUND(MAX(AA1342,MIN(AA1342*(($AB$1342/(1-'Resumen'!$F$3))-53.8306)/32.4159,AA1342*(51.5572)/32.4159)),3),AA1342))</f>
        <v/>
      </c>
      <c r="C1342" s="44" t="n"/>
      <c r="D1342" s="33" t="n">
        <v>0.111171</v>
      </c>
      <c r="E1342" s="34" t="n">
        <v>0.13788</v>
      </c>
      <c r="F1342" s="35">
        <f>ROUND(B1342*E1342,2)</f>
        <v/>
      </c>
      <c r="H1342" s="36" t="n">
        <v>103.876</v>
      </c>
      <c r="I1342" s="37" t="n">
        <v>0.13788</v>
      </c>
      <c r="J1342" s="38">
        <f>ROUND(H1342*I1342,2)</f>
        <v/>
      </c>
      <c r="L1342" s="39" t="n">
        <v>65.746</v>
      </c>
      <c r="M1342" s="40" t="n">
        <v>0.13788</v>
      </c>
      <c r="N1342" s="41">
        <f>ROUND(L1342*M1342,2)</f>
        <v/>
      </c>
      <c r="O1342" s="45" t="inlineStr">
        <is>
          <t>Margen objetivo (edita % aquí) ▶</t>
        </is>
      </c>
      <c r="P1342" s="5" t="n"/>
      <c r="R1342" s="43" t="inlineStr">
        <is>
          <t>Peor mes: 2024-10 · 79 € · margen 22%</t>
        </is>
      </c>
      <c r="AA1342" t="n">
        <v>79.09399999999999</v>
      </c>
      <c r="AB1342">
        <f>B1340*D1340+B1341*D1341+AA1342*D1342+AA1343*D1343+AA1344*D1344</f>
        <v/>
      </c>
    </row>
    <row r="1343">
      <c r="A1343" s="30" t="inlineStr">
        <is>
          <t>P2 Energía</t>
        </is>
      </c>
      <c r="B1343" s="31">
        <f>IF($P$1342&lt;&gt;"",ROUND(AA1343*(($AB$1342/(1-$P$1342))-53.8306)/32.4159,2),IF('Resumen'!$D$3="OPTIMIZAR",ROUND(MAX(AA1343,MIN(AA1343*(($AB$1342/(1-'Resumen'!$F$3))-53.8306)/32.4159,AA1343*(51.5572)/32.4159)),3),AA1343))</f>
        <v/>
      </c>
      <c r="C1343" s="44" t="n"/>
      <c r="D1343" s="33" t="n">
        <v>0.111171</v>
      </c>
      <c r="E1343" s="34" t="n">
        <v>0.13788</v>
      </c>
      <c r="F1343" s="35">
        <f>ROUND(B1343*E1343,2)</f>
        <v/>
      </c>
      <c r="H1343" s="36" t="n">
        <v>99.261</v>
      </c>
      <c r="I1343" s="37" t="n">
        <v>0.13788</v>
      </c>
      <c r="J1343" s="38">
        <f>ROUND(H1343*I1343,2)</f>
        <v/>
      </c>
      <c r="L1343" s="39" t="n">
        <v>75.474</v>
      </c>
      <c r="M1343" s="40" t="n">
        <v>0.13788</v>
      </c>
      <c r="N1343" s="41">
        <f>ROUND(L1343*M1343,2)</f>
        <v/>
      </c>
      <c r="O1343" s="46" t="inlineStr">
        <is>
          <t>Cant. P1/P2/P3 energía suben</t>
        </is>
      </c>
      <c r="R1343" s="43" t="inlineStr">
        <is>
          <t>Importe mensual cobrado (€) · 24 meses ▾</t>
        </is>
      </c>
      <c r="AA1343" t="n">
        <v>86.54600000000001</v>
      </c>
    </row>
    <row r="1344">
      <c r="A1344" s="30" t="inlineStr">
        <is>
          <t>P3 Energía</t>
        </is>
      </c>
      <c r="B1344" s="31">
        <f>IF($P$1342&lt;&gt;"",ROUND(AA1344*(($AB$1342/(1-$P$1342))-53.8306)/32.4159,2),IF('Resumen'!$D$3="OPTIMIZAR",ROUND(MAX(AA1344,MIN(AA1344*(($AB$1342/(1-'Resumen'!$F$3))-53.8306)/32.4159,AA1344*(51.5572)/32.4159)),3),AA1344))</f>
        <v/>
      </c>
      <c r="C1344" s="44" t="n"/>
      <c r="D1344" s="33" t="n">
        <v>0.111171</v>
      </c>
      <c r="E1344" s="34" t="n">
        <v>0.13788</v>
      </c>
      <c r="F1344" s="35">
        <f>ROUND(B1344*E1344,2)</f>
        <v/>
      </c>
      <c r="H1344" s="36" t="n">
        <v>52.48</v>
      </c>
      <c r="I1344" s="37" t="n">
        <v>0.13788</v>
      </c>
      <c r="J1344" s="38">
        <f>ROUND(H1344*I1344,2)</f>
        <v/>
      </c>
      <c r="L1344" s="39" t="n">
        <v>62.344</v>
      </c>
      <c r="M1344" s="40" t="n">
        <v>0.13788</v>
      </c>
      <c r="N1344" s="41">
        <f>ROUND(L1344*M1344,2)</f>
        <v/>
      </c>
      <c r="O1344" s="46" t="inlineStr">
        <is>
          <t>en proporción para ese margen</t>
        </is>
      </c>
      <c r="AA1344" t="n">
        <v>69.462</v>
      </c>
    </row>
    <row r="1345">
      <c r="A1345" s="30" t="inlineStr">
        <is>
          <t>Alquiler contador</t>
        </is>
      </c>
      <c r="B1345" s="31" t="n">
        <v>1</v>
      </c>
      <c r="C1345" s="32">
        <f>$N$1337-$L$1337+1</f>
        <v/>
      </c>
      <c r="D1345" s="33" t="n">
        <v>1.3414</v>
      </c>
      <c r="E1345" s="34" t="n">
        <v>3</v>
      </c>
      <c r="F1345" s="35">
        <f>ROUND(B1345*E1345,2)</f>
        <v/>
      </c>
      <c r="H1345" s="36" t="n">
        <v>1</v>
      </c>
      <c r="I1345" s="37" t="n">
        <v>3</v>
      </c>
      <c r="J1345" s="38">
        <f>ROUND(H1345*I1345,2)</f>
        <v/>
      </c>
      <c r="L1345" s="39" t="n">
        <v>1</v>
      </c>
      <c r="M1345" s="40" t="n">
        <v>3</v>
      </c>
      <c r="N1345" s="41">
        <f>ROUND(L1345*M1345,2)</f>
        <v/>
      </c>
    </row>
    <row r="1346">
      <c r="A1346" s="30" t="inlineStr">
        <is>
          <t>Bono social</t>
        </is>
      </c>
      <c r="B1346" s="31" t="n">
        <v>30</v>
      </c>
      <c r="C1346" s="32">
        <f>$N$1337-$L$1337+1</f>
        <v/>
      </c>
      <c r="D1346" s="33" t="n">
        <v>0.5736</v>
      </c>
      <c r="E1346" s="34" t="n">
        <v>0.01274</v>
      </c>
      <c r="F1346" s="35">
        <f>ROUND(B1346*E1346,2)</f>
        <v/>
      </c>
      <c r="H1346" s="36" t="n">
        <v>30</v>
      </c>
      <c r="I1346" s="37" t="n">
        <v>0.01274</v>
      </c>
      <c r="J1346" s="38">
        <f>ROUND(H1346*I1346,2)</f>
        <v/>
      </c>
      <c r="L1346" s="39" t="n">
        <v>30</v>
      </c>
      <c r="M1346" s="40" t="n">
        <v>0.00629</v>
      </c>
      <c r="N1346" s="41">
        <f>ROUND(L1346*M1346,2)</f>
        <v/>
      </c>
    </row>
    <row r="1347">
      <c r="A1347" s="30" t="inlineStr">
        <is>
          <t>Tasa eléctrica</t>
        </is>
      </c>
      <c r="B1347" s="31" t="n">
        <v>4.42</v>
      </c>
      <c r="C1347" s="44" t="n"/>
      <c r="D1347" s="33" t="n">
        <v>0.02671</v>
      </c>
      <c r="E1347" s="34" t="n">
        <v>1</v>
      </c>
      <c r="F1347" s="35">
        <f>ROUND(B1347*E1347,2)</f>
        <v/>
      </c>
      <c r="H1347" s="36" t="n">
        <v>4.56</v>
      </c>
      <c r="I1347" s="37" t="n">
        <v>1</v>
      </c>
      <c r="J1347" s="38">
        <f>ROUND(H1347*I1347,2)</f>
        <v/>
      </c>
      <c r="L1347" s="39" t="n">
        <v>4.2</v>
      </c>
      <c r="M1347" s="40" t="n">
        <v>1</v>
      </c>
      <c r="N1347" s="41">
        <f>ROUND(L1347*M1347,2)</f>
        <v/>
      </c>
    </row>
    <row r="1348">
      <c r="A1348" s="47" t="inlineStr">
        <is>
          <t>TOTAL c/IVA</t>
        </is>
      </c>
      <c r="F1348" s="48">
        <f>ROUND((SUM(F1340:F1347)-F1347)*1.1+F1347,2)</f>
        <v/>
      </c>
      <c r="J1348" s="49">
        <f>ROUND(SUM(J1340:J1347),2)</f>
        <v/>
      </c>
      <c r="N1348" s="50">
        <f>ROUND(SUM(N1340:N1347),2)</f>
        <v/>
      </c>
    </row>
    <row r="1349">
      <c r="A1349" s="19" t="inlineStr">
        <is>
          <t>MARGEN sin registrar</t>
        </is>
      </c>
      <c r="B1349" s="51">
        <f>IF((F1343+F1340+F1342+F1344+F1341)=0,"",((F1343+F1340+F1342+F1344+F1341)-$AB$1342)/(F1343+F1340+F1342+F1344+F1341))</f>
        <v/>
      </c>
      <c r="D1349" s="52">
        <f>IF(B1349="","SIN PC",IF(B1349&gt;=0.3,"APROBAR",IF(B1349&gt;=0.2,"REVISAR","RECHAZAR")))</f>
        <v/>
      </c>
      <c r="E1349" s="53" t="n"/>
      <c r="F1349" s="54" t="n"/>
      <c r="AD1349">
        <f>SUM(F1342:F1344)-32.4159</f>
        <v/>
      </c>
    </row>
    <row r="1351">
      <c r="A1351" s="15" t="inlineStr">
        <is>
          <t>Factura 8666 · C02540 · TERESA MENGUAL ALBEROLA</t>
        </is>
      </c>
      <c r="H1351" s="15" t="inlineStr">
        <is>
          <t>ES0021000011425522DQ · Naturgy</t>
        </is>
      </c>
      <c r="L1351" s="16" t="n">
        <v>46113</v>
      </c>
      <c r="M1351" s="17" t="inlineStr">
        <is>
          <t>a</t>
        </is>
      </c>
      <c r="N1351" s="16" t="n">
        <v>46142</v>
      </c>
      <c r="R1351" s="18" t="inlineStr">
        <is>
          <t>HISTÓRICO DEL CUPS · HOJA TTVA LUZ</t>
        </is>
      </c>
    </row>
    <row r="1352">
      <c r="A1352" s="19" t="inlineStr">
        <is>
          <t>Concepto</t>
        </is>
      </c>
      <c r="B1352" s="20" t="inlineStr">
        <is>
          <t>PENDIENTE (sin registrar)</t>
        </is>
      </c>
      <c r="C1352" s="21" t="n"/>
      <c r="D1352" s="21" t="n"/>
      <c r="E1352" s="21" t="n"/>
      <c r="F1352" s="21" t="n"/>
      <c r="H1352" s="22" t="inlineStr">
        <is>
          <t>MES ANTERIOR · Fact.6377</t>
        </is>
      </c>
      <c r="I1352" s="23" t="n"/>
      <c r="J1352" s="23" t="n"/>
      <c r="L1352" s="24" t="inlineStr">
        <is>
          <t>AÑO ANTERIOR · Fact.4565</t>
        </is>
      </c>
      <c r="M1352" s="25" t="n"/>
      <c r="N1352" s="25" t="n"/>
      <c r="R1352" s="26" t="inlineStr">
        <is>
          <t>Cobrado total: 168 €</t>
        </is>
      </c>
    </row>
    <row r="1353">
      <c r="B1353" s="7" t="inlineStr">
        <is>
          <t>Cant</t>
        </is>
      </c>
      <c r="C1353" s="7" t="inlineStr">
        <is>
          <t>Días</t>
        </is>
      </c>
      <c r="D1353" s="7" t="inlineStr">
        <is>
          <t>PC real</t>
        </is>
      </c>
      <c r="E1353" s="7" t="inlineStr">
        <is>
          <t>PV</t>
        </is>
      </c>
      <c r="F1353" s="7" t="inlineStr">
        <is>
          <t>Importe</t>
        </is>
      </c>
      <c r="H1353" s="27" t="inlineStr">
        <is>
          <t>Cant</t>
        </is>
      </c>
      <c r="I1353" s="27" t="inlineStr">
        <is>
          <t>PV</t>
        </is>
      </c>
      <c r="J1353" s="27" t="inlineStr">
        <is>
          <t>Importe</t>
        </is>
      </c>
      <c r="L1353" s="28" t="inlineStr">
        <is>
          <t>Cant</t>
        </is>
      </c>
      <c r="M1353" s="28" t="inlineStr">
        <is>
          <t>PV</t>
        </is>
      </c>
      <c r="N1353" s="28" t="inlineStr">
        <is>
          <t>Importe</t>
        </is>
      </c>
      <c r="R1353" s="29" t="inlineStr">
        <is>
          <t>Pagado total: 127 €</t>
        </is>
      </c>
    </row>
    <row r="1354">
      <c r="A1354" s="30" t="inlineStr">
        <is>
          <t>P1 Potencia</t>
        </is>
      </c>
      <c r="B1354" s="31" t="n">
        <v>4</v>
      </c>
      <c r="C1354" s="32">
        <f>$N$1351-$L$1351+1</f>
        <v/>
      </c>
      <c r="D1354" s="33" t="n">
        <v>3.68919</v>
      </c>
      <c r="E1354" s="34" t="n">
        <v>3.85</v>
      </c>
      <c r="F1354" s="35">
        <f>ROUND(B1354*E1354,2)</f>
        <v/>
      </c>
      <c r="H1354" s="36" t="n">
        <v>4</v>
      </c>
      <c r="I1354" s="37" t="n">
        <v>3.85</v>
      </c>
      <c r="J1354" s="38">
        <f>ROUND(H1354*I1354,2)</f>
        <v/>
      </c>
      <c r="L1354" s="39" t="n">
        <v>4</v>
      </c>
      <c r="M1354" s="40" t="n">
        <v>3.85</v>
      </c>
      <c r="N1354" s="41">
        <f>ROUND(L1354*M1354,2)</f>
        <v/>
      </c>
      <c r="R1354" s="42" t="inlineStr">
        <is>
          <t>DIF: 40 €   ·   Margen hist.: 24.0%</t>
        </is>
      </c>
    </row>
    <row r="1355">
      <c r="A1355" s="30" t="inlineStr">
        <is>
          <t>P2 Potencia</t>
        </is>
      </c>
      <c r="B1355" s="31" t="n">
        <v>4</v>
      </c>
      <c r="C1355" s="32">
        <f>$N$1351-$L$1351+1</f>
        <v/>
      </c>
      <c r="D1355" s="33" t="n">
        <v>1.31928</v>
      </c>
      <c r="E1355" s="34" t="n">
        <v>1.33</v>
      </c>
      <c r="F1355" s="35">
        <f>ROUND(B1355*E1355,2)</f>
        <v/>
      </c>
      <c r="H1355" s="36" t="n">
        <v>4</v>
      </c>
      <c r="I1355" s="37" t="n">
        <v>1.33</v>
      </c>
      <c r="J1355" s="38">
        <f>ROUND(H1355*I1355,2)</f>
        <v/>
      </c>
      <c r="L1355" s="39" t="n">
        <v>4</v>
      </c>
      <c r="M1355" s="40" t="n">
        <v>1.33</v>
      </c>
      <c r="N1355" s="41">
        <f>ROUND(L1355*M1355,2)</f>
        <v/>
      </c>
      <c r="R1355" s="43" t="inlineStr">
        <is>
          <t>Mejor mes: 2024-11 · 84 € · margen 32%</t>
        </is>
      </c>
    </row>
    <row r="1356">
      <c r="A1356" s="30" t="inlineStr">
        <is>
          <t>P1 Energía</t>
        </is>
      </c>
      <c r="B1356" s="31">
        <f>IF($P$1356&lt;&gt;"",ROUND(AA1356*(($AB$1356/(1-$P$1356))-20.7200)/25.3607,2),IF('Resumen'!$D$3="OPTIMIZAR",ROUND(MAX(AA1356,MIN(AA1356*(($AB$1356/(1-'Resumen'!$F$3))-20.7200)/25.3607,AA1356*(57.3678)/25.3607)),3),AA1356))</f>
        <v/>
      </c>
      <c r="C1356" s="44" t="n"/>
      <c r="D1356" s="33" t="n">
        <v>0.111171</v>
      </c>
      <c r="E1356" s="34" t="n">
        <v>0.13788</v>
      </c>
      <c r="F1356" s="35">
        <f>ROUND(B1356*E1356,2)</f>
        <v/>
      </c>
      <c r="H1356" s="36" t="n">
        <v>80.84999999999999</v>
      </c>
      <c r="I1356" s="37" t="n">
        <v>0.13788</v>
      </c>
      <c r="J1356" s="38">
        <f>ROUND(H1356*I1356,2)</f>
        <v/>
      </c>
      <c r="L1356" s="39" t="n">
        <v>59.974</v>
      </c>
      <c r="M1356" s="40" t="n">
        <v>0.13788</v>
      </c>
      <c r="N1356" s="41">
        <f>ROUND(L1356*M1356,2)</f>
        <v/>
      </c>
      <c r="O1356" s="45" t="inlineStr">
        <is>
          <t>Margen objetivo (edita % aquí) ▶</t>
        </is>
      </c>
      <c r="P1356" s="5" t="n"/>
      <c r="R1356" s="43" t="inlineStr">
        <is>
          <t>Peor mes: 2024-12 · 81 € · margen 27%</t>
        </is>
      </c>
      <c r="AA1356" t="n">
        <v>62.414</v>
      </c>
      <c r="AB1356">
        <f>B1354*D1354+B1355*D1355+AA1356*D1356+AA1357*D1357+AA1358*D1358</f>
        <v/>
      </c>
    </row>
    <row r="1357">
      <c r="A1357" s="30" t="inlineStr">
        <is>
          <t>P2 Energía</t>
        </is>
      </c>
      <c r="B1357" s="31">
        <f>IF($P$1356&lt;&gt;"",ROUND(AA1357*(($AB$1356/(1-$P$1356))-20.7200)/25.3607,2),IF('Resumen'!$D$3="OPTIMIZAR",ROUND(MAX(AA1357,MIN(AA1357*(($AB$1356/(1-'Resumen'!$F$3))-20.7200)/25.3607,AA1357*(57.3678)/25.3607)),3),AA1357))</f>
        <v/>
      </c>
      <c r="C1357" s="44" t="n"/>
      <c r="D1357" s="33" t="n">
        <v>0.111171</v>
      </c>
      <c r="E1357" s="34" t="n">
        <v>0.13788</v>
      </c>
      <c r="F1357" s="35">
        <f>ROUND(B1357*E1357,2)</f>
        <v/>
      </c>
      <c r="H1357" s="36" t="n">
        <v>66.351</v>
      </c>
      <c r="I1357" s="37" t="n">
        <v>0.13788</v>
      </c>
      <c r="J1357" s="38">
        <f>ROUND(H1357*I1357,2)</f>
        <v/>
      </c>
      <c r="L1357" s="39" t="n">
        <v>42.199</v>
      </c>
      <c r="M1357" s="40" t="n">
        <v>0.13788</v>
      </c>
      <c r="N1357" s="41">
        <f>ROUND(L1357*M1357,2)</f>
        <v/>
      </c>
      <c r="O1357" s="46" t="inlineStr">
        <is>
          <t>Cant. P1/P2/P3 energía suben</t>
        </is>
      </c>
      <c r="R1357" s="43" t="inlineStr">
        <is>
          <t>Importe mensual cobrado (€) · 24 meses ▾</t>
        </is>
      </c>
      <c r="AA1357" t="n">
        <v>49.451</v>
      </c>
    </row>
    <row r="1358">
      <c r="A1358" s="30" t="inlineStr">
        <is>
          <t>P3 Energía</t>
        </is>
      </c>
      <c r="B1358" s="31">
        <f>IF($P$1356&lt;&gt;"",ROUND(AA1358*(($AB$1356/(1-$P$1356))-20.7200)/25.3607,2),IF('Resumen'!$D$3="OPTIMIZAR",ROUND(MAX(AA1358,MIN(AA1358*(($AB$1356/(1-'Resumen'!$F$3))-20.7200)/25.3607,AA1358*(57.3678)/25.3607)),3),AA1358))</f>
        <v/>
      </c>
      <c r="C1358" s="44" t="n"/>
      <c r="D1358" s="33" t="n">
        <v>0.111171</v>
      </c>
      <c r="E1358" s="34" t="n">
        <v>0.13788</v>
      </c>
      <c r="F1358" s="35">
        <f>ROUND(B1358*E1358,2)</f>
        <v/>
      </c>
      <c r="H1358" s="36" t="n">
        <v>99.416</v>
      </c>
      <c r="I1358" s="37" t="n">
        <v>0.13788</v>
      </c>
      <c r="J1358" s="38">
        <f>ROUND(H1358*I1358,2)</f>
        <v/>
      </c>
      <c r="L1358" s="39" t="n">
        <v>74.276</v>
      </c>
      <c r="M1358" s="40" t="n">
        <v>0.13788</v>
      </c>
      <c r="N1358" s="41">
        <f>ROUND(L1358*M1358,2)</f>
        <v/>
      </c>
      <c r="O1358" s="46" t="inlineStr">
        <is>
          <t>en proporción para ese margen</t>
        </is>
      </c>
      <c r="AA1358" t="n">
        <v>72.068</v>
      </c>
    </row>
    <row r="1359">
      <c r="A1359" s="30" t="inlineStr">
        <is>
          <t>Alquiler contador</t>
        </is>
      </c>
      <c r="B1359" s="31" t="n">
        <v>1</v>
      </c>
      <c r="C1359" s="32">
        <f>$N$1351-$L$1351+1</f>
        <v/>
      </c>
      <c r="D1359" s="33" t="n">
        <v>0.7989000000000001</v>
      </c>
      <c r="E1359" s="34" t="n">
        <v>3</v>
      </c>
      <c r="F1359" s="35">
        <f>ROUND(B1359*E1359,2)</f>
        <v/>
      </c>
      <c r="H1359" s="36" t="n">
        <v>1</v>
      </c>
      <c r="I1359" s="37" t="n">
        <v>3</v>
      </c>
      <c r="J1359" s="38">
        <f>ROUND(H1359*I1359,2)</f>
        <v/>
      </c>
      <c r="L1359" s="39" t="n">
        <v>1</v>
      </c>
      <c r="M1359" s="40" t="n">
        <v>3</v>
      </c>
      <c r="N1359" s="41">
        <f>ROUND(L1359*M1359,2)</f>
        <v/>
      </c>
    </row>
    <row r="1360">
      <c r="A1360" s="30" t="inlineStr">
        <is>
          <t>Bono social</t>
        </is>
      </c>
      <c r="B1360" s="31" t="n">
        <v>30</v>
      </c>
      <c r="C1360" s="32">
        <f>$N$1351-$L$1351+1</f>
        <v/>
      </c>
      <c r="D1360" s="33" t="n">
        <v>0.5736</v>
      </c>
      <c r="E1360" s="34" t="n">
        <v>0.01274</v>
      </c>
      <c r="F1360" s="35">
        <f>ROUND(B1360*E1360,2)</f>
        <v/>
      </c>
      <c r="H1360" s="36" t="n">
        <v>30</v>
      </c>
      <c r="I1360" s="37" t="n">
        <v>0.01274</v>
      </c>
      <c r="J1360" s="38">
        <f>ROUND(H1360*I1360,2)</f>
        <v/>
      </c>
      <c r="L1360" s="39" t="n">
        <v>30</v>
      </c>
      <c r="M1360" s="40" t="n">
        <v>0.00629</v>
      </c>
      <c r="N1360" s="41">
        <f>ROUND(L1360*M1360,2)</f>
        <v/>
      </c>
    </row>
    <row r="1361">
      <c r="A1361" s="30" t="inlineStr">
        <is>
          <t>Tasa eléctrica</t>
        </is>
      </c>
      <c r="B1361" s="31" t="n">
        <v>2.36</v>
      </c>
      <c r="C1361" s="44" t="n"/>
      <c r="D1361" s="33" t="n">
        <v>0.27312</v>
      </c>
      <c r="E1361" s="34" t="n">
        <v>1</v>
      </c>
      <c r="F1361" s="35">
        <f>ROUND(B1361*E1361,2)</f>
        <v/>
      </c>
      <c r="H1361" s="36" t="n">
        <v>2.81</v>
      </c>
      <c r="I1361" s="37" t="n">
        <v>1</v>
      </c>
      <c r="J1361" s="38">
        <f>ROUND(H1361*I1361,2)</f>
        <v/>
      </c>
      <c r="L1361" s="39" t="n">
        <v>2.31</v>
      </c>
      <c r="M1361" s="40" t="n">
        <v>1</v>
      </c>
      <c r="N1361" s="41">
        <f>ROUND(L1361*M1361,2)</f>
        <v/>
      </c>
    </row>
    <row r="1362">
      <c r="A1362" s="47" t="inlineStr">
        <is>
          <t>TOTAL c/IVA</t>
        </is>
      </c>
      <c r="F1362" s="48">
        <f>ROUND((SUM(F1354:F1361)-F1361)*1.1+F1361,2)</f>
        <v/>
      </c>
      <c r="J1362" s="49">
        <f>ROUND(SUM(J1354:J1361),2)</f>
        <v/>
      </c>
      <c r="N1362" s="50">
        <f>ROUND(SUM(N1354:N1361),2)</f>
        <v/>
      </c>
    </row>
    <row r="1363">
      <c r="A1363" s="19" t="inlineStr">
        <is>
          <t>MARGEN sin registrar</t>
        </is>
      </c>
      <c r="B1363" s="51">
        <f>IF((F1357+F1354+F1356+F1358+F1355)=0,"",((F1357+F1354+F1356+F1358+F1355)-$AB$1356)/(F1357+F1354+F1356+F1358+F1355))</f>
        <v/>
      </c>
      <c r="D1363" s="52">
        <f>IF(B1363="","SIN PC",IF(B1363&gt;=0.3,"APROBAR",IF(B1363&gt;=0.2,"REVISAR","RECHAZAR")))</f>
        <v/>
      </c>
      <c r="E1363" s="53" t="n"/>
      <c r="F1363" s="54" t="n"/>
      <c r="AD1363">
        <f>SUM(F1356:F1358)-25.3607</f>
        <v/>
      </c>
    </row>
    <row r="1365">
      <c r="A1365" s="15" t="inlineStr">
        <is>
          <t>Factura 8667 · C02560 · PEDRO IVARS TRO 2018, S.L.</t>
        </is>
      </c>
      <c r="H1365" s="15" t="inlineStr">
        <is>
          <t>ES0021000000959128GW · Naturgy</t>
        </is>
      </c>
      <c r="L1365" s="16" t="n">
        <v>46113</v>
      </c>
      <c r="M1365" s="17" t="inlineStr">
        <is>
          <t>a</t>
        </is>
      </c>
      <c r="N1365" s="16" t="n">
        <v>46142</v>
      </c>
      <c r="R1365" s="18" t="inlineStr">
        <is>
          <t>HISTÓRICO DEL CUPS · HOJA TTVA LUZ</t>
        </is>
      </c>
    </row>
    <row r="1366">
      <c r="A1366" s="19" t="inlineStr">
        <is>
          <t>Concepto</t>
        </is>
      </c>
      <c r="B1366" s="20" t="inlineStr">
        <is>
          <t>PENDIENTE (sin registrar)</t>
        </is>
      </c>
      <c r="C1366" s="21" t="n"/>
      <c r="D1366" s="21" t="n"/>
      <c r="E1366" s="21" t="n"/>
      <c r="F1366" s="21" t="n"/>
      <c r="H1366" s="22" t="inlineStr">
        <is>
          <t>MES ANTERIOR · Fact.6376</t>
        </is>
      </c>
      <c r="I1366" s="23" t="n"/>
      <c r="J1366" s="23" t="n"/>
      <c r="L1366" s="24" t="inlineStr">
        <is>
          <t>AÑO ANTERIOR · Fact.4564</t>
        </is>
      </c>
      <c r="M1366" s="25" t="n"/>
      <c r="N1366" s="25" t="n"/>
      <c r="R1366" s="26" t="inlineStr">
        <is>
          <t>Cobrado total: 453 €</t>
        </is>
      </c>
    </row>
    <row r="1367">
      <c r="B1367" s="7" t="inlineStr">
        <is>
          <t>Cant</t>
        </is>
      </c>
      <c r="C1367" s="7" t="inlineStr">
        <is>
          <t>Días</t>
        </is>
      </c>
      <c r="D1367" s="7" t="inlineStr">
        <is>
          <t>PC real</t>
        </is>
      </c>
      <c r="E1367" s="7" t="inlineStr">
        <is>
          <t>PV</t>
        </is>
      </c>
      <c r="F1367" s="7" t="inlineStr">
        <is>
          <t>Importe</t>
        </is>
      </c>
      <c r="H1367" s="27" t="inlineStr">
        <is>
          <t>Cant</t>
        </is>
      </c>
      <c r="I1367" s="27" t="inlineStr">
        <is>
          <t>PV</t>
        </is>
      </c>
      <c r="J1367" s="27" t="inlineStr">
        <is>
          <t>Importe</t>
        </is>
      </c>
      <c r="L1367" s="28" t="inlineStr">
        <is>
          <t>Cant</t>
        </is>
      </c>
      <c r="M1367" s="28" t="inlineStr">
        <is>
          <t>PV</t>
        </is>
      </c>
      <c r="N1367" s="28" t="inlineStr">
        <is>
          <t>Importe</t>
        </is>
      </c>
      <c r="R1367" s="29" t="inlineStr">
        <is>
          <t>Pagado total: 293 €</t>
        </is>
      </c>
    </row>
    <row r="1368">
      <c r="A1368" s="30" t="inlineStr">
        <is>
          <t>P1 Potencia</t>
        </is>
      </c>
      <c r="B1368" s="31" t="n">
        <v>13.2</v>
      </c>
      <c r="C1368" s="32">
        <f>$N$1365-$L$1365+1</f>
        <v/>
      </c>
      <c r="D1368" s="33" t="n">
        <v>3.68919</v>
      </c>
      <c r="E1368" s="34" t="n">
        <v>3.85</v>
      </c>
      <c r="F1368" s="35">
        <f>ROUND(B1368*E1368,2)</f>
        <v/>
      </c>
      <c r="H1368" s="36" t="n">
        <v>13.2</v>
      </c>
      <c r="I1368" s="37" t="n">
        <v>3.85</v>
      </c>
      <c r="J1368" s="38">
        <f>ROUND(H1368*I1368,2)</f>
        <v/>
      </c>
      <c r="L1368" s="39" t="n">
        <v>13.2</v>
      </c>
      <c r="M1368" s="40" t="n">
        <v>3.85</v>
      </c>
      <c r="N1368" s="41">
        <f>ROUND(L1368*M1368,2)</f>
        <v/>
      </c>
      <c r="R1368" s="42" t="inlineStr">
        <is>
          <t>DIF: 160 €   ·   Margen hist.: 35.4%</t>
        </is>
      </c>
    </row>
    <row r="1369">
      <c r="A1369" s="30" t="inlineStr">
        <is>
          <t>P2 Potencia</t>
        </is>
      </c>
      <c r="B1369" s="31" t="n">
        <v>13.2</v>
      </c>
      <c r="C1369" s="32">
        <f>$N$1365-$L$1365+1</f>
        <v/>
      </c>
      <c r="D1369" s="33" t="n">
        <v>1.31928</v>
      </c>
      <c r="E1369" s="34" t="n">
        <v>1.33</v>
      </c>
      <c r="F1369" s="35">
        <f>ROUND(B1369*E1369,2)</f>
        <v/>
      </c>
      <c r="H1369" s="36" t="n">
        <v>13.2</v>
      </c>
      <c r="I1369" s="37" t="n">
        <v>1.33</v>
      </c>
      <c r="J1369" s="38">
        <f>ROUND(H1369*I1369,2)</f>
        <v/>
      </c>
      <c r="L1369" s="39" t="n">
        <v>13.2</v>
      </c>
      <c r="M1369" s="40" t="n">
        <v>1.33</v>
      </c>
      <c r="N1369" s="41">
        <f>ROUND(L1369*M1369,2)</f>
        <v/>
      </c>
      <c r="R1369" s="43" t="inlineStr">
        <is>
          <t>Mejor mes: 2024-12 · 291 € · margen 24%</t>
        </is>
      </c>
    </row>
    <row r="1370">
      <c r="A1370" s="30" t="inlineStr">
        <is>
          <t>P1 Energía</t>
        </is>
      </c>
      <c r="B1370" s="31">
        <f>IF($P$1370&lt;&gt;"",ROUND(AA1370*(($AB$1370/(1-$P$1370))-68.3760)/122.8025,2),IF('Resumen'!$D$3="OPTIMIZAR",ROUND(MAX(AA1370,MIN(AA1370*(($AB$1370/(1-'Resumen'!$F$3))-68.3760)/122.8025,AA1370*(209.7518)/122.8025)),3),AA1370))</f>
        <v/>
      </c>
      <c r="C1370" s="44" t="n"/>
      <c r="D1370" s="33" t="n">
        <v>0.111171</v>
      </c>
      <c r="E1370" s="34" t="n">
        <v>0.13788</v>
      </c>
      <c r="F1370" s="35">
        <f>ROUND(B1370*E1370,2)</f>
        <v/>
      </c>
      <c r="H1370" s="36" t="n">
        <v>442.536</v>
      </c>
      <c r="I1370" s="37" t="n">
        <v>0.129</v>
      </c>
      <c r="J1370" s="38">
        <f>ROUND(H1370*I1370,2)</f>
        <v/>
      </c>
      <c r="L1370" s="39" t="n">
        <v>256.232</v>
      </c>
      <c r="M1370" s="40" t="n">
        <v>0.13788</v>
      </c>
      <c r="N1370" s="41">
        <f>ROUND(L1370*M1370,2)</f>
        <v/>
      </c>
      <c r="O1370" s="45" t="inlineStr">
        <is>
          <t>Margen objetivo (edita % aquí) ▶</t>
        </is>
      </c>
      <c r="P1370" s="5" t="n"/>
      <c r="R1370" s="43" t="inlineStr">
        <is>
          <t>Peor mes: 2024-11 · 160 € · margen 56%</t>
        </is>
      </c>
      <c r="AA1370" t="n">
        <v>258.488</v>
      </c>
      <c r="AB1370">
        <f>B1368*D1368+B1369*D1369+AA1370*D1370+AA1371*D1371+AA1372*D1372</f>
        <v/>
      </c>
    </row>
    <row r="1371">
      <c r="A1371" s="30" t="inlineStr">
        <is>
          <t>P2 Energía</t>
        </is>
      </c>
      <c r="B1371" s="31">
        <f>IF($P$1370&lt;&gt;"",ROUND(AA1371*(($AB$1370/(1-$P$1370))-68.3760)/122.8025,2),IF('Resumen'!$D$3="OPTIMIZAR",ROUND(MAX(AA1371,MIN(AA1371*(($AB$1370/(1-'Resumen'!$F$3))-68.3760)/122.8025,AA1371*(209.7518)/122.8025)),3),AA1371))</f>
        <v/>
      </c>
      <c r="C1371" s="44" t="n"/>
      <c r="D1371" s="33" t="n">
        <v>0.111171</v>
      </c>
      <c r="E1371" s="34" t="n">
        <v>0.13788</v>
      </c>
      <c r="F1371" s="35">
        <f>ROUND(B1371*E1371,2)</f>
        <v/>
      </c>
      <c r="H1371" s="36" t="n">
        <v>441.527</v>
      </c>
      <c r="I1371" s="37" t="n">
        <v>0.129</v>
      </c>
      <c r="J1371" s="38">
        <f>ROUND(H1371*I1371,2)</f>
        <v/>
      </c>
      <c r="L1371" s="39" t="n">
        <v>333.72</v>
      </c>
      <c r="M1371" s="40" t="n">
        <v>0.13788</v>
      </c>
      <c r="N1371" s="41">
        <f>ROUND(L1371*M1371,2)</f>
        <v/>
      </c>
      <c r="O1371" s="46" t="inlineStr">
        <is>
          <t>Cant. P1/P2/P3 energía suben</t>
        </is>
      </c>
      <c r="R1371" s="43" t="inlineStr">
        <is>
          <t>Importe mensual cobrado (€) · 24 meses ▾</t>
        </is>
      </c>
      <c r="AA1371" t="n">
        <v>305.423</v>
      </c>
    </row>
    <row r="1372">
      <c r="A1372" s="30" t="inlineStr">
        <is>
          <t>P3 Energía</t>
        </is>
      </c>
      <c r="B1372" s="31">
        <f>IF($P$1370&lt;&gt;"",ROUND(AA1372*(($AB$1370/(1-$P$1370))-68.3760)/122.8025,2),IF('Resumen'!$D$3="OPTIMIZAR",ROUND(MAX(AA1372,MIN(AA1372*(($AB$1370/(1-'Resumen'!$F$3))-68.3760)/122.8025,AA1372*(209.7518)/122.8025)),3),AA1372))</f>
        <v/>
      </c>
      <c r="C1372" s="44" t="n"/>
      <c r="D1372" s="33" t="n">
        <v>0.111171</v>
      </c>
      <c r="E1372" s="34" t="n">
        <v>0.13788</v>
      </c>
      <c r="F1372" s="35">
        <f>ROUND(B1372*E1372,2)</f>
        <v/>
      </c>
      <c r="H1372" s="36" t="n">
        <v>295.773</v>
      </c>
      <c r="I1372" s="37" t="n">
        <v>0.129</v>
      </c>
      <c r="J1372" s="38">
        <f>ROUND(H1372*I1372,2)</f>
        <v/>
      </c>
      <c r="L1372" s="39" t="n">
        <v>202.335</v>
      </c>
      <c r="M1372" s="40" t="n">
        <v>0.13788</v>
      </c>
      <c r="N1372" s="41">
        <f>ROUND(L1372*M1372,2)</f>
        <v/>
      </c>
      <c r="O1372" s="46" t="inlineStr">
        <is>
          <t>en proporción para ese margen</t>
        </is>
      </c>
      <c r="AA1372" t="n">
        <v>326.737</v>
      </c>
    </row>
    <row r="1373">
      <c r="A1373" s="30" t="inlineStr">
        <is>
          <t>Alquiler contador</t>
        </is>
      </c>
      <c r="B1373" s="31" t="n">
        <v>1</v>
      </c>
      <c r="C1373" s="32">
        <f>$N$1365-$L$1365+1</f>
        <v/>
      </c>
      <c r="D1373" s="33" t="n">
        <v>1.3414</v>
      </c>
      <c r="E1373" s="34" t="n">
        <v>3</v>
      </c>
      <c r="F1373" s="35">
        <f>ROUND(B1373*E1373,2)</f>
        <v/>
      </c>
      <c r="H1373" s="36" t="n">
        <v>1</v>
      </c>
      <c r="I1373" s="37" t="n">
        <v>3</v>
      </c>
      <c r="J1373" s="38">
        <f>ROUND(H1373*I1373,2)</f>
        <v/>
      </c>
      <c r="L1373" s="39" t="n">
        <v>1</v>
      </c>
      <c r="M1373" s="40" t="n">
        <v>3</v>
      </c>
      <c r="N1373" s="41">
        <f>ROUND(L1373*M1373,2)</f>
        <v/>
      </c>
    </row>
    <row r="1374">
      <c r="A1374" s="30" t="inlineStr">
        <is>
          <t>Bono social</t>
        </is>
      </c>
      <c r="B1374" s="31" t="n">
        <v>30</v>
      </c>
      <c r="C1374" s="32">
        <f>$N$1365-$L$1365+1</f>
        <v/>
      </c>
      <c r="D1374" s="33" t="n">
        <v>0.5736</v>
      </c>
      <c r="E1374" s="34" t="n">
        <v>0.01274</v>
      </c>
      <c r="F1374" s="35">
        <f>ROUND(B1374*E1374,2)</f>
        <v/>
      </c>
      <c r="H1374" s="36" t="n">
        <v>30</v>
      </c>
      <c r="I1374" s="37" t="n">
        <v>0.01274</v>
      </c>
      <c r="J1374" s="38">
        <f>ROUND(H1374*I1374,2)</f>
        <v/>
      </c>
      <c r="L1374" s="39" t="n">
        <v>30</v>
      </c>
      <c r="M1374" s="40" t="n">
        <v>0.00629</v>
      </c>
      <c r="N1374" s="41">
        <f>ROUND(L1374*M1374,2)</f>
        <v/>
      </c>
    </row>
    <row r="1375">
      <c r="A1375" s="30" t="inlineStr">
        <is>
          <t>Tasa eléctrica</t>
        </is>
      </c>
      <c r="B1375" s="31" t="n">
        <v>9.779999999999999</v>
      </c>
      <c r="C1375" s="44" t="n"/>
      <c r="D1375" s="33" t="n">
        <v>0.27312</v>
      </c>
      <c r="E1375" s="34" t="n">
        <v>1</v>
      </c>
      <c r="F1375" s="35">
        <f>ROUND(B1375*E1375,2)</f>
        <v/>
      </c>
      <c r="H1375" s="36" t="n">
        <v>12.04</v>
      </c>
      <c r="I1375" s="37" t="n">
        <v>1</v>
      </c>
      <c r="J1375" s="38">
        <f>ROUND(H1375*I1375,2)</f>
        <v/>
      </c>
      <c r="L1375" s="39" t="n">
        <v>9.09</v>
      </c>
      <c r="M1375" s="40" t="n">
        <v>1</v>
      </c>
      <c r="N1375" s="41">
        <f>ROUND(L1375*M1375,2)</f>
        <v/>
      </c>
    </row>
    <row r="1376">
      <c r="A1376" s="47" t="inlineStr">
        <is>
          <t>TOTAL c/IVA</t>
        </is>
      </c>
      <c r="F1376" s="48">
        <f>ROUND((SUM(F1368:F1375)-F1375)*1.1+F1375,2)</f>
        <v/>
      </c>
      <c r="J1376" s="49">
        <f>ROUND(SUM(J1368:J1375),2)</f>
        <v/>
      </c>
      <c r="N1376" s="50">
        <f>ROUND(SUM(N1368:N1375),2)</f>
        <v/>
      </c>
    </row>
    <row r="1377">
      <c r="A1377" s="19" t="inlineStr">
        <is>
          <t>MARGEN sin registrar</t>
        </is>
      </c>
      <c r="B1377" s="51">
        <f>IF((F1371+F1368+F1370+F1372+F1369)=0,"",((F1371+F1368+F1370+F1372+F1369)-$AB$1370)/(F1371+F1368+F1370+F1372+F1369))</f>
        <v/>
      </c>
      <c r="D1377" s="52">
        <f>IF(B1377="","SIN PC",IF(B1377&gt;=0.3,"APROBAR",IF(B1377&gt;=0.2,"REVISAR","RECHAZAR")))</f>
        <v/>
      </c>
      <c r="E1377" s="53" t="n"/>
      <c r="F1377" s="54" t="n"/>
      <c r="AD1377">
        <f>SUM(F1370:F1372)-122.8025</f>
        <v/>
      </c>
    </row>
    <row r="1379">
      <c r="A1379" s="15" t="inlineStr">
        <is>
          <t>Factura 8670 · C02610 · VEHICULOS ANDRADA, S.L.</t>
        </is>
      </c>
      <c r="H1379" s="15" t="inlineStr">
        <is>
          <t>ES0021000001194258SA · Naturgy</t>
        </is>
      </c>
      <c r="L1379" s="16" t="n">
        <v>46113</v>
      </c>
      <c r="M1379" s="17" t="inlineStr">
        <is>
          <t>a</t>
        </is>
      </c>
      <c r="N1379" s="16" t="n">
        <v>46142</v>
      </c>
      <c r="R1379" s="18" t="inlineStr">
        <is>
          <t>HISTÓRICO DEL CUPS · HOJA TTVA LUZ</t>
        </is>
      </c>
    </row>
    <row r="1380">
      <c r="A1380" s="19" t="inlineStr">
        <is>
          <t>Concepto</t>
        </is>
      </c>
      <c r="B1380" s="20" t="inlineStr">
        <is>
          <t>PENDIENTE (sin registrar)</t>
        </is>
      </c>
      <c r="C1380" s="21" t="n"/>
      <c r="D1380" s="21" t="n"/>
      <c r="E1380" s="21" t="n"/>
      <c r="F1380" s="21" t="n"/>
      <c r="H1380" s="22" t="inlineStr">
        <is>
          <t>MES ANTERIOR · Fact.6373</t>
        </is>
      </c>
      <c r="I1380" s="23" t="n"/>
      <c r="J1380" s="23" t="n"/>
      <c r="L1380" s="24" t="inlineStr">
        <is>
          <t>AÑO ANTERIOR · Fact.4561</t>
        </is>
      </c>
      <c r="M1380" s="25" t="n"/>
      <c r="N1380" s="25" t="n"/>
      <c r="R1380" s="26" t="inlineStr">
        <is>
          <t>Cobrado total: 563 €</t>
        </is>
      </c>
    </row>
    <row r="1381">
      <c r="B1381" s="7" t="inlineStr">
        <is>
          <t>Cant</t>
        </is>
      </c>
      <c r="C1381" s="7" t="inlineStr">
        <is>
          <t>Días</t>
        </is>
      </c>
      <c r="D1381" s="7" t="inlineStr">
        <is>
          <t>PC real</t>
        </is>
      </c>
      <c r="E1381" s="7" t="inlineStr">
        <is>
          <t>PV</t>
        </is>
      </c>
      <c r="F1381" s="7" t="inlineStr">
        <is>
          <t>Importe</t>
        </is>
      </c>
      <c r="H1381" s="27" t="inlineStr">
        <is>
          <t>Cant</t>
        </is>
      </c>
      <c r="I1381" s="27" t="inlineStr">
        <is>
          <t>PV</t>
        </is>
      </c>
      <c r="J1381" s="27" t="inlineStr">
        <is>
          <t>Importe</t>
        </is>
      </c>
      <c r="L1381" s="28" t="inlineStr">
        <is>
          <t>Cant</t>
        </is>
      </c>
      <c r="M1381" s="28" t="inlineStr">
        <is>
          <t>PV</t>
        </is>
      </c>
      <c r="N1381" s="28" t="inlineStr">
        <is>
          <t>Importe</t>
        </is>
      </c>
      <c r="R1381" s="29" t="inlineStr">
        <is>
          <t>Pagado total: 406 €</t>
        </is>
      </c>
    </row>
    <row r="1382">
      <c r="A1382" s="30" t="inlineStr">
        <is>
          <t>P1 Potencia</t>
        </is>
      </c>
      <c r="B1382" s="31" t="n">
        <v>10</v>
      </c>
      <c r="C1382" s="32">
        <f>$N$1379-$L$1379+1</f>
        <v/>
      </c>
      <c r="D1382" s="33" t="n">
        <v>3.68919</v>
      </c>
      <c r="E1382" s="34" t="n">
        <v>3.85</v>
      </c>
      <c r="F1382" s="35">
        <f>ROUND(B1382*E1382,2)</f>
        <v/>
      </c>
      <c r="H1382" s="36" t="n">
        <v>10</v>
      </c>
      <c r="I1382" s="37" t="n">
        <v>3.85</v>
      </c>
      <c r="J1382" s="38">
        <f>ROUND(H1382*I1382,2)</f>
        <v/>
      </c>
      <c r="L1382" s="39" t="n">
        <v>10</v>
      </c>
      <c r="M1382" s="40" t="n">
        <v>3.85</v>
      </c>
      <c r="N1382" s="41">
        <f>ROUND(L1382*M1382,2)</f>
        <v/>
      </c>
      <c r="R1382" s="42" t="inlineStr">
        <is>
          <t>DIF: 158 €   ·   Margen hist.: 28.0%</t>
        </is>
      </c>
    </row>
    <row r="1383">
      <c r="A1383" s="30" t="inlineStr">
        <is>
          <t>P2 Potencia</t>
        </is>
      </c>
      <c r="B1383" s="31" t="n">
        <v>10</v>
      </c>
      <c r="C1383" s="32">
        <f>$N$1379-$L$1379+1</f>
        <v/>
      </c>
      <c r="D1383" s="33" t="n">
        <v>1.31928</v>
      </c>
      <c r="E1383" s="34" t="n">
        <v>1.33</v>
      </c>
      <c r="F1383" s="35">
        <f>ROUND(B1383*E1383,2)</f>
        <v/>
      </c>
      <c r="H1383" s="36" t="n">
        <v>10</v>
      </c>
      <c r="I1383" s="37" t="n">
        <v>1.33</v>
      </c>
      <c r="J1383" s="38">
        <f>ROUND(H1383*I1383,2)</f>
        <v/>
      </c>
      <c r="L1383" s="39" t="n">
        <v>10</v>
      </c>
      <c r="M1383" s="40" t="n">
        <v>1.33</v>
      </c>
      <c r="N1383" s="41">
        <f>ROUND(L1383*M1383,2)</f>
        <v/>
      </c>
      <c r="R1383" s="43" t="inlineStr">
        <is>
          <t>Mejor mes: 2024-12 · 326 € · margen 29%</t>
        </is>
      </c>
    </row>
    <row r="1384">
      <c r="A1384" s="30" t="inlineStr">
        <is>
          <t>P1 Energía</t>
        </is>
      </c>
      <c r="B1384" s="31">
        <f>IF($P$1384&lt;&gt;"",ROUND(AA1384*(($AB$1384/(1-$P$1384))-51.8000)/132.0721,2),IF('Resumen'!$D$3="OPTIMIZAR",ROUND(MAX(AA1384,MIN(AA1384*(($AB$1384/(1-'Resumen'!$F$3))-51.8000)/132.0721,AA1384*(261.1978)/132.0721)),3),AA1384))</f>
        <v/>
      </c>
      <c r="C1384" s="44" t="n"/>
      <c r="D1384" s="33" t="n">
        <v>0.111171</v>
      </c>
      <c r="E1384" s="34" t="n">
        <v>0.13788</v>
      </c>
      <c r="F1384" s="35">
        <f>ROUND(B1384*E1384,2)</f>
        <v/>
      </c>
      <c r="H1384" s="36" t="n">
        <v>322.159</v>
      </c>
      <c r="I1384" s="37" t="n">
        <v>0.13788</v>
      </c>
      <c r="J1384" s="38">
        <f>ROUND(H1384*I1384,2)</f>
        <v/>
      </c>
      <c r="L1384" s="39" t="n">
        <v>262.054</v>
      </c>
      <c r="M1384" s="40" t="n">
        <v>0.13788</v>
      </c>
      <c r="N1384" s="41">
        <f>ROUND(L1384*M1384,2)</f>
        <v/>
      </c>
      <c r="O1384" s="45" t="inlineStr">
        <is>
          <t>Margen objetivo (edita % aquí) ▶</t>
        </is>
      </c>
      <c r="P1384" s="5" t="n"/>
      <c r="R1384" s="43" t="inlineStr">
        <is>
          <t>Peor mes: 2024-11 · 236 € · margen 27%</t>
        </is>
      </c>
      <c r="AA1384" t="n">
        <v>256.517</v>
      </c>
      <c r="AB1384">
        <f>B1382*D1382+B1383*D1383+AA1384*D1384+AA1385*D1385+AA1386*D1386</f>
        <v/>
      </c>
    </row>
    <row r="1385">
      <c r="A1385" s="30" t="inlineStr">
        <is>
          <t>P2 Energía</t>
        </is>
      </c>
      <c r="B1385" s="31">
        <f>IF($P$1384&lt;&gt;"",ROUND(AA1385*(($AB$1384/(1-$P$1384))-51.8000)/132.0721,2),IF('Resumen'!$D$3="OPTIMIZAR",ROUND(MAX(AA1385,MIN(AA1385*(($AB$1384/(1-'Resumen'!$F$3))-51.8000)/132.0721,AA1385*(261.1978)/132.0721)),3),AA1385))</f>
        <v/>
      </c>
      <c r="C1385" s="44" t="n"/>
      <c r="D1385" s="33" t="n">
        <v>0.111171</v>
      </c>
      <c r="E1385" s="34" t="n">
        <v>0.13788</v>
      </c>
      <c r="F1385" s="35">
        <f>ROUND(B1385*E1385,2)</f>
        <v/>
      </c>
      <c r="H1385" s="36" t="n">
        <v>285.568</v>
      </c>
      <c r="I1385" s="37" t="n">
        <v>0.13788</v>
      </c>
      <c r="J1385" s="38">
        <f>ROUND(H1385*I1385,2)</f>
        <v/>
      </c>
      <c r="L1385" s="39" t="n">
        <v>260.83</v>
      </c>
      <c r="M1385" s="40" t="n">
        <v>0.13788</v>
      </c>
      <c r="N1385" s="41">
        <f>ROUND(L1385*M1385,2)</f>
        <v/>
      </c>
      <c r="O1385" s="46" t="inlineStr">
        <is>
          <t>Cant. P1/P2/P3 energía suben</t>
        </is>
      </c>
      <c r="R1385" s="43" t="inlineStr">
        <is>
          <t>Importe mensual cobrado (€) · 24 meses ▾</t>
        </is>
      </c>
      <c r="AA1385" t="n">
        <v>284.83</v>
      </c>
    </row>
    <row r="1386">
      <c r="A1386" s="30" t="inlineStr">
        <is>
          <t>P3 Energía</t>
        </is>
      </c>
      <c r="B1386" s="31">
        <f>IF($P$1384&lt;&gt;"",ROUND(AA1386*(($AB$1384/(1-$P$1384))-51.8000)/132.0721,2),IF('Resumen'!$D$3="OPTIMIZAR",ROUND(MAX(AA1386,MIN(AA1386*(($AB$1384/(1-'Resumen'!$F$3))-51.8000)/132.0721,AA1386*(261.1978)/132.0721)),3),AA1386))</f>
        <v/>
      </c>
      <c r="C1386" s="44" t="n"/>
      <c r="D1386" s="33" t="n">
        <v>0.111171</v>
      </c>
      <c r="E1386" s="34" t="n">
        <v>0.13788</v>
      </c>
      <c r="F1386" s="35">
        <f>ROUND(B1386*E1386,2)</f>
        <v/>
      </c>
      <c r="H1386" s="36" t="n">
        <v>420.518</v>
      </c>
      <c r="I1386" s="37" t="n">
        <v>0.13788</v>
      </c>
      <c r="J1386" s="38">
        <f>ROUND(H1386*I1386,2)</f>
        <v/>
      </c>
      <c r="L1386" s="39" t="n">
        <v>409.775</v>
      </c>
      <c r="M1386" s="40" t="n">
        <v>0.13788</v>
      </c>
      <c r="N1386" s="41">
        <f>ROUND(L1386*M1386,2)</f>
        <v/>
      </c>
      <c r="O1386" s="46" t="inlineStr">
        <is>
          <t>en proporción para ese margen</t>
        </is>
      </c>
      <c r="AA1386" t="n">
        <v>416.53</v>
      </c>
    </row>
    <row r="1387">
      <c r="A1387" s="30" t="inlineStr">
        <is>
          <t>Alquiler contador</t>
        </is>
      </c>
      <c r="B1387" s="31" t="n">
        <v>1</v>
      </c>
      <c r="C1387" s="32">
        <f>$N$1379-$L$1379+1</f>
        <v/>
      </c>
      <c r="D1387" s="33" t="n">
        <v>1.3414</v>
      </c>
      <c r="E1387" s="34" t="n">
        <v>3</v>
      </c>
      <c r="F1387" s="35">
        <f>ROUND(B1387*E1387,2)</f>
        <v/>
      </c>
      <c r="H1387" s="36" t="n">
        <v>1</v>
      </c>
      <c r="I1387" s="37" t="n">
        <v>3</v>
      </c>
      <c r="J1387" s="38">
        <f>ROUND(H1387*I1387,2)</f>
        <v/>
      </c>
      <c r="L1387" s="39" t="n">
        <v>1</v>
      </c>
      <c r="M1387" s="40" t="n">
        <v>3</v>
      </c>
      <c r="N1387" s="41">
        <f>ROUND(L1387*M1387,2)</f>
        <v/>
      </c>
    </row>
    <row r="1388">
      <c r="A1388" s="30" t="inlineStr">
        <is>
          <t>Bono social</t>
        </is>
      </c>
      <c r="B1388" s="31" t="n">
        <v>30</v>
      </c>
      <c r="C1388" s="32">
        <f>$N$1379-$L$1379+1</f>
        <v/>
      </c>
      <c r="D1388" s="33" t="n">
        <v>0.5736</v>
      </c>
      <c r="E1388" s="34" t="n">
        <v>0.01274</v>
      </c>
      <c r="F1388" s="35">
        <f>ROUND(B1388*E1388,2)</f>
        <v/>
      </c>
      <c r="H1388" s="36" t="n">
        <v>30</v>
      </c>
      <c r="I1388" s="37" t="n">
        <v>0.01274</v>
      </c>
      <c r="J1388" s="38">
        <f>ROUND(H1388*I1388,2)</f>
        <v/>
      </c>
      <c r="L1388" s="39" t="n">
        <v>30</v>
      </c>
      <c r="M1388" s="40" t="n">
        <v>0.00629</v>
      </c>
      <c r="N1388" s="41">
        <f>ROUND(L1388*M1388,2)</f>
        <v/>
      </c>
    </row>
    <row r="1389">
      <c r="A1389" s="30" t="inlineStr">
        <is>
          <t>Tasa eléctrica</t>
        </is>
      </c>
      <c r="B1389" s="31" t="n">
        <v>9.41</v>
      </c>
      <c r="C1389" s="44" t="n"/>
      <c r="D1389" s="33" t="n">
        <v>0.27312</v>
      </c>
      <c r="E1389" s="34" t="n">
        <v>1</v>
      </c>
      <c r="F1389" s="35">
        <f>ROUND(B1389*E1389,2)</f>
        <v/>
      </c>
      <c r="H1389" s="36" t="n">
        <v>9.9</v>
      </c>
      <c r="I1389" s="37" t="n">
        <v>1</v>
      </c>
      <c r="J1389" s="38">
        <f>ROUND(H1389*I1389,2)</f>
        <v/>
      </c>
      <c r="L1389" s="39" t="n">
        <v>9.23</v>
      </c>
      <c r="M1389" s="40" t="n">
        <v>1</v>
      </c>
      <c r="N1389" s="41">
        <f>ROUND(L1389*M1389,2)</f>
        <v/>
      </c>
    </row>
    <row r="1390">
      <c r="A1390" s="47" t="inlineStr">
        <is>
          <t>TOTAL c/IVA</t>
        </is>
      </c>
      <c r="F1390" s="48">
        <f>ROUND((SUM(F1382:F1389)-F1389)*1.1+F1389,2)</f>
        <v/>
      </c>
      <c r="J1390" s="49">
        <f>ROUND(SUM(J1382:J1389),2)</f>
        <v/>
      </c>
      <c r="N1390" s="50">
        <f>ROUND(SUM(N1382:N1389),2)</f>
        <v/>
      </c>
    </row>
    <row r="1391">
      <c r="A1391" s="19" t="inlineStr">
        <is>
          <t>MARGEN sin registrar</t>
        </is>
      </c>
      <c r="B1391" s="51">
        <f>IF((F1385+F1382+F1384+F1386+F1383)=0,"",((F1385+F1382+F1384+F1386+F1383)-$AB$1384)/(F1385+F1382+F1384+F1386+F1383))</f>
        <v/>
      </c>
      <c r="D1391" s="52">
        <f>IF(B1391="","SIN PC",IF(B1391&gt;=0.3,"APROBAR",IF(B1391&gt;=0.2,"REVISAR","RECHAZAR")))</f>
        <v/>
      </c>
      <c r="E1391" s="53" t="n"/>
      <c r="F1391" s="54" t="n"/>
      <c r="AD1391">
        <f>SUM(F1384:F1386)-132.0721</f>
        <v/>
      </c>
    </row>
    <row r="1393">
      <c r="A1393" s="15" t="inlineStr">
        <is>
          <t>Factura 8671 · C02630 · AUTOCENTER MARINA ALTA S.L.</t>
        </is>
      </c>
      <c r="H1393" s="15" t="inlineStr">
        <is>
          <t>ES0021000013052712DW · Naturgy</t>
        </is>
      </c>
      <c r="L1393" s="16" t="n">
        <v>46113</v>
      </c>
      <c r="M1393" s="17" t="inlineStr">
        <is>
          <t>a</t>
        </is>
      </c>
      <c r="N1393" s="16" t="n">
        <v>46142</v>
      </c>
      <c r="R1393" s="18" t="inlineStr">
        <is>
          <t>HISTÓRICO DEL CUPS · HOJA TTVA LUZ</t>
        </is>
      </c>
    </row>
    <row r="1394">
      <c r="A1394" s="19" t="inlineStr">
        <is>
          <t>Concepto</t>
        </is>
      </c>
      <c r="B1394" s="20" t="inlineStr">
        <is>
          <t>PENDIENTE (sin registrar)</t>
        </is>
      </c>
      <c r="C1394" s="21" t="n"/>
      <c r="D1394" s="21" t="n"/>
      <c r="E1394" s="21" t="n"/>
      <c r="F1394" s="21" t="n"/>
      <c r="H1394" s="22" t="inlineStr">
        <is>
          <t>MES ANTERIOR · Fact.6372</t>
        </is>
      </c>
      <c r="I1394" s="23" t="n"/>
      <c r="J1394" s="23" t="n"/>
      <c r="L1394" s="24" t="inlineStr">
        <is>
          <t>AÑO ANTERIOR · Fact.4560</t>
        </is>
      </c>
      <c r="M1394" s="25" t="n"/>
      <c r="N1394" s="25" t="n"/>
      <c r="R1394" s="26" t="inlineStr">
        <is>
          <t>Cobrado total: 145 €</t>
        </is>
      </c>
    </row>
    <row r="1395">
      <c r="B1395" s="7" t="inlineStr">
        <is>
          <t>Cant</t>
        </is>
      </c>
      <c r="C1395" s="7" t="inlineStr">
        <is>
          <t>Días</t>
        </is>
      </c>
      <c r="D1395" s="7" t="inlineStr">
        <is>
          <t>PC real</t>
        </is>
      </c>
      <c r="E1395" s="7" t="inlineStr">
        <is>
          <t>PV</t>
        </is>
      </c>
      <c r="F1395" s="7" t="inlineStr">
        <is>
          <t>Importe</t>
        </is>
      </c>
      <c r="H1395" s="27" t="inlineStr">
        <is>
          <t>Cant</t>
        </is>
      </c>
      <c r="I1395" s="27" t="inlineStr">
        <is>
          <t>PV</t>
        </is>
      </c>
      <c r="J1395" s="27" t="inlineStr">
        <is>
          <t>Importe</t>
        </is>
      </c>
      <c r="L1395" s="28" t="inlineStr">
        <is>
          <t>Cant</t>
        </is>
      </c>
      <c r="M1395" s="28" t="inlineStr">
        <is>
          <t>PV</t>
        </is>
      </c>
      <c r="N1395" s="28" t="inlineStr">
        <is>
          <t>Importe</t>
        </is>
      </c>
      <c r="R1395" s="29" t="inlineStr">
        <is>
          <t>Pagado total: 116 €</t>
        </is>
      </c>
    </row>
    <row r="1396">
      <c r="A1396" s="30" t="inlineStr">
        <is>
          <t>P1 Potencia</t>
        </is>
      </c>
      <c r="B1396" s="31" t="n">
        <v>10.1</v>
      </c>
      <c r="C1396" s="32">
        <f>$N$1393-$L$1393+1</f>
        <v/>
      </c>
      <c r="D1396" s="33" t="n">
        <v>3.68919</v>
      </c>
      <c r="E1396" s="34" t="n">
        <v>3.85</v>
      </c>
      <c r="F1396" s="35">
        <f>ROUND(B1396*E1396,2)</f>
        <v/>
      </c>
      <c r="H1396" s="36" t="n">
        <v>10.1</v>
      </c>
      <c r="I1396" s="37" t="n">
        <v>3.85</v>
      </c>
      <c r="J1396" s="38">
        <f>ROUND(H1396*I1396,2)</f>
        <v/>
      </c>
      <c r="L1396" s="39" t="n">
        <v>10.1</v>
      </c>
      <c r="M1396" s="40" t="n">
        <v>3.85</v>
      </c>
      <c r="N1396" s="41">
        <f>ROUND(L1396*M1396,2)</f>
        <v/>
      </c>
      <c r="R1396" s="42" t="inlineStr">
        <is>
          <t>DIF: 30 €   ·   Margen hist.: 20.4%</t>
        </is>
      </c>
    </row>
    <row r="1397">
      <c r="A1397" s="30" t="inlineStr">
        <is>
          <t>P2 Potencia</t>
        </is>
      </c>
      <c r="B1397" s="31" t="n">
        <v>10.1</v>
      </c>
      <c r="C1397" s="32">
        <f>$N$1393-$L$1393+1</f>
        <v/>
      </c>
      <c r="D1397" s="33" t="n">
        <v>1.31928</v>
      </c>
      <c r="E1397" s="34" t="n">
        <v>1.33</v>
      </c>
      <c r="F1397" s="35">
        <f>ROUND(B1397*E1397,2)</f>
        <v/>
      </c>
      <c r="H1397" s="36" t="n">
        <v>10.1</v>
      </c>
      <c r="I1397" s="37" t="n">
        <v>1.33</v>
      </c>
      <c r="J1397" s="38">
        <f>ROUND(H1397*I1397,2)</f>
        <v/>
      </c>
      <c r="L1397" s="39" t="n">
        <v>10.1</v>
      </c>
      <c r="M1397" s="40" t="n">
        <v>1.33</v>
      </c>
      <c r="N1397" s="41">
        <f>ROUND(L1397*M1397,2)</f>
        <v/>
      </c>
      <c r="R1397" s="43" t="inlineStr">
        <is>
          <t>Mejor mes: 2024-11 · 72 € · margen 29%</t>
        </is>
      </c>
    </row>
    <row r="1398">
      <c r="A1398" s="30" t="inlineStr">
        <is>
          <t>P1 Energía</t>
        </is>
      </c>
      <c r="B1398" s="31">
        <f>IF($P$1398&lt;&gt;"",ROUND(AA1398*(($AB$1398/(1-$P$1398))-52.3180)/86.7537,2),IF('Resumen'!$D$3="OPTIMIZAR",ROUND(MAX(AA1398,MIN(AA1398*(($AB$1398/(1-'Resumen'!$F$3))-52.3180)/86.7537,AA1398*(9.0698)/86.7537)),3),AA1398))</f>
        <v/>
      </c>
      <c r="C1398" s="44" t="n"/>
      <c r="D1398" s="33" t="n">
        <v>0.111171</v>
      </c>
      <c r="E1398" s="34" t="n">
        <v>0.13788</v>
      </c>
      <c r="F1398" s="35">
        <f>ROUND(B1398*E1398,2)</f>
        <v/>
      </c>
      <c r="H1398" s="36" t="n">
        <v>439.327</v>
      </c>
      <c r="I1398" s="37" t="n">
        <v>0.13788</v>
      </c>
      <c r="J1398" s="38">
        <f>ROUND(H1398*I1398,2)</f>
        <v/>
      </c>
      <c r="L1398" s="39" t="n">
        <v>63.472</v>
      </c>
      <c r="M1398" s="40" t="n">
        <v>0.13788</v>
      </c>
      <c r="N1398" s="41">
        <f>ROUND(L1398*M1398,2)</f>
        <v/>
      </c>
      <c r="O1398" s="45" t="inlineStr">
        <is>
          <t>Margen objetivo (edita % aquí) ▶</t>
        </is>
      </c>
      <c r="P1398" s="5" t="n"/>
      <c r="R1398" s="43" t="inlineStr">
        <is>
          <t>Peor mes: 2024-12 · 72 € · margen 10%</t>
        </is>
      </c>
      <c r="AA1398" t="n">
        <v>221.956</v>
      </c>
      <c r="AB1398">
        <f>B1396*D1396+B1397*D1397+AA1398*D1398+AA1399*D1399+AA1400*D1400</f>
        <v/>
      </c>
    </row>
    <row r="1399">
      <c r="A1399" s="30" t="inlineStr">
        <is>
          <t>P2 Energía</t>
        </is>
      </c>
      <c r="B1399" s="31">
        <f>IF($P$1398&lt;&gt;"",ROUND(AA1399*(($AB$1398/(1-$P$1398))-52.3180)/86.7537,2),IF('Resumen'!$D$3="OPTIMIZAR",ROUND(MAX(AA1399,MIN(AA1399*(($AB$1398/(1-'Resumen'!$F$3))-52.3180)/86.7537,AA1399*(9.0698)/86.7537)),3),AA1399))</f>
        <v/>
      </c>
      <c r="C1399" s="44" t="n"/>
      <c r="D1399" s="33" t="n">
        <v>0.111171</v>
      </c>
      <c r="E1399" s="34" t="n">
        <v>0.13788</v>
      </c>
      <c r="F1399" s="35">
        <f>ROUND(B1399*E1399,2)</f>
        <v/>
      </c>
      <c r="H1399" s="36" t="n">
        <v>382.809</v>
      </c>
      <c r="I1399" s="37" t="n">
        <v>0.13788</v>
      </c>
      <c r="J1399" s="38">
        <f>ROUND(H1399*I1399,2)</f>
        <v/>
      </c>
      <c r="L1399" s="39" t="n">
        <v>54.665</v>
      </c>
      <c r="M1399" s="40" t="n">
        <v>0.13788</v>
      </c>
      <c r="N1399" s="41">
        <f>ROUND(L1399*M1399,2)</f>
        <v/>
      </c>
      <c r="O1399" s="46" t="inlineStr">
        <is>
          <t>Cant. P1/P2/P3 energía suben</t>
        </is>
      </c>
      <c r="R1399" s="43" t="inlineStr">
        <is>
          <t>Importe mensual cobrado (€) · 24 meses ▾</t>
        </is>
      </c>
      <c r="AA1399" t="n">
        <v>183.083</v>
      </c>
    </row>
    <row r="1400">
      <c r="A1400" s="30" t="inlineStr">
        <is>
          <t>P3 Energía</t>
        </is>
      </c>
      <c r="B1400" s="31">
        <f>IF($P$1398&lt;&gt;"",ROUND(AA1400*(($AB$1398/(1-$P$1398))-52.3180)/86.7537,2),IF('Resumen'!$D$3="OPTIMIZAR",ROUND(MAX(AA1400,MIN(AA1400*(($AB$1398/(1-'Resumen'!$F$3))-52.3180)/86.7537,AA1400*(9.0698)/86.7537)),3),AA1400))</f>
        <v/>
      </c>
      <c r="C1400" s="44" t="n"/>
      <c r="D1400" s="33" t="n">
        <v>0.111171</v>
      </c>
      <c r="E1400" s="34" t="n">
        <v>0.13788</v>
      </c>
      <c r="F1400" s="35">
        <f>ROUND(B1400*E1400,2)</f>
        <v/>
      </c>
      <c r="H1400" s="36" t="n">
        <v>240.436</v>
      </c>
      <c r="I1400" s="37" t="n">
        <v>0.13788</v>
      </c>
      <c r="J1400" s="38">
        <f>ROUND(H1400*I1400,2)</f>
        <v/>
      </c>
      <c r="L1400" s="39" t="n">
        <v>79.679</v>
      </c>
      <c r="M1400" s="40" t="n">
        <v>0.13788</v>
      </c>
      <c r="N1400" s="41">
        <f>ROUND(L1400*M1400,2)</f>
        <v/>
      </c>
      <c r="O1400" s="46" t="inlineStr">
        <is>
          <t>en proporción para ese margen</t>
        </is>
      </c>
      <c r="AA1400" t="n">
        <v>224.158</v>
      </c>
    </row>
    <row r="1401">
      <c r="A1401" s="30" t="inlineStr">
        <is>
          <t>Alquiler contador</t>
        </is>
      </c>
      <c r="B1401" s="31" t="n">
        <v>1</v>
      </c>
      <c r="C1401" s="32">
        <f>$N$1393-$L$1393+1</f>
        <v/>
      </c>
      <c r="D1401" s="33" t="n">
        <v>1.3414</v>
      </c>
      <c r="E1401" s="34" t="n">
        <v>3</v>
      </c>
      <c r="F1401" s="35">
        <f>ROUND(B1401*E1401,2)</f>
        <v/>
      </c>
      <c r="H1401" s="36" t="n">
        <v>1</v>
      </c>
      <c r="I1401" s="37" t="n">
        <v>3</v>
      </c>
      <c r="J1401" s="38">
        <f>ROUND(H1401*I1401,2)</f>
        <v/>
      </c>
      <c r="L1401" s="39" t="n">
        <v>1</v>
      </c>
      <c r="M1401" s="40" t="n">
        <v>3</v>
      </c>
      <c r="N1401" s="41">
        <f>ROUND(L1401*M1401,2)</f>
        <v/>
      </c>
    </row>
    <row r="1402">
      <c r="A1402" s="30" t="inlineStr">
        <is>
          <t>Bono social</t>
        </is>
      </c>
      <c r="B1402" s="31" t="n">
        <v>30</v>
      </c>
      <c r="C1402" s="32">
        <f>$N$1393-$L$1393+1</f>
        <v/>
      </c>
      <c r="D1402" s="33" t="n">
        <v>0.5736</v>
      </c>
      <c r="E1402" s="34" t="n">
        <v>0.01274</v>
      </c>
      <c r="F1402" s="35">
        <f>ROUND(B1402*E1402,2)</f>
        <v/>
      </c>
      <c r="H1402" s="36" t="n">
        <v>30</v>
      </c>
      <c r="I1402" s="37" t="n">
        <v>0.01274</v>
      </c>
      <c r="J1402" s="38">
        <f>ROUND(H1402*I1402,2)</f>
        <v/>
      </c>
      <c r="L1402" s="39" t="n">
        <v>30</v>
      </c>
      <c r="M1402" s="40" t="n">
        <v>0.00629</v>
      </c>
      <c r="N1402" s="41">
        <f>ROUND(L1402*M1402,2)</f>
        <v/>
      </c>
    </row>
    <row r="1403">
      <c r="A1403" s="30" t="inlineStr">
        <is>
          <t>Tasa eléctrica</t>
        </is>
      </c>
      <c r="B1403" s="31" t="n">
        <v>7.12</v>
      </c>
      <c r="C1403" s="44" t="n"/>
      <c r="D1403" s="33" t="n">
        <v>0.27312</v>
      </c>
      <c r="E1403" s="34" t="n">
        <v>1</v>
      </c>
      <c r="F1403" s="35">
        <f>ROUND(B1403*E1403,2)</f>
        <v/>
      </c>
      <c r="H1403" s="36" t="n">
        <v>10.17</v>
      </c>
      <c r="I1403" s="37" t="n">
        <v>1</v>
      </c>
      <c r="J1403" s="38">
        <f>ROUND(H1403*I1403,2)</f>
        <v/>
      </c>
      <c r="L1403" s="39" t="n">
        <v>4.08</v>
      </c>
      <c r="M1403" s="40" t="n">
        <v>1</v>
      </c>
      <c r="N1403" s="41">
        <f>ROUND(L1403*M1403,2)</f>
        <v/>
      </c>
    </row>
    <row r="1404">
      <c r="A1404" s="47" t="inlineStr">
        <is>
          <t>TOTAL c/IVA</t>
        </is>
      </c>
      <c r="F1404" s="48">
        <f>ROUND((SUM(F1396:F1403)-F1403)*1.1+F1403,2)</f>
        <v/>
      </c>
      <c r="J1404" s="49">
        <f>ROUND(SUM(J1396:J1403),2)</f>
        <v/>
      </c>
      <c r="N1404" s="50">
        <f>ROUND(SUM(N1396:N1403),2)</f>
        <v/>
      </c>
    </row>
    <row r="1405">
      <c r="A1405" s="19" t="inlineStr">
        <is>
          <t>MARGEN sin registrar</t>
        </is>
      </c>
      <c r="B1405" s="51">
        <f>IF((F1399+F1396+F1398+F1400+F1397)=0,"",((F1399+F1396+F1398+F1400+F1397)-$AB$1398)/(F1399+F1396+F1398+F1400+F1397))</f>
        <v/>
      </c>
      <c r="D1405" s="52">
        <f>IF(B1405="","SIN PC",IF(B1405&gt;=0.3,"APROBAR",IF(B1405&gt;=0.2,"REVISAR","RECHAZAR")))</f>
        <v/>
      </c>
      <c r="E1405" s="53" t="n"/>
      <c r="F1405" s="54" t="n"/>
      <c r="AD1405">
        <f>SUM(F1398:F1400)-86.7537</f>
        <v/>
      </c>
    </row>
    <row r="1407">
      <c r="A1407" s="15" t="inlineStr">
        <is>
          <t>Factura 8672 · C02640 · JUAN CARLOS HERNANDEZ MELERO</t>
        </is>
      </c>
      <c r="H1407" s="15" t="inlineStr">
        <is>
          <t>ES0021000001216778MY · Naturgy</t>
        </is>
      </c>
      <c r="L1407" s="16" t="n">
        <v>46113</v>
      </c>
      <c r="M1407" s="17" t="inlineStr">
        <is>
          <t>a</t>
        </is>
      </c>
      <c r="N1407" s="16" t="n">
        <v>46142</v>
      </c>
      <c r="R1407" s="18" t="inlineStr">
        <is>
          <t>HISTÓRICO DEL CUPS · HOJA TTVA LUZ</t>
        </is>
      </c>
    </row>
    <row r="1408">
      <c r="A1408" s="19" t="inlineStr">
        <is>
          <t>Concepto</t>
        </is>
      </c>
      <c r="B1408" s="20" t="inlineStr">
        <is>
          <t>PENDIENTE (sin registrar)</t>
        </is>
      </c>
      <c r="C1408" s="21" t="n"/>
      <c r="D1408" s="21" t="n"/>
      <c r="E1408" s="21" t="n"/>
      <c r="F1408" s="21" t="n"/>
      <c r="H1408" s="22" t="inlineStr">
        <is>
          <t>MES ANTERIOR · Fact.6371</t>
        </is>
      </c>
      <c r="I1408" s="23" t="n"/>
      <c r="J1408" s="23" t="n"/>
      <c r="L1408" s="24" t="inlineStr">
        <is>
          <t>AÑO ANTERIOR · Fact.4559</t>
        </is>
      </c>
      <c r="M1408" s="25" t="n"/>
      <c r="N1408" s="25" t="n"/>
    </row>
    <row r="1409">
      <c r="B1409" s="7" t="inlineStr">
        <is>
          <t>Cant</t>
        </is>
      </c>
      <c r="C1409" s="7" t="inlineStr">
        <is>
          <t>Días</t>
        </is>
      </c>
      <c r="D1409" s="7" t="inlineStr">
        <is>
          <t>PC real</t>
        </is>
      </c>
      <c r="E1409" s="7" t="inlineStr">
        <is>
          <t>PV</t>
        </is>
      </c>
      <c r="F1409" s="7" t="inlineStr">
        <is>
          <t>Importe</t>
        </is>
      </c>
      <c r="H1409" s="27" t="inlineStr">
        <is>
          <t>Cant</t>
        </is>
      </c>
      <c r="I1409" s="27" t="inlineStr">
        <is>
          <t>PV</t>
        </is>
      </c>
      <c r="J1409" s="27" t="inlineStr">
        <is>
          <t>Importe</t>
        </is>
      </c>
      <c r="L1409" s="28" t="inlineStr">
        <is>
          <t>Cant</t>
        </is>
      </c>
      <c r="M1409" s="28" t="inlineStr">
        <is>
          <t>PV</t>
        </is>
      </c>
      <c r="N1409" s="28" t="inlineStr">
        <is>
          <t>Importe</t>
        </is>
      </c>
    </row>
    <row r="1410">
      <c r="A1410" s="30" t="inlineStr">
        <is>
          <t>P1 Potencia</t>
        </is>
      </c>
      <c r="B1410" s="31" t="n">
        <v>5.75</v>
      </c>
      <c r="C1410" s="32">
        <f>$N$1407-$L$1407+1</f>
        <v/>
      </c>
      <c r="D1410" s="33" t="n">
        <v>3.68919</v>
      </c>
      <c r="E1410" s="34" t="n">
        <v>3.85</v>
      </c>
      <c r="F1410" s="35">
        <f>ROUND(B1410*E1410,2)</f>
        <v/>
      </c>
      <c r="H1410" s="36" t="n">
        <v>5.75</v>
      </c>
      <c r="I1410" s="37" t="n">
        <v>3.85</v>
      </c>
      <c r="J1410" s="38">
        <f>ROUND(H1410*I1410,2)</f>
        <v/>
      </c>
      <c r="L1410" s="39" t="n">
        <v>5.75</v>
      </c>
      <c r="M1410" s="40" t="n">
        <v>3.85</v>
      </c>
      <c r="N1410" s="41">
        <f>ROUND(L1410*M1410,2)</f>
        <v/>
      </c>
    </row>
    <row r="1411">
      <c r="A1411" s="30" t="inlineStr">
        <is>
          <t>P2 Potencia</t>
        </is>
      </c>
      <c r="B1411" s="31" t="n">
        <v>5.75</v>
      </c>
      <c r="C1411" s="32">
        <f>$N$1407-$L$1407+1</f>
        <v/>
      </c>
      <c r="D1411" s="33" t="n">
        <v>1.31928</v>
      </c>
      <c r="E1411" s="34" t="n">
        <v>1.33</v>
      </c>
      <c r="F1411" s="35">
        <f>ROUND(B1411*E1411,2)</f>
        <v/>
      </c>
      <c r="H1411" s="36" t="n">
        <v>5.75</v>
      </c>
      <c r="I1411" s="37" t="n">
        <v>1.33</v>
      </c>
      <c r="J1411" s="38">
        <f>ROUND(H1411*I1411,2)</f>
        <v/>
      </c>
      <c r="L1411" s="39" t="n">
        <v>5.75</v>
      </c>
      <c r="M1411" s="40" t="n">
        <v>1.33</v>
      </c>
      <c r="N1411" s="41">
        <f>ROUND(L1411*M1411,2)</f>
        <v/>
      </c>
    </row>
    <row r="1412">
      <c r="A1412" s="30" t="inlineStr">
        <is>
          <t>P1 Energía</t>
        </is>
      </c>
      <c r="B1412" s="31">
        <f>IF($P$1412&lt;&gt;"",ROUND(AA1412*(($AB$1412/(1-$P$1412))-29.7850)/67.0457,2),IF('Resumen'!$D$3="OPTIMIZAR",AA1412,AA1412))</f>
        <v/>
      </c>
      <c r="C1412" s="44" t="n"/>
      <c r="D1412" s="33" t="n">
        <v>0.111171</v>
      </c>
      <c r="E1412" s="34" t="n">
        <v>0.13788</v>
      </c>
      <c r="F1412" s="35">
        <f>ROUND(B1412*E1412,2)</f>
        <v/>
      </c>
      <c r="H1412" s="36" t="n">
        <v>206.077</v>
      </c>
      <c r="I1412" s="37" t="n">
        <v>0.13788</v>
      </c>
      <c r="J1412" s="38">
        <f>ROUND(H1412*I1412,2)</f>
        <v/>
      </c>
      <c r="L1412" s="39" t="n">
        <v>133.182</v>
      </c>
      <c r="M1412" s="40" t="n">
        <v>0.13788</v>
      </c>
      <c r="N1412" s="41">
        <f>ROUND(L1412*M1412,2)</f>
        <v/>
      </c>
      <c r="O1412" s="45" t="inlineStr">
        <is>
          <t>Margen objetivo (edita % aquí) ▶</t>
        </is>
      </c>
      <c r="P1412" s="5" t="n"/>
      <c r="AA1412" t="n">
        <v>178.843</v>
      </c>
      <c r="AB1412">
        <f>B1410*D1410+B1411*D1411+AA1412*D1412+AA1413*D1413+AA1414*D1414</f>
        <v/>
      </c>
    </row>
    <row r="1413">
      <c r="A1413" s="30" t="inlineStr">
        <is>
          <t>P2 Energía</t>
        </is>
      </c>
      <c r="B1413" s="31">
        <f>IF($P$1412&lt;&gt;"",ROUND(AA1413*(($AB$1412/(1-$P$1412))-29.7850)/67.0457,2),IF('Resumen'!$D$3="OPTIMIZAR",AA1413,AA1413))</f>
        <v/>
      </c>
      <c r="C1413" s="44" t="n"/>
      <c r="D1413" s="33" t="n">
        <v>0.111171</v>
      </c>
      <c r="E1413" s="34" t="n">
        <v>0.13788</v>
      </c>
      <c r="F1413" s="35">
        <f>ROUND(B1413*E1413,2)</f>
        <v/>
      </c>
      <c r="H1413" s="36" t="n">
        <v>194.947</v>
      </c>
      <c r="I1413" s="37" t="n">
        <v>0.13788</v>
      </c>
      <c r="J1413" s="38">
        <f>ROUND(H1413*I1413,2)</f>
        <v/>
      </c>
      <c r="L1413" s="39" t="n">
        <v>161.603</v>
      </c>
      <c r="M1413" s="40" t="n">
        <v>0.13788</v>
      </c>
      <c r="N1413" s="41">
        <f>ROUND(L1413*M1413,2)</f>
        <v/>
      </c>
      <c r="O1413" s="46" t="inlineStr">
        <is>
          <t>Cant. P1/P2/P3 energía suben</t>
        </is>
      </c>
      <c r="AA1413" t="n">
        <v>188.452</v>
      </c>
    </row>
    <row r="1414">
      <c r="A1414" s="30" t="inlineStr">
        <is>
          <t>P3 Energía</t>
        </is>
      </c>
      <c r="B1414" s="31">
        <f>IF($P$1412&lt;&gt;"",ROUND(AA1414*(($AB$1412/(1-$P$1412))-29.7850)/67.0457,2),IF('Resumen'!$D$3="OPTIMIZAR",AA1414,AA1414))</f>
        <v/>
      </c>
      <c r="C1414" s="44" t="n"/>
      <c r="D1414" s="33" t="n">
        <v>0.111171</v>
      </c>
      <c r="E1414" s="34" t="n">
        <v>0.13788</v>
      </c>
      <c r="F1414" s="35">
        <f>ROUND(B1414*E1414,2)</f>
        <v/>
      </c>
      <c r="H1414" s="36" t="n">
        <v>119.909</v>
      </c>
      <c r="I1414" s="37" t="n">
        <v>0.13788</v>
      </c>
      <c r="J1414" s="38">
        <f>ROUND(H1414*I1414,2)</f>
        <v/>
      </c>
      <c r="L1414" s="39" t="n">
        <v>62.425</v>
      </c>
      <c r="M1414" s="40" t="n">
        <v>0.13788</v>
      </c>
      <c r="N1414" s="41">
        <f>ROUND(L1414*M1414,2)</f>
        <v/>
      </c>
      <c r="O1414" s="46" t="inlineStr">
        <is>
          <t>en proporción para ese margen</t>
        </is>
      </c>
      <c r="AA1414" t="n">
        <v>118.966</v>
      </c>
    </row>
    <row r="1415">
      <c r="A1415" s="30" t="inlineStr">
        <is>
          <t>Alquiler contador</t>
        </is>
      </c>
      <c r="B1415" s="31" t="n">
        <v>1</v>
      </c>
      <c r="C1415" s="32">
        <f>$N$1407-$L$1407+1</f>
        <v/>
      </c>
      <c r="D1415" s="33" t="n">
        <v>0.7989000000000001</v>
      </c>
      <c r="E1415" s="34" t="n">
        <v>3</v>
      </c>
      <c r="F1415" s="35">
        <f>ROUND(B1415*E1415,2)</f>
        <v/>
      </c>
      <c r="H1415" s="36" t="n">
        <v>1</v>
      </c>
      <c r="I1415" s="37" t="n">
        <v>3</v>
      </c>
      <c r="J1415" s="38">
        <f>ROUND(H1415*I1415,2)</f>
        <v/>
      </c>
      <c r="L1415" s="39" t="n">
        <v>1</v>
      </c>
      <c r="M1415" s="40" t="n">
        <v>3</v>
      </c>
      <c r="N1415" s="41">
        <f>ROUND(L1415*M1415,2)</f>
        <v/>
      </c>
    </row>
    <row r="1416">
      <c r="A1416" s="30" t="inlineStr">
        <is>
          <t>Bono social</t>
        </is>
      </c>
      <c r="B1416" s="31" t="n">
        <v>30</v>
      </c>
      <c r="C1416" s="32">
        <f>$N$1407-$L$1407+1</f>
        <v/>
      </c>
      <c r="D1416" s="33" t="n">
        <v>0.5736</v>
      </c>
      <c r="E1416" s="34" t="n">
        <v>0.01274</v>
      </c>
      <c r="F1416" s="35">
        <f>ROUND(B1416*E1416,2)</f>
        <v/>
      </c>
      <c r="H1416" s="36" t="n">
        <v>30</v>
      </c>
      <c r="I1416" s="37" t="n">
        <v>0.01274</v>
      </c>
      <c r="J1416" s="38">
        <f>ROUND(H1416*I1416,2)</f>
        <v/>
      </c>
      <c r="L1416" s="39" t="n">
        <v>30</v>
      </c>
      <c r="M1416" s="40" t="n">
        <v>0.00629</v>
      </c>
      <c r="N1416" s="41">
        <f>ROUND(L1416*M1416,2)</f>
        <v/>
      </c>
    </row>
    <row r="1417">
      <c r="A1417" s="30" t="inlineStr">
        <is>
          <t>Tasa eléctrica</t>
        </is>
      </c>
      <c r="B1417" s="31" t="n">
        <v>4.96</v>
      </c>
      <c r="C1417" s="44" t="n"/>
      <c r="D1417" s="33" t="n">
        <v>0.27312</v>
      </c>
      <c r="E1417" s="34" t="n">
        <v>1</v>
      </c>
      <c r="F1417" s="35">
        <f>ROUND(B1417*E1417,2)</f>
        <v/>
      </c>
      <c r="H1417" s="36" t="n">
        <v>5.2</v>
      </c>
      <c r="I1417" s="37" t="n">
        <v>1</v>
      </c>
      <c r="J1417" s="38">
        <f>ROUND(H1417*I1417,2)</f>
        <v/>
      </c>
      <c r="L1417" s="39" t="n">
        <v>4.05</v>
      </c>
      <c r="M1417" s="40" t="n">
        <v>1</v>
      </c>
      <c r="N1417" s="41">
        <f>ROUND(L1417*M1417,2)</f>
        <v/>
      </c>
    </row>
    <row r="1418">
      <c r="A1418" s="47" t="inlineStr">
        <is>
          <t>TOTAL c/IVA</t>
        </is>
      </c>
      <c r="F1418" s="48">
        <f>ROUND((SUM(F1410:F1417)-F1417)*1.1+F1417,2)</f>
        <v/>
      </c>
      <c r="J1418" s="49">
        <f>ROUND(SUM(J1410:J1417),2)</f>
        <v/>
      </c>
      <c r="N1418" s="50">
        <f>ROUND(SUM(N1410:N1417),2)</f>
        <v/>
      </c>
    </row>
    <row r="1419">
      <c r="A1419" s="19" t="inlineStr">
        <is>
          <t>MARGEN sin registrar</t>
        </is>
      </c>
      <c r="B1419" s="51">
        <f>IF((F1413+F1410+F1412+F1414+F1411)=0,"",((F1413+F1410+F1412+F1414+F1411)-$AB$1412)/(F1413+F1410+F1412+F1414+F1411))</f>
        <v/>
      </c>
      <c r="D1419" s="52">
        <f>IF(B1419="","SIN PC",IF(B1419&gt;=0.3,"APROBAR",IF(B1419&gt;=0.2,"REVISAR","RECHAZAR")))</f>
        <v/>
      </c>
      <c r="E1419" s="53" t="n"/>
      <c r="F1419" s="54" t="n"/>
      <c r="AD1419">
        <f>SUM(F1412:F1414)-67.0457</f>
        <v/>
      </c>
    </row>
    <row r="1421">
      <c r="A1421" s="15" t="inlineStr">
        <is>
          <t>Factura 8674 · C02680 · ALVARO DAVID OCHOA BIOSCA</t>
        </is>
      </c>
      <c r="H1421" s="15" t="inlineStr">
        <is>
          <t>ES0021000001213790JP · Naturgy</t>
        </is>
      </c>
      <c r="L1421" s="16" t="n">
        <v>46113</v>
      </c>
      <c r="M1421" s="17" t="inlineStr">
        <is>
          <t>a</t>
        </is>
      </c>
      <c r="N1421" s="16" t="n">
        <v>46142</v>
      </c>
      <c r="R1421" s="18" t="inlineStr">
        <is>
          <t>HISTÓRICO DEL CUPS · HOJA TTVA LUZ</t>
        </is>
      </c>
    </row>
    <row r="1422">
      <c r="A1422" s="19" t="inlineStr">
        <is>
          <t>Concepto</t>
        </is>
      </c>
      <c r="B1422" s="20" t="inlineStr">
        <is>
          <t>PENDIENTE (sin registrar)</t>
        </is>
      </c>
      <c r="C1422" s="21" t="n"/>
      <c r="D1422" s="21" t="n"/>
      <c r="E1422" s="21" t="n"/>
      <c r="F1422" s="21" t="n"/>
      <c r="H1422" s="22" t="inlineStr">
        <is>
          <t>MES ANTERIOR · Fact.6369</t>
        </is>
      </c>
      <c r="I1422" s="23" t="n"/>
      <c r="J1422" s="23" t="n"/>
      <c r="L1422" s="24" t="inlineStr">
        <is>
          <t>AÑO ANTERIOR · Fact.4557</t>
        </is>
      </c>
      <c r="M1422" s="25" t="n"/>
      <c r="N1422" s="25" t="n"/>
      <c r="R1422" s="26" t="inlineStr">
        <is>
          <t>Cobrado total: 3 €</t>
        </is>
      </c>
    </row>
    <row r="1423">
      <c r="B1423" s="7" t="inlineStr">
        <is>
          <t>Cant</t>
        </is>
      </c>
      <c r="C1423" s="7" t="inlineStr">
        <is>
          <t>Días</t>
        </is>
      </c>
      <c r="D1423" s="7" t="inlineStr">
        <is>
          <t>PC real</t>
        </is>
      </c>
      <c r="E1423" s="7" t="inlineStr">
        <is>
          <t>PV</t>
        </is>
      </c>
      <c r="F1423" s="7" t="inlineStr">
        <is>
          <t>Importe</t>
        </is>
      </c>
      <c r="H1423" s="27" t="inlineStr">
        <is>
          <t>Cant</t>
        </is>
      </c>
      <c r="I1423" s="27" t="inlineStr">
        <is>
          <t>PV</t>
        </is>
      </c>
      <c r="J1423" s="27" t="inlineStr">
        <is>
          <t>Importe</t>
        </is>
      </c>
      <c r="L1423" s="28" t="inlineStr">
        <is>
          <t>Cant</t>
        </is>
      </c>
      <c r="M1423" s="28" t="inlineStr">
        <is>
          <t>PV</t>
        </is>
      </c>
      <c r="N1423" s="28" t="inlineStr">
        <is>
          <t>Importe</t>
        </is>
      </c>
      <c r="R1423" s="29" t="inlineStr">
        <is>
          <t>Pagado total: 0 €</t>
        </is>
      </c>
    </row>
    <row r="1424">
      <c r="A1424" s="30" t="inlineStr">
        <is>
          <t>P1 Potencia</t>
        </is>
      </c>
      <c r="B1424" s="31" t="n">
        <v>5.5</v>
      </c>
      <c r="C1424" s="32">
        <f>$N$1421-$L$1421+1</f>
        <v/>
      </c>
      <c r="D1424" s="33" t="n">
        <v>3.68919</v>
      </c>
      <c r="E1424" s="34" t="n">
        <v>3.85</v>
      </c>
      <c r="F1424" s="35">
        <f>ROUND(B1424*E1424,2)</f>
        <v/>
      </c>
      <c r="H1424" s="36" t="n">
        <v>5.5</v>
      </c>
      <c r="I1424" s="37" t="n">
        <v>3.85</v>
      </c>
      <c r="J1424" s="38">
        <f>ROUND(H1424*I1424,2)</f>
        <v/>
      </c>
      <c r="L1424" s="39" t="n">
        <v>5.5</v>
      </c>
      <c r="M1424" s="40" t="n">
        <v>3.85</v>
      </c>
      <c r="N1424" s="41">
        <f>ROUND(L1424*M1424,2)</f>
        <v/>
      </c>
      <c r="R1424" s="42" t="inlineStr">
        <is>
          <t>DIF: 3 €   ·   Margen hist.: 100.0%</t>
        </is>
      </c>
    </row>
    <row r="1425">
      <c r="A1425" s="30" t="inlineStr">
        <is>
          <t>P2 Potencia</t>
        </is>
      </c>
      <c r="B1425" s="31" t="n">
        <v>5.5</v>
      </c>
      <c r="C1425" s="32">
        <f>$N$1421-$L$1421+1</f>
        <v/>
      </c>
      <c r="D1425" s="33" t="n">
        <v>1.31928</v>
      </c>
      <c r="E1425" s="34" t="n">
        <v>1.33</v>
      </c>
      <c r="F1425" s="35">
        <f>ROUND(B1425*E1425,2)</f>
        <v/>
      </c>
      <c r="H1425" s="36" t="n">
        <v>5.5</v>
      </c>
      <c r="I1425" s="37" t="n">
        <v>1.33</v>
      </c>
      <c r="J1425" s="38">
        <f>ROUND(H1425*I1425,2)</f>
        <v/>
      </c>
      <c r="L1425" s="39" t="n">
        <v>5.5</v>
      </c>
      <c r="M1425" s="40" t="n">
        <v>1.33</v>
      </c>
      <c r="N1425" s="41">
        <f>ROUND(L1425*M1425,2)</f>
        <v/>
      </c>
    </row>
    <row r="1426">
      <c r="A1426" s="30" t="inlineStr">
        <is>
          <t>P1 Energía</t>
        </is>
      </c>
      <c r="B1426" s="31">
        <f>IF($P$1426&lt;&gt;"",ROUND(AA1426*(($AB$1426/(1-$P$1426))-28.4900)/101.3208,2),IF('Resumen'!$D$3="OPTIMIZAR",AA1426,AA1426))</f>
        <v/>
      </c>
      <c r="C1426" s="44" t="n"/>
      <c r="D1426" s="33" t="n">
        <v>0.111171</v>
      </c>
      <c r="E1426" s="34" t="n">
        <v>0.13788</v>
      </c>
      <c r="F1426" s="35">
        <f>ROUND(B1426*E1426,2)</f>
        <v/>
      </c>
      <c r="H1426" s="36" t="n">
        <v>383.007</v>
      </c>
      <c r="I1426" s="37" t="n">
        <v>0.13788</v>
      </c>
      <c r="J1426" s="38">
        <f>ROUND(H1426*I1426,2)</f>
        <v/>
      </c>
      <c r="L1426" s="39" t="n">
        <v>197.212</v>
      </c>
      <c r="M1426" s="40" t="n">
        <v>0.13788</v>
      </c>
      <c r="N1426" s="41">
        <f>ROUND(L1426*M1426,2)</f>
        <v/>
      </c>
      <c r="O1426" s="45" t="inlineStr">
        <is>
          <t>Margen objetivo (edita % aquí) ▶</t>
        </is>
      </c>
      <c r="P1426" s="5" t="n"/>
      <c r="AA1426" t="n">
        <v>131.537</v>
      </c>
      <c r="AB1426">
        <f>B1424*D1424+B1425*D1425+AA1426*D1426+AA1427*D1427+AA1428*D1428</f>
        <v/>
      </c>
    </row>
    <row r="1427">
      <c r="A1427" s="30" t="inlineStr">
        <is>
          <t>P2 Energía</t>
        </is>
      </c>
      <c r="B1427" s="31">
        <f>IF($P$1426&lt;&gt;"",ROUND(AA1427*(($AB$1426/(1-$P$1426))-28.4900)/101.3208,2),IF('Resumen'!$D$3="OPTIMIZAR",AA1427,AA1427))</f>
        <v/>
      </c>
      <c r="C1427" s="44" t="n"/>
      <c r="D1427" s="33" t="n">
        <v>0.111171</v>
      </c>
      <c r="E1427" s="34" t="n">
        <v>0.13788</v>
      </c>
      <c r="F1427" s="35">
        <f>ROUND(B1427*E1427,2)</f>
        <v/>
      </c>
      <c r="H1427" s="36" t="n">
        <v>376.412</v>
      </c>
      <c r="I1427" s="37" t="n">
        <v>0.13788</v>
      </c>
      <c r="J1427" s="38">
        <f>ROUND(H1427*I1427,2)</f>
        <v/>
      </c>
      <c r="L1427" s="39" t="n">
        <v>187.009</v>
      </c>
      <c r="M1427" s="40" t="n">
        <v>0.13788</v>
      </c>
      <c r="N1427" s="41">
        <f>ROUND(L1427*M1427,2)</f>
        <v/>
      </c>
      <c r="O1427" s="46" t="inlineStr">
        <is>
          <t>Cant. P1/P2/P3 energía suben</t>
        </is>
      </c>
      <c r="R1427" s="43" t="inlineStr">
        <is>
          <t>Importe mensual cobrado (€) · 24 meses ▾</t>
        </is>
      </c>
      <c r="AA1427" t="n">
        <v>180.241</v>
      </c>
    </row>
    <row r="1428">
      <c r="A1428" s="30" t="inlineStr">
        <is>
          <t>P3 Energía</t>
        </is>
      </c>
      <c r="B1428" s="31">
        <f>IF($P$1426&lt;&gt;"",ROUND(AA1428*(($AB$1426/(1-$P$1426))-28.4900)/101.3208,2),IF('Resumen'!$D$3="OPTIMIZAR",AA1428,AA1428))</f>
        <v/>
      </c>
      <c r="C1428" s="44" t="n"/>
      <c r="D1428" s="33" t="n">
        <v>0.111171</v>
      </c>
      <c r="E1428" s="34" t="n">
        <v>0.13788</v>
      </c>
      <c r="F1428" s="35">
        <f>ROUND(B1428*E1428,2)</f>
        <v/>
      </c>
      <c r="H1428" s="36" t="n">
        <v>918.002</v>
      </c>
      <c r="I1428" s="37" t="n">
        <v>0.13788</v>
      </c>
      <c r="J1428" s="38">
        <f>ROUND(H1428*I1428,2)</f>
        <v/>
      </c>
      <c r="L1428" s="39" t="n">
        <v>440.662</v>
      </c>
      <c r="M1428" s="40" t="n">
        <v>0.13788</v>
      </c>
      <c r="N1428" s="41">
        <f>ROUND(L1428*M1428,2)</f>
        <v/>
      </c>
      <c r="O1428" s="46" t="inlineStr">
        <is>
          <t>en proporción para ese margen</t>
        </is>
      </c>
      <c r="AA1428" t="n">
        <v>423.07</v>
      </c>
    </row>
    <row r="1429">
      <c r="A1429" s="30" t="inlineStr">
        <is>
          <t>Alquiler contador</t>
        </is>
      </c>
      <c r="B1429" s="31" t="n">
        <v>1</v>
      </c>
      <c r="C1429" s="32">
        <f>$N$1421-$L$1421+1</f>
        <v/>
      </c>
      <c r="D1429" s="33" t="n">
        <v>0.7989000000000001</v>
      </c>
      <c r="E1429" s="34" t="n">
        <v>3</v>
      </c>
      <c r="F1429" s="35">
        <f>ROUND(B1429*E1429,2)</f>
        <v/>
      </c>
      <c r="H1429" s="36" t="n">
        <v>1</v>
      </c>
      <c r="I1429" s="37" t="n">
        <v>3</v>
      </c>
      <c r="J1429" s="38">
        <f>ROUND(H1429*I1429,2)</f>
        <v/>
      </c>
      <c r="L1429" s="39" t="n">
        <v>1</v>
      </c>
      <c r="M1429" s="40" t="n">
        <v>3</v>
      </c>
      <c r="N1429" s="41">
        <f>ROUND(L1429*M1429,2)</f>
        <v/>
      </c>
    </row>
    <row r="1430">
      <c r="A1430" s="30" t="inlineStr">
        <is>
          <t>Bono social</t>
        </is>
      </c>
      <c r="B1430" s="31" t="n">
        <v>30</v>
      </c>
      <c r="C1430" s="32">
        <f>$N$1421-$L$1421+1</f>
        <v/>
      </c>
      <c r="D1430" s="33" t="n">
        <v>0.5736</v>
      </c>
      <c r="E1430" s="34" t="n">
        <v>0.01274</v>
      </c>
      <c r="F1430" s="35">
        <f>ROUND(B1430*E1430,2)</f>
        <v/>
      </c>
      <c r="H1430" s="36" t="n">
        <v>30</v>
      </c>
      <c r="I1430" s="37" t="n">
        <v>0.01274</v>
      </c>
      <c r="J1430" s="38">
        <f>ROUND(H1430*I1430,2)</f>
        <v/>
      </c>
      <c r="L1430" s="39" t="n">
        <v>30</v>
      </c>
      <c r="M1430" s="40" t="n">
        <v>0.00629</v>
      </c>
      <c r="N1430" s="41">
        <f>ROUND(L1430*M1430,2)</f>
        <v/>
      </c>
    </row>
    <row r="1431">
      <c r="A1431" s="30" t="inlineStr">
        <is>
          <t>Tasa eléctrica</t>
        </is>
      </c>
      <c r="B1431" s="31" t="n">
        <v>6.64</v>
      </c>
      <c r="C1431" s="44" t="n"/>
      <c r="D1431" s="33" t="n">
        <v>0.27312</v>
      </c>
      <c r="E1431" s="34" t="n">
        <v>1</v>
      </c>
      <c r="F1431" s="35">
        <f>ROUND(B1431*E1431,2)</f>
        <v/>
      </c>
      <c r="H1431" s="36" t="n">
        <v>13.28</v>
      </c>
      <c r="I1431" s="37" t="n">
        <v>1</v>
      </c>
      <c r="J1431" s="38">
        <f>ROUND(H1431*I1431,2)</f>
        <v/>
      </c>
      <c r="L1431" s="39" t="n">
        <v>7.28</v>
      </c>
      <c r="M1431" s="40" t="n">
        <v>1</v>
      </c>
      <c r="N1431" s="41">
        <f>ROUND(L1431*M1431,2)</f>
        <v/>
      </c>
    </row>
    <row r="1432">
      <c r="A1432" s="47" t="inlineStr">
        <is>
          <t>TOTAL c/IVA</t>
        </is>
      </c>
      <c r="F1432" s="48">
        <f>ROUND((SUM(F1424:F1431)-F1431)*1.1+F1431,2)</f>
        <v/>
      </c>
      <c r="J1432" s="49">
        <f>ROUND(SUM(J1424:J1431),2)</f>
        <v/>
      </c>
      <c r="N1432" s="50">
        <f>ROUND(SUM(N1424:N1431),2)</f>
        <v/>
      </c>
    </row>
    <row r="1433">
      <c r="A1433" s="19" t="inlineStr">
        <is>
          <t>MARGEN sin registrar</t>
        </is>
      </c>
      <c r="B1433" s="51">
        <f>IF((F1427+F1424+F1426+F1428+F1425)=0,"",((F1427+F1424+F1426+F1428+F1425)-$AB$1426)/(F1427+F1424+F1426+F1428+F1425))</f>
        <v/>
      </c>
      <c r="D1433" s="52">
        <f>IF(B1433="","SIN PC",IF(B1433&gt;=0.3,"APROBAR",IF(B1433&gt;=0.2,"REVISAR","RECHAZAR")))</f>
        <v/>
      </c>
      <c r="E1433" s="53" t="n"/>
      <c r="F1433" s="54" t="n"/>
      <c r="AD1433">
        <f>SUM(F1426:F1428)-101.3208</f>
        <v/>
      </c>
    </row>
    <row r="1435">
      <c r="A1435" s="15" t="inlineStr">
        <is>
          <t>Factura 8676 · C02710 · CASA LILI S.L. AUTOS (EXPOSICIÓN)</t>
        </is>
      </c>
      <c r="H1435" s="15" t="inlineStr">
        <is>
          <t>ES0021000001498862XH · Naturgy</t>
        </is>
      </c>
      <c r="L1435" s="16" t="n">
        <v>46113</v>
      </c>
      <c r="M1435" s="17" t="inlineStr">
        <is>
          <t>a</t>
        </is>
      </c>
      <c r="N1435" s="16" t="n">
        <v>46142</v>
      </c>
      <c r="R1435" s="18" t="inlineStr">
        <is>
          <t>HISTÓRICO DEL CUPS · HOJA TTVA LUZ</t>
        </is>
      </c>
    </row>
    <row r="1436">
      <c r="A1436" s="19" t="inlineStr">
        <is>
          <t>Concepto</t>
        </is>
      </c>
      <c r="B1436" s="20" t="inlineStr">
        <is>
          <t>PENDIENTE (sin registrar)</t>
        </is>
      </c>
      <c r="C1436" s="21" t="n"/>
      <c r="D1436" s="21" t="n"/>
      <c r="E1436" s="21" t="n"/>
      <c r="F1436" s="21" t="n"/>
      <c r="H1436" s="22" t="inlineStr">
        <is>
          <t>MES ANTERIOR · Fact.6318</t>
        </is>
      </c>
      <c r="I1436" s="23" t="n"/>
      <c r="J1436" s="23" t="n"/>
      <c r="L1436" s="24" t="inlineStr">
        <is>
          <t>AÑO ANTERIOR · Fact.4504</t>
        </is>
      </c>
      <c r="M1436" s="25" t="n"/>
      <c r="N1436" s="25" t="n"/>
      <c r="R1436" s="26" t="inlineStr">
        <is>
          <t>Cobrado total: 4 €</t>
        </is>
      </c>
    </row>
    <row r="1437">
      <c r="B1437" s="7" t="inlineStr">
        <is>
          <t>Cant</t>
        </is>
      </c>
      <c r="C1437" s="7" t="inlineStr">
        <is>
          <t>Días</t>
        </is>
      </c>
      <c r="D1437" s="7" t="inlineStr">
        <is>
          <t>PC real</t>
        </is>
      </c>
      <c r="E1437" s="7" t="inlineStr">
        <is>
          <t>PV</t>
        </is>
      </c>
      <c r="F1437" s="7" t="inlineStr">
        <is>
          <t>Importe</t>
        </is>
      </c>
      <c r="H1437" s="27" t="inlineStr">
        <is>
          <t>Cant</t>
        </is>
      </c>
      <c r="I1437" s="27" t="inlineStr">
        <is>
          <t>PV</t>
        </is>
      </c>
      <c r="J1437" s="27" t="inlineStr">
        <is>
          <t>Importe</t>
        </is>
      </c>
      <c r="L1437" s="28" t="inlineStr">
        <is>
          <t>Cant</t>
        </is>
      </c>
      <c r="M1437" s="28" t="inlineStr">
        <is>
          <t>PV</t>
        </is>
      </c>
      <c r="N1437" s="28" t="inlineStr">
        <is>
          <t>Importe</t>
        </is>
      </c>
      <c r="R1437" s="29" t="inlineStr">
        <is>
          <t>Pagado total: 0 €</t>
        </is>
      </c>
    </row>
    <row r="1438">
      <c r="A1438" s="30" t="inlineStr">
        <is>
          <t>P1 Potencia</t>
        </is>
      </c>
      <c r="B1438" s="31" t="n">
        <v>12</v>
      </c>
      <c r="C1438" s="32">
        <f>$N$1435-$L$1435+1</f>
        <v/>
      </c>
      <c r="D1438" s="33" t="n">
        <v>3.68919</v>
      </c>
      <c r="E1438" s="34" t="n">
        <v>4.17</v>
      </c>
      <c r="F1438" s="35">
        <f>ROUND(B1438*E1438,2)</f>
        <v/>
      </c>
      <c r="H1438" s="36" t="n">
        <v>12</v>
      </c>
      <c r="I1438" s="37" t="n">
        <v>4.17</v>
      </c>
      <c r="J1438" s="38">
        <f>ROUND(H1438*I1438,2)</f>
        <v/>
      </c>
      <c r="L1438" s="39" t="n">
        <v>12</v>
      </c>
      <c r="M1438" s="40" t="n">
        <v>4.17</v>
      </c>
      <c r="N1438" s="41">
        <f>ROUND(L1438*M1438,2)</f>
        <v/>
      </c>
      <c r="R1438" s="42" t="inlineStr">
        <is>
          <t>DIF: 4 €   ·   Margen hist.: 100.0%</t>
        </is>
      </c>
    </row>
    <row r="1439">
      <c r="A1439" s="30" t="inlineStr">
        <is>
          <t>P2 Potencia</t>
        </is>
      </c>
      <c r="B1439" s="31" t="n">
        <v>12</v>
      </c>
      <c r="C1439" s="32">
        <f>$N$1435-$L$1435+1</f>
        <v/>
      </c>
      <c r="D1439" s="33" t="n">
        <v>1.31928</v>
      </c>
      <c r="E1439" s="34" t="n">
        <v>1.37</v>
      </c>
      <c r="F1439" s="35">
        <f>ROUND(B1439*E1439,2)</f>
        <v/>
      </c>
      <c r="H1439" s="36" t="n">
        <v>12</v>
      </c>
      <c r="I1439" s="37" t="n">
        <v>1.37</v>
      </c>
      <c r="J1439" s="38">
        <f>ROUND(H1439*I1439,2)</f>
        <v/>
      </c>
      <c r="L1439" s="39" t="n">
        <v>12</v>
      </c>
      <c r="M1439" s="40" t="n">
        <v>1.37</v>
      </c>
      <c r="N1439" s="41">
        <f>ROUND(L1439*M1439,2)</f>
        <v/>
      </c>
    </row>
    <row r="1440">
      <c r="A1440" s="30" t="inlineStr">
        <is>
          <t>P1 Energía</t>
        </is>
      </c>
      <c r="B1440" s="31">
        <f>IF($P$1440&lt;&gt;"",ROUND(AA1440*(($AB$1440/(1-$P$1440))-66.4800)/409.7744,2),IF('Resumen'!$D$3="OPTIMIZAR",AA1440,AA1440))</f>
        <v/>
      </c>
      <c r="C1440" s="44" t="n"/>
      <c r="D1440" s="33" t="n">
        <v>0.111171</v>
      </c>
      <c r="E1440" s="34" t="n">
        <v>0.135</v>
      </c>
      <c r="F1440" s="35">
        <f>ROUND(B1440*E1440,2)</f>
        <v/>
      </c>
      <c r="H1440" s="36" t="n">
        <v>607.428</v>
      </c>
      <c r="I1440" s="37" t="n">
        <v>0.14937</v>
      </c>
      <c r="J1440" s="38">
        <f>ROUND(H1440*I1440,2)</f>
        <v/>
      </c>
      <c r="L1440" s="39" t="n">
        <v>678.467</v>
      </c>
      <c r="M1440" s="40" t="n">
        <v>0.14937</v>
      </c>
      <c r="N1440" s="41">
        <f>ROUND(L1440*M1440,2)</f>
        <v/>
      </c>
      <c r="O1440" s="45" t="inlineStr">
        <is>
          <t>Margen objetivo (edita % aquí) ▶</t>
        </is>
      </c>
      <c r="P1440" s="5" t="n"/>
      <c r="AA1440" t="n">
        <v>722.551</v>
      </c>
      <c r="AB1440">
        <f>B1438*D1438+B1439*D1439+AA1440*D1440+AA1441*D1441+AA1442*D1442</f>
        <v/>
      </c>
    </row>
    <row r="1441">
      <c r="A1441" s="30" t="inlineStr">
        <is>
          <t>P2 Energía</t>
        </is>
      </c>
      <c r="B1441" s="31">
        <f>IF($P$1440&lt;&gt;"",ROUND(AA1441*(($AB$1440/(1-$P$1440))-66.4800)/409.7744,2),IF('Resumen'!$D$3="OPTIMIZAR",AA1441,AA1441))</f>
        <v/>
      </c>
      <c r="C1441" s="44" t="n"/>
      <c r="D1441" s="33" t="n">
        <v>0.111171</v>
      </c>
      <c r="E1441" s="34" t="n">
        <v>0.135</v>
      </c>
      <c r="F1441" s="35">
        <f>ROUND(B1441*E1441,2)</f>
        <v/>
      </c>
      <c r="H1441" s="36" t="n">
        <v>795.015</v>
      </c>
      <c r="I1441" s="37" t="n">
        <v>0.14937</v>
      </c>
      <c r="J1441" s="38">
        <f>ROUND(H1441*I1441,2)</f>
        <v/>
      </c>
      <c r="L1441" s="39" t="n">
        <v>943.97</v>
      </c>
      <c r="M1441" s="40" t="n">
        <v>0.14937</v>
      </c>
      <c r="N1441" s="41">
        <f>ROUND(L1441*M1441,2)</f>
        <v/>
      </c>
      <c r="O1441" s="46" t="inlineStr">
        <is>
          <t>Cant. P1/P2/P3 energía suben</t>
        </is>
      </c>
      <c r="R1441" s="43" t="inlineStr">
        <is>
          <t>Importe mensual cobrado (€) · 24 meses ▾</t>
        </is>
      </c>
      <c r="AA1441" t="n">
        <v>884.765</v>
      </c>
    </row>
    <row r="1442">
      <c r="A1442" s="30" t="inlineStr">
        <is>
          <t>P3 Energía</t>
        </is>
      </c>
      <c r="B1442" s="31">
        <f>IF($P$1440&lt;&gt;"",ROUND(AA1442*(($AB$1440/(1-$P$1440))-66.4800)/409.7744,2),IF('Resumen'!$D$3="OPTIMIZAR",AA1442,AA1442))</f>
        <v/>
      </c>
      <c r="C1442" s="44" t="n"/>
      <c r="D1442" s="33" t="n">
        <v>0.111171</v>
      </c>
      <c r="E1442" s="34" t="n">
        <v>0.135</v>
      </c>
      <c r="F1442" s="35">
        <f>ROUND(B1442*E1442,2)</f>
        <v/>
      </c>
      <c r="H1442" s="36" t="n">
        <v>1451.37</v>
      </c>
      <c r="I1442" s="37" t="n">
        <v>0.14937</v>
      </c>
      <c r="J1442" s="38">
        <f>ROUND(H1442*I1442,2)</f>
        <v/>
      </c>
      <c r="L1442" s="39" t="n">
        <v>1786.71</v>
      </c>
      <c r="M1442" s="40" t="n">
        <v>0.14937</v>
      </c>
      <c r="N1442" s="41">
        <f>ROUND(L1442*M1442,2)</f>
        <v/>
      </c>
      <c r="O1442" s="46" t="inlineStr">
        <is>
          <t>en proporción para ese margen</t>
        </is>
      </c>
      <c r="AA1442" t="n">
        <v>1428.05</v>
      </c>
    </row>
    <row r="1443">
      <c r="A1443" s="30" t="inlineStr">
        <is>
          <t>Alquiler contador</t>
        </is>
      </c>
      <c r="B1443" s="31" t="n">
        <v>1</v>
      </c>
      <c r="C1443" s="32">
        <f>$N$1435-$L$1435+1</f>
        <v/>
      </c>
      <c r="D1443" s="33" t="n">
        <v>0.7989000000000001</v>
      </c>
      <c r="E1443" s="34" t="n">
        <v>4</v>
      </c>
      <c r="F1443" s="35">
        <f>ROUND(B1443*E1443,2)</f>
        <v/>
      </c>
      <c r="H1443" s="36" t="n">
        <v>1</v>
      </c>
      <c r="I1443" s="37" t="n">
        <v>4</v>
      </c>
      <c r="J1443" s="38">
        <f>ROUND(H1443*I1443,2)</f>
        <v/>
      </c>
      <c r="L1443" s="39" t="n">
        <v>1</v>
      </c>
      <c r="M1443" s="40" t="n">
        <v>4</v>
      </c>
      <c r="N1443" s="41">
        <f>ROUND(L1443*M1443,2)</f>
        <v/>
      </c>
    </row>
    <row r="1444">
      <c r="A1444" s="30" t="inlineStr">
        <is>
          <t>Bono social</t>
        </is>
      </c>
      <c r="B1444" s="31" t="n">
        <v>30</v>
      </c>
      <c r="C1444" s="32">
        <f>$N$1435-$L$1435+1</f>
        <v/>
      </c>
      <c r="D1444" s="33" t="n">
        <v>0.5736</v>
      </c>
      <c r="E1444" s="34" t="n">
        <v>0.01274</v>
      </c>
      <c r="F1444" s="35">
        <f>ROUND(B1444*E1444,2)</f>
        <v/>
      </c>
      <c r="H1444" s="36" t="n">
        <v>30</v>
      </c>
      <c r="I1444" s="37" t="n">
        <v>0.01274</v>
      </c>
      <c r="J1444" s="38">
        <f>ROUND(H1444*I1444,2)</f>
        <v/>
      </c>
      <c r="L1444" s="39" t="n">
        <v>30</v>
      </c>
      <c r="M1444" s="40" t="n">
        <v>0.01274</v>
      </c>
      <c r="N1444" s="41">
        <f>ROUND(L1444*M1444,2)</f>
        <v/>
      </c>
    </row>
    <row r="1445">
      <c r="A1445" s="30" t="inlineStr">
        <is>
          <t>Tasa eléctrica</t>
        </is>
      </c>
      <c r="B1445" s="31" t="n">
        <v>25.8</v>
      </c>
      <c r="C1445" s="44" t="n"/>
      <c r="D1445" s="33" t="n">
        <v>0.27312</v>
      </c>
      <c r="E1445" s="34" t="n">
        <v>1</v>
      </c>
      <c r="F1445" s="35">
        <f>ROUND(B1445*E1445,2)</f>
        <v/>
      </c>
      <c r="H1445" s="36" t="n">
        <v>25.19</v>
      </c>
      <c r="I1445" s="37" t="n">
        <v>1</v>
      </c>
      <c r="J1445" s="38">
        <f>ROUND(H1445*I1445,2)</f>
        <v/>
      </c>
      <c r="L1445" s="39" t="n">
        <v>28.42</v>
      </c>
      <c r="M1445" s="40" t="n">
        <v>1</v>
      </c>
      <c r="N1445" s="41">
        <f>ROUND(L1445*M1445,2)</f>
        <v/>
      </c>
    </row>
    <row r="1446">
      <c r="A1446" s="47" t="inlineStr">
        <is>
          <t>TOTAL c/IVA</t>
        </is>
      </c>
      <c r="F1446" s="48">
        <f>ROUND((SUM(F1438:F1445)-F1445)*1.1+F1445,2)</f>
        <v/>
      </c>
      <c r="J1446" s="49">
        <f>ROUND(SUM(J1438:J1445),2)</f>
        <v/>
      </c>
      <c r="N1446" s="50">
        <f>ROUND(SUM(N1438:N1445),2)</f>
        <v/>
      </c>
    </row>
    <row r="1447">
      <c r="A1447" s="19" t="inlineStr">
        <is>
          <t>MARGEN sin registrar</t>
        </is>
      </c>
      <c r="B1447" s="51">
        <f>IF((F1441+F1438+F1440+F1442+F1439)=0,"",((F1441+F1438+F1440+F1442+F1439)-$AB$1440)/(F1441+F1438+F1440+F1442+F1439))</f>
        <v/>
      </c>
      <c r="D1447" s="52">
        <f>IF(B1447="","SIN PC",IF(B1447&gt;=0.3,"APROBAR",IF(B1447&gt;=0.2,"REVISAR","RECHAZAR")))</f>
        <v/>
      </c>
      <c r="E1447" s="53" t="n"/>
      <c r="F1447" s="54" t="n"/>
      <c r="AD1447">
        <f>SUM(F1440:F1442)-409.7744</f>
        <v/>
      </c>
    </row>
    <row r="1449">
      <c r="A1449" s="15" t="inlineStr">
        <is>
          <t>Factura 8677 · C02740 · FRANCISCO DANIEL GUIJARRO ORTEGA</t>
        </is>
      </c>
      <c r="H1449" s="15" t="inlineStr">
        <is>
          <t>ES0021000012536439XX · Naturgy</t>
        </is>
      </c>
      <c r="L1449" s="16" t="n">
        <v>46113</v>
      </c>
      <c r="M1449" s="17" t="inlineStr">
        <is>
          <t>a</t>
        </is>
      </c>
      <c r="N1449" s="16" t="n">
        <v>46142</v>
      </c>
      <c r="R1449" s="18" t="inlineStr">
        <is>
          <t>HISTÓRICO DEL CUPS · HOJA TTVA LUZ</t>
        </is>
      </c>
    </row>
    <row r="1450">
      <c r="A1450" s="19" t="inlineStr">
        <is>
          <t>Concepto</t>
        </is>
      </c>
      <c r="B1450" s="20" t="inlineStr">
        <is>
          <t>PENDIENTE (sin registrar)</t>
        </is>
      </c>
      <c r="C1450" s="21" t="n"/>
      <c r="D1450" s="21" t="n"/>
      <c r="E1450" s="21" t="n"/>
      <c r="F1450" s="21" t="n"/>
      <c r="H1450" s="22" t="inlineStr">
        <is>
          <t>MES ANTERIOR · Fact.6367</t>
        </is>
      </c>
      <c r="I1450" s="23" t="n"/>
      <c r="J1450" s="23" t="n"/>
      <c r="L1450" s="24" t="inlineStr">
        <is>
          <t>AÑO ANTERIOR · Fact.4674</t>
        </is>
      </c>
      <c r="M1450" s="25" t="n"/>
      <c r="N1450" s="25" t="n"/>
      <c r="R1450" s="26" t="inlineStr">
        <is>
          <t>Cobrado total: 3 €</t>
        </is>
      </c>
    </row>
    <row r="1451">
      <c r="B1451" s="7" t="inlineStr">
        <is>
          <t>Cant</t>
        </is>
      </c>
      <c r="C1451" s="7" t="inlineStr">
        <is>
          <t>Días</t>
        </is>
      </c>
      <c r="D1451" s="7" t="inlineStr">
        <is>
          <t>PC real</t>
        </is>
      </c>
      <c r="E1451" s="7" t="inlineStr">
        <is>
          <t>PV</t>
        </is>
      </c>
      <c r="F1451" s="7" t="inlineStr">
        <is>
          <t>Importe</t>
        </is>
      </c>
      <c r="H1451" s="27" t="inlineStr">
        <is>
          <t>Cant</t>
        </is>
      </c>
      <c r="I1451" s="27" t="inlineStr">
        <is>
          <t>PV</t>
        </is>
      </c>
      <c r="J1451" s="27" t="inlineStr">
        <is>
          <t>Importe</t>
        </is>
      </c>
      <c r="L1451" s="28" t="inlineStr">
        <is>
          <t>Cant</t>
        </is>
      </c>
      <c r="M1451" s="28" t="inlineStr">
        <is>
          <t>PV</t>
        </is>
      </c>
      <c r="N1451" s="28" t="inlineStr">
        <is>
          <t>Importe</t>
        </is>
      </c>
      <c r="R1451" s="29" t="inlineStr">
        <is>
          <t>Pagado total: 0 €</t>
        </is>
      </c>
    </row>
    <row r="1452">
      <c r="A1452" s="30" t="inlineStr">
        <is>
          <t>P1 Potencia</t>
        </is>
      </c>
      <c r="B1452" s="31" t="n">
        <v>5.75</v>
      </c>
      <c r="C1452" s="32">
        <f>$N$1449-$L$1449+1</f>
        <v/>
      </c>
      <c r="D1452" s="33" t="n">
        <v>3.68919</v>
      </c>
      <c r="E1452" s="34" t="n">
        <v>4.17</v>
      </c>
      <c r="F1452" s="35">
        <f>ROUND(B1452*E1452,2)</f>
        <v/>
      </c>
      <c r="H1452" s="36" t="n">
        <v>5.75</v>
      </c>
      <c r="I1452" s="37" t="n">
        <v>4.17</v>
      </c>
      <c r="J1452" s="38">
        <f>ROUND(H1452*I1452,2)</f>
        <v/>
      </c>
      <c r="L1452" s="39" t="n">
        <v>5.75</v>
      </c>
      <c r="M1452" s="40" t="n">
        <v>4.17</v>
      </c>
      <c r="N1452" s="41">
        <f>ROUND(L1452*M1452,2)</f>
        <v/>
      </c>
      <c r="R1452" s="42" t="inlineStr">
        <is>
          <t>DIF: 3 €   ·   Margen hist.: 100.0%</t>
        </is>
      </c>
    </row>
    <row r="1453">
      <c r="A1453" s="30" t="inlineStr">
        <is>
          <t>P2 Potencia</t>
        </is>
      </c>
      <c r="B1453" s="31" t="n">
        <v>5.75</v>
      </c>
      <c r="C1453" s="32">
        <f>$N$1449-$L$1449+1</f>
        <v/>
      </c>
      <c r="D1453" s="33" t="n">
        <v>1.31928</v>
      </c>
      <c r="E1453" s="34" t="n">
        <v>1.37</v>
      </c>
      <c r="F1453" s="35">
        <f>ROUND(B1453*E1453,2)</f>
        <v/>
      </c>
      <c r="H1453" s="36" t="n">
        <v>5.75</v>
      </c>
      <c r="I1453" s="37" t="n">
        <v>1.37</v>
      </c>
      <c r="J1453" s="38">
        <f>ROUND(H1453*I1453,2)</f>
        <v/>
      </c>
      <c r="L1453" s="39" t="n">
        <v>5.75</v>
      </c>
      <c r="M1453" s="40" t="n">
        <v>1.37</v>
      </c>
      <c r="N1453" s="41">
        <f>ROUND(L1453*M1453,2)</f>
        <v/>
      </c>
    </row>
    <row r="1454">
      <c r="A1454" s="30" t="inlineStr">
        <is>
          <t>P1 Energía</t>
        </is>
      </c>
      <c r="B1454" s="31">
        <f>IF($P$1454&lt;&gt;"",ROUND(AA1454*(($AB$1454/(1-$P$1454))-31.8550)/69.2091,2),IF('Resumen'!$D$3="OPTIMIZAR",AA1454,AA1454))</f>
        <v/>
      </c>
      <c r="C1454" s="44" t="n"/>
      <c r="D1454" s="33" t="n">
        <v>0.111171</v>
      </c>
      <c r="E1454" s="34" t="n">
        <v>0.14937</v>
      </c>
      <c r="F1454" s="35">
        <f>ROUND(B1454*E1454,2)</f>
        <v/>
      </c>
      <c r="H1454" s="36" t="n">
        <v>180.215</v>
      </c>
      <c r="I1454" s="37" t="n">
        <v>0.14937</v>
      </c>
      <c r="J1454" s="38">
        <f>ROUND(H1454*I1454,2)</f>
        <v/>
      </c>
      <c r="L1454" s="39" t="n">
        <v>84.691</v>
      </c>
      <c r="M1454" s="40" t="n">
        <v>0.14937</v>
      </c>
      <c r="N1454" s="41">
        <f>ROUND(L1454*M1454,2)</f>
        <v/>
      </c>
      <c r="O1454" s="45" t="inlineStr">
        <is>
          <t>Margen objetivo (edita % aquí) ▶</t>
        </is>
      </c>
      <c r="P1454" s="5" t="n"/>
      <c r="AA1454" t="n">
        <v>163.796</v>
      </c>
      <c r="AB1454">
        <f>B1452*D1452+B1453*D1453+AA1454*D1454+AA1455*D1455+AA1456*D1456</f>
        <v/>
      </c>
    </row>
    <row r="1455">
      <c r="A1455" s="30" t="inlineStr">
        <is>
          <t>P2 Energía</t>
        </is>
      </c>
      <c r="B1455" s="31">
        <f>IF($P$1454&lt;&gt;"",ROUND(AA1455*(($AB$1454/(1-$P$1454))-31.8550)/69.2091,2),IF('Resumen'!$D$3="OPTIMIZAR",AA1455,AA1455))</f>
        <v/>
      </c>
      <c r="C1455" s="44" t="n"/>
      <c r="D1455" s="33" t="n">
        <v>0.111171</v>
      </c>
      <c r="E1455" s="34" t="n">
        <v>0.14937</v>
      </c>
      <c r="F1455" s="35">
        <f>ROUND(B1455*E1455,2)</f>
        <v/>
      </c>
      <c r="H1455" s="36" t="n">
        <v>111.638</v>
      </c>
      <c r="I1455" s="37" t="n">
        <v>0.14937</v>
      </c>
      <c r="J1455" s="38">
        <f>ROUND(H1455*I1455,2)</f>
        <v/>
      </c>
      <c r="L1455" s="39" t="n">
        <v>68.48999999999999</v>
      </c>
      <c r="M1455" s="40" t="n">
        <v>0.14937</v>
      </c>
      <c r="N1455" s="41">
        <f>ROUND(L1455*M1455,2)</f>
        <v/>
      </c>
      <c r="O1455" s="46" t="inlineStr">
        <is>
          <t>Cant. P1/P2/P3 energía suben</t>
        </is>
      </c>
      <c r="R1455" s="43" t="inlineStr">
        <is>
          <t>Importe mensual cobrado (€) · 24 meses ▾</t>
        </is>
      </c>
      <c r="AA1455" t="n">
        <v>111.841</v>
      </c>
    </row>
    <row r="1456">
      <c r="A1456" s="30" t="inlineStr">
        <is>
          <t>P3 Energía</t>
        </is>
      </c>
      <c r="B1456" s="31">
        <f>IF($P$1454&lt;&gt;"",ROUND(AA1456*(($AB$1454/(1-$P$1454))-31.8550)/69.2091,2),IF('Resumen'!$D$3="OPTIMIZAR",AA1456,AA1456))</f>
        <v/>
      </c>
      <c r="C1456" s="44" t="n"/>
      <c r="D1456" s="33" t="n">
        <v>0.111171</v>
      </c>
      <c r="E1456" s="34" t="n">
        <v>0.14937</v>
      </c>
      <c r="F1456" s="35">
        <f>ROUND(B1456*E1456,2)</f>
        <v/>
      </c>
      <c r="H1456" s="36" t="n">
        <v>192.656</v>
      </c>
      <c r="I1456" s="37" t="n">
        <v>0.14937</v>
      </c>
      <c r="J1456" s="38">
        <f>ROUND(H1456*I1456,2)</f>
        <v/>
      </c>
      <c r="L1456" s="39" t="n">
        <v>144.795</v>
      </c>
      <c r="M1456" s="40" t="n">
        <v>0.14937</v>
      </c>
      <c r="N1456" s="41">
        <f>ROUND(L1456*M1456,2)</f>
        <v/>
      </c>
      <c r="O1456" s="46" t="inlineStr">
        <is>
          <t>en proporción para ese margen</t>
        </is>
      </c>
      <c r="AA1456" t="n">
        <v>187.703</v>
      </c>
    </row>
    <row r="1457">
      <c r="A1457" s="30" t="inlineStr">
        <is>
          <t>Alquiler contador</t>
        </is>
      </c>
      <c r="B1457" s="31" t="n">
        <v>1</v>
      </c>
      <c r="C1457" s="32">
        <f>$N$1449-$L$1449+1</f>
        <v/>
      </c>
      <c r="D1457" s="33" t="n">
        <v>0.7989000000000001</v>
      </c>
      <c r="E1457" s="34" t="n">
        <v>4</v>
      </c>
      <c r="F1457" s="35">
        <f>ROUND(B1457*E1457,2)</f>
        <v/>
      </c>
      <c r="H1457" s="36" t="n">
        <v>1</v>
      </c>
      <c r="I1457" s="37" t="n">
        <v>4</v>
      </c>
      <c r="J1457" s="38">
        <f>ROUND(H1457*I1457,2)</f>
        <v/>
      </c>
      <c r="L1457" s="39" t="n">
        <v>1</v>
      </c>
      <c r="M1457" s="40" t="n">
        <v>4</v>
      </c>
      <c r="N1457" s="41">
        <f>ROUND(L1457*M1457,2)</f>
        <v/>
      </c>
    </row>
    <row r="1458">
      <c r="A1458" s="30" t="inlineStr">
        <is>
          <t>Bono social</t>
        </is>
      </c>
      <c r="B1458" s="31" t="n">
        <v>30</v>
      </c>
      <c r="C1458" s="32">
        <f>$N$1449-$L$1449+1</f>
        <v/>
      </c>
      <c r="D1458" s="33" t="n">
        <v>0.5736</v>
      </c>
      <c r="E1458" s="34" t="n">
        <v>0.01274</v>
      </c>
      <c r="F1458" s="35">
        <f>ROUND(B1458*E1458,2)</f>
        <v/>
      </c>
      <c r="H1458" s="36" t="n">
        <v>30</v>
      </c>
      <c r="I1458" s="37" t="n">
        <v>0.01274</v>
      </c>
      <c r="J1458" s="38">
        <f>ROUND(H1458*I1458,2)</f>
        <v/>
      </c>
      <c r="L1458" s="39" t="n">
        <v>30</v>
      </c>
      <c r="M1458" s="40" t="n">
        <v>0.01274</v>
      </c>
      <c r="N1458" s="41">
        <f>ROUND(L1458*M1458,2)</f>
        <v/>
      </c>
    </row>
    <row r="1459">
      <c r="A1459" s="30" t="inlineStr">
        <is>
          <t>Tasa eléctrica</t>
        </is>
      </c>
      <c r="B1459" s="31" t="n">
        <v>5.17</v>
      </c>
      <c r="C1459" s="44" t="n"/>
      <c r="D1459" s="33" t="n">
        <v>0.27312</v>
      </c>
      <c r="E1459" s="34" t="n">
        <v>1</v>
      </c>
      <c r="F1459" s="35">
        <f>ROUND(B1459*E1459,2)</f>
        <v/>
      </c>
      <c r="H1459" s="36" t="n">
        <v>5.34</v>
      </c>
      <c r="I1459" s="37" t="n">
        <v>1</v>
      </c>
      <c r="J1459" s="38">
        <f>ROUND(H1459*I1459,2)</f>
        <v/>
      </c>
      <c r="L1459" s="39" t="n">
        <v>6.14</v>
      </c>
      <c r="M1459" s="40" t="n">
        <v>1</v>
      </c>
      <c r="N1459" s="41">
        <f>ROUND(L1459*M1459,2)</f>
        <v/>
      </c>
    </row>
    <row r="1460">
      <c r="A1460" s="47" t="inlineStr">
        <is>
          <t>TOTAL c/IVA</t>
        </is>
      </c>
      <c r="F1460" s="48">
        <f>ROUND((SUM(F1452:F1459)-F1459)*1.1+F1459,2)</f>
        <v/>
      </c>
      <c r="J1460" s="49">
        <f>ROUND(SUM(J1452:J1459),2)</f>
        <v/>
      </c>
      <c r="N1460" s="50">
        <f>ROUND(SUM(N1452:N1459),2)</f>
        <v/>
      </c>
    </row>
    <row r="1461">
      <c r="A1461" s="19" t="inlineStr">
        <is>
          <t>MARGEN sin registrar</t>
        </is>
      </c>
      <c r="B1461" s="51">
        <f>IF((F1455+F1452+F1454+F1456+F1453)=0,"",((F1455+F1452+F1454+F1456+F1453)-$AB$1454)/(F1455+F1452+F1454+F1456+F1453))</f>
        <v/>
      </c>
      <c r="D1461" s="52">
        <f>IF(B1461="","SIN PC",IF(B1461&gt;=0.3,"APROBAR",IF(B1461&gt;=0.2,"REVISAR","RECHAZAR")))</f>
        <v/>
      </c>
      <c r="E1461" s="53" t="n"/>
      <c r="F1461" s="54" t="n"/>
      <c r="AD1461">
        <f>SUM(F1454:F1456)-69.2091</f>
        <v/>
      </c>
    </row>
    <row r="1463">
      <c r="A1463" s="15" t="inlineStr">
        <is>
          <t>Factura 8678 · C02760 · ISABEL RAMIREZ CAPDEVILA</t>
        </is>
      </c>
      <c r="H1463" s="15" t="inlineStr">
        <is>
          <t>ES0021000012536447XH · Naturgy</t>
        </is>
      </c>
      <c r="L1463" s="16" t="n">
        <v>46113</v>
      </c>
      <c r="M1463" s="17" t="inlineStr">
        <is>
          <t>a</t>
        </is>
      </c>
      <c r="N1463" s="16" t="n">
        <v>46142</v>
      </c>
      <c r="R1463" s="18" t="inlineStr">
        <is>
          <t>HISTÓRICO DEL CUPS · HOJA TTVA LUZ</t>
        </is>
      </c>
    </row>
    <row r="1464">
      <c r="A1464" s="19" t="inlineStr">
        <is>
          <t>Concepto</t>
        </is>
      </c>
      <c r="B1464" s="20" t="inlineStr">
        <is>
          <t>PENDIENTE (sin registrar)</t>
        </is>
      </c>
      <c r="C1464" s="21" t="n"/>
      <c r="D1464" s="21" t="n"/>
      <c r="E1464" s="21" t="n"/>
      <c r="F1464" s="21" t="n"/>
      <c r="H1464" s="22" t="inlineStr">
        <is>
          <t>MES ANTERIOR · Fact.6366</t>
        </is>
      </c>
      <c r="I1464" s="23" t="n"/>
      <c r="J1464" s="23" t="n"/>
      <c r="L1464" s="24" t="inlineStr">
        <is>
          <t>AÑO ANTERIOR · Fact.4552</t>
        </is>
      </c>
      <c r="M1464" s="25" t="n"/>
      <c r="N1464" s="25" t="n"/>
      <c r="R1464" s="26" t="inlineStr">
        <is>
          <t>Cobrado total: 3 €</t>
        </is>
      </c>
    </row>
    <row r="1465">
      <c r="B1465" s="7" t="inlineStr">
        <is>
          <t>Cant</t>
        </is>
      </c>
      <c r="C1465" s="7" t="inlineStr">
        <is>
          <t>Días</t>
        </is>
      </c>
      <c r="D1465" s="7" t="inlineStr">
        <is>
          <t>PC real</t>
        </is>
      </c>
      <c r="E1465" s="7" t="inlineStr">
        <is>
          <t>PV</t>
        </is>
      </c>
      <c r="F1465" s="7" t="inlineStr">
        <is>
          <t>Importe</t>
        </is>
      </c>
      <c r="H1465" s="27" t="inlineStr">
        <is>
          <t>Cant</t>
        </is>
      </c>
      <c r="I1465" s="27" t="inlineStr">
        <is>
          <t>PV</t>
        </is>
      </c>
      <c r="J1465" s="27" t="inlineStr">
        <is>
          <t>Importe</t>
        </is>
      </c>
      <c r="L1465" s="28" t="inlineStr">
        <is>
          <t>Cant</t>
        </is>
      </c>
      <c r="M1465" s="28" t="inlineStr">
        <is>
          <t>PV</t>
        </is>
      </c>
      <c r="N1465" s="28" t="inlineStr">
        <is>
          <t>Importe</t>
        </is>
      </c>
      <c r="R1465" s="29" t="inlineStr">
        <is>
          <t>Pagado total: 0 €</t>
        </is>
      </c>
    </row>
    <row r="1466">
      <c r="A1466" s="30" t="inlineStr">
        <is>
          <t>P1 Potencia</t>
        </is>
      </c>
      <c r="B1466" s="31" t="n">
        <v>9.199999999999999</v>
      </c>
      <c r="C1466" s="32">
        <f>$N$1463-$L$1463+1</f>
        <v/>
      </c>
      <c r="D1466" s="33" t="n">
        <v>3.68919</v>
      </c>
      <c r="E1466" s="34" t="n">
        <v>4.17</v>
      </c>
      <c r="F1466" s="35">
        <f>ROUND(B1466*E1466,2)</f>
        <v/>
      </c>
      <c r="H1466" s="36" t="n">
        <v>9.199999999999999</v>
      </c>
      <c r="I1466" s="37" t="n">
        <v>4.17</v>
      </c>
      <c r="J1466" s="38">
        <f>ROUND(H1466*I1466,2)</f>
        <v/>
      </c>
      <c r="L1466" s="39" t="n">
        <v>9.199999999999999</v>
      </c>
      <c r="M1466" s="40" t="n">
        <v>4.17</v>
      </c>
      <c r="N1466" s="41">
        <f>ROUND(L1466*M1466,2)</f>
        <v/>
      </c>
      <c r="R1466" s="42" t="inlineStr">
        <is>
          <t>DIF: 3 €   ·   Margen hist.: 100.0%</t>
        </is>
      </c>
    </row>
    <row r="1467">
      <c r="A1467" s="30" t="inlineStr">
        <is>
          <t>P2 Potencia</t>
        </is>
      </c>
      <c r="B1467" s="31" t="n">
        <v>9.199999999999999</v>
      </c>
      <c r="C1467" s="32">
        <f>$N$1463-$L$1463+1</f>
        <v/>
      </c>
      <c r="D1467" s="33" t="n">
        <v>1.31928</v>
      </c>
      <c r="E1467" s="34" t="n">
        <v>1.37</v>
      </c>
      <c r="F1467" s="35">
        <f>ROUND(B1467*E1467,2)</f>
        <v/>
      </c>
      <c r="H1467" s="36" t="n">
        <v>9.199999999999999</v>
      </c>
      <c r="I1467" s="37" t="n">
        <v>1.37</v>
      </c>
      <c r="J1467" s="38">
        <f>ROUND(H1467*I1467,2)</f>
        <v/>
      </c>
      <c r="L1467" s="39" t="n">
        <v>9.199999999999999</v>
      </c>
      <c r="M1467" s="40" t="n">
        <v>1.37</v>
      </c>
      <c r="N1467" s="41">
        <f>ROUND(L1467*M1467,2)</f>
        <v/>
      </c>
    </row>
    <row r="1468">
      <c r="A1468" s="30" t="inlineStr">
        <is>
          <t>P1 Energía</t>
        </is>
      </c>
      <c r="B1468" s="31">
        <f>IF($P$1468&lt;&gt;"",ROUND(AA1468*(($AB$1468/(1-$P$1468))-50.9680)/83.2464,2),IF('Resumen'!$D$3="OPTIMIZAR",AA1468,AA1468))</f>
        <v/>
      </c>
      <c r="C1468" s="44" t="n"/>
      <c r="D1468" s="33" t="n">
        <v>0.111171</v>
      </c>
      <c r="E1468" s="34" t="n">
        <v>0.14937</v>
      </c>
      <c r="F1468" s="35">
        <f>ROUND(B1468*E1468,2)</f>
        <v/>
      </c>
      <c r="H1468" s="36" t="n">
        <v>136.805</v>
      </c>
      <c r="I1468" s="37" t="n">
        <v>0.14937</v>
      </c>
      <c r="J1468" s="38">
        <f>ROUND(H1468*I1468,2)</f>
        <v/>
      </c>
      <c r="L1468" s="39" t="n">
        <v>150.029</v>
      </c>
      <c r="M1468" s="40" t="n">
        <v>0.14937</v>
      </c>
      <c r="N1468" s="41">
        <f>ROUND(L1468*M1468,2)</f>
        <v/>
      </c>
      <c r="O1468" s="45" t="inlineStr">
        <is>
          <t>Margen objetivo (edita % aquí) ▶</t>
        </is>
      </c>
      <c r="P1468" s="5" t="n"/>
      <c r="AA1468" t="n">
        <v>137.504</v>
      </c>
      <c r="AB1468">
        <f>B1466*D1466+B1467*D1467+AA1468*D1468+AA1469*D1469+AA1470*D1470</f>
        <v/>
      </c>
    </row>
    <row r="1469">
      <c r="A1469" s="30" t="inlineStr">
        <is>
          <t>P2 Energía</t>
        </is>
      </c>
      <c r="B1469" s="31">
        <f>IF($P$1468&lt;&gt;"",ROUND(AA1469*(($AB$1468/(1-$P$1468))-50.9680)/83.2464,2),IF('Resumen'!$D$3="OPTIMIZAR",AA1469,AA1469))</f>
        <v/>
      </c>
      <c r="C1469" s="44" t="n"/>
      <c r="D1469" s="33" t="n">
        <v>0.111171</v>
      </c>
      <c r="E1469" s="34" t="n">
        <v>0.14937</v>
      </c>
      <c r="F1469" s="35">
        <f>ROUND(B1469*E1469,2)</f>
        <v/>
      </c>
      <c r="H1469" s="36" t="n">
        <v>107.681</v>
      </c>
      <c r="I1469" s="37" t="n">
        <v>0.14937</v>
      </c>
      <c r="J1469" s="38">
        <f>ROUND(H1469*I1469,2)</f>
        <v/>
      </c>
      <c r="L1469" s="39" t="n">
        <v>151.775</v>
      </c>
      <c r="M1469" s="40" t="n">
        <v>0.14937</v>
      </c>
      <c r="N1469" s="41">
        <f>ROUND(L1469*M1469,2)</f>
        <v/>
      </c>
      <c r="O1469" s="46" t="inlineStr">
        <is>
          <t>Cant. P1/P2/P3 energía suben</t>
        </is>
      </c>
      <c r="R1469" s="43" t="inlineStr">
        <is>
          <t>Importe mensual cobrado (€) · 24 meses ▾</t>
        </is>
      </c>
      <c r="AA1469" t="n">
        <v>138.453</v>
      </c>
    </row>
    <row r="1470">
      <c r="A1470" s="30" t="inlineStr">
        <is>
          <t>P3 Energía</t>
        </is>
      </c>
      <c r="B1470" s="31">
        <f>IF($P$1468&lt;&gt;"",ROUND(AA1470*(($AB$1468/(1-$P$1468))-50.9680)/83.2464,2),IF('Resumen'!$D$3="OPTIMIZAR",AA1470,AA1470))</f>
        <v/>
      </c>
      <c r="C1470" s="44" t="n"/>
      <c r="D1470" s="33" t="n">
        <v>0.111171</v>
      </c>
      <c r="E1470" s="34" t="n">
        <v>0.14937</v>
      </c>
      <c r="F1470" s="35">
        <f>ROUND(B1470*E1470,2)</f>
        <v/>
      </c>
      <c r="H1470" s="36" t="n">
        <v>228.389</v>
      </c>
      <c r="I1470" s="37" t="n">
        <v>0.14937</v>
      </c>
      <c r="J1470" s="38">
        <f>ROUND(H1470*I1470,2)</f>
        <v/>
      </c>
      <c r="L1470" s="39" t="n">
        <v>348.621</v>
      </c>
      <c r="M1470" s="40" t="n">
        <v>0.14937</v>
      </c>
      <c r="N1470" s="41">
        <f>ROUND(L1470*M1470,2)</f>
        <v/>
      </c>
      <c r="O1470" s="46" t="inlineStr">
        <is>
          <t>en proporción para ese margen</t>
        </is>
      </c>
      <c r="AA1470" t="n">
        <v>281.36</v>
      </c>
    </row>
    <row r="1471">
      <c r="A1471" s="30" t="inlineStr">
        <is>
          <t>Alquiler contador</t>
        </is>
      </c>
      <c r="B1471" s="31" t="n">
        <v>1</v>
      </c>
      <c r="C1471" s="32">
        <f>$N$1463-$L$1463+1</f>
        <v/>
      </c>
      <c r="D1471" s="33" t="n">
        <v>0.7989000000000001</v>
      </c>
      <c r="E1471" s="34" t="n">
        <v>4</v>
      </c>
      <c r="F1471" s="35">
        <f>ROUND(B1471*E1471,2)</f>
        <v/>
      </c>
      <c r="H1471" s="36" t="n">
        <v>1</v>
      </c>
      <c r="I1471" s="37" t="n">
        <v>4</v>
      </c>
      <c r="J1471" s="38">
        <f>ROUND(H1471*I1471,2)</f>
        <v/>
      </c>
      <c r="L1471" s="39" t="n">
        <v>1</v>
      </c>
      <c r="M1471" s="40" t="n">
        <v>4</v>
      </c>
      <c r="N1471" s="41">
        <f>ROUND(L1471*M1471,2)</f>
        <v/>
      </c>
    </row>
    <row r="1472">
      <c r="A1472" s="30" t="inlineStr">
        <is>
          <t>Bono social</t>
        </is>
      </c>
      <c r="B1472" s="31" t="n">
        <v>30</v>
      </c>
      <c r="C1472" s="32">
        <f>$N$1463-$L$1463+1</f>
        <v/>
      </c>
      <c r="D1472" s="33" t="n">
        <v>0.5736</v>
      </c>
      <c r="E1472" s="34" t="n">
        <v>0.01274</v>
      </c>
      <c r="F1472" s="35">
        <f>ROUND(B1472*E1472,2)</f>
        <v/>
      </c>
      <c r="H1472" s="36" t="n">
        <v>30</v>
      </c>
      <c r="I1472" s="37" t="n">
        <v>0.01274</v>
      </c>
      <c r="J1472" s="38">
        <f>ROUND(H1472*I1472,2)</f>
        <v/>
      </c>
      <c r="L1472" s="39" t="n">
        <v>30</v>
      </c>
      <c r="M1472" s="40" t="n">
        <v>0.00629</v>
      </c>
      <c r="N1472" s="41">
        <f>ROUND(L1472*M1472,2)</f>
        <v/>
      </c>
    </row>
    <row r="1473">
      <c r="A1473" s="30" t="inlineStr">
        <is>
          <t>Tasa eléctrica</t>
        </is>
      </c>
      <c r="B1473" s="31" t="n">
        <v>6.87</v>
      </c>
      <c r="C1473" s="44" t="n"/>
      <c r="D1473" s="33" t="n">
        <v>0.02671</v>
      </c>
      <c r="E1473" s="34" t="n">
        <v>1</v>
      </c>
      <c r="F1473" s="35">
        <f>ROUND(B1473*E1473,2)</f>
        <v/>
      </c>
      <c r="H1473" s="36" t="n">
        <v>6.22</v>
      </c>
      <c r="I1473" s="37" t="n">
        <v>1</v>
      </c>
      <c r="J1473" s="38">
        <f>ROUND(H1473*I1473,2)</f>
        <v/>
      </c>
      <c r="L1473" s="39" t="n">
        <v>7.58</v>
      </c>
      <c r="M1473" s="40" t="n">
        <v>1</v>
      </c>
      <c r="N1473" s="41">
        <f>ROUND(L1473*M1473,2)</f>
        <v/>
      </c>
    </row>
    <row r="1474">
      <c r="A1474" s="47" t="inlineStr">
        <is>
          <t>TOTAL c/IVA</t>
        </is>
      </c>
      <c r="F1474" s="48">
        <f>ROUND((SUM(F1466:F1473)-F1473)*1.1+F1473,2)</f>
        <v/>
      </c>
      <c r="J1474" s="49">
        <f>ROUND(SUM(J1466:J1473),2)</f>
        <v/>
      </c>
      <c r="N1474" s="50">
        <f>ROUND(SUM(N1466:N1473),2)</f>
        <v/>
      </c>
    </row>
    <row r="1475">
      <c r="A1475" s="19" t="inlineStr">
        <is>
          <t>MARGEN sin registrar</t>
        </is>
      </c>
      <c r="B1475" s="51">
        <f>IF((F1469+F1466+F1468+F1470+F1467)=0,"",((F1469+F1466+F1468+F1470+F1467)-$AB$1468)/(F1469+F1466+F1468+F1470+F1467))</f>
        <v/>
      </c>
      <c r="D1475" s="52">
        <f>IF(B1475="","SIN PC",IF(B1475&gt;=0.3,"APROBAR",IF(B1475&gt;=0.2,"REVISAR","RECHAZAR")))</f>
        <v/>
      </c>
      <c r="E1475" s="53" t="n"/>
      <c r="F1475" s="54" t="n"/>
      <c r="AD1475">
        <f>SUM(F1468:F1470)-83.2464</f>
        <v/>
      </c>
    </row>
    <row r="1477">
      <c r="A1477" s="15" t="inlineStr">
        <is>
          <t>Factura 8679 · C02780 · MARIA PILAR CATALA SANTAMARIA</t>
        </is>
      </c>
      <c r="H1477" s="15" t="inlineStr">
        <is>
          <t>ES0021000001197031CQ · Naturgy</t>
        </is>
      </c>
      <c r="L1477" s="16" t="n">
        <v>46113</v>
      </c>
      <c r="M1477" s="17" t="inlineStr">
        <is>
          <t>a</t>
        </is>
      </c>
      <c r="N1477" s="16" t="n">
        <v>46142</v>
      </c>
      <c r="R1477" s="18" t="inlineStr">
        <is>
          <t>HISTÓRICO DEL CUPS · HOJA TTVA LUZ</t>
        </is>
      </c>
    </row>
    <row r="1478">
      <c r="A1478" s="19" t="inlineStr">
        <is>
          <t>Concepto</t>
        </is>
      </c>
      <c r="B1478" s="20" t="inlineStr">
        <is>
          <t>PENDIENTE (sin registrar)</t>
        </is>
      </c>
      <c r="C1478" s="21" t="n"/>
      <c r="D1478" s="21" t="n"/>
      <c r="E1478" s="21" t="n"/>
      <c r="F1478" s="21" t="n"/>
      <c r="H1478" s="22" t="inlineStr">
        <is>
          <t>MES ANTERIOR · Fact.6365</t>
        </is>
      </c>
      <c r="I1478" s="23" t="n"/>
      <c r="J1478" s="23" t="n"/>
      <c r="L1478" s="24" t="inlineStr">
        <is>
          <t>AÑO ANTERIOR · Fact.4551</t>
        </is>
      </c>
      <c r="M1478" s="25" t="n"/>
      <c r="N1478" s="25" t="n"/>
      <c r="R1478" s="26" t="inlineStr">
        <is>
          <t>Cobrado total: 3 €</t>
        </is>
      </c>
    </row>
    <row r="1479">
      <c r="B1479" s="7" t="inlineStr">
        <is>
          <t>Cant</t>
        </is>
      </c>
      <c r="C1479" s="7" t="inlineStr">
        <is>
          <t>Días</t>
        </is>
      </c>
      <c r="D1479" s="7" t="inlineStr">
        <is>
          <t>PC real</t>
        </is>
      </c>
      <c r="E1479" s="7" t="inlineStr">
        <is>
          <t>PV</t>
        </is>
      </c>
      <c r="F1479" s="7" t="inlineStr">
        <is>
          <t>Importe</t>
        </is>
      </c>
      <c r="H1479" s="27" t="inlineStr">
        <is>
          <t>Cant</t>
        </is>
      </c>
      <c r="I1479" s="27" t="inlineStr">
        <is>
          <t>PV</t>
        </is>
      </c>
      <c r="J1479" s="27" t="inlineStr">
        <is>
          <t>Importe</t>
        </is>
      </c>
      <c r="L1479" s="28" t="inlineStr">
        <is>
          <t>Cant</t>
        </is>
      </c>
      <c r="M1479" s="28" t="inlineStr">
        <is>
          <t>PV</t>
        </is>
      </c>
      <c r="N1479" s="28" t="inlineStr">
        <is>
          <t>Importe</t>
        </is>
      </c>
      <c r="R1479" s="29" t="inlineStr">
        <is>
          <t>Pagado total: 0 €</t>
        </is>
      </c>
    </row>
    <row r="1480">
      <c r="A1480" s="30" t="inlineStr">
        <is>
          <t>P1 Potencia</t>
        </is>
      </c>
      <c r="B1480" s="31" t="n">
        <v>5.75</v>
      </c>
      <c r="C1480" s="32">
        <f>$N$1477-$L$1477+1</f>
        <v/>
      </c>
      <c r="D1480" s="33" t="n">
        <v>3.68919</v>
      </c>
      <c r="E1480" s="34" t="n">
        <v>4.17</v>
      </c>
      <c r="F1480" s="35">
        <f>ROUND(B1480*E1480,2)</f>
        <v/>
      </c>
      <c r="H1480" s="36" t="n">
        <v>5.75</v>
      </c>
      <c r="I1480" s="37" t="n">
        <v>4.17</v>
      </c>
      <c r="J1480" s="38">
        <f>ROUND(H1480*I1480,2)</f>
        <v/>
      </c>
      <c r="L1480" s="39" t="n">
        <v>5.75</v>
      </c>
      <c r="M1480" s="40" t="n">
        <v>4.17</v>
      </c>
      <c r="N1480" s="41">
        <f>ROUND(L1480*M1480,2)</f>
        <v/>
      </c>
      <c r="R1480" s="42" t="inlineStr">
        <is>
          <t>DIF: 3 €   ·   Margen hist.: 100.0%</t>
        </is>
      </c>
    </row>
    <row r="1481">
      <c r="A1481" s="30" t="inlineStr">
        <is>
          <t>P2 Potencia</t>
        </is>
      </c>
      <c r="B1481" s="31" t="n">
        <v>5.75</v>
      </c>
      <c r="C1481" s="32">
        <f>$N$1477-$L$1477+1</f>
        <v/>
      </c>
      <c r="D1481" s="33" t="n">
        <v>1.31928</v>
      </c>
      <c r="E1481" s="34" t="n">
        <v>1.37</v>
      </c>
      <c r="F1481" s="35">
        <f>ROUND(B1481*E1481,2)</f>
        <v/>
      </c>
      <c r="H1481" s="36" t="n">
        <v>5.75</v>
      </c>
      <c r="I1481" s="37" t="n">
        <v>1.37</v>
      </c>
      <c r="J1481" s="38">
        <f>ROUND(H1481*I1481,2)</f>
        <v/>
      </c>
      <c r="L1481" s="39" t="n">
        <v>5.75</v>
      </c>
      <c r="M1481" s="40" t="n">
        <v>1.37</v>
      </c>
      <c r="N1481" s="41">
        <f>ROUND(L1481*M1481,2)</f>
        <v/>
      </c>
    </row>
    <row r="1482">
      <c r="A1482" s="30" t="inlineStr">
        <is>
          <t>P1 Energía</t>
        </is>
      </c>
      <c r="B1482" s="31">
        <f>IF($P$1482&lt;&gt;"",ROUND(AA1482*(($AB$1482/(1-$P$1482))-31.8550)/12.1518,2),IF('Resumen'!$D$3="OPTIMIZAR",AA1482,AA1482))</f>
        <v/>
      </c>
      <c r="C1482" s="44" t="n"/>
      <c r="D1482" s="33" t="n">
        <v>0.111171</v>
      </c>
      <c r="E1482" s="34" t="n">
        <v>0.14937</v>
      </c>
      <c r="F1482" s="35">
        <f>ROUND(B1482*E1482,2)</f>
        <v/>
      </c>
      <c r="H1482" s="36" t="n">
        <v>24.487</v>
      </c>
      <c r="I1482" s="37" t="n">
        <v>0.14937</v>
      </c>
      <c r="J1482" s="38">
        <f>ROUND(H1482*I1482,2)</f>
        <v/>
      </c>
      <c r="L1482" s="39" t="n">
        <v>30.587</v>
      </c>
      <c r="M1482" s="40" t="n">
        <v>0.14937</v>
      </c>
      <c r="N1482" s="41">
        <f>ROUND(L1482*M1482,2)</f>
        <v/>
      </c>
      <c r="O1482" s="45" t="inlineStr">
        <is>
          <t>Margen objetivo (edita % aquí) ▶</t>
        </is>
      </c>
      <c r="P1482" s="5" t="n"/>
      <c r="AA1482" t="n">
        <v>22.568</v>
      </c>
      <c r="AB1482">
        <f>B1480*D1480+B1481*D1481+AA1482*D1482+AA1483*D1483+AA1484*D1484</f>
        <v/>
      </c>
    </row>
    <row r="1483">
      <c r="A1483" s="30" t="inlineStr">
        <is>
          <t>P2 Energía</t>
        </is>
      </c>
      <c r="B1483" s="31">
        <f>IF($P$1482&lt;&gt;"",ROUND(AA1483*(($AB$1482/(1-$P$1482))-31.8550)/12.1518,2),IF('Resumen'!$D$3="OPTIMIZAR",AA1483,AA1483))</f>
        <v/>
      </c>
      <c r="C1483" s="44" t="n"/>
      <c r="D1483" s="33" t="n">
        <v>0.111171</v>
      </c>
      <c r="E1483" s="34" t="n">
        <v>0.14937</v>
      </c>
      <c r="F1483" s="35">
        <f>ROUND(B1483*E1483,2)</f>
        <v/>
      </c>
      <c r="H1483" s="36" t="n">
        <v>15.284</v>
      </c>
      <c r="I1483" s="37" t="n">
        <v>0.14937</v>
      </c>
      <c r="J1483" s="38">
        <f>ROUND(H1483*I1483,2)</f>
        <v/>
      </c>
      <c r="L1483" s="39" t="n">
        <v>24.303</v>
      </c>
      <c r="M1483" s="40" t="n">
        <v>0.14937</v>
      </c>
      <c r="N1483" s="41">
        <f>ROUND(L1483*M1483,2)</f>
        <v/>
      </c>
      <c r="O1483" s="46" t="inlineStr">
        <is>
          <t>Cant. P1/P2/P3 energía suben</t>
        </is>
      </c>
      <c r="R1483" s="43" t="inlineStr">
        <is>
          <t>Importe mensual cobrado (€) · 24 meses ▾</t>
        </is>
      </c>
      <c r="AA1483" t="n">
        <v>17.437</v>
      </c>
    </row>
    <row r="1484">
      <c r="A1484" s="30" t="inlineStr">
        <is>
          <t>P3 Energía</t>
        </is>
      </c>
      <c r="B1484" s="31">
        <f>IF($P$1482&lt;&gt;"",ROUND(AA1484*(($AB$1482/(1-$P$1482))-31.8550)/12.1518,2),IF('Resumen'!$D$3="OPTIMIZAR",AA1484,AA1484))</f>
        <v/>
      </c>
      <c r="C1484" s="44" t="n"/>
      <c r="D1484" s="33" t="n">
        <v>0.111171</v>
      </c>
      <c r="E1484" s="34" t="n">
        <v>0.14937</v>
      </c>
      <c r="F1484" s="35">
        <f>ROUND(B1484*E1484,2)</f>
        <v/>
      </c>
      <c r="H1484" s="36" t="n">
        <v>47.368</v>
      </c>
      <c r="I1484" s="37" t="n">
        <v>0.14937</v>
      </c>
      <c r="J1484" s="38">
        <f>ROUND(H1484*I1484,2)</f>
        <v/>
      </c>
      <c r="L1484" s="39" t="n">
        <v>52.747</v>
      </c>
      <c r="M1484" s="40" t="n">
        <v>0.14937</v>
      </c>
      <c r="N1484" s="41">
        <f>ROUND(L1484*M1484,2)</f>
        <v/>
      </c>
      <c r="O1484" s="46" t="inlineStr">
        <is>
          <t>en proporción para ese margen</t>
        </is>
      </c>
      <c r="AA1484" t="n">
        <v>41.349</v>
      </c>
    </row>
    <row r="1485">
      <c r="A1485" s="30" t="inlineStr">
        <is>
          <t>Alquiler contador</t>
        </is>
      </c>
      <c r="B1485" s="31" t="n">
        <v>1</v>
      </c>
      <c r="C1485" s="32">
        <f>$N$1477-$L$1477+1</f>
        <v/>
      </c>
      <c r="D1485" s="33" t="n">
        <v>0.7989000000000001</v>
      </c>
      <c r="E1485" s="34" t="n">
        <v>4</v>
      </c>
      <c r="F1485" s="35">
        <f>ROUND(B1485*E1485,2)</f>
        <v/>
      </c>
      <c r="H1485" s="36" t="n">
        <v>1</v>
      </c>
      <c r="I1485" s="37" t="n">
        <v>4</v>
      </c>
      <c r="J1485" s="38">
        <f>ROUND(H1485*I1485,2)</f>
        <v/>
      </c>
      <c r="L1485" s="39" t="n">
        <v>1</v>
      </c>
      <c r="M1485" s="40" t="n">
        <v>4</v>
      </c>
      <c r="N1485" s="41">
        <f>ROUND(L1485*M1485,2)</f>
        <v/>
      </c>
    </row>
    <row r="1486">
      <c r="A1486" s="30" t="inlineStr">
        <is>
          <t>Bono social</t>
        </is>
      </c>
      <c r="B1486" s="31" t="n">
        <v>30</v>
      </c>
      <c r="C1486" s="32">
        <f>$N$1477-$L$1477+1</f>
        <v/>
      </c>
      <c r="D1486" s="33" t="n">
        <v>0.5736</v>
      </c>
      <c r="E1486" s="34" t="n">
        <v>0.01274</v>
      </c>
      <c r="F1486" s="35">
        <f>ROUND(B1486*E1486,2)</f>
        <v/>
      </c>
      <c r="H1486" s="36" t="n">
        <v>30</v>
      </c>
      <c r="I1486" s="37" t="n">
        <v>0.01274</v>
      </c>
      <c r="J1486" s="38">
        <f>ROUND(H1486*I1486,2)</f>
        <v/>
      </c>
      <c r="L1486" s="39" t="n">
        <v>30</v>
      </c>
      <c r="M1486" s="40" t="n">
        <v>0.00629</v>
      </c>
      <c r="N1486" s="41">
        <f>ROUND(L1486*M1486,2)</f>
        <v/>
      </c>
    </row>
    <row r="1487">
      <c r="A1487" s="30" t="inlineStr">
        <is>
          <t>Tasa eléctrica</t>
        </is>
      </c>
      <c r="B1487" s="31" t="n">
        <v>2.26</v>
      </c>
      <c r="C1487" s="44" t="n"/>
      <c r="D1487" s="33" t="n">
        <v>0.02671</v>
      </c>
      <c r="E1487" s="34" t="n">
        <v>1</v>
      </c>
      <c r="F1487" s="35">
        <f>ROUND(B1487*E1487,2)</f>
        <v/>
      </c>
      <c r="H1487" s="36" t="n">
        <v>2.3</v>
      </c>
      <c r="I1487" s="37" t="n">
        <v>1</v>
      </c>
      <c r="J1487" s="38">
        <f>ROUND(H1487*I1487,2)</f>
        <v/>
      </c>
      <c r="L1487" s="39" t="n">
        <v>2.46</v>
      </c>
      <c r="M1487" s="40" t="n">
        <v>1</v>
      </c>
      <c r="N1487" s="41">
        <f>ROUND(L1487*M1487,2)</f>
        <v/>
      </c>
    </row>
    <row r="1488">
      <c r="A1488" s="47" t="inlineStr">
        <is>
          <t>TOTAL c/IVA</t>
        </is>
      </c>
      <c r="F1488" s="48">
        <f>ROUND((SUM(F1480:F1487)-F1487)*1.1+F1487,2)</f>
        <v/>
      </c>
      <c r="J1488" s="49">
        <f>ROUND(SUM(J1480:J1487),2)</f>
        <v/>
      </c>
      <c r="N1488" s="50">
        <f>ROUND(SUM(N1480:N1487),2)</f>
        <v/>
      </c>
    </row>
    <row r="1489">
      <c r="A1489" s="19" t="inlineStr">
        <is>
          <t>MARGEN sin registrar</t>
        </is>
      </c>
      <c r="B1489" s="51">
        <f>IF((F1483+F1480+F1482+F1484+F1481)=0,"",((F1483+F1480+F1482+F1484+F1481)-$AB$1482)/(F1483+F1480+F1482+F1484+F1481))</f>
        <v/>
      </c>
      <c r="D1489" s="52">
        <f>IF(B1489="","SIN PC",IF(B1489&gt;=0.3,"APROBAR",IF(B1489&gt;=0.2,"REVISAR","RECHAZAR")))</f>
        <v/>
      </c>
      <c r="E1489" s="53" t="n"/>
      <c r="F1489" s="54" t="n"/>
      <c r="AD1489">
        <f>SUM(F1482:F1484)-12.1518</f>
        <v/>
      </c>
    </row>
    <row r="1491">
      <c r="A1491" s="15" t="inlineStr">
        <is>
          <t>Factura 8680 · C02800 · ABDESLAM LAMRANI</t>
        </is>
      </c>
      <c r="H1491" s="15" t="inlineStr">
        <is>
          <t>ES0021000001191925MQ · Iberdrola</t>
        </is>
      </c>
      <c r="L1491" s="16" t="n">
        <v>46113</v>
      </c>
      <c r="M1491" s="17" t="inlineStr">
        <is>
          <t>a</t>
        </is>
      </c>
      <c r="N1491" s="16" t="n">
        <v>46142</v>
      </c>
      <c r="R1491" s="18" t="inlineStr">
        <is>
          <t>HISTÓRICO DEL CUPS · HOJA TTVA LUZ</t>
        </is>
      </c>
    </row>
    <row r="1492">
      <c r="A1492" s="19" t="inlineStr">
        <is>
          <t>Concepto</t>
        </is>
      </c>
      <c r="B1492" s="20" t="inlineStr">
        <is>
          <t>PENDIENTE (sin registrar)</t>
        </is>
      </c>
      <c r="C1492" s="21" t="n"/>
      <c r="D1492" s="21" t="n"/>
      <c r="E1492" s="21" t="n"/>
      <c r="F1492" s="21" t="n"/>
      <c r="H1492" s="22" t="inlineStr">
        <is>
          <t>MES ANTERIOR · Fact.6364</t>
        </is>
      </c>
      <c r="I1492" s="23" t="n"/>
      <c r="J1492" s="23" t="n"/>
      <c r="L1492" s="24" t="inlineStr">
        <is>
          <t>AÑO ANTERIOR · Fact.4550</t>
        </is>
      </c>
      <c r="M1492" s="25" t="n"/>
      <c r="N1492" s="25" t="n"/>
    </row>
    <row r="1493">
      <c r="B1493" s="7" t="inlineStr">
        <is>
          <t>Cant</t>
        </is>
      </c>
      <c r="C1493" s="7" t="inlineStr">
        <is>
          <t>Días</t>
        </is>
      </c>
      <c r="D1493" s="7" t="inlineStr">
        <is>
          <t>PC real</t>
        </is>
      </c>
      <c r="E1493" s="7" t="inlineStr">
        <is>
          <t>PV</t>
        </is>
      </c>
      <c r="F1493" s="7" t="inlineStr">
        <is>
          <t>Importe</t>
        </is>
      </c>
      <c r="H1493" s="27" t="inlineStr">
        <is>
          <t>Cant</t>
        </is>
      </c>
      <c r="I1493" s="27" t="inlineStr">
        <is>
          <t>PV</t>
        </is>
      </c>
      <c r="J1493" s="27" t="inlineStr">
        <is>
          <t>Importe</t>
        </is>
      </c>
      <c r="L1493" s="28" t="inlineStr">
        <is>
          <t>Cant</t>
        </is>
      </c>
      <c r="M1493" s="28" t="inlineStr">
        <is>
          <t>PV</t>
        </is>
      </c>
      <c r="N1493" s="28" t="inlineStr">
        <is>
          <t>Importe</t>
        </is>
      </c>
    </row>
    <row r="1494">
      <c r="A1494" s="30" t="inlineStr">
        <is>
          <t>P1 Potencia</t>
        </is>
      </c>
      <c r="B1494" s="31" t="n">
        <v>13.856</v>
      </c>
      <c r="C1494" s="32">
        <f>$N$1491-$L$1491+1</f>
        <v/>
      </c>
      <c r="D1494" s="33" t="n">
        <v>3.40863</v>
      </c>
      <c r="E1494" s="34" t="n">
        <v>4.17</v>
      </c>
      <c r="F1494" s="35">
        <f>ROUND(B1494*E1494,2)</f>
        <v/>
      </c>
      <c r="H1494" s="36" t="n">
        <v>13.856</v>
      </c>
      <c r="I1494" s="37" t="n">
        <v>4.17</v>
      </c>
      <c r="J1494" s="38">
        <f>ROUND(H1494*I1494,2)</f>
        <v/>
      </c>
      <c r="L1494" s="39" t="n">
        <v>13.856</v>
      </c>
      <c r="M1494" s="40" t="n">
        <v>4.17</v>
      </c>
      <c r="N1494" s="41">
        <f>ROUND(L1494*M1494,2)</f>
        <v/>
      </c>
    </row>
    <row r="1495">
      <c r="A1495" s="30" t="inlineStr">
        <is>
          <t>P2 Potencia</t>
        </is>
      </c>
      <c r="B1495" s="31" t="n">
        <v>13.856</v>
      </c>
      <c r="C1495" s="32">
        <f>$N$1491-$L$1491+1</f>
        <v/>
      </c>
      <c r="D1495" s="33" t="n">
        <v>1.44069</v>
      </c>
      <c r="E1495" s="34" t="n">
        <v>1.37</v>
      </c>
      <c r="F1495" s="35">
        <f>ROUND(B1495*E1495,2)</f>
        <v/>
      </c>
      <c r="H1495" s="36" t="n">
        <v>13.856</v>
      </c>
      <c r="I1495" s="37" t="n">
        <v>1.37</v>
      </c>
      <c r="J1495" s="38">
        <f>ROUND(H1495*I1495,2)</f>
        <v/>
      </c>
      <c r="L1495" s="39" t="n">
        <v>13.856</v>
      </c>
      <c r="M1495" s="40" t="n">
        <v>1.37</v>
      </c>
      <c r="N1495" s="41">
        <f>ROUND(L1495*M1495,2)</f>
        <v/>
      </c>
    </row>
    <row r="1496">
      <c r="A1496" s="30" t="inlineStr">
        <is>
          <t>P1 Energía</t>
        </is>
      </c>
      <c r="B1496" s="31">
        <f>IF($P$1496&lt;&gt;"",ROUND(AA1496*(($AB$1496/(1-$P$1496))-76.7622)/55.7214,2),IF('Resumen'!$D$3="OPTIMIZAR",AA1496,AA1496))</f>
        <v/>
      </c>
      <c r="C1496" s="44" t="n"/>
      <c r="D1496" s="33" t="n">
        <v>0.19081</v>
      </c>
      <c r="E1496" s="34" t="n">
        <v>0.14937</v>
      </c>
      <c r="F1496" s="35">
        <f>ROUND(B1496*E1496,2)</f>
        <v/>
      </c>
      <c r="H1496" s="36" t="n">
        <v>194.676</v>
      </c>
      <c r="I1496" s="37" t="n">
        <v>0.14937</v>
      </c>
      <c r="J1496" s="38">
        <f>ROUND(H1496*I1496,2)</f>
        <v/>
      </c>
      <c r="L1496" s="39" t="n">
        <v>117.591</v>
      </c>
      <c r="M1496" s="40" t="n">
        <v>0.14937</v>
      </c>
      <c r="N1496" s="41">
        <f>ROUND(L1496*M1496,2)</f>
        <v/>
      </c>
      <c r="O1496" s="45" t="inlineStr">
        <is>
          <t>Margen objetivo (edita % aquí) ▶</t>
        </is>
      </c>
      <c r="P1496" s="5" t="n"/>
      <c r="AA1496" t="n">
        <v>124.318</v>
      </c>
      <c r="AB1496">
        <f>B1494*D1494+B1495*D1495+AA1496*D1496+AA1497*D1497+AA1498*D1498</f>
        <v/>
      </c>
    </row>
    <row r="1497">
      <c r="A1497" s="30" t="inlineStr">
        <is>
          <t>P2 Energía</t>
        </is>
      </c>
      <c r="B1497" s="31">
        <f>IF($P$1496&lt;&gt;"",ROUND(AA1497*(($AB$1496/(1-$P$1496))-76.7622)/55.7214,2),IF('Resumen'!$D$3="OPTIMIZAR",AA1497,AA1497))</f>
        <v/>
      </c>
      <c r="C1497" s="44" t="n"/>
      <c r="D1497" s="33" t="n">
        <v>0.19081</v>
      </c>
      <c r="E1497" s="34" t="n">
        <v>0.14937</v>
      </c>
      <c r="F1497" s="35">
        <f>ROUND(B1497*E1497,2)</f>
        <v/>
      </c>
      <c r="H1497" s="36" t="n">
        <v>143.386</v>
      </c>
      <c r="I1497" s="37" t="n">
        <v>0.14937</v>
      </c>
      <c r="J1497" s="38">
        <f>ROUND(H1497*I1497,2)</f>
        <v/>
      </c>
      <c r="L1497" s="39" t="n">
        <v>117.588</v>
      </c>
      <c r="M1497" s="40" t="n">
        <v>0.14937</v>
      </c>
      <c r="N1497" s="41">
        <f>ROUND(L1497*M1497,2)</f>
        <v/>
      </c>
      <c r="O1497" s="46" t="inlineStr">
        <is>
          <t>Cant. P1/P2/P3 energía suben</t>
        </is>
      </c>
      <c r="AA1497" t="n">
        <v>108.798</v>
      </c>
    </row>
    <row r="1498">
      <c r="A1498" s="30" t="inlineStr">
        <is>
          <t>P3 Energía</t>
        </is>
      </c>
      <c r="B1498" s="31">
        <f>IF($P$1496&lt;&gt;"",ROUND(AA1498*(($AB$1496/(1-$P$1496))-76.7622)/55.7214,2),IF('Resumen'!$D$3="OPTIMIZAR",AA1498,AA1498))</f>
        <v/>
      </c>
      <c r="C1498" s="44" t="n"/>
      <c r="D1498" s="33" t="n">
        <v>0.19081</v>
      </c>
      <c r="E1498" s="34" t="n">
        <v>0.14937</v>
      </c>
      <c r="F1498" s="35">
        <f>ROUND(B1498*E1498,2)</f>
        <v/>
      </c>
      <c r="H1498" s="36" t="n">
        <v>182.342</v>
      </c>
      <c r="I1498" s="37" t="n">
        <v>0.14937</v>
      </c>
      <c r="J1498" s="38">
        <f>ROUND(H1498*I1498,2)</f>
        <v/>
      </c>
      <c r="L1498" s="39" t="n">
        <v>141.451</v>
      </c>
      <c r="M1498" s="40" t="n">
        <v>0.14937</v>
      </c>
      <c r="N1498" s="41">
        <f>ROUND(L1498*M1498,2)</f>
        <v/>
      </c>
      <c r="O1498" s="46" t="inlineStr">
        <is>
          <t>en proporción para ese margen</t>
        </is>
      </c>
      <c r="AA1498" t="n">
        <v>139.927</v>
      </c>
    </row>
    <row r="1499">
      <c r="A1499" s="30" t="inlineStr">
        <is>
          <t>Alquiler contador</t>
        </is>
      </c>
      <c r="B1499" s="31" t="n">
        <v>1</v>
      </c>
      <c r="C1499" s="32">
        <f>$N$1491-$L$1491+1</f>
        <v/>
      </c>
      <c r="D1499" s="33" t="n">
        <v>1.3414</v>
      </c>
      <c r="E1499" s="34" t="n">
        <v>4</v>
      </c>
      <c r="F1499" s="35">
        <f>ROUND(B1499*E1499,2)</f>
        <v/>
      </c>
      <c r="H1499" s="36" t="n">
        <v>1</v>
      </c>
      <c r="I1499" s="37" t="n">
        <v>4</v>
      </c>
      <c r="J1499" s="38">
        <f>ROUND(H1499*I1499,2)</f>
        <v/>
      </c>
      <c r="L1499" s="39" t="n">
        <v>1</v>
      </c>
      <c r="M1499" s="40" t="n">
        <v>4</v>
      </c>
      <c r="N1499" s="41">
        <f>ROUND(L1499*M1499,2)</f>
        <v/>
      </c>
    </row>
    <row r="1500">
      <c r="A1500" s="30" t="inlineStr">
        <is>
          <t>Bono social</t>
        </is>
      </c>
      <c r="B1500" s="31" t="n">
        <v>30</v>
      </c>
      <c r="C1500" s="32">
        <f>$N$1491-$L$1491+1</f>
        <v/>
      </c>
      <c r="D1500" s="33" t="n">
        <v>0.5736</v>
      </c>
      <c r="E1500" s="34" t="n">
        <v>0.01274</v>
      </c>
      <c r="F1500" s="35">
        <f>ROUND(B1500*E1500,2)</f>
        <v/>
      </c>
      <c r="H1500" s="36" t="n">
        <v>30</v>
      </c>
      <c r="I1500" s="37" t="n">
        <v>0.01274</v>
      </c>
      <c r="J1500" s="38">
        <f>ROUND(H1500*I1500,2)</f>
        <v/>
      </c>
      <c r="L1500" s="39" t="n">
        <v>30</v>
      </c>
      <c r="M1500" s="40" t="n">
        <v>0.00629</v>
      </c>
      <c r="N1500" s="41">
        <f>ROUND(L1500*M1500,2)</f>
        <v/>
      </c>
    </row>
    <row r="1501">
      <c r="A1501" s="30" t="inlineStr">
        <is>
          <t>Tasa eléctrica</t>
        </is>
      </c>
      <c r="B1501" s="31" t="n">
        <v>6.78</v>
      </c>
      <c r="C1501" s="44" t="n"/>
      <c r="D1501" s="33" t="n">
        <v>0.2772</v>
      </c>
      <c r="E1501" s="34" t="n">
        <v>1</v>
      </c>
      <c r="F1501" s="35">
        <f>ROUND(B1501*E1501,2)</f>
        <v/>
      </c>
      <c r="H1501" s="36" t="n">
        <v>7.9</v>
      </c>
      <c r="I1501" s="37" t="n">
        <v>1</v>
      </c>
      <c r="J1501" s="38">
        <f>ROUND(H1501*I1501,2)</f>
        <v/>
      </c>
      <c r="L1501" s="39" t="n">
        <v>6.81</v>
      </c>
      <c r="M1501" s="40" t="n">
        <v>1</v>
      </c>
      <c r="N1501" s="41">
        <f>ROUND(L1501*M1501,2)</f>
        <v/>
      </c>
    </row>
    <row r="1502">
      <c r="A1502" s="47" t="inlineStr">
        <is>
          <t>TOTAL c/IVA</t>
        </is>
      </c>
      <c r="F1502" s="48">
        <f>ROUND((SUM(F1494:F1501)-F1501)*1.1+F1501,2)</f>
        <v/>
      </c>
      <c r="J1502" s="49">
        <f>ROUND(SUM(J1494:J1501),2)</f>
        <v/>
      </c>
      <c r="N1502" s="50">
        <f>ROUND(SUM(N1494:N1501),2)</f>
        <v/>
      </c>
    </row>
    <row r="1503">
      <c r="A1503" s="19" t="inlineStr">
        <is>
          <t>MARGEN sin registrar</t>
        </is>
      </c>
      <c r="B1503" s="51">
        <f>IF((F1497+F1494+F1496+F1498+F1495)=0,"",((F1497+F1494+F1496+F1498+F1495)-$AB$1496)/(F1497+F1494+F1496+F1498+F1495))</f>
        <v/>
      </c>
      <c r="D1503" s="52">
        <f>IF(B1503="","SIN PC",IF(B1503&gt;=0.3,"APROBAR",IF(B1503&gt;=0.2,"REVISAR","RECHAZAR")))</f>
        <v/>
      </c>
      <c r="E1503" s="53" t="n"/>
      <c r="F1503" s="54" t="n"/>
      <c r="AD1503">
        <f>SUM(F1496:F1498)-55.7214</f>
        <v/>
      </c>
    </row>
    <row r="1505">
      <c r="A1505" s="15" t="inlineStr">
        <is>
          <t>Factura 8681 · C02820 · FRANCISCO DANIEL GUIJARRO ORTEGA</t>
        </is>
      </c>
      <c r="H1505" s="15" t="inlineStr">
        <is>
          <t>ES0021000001191926MV · Iberdrola</t>
        </is>
      </c>
      <c r="L1505" s="16" t="n">
        <v>46113</v>
      </c>
      <c r="M1505" s="17" t="inlineStr">
        <is>
          <t>a</t>
        </is>
      </c>
      <c r="N1505" s="16" t="n">
        <v>46142</v>
      </c>
      <c r="R1505" s="18" t="inlineStr">
        <is>
          <t>HISTÓRICO DEL CUPS · HOJA TTVA LUZ</t>
        </is>
      </c>
    </row>
    <row r="1506">
      <c r="A1506" s="19" t="inlineStr">
        <is>
          <t>Concepto</t>
        </is>
      </c>
      <c r="B1506" s="20" t="inlineStr">
        <is>
          <t>PENDIENTE (sin registrar)</t>
        </is>
      </c>
      <c r="C1506" s="21" t="n"/>
      <c r="D1506" s="21" t="n"/>
      <c r="E1506" s="21" t="n"/>
      <c r="F1506" s="21" t="n"/>
      <c r="H1506" s="22" t="inlineStr">
        <is>
          <t>MES ANTERIOR · Fact.6363</t>
        </is>
      </c>
      <c r="I1506" s="23" t="n"/>
      <c r="J1506" s="23" t="n"/>
      <c r="L1506" s="24" t="inlineStr">
        <is>
          <t>AÑO ANTERIOR · (sin dato)</t>
        </is>
      </c>
      <c r="M1506" s="25" t="n"/>
      <c r="N1506" s="25" t="n"/>
      <c r="R1506" s="26" t="inlineStr">
        <is>
          <t>Cobrado total: 1 €</t>
        </is>
      </c>
    </row>
    <row r="1507">
      <c r="B1507" s="7" t="inlineStr">
        <is>
          <t>Cant</t>
        </is>
      </c>
      <c r="C1507" s="7" t="inlineStr">
        <is>
          <t>Días</t>
        </is>
      </c>
      <c r="D1507" s="7" t="inlineStr">
        <is>
          <t>PC real</t>
        </is>
      </c>
      <c r="E1507" s="7" t="inlineStr">
        <is>
          <t>PV</t>
        </is>
      </c>
      <c r="F1507" s="7" t="inlineStr">
        <is>
          <t>Importe</t>
        </is>
      </c>
      <c r="H1507" s="27" t="inlineStr">
        <is>
          <t>Cant</t>
        </is>
      </c>
      <c r="I1507" s="27" t="inlineStr">
        <is>
          <t>PV</t>
        </is>
      </c>
      <c r="J1507" s="27" t="inlineStr">
        <is>
          <t>Importe</t>
        </is>
      </c>
      <c r="L1507" s="28" t="inlineStr">
        <is>
          <t>Cant</t>
        </is>
      </c>
      <c r="M1507" s="28" t="inlineStr">
        <is>
          <t>PV</t>
        </is>
      </c>
      <c r="N1507" s="28" t="inlineStr">
        <is>
          <t>Importe</t>
        </is>
      </c>
      <c r="R1507" s="29" t="inlineStr">
        <is>
          <t>Pagado total: 0 €</t>
        </is>
      </c>
    </row>
    <row r="1508">
      <c r="A1508" s="30" t="inlineStr">
        <is>
          <t>P1 Potencia</t>
        </is>
      </c>
      <c r="B1508" s="31" t="n">
        <v>5.5</v>
      </c>
      <c r="C1508" s="32">
        <f>$N$1505-$L$1505+1</f>
        <v/>
      </c>
      <c r="D1508" s="33" t="n">
        <v>3.40863</v>
      </c>
      <c r="E1508" s="34" t="n">
        <v>4.17</v>
      </c>
      <c r="F1508" s="35">
        <f>ROUND(B1508*E1508,2)</f>
        <v/>
      </c>
      <c r="H1508" s="36" t="n">
        <v>5.5</v>
      </c>
      <c r="I1508" s="37" t="n">
        <v>4.17</v>
      </c>
      <c r="J1508" s="38">
        <f>ROUND(H1508*I1508,2)</f>
        <v/>
      </c>
      <c r="L1508" s="65" t="n"/>
      <c r="M1508" s="65" t="n"/>
      <c r="N1508" s="65" t="n"/>
      <c r="R1508" s="42" t="inlineStr">
        <is>
          <t>DIF: 1 €   ·   Margen hist.: 100.0%</t>
        </is>
      </c>
    </row>
    <row r="1509">
      <c r="A1509" s="30" t="inlineStr">
        <is>
          <t>P2 Potencia</t>
        </is>
      </c>
      <c r="B1509" s="31" t="n">
        <v>5.5</v>
      </c>
      <c r="C1509" s="32">
        <f>$N$1505-$L$1505+1</f>
        <v/>
      </c>
      <c r="D1509" s="33" t="n">
        <v>1.44069</v>
      </c>
      <c r="E1509" s="34" t="n">
        <v>1.37</v>
      </c>
      <c r="F1509" s="35">
        <f>ROUND(B1509*E1509,2)</f>
        <v/>
      </c>
      <c r="H1509" s="36" t="n">
        <v>5.5</v>
      </c>
      <c r="I1509" s="37" t="n">
        <v>1.37</v>
      </c>
      <c r="J1509" s="38">
        <f>ROUND(H1509*I1509,2)</f>
        <v/>
      </c>
      <c r="L1509" s="65" t="n"/>
      <c r="M1509" s="65" t="n"/>
      <c r="N1509" s="65" t="n"/>
    </row>
    <row r="1510">
      <c r="A1510" s="30" t="inlineStr">
        <is>
          <t>P1 Energía</t>
        </is>
      </c>
      <c r="B1510" s="31">
        <f>IF($P$1510&lt;&gt;"",ROUND(AA1510*(($AB$1510/(1-$P$1510))-30.4700)/56.2545,2),IF('Resumen'!$D$3="OPTIMIZAR",AA1510,AA1510))</f>
        <v/>
      </c>
      <c r="C1510" s="44" t="n"/>
      <c r="D1510" s="33" t="n">
        <v>0.18051</v>
      </c>
      <c r="E1510" s="34" t="n">
        <v>0.14937</v>
      </c>
      <c r="F1510" s="35">
        <f>ROUND(B1510*E1510,2)</f>
        <v/>
      </c>
      <c r="H1510" s="36" t="n">
        <v>173.788</v>
      </c>
      <c r="I1510" s="37" t="n">
        <v>0.14937</v>
      </c>
      <c r="J1510" s="38">
        <f>ROUND(H1510*I1510,2)</f>
        <v/>
      </c>
      <c r="L1510" s="65" t="n"/>
      <c r="M1510" s="65" t="n"/>
      <c r="N1510" s="65" t="n"/>
      <c r="O1510" s="45" t="inlineStr">
        <is>
          <t>Margen objetivo (edita % aquí) ▶</t>
        </is>
      </c>
      <c r="P1510" s="5" t="n"/>
      <c r="AA1510" t="n">
        <v>107.426</v>
      </c>
      <c r="AB1510">
        <f>B1508*D1508+B1509*D1509+AA1510*D1510+AA1511*D1511+AA1512*D1512</f>
        <v/>
      </c>
    </row>
    <row r="1511">
      <c r="A1511" s="30" t="inlineStr">
        <is>
          <t>P2 Energía</t>
        </is>
      </c>
      <c r="B1511" s="31">
        <f>IF($P$1510&lt;&gt;"",ROUND(AA1511*(($AB$1510/(1-$P$1510))-30.4700)/56.2545,2),IF('Resumen'!$D$3="OPTIMIZAR",AA1511,AA1511))</f>
        <v/>
      </c>
      <c r="C1511" s="44" t="n"/>
      <c r="D1511" s="33" t="n">
        <v>0.18051</v>
      </c>
      <c r="E1511" s="34" t="n">
        <v>0.14937</v>
      </c>
      <c r="F1511" s="35">
        <f>ROUND(B1511*E1511,2)</f>
        <v/>
      </c>
      <c r="H1511" s="36" t="n">
        <v>142.743</v>
      </c>
      <c r="I1511" s="37" t="n">
        <v>0.14937</v>
      </c>
      <c r="J1511" s="38">
        <f>ROUND(H1511*I1511,2)</f>
        <v/>
      </c>
      <c r="L1511" s="65" t="n"/>
      <c r="M1511" s="65" t="n"/>
      <c r="N1511" s="65" t="n"/>
      <c r="O1511" s="46" t="inlineStr">
        <is>
          <t>Cant. P1/P2/P3 energía suben</t>
        </is>
      </c>
      <c r="R1511" s="43" t="inlineStr">
        <is>
          <t>Importe mensual cobrado (€) · 24 meses ▾</t>
        </is>
      </c>
      <c r="AA1511" t="n">
        <v>73.148</v>
      </c>
    </row>
    <row r="1512">
      <c r="A1512" s="30" t="inlineStr">
        <is>
          <t>P3 Energía</t>
        </is>
      </c>
      <c r="B1512" s="31">
        <f>IF($P$1510&lt;&gt;"",ROUND(AA1512*(($AB$1510/(1-$P$1510))-30.4700)/56.2545,2),IF('Resumen'!$D$3="OPTIMIZAR",AA1512,AA1512))</f>
        <v/>
      </c>
      <c r="C1512" s="44" t="n"/>
      <c r="D1512" s="33" t="n">
        <v>0.18051</v>
      </c>
      <c r="E1512" s="34" t="n">
        <v>0.14937</v>
      </c>
      <c r="F1512" s="35">
        <f>ROUND(B1512*E1512,2)</f>
        <v/>
      </c>
      <c r="H1512" s="36" t="n">
        <v>279.845</v>
      </c>
      <c r="I1512" s="37" t="n">
        <v>0.14937</v>
      </c>
      <c r="J1512" s="38">
        <f>ROUND(H1512*I1512,2)</f>
        <v/>
      </c>
      <c r="L1512" s="65" t="n"/>
      <c r="M1512" s="65" t="n"/>
      <c r="N1512" s="65" t="n"/>
      <c r="O1512" s="46" t="inlineStr">
        <is>
          <t>en proporción para ese margen</t>
        </is>
      </c>
      <c r="AA1512" t="n">
        <v>196.038</v>
      </c>
    </row>
    <row r="1513">
      <c r="A1513" s="30" t="inlineStr">
        <is>
          <t>Alquiler contador</t>
        </is>
      </c>
      <c r="B1513" s="31" t="n">
        <v>1</v>
      </c>
      <c r="C1513" s="32">
        <f>$N$1505-$L$1505+1</f>
        <v/>
      </c>
      <c r="D1513" s="33" t="n">
        <v>0.7989000000000001</v>
      </c>
      <c r="E1513" s="34" t="n">
        <v>4</v>
      </c>
      <c r="F1513" s="35">
        <f>ROUND(B1513*E1513,2)</f>
        <v/>
      </c>
      <c r="H1513" s="36" t="n">
        <v>1</v>
      </c>
      <c r="I1513" s="37" t="n">
        <v>4</v>
      </c>
      <c r="J1513" s="38">
        <f>ROUND(H1513*I1513,2)</f>
        <v/>
      </c>
      <c r="L1513" s="65" t="n"/>
      <c r="M1513" s="65" t="n"/>
      <c r="N1513" s="65" t="n"/>
    </row>
    <row r="1514">
      <c r="A1514" s="30" t="inlineStr">
        <is>
          <t>Bono social</t>
        </is>
      </c>
      <c r="B1514" s="31" t="n">
        <v>30</v>
      </c>
      <c r="C1514" s="32">
        <f>$N$1505-$L$1505+1</f>
        <v/>
      </c>
      <c r="D1514" s="33" t="n">
        <v>0.5736</v>
      </c>
      <c r="E1514" s="34" t="n">
        <v>0.01274</v>
      </c>
      <c r="F1514" s="35">
        <f>ROUND(B1514*E1514,2)</f>
        <v/>
      </c>
      <c r="H1514" s="36" t="n">
        <v>30</v>
      </c>
      <c r="I1514" s="37" t="n">
        <v>0.01274</v>
      </c>
      <c r="J1514" s="38">
        <f>ROUND(H1514*I1514,2)</f>
        <v/>
      </c>
      <c r="L1514" s="65" t="n"/>
      <c r="M1514" s="65" t="n"/>
      <c r="N1514" s="65" t="n"/>
    </row>
    <row r="1515">
      <c r="A1515" s="30" t="inlineStr">
        <is>
          <t>Tasa eléctrica</t>
        </is>
      </c>
      <c r="B1515" s="31" t="n">
        <v>4.44</v>
      </c>
      <c r="C1515" s="44" t="n"/>
      <c r="D1515" s="33" t="n">
        <v>0.27562</v>
      </c>
      <c r="E1515" s="34" t="n">
        <v>1</v>
      </c>
      <c r="F1515" s="35">
        <f>ROUND(B1515*E1515,2)</f>
        <v/>
      </c>
      <c r="H1515" s="36" t="n">
        <v>6.12</v>
      </c>
      <c r="I1515" s="37" t="n">
        <v>1</v>
      </c>
      <c r="J1515" s="38">
        <f>ROUND(H1515*I1515,2)</f>
        <v/>
      </c>
      <c r="L1515" s="65" t="n"/>
      <c r="M1515" s="65" t="n"/>
      <c r="N1515" s="65" t="n"/>
    </row>
    <row r="1516">
      <c r="A1516" s="47" t="inlineStr">
        <is>
          <t>TOTAL c/IVA</t>
        </is>
      </c>
      <c r="F1516" s="48">
        <f>ROUND((SUM(F1508:F1515)-F1515)*1.1+F1515,2)</f>
        <v/>
      </c>
      <c r="J1516" s="49">
        <f>ROUND(SUM(J1508:J1515),2)</f>
        <v/>
      </c>
      <c r="N1516" s="66" t="n"/>
    </row>
    <row r="1517">
      <c r="A1517" s="19" t="inlineStr">
        <is>
          <t>MARGEN sin registrar</t>
        </is>
      </c>
      <c r="B1517" s="51">
        <f>IF((F1511+F1508+F1510+F1512+F1509)=0,"",((F1511+F1508+F1510+F1512+F1509)-$AB$1510)/(F1511+F1508+F1510+F1512+F1509))</f>
        <v/>
      </c>
      <c r="D1517" s="52">
        <f>IF(B1517="","SIN PC",IF(B1517&gt;=0.3,"APROBAR",IF(B1517&gt;=0.2,"REVISAR","RECHAZAR")))</f>
        <v/>
      </c>
      <c r="E1517" s="53" t="n"/>
      <c r="F1517" s="54" t="n"/>
      <c r="AD1517">
        <f>SUM(F1510:F1512)-56.2545</f>
        <v/>
      </c>
    </row>
    <row r="1519">
      <c r="A1519" s="15" t="inlineStr">
        <is>
          <t>Factura 8682 · C02840 · VICENTE BAS ALENTADO</t>
        </is>
      </c>
      <c r="H1519" s="15" t="inlineStr">
        <is>
          <t>ES0021000015284291CY · Naturgy</t>
        </is>
      </c>
      <c r="L1519" s="16" t="n">
        <v>46113</v>
      </c>
      <c r="M1519" s="17" t="inlineStr">
        <is>
          <t>a</t>
        </is>
      </c>
      <c r="N1519" s="16" t="n">
        <v>46142</v>
      </c>
      <c r="R1519" s="18" t="inlineStr">
        <is>
          <t>HISTÓRICO DEL CUPS · HOJA TTVA LUZ</t>
        </is>
      </c>
    </row>
    <row r="1520">
      <c r="A1520" s="19" t="inlineStr">
        <is>
          <t>Concepto</t>
        </is>
      </c>
      <c r="B1520" s="20" t="inlineStr">
        <is>
          <t>PENDIENTE (sin registrar)</t>
        </is>
      </c>
      <c r="C1520" s="21" t="n"/>
      <c r="D1520" s="21" t="n"/>
      <c r="E1520" s="21" t="n"/>
      <c r="F1520" s="21" t="n"/>
      <c r="H1520" s="22" t="inlineStr">
        <is>
          <t>MES ANTERIOR · Fact.6362</t>
        </is>
      </c>
      <c r="I1520" s="23" t="n"/>
      <c r="J1520" s="23" t="n"/>
      <c r="L1520" s="24" t="inlineStr">
        <is>
          <t>AÑO ANTERIOR · Fact.4548</t>
        </is>
      </c>
      <c r="M1520" s="25" t="n"/>
      <c r="N1520" s="25" t="n"/>
      <c r="R1520" s="26" t="inlineStr">
        <is>
          <t>Cobrado total: 3 €</t>
        </is>
      </c>
    </row>
    <row r="1521">
      <c r="B1521" s="7" t="inlineStr">
        <is>
          <t>Cant</t>
        </is>
      </c>
      <c r="C1521" s="7" t="inlineStr">
        <is>
          <t>Días</t>
        </is>
      </c>
      <c r="D1521" s="7" t="inlineStr">
        <is>
          <t>PC real</t>
        </is>
      </c>
      <c r="E1521" s="7" t="inlineStr">
        <is>
          <t>PV</t>
        </is>
      </c>
      <c r="F1521" s="7" t="inlineStr">
        <is>
          <t>Importe</t>
        </is>
      </c>
      <c r="H1521" s="27" t="inlineStr">
        <is>
          <t>Cant</t>
        </is>
      </c>
      <c r="I1521" s="27" t="inlineStr">
        <is>
          <t>PV</t>
        </is>
      </c>
      <c r="J1521" s="27" t="inlineStr">
        <is>
          <t>Importe</t>
        </is>
      </c>
      <c r="L1521" s="28" t="inlineStr">
        <is>
          <t>Cant</t>
        </is>
      </c>
      <c r="M1521" s="28" t="inlineStr">
        <is>
          <t>PV</t>
        </is>
      </c>
      <c r="N1521" s="28" t="inlineStr">
        <is>
          <t>Importe</t>
        </is>
      </c>
      <c r="R1521" s="29" t="inlineStr">
        <is>
          <t>Pagado total: 0 €</t>
        </is>
      </c>
    </row>
    <row r="1522">
      <c r="A1522" s="30" t="inlineStr">
        <is>
          <t>P1 Potencia</t>
        </is>
      </c>
      <c r="B1522" s="31" t="n">
        <v>5.75</v>
      </c>
      <c r="C1522" s="32">
        <f>$N$1519-$L$1519+1</f>
        <v/>
      </c>
      <c r="D1522" s="33" t="n">
        <v>3.68919</v>
      </c>
      <c r="E1522" s="34" t="n">
        <v>4.17</v>
      </c>
      <c r="F1522" s="35">
        <f>ROUND(B1522*E1522,2)</f>
        <v/>
      </c>
      <c r="H1522" s="36" t="n">
        <v>5.75</v>
      </c>
      <c r="I1522" s="37" t="n">
        <v>4.17</v>
      </c>
      <c r="J1522" s="38">
        <f>ROUND(H1522*I1522,2)</f>
        <v/>
      </c>
      <c r="L1522" s="39" t="n">
        <v>5.75</v>
      </c>
      <c r="M1522" s="40" t="n">
        <v>4.17</v>
      </c>
      <c r="N1522" s="41">
        <f>ROUND(L1522*M1522,2)</f>
        <v/>
      </c>
      <c r="R1522" s="42" t="inlineStr">
        <is>
          <t>DIF: 3 €   ·   Margen hist.: 100.0%</t>
        </is>
      </c>
    </row>
    <row r="1523">
      <c r="A1523" s="30" t="inlineStr">
        <is>
          <t>P2 Potencia</t>
        </is>
      </c>
      <c r="B1523" s="31" t="n">
        <v>5.75</v>
      </c>
      <c r="C1523" s="32">
        <f>$N$1519-$L$1519+1</f>
        <v/>
      </c>
      <c r="D1523" s="33" t="n">
        <v>1.31928</v>
      </c>
      <c r="E1523" s="34" t="n">
        <v>1.37</v>
      </c>
      <c r="F1523" s="35">
        <f>ROUND(B1523*E1523,2)</f>
        <v/>
      </c>
      <c r="H1523" s="36" t="n">
        <v>5.75</v>
      </c>
      <c r="I1523" s="37" t="n">
        <v>1.37</v>
      </c>
      <c r="J1523" s="38">
        <f>ROUND(H1523*I1523,2)</f>
        <v/>
      </c>
      <c r="L1523" s="39" t="n">
        <v>5.75</v>
      </c>
      <c r="M1523" s="40" t="n">
        <v>1.37</v>
      </c>
      <c r="N1523" s="41">
        <f>ROUND(L1523*M1523,2)</f>
        <v/>
      </c>
    </row>
    <row r="1524">
      <c r="A1524" s="30" t="inlineStr">
        <is>
          <t>P1 Energía</t>
        </is>
      </c>
      <c r="B1524" s="31">
        <f>IF($P$1524&lt;&gt;"",ROUND(AA1524*(($AB$1524/(1-$P$1524))-31.8550)/47.8952,2),IF('Resumen'!$D$3="OPTIMIZAR",AA1524,AA1524))</f>
        <v/>
      </c>
      <c r="C1524" s="44" t="n"/>
      <c r="D1524" s="33" t="n">
        <v>0.111171</v>
      </c>
      <c r="E1524" s="34" t="n">
        <v>0.14937</v>
      </c>
      <c r="F1524" s="35">
        <f>ROUND(B1524*E1524,2)</f>
        <v/>
      </c>
      <c r="H1524" s="36" t="n">
        <v>159.088</v>
      </c>
      <c r="I1524" s="37" t="n">
        <v>0.14937</v>
      </c>
      <c r="J1524" s="38">
        <f>ROUND(H1524*I1524,2)</f>
        <v/>
      </c>
      <c r="L1524" s="39" t="n">
        <v>92.807</v>
      </c>
      <c r="M1524" s="40" t="n">
        <v>0.14937</v>
      </c>
      <c r="N1524" s="41">
        <f>ROUND(L1524*M1524,2)</f>
        <v/>
      </c>
      <c r="O1524" s="45" t="inlineStr">
        <is>
          <t>Margen objetivo (edita % aquí) ▶</t>
        </is>
      </c>
      <c r="P1524" s="5" t="n"/>
      <c r="AA1524" t="n">
        <v>108.472</v>
      </c>
      <c r="AB1524">
        <f>B1522*D1522+B1523*D1523+AA1524*D1524+AA1525*D1525+AA1526*D1526</f>
        <v/>
      </c>
    </row>
    <row r="1525">
      <c r="A1525" s="30" t="inlineStr">
        <is>
          <t>P2 Energía</t>
        </is>
      </c>
      <c r="B1525" s="31">
        <f>IF($P$1524&lt;&gt;"",ROUND(AA1525*(($AB$1524/(1-$P$1524))-31.8550)/47.8952,2),IF('Resumen'!$D$3="OPTIMIZAR",AA1525,AA1525))</f>
        <v/>
      </c>
      <c r="C1525" s="44" t="n"/>
      <c r="D1525" s="33" t="n">
        <v>0.111171</v>
      </c>
      <c r="E1525" s="34" t="n">
        <v>0.14937</v>
      </c>
      <c r="F1525" s="35">
        <f>ROUND(B1525*E1525,2)</f>
        <v/>
      </c>
      <c r="H1525" s="36" t="n">
        <v>125.792</v>
      </c>
      <c r="I1525" s="37" t="n">
        <v>0.14937</v>
      </c>
      <c r="J1525" s="38">
        <f>ROUND(H1525*I1525,2)</f>
        <v/>
      </c>
      <c r="L1525" s="39" t="n">
        <v>73.801</v>
      </c>
      <c r="M1525" s="40" t="n">
        <v>0.14937</v>
      </c>
      <c r="N1525" s="41">
        <f>ROUND(L1525*M1525,2)</f>
        <v/>
      </c>
      <c r="O1525" s="46" t="inlineStr">
        <is>
          <t>Cant. P1/P2/P3 energía suben</t>
        </is>
      </c>
      <c r="R1525" s="43" t="inlineStr">
        <is>
          <t>Importe mensual cobrado (€) · 24 meses ▾</t>
        </is>
      </c>
      <c r="AA1525" t="n">
        <v>82.25</v>
      </c>
    </row>
    <row r="1526">
      <c r="A1526" s="30" t="inlineStr">
        <is>
          <t>P3 Energía</t>
        </is>
      </c>
      <c r="B1526" s="31">
        <f>IF($P$1524&lt;&gt;"",ROUND(AA1526*(($AB$1524/(1-$P$1524))-31.8550)/47.8952,2),IF('Resumen'!$D$3="OPTIMIZAR",AA1526,AA1526))</f>
        <v/>
      </c>
      <c r="C1526" s="44" t="n"/>
      <c r="D1526" s="33" t="n">
        <v>0.111171</v>
      </c>
      <c r="E1526" s="34" t="n">
        <v>0.14937</v>
      </c>
      <c r="F1526" s="35">
        <f>ROUND(B1526*E1526,2)</f>
        <v/>
      </c>
      <c r="H1526" s="36" t="n">
        <v>169.145</v>
      </c>
      <c r="I1526" s="37" t="n">
        <v>0.14937</v>
      </c>
      <c r="J1526" s="38">
        <f>ROUND(H1526*I1526,2)</f>
        <v/>
      </c>
      <c r="L1526" s="39" t="n">
        <v>139.831</v>
      </c>
      <c r="M1526" s="40" t="n">
        <v>0.14937</v>
      </c>
      <c r="N1526" s="41">
        <f>ROUND(L1526*M1526,2)</f>
        <v/>
      </c>
      <c r="O1526" s="46" t="inlineStr">
        <is>
          <t>en proporción para ese margen</t>
        </is>
      </c>
      <c r="AA1526" t="n">
        <v>129.926</v>
      </c>
    </row>
    <row r="1527">
      <c r="A1527" s="30" t="inlineStr">
        <is>
          <t>Alquiler contador</t>
        </is>
      </c>
      <c r="B1527" s="31" t="n">
        <v>1</v>
      </c>
      <c r="C1527" s="32">
        <f>$N$1519-$L$1519+1</f>
        <v/>
      </c>
      <c r="D1527" s="33" t="n">
        <v>0.7989000000000001</v>
      </c>
      <c r="E1527" s="34" t="n">
        <v>4</v>
      </c>
      <c r="F1527" s="35">
        <f>ROUND(B1527*E1527,2)</f>
        <v/>
      </c>
      <c r="H1527" s="36" t="n">
        <v>1</v>
      </c>
      <c r="I1527" s="37" t="n">
        <v>4</v>
      </c>
      <c r="J1527" s="38">
        <f>ROUND(H1527*I1527,2)</f>
        <v/>
      </c>
      <c r="L1527" s="39" t="n">
        <v>1</v>
      </c>
      <c r="M1527" s="40" t="n">
        <v>4</v>
      </c>
      <c r="N1527" s="41">
        <f>ROUND(L1527*M1527,2)</f>
        <v/>
      </c>
    </row>
    <row r="1528">
      <c r="A1528" s="30" t="inlineStr">
        <is>
          <t>Bono social</t>
        </is>
      </c>
      <c r="B1528" s="31" t="n">
        <v>30</v>
      </c>
      <c r="C1528" s="32">
        <f>$N$1519-$L$1519+1</f>
        <v/>
      </c>
      <c r="D1528" s="33" t="n">
        <v>0.5736</v>
      </c>
      <c r="E1528" s="34" t="n">
        <v>0.01274</v>
      </c>
      <c r="F1528" s="35">
        <f>ROUND(B1528*E1528,2)</f>
        <v/>
      </c>
      <c r="H1528" s="36" t="n">
        <v>30</v>
      </c>
      <c r="I1528" s="37" t="n">
        <v>0.01274</v>
      </c>
      <c r="J1528" s="38">
        <f>ROUND(H1528*I1528,2)</f>
        <v/>
      </c>
      <c r="L1528" s="39" t="n">
        <v>30</v>
      </c>
      <c r="M1528" s="40" t="n">
        <v>0.00629</v>
      </c>
      <c r="N1528" s="41">
        <f>ROUND(L1528*M1528,2)</f>
        <v/>
      </c>
    </row>
    <row r="1529">
      <c r="A1529" s="30" t="inlineStr">
        <is>
          <t>Tasa eléctrica</t>
        </is>
      </c>
      <c r="B1529" s="31" t="n">
        <v>4.09</v>
      </c>
      <c r="C1529" s="44" t="n"/>
      <c r="D1529" s="33" t="n">
        <v>0.27312</v>
      </c>
      <c r="E1529" s="34" t="n">
        <v>1</v>
      </c>
      <c r="F1529" s="35">
        <f>ROUND(B1529*E1529,2)</f>
        <v/>
      </c>
      <c r="H1529" s="36" t="n">
        <v>5.1</v>
      </c>
      <c r="I1529" s="37" t="n">
        <v>1</v>
      </c>
      <c r="J1529" s="38">
        <f>ROUND(H1529*I1529,2)</f>
        <v/>
      </c>
      <c r="L1529" s="39" t="n">
        <v>3.98</v>
      </c>
      <c r="M1529" s="40" t="n">
        <v>1</v>
      </c>
      <c r="N1529" s="41">
        <f>ROUND(L1529*M1529,2)</f>
        <v/>
      </c>
    </row>
    <row r="1530">
      <c r="A1530" s="47" t="inlineStr">
        <is>
          <t>TOTAL c/IVA</t>
        </is>
      </c>
      <c r="F1530" s="48">
        <f>ROUND((SUM(F1522:F1529)-F1529)*1.1+F1529,2)</f>
        <v/>
      </c>
      <c r="J1530" s="49">
        <f>ROUND(SUM(J1522:J1529),2)</f>
        <v/>
      </c>
      <c r="N1530" s="50">
        <f>ROUND(SUM(N1522:N1529),2)</f>
        <v/>
      </c>
    </row>
    <row r="1531">
      <c r="A1531" s="19" t="inlineStr">
        <is>
          <t>MARGEN sin registrar</t>
        </is>
      </c>
      <c r="B1531" s="51">
        <f>IF((F1525+F1522+F1524+F1526+F1523)=0,"",((F1525+F1522+F1524+F1526+F1523)-$AB$1524)/(F1525+F1522+F1524+F1526+F1523))</f>
        <v/>
      </c>
      <c r="D1531" s="52">
        <f>IF(B1531="","SIN PC",IF(B1531&gt;=0.3,"APROBAR",IF(B1531&gt;=0.2,"REVISAR","RECHAZAR")))</f>
        <v/>
      </c>
      <c r="E1531" s="53" t="n"/>
      <c r="F1531" s="54" t="n"/>
      <c r="AD1531">
        <f>SUM(F1524:F1526)-47.8952</f>
        <v/>
      </c>
    </row>
    <row r="1533">
      <c r="A1533" s="15" t="inlineStr">
        <is>
          <t>Factura 8683 · C02860 · SALVADOR TORRES BISQUERT</t>
        </is>
      </c>
      <c r="H1533" s="15" t="inlineStr">
        <is>
          <t>ES0021000001201668SF · Naturgy</t>
        </is>
      </c>
      <c r="L1533" s="16" t="n">
        <v>46113</v>
      </c>
      <c r="M1533" s="17" t="inlineStr">
        <is>
          <t>a</t>
        </is>
      </c>
      <c r="N1533" s="16" t="n">
        <v>46142</v>
      </c>
      <c r="R1533" s="18" t="inlineStr">
        <is>
          <t>HISTÓRICO DEL CUPS · HOJA TTVA LUZ</t>
        </is>
      </c>
    </row>
    <row r="1534">
      <c r="A1534" s="19" t="inlineStr">
        <is>
          <t>Concepto</t>
        </is>
      </c>
      <c r="B1534" s="20" t="inlineStr">
        <is>
          <t>PENDIENTE (sin registrar)</t>
        </is>
      </c>
      <c r="C1534" s="21" t="n"/>
      <c r="D1534" s="21" t="n"/>
      <c r="E1534" s="21" t="n"/>
      <c r="F1534" s="21" t="n"/>
      <c r="H1534" s="22" t="inlineStr">
        <is>
          <t>MES ANTERIOR · Fact.6361</t>
        </is>
      </c>
      <c r="I1534" s="23" t="n"/>
      <c r="J1534" s="23" t="n"/>
      <c r="L1534" s="24" t="inlineStr">
        <is>
          <t>AÑO ANTERIOR · Fact.4547</t>
        </is>
      </c>
      <c r="M1534" s="25" t="n"/>
      <c r="N1534" s="25" t="n"/>
      <c r="R1534" s="26" t="inlineStr">
        <is>
          <t>Cobrado total: 4 €</t>
        </is>
      </c>
    </row>
    <row r="1535">
      <c r="B1535" s="7" t="inlineStr">
        <is>
          <t>Cant</t>
        </is>
      </c>
      <c r="C1535" s="7" t="inlineStr">
        <is>
          <t>Días</t>
        </is>
      </c>
      <c r="D1535" s="7" t="inlineStr">
        <is>
          <t>PC real</t>
        </is>
      </c>
      <c r="E1535" s="7" t="inlineStr">
        <is>
          <t>PV</t>
        </is>
      </c>
      <c r="F1535" s="7" t="inlineStr">
        <is>
          <t>Importe</t>
        </is>
      </c>
      <c r="H1535" s="27" t="inlineStr">
        <is>
          <t>Cant</t>
        </is>
      </c>
      <c r="I1535" s="27" t="inlineStr">
        <is>
          <t>PV</t>
        </is>
      </c>
      <c r="J1535" s="27" t="inlineStr">
        <is>
          <t>Importe</t>
        </is>
      </c>
      <c r="L1535" s="28" t="inlineStr">
        <is>
          <t>Cant</t>
        </is>
      </c>
      <c r="M1535" s="28" t="inlineStr">
        <is>
          <t>PV</t>
        </is>
      </c>
      <c r="N1535" s="28" t="inlineStr">
        <is>
          <t>Importe</t>
        </is>
      </c>
      <c r="R1535" s="29" t="inlineStr">
        <is>
          <t>Pagado total: 0 €</t>
        </is>
      </c>
    </row>
    <row r="1536">
      <c r="A1536" s="30" t="inlineStr">
        <is>
          <t>P1 Potencia</t>
        </is>
      </c>
      <c r="B1536" s="31" t="n">
        <v>5.5</v>
      </c>
      <c r="C1536" s="32">
        <f>$N$1533-$L$1533+1</f>
        <v/>
      </c>
      <c r="D1536" s="33" t="n">
        <v>3.68919</v>
      </c>
      <c r="E1536" s="34" t="n">
        <v>4.17</v>
      </c>
      <c r="F1536" s="35">
        <f>ROUND(B1536*E1536,2)</f>
        <v/>
      </c>
      <c r="H1536" s="36" t="n">
        <v>5.5</v>
      </c>
      <c r="I1536" s="37" t="n">
        <v>4.17</v>
      </c>
      <c r="J1536" s="38">
        <f>ROUND(H1536*I1536,2)</f>
        <v/>
      </c>
      <c r="L1536" s="39" t="n">
        <v>5.5</v>
      </c>
      <c r="M1536" s="40" t="n">
        <v>4.17</v>
      </c>
      <c r="N1536" s="41">
        <f>ROUND(L1536*M1536,2)</f>
        <v/>
      </c>
      <c r="R1536" s="42" t="inlineStr">
        <is>
          <t>DIF: 4 €   ·   Margen hist.: 100.0%</t>
        </is>
      </c>
    </row>
    <row r="1537">
      <c r="A1537" s="30" t="inlineStr">
        <is>
          <t>P2 Potencia</t>
        </is>
      </c>
      <c r="B1537" s="31" t="n">
        <v>5.5</v>
      </c>
      <c r="C1537" s="32">
        <f>$N$1533-$L$1533+1</f>
        <v/>
      </c>
      <c r="D1537" s="33" t="n">
        <v>1.31928</v>
      </c>
      <c r="E1537" s="34" t="n">
        <v>1.37</v>
      </c>
      <c r="F1537" s="35">
        <f>ROUND(B1537*E1537,2)</f>
        <v/>
      </c>
      <c r="H1537" s="36" t="n">
        <v>5.5</v>
      </c>
      <c r="I1537" s="37" t="n">
        <v>1.37</v>
      </c>
      <c r="J1537" s="38">
        <f>ROUND(H1537*I1537,2)</f>
        <v/>
      </c>
      <c r="L1537" s="39" t="n">
        <v>5.5</v>
      </c>
      <c r="M1537" s="40" t="n">
        <v>1.37</v>
      </c>
      <c r="N1537" s="41">
        <f>ROUND(L1537*M1537,2)</f>
        <v/>
      </c>
    </row>
    <row r="1538">
      <c r="A1538" s="30" t="inlineStr">
        <is>
          <t>P1 Energía</t>
        </is>
      </c>
      <c r="B1538" s="31">
        <f>IF($P$1538&lt;&gt;"",ROUND(AA1538*(($AB$1538/(1-$P$1538))-30.4700)/75.4650,2),IF('Resumen'!$D$3="OPTIMIZAR",AA1538,AA1538))</f>
        <v/>
      </c>
      <c r="C1538" s="44" t="n"/>
      <c r="D1538" s="33" t="n">
        <v>0.111171</v>
      </c>
      <c r="E1538" s="34" t="n">
        <v>0.14937</v>
      </c>
      <c r="F1538" s="35">
        <f>ROUND(B1538*E1538,2)</f>
        <v/>
      </c>
      <c r="H1538" s="36" t="n">
        <v>164.276</v>
      </c>
      <c r="I1538" s="37" t="n">
        <v>0.14937</v>
      </c>
      <c r="J1538" s="38">
        <f>ROUND(H1538*I1538,2)</f>
        <v/>
      </c>
      <c r="L1538" s="39" t="n">
        <v>197.784</v>
      </c>
      <c r="M1538" s="40" t="n">
        <v>0.14937</v>
      </c>
      <c r="N1538" s="41">
        <f>ROUND(L1538*M1538,2)</f>
        <v/>
      </c>
      <c r="O1538" s="45" t="inlineStr">
        <is>
          <t>Margen objetivo (edita % aquí) ▶</t>
        </is>
      </c>
      <c r="P1538" s="5" t="n"/>
      <c r="AA1538" t="n">
        <v>136.183</v>
      </c>
      <c r="AB1538">
        <f>B1536*D1536+B1537*D1537+AA1538*D1538+AA1539*D1539+AA1540*D1540</f>
        <v/>
      </c>
    </row>
    <row r="1539">
      <c r="A1539" s="30" t="inlineStr">
        <is>
          <t>P2 Energía</t>
        </is>
      </c>
      <c r="B1539" s="31">
        <f>IF($P$1538&lt;&gt;"",ROUND(AA1539*(($AB$1538/(1-$P$1538))-30.4700)/75.4650,2),IF('Resumen'!$D$3="OPTIMIZAR",AA1539,AA1539))</f>
        <v/>
      </c>
      <c r="C1539" s="44" t="n"/>
      <c r="D1539" s="33" t="n">
        <v>0.111171</v>
      </c>
      <c r="E1539" s="34" t="n">
        <v>0.14937</v>
      </c>
      <c r="F1539" s="35">
        <f>ROUND(B1539*E1539,2)</f>
        <v/>
      </c>
      <c r="H1539" s="36" t="n">
        <v>145.243</v>
      </c>
      <c r="I1539" s="37" t="n">
        <v>0.14937</v>
      </c>
      <c r="J1539" s="38">
        <f>ROUND(H1539*I1539,2)</f>
        <v/>
      </c>
      <c r="L1539" s="39" t="n">
        <v>181.297</v>
      </c>
      <c r="M1539" s="40" t="n">
        <v>0.14937</v>
      </c>
      <c r="N1539" s="41">
        <f>ROUND(L1539*M1539,2)</f>
        <v/>
      </c>
      <c r="O1539" s="46" t="inlineStr">
        <is>
          <t>Cant. P1/P2/P3 energía suben</t>
        </is>
      </c>
      <c r="R1539" s="43" t="inlineStr">
        <is>
          <t>Importe mensual cobrado (€) · 24 meses ▾</t>
        </is>
      </c>
      <c r="AA1539" t="n">
        <v>131.984</v>
      </c>
    </row>
    <row r="1540">
      <c r="A1540" s="30" t="inlineStr">
        <is>
          <t>P3 Energía</t>
        </is>
      </c>
      <c r="B1540" s="31">
        <f>IF($P$1538&lt;&gt;"",ROUND(AA1540*(($AB$1538/(1-$P$1538))-30.4700)/75.4650,2),IF('Resumen'!$D$3="OPTIMIZAR",AA1540,AA1540))</f>
        <v/>
      </c>
      <c r="C1540" s="44" t="n"/>
      <c r="D1540" s="33" t="n">
        <v>0.111171</v>
      </c>
      <c r="E1540" s="34" t="n">
        <v>0.14937</v>
      </c>
      <c r="F1540" s="35">
        <f>ROUND(B1540*E1540,2)</f>
        <v/>
      </c>
      <c r="H1540" s="36" t="n">
        <v>179.669</v>
      </c>
      <c r="I1540" s="37" t="n">
        <v>0.14937</v>
      </c>
      <c r="J1540" s="38">
        <f>ROUND(H1540*I1540,2)</f>
        <v/>
      </c>
      <c r="L1540" s="39" t="n">
        <v>289.699</v>
      </c>
      <c r="M1540" s="40" t="n">
        <v>0.14937</v>
      </c>
      <c r="N1540" s="41">
        <f>ROUND(L1540*M1540,2)</f>
        <v/>
      </c>
      <c r="O1540" s="46" t="inlineStr">
        <is>
          <t>en proporción para ese margen</t>
        </is>
      </c>
      <c r="AA1540" t="n">
        <v>237.055</v>
      </c>
    </row>
    <row r="1541">
      <c r="A1541" s="30" t="inlineStr">
        <is>
          <t>Alquiler contador</t>
        </is>
      </c>
      <c r="B1541" s="31" t="n">
        <v>1</v>
      </c>
      <c r="C1541" s="32">
        <f>$N$1533-$L$1533+1</f>
        <v/>
      </c>
      <c r="D1541" s="33" t="n">
        <v>0.7989000000000001</v>
      </c>
      <c r="E1541" s="34" t="n">
        <v>4</v>
      </c>
      <c r="F1541" s="35">
        <f>ROUND(B1541*E1541,2)</f>
        <v/>
      </c>
      <c r="H1541" s="36" t="n">
        <v>1</v>
      </c>
      <c r="I1541" s="37" t="n">
        <v>4</v>
      </c>
      <c r="J1541" s="38">
        <f>ROUND(H1541*I1541,2)</f>
        <v/>
      </c>
      <c r="L1541" s="39" t="n">
        <v>1</v>
      </c>
      <c r="M1541" s="40" t="n">
        <v>4</v>
      </c>
      <c r="N1541" s="41">
        <f>ROUND(L1541*M1541,2)</f>
        <v/>
      </c>
    </row>
    <row r="1542">
      <c r="A1542" s="30" t="inlineStr">
        <is>
          <t>Bono social</t>
        </is>
      </c>
      <c r="B1542" s="31" t="n">
        <v>30</v>
      </c>
      <c r="C1542" s="32">
        <f>$N$1533-$L$1533+1</f>
        <v/>
      </c>
      <c r="D1542" s="33" t="n">
        <v>0.5736</v>
      </c>
      <c r="E1542" s="34" t="n">
        <v>0.01274</v>
      </c>
      <c r="F1542" s="35">
        <f>ROUND(B1542*E1542,2)</f>
        <v/>
      </c>
      <c r="H1542" s="36" t="n">
        <v>30</v>
      </c>
      <c r="I1542" s="37" t="n">
        <v>0.01274</v>
      </c>
      <c r="J1542" s="38">
        <f>ROUND(H1542*I1542,2)</f>
        <v/>
      </c>
      <c r="L1542" s="39" t="n">
        <v>30</v>
      </c>
      <c r="M1542" s="40" t="n">
        <v>0.00629</v>
      </c>
      <c r="N1542" s="41">
        <f>ROUND(L1542*M1542,2)</f>
        <v/>
      </c>
    </row>
    <row r="1543">
      <c r="A1543" s="30" t="inlineStr">
        <is>
          <t>Tasa eléctrica</t>
        </is>
      </c>
      <c r="B1543" s="31" t="n">
        <v>5.42</v>
      </c>
      <c r="C1543" s="44" t="n"/>
      <c r="D1543" s="33" t="n">
        <v>0.27312</v>
      </c>
      <c r="E1543" s="34" t="n">
        <v>1</v>
      </c>
      <c r="F1543" s="35">
        <f>ROUND(B1543*E1543,2)</f>
        <v/>
      </c>
      <c r="H1543" s="36" t="n">
        <v>5.3</v>
      </c>
      <c r="I1543" s="37" t="n">
        <v>1</v>
      </c>
      <c r="J1543" s="38">
        <f>ROUND(H1543*I1543,2)</f>
        <v/>
      </c>
      <c r="L1543" s="39" t="n">
        <v>6.67</v>
      </c>
      <c r="M1543" s="40" t="n">
        <v>1</v>
      </c>
      <c r="N1543" s="41">
        <f>ROUND(L1543*M1543,2)</f>
        <v/>
      </c>
    </row>
    <row r="1544">
      <c r="A1544" s="47" t="inlineStr">
        <is>
          <t>TOTAL c/IVA</t>
        </is>
      </c>
      <c r="F1544" s="48">
        <f>ROUND((SUM(F1536:F1543)-F1543)*1.1+F1543,2)</f>
        <v/>
      </c>
      <c r="J1544" s="49">
        <f>ROUND(SUM(J1536:J1543),2)</f>
        <v/>
      </c>
      <c r="N1544" s="50">
        <f>ROUND(SUM(N1536:N1543),2)</f>
        <v/>
      </c>
    </row>
    <row r="1545">
      <c r="A1545" s="19" t="inlineStr">
        <is>
          <t>MARGEN sin registrar</t>
        </is>
      </c>
      <c r="B1545" s="51">
        <f>IF((F1539+F1536+F1538+F1540+F1537)=0,"",((F1539+F1536+F1538+F1540+F1537)-$AB$1538)/(F1539+F1536+F1538+F1540+F1537))</f>
        <v/>
      </c>
      <c r="D1545" s="52">
        <f>IF(B1545="","SIN PC",IF(B1545&gt;=0.3,"APROBAR",IF(B1545&gt;=0.2,"REVISAR","RECHAZAR")))</f>
        <v/>
      </c>
      <c r="E1545" s="53" t="n"/>
      <c r="F1545" s="54" t="n"/>
      <c r="AD1545">
        <f>SUM(F1538:F1540)-75.4650</f>
        <v/>
      </c>
    </row>
    <row r="1547">
      <c r="A1547" s="15" t="inlineStr">
        <is>
          <t>Factura 8685 · C02920 · JAKUB JAN PICHOLA</t>
        </is>
      </c>
      <c r="H1547" s="15" t="inlineStr">
        <is>
          <t>ES0021000043297204PT · Naturgy</t>
        </is>
      </c>
      <c r="L1547" s="16" t="n">
        <v>46113</v>
      </c>
      <c r="M1547" s="17" t="inlineStr">
        <is>
          <t>a</t>
        </is>
      </c>
      <c r="N1547" s="16" t="n">
        <v>46142</v>
      </c>
      <c r="R1547" s="18" t="inlineStr">
        <is>
          <t>HISTÓRICO DEL CUPS · HOJA TTVA LUZ</t>
        </is>
      </c>
    </row>
    <row r="1548">
      <c r="A1548" s="19" t="inlineStr">
        <is>
          <t>Concepto</t>
        </is>
      </c>
      <c r="B1548" s="20" t="inlineStr">
        <is>
          <t>PENDIENTE (sin registrar)</t>
        </is>
      </c>
      <c r="C1548" s="21" t="n"/>
      <c r="D1548" s="21" t="n"/>
      <c r="E1548" s="21" t="n"/>
      <c r="F1548" s="21" t="n"/>
      <c r="H1548" s="22" t="inlineStr">
        <is>
          <t>MES ANTERIOR · Fact.6359</t>
        </is>
      </c>
      <c r="I1548" s="23" t="n"/>
      <c r="J1548" s="23" t="n"/>
      <c r="L1548" s="24" t="inlineStr">
        <is>
          <t>AÑO ANTERIOR · (sin dato)</t>
        </is>
      </c>
      <c r="M1548" s="25" t="n"/>
      <c r="N1548" s="25" t="n"/>
      <c r="R1548" s="26" t="inlineStr">
        <is>
          <t>Cobrado total: 1 €</t>
        </is>
      </c>
    </row>
    <row r="1549">
      <c r="B1549" s="7" t="inlineStr">
        <is>
          <t>Cant</t>
        </is>
      </c>
      <c r="C1549" s="7" t="inlineStr">
        <is>
          <t>Días</t>
        </is>
      </c>
      <c r="D1549" s="7" t="inlineStr">
        <is>
          <t>PC real</t>
        </is>
      </c>
      <c r="E1549" s="7" t="inlineStr">
        <is>
          <t>PV</t>
        </is>
      </c>
      <c r="F1549" s="7" t="inlineStr">
        <is>
          <t>Importe</t>
        </is>
      </c>
      <c r="H1549" s="27" t="inlineStr">
        <is>
          <t>Cant</t>
        </is>
      </c>
      <c r="I1549" s="27" t="inlineStr">
        <is>
          <t>PV</t>
        </is>
      </c>
      <c r="J1549" s="27" t="inlineStr">
        <is>
          <t>Importe</t>
        </is>
      </c>
      <c r="L1549" s="28" t="inlineStr">
        <is>
          <t>Cant</t>
        </is>
      </c>
      <c r="M1549" s="28" t="inlineStr">
        <is>
          <t>PV</t>
        </is>
      </c>
      <c r="N1549" s="28" t="inlineStr">
        <is>
          <t>Importe</t>
        </is>
      </c>
      <c r="R1549" s="29" t="inlineStr">
        <is>
          <t>Pagado total: 0 €</t>
        </is>
      </c>
    </row>
    <row r="1550">
      <c r="A1550" s="30" t="inlineStr">
        <is>
          <t>P1 Potencia</t>
        </is>
      </c>
      <c r="B1550" s="31" t="n">
        <v>9.199999999999999</v>
      </c>
      <c r="C1550" s="32">
        <f>$N$1547-$L$1547+1</f>
        <v/>
      </c>
      <c r="D1550" s="33" t="n">
        <v>3.68919</v>
      </c>
      <c r="E1550" s="34" t="n">
        <v>3.99</v>
      </c>
      <c r="F1550" s="35">
        <f>ROUND(B1550*E1550,2)</f>
        <v/>
      </c>
      <c r="H1550" s="36" t="n">
        <v>9.199999999999999</v>
      </c>
      <c r="I1550" s="37" t="n">
        <v>3.99</v>
      </c>
      <c r="J1550" s="38">
        <f>ROUND(H1550*I1550,2)</f>
        <v/>
      </c>
      <c r="L1550" s="65" t="n"/>
      <c r="M1550" s="65" t="n"/>
      <c r="N1550" s="65" t="n"/>
      <c r="R1550" s="42" t="inlineStr">
        <is>
          <t>DIF: 1 €   ·   Margen hist.: 100.0%</t>
        </is>
      </c>
    </row>
    <row r="1551">
      <c r="A1551" s="30" t="inlineStr">
        <is>
          <t>P2 Potencia</t>
        </is>
      </c>
      <c r="B1551" s="31" t="n">
        <v>9.199999999999999</v>
      </c>
      <c r="C1551" s="32">
        <f>$N$1547-$L$1547+1</f>
        <v/>
      </c>
      <c r="D1551" s="33" t="n">
        <v>1.31928</v>
      </c>
      <c r="E1551" s="34" t="n">
        <v>1.37</v>
      </c>
      <c r="F1551" s="35">
        <f>ROUND(B1551*E1551,2)</f>
        <v/>
      </c>
      <c r="H1551" s="36" t="n">
        <v>9.199999999999999</v>
      </c>
      <c r="I1551" s="37" t="n">
        <v>1.37</v>
      </c>
      <c r="J1551" s="38">
        <f>ROUND(H1551*I1551,2)</f>
        <v/>
      </c>
      <c r="L1551" s="65" t="n"/>
      <c r="M1551" s="65" t="n"/>
      <c r="N1551" s="65" t="n"/>
    </row>
    <row r="1552">
      <c r="A1552" s="30" t="inlineStr">
        <is>
          <t>P1 Energía</t>
        </is>
      </c>
      <c r="B1552" s="31">
        <f>IF($P$1552&lt;&gt;"",ROUND(AA1552*(($AB$1552/(1-$P$1552))-49.3120)/31.0952,2),IF('Resumen'!$D$3="OPTIMIZAR",AA1552,AA1552))</f>
        <v/>
      </c>
      <c r="C1552" s="44" t="n"/>
      <c r="D1552" s="33" t="n">
        <v>0.111171</v>
      </c>
      <c r="E1552" s="34" t="n">
        <v>0.129</v>
      </c>
      <c r="F1552" s="35">
        <f>ROUND(B1552*E1552,2)</f>
        <v/>
      </c>
      <c r="H1552" s="36" t="n">
        <v>97.524</v>
      </c>
      <c r="I1552" s="37" t="n">
        <v>0.129</v>
      </c>
      <c r="J1552" s="38">
        <f>ROUND(H1552*I1552,2)</f>
        <v/>
      </c>
      <c r="L1552" s="65" t="n"/>
      <c r="M1552" s="65" t="n"/>
      <c r="N1552" s="65" t="n"/>
      <c r="O1552" s="45" t="inlineStr">
        <is>
          <t>Margen objetivo (edita % aquí) ▶</t>
        </is>
      </c>
      <c r="P1552" s="5" t="n"/>
      <c r="AA1552" t="n">
        <v>49.507</v>
      </c>
      <c r="AB1552">
        <f>B1550*D1550+B1551*D1551+AA1552*D1552+AA1553*D1553+AA1554*D1554</f>
        <v/>
      </c>
    </row>
    <row r="1553">
      <c r="A1553" s="30" t="inlineStr">
        <is>
          <t>P2 Energía</t>
        </is>
      </c>
      <c r="B1553" s="31">
        <f>IF($P$1552&lt;&gt;"",ROUND(AA1553*(($AB$1552/(1-$P$1552))-49.3120)/31.0952,2),IF('Resumen'!$D$3="OPTIMIZAR",AA1553,AA1553))</f>
        <v/>
      </c>
      <c r="C1553" s="44" t="n"/>
      <c r="D1553" s="33" t="n">
        <v>0.111171</v>
      </c>
      <c r="E1553" s="34" t="n">
        <v>0.129</v>
      </c>
      <c r="F1553" s="35">
        <f>ROUND(B1553*E1553,2)</f>
        <v/>
      </c>
      <c r="H1553" s="36" t="n">
        <v>80.905</v>
      </c>
      <c r="I1553" s="37" t="n">
        <v>0.129</v>
      </c>
      <c r="J1553" s="38">
        <f>ROUND(H1553*I1553,2)</f>
        <v/>
      </c>
      <c r="L1553" s="65" t="n"/>
      <c r="M1553" s="65" t="n"/>
      <c r="N1553" s="65" t="n"/>
      <c r="O1553" s="46" t="inlineStr">
        <is>
          <t>Cant. P1/P2/P3 energía suben</t>
        </is>
      </c>
      <c r="R1553" s="43" t="inlineStr">
        <is>
          <t>Importe mensual cobrado (€) · 24 meses ▾</t>
        </is>
      </c>
      <c r="AA1553" t="n">
        <v>70.047</v>
      </c>
    </row>
    <row r="1554">
      <c r="A1554" s="30" t="inlineStr">
        <is>
          <t>P3 Energía</t>
        </is>
      </c>
      <c r="B1554" s="31">
        <f>IF($P$1552&lt;&gt;"",ROUND(AA1554*(($AB$1552/(1-$P$1552))-49.3120)/31.0952,2),IF('Resumen'!$D$3="OPTIMIZAR",AA1554,AA1554))</f>
        <v/>
      </c>
      <c r="C1554" s="44" t="n"/>
      <c r="D1554" s="33" t="n">
        <v>0.111171</v>
      </c>
      <c r="E1554" s="34" t="n">
        <v>0.129</v>
      </c>
      <c r="F1554" s="35">
        <f>ROUND(B1554*E1554,2)</f>
        <v/>
      </c>
      <c r="H1554" s="36" t="n">
        <v>85.521</v>
      </c>
      <c r="I1554" s="37" t="n">
        <v>0.129</v>
      </c>
      <c r="J1554" s="38">
        <f>ROUND(H1554*I1554,2)</f>
        <v/>
      </c>
      <c r="L1554" s="65" t="n"/>
      <c r="M1554" s="65" t="n"/>
      <c r="N1554" s="65" t="n"/>
      <c r="O1554" s="46" t="inlineStr">
        <is>
          <t>en proporción para ese margen</t>
        </is>
      </c>
      <c r="AA1554" t="n">
        <v>121.494</v>
      </c>
    </row>
    <row r="1555">
      <c r="A1555" s="30" t="inlineStr">
        <is>
          <t>Alquiler contador</t>
        </is>
      </c>
      <c r="B1555" s="31" t="n">
        <v>1</v>
      </c>
      <c r="C1555" s="32">
        <f>$N$1547-$L$1547+1</f>
        <v/>
      </c>
      <c r="D1555" s="33" t="n">
        <v>0.7989000000000001</v>
      </c>
      <c r="E1555" s="34" t="n">
        <v>1</v>
      </c>
      <c r="F1555" s="35">
        <f>ROUND(B1555*E1555,2)</f>
        <v/>
      </c>
      <c r="H1555" s="36" t="n">
        <v>1</v>
      </c>
      <c r="I1555" s="37" t="n">
        <v>1</v>
      </c>
      <c r="J1555" s="38">
        <f>ROUND(H1555*I1555,2)</f>
        <v/>
      </c>
      <c r="L1555" s="65" t="n"/>
      <c r="M1555" s="65" t="n"/>
      <c r="N1555" s="65" t="n"/>
    </row>
    <row r="1556">
      <c r="A1556" s="30" t="inlineStr">
        <is>
          <t>Bono social</t>
        </is>
      </c>
      <c r="B1556" s="31" t="n">
        <v>30</v>
      </c>
      <c r="C1556" s="32">
        <f>$N$1547-$L$1547+1</f>
        <v/>
      </c>
      <c r="D1556" s="33" t="n">
        <v>0.5736</v>
      </c>
      <c r="E1556" s="34" t="n">
        <v>0.01274</v>
      </c>
      <c r="F1556" s="35">
        <f>ROUND(B1556*E1556,2)</f>
        <v/>
      </c>
      <c r="H1556" s="36" t="n">
        <v>30</v>
      </c>
      <c r="I1556" s="37" t="n">
        <v>0.01274</v>
      </c>
      <c r="J1556" s="38">
        <f>ROUND(H1556*I1556,2)</f>
        <v/>
      </c>
      <c r="L1556" s="65" t="n"/>
      <c r="M1556" s="65" t="n"/>
      <c r="N1556" s="65" t="n"/>
    </row>
    <row r="1557">
      <c r="A1557" s="30" t="inlineStr">
        <is>
          <t>Tasa eléctrica</t>
        </is>
      </c>
      <c r="B1557" s="31" t="n">
        <v>4.2</v>
      </c>
      <c r="C1557" s="44" t="n"/>
      <c r="D1557" s="33" t="n">
        <v>0.02671</v>
      </c>
      <c r="E1557" s="34" t="n">
        <v>1</v>
      </c>
      <c r="F1557" s="35">
        <f>ROUND(B1557*E1557,2)</f>
        <v/>
      </c>
      <c r="H1557" s="36" t="n">
        <v>4.35</v>
      </c>
      <c r="I1557" s="37" t="n">
        <v>1</v>
      </c>
      <c r="J1557" s="38">
        <f>ROUND(H1557*I1557,2)</f>
        <v/>
      </c>
      <c r="L1557" s="65" t="n"/>
      <c r="M1557" s="65" t="n"/>
      <c r="N1557" s="65" t="n"/>
    </row>
    <row r="1558">
      <c r="A1558" s="47" t="inlineStr">
        <is>
          <t>TOTAL c/IVA</t>
        </is>
      </c>
      <c r="F1558" s="48">
        <f>ROUND((SUM(F1550:F1557)-F1557)*1.1+F1557,2)</f>
        <v/>
      </c>
      <c r="J1558" s="49">
        <f>ROUND(SUM(J1550:J1557),2)</f>
        <v/>
      </c>
      <c r="N1558" s="66" t="n"/>
    </row>
    <row r="1559">
      <c r="A1559" s="19" t="inlineStr">
        <is>
          <t>MARGEN sin registrar</t>
        </is>
      </c>
      <c r="B1559" s="51">
        <f>IF((F1553+F1550+F1552+F1554+F1551)=0,"",((F1553+F1550+F1552+F1554+F1551)-$AB$1552)/(F1553+F1550+F1552+F1554+F1551))</f>
        <v/>
      </c>
      <c r="D1559" s="52">
        <f>IF(B1559="","SIN PC",IF(B1559&gt;=0.3,"APROBAR",IF(B1559&gt;=0.2,"REVISAR","RECHAZAR")))</f>
        <v/>
      </c>
      <c r="E1559" s="53" t="n"/>
      <c r="F1559" s="54" t="n"/>
      <c r="AD1559">
        <f>SUM(F1552:F1554)-31.0952</f>
        <v/>
      </c>
    </row>
    <row r="1561">
      <c r="A1561" s="15" t="inlineStr">
        <is>
          <t>Factura 8686 · C02930 · UWE HEINZ WERNER SCHMUCK</t>
        </is>
      </c>
      <c r="H1561" s="15" t="inlineStr">
        <is>
          <t>ES0021000000842065CD · Naturgy</t>
        </is>
      </c>
      <c r="L1561" s="16" t="n">
        <v>46113</v>
      </c>
      <c r="M1561" s="17" t="inlineStr">
        <is>
          <t>a</t>
        </is>
      </c>
      <c r="N1561" s="16" t="n">
        <v>46142</v>
      </c>
      <c r="R1561" s="18" t="inlineStr">
        <is>
          <t>HISTÓRICO DEL CUPS · HOJA TTVA LUZ</t>
        </is>
      </c>
    </row>
    <row r="1562">
      <c r="A1562" s="19" t="inlineStr">
        <is>
          <t>Concepto</t>
        </is>
      </c>
      <c r="B1562" s="20" t="inlineStr">
        <is>
          <t>PENDIENTE (sin registrar)</t>
        </is>
      </c>
      <c r="C1562" s="21" t="n"/>
      <c r="D1562" s="21" t="n"/>
      <c r="E1562" s="21" t="n"/>
      <c r="F1562" s="21" t="n"/>
      <c r="H1562" s="22" t="inlineStr">
        <is>
          <t>MES ANTERIOR · Fact.6358</t>
        </is>
      </c>
      <c r="I1562" s="23" t="n"/>
      <c r="J1562" s="23" t="n"/>
      <c r="L1562" s="24" t="inlineStr">
        <is>
          <t>AÑO ANTERIOR · (sin dato)</t>
        </is>
      </c>
      <c r="M1562" s="25" t="n"/>
      <c r="N1562" s="25" t="n"/>
      <c r="R1562" s="26" t="inlineStr">
        <is>
          <t>Cobrado total: 2 €</t>
        </is>
      </c>
    </row>
    <row r="1563">
      <c r="B1563" s="7" t="inlineStr">
        <is>
          <t>Cant</t>
        </is>
      </c>
      <c r="C1563" s="7" t="inlineStr">
        <is>
          <t>Días</t>
        </is>
      </c>
      <c r="D1563" s="7" t="inlineStr">
        <is>
          <t>PC real</t>
        </is>
      </c>
      <c r="E1563" s="7" t="inlineStr">
        <is>
          <t>PV</t>
        </is>
      </c>
      <c r="F1563" s="7" t="inlineStr">
        <is>
          <t>Importe</t>
        </is>
      </c>
      <c r="H1563" s="27" t="inlineStr">
        <is>
          <t>Cant</t>
        </is>
      </c>
      <c r="I1563" s="27" t="inlineStr">
        <is>
          <t>PV</t>
        </is>
      </c>
      <c r="J1563" s="27" t="inlineStr">
        <is>
          <t>Importe</t>
        </is>
      </c>
      <c r="L1563" s="28" t="inlineStr">
        <is>
          <t>Cant</t>
        </is>
      </c>
      <c r="M1563" s="28" t="inlineStr">
        <is>
          <t>PV</t>
        </is>
      </c>
      <c r="N1563" s="28" t="inlineStr">
        <is>
          <t>Importe</t>
        </is>
      </c>
      <c r="R1563" s="29" t="inlineStr">
        <is>
          <t>Pagado total: 0 €</t>
        </is>
      </c>
    </row>
    <row r="1564">
      <c r="A1564" s="30" t="inlineStr">
        <is>
          <t>P1 Potencia</t>
        </is>
      </c>
      <c r="B1564" s="31" t="n">
        <v>13.856</v>
      </c>
      <c r="C1564" s="32">
        <f>$N$1561-$L$1561+1</f>
        <v/>
      </c>
      <c r="D1564" s="33" t="n">
        <v>3.68919</v>
      </c>
      <c r="E1564" s="34" t="n">
        <v>4.17</v>
      </c>
      <c r="F1564" s="35">
        <f>ROUND(B1564*E1564,2)</f>
        <v/>
      </c>
      <c r="H1564" s="36" t="n">
        <v>13.856</v>
      </c>
      <c r="I1564" s="37" t="n">
        <v>4.17</v>
      </c>
      <c r="J1564" s="38">
        <f>ROUND(H1564*I1564,2)</f>
        <v/>
      </c>
      <c r="L1564" s="65" t="n"/>
      <c r="M1564" s="65" t="n"/>
      <c r="N1564" s="65" t="n"/>
      <c r="R1564" s="42" t="inlineStr">
        <is>
          <t>DIF: 2 €   ·   Margen hist.: 100.0%</t>
        </is>
      </c>
    </row>
    <row r="1565">
      <c r="A1565" s="30" t="inlineStr">
        <is>
          <t>P2 Potencia</t>
        </is>
      </c>
      <c r="B1565" s="31" t="n">
        <v>13.856</v>
      </c>
      <c r="C1565" s="32">
        <f>$N$1561-$L$1561+1</f>
        <v/>
      </c>
      <c r="D1565" s="33" t="n">
        <v>1.31928</v>
      </c>
      <c r="E1565" s="34" t="n">
        <v>1.37</v>
      </c>
      <c r="F1565" s="35">
        <f>ROUND(B1565*E1565,2)</f>
        <v/>
      </c>
      <c r="H1565" s="36" t="n">
        <v>13.856</v>
      </c>
      <c r="I1565" s="37" t="n">
        <v>1.37</v>
      </c>
      <c r="J1565" s="38">
        <f>ROUND(H1565*I1565,2)</f>
        <v/>
      </c>
      <c r="L1565" s="65" t="n"/>
      <c r="M1565" s="65" t="n"/>
      <c r="N1565" s="65" t="n"/>
    </row>
    <row r="1566">
      <c r="A1566" s="30" t="inlineStr">
        <is>
          <t>P1 Energía</t>
        </is>
      </c>
      <c r="B1566" s="31">
        <f>IF($P$1566&lt;&gt;"",ROUND(AA1566*(($AB$1566/(1-$P$1566))-76.7622)/7.0925,2),IF('Resumen'!$D$3="OPTIMIZAR",AA1566,AA1566))</f>
        <v/>
      </c>
      <c r="C1566" s="44" t="n"/>
      <c r="D1566" s="33" t="n">
        <v>0.111171</v>
      </c>
      <c r="E1566" s="34" t="n">
        <v>0.14937</v>
      </c>
      <c r="F1566" s="35">
        <f>ROUND(B1566*E1566,2)</f>
        <v/>
      </c>
      <c r="H1566" s="36" t="n">
        <v>134.417</v>
      </c>
      <c r="I1566" s="37" t="n">
        <v>0.14937</v>
      </c>
      <c r="J1566" s="38">
        <f>ROUND(H1566*I1566,2)</f>
        <v/>
      </c>
      <c r="L1566" s="65" t="n"/>
      <c r="M1566" s="65" t="n"/>
      <c r="N1566" s="65" t="n"/>
      <c r="O1566" s="45" t="inlineStr">
        <is>
          <t>Margen objetivo (edita % aquí) ▶</t>
        </is>
      </c>
      <c r="P1566" s="5" t="n"/>
      <c r="AA1566" t="n">
        <v>0.154</v>
      </c>
      <c r="AB1566">
        <f>B1564*D1564+B1565*D1565+AA1566*D1566+AA1567*D1567+AA1568*D1568</f>
        <v/>
      </c>
    </row>
    <row r="1567">
      <c r="A1567" s="30" t="inlineStr">
        <is>
          <t>P2 Energía</t>
        </is>
      </c>
      <c r="B1567" s="31">
        <f>IF($P$1566&lt;&gt;"",ROUND(AA1567*(($AB$1566/(1-$P$1566))-76.7622)/7.0925,2),IF('Resumen'!$D$3="OPTIMIZAR",AA1567,AA1567))</f>
        <v/>
      </c>
      <c r="C1567" s="44" t="n"/>
      <c r="D1567" s="33" t="n">
        <v>0.111171</v>
      </c>
      <c r="E1567" s="34" t="n">
        <v>0.14937</v>
      </c>
      <c r="F1567" s="35">
        <f>ROUND(B1567*E1567,2)</f>
        <v/>
      </c>
      <c r="H1567" s="36" t="n">
        <v>98.51900000000001</v>
      </c>
      <c r="I1567" s="37" t="n">
        <v>0.14937</v>
      </c>
      <c r="J1567" s="38">
        <f>ROUND(H1567*I1567,2)</f>
        <v/>
      </c>
      <c r="L1567" s="65" t="n"/>
      <c r="M1567" s="65" t="n"/>
      <c r="N1567" s="65" t="n"/>
      <c r="O1567" s="46" t="inlineStr">
        <is>
          <t>Cant. P1/P2/P3 energía suben</t>
        </is>
      </c>
      <c r="R1567" s="43" t="inlineStr">
        <is>
          <t>Importe mensual cobrado (€) · 24 meses ▾</t>
        </is>
      </c>
      <c r="AA1567" t="n">
        <v>4.687</v>
      </c>
    </row>
    <row r="1568">
      <c r="A1568" s="30" t="inlineStr">
        <is>
          <t>P3 Energía</t>
        </is>
      </c>
      <c r="B1568" s="31">
        <f>IF($P$1566&lt;&gt;"",ROUND(AA1568*(($AB$1566/(1-$P$1566))-76.7622)/7.0925,2),IF('Resumen'!$D$3="OPTIMIZAR",AA1568,AA1568))</f>
        <v/>
      </c>
      <c r="C1568" s="44" t="n"/>
      <c r="D1568" s="33" t="n">
        <v>0.111171</v>
      </c>
      <c r="E1568" s="34" t="n">
        <v>0.14937</v>
      </c>
      <c r="F1568" s="35">
        <f>ROUND(B1568*E1568,2)</f>
        <v/>
      </c>
      <c r="H1568" s="36" t="n">
        <v>431.667</v>
      </c>
      <c r="I1568" s="37" t="n">
        <v>0.14937</v>
      </c>
      <c r="J1568" s="38">
        <f>ROUND(H1568*I1568,2)</f>
        <v/>
      </c>
      <c r="L1568" s="65" t="n"/>
      <c r="M1568" s="65" t="n"/>
      <c r="N1568" s="65" t="n"/>
      <c r="O1568" s="46" t="inlineStr">
        <is>
          <t>en proporción para ese margen</t>
        </is>
      </c>
      <c r="AA1568" t="n">
        <v>42.642</v>
      </c>
    </row>
    <row r="1569">
      <c r="A1569" s="30" t="inlineStr">
        <is>
          <t>Alquiler contador</t>
        </is>
      </c>
      <c r="B1569" s="31" t="n">
        <v>1</v>
      </c>
      <c r="C1569" s="32">
        <f>$N$1561-$L$1561+1</f>
        <v/>
      </c>
      <c r="D1569" s="33" t="n">
        <v>1.3414</v>
      </c>
      <c r="E1569" s="34" t="n">
        <v>4</v>
      </c>
      <c r="F1569" s="35">
        <f>ROUND(B1569*E1569,2)</f>
        <v/>
      </c>
      <c r="H1569" s="36" t="n">
        <v>1</v>
      </c>
      <c r="I1569" s="37" t="n">
        <v>4</v>
      </c>
      <c r="J1569" s="38">
        <f>ROUND(H1569*I1569,2)</f>
        <v/>
      </c>
      <c r="L1569" s="65" t="n"/>
      <c r="M1569" s="65" t="n"/>
      <c r="N1569" s="65" t="n"/>
    </row>
    <row r="1570">
      <c r="A1570" s="30" t="inlineStr">
        <is>
          <t>Bono social</t>
        </is>
      </c>
      <c r="B1570" s="31" t="n">
        <v>30</v>
      </c>
      <c r="C1570" s="32">
        <f>$N$1561-$L$1561+1</f>
        <v/>
      </c>
      <c r="D1570" s="33" t="n">
        <v>0.5736</v>
      </c>
      <c r="E1570" s="34" t="n">
        <v>0.01274</v>
      </c>
      <c r="F1570" s="35">
        <f>ROUND(B1570*E1570,2)</f>
        <v/>
      </c>
      <c r="H1570" s="36" t="n">
        <v>30</v>
      </c>
      <c r="I1570" s="37" t="n">
        <v>0.01274</v>
      </c>
      <c r="J1570" s="38">
        <f>ROUND(H1570*I1570,2)</f>
        <v/>
      </c>
      <c r="L1570" s="65" t="n"/>
      <c r="M1570" s="65" t="n"/>
      <c r="N1570" s="65" t="n"/>
    </row>
    <row r="1571">
      <c r="A1571" s="30" t="inlineStr">
        <is>
          <t>Tasa eléctrica</t>
        </is>
      </c>
      <c r="B1571" s="31" t="n">
        <v>4.29</v>
      </c>
      <c r="C1571" s="44" t="n"/>
      <c r="D1571" s="33" t="n">
        <v>0.27312</v>
      </c>
      <c r="E1571" s="34" t="n">
        <v>1</v>
      </c>
      <c r="F1571" s="35">
        <f>ROUND(B1571*E1571,2)</f>
        <v/>
      </c>
      <c r="H1571" s="36" t="n">
        <v>9.01</v>
      </c>
      <c r="I1571" s="37" t="n">
        <v>1</v>
      </c>
      <c r="J1571" s="38">
        <f>ROUND(H1571*I1571,2)</f>
        <v/>
      </c>
      <c r="L1571" s="65" t="n"/>
      <c r="M1571" s="65" t="n"/>
      <c r="N1571" s="65" t="n"/>
    </row>
    <row r="1572">
      <c r="A1572" s="47" t="inlineStr">
        <is>
          <t>TOTAL c/IVA</t>
        </is>
      </c>
      <c r="F1572" s="48">
        <f>ROUND((SUM(F1564:F1571)-F1571)*1.1+F1571,2)</f>
        <v/>
      </c>
      <c r="J1572" s="49">
        <f>ROUND(SUM(J1564:J1571),2)</f>
        <v/>
      </c>
      <c r="N1572" s="66" t="n"/>
    </row>
    <row r="1573">
      <c r="A1573" s="19" t="inlineStr">
        <is>
          <t>MARGEN sin registrar</t>
        </is>
      </c>
      <c r="B1573" s="51">
        <f>IF((F1567+F1564+F1566+F1568+F1565)=0,"",((F1567+F1564+F1566+F1568+F1565)-$AB$1566)/(F1567+F1564+F1566+F1568+F1565))</f>
        <v/>
      </c>
      <c r="D1573" s="52">
        <f>IF(B1573="","SIN PC",IF(B1573&gt;=0.3,"APROBAR",IF(B1573&gt;=0.2,"REVISAR","RECHAZAR")))</f>
        <v/>
      </c>
      <c r="E1573" s="53" t="n"/>
      <c r="F1573" s="54" t="n"/>
      <c r="AD1573">
        <f>SUM(F1566:F1568)-7.0925</f>
        <v/>
      </c>
    </row>
    <row r="1575">
      <c r="A1575" s="15" t="inlineStr">
        <is>
          <t>Factura 8687 · C02950 · TALLERES MARTINEZ JAVEA, S.L.</t>
        </is>
      </c>
      <c r="H1575" s="15" t="inlineStr">
        <is>
          <t>ES0021000011306311RZ · Naturgy</t>
        </is>
      </c>
      <c r="L1575" s="16" t="n">
        <v>46113</v>
      </c>
      <c r="M1575" s="17" t="inlineStr">
        <is>
          <t>a</t>
        </is>
      </c>
      <c r="N1575" s="16" t="n">
        <v>46142</v>
      </c>
      <c r="R1575" s="18" t="inlineStr">
        <is>
          <t>HISTÓRICO DEL CUPS · HOJA TTVA LUZ</t>
        </is>
      </c>
    </row>
    <row r="1576">
      <c r="A1576" s="19" t="inlineStr">
        <is>
          <t>Concepto</t>
        </is>
      </c>
      <c r="B1576" s="20" t="inlineStr">
        <is>
          <t>PENDIENTE (sin registrar)</t>
        </is>
      </c>
      <c r="C1576" s="21" t="n"/>
      <c r="D1576" s="21" t="n"/>
      <c r="E1576" s="21" t="n"/>
      <c r="F1576" s="21" t="n"/>
      <c r="H1576" s="22" t="inlineStr">
        <is>
          <t>MES ANTERIOR · Fact.6357</t>
        </is>
      </c>
      <c r="I1576" s="23" t="n"/>
      <c r="J1576" s="23" t="n"/>
      <c r="L1576" s="24" t="inlineStr">
        <is>
          <t>AÑO ANTERIOR · (sin dato)</t>
        </is>
      </c>
      <c r="M1576" s="25" t="n"/>
      <c r="N1576" s="25" t="n"/>
      <c r="R1576" s="26" t="inlineStr">
        <is>
          <t>Cobrado total: -2 €</t>
        </is>
      </c>
    </row>
    <row r="1577">
      <c r="B1577" s="7" t="inlineStr">
        <is>
          <t>Cant</t>
        </is>
      </c>
      <c r="C1577" s="7" t="inlineStr">
        <is>
          <t>Días</t>
        </is>
      </c>
      <c r="D1577" s="7" t="inlineStr">
        <is>
          <t>PC real</t>
        </is>
      </c>
      <c r="E1577" s="7" t="inlineStr">
        <is>
          <t>PV</t>
        </is>
      </c>
      <c r="F1577" s="7" t="inlineStr">
        <is>
          <t>Importe</t>
        </is>
      </c>
      <c r="H1577" s="27" t="inlineStr">
        <is>
          <t>Cant</t>
        </is>
      </c>
      <c r="I1577" s="27" t="inlineStr">
        <is>
          <t>PV</t>
        </is>
      </c>
      <c r="J1577" s="27" t="inlineStr">
        <is>
          <t>Importe</t>
        </is>
      </c>
      <c r="L1577" s="28" t="inlineStr">
        <is>
          <t>Cant</t>
        </is>
      </c>
      <c r="M1577" s="28" t="inlineStr">
        <is>
          <t>PV</t>
        </is>
      </c>
      <c r="N1577" s="28" t="inlineStr">
        <is>
          <t>Importe</t>
        </is>
      </c>
      <c r="R1577" s="29" t="inlineStr">
        <is>
          <t>Pagado total: 0 €</t>
        </is>
      </c>
    </row>
    <row r="1578">
      <c r="A1578" s="30" t="inlineStr">
        <is>
          <t>P1 Potencia</t>
        </is>
      </c>
      <c r="B1578" s="31" t="n">
        <v>3.464</v>
      </c>
      <c r="C1578" s="32">
        <f>$N$1575-$L$1575+1</f>
        <v/>
      </c>
      <c r="D1578" s="33" t="n">
        <v>3.68919</v>
      </c>
      <c r="E1578" s="34" t="n">
        <v>4.17</v>
      </c>
      <c r="F1578" s="35">
        <f>ROUND(B1578*E1578,2)</f>
        <v/>
      </c>
      <c r="H1578" s="36" t="n">
        <v>3.464</v>
      </c>
      <c r="I1578" s="37" t="n">
        <v>4.17</v>
      </c>
      <c r="J1578" s="38">
        <f>ROUND(H1578*I1578,2)</f>
        <v/>
      </c>
      <c r="L1578" s="65" t="n"/>
      <c r="M1578" s="65" t="n"/>
      <c r="N1578" s="65" t="n"/>
      <c r="R1578" s="42" t="inlineStr">
        <is>
          <t>DIF: -2 €   ·   Margen hist.: 100.0%</t>
        </is>
      </c>
    </row>
    <row r="1579">
      <c r="A1579" s="30" t="inlineStr">
        <is>
          <t>P2 Potencia</t>
        </is>
      </c>
      <c r="B1579" s="31" t="n">
        <v>3.464</v>
      </c>
      <c r="C1579" s="32">
        <f>$N$1575-$L$1575+1</f>
        <v/>
      </c>
      <c r="D1579" s="33" t="n">
        <v>1.31928</v>
      </c>
      <c r="E1579" s="34" t="n">
        <v>1.37</v>
      </c>
      <c r="F1579" s="35">
        <f>ROUND(B1579*E1579,2)</f>
        <v/>
      </c>
      <c r="H1579" s="36" t="n">
        <v>3.464</v>
      </c>
      <c r="I1579" s="37" t="n">
        <v>1.37</v>
      </c>
      <c r="J1579" s="38">
        <f>ROUND(H1579*I1579,2)</f>
        <v/>
      </c>
      <c r="L1579" s="65" t="n"/>
      <c r="M1579" s="65" t="n"/>
      <c r="N1579" s="65" t="n"/>
    </row>
    <row r="1580">
      <c r="A1580" s="30" t="inlineStr">
        <is>
          <t>P1 Energía</t>
        </is>
      </c>
      <c r="B1580" s="31">
        <f>IF($P$1580&lt;&gt;"",ROUND(AA1580*(($AB$1580/(1-$P$1580))-19.1906)/25.6155,2),IF('Resumen'!$D$3="OPTIMIZAR",AA1580,AA1580))</f>
        <v/>
      </c>
      <c r="C1580" s="44" t="n"/>
      <c r="D1580" s="33" t="n">
        <v>0.111171</v>
      </c>
      <c r="E1580" s="34" t="n">
        <v>0.14937</v>
      </c>
      <c r="F1580" s="35">
        <f>ROUND(B1580*E1580,2)</f>
        <v/>
      </c>
      <c r="H1580" s="36" t="n">
        <v>60.471</v>
      </c>
      <c r="I1580" s="37" t="n">
        <v>0.14937</v>
      </c>
      <c r="J1580" s="38">
        <f>ROUND(H1580*I1580,2)</f>
        <v/>
      </c>
      <c r="L1580" s="65" t="n"/>
      <c r="M1580" s="65" t="n"/>
      <c r="N1580" s="65" t="n"/>
      <c r="O1580" s="45" t="inlineStr">
        <is>
          <t>Margen objetivo (edita % aquí) ▶</t>
        </is>
      </c>
      <c r="P1580" s="5" t="n"/>
      <c r="AA1580" t="n">
        <v>75.004</v>
      </c>
      <c r="AB1580">
        <f>B1578*D1578+B1579*D1579+AA1580*D1580+AA1581*D1581+AA1582*D1582</f>
        <v/>
      </c>
    </row>
    <row r="1581">
      <c r="A1581" s="30" t="inlineStr">
        <is>
          <t>P2 Energía</t>
        </is>
      </c>
      <c r="B1581" s="31">
        <f>IF($P$1580&lt;&gt;"",ROUND(AA1581*(($AB$1580/(1-$P$1580))-19.1906)/25.6155,2),IF('Resumen'!$D$3="OPTIMIZAR",AA1581,AA1581))</f>
        <v/>
      </c>
      <c r="C1581" s="44" t="n"/>
      <c r="D1581" s="33" t="n">
        <v>0.111171</v>
      </c>
      <c r="E1581" s="34" t="n">
        <v>0.14937</v>
      </c>
      <c r="F1581" s="35">
        <f>ROUND(B1581*E1581,2)</f>
        <v/>
      </c>
      <c r="H1581" s="36" t="n">
        <v>57.29</v>
      </c>
      <c r="I1581" s="37" t="n">
        <v>0.14937</v>
      </c>
      <c r="J1581" s="38">
        <f>ROUND(H1581*I1581,2)</f>
        <v/>
      </c>
      <c r="L1581" s="65" t="n"/>
      <c r="M1581" s="65" t="n"/>
      <c r="N1581" s="65" t="n"/>
      <c r="O1581" s="46" t="inlineStr">
        <is>
          <t>Cant. P1/P2/P3 energía suben</t>
        </is>
      </c>
      <c r="R1581" s="43" t="inlineStr">
        <is>
          <t>Importe mensual cobrado (€) · 24 meses ▾</t>
        </is>
      </c>
      <c r="AA1581" t="n">
        <v>75.31100000000001</v>
      </c>
    </row>
    <row r="1582">
      <c r="A1582" s="30" t="inlineStr">
        <is>
          <t>P3 Energía</t>
        </is>
      </c>
      <c r="B1582" s="31">
        <f>IF($P$1580&lt;&gt;"",ROUND(AA1582*(($AB$1580/(1-$P$1580))-19.1906)/25.6155,2),IF('Resumen'!$D$3="OPTIMIZAR",AA1582,AA1582))</f>
        <v/>
      </c>
      <c r="C1582" s="44" t="n"/>
      <c r="D1582" s="33" t="n">
        <v>0.111171</v>
      </c>
      <c r="E1582" s="34" t="n">
        <v>0.14937</v>
      </c>
      <c r="F1582" s="35">
        <f>ROUND(B1582*E1582,2)</f>
        <v/>
      </c>
      <c r="H1582" s="36" t="n">
        <v>16.984</v>
      </c>
      <c r="I1582" s="37" t="n">
        <v>0.14937</v>
      </c>
      <c r="J1582" s="38">
        <f>ROUND(H1582*I1582,2)</f>
        <v/>
      </c>
      <c r="L1582" s="65" t="n"/>
      <c r="M1582" s="65" t="n"/>
      <c r="N1582" s="65" t="n"/>
      <c r="O1582" s="46" t="inlineStr">
        <is>
          <t>en proporción para ese margen</t>
        </is>
      </c>
      <c r="AA1582" t="n">
        <v>21.175</v>
      </c>
    </row>
    <row r="1583">
      <c r="A1583" s="30" t="inlineStr">
        <is>
          <t>Alquiler contador</t>
        </is>
      </c>
      <c r="B1583" s="31" t="n">
        <v>1</v>
      </c>
      <c r="C1583" s="32">
        <f>$N$1575-$L$1575+1</f>
        <v/>
      </c>
      <c r="D1583" s="33" t="n">
        <v>0.7989000000000001</v>
      </c>
      <c r="E1583" s="34" t="n">
        <v>4</v>
      </c>
      <c r="F1583" s="35">
        <f>ROUND(B1583*E1583,2)</f>
        <v/>
      </c>
      <c r="H1583" s="36" t="n">
        <v>1</v>
      </c>
      <c r="I1583" s="37" t="n">
        <v>4</v>
      </c>
      <c r="J1583" s="38">
        <f>ROUND(H1583*I1583,2)</f>
        <v/>
      </c>
      <c r="L1583" s="65" t="n"/>
      <c r="M1583" s="65" t="n"/>
      <c r="N1583" s="65" t="n"/>
    </row>
    <row r="1584">
      <c r="A1584" s="30" t="inlineStr">
        <is>
          <t>Bono social</t>
        </is>
      </c>
      <c r="B1584" s="31" t="n">
        <v>30</v>
      </c>
      <c r="C1584" s="32">
        <f>$N$1575-$L$1575+1</f>
        <v/>
      </c>
      <c r="D1584" s="33" t="n">
        <v>0.5736</v>
      </c>
      <c r="E1584" s="34" t="n">
        <v>0.01274</v>
      </c>
      <c r="F1584" s="35">
        <f>ROUND(B1584*E1584,2)</f>
        <v/>
      </c>
      <c r="H1584" s="36" t="n">
        <v>30</v>
      </c>
      <c r="I1584" s="37" t="n">
        <v>0.01274</v>
      </c>
      <c r="J1584" s="38">
        <f>ROUND(H1584*I1584,2)</f>
        <v/>
      </c>
      <c r="L1584" s="65" t="n"/>
      <c r="M1584" s="65" t="n"/>
      <c r="N1584" s="65" t="n"/>
    </row>
    <row r="1585">
      <c r="A1585" s="30" t="inlineStr">
        <is>
          <t>Tasa eléctrica</t>
        </is>
      </c>
      <c r="B1585" s="31" t="n">
        <v>2.3</v>
      </c>
      <c r="C1585" s="44" t="n"/>
      <c r="D1585" s="33" t="n">
        <v>0.02671</v>
      </c>
      <c r="E1585" s="34" t="n">
        <v>1</v>
      </c>
      <c r="F1585" s="35">
        <f>ROUND(B1585*E1585,2)</f>
        <v/>
      </c>
      <c r="H1585" s="36" t="n">
        <v>2.02</v>
      </c>
      <c r="I1585" s="37" t="n">
        <v>1</v>
      </c>
      <c r="J1585" s="38">
        <f>ROUND(H1585*I1585,2)</f>
        <v/>
      </c>
      <c r="L1585" s="65" t="n"/>
      <c r="M1585" s="65" t="n"/>
      <c r="N1585" s="65" t="n"/>
    </row>
    <row r="1586">
      <c r="A1586" s="47" t="inlineStr">
        <is>
          <t>TOTAL c/IVA</t>
        </is>
      </c>
      <c r="F1586" s="48">
        <f>ROUND((SUM(F1578:F1585)-F1585)*1.1+F1585,2)</f>
        <v/>
      </c>
      <c r="J1586" s="49">
        <f>ROUND(SUM(J1578:J1585),2)</f>
        <v/>
      </c>
      <c r="N1586" s="66" t="n"/>
    </row>
    <row r="1587">
      <c r="A1587" s="19" t="inlineStr">
        <is>
          <t>MARGEN sin registrar</t>
        </is>
      </c>
      <c r="B1587" s="51">
        <f>IF((F1581+F1578+F1580+F1582+F1579)=0,"",((F1581+F1578+F1580+F1582+F1579)-$AB$1580)/(F1581+F1578+F1580+F1582+F1579))</f>
        <v/>
      </c>
      <c r="D1587" s="52">
        <f>IF(B1587="","SIN PC",IF(B1587&gt;=0.3,"APROBAR",IF(B1587&gt;=0.2,"REVISAR","RECHAZAR")))</f>
        <v/>
      </c>
      <c r="E1587" s="53" t="n"/>
      <c r="F1587" s="54" t="n"/>
      <c r="AD1587">
        <f>SUM(F1580:F1582)-25.6155</f>
        <v/>
      </c>
    </row>
    <row r="1589">
      <c r="A1589" s="15" t="inlineStr">
        <is>
          <t>Factura 8688 · C02960 · FRANK CLEMENT</t>
        </is>
      </c>
      <c r="H1589" s="15" t="inlineStr">
        <is>
          <t>ES0021000000844565ZW · Naturgy</t>
        </is>
      </c>
      <c r="L1589" s="16" t="n">
        <v>46113</v>
      </c>
      <c r="M1589" s="17" t="inlineStr">
        <is>
          <t>a</t>
        </is>
      </c>
      <c r="N1589" s="16" t="n">
        <v>46142</v>
      </c>
      <c r="R1589" s="18" t="inlineStr">
        <is>
          <t>HISTÓRICO DEL CUPS · HOJA TTVA LUZ</t>
        </is>
      </c>
    </row>
    <row r="1590">
      <c r="A1590" s="19" t="inlineStr">
        <is>
          <t>Concepto</t>
        </is>
      </c>
      <c r="B1590" s="20" t="inlineStr">
        <is>
          <t>PENDIENTE (sin registrar)</t>
        </is>
      </c>
      <c r="C1590" s="21" t="n"/>
      <c r="D1590" s="21" t="n"/>
      <c r="E1590" s="21" t="n"/>
      <c r="F1590" s="21" t="n"/>
      <c r="H1590" s="22" t="inlineStr">
        <is>
          <t>MES ANTERIOR · Fact.6356</t>
        </is>
      </c>
      <c r="I1590" s="23" t="n"/>
      <c r="J1590" s="23" t="n"/>
      <c r="L1590" s="24" t="inlineStr">
        <is>
          <t>AÑO ANTERIOR · (sin dato)</t>
        </is>
      </c>
      <c r="M1590" s="25" t="n"/>
      <c r="N1590" s="25" t="n"/>
      <c r="R1590" s="26" t="inlineStr">
        <is>
          <t>Cobrado total: 2 €</t>
        </is>
      </c>
    </row>
    <row r="1591">
      <c r="B1591" s="7" t="inlineStr">
        <is>
          <t>Cant</t>
        </is>
      </c>
      <c r="C1591" s="7" t="inlineStr">
        <is>
          <t>Días</t>
        </is>
      </c>
      <c r="D1591" s="7" t="inlineStr">
        <is>
          <t>PC real</t>
        </is>
      </c>
      <c r="E1591" s="7" t="inlineStr">
        <is>
          <t>PV</t>
        </is>
      </c>
      <c r="F1591" s="7" t="inlineStr">
        <is>
          <t>Importe</t>
        </is>
      </c>
      <c r="H1591" s="27" t="inlineStr">
        <is>
          <t>Cant</t>
        </is>
      </c>
      <c r="I1591" s="27" t="inlineStr">
        <is>
          <t>PV</t>
        </is>
      </c>
      <c r="J1591" s="27" t="inlineStr">
        <is>
          <t>Importe</t>
        </is>
      </c>
      <c r="L1591" s="28" t="inlineStr">
        <is>
          <t>Cant</t>
        </is>
      </c>
      <c r="M1591" s="28" t="inlineStr">
        <is>
          <t>PV</t>
        </is>
      </c>
      <c r="N1591" s="28" t="inlineStr">
        <is>
          <t>Importe</t>
        </is>
      </c>
      <c r="R1591" s="29" t="inlineStr">
        <is>
          <t>Pagado total: 0 €</t>
        </is>
      </c>
    </row>
    <row r="1592">
      <c r="A1592" s="30" t="inlineStr">
        <is>
          <t>P1 Potencia</t>
        </is>
      </c>
      <c r="B1592" s="31" t="n">
        <v>3.45</v>
      </c>
      <c r="C1592" s="32">
        <f>$N$1589-$L$1589+1</f>
        <v/>
      </c>
      <c r="D1592" s="33" t="n">
        <v>3.68919</v>
      </c>
      <c r="E1592" s="34" t="n">
        <v>3.85</v>
      </c>
      <c r="F1592" s="35">
        <f>ROUND(B1592*E1592,2)</f>
        <v/>
      </c>
      <c r="H1592" s="36" t="n">
        <v>3.45</v>
      </c>
      <c r="I1592" s="37" t="n">
        <v>3.85</v>
      </c>
      <c r="J1592" s="38">
        <f>ROUND(H1592*I1592,2)</f>
        <v/>
      </c>
      <c r="L1592" s="65" t="n"/>
      <c r="M1592" s="65" t="n"/>
      <c r="N1592" s="65" t="n"/>
      <c r="R1592" s="42" t="inlineStr">
        <is>
          <t>DIF: 2 €   ·   Margen hist.: 100.0%</t>
        </is>
      </c>
    </row>
    <row r="1593">
      <c r="A1593" s="30" t="inlineStr">
        <is>
          <t>P2 Potencia</t>
        </is>
      </c>
      <c r="B1593" s="31" t="n">
        <v>3.45</v>
      </c>
      <c r="C1593" s="32">
        <f>$N$1589-$L$1589+1</f>
        <v/>
      </c>
      <c r="D1593" s="33" t="n">
        <v>1.31928</v>
      </c>
      <c r="E1593" s="34" t="n">
        <v>1.33</v>
      </c>
      <c r="F1593" s="35">
        <f>ROUND(B1593*E1593,2)</f>
        <v/>
      </c>
      <c r="H1593" s="36" t="n">
        <v>3.45</v>
      </c>
      <c r="I1593" s="37" t="n">
        <v>1.33</v>
      </c>
      <c r="J1593" s="38">
        <f>ROUND(H1593*I1593,2)</f>
        <v/>
      </c>
      <c r="L1593" s="65" t="n"/>
      <c r="M1593" s="65" t="n"/>
      <c r="N1593" s="65" t="n"/>
    </row>
    <row r="1594">
      <c r="A1594" s="30" t="inlineStr">
        <is>
          <t>P1 Energía</t>
        </is>
      </c>
      <c r="B1594" s="31">
        <f>IF($P$1594&lt;&gt;"",ROUND(AA1594*(($AB$1594/(1-$P$1594))-17.8710)/6.2236,2),IF('Resumen'!$D$3="OPTIMIZAR",AA1594,AA1594))</f>
        <v/>
      </c>
      <c r="C1594" s="44" t="n"/>
      <c r="D1594" s="33" t="n">
        <v>0.111171</v>
      </c>
      <c r="E1594" s="34" t="n">
        <v>0.13788</v>
      </c>
      <c r="F1594" s="35">
        <f>ROUND(B1594*E1594,2)</f>
        <v/>
      </c>
      <c r="H1594" s="36" t="n">
        <v>9.558</v>
      </c>
      <c r="I1594" s="37" t="n">
        <v>0.13788</v>
      </c>
      <c r="J1594" s="38">
        <f>ROUND(H1594*I1594,2)</f>
        <v/>
      </c>
      <c r="L1594" s="65" t="n"/>
      <c r="M1594" s="65" t="n"/>
      <c r="N1594" s="65" t="n"/>
      <c r="O1594" s="45" t="inlineStr">
        <is>
          <t>Margen objetivo (edita % aquí) ▶</t>
        </is>
      </c>
      <c r="P1594" s="5" t="n"/>
      <c r="AA1594" t="n">
        <v>13.884</v>
      </c>
      <c r="AB1594">
        <f>B1592*D1592+B1593*D1593+AA1594*D1594+AA1595*D1595+AA1596*D1596</f>
        <v/>
      </c>
    </row>
    <row r="1595">
      <c r="A1595" s="30" t="inlineStr">
        <is>
          <t>P2 Energía</t>
        </is>
      </c>
      <c r="B1595" s="31">
        <f>IF($P$1594&lt;&gt;"",ROUND(AA1595*(($AB$1594/(1-$P$1594))-17.8710)/6.2236,2),IF('Resumen'!$D$3="OPTIMIZAR",AA1595,AA1595))</f>
        <v/>
      </c>
      <c r="C1595" s="44" t="n"/>
      <c r="D1595" s="33" t="n">
        <v>0.111171</v>
      </c>
      <c r="E1595" s="34" t="n">
        <v>0.13788</v>
      </c>
      <c r="F1595" s="35">
        <f>ROUND(B1595*E1595,2)</f>
        <v/>
      </c>
      <c r="H1595" s="36" t="n">
        <v>13.157</v>
      </c>
      <c r="I1595" s="37" t="n">
        <v>0.13788</v>
      </c>
      <c r="J1595" s="38">
        <f>ROUND(H1595*I1595,2)</f>
        <v/>
      </c>
      <c r="L1595" s="65" t="n"/>
      <c r="M1595" s="65" t="n"/>
      <c r="N1595" s="65" t="n"/>
      <c r="O1595" s="46" t="inlineStr">
        <is>
          <t>Cant. P1/P2/P3 energía suben</t>
        </is>
      </c>
      <c r="R1595" s="43" t="inlineStr">
        <is>
          <t>Importe mensual cobrado (€) · 24 meses ▾</t>
        </is>
      </c>
      <c r="AA1595" t="n">
        <v>7.969</v>
      </c>
    </row>
    <row r="1596">
      <c r="A1596" s="30" t="inlineStr">
        <is>
          <t>P3 Energía</t>
        </is>
      </c>
      <c r="B1596" s="31">
        <f>IF($P$1594&lt;&gt;"",ROUND(AA1596*(($AB$1594/(1-$P$1594))-17.8710)/6.2236,2),IF('Resumen'!$D$3="OPTIMIZAR",AA1596,AA1596))</f>
        <v/>
      </c>
      <c r="C1596" s="44" t="n"/>
      <c r="D1596" s="33" t="n">
        <v>0.111171</v>
      </c>
      <c r="E1596" s="34" t="n">
        <v>0.13788</v>
      </c>
      <c r="F1596" s="35">
        <f>ROUND(B1596*E1596,2)</f>
        <v/>
      </c>
      <c r="H1596" s="36" t="n">
        <v>28.872</v>
      </c>
      <c r="I1596" s="37" t="n">
        <v>0.13788</v>
      </c>
      <c r="J1596" s="38">
        <f>ROUND(H1596*I1596,2)</f>
        <v/>
      </c>
      <c r="L1596" s="65" t="n"/>
      <c r="M1596" s="65" t="n"/>
      <c r="N1596" s="65" t="n"/>
      <c r="O1596" s="46" t="inlineStr">
        <is>
          <t>en proporción para ese margen</t>
        </is>
      </c>
      <c r="AA1596" t="n">
        <v>23.285</v>
      </c>
    </row>
    <row r="1597">
      <c r="A1597" s="30" t="inlineStr">
        <is>
          <t>Alquiler contador</t>
        </is>
      </c>
      <c r="B1597" s="31" t="n">
        <v>1</v>
      </c>
      <c r="C1597" s="32">
        <f>$N$1589-$L$1589+1</f>
        <v/>
      </c>
      <c r="D1597" s="33" t="n">
        <v>0.7989000000000001</v>
      </c>
      <c r="E1597" s="34" t="n">
        <v>3</v>
      </c>
      <c r="F1597" s="35">
        <f>ROUND(B1597*E1597,2)</f>
        <v/>
      </c>
      <c r="H1597" s="36" t="n">
        <v>1</v>
      </c>
      <c r="I1597" s="37" t="n">
        <v>3</v>
      </c>
      <c r="J1597" s="38">
        <f>ROUND(H1597*I1597,2)</f>
        <v/>
      </c>
      <c r="L1597" s="65" t="n"/>
      <c r="M1597" s="65" t="n"/>
      <c r="N1597" s="65" t="n"/>
    </row>
    <row r="1598">
      <c r="A1598" s="30" t="inlineStr">
        <is>
          <t>Bono social</t>
        </is>
      </c>
      <c r="B1598" s="31" t="n">
        <v>30</v>
      </c>
      <c r="C1598" s="32">
        <f>$N$1589-$L$1589+1</f>
        <v/>
      </c>
      <c r="D1598" s="33" t="n">
        <v>0.5736</v>
      </c>
      <c r="E1598" s="34" t="n">
        <v>0.01274</v>
      </c>
      <c r="F1598" s="35">
        <f>ROUND(B1598*E1598,2)</f>
        <v/>
      </c>
      <c r="H1598" s="36" t="n">
        <v>30</v>
      </c>
      <c r="I1598" s="37" t="n">
        <v>0.01274</v>
      </c>
      <c r="J1598" s="38">
        <f>ROUND(H1598*I1598,2)</f>
        <v/>
      </c>
      <c r="L1598" s="65" t="n"/>
      <c r="M1598" s="65" t="n"/>
      <c r="N1598" s="65" t="n"/>
    </row>
    <row r="1599">
      <c r="A1599" s="30" t="inlineStr">
        <is>
          <t>Tasa eléctrica</t>
        </is>
      </c>
      <c r="B1599" s="31" t="n">
        <v>1.24</v>
      </c>
      <c r="C1599" s="44" t="n"/>
      <c r="D1599" s="33" t="n">
        <v>0.27312</v>
      </c>
      <c r="E1599" s="34" t="n">
        <v>1</v>
      </c>
      <c r="F1599" s="35">
        <f>ROUND(B1599*E1599,2)</f>
        <v/>
      </c>
      <c r="H1599" s="36" t="n">
        <v>1.29</v>
      </c>
      <c r="I1599" s="37" t="n">
        <v>1</v>
      </c>
      <c r="J1599" s="38">
        <f>ROUND(H1599*I1599,2)</f>
        <v/>
      </c>
      <c r="L1599" s="65" t="n"/>
      <c r="M1599" s="65" t="n"/>
      <c r="N1599" s="65" t="n"/>
    </row>
    <row r="1600">
      <c r="A1600" s="47" t="inlineStr">
        <is>
          <t>TOTAL c/IVA</t>
        </is>
      </c>
      <c r="F1600" s="48">
        <f>ROUND((SUM(F1592:F1599)-F1599)*1.1+F1599,2)</f>
        <v/>
      </c>
      <c r="J1600" s="49">
        <f>ROUND(SUM(J1592:J1599),2)</f>
        <v/>
      </c>
      <c r="N1600" s="66" t="n"/>
    </row>
    <row r="1601">
      <c r="A1601" s="19" t="inlineStr">
        <is>
          <t>MARGEN sin registrar</t>
        </is>
      </c>
      <c r="B1601" s="51">
        <f>IF((F1595+F1592+F1594+F1596+F1593)=0,"",((F1595+F1592+F1594+F1596+F1593)-$AB$1594)/(F1595+F1592+F1594+F1596+F1593))</f>
        <v/>
      </c>
      <c r="D1601" s="52">
        <f>IF(B1601="","SIN PC",IF(B1601&gt;=0.3,"APROBAR",IF(B1601&gt;=0.2,"REVISAR","RECHAZAR")))</f>
        <v/>
      </c>
      <c r="E1601" s="53" t="n"/>
      <c r="F1601" s="54" t="n"/>
      <c r="AD1601">
        <f>SUM(F1594:F1596)-6.2236</f>
        <v/>
      </c>
    </row>
    <row r="1603">
      <c r="A1603" s="15" t="inlineStr">
        <is>
          <t>Factura 8689 · C02970 · SARA HERMINA NIJENHUIJS GREVE</t>
        </is>
      </c>
      <c r="H1603" s="15" t="inlineStr">
        <is>
          <t>ES0021000000821424LE · Iberdrola</t>
        </is>
      </c>
      <c r="L1603" s="16" t="n">
        <v>46113</v>
      </c>
      <c r="M1603" s="17" t="inlineStr">
        <is>
          <t>a</t>
        </is>
      </c>
      <c r="N1603" s="16" t="n">
        <v>46142</v>
      </c>
      <c r="R1603" s="18" t="inlineStr">
        <is>
          <t>HISTÓRICO DEL CUPS · HOJA TTVA LUZ</t>
        </is>
      </c>
    </row>
    <row r="1604">
      <c r="A1604" s="19" t="inlineStr">
        <is>
          <t>Concepto</t>
        </is>
      </c>
      <c r="B1604" s="20" t="inlineStr">
        <is>
          <t>PENDIENTE (sin registrar)</t>
        </is>
      </c>
      <c r="C1604" s="21" t="n"/>
      <c r="D1604" s="21" t="n"/>
      <c r="E1604" s="21" t="n"/>
      <c r="F1604" s="21" t="n"/>
      <c r="H1604" s="22" t="inlineStr">
        <is>
          <t>MES ANTERIOR · Fact.6355</t>
        </is>
      </c>
      <c r="I1604" s="23" t="n"/>
      <c r="J1604" s="23" t="n"/>
      <c r="L1604" s="24" t="inlineStr">
        <is>
          <t>AÑO ANTERIOR · (sin dato)</t>
        </is>
      </c>
      <c r="M1604" s="25" t="n"/>
      <c r="N1604" s="25" t="n"/>
      <c r="R1604" s="26" t="inlineStr">
        <is>
          <t>Cobrado total: -0 €</t>
        </is>
      </c>
    </row>
    <row r="1605">
      <c r="B1605" s="7" t="inlineStr">
        <is>
          <t>Cant</t>
        </is>
      </c>
      <c r="C1605" s="7" t="inlineStr">
        <is>
          <t>Días</t>
        </is>
      </c>
      <c r="D1605" s="7" t="inlineStr">
        <is>
          <t>PC real</t>
        </is>
      </c>
      <c r="E1605" s="7" t="inlineStr">
        <is>
          <t>PV</t>
        </is>
      </c>
      <c r="F1605" s="7" t="inlineStr">
        <is>
          <t>Importe</t>
        </is>
      </c>
      <c r="H1605" s="27" t="inlineStr">
        <is>
          <t>Cant</t>
        </is>
      </c>
      <c r="I1605" s="27" t="inlineStr">
        <is>
          <t>PV</t>
        </is>
      </c>
      <c r="J1605" s="27" t="inlineStr">
        <is>
          <t>Importe</t>
        </is>
      </c>
      <c r="L1605" s="28" t="inlineStr">
        <is>
          <t>Cant</t>
        </is>
      </c>
      <c r="M1605" s="28" t="inlineStr">
        <is>
          <t>PV</t>
        </is>
      </c>
      <c r="N1605" s="28" t="inlineStr">
        <is>
          <t>Importe</t>
        </is>
      </c>
      <c r="R1605" s="29" t="inlineStr">
        <is>
          <t>Pagado total: 0 €</t>
        </is>
      </c>
    </row>
    <row r="1606">
      <c r="A1606" s="30" t="inlineStr">
        <is>
          <t>P1 Potencia</t>
        </is>
      </c>
      <c r="B1606" s="31" t="n">
        <v>5.75</v>
      </c>
      <c r="C1606" s="32">
        <f>$N$1603-$L$1603+1</f>
        <v/>
      </c>
      <c r="D1606" s="33" t="n">
        <v>3.40863</v>
      </c>
      <c r="E1606" s="34" t="n">
        <v>3.85</v>
      </c>
      <c r="F1606" s="35">
        <f>ROUND(B1606*E1606,2)</f>
        <v/>
      </c>
      <c r="H1606" s="36" t="n">
        <v>5.75</v>
      </c>
      <c r="I1606" s="37" t="n">
        <v>3.85</v>
      </c>
      <c r="J1606" s="38">
        <f>ROUND(H1606*I1606,2)</f>
        <v/>
      </c>
      <c r="L1606" s="65" t="n"/>
      <c r="M1606" s="65" t="n"/>
      <c r="N1606" s="65" t="n"/>
      <c r="R1606" s="42" t="inlineStr">
        <is>
          <t>DIF: -0 €   ·   Margen hist.: 100.0%</t>
        </is>
      </c>
    </row>
    <row r="1607">
      <c r="A1607" s="30" t="inlineStr">
        <is>
          <t>P2 Potencia</t>
        </is>
      </c>
      <c r="B1607" s="31" t="n">
        <v>5.75</v>
      </c>
      <c r="C1607" s="32">
        <f>$N$1603-$L$1603+1</f>
        <v/>
      </c>
      <c r="D1607" s="33" t="n">
        <v>1.44069</v>
      </c>
      <c r="E1607" s="34" t="n">
        <v>1.33</v>
      </c>
      <c r="F1607" s="35">
        <f>ROUND(B1607*E1607,2)</f>
        <v/>
      </c>
      <c r="H1607" s="36" t="n">
        <v>5.75</v>
      </c>
      <c r="I1607" s="37" t="n">
        <v>1.33</v>
      </c>
      <c r="J1607" s="38">
        <f>ROUND(H1607*I1607,2)</f>
        <v/>
      </c>
      <c r="L1607" s="65" t="n"/>
      <c r="M1607" s="65" t="n"/>
      <c r="N1607" s="65" t="n"/>
    </row>
    <row r="1608">
      <c r="A1608" s="30" t="inlineStr">
        <is>
          <t>P1 Energía</t>
        </is>
      </c>
      <c r="B1608" s="31">
        <f>IF($P$1608&lt;&gt;"",ROUND(AA1608*(($AB$1608/(1-$P$1608))-29.7850)/0.1074,2),IF('Resumen'!$D$3="OPTIMIZAR",AA1608,AA1608))</f>
        <v/>
      </c>
      <c r="C1608" s="44" t="n"/>
      <c r="D1608" s="33" t="n">
        <v>0.181739</v>
      </c>
      <c r="E1608" s="34" t="n">
        <v>0.13788</v>
      </c>
      <c r="F1608" s="35">
        <f>ROUND(B1608*E1608,2)</f>
        <v/>
      </c>
      <c r="H1608" s="36" t="n">
        <v>43.529</v>
      </c>
      <c r="I1608" s="37" t="n">
        <v>0.13788</v>
      </c>
      <c r="J1608" s="38">
        <f>ROUND(H1608*I1608,2)</f>
        <v/>
      </c>
      <c r="L1608" s="65" t="n"/>
      <c r="M1608" s="65" t="n"/>
      <c r="N1608" s="65" t="n"/>
      <c r="O1608" s="45" t="inlineStr">
        <is>
          <t>Margen objetivo (edita % aquí) ▶</t>
        </is>
      </c>
      <c r="P1608" s="5" t="n"/>
      <c r="AA1608" t="n">
        <v>0.151</v>
      </c>
      <c r="AB1608">
        <f>B1606*D1606+B1607*D1607+AA1608*D1608+AA1609*D1609+AA1610*D1610</f>
        <v/>
      </c>
    </row>
    <row r="1609">
      <c r="A1609" s="30" t="inlineStr">
        <is>
          <t>P2 Energía</t>
        </is>
      </c>
      <c r="B1609" s="31">
        <f>IF($P$1608&lt;&gt;"",ROUND(AA1609*(($AB$1608/(1-$P$1608))-29.7850)/0.1074,2),IF('Resumen'!$D$3="OPTIMIZAR",AA1609,AA1609))</f>
        <v/>
      </c>
      <c r="C1609" s="44" t="n"/>
      <c r="D1609" s="33" t="n">
        <v>0.181739</v>
      </c>
      <c r="E1609" s="34" t="n">
        <v>0.13788</v>
      </c>
      <c r="F1609" s="35">
        <f>ROUND(B1609*E1609,2)</f>
        <v/>
      </c>
      <c r="H1609" s="36" t="n">
        <v>58.212</v>
      </c>
      <c r="I1609" s="37" t="n">
        <v>0.13788</v>
      </c>
      <c r="J1609" s="38">
        <f>ROUND(H1609*I1609,2)</f>
        <v/>
      </c>
      <c r="L1609" s="65" t="n"/>
      <c r="M1609" s="65" t="n"/>
      <c r="N1609" s="65" t="n"/>
      <c r="O1609" s="46" t="inlineStr">
        <is>
          <t>Cant. P1/P2/P3 energía suben</t>
        </is>
      </c>
      <c r="R1609" s="43" t="inlineStr">
        <is>
          <t>Importe mensual cobrado (€) · 24 meses ▾</t>
        </is>
      </c>
      <c r="AA1609" t="n">
        <v>0.033</v>
      </c>
    </row>
    <row r="1610">
      <c r="A1610" s="30" t="inlineStr">
        <is>
          <t>P3 Energía</t>
        </is>
      </c>
      <c r="B1610" s="31">
        <f>IF($P$1608&lt;&gt;"",ROUND(AA1610*(($AB$1608/(1-$P$1608))-29.7850)/0.1074,2),IF('Resumen'!$D$3="OPTIMIZAR",AA1610,AA1610))</f>
        <v/>
      </c>
      <c r="C1610" s="44" t="n"/>
      <c r="D1610" s="33" t="n">
        <v>0.181739</v>
      </c>
      <c r="E1610" s="34" t="n">
        <v>0.13788</v>
      </c>
      <c r="F1610" s="35">
        <f>ROUND(B1610*E1610,2)</f>
        <v/>
      </c>
      <c r="H1610" s="36" t="n">
        <v>84.687</v>
      </c>
      <c r="I1610" s="37" t="n">
        <v>0.13788</v>
      </c>
      <c r="J1610" s="38">
        <f>ROUND(H1610*I1610,2)</f>
        <v/>
      </c>
      <c r="L1610" s="65" t="n"/>
      <c r="M1610" s="65" t="n"/>
      <c r="N1610" s="65" t="n"/>
      <c r="O1610" s="46" t="inlineStr">
        <is>
          <t>en proporción para ese margen</t>
        </is>
      </c>
      <c r="AA1610" t="n">
        <v>0.595</v>
      </c>
    </row>
    <row r="1611">
      <c r="A1611" s="30" t="inlineStr">
        <is>
          <t>Alquiler contador</t>
        </is>
      </c>
      <c r="B1611" s="31" t="n">
        <v>1</v>
      </c>
      <c r="C1611" s="32">
        <f>$N$1603-$L$1603+1</f>
        <v/>
      </c>
      <c r="D1611" s="33" t="n">
        <v>0.7989000000000001</v>
      </c>
      <c r="E1611" s="34" t="n">
        <v>3</v>
      </c>
      <c r="F1611" s="35">
        <f>ROUND(B1611*E1611,2)</f>
        <v/>
      </c>
      <c r="H1611" s="36" t="n">
        <v>1</v>
      </c>
      <c r="I1611" s="37" t="n">
        <v>3</v>
      </c>
      <c r="J1611" s="38">
        <f>ROUND(H1611*I1611,2)</f>
        <v/>
      </c>
      <c r="L1611" s="65" t="n"/>
      <c r="M1611" s="65" t="n"/>
      <c r="N1611" s="65" t="n"/>
    </row>
    <row r="1612">
      <c r="A1612" s="30" t="inlineStr">
        <is>
          <t>Bono social</t>
        </is>
      </c>
      <c r="B1612" s="31" t="n">
        <v>30</v>
      </c>
      <c r="C1612" s="32">
        <f>$N$1603-$L$1603+1</f>
        <v/>
      </c>
      <c r="D1612" s="33" t="n">
        <v>0.5736</v>
      </c>
      <c r="E1612" s="34" t="n">
        <v>0.01274</v>
      </c>
      <c r="F1612" s="35">
        <f>ROUND(B1612*E1612,2)</f>
        <v/>
      </c>
      <c r="H1612" s="36" t="n">
        <v>30</v>
      </c>
      <c r="I1612" s="37" t="n">
        <v>0.01274</v>
      </c>
      <c r="J1612" s="38">
        <f>ROUND(H1612*I1612,2)</f>
        <v/>
      </c>
      <c r="L1612" s="65" t="n"/>
      <c r="M1612" s="65" t="n"/>
      <c r="N1612" s="65" t="n"/>
    </row>
    <row r="1613">
      <c r="A1613" s="30" t="inlineStr">
        <is>
          <t>Tasa eléctrica</t>
        </is>
      </c>
      <c r="B1613" s="31" t="n">
        <v>1.53</v>
      </c>
      <c r="C1613" s="44" t="n"/>
      <c r="D1613" s="33" t="n">
        <v>0.02697</v>
      </c>
      <c r="E1613" s="34" t="n">
        <v>1</v>
      </c>
      <c r="F1613" s="35">
        <f>ROUND(B1613*E1613,2)</f>
        <v/>
      </c>
      <c r="H1613" s="36" t="n">
        <v>2.4</v>
      </c>
      <c r="I1613" s="37" t="n">
        <v>1</v>
      </c>
      <c r="J1613" s="38">
        <f>ROUND(H1613*I1613,2)</f>
        <v/>
      </c>
      <c r="L1613" s="65" t="n"/>
      <c r="M1613" s="65" t="n"/>
      <c r="N1613" s="65" t="n"/>
    </row>
    <row r="1614">
      <c r="A1614" s="47" t="inlineStr">
        <is>
          <t>TOTAL c/IVA</t>
        </is>
      </c>
      <c r="F1614" s="48">
        <f>ROUND((SUM(F1606:F1613)-F1613)*1.1+F1613,2)</f>
        <v/>
      </c>
      <c r="J1614" s="49">
        <f>ROUND(SUM(J1606:J1613),2)</f>
        <v/>
      </c>
      <c r="N1614" s="66" t="n"/>
    </row>
    <row r="1615">
      <c r="A1615" s="19" t="inlineStr">
        <is>
          <t>MARGEN sin registrar</t>
        </is>
      </c>
      <c r="B1615" s="51">
        <f>IF((F1609+F1606+F1608+F1610+F1607)=0,"",((F1609+F1606+F1608+F1610+F1607)-$AB$1608)/(F1609+F1606+F1608+F1610+F1607))</f>
        <v/>
      </c>
      <c r="D1615" s="52">
        <f>IF(B1615="","SIN PC",IF(B1615&gt;=0.3,"APROBAR",IF(B1615&gt;=0.2,"REVISAR","RECHAZAR")))</f>
        <v/>
      </c>
      <c r="E1615" s="53" t="n"/>
      <c r="F1615" s="54" t="n"/>
      <c r="AD1615">
        <f>SUM(F1608:F1610)-0.1074</f>
        <v/>
      </c>
    </row>
    <row r="1616">
      <c r="A1616" s="55" t="inlineStr">
        <is>
          <t>☀ EXCEDENTES SOLARES (kWh vertidos reales)</t>
        </is>
      </c>
      <c r="B1616" s="56" t="n"/>
      <c r="C1616" s="56" t="n"/>
      <c r="D1616" s="56" t="n"/>
      <c r="E1616" s="56" t="n"/>
      <c r="F1616" s="56" t="n"/>
    </row>
    <row r="1617">
      <c r="A1617" s="57" t="inlineStr">
        <is>
          <t>Concepto</t>
        </is>
      </c>
      <c r="B1617" s="57" t="inlineStr">
        <is>
          <t>kWh</t>
        </is>
      </c>
      <c r="D1617" s="57" t="inlineStr">
        <is>
          <t>€/kWh compra</t>
        </is>
      </c>
      <c r="E1617" s="57" t="inlineStr">
        <is>
          <t>€/kWh venta</t>
        </is>
      </c>
      <c r="F1617" s="57" t="inlineStr">
        <is>
          <t>Importe</t>
        </is>
      </c>
    </row>
    <row r="1618">
      <c r="A1618" s="58" t="inlineStr">
        <is>
          <t>Compra excedentes (vertido red)</t>
        </is>
      </c>
      <c r="B1618" s="59" t="n">
        <v>481</v>
      </c>
      <c r="C1618" s="60" t="n"/>
      <c r="D1618" s="33" t="n">
        <v>0.001532</v>
      </c>
      <c r="E1618" s="60" t="n"/>
      <c r="F1618" s="61">
        <f>ROUND(B1618*D1618,2)</f>
        <v/>
      </c>
      <c r="H1618" s="68" t="inlineStr">
        <is>
          <t>⚠ Iberdrola: exportados 480,69 kWh; compensa 0,001532 EUR/kWh via Solar Cloud (no 0,06)</t>
        </is>
      </c>
    </row>
    <row r="1619">
      <c r="A1619" s="58" t="inlineStr">
        <is>
          <t>Venta cliente (saldo batería, 1043)</t>
        </is>
      </c>
      <c r="B1619" s="60" t="n"/>
      <c r="C1619" s="60" t="n"/>
      <c r="D1619" s="60" t="n"/>
      <c r="E1619" s="60" t="n"/>
      <c r="F1619" s="61" t="n">
        <v>0.1</v>
      </c>
    </row>
    <row r="1620">
      <c r="A1620" s="63" t="inlineStr">
        <is>
          <t>NETO Transactiva (compra − venta)</t>
        </is>
      </c>
      <c r="B1620" s="60" t="n"/>
      <c r="C1620" s="60" t="n"/>
      <c r="D1620" s="60" t="n"/>
      <c r="E1620" s="60" t="n"/>
      <c r="F1620" s="64">
        <f>F1618-F1619</f>
        <v/>
      </c>
    </row>
    <row r="1622">
      <c r="A1622" s="15" t="inlineStr">
        <is>
          <t>Factura 8690 · C02990 · AMARE BOTEGA SL</t>
        </is>
      </c>
      <c r="H1622" s="15" t="inlineStr">
        <is>
          <t>ES0021000001204720XT · Naturgy</t>
        </is>
      </c>
      <c r="L1622" s="16" t="n">
        <v>46113</v>
      </c>
      <c r="M1622" s="17" t="inlineStr">
        <is>
          <t>a</t>
        </is>
      </c>
      <c r="N1622" s="16" t="n">
        <v>46142</v>
      </c>
      <c r="R1622" s="18" t="inlineStr">
        <is>
          <t>HISTÓRICO DEL CUPS · HOJA TTVA LUZ</t>
        </is>
      </c>
    </row>
    <row r="1623">
      <c r="A1623" s="19" t="inlineStr">
        <is>
          <t>Concepto</t>
        </is>
      </c>
      <c r="B1623" s="20" t="inlineStr">
        <is>
          <t>PENDIENTE (sin registrar)</t>
        </is>
      </c>
      <c r="C1623" s="21" t="n"/>
      <c r="D1623" s="21" t="n"/>
      <c r="E1623" s="21" t="n"/>
      <c r="F1623" s="21" t="n"/>
      <c r="H1623" s="22" t="inlineStr">
        <is>
          <t>MES ANTERIOR · Fact.6354</t>
        </is>
      </c>
      <c r="I1623" s="23" t="n"/>
      <c r="J1623" s="23" t="n"/>
      <c r="L1623" s="24" t="inlineStr">
        <is>
          <t>AÑO ANTERIOR · (sin dato)</t>
        </is>
      </c>
      <c r="M1623" s="25" t="n"/>
      <c r="N1623" s="25" t="n"/>
      <c r="R1623" s="26" t="inlineStr">
        <is>
          <t>Cobrado total: 2 €</t>
        </is>
      </c>
    </row>
    <row r="1624">
      <c r="B1624" s="7" t="inlineStr">
        <is>
          <t>Cant</t>
        </is>
      </c>
      <c r="C1624" s="7" t="inlineStr">
        <is>
          <t>Días</t>
        </is>
      </c>
      <c r="D1624" s="7" t="inlineStr">
        <is>
          <t>PC real</t>
        </is>
      </c>
      <c r="E1624" s="7" t="inlineStr">
        <is>
          <t>PV</t>
        </is>
      </c>
      <c r="F1624" s="7" t="inlineStr">
        <is>
          <t>Importe</t>
        </is>
      </c>
      <c r="H1624" s="27" t="inlineStr">
        <is>
          <t>Cant</t>
        </is>
      </c>
      <c r="I1624" s="27" t="inlineStr">
        <is>
          <t>PV</t>
        </is>
      </c>
      <c r="J1624" s="27" t="inlineStr">
        <is>
          <t>Importe</t>
        </is>
      </c>
      <c r="L1624" s="28" t="inlineStr">
        <is>
          <t>Cant</t>
        </is>
      </c>
      <c r="M1624" s="28" t="inlineStr">
        <is>
          <t>PV</t>
        </is>
      </c>
      <c r="N1624" s="28" t="inlineStr">
        <is>
          <t>Importe</t>
        </is>
      </c>
      <c r="R1624" s="29" t="inlineStr">
        <is>
          <t>Pagado total: 0 €</t>
        </is>
      </c>
    </row>
    <row r="1625">
      <c r="A1625" s="30" t="inlineStr">
        <is>
          <t>P1 Potencia</t>
        </is>
      </c>
      <c r="B1625" s="31" t="n">
        <v>14.49</v>
      </c>
      <c r="C1625" s="32">
        <f>$N$1622-$L$1622+1</f>
        <v/>
      </c>
      <c r="D1625" s="33" t="n">
        <v>3.68919</v>
      </c>
      <c r="E1625" s="34" t="n">
        <v>3.85</v>
      </c>
      <c r="F1625" s="35">
        <f>ROUND(B1625*E1625,2)</f>
        <v/>
      </c>
      <c r="H1625" s="36" t="n">
        <v>14.49</v>
      </c>
      <c r="I1625" s="37" t="n">
        <v>3.85</v>
      </c>
      <c r="J1625" s="38">
        <f>ROUND(H1625*I1625,2)</f>
        <v/>
      </c>
      <c r="L1625" s="65" t="n"/>
      <c r="M1625" s="65" t="n"/>
      <c r="N1625" s="65" t="n"/>
      <c r="R1625" s="42" t="inlineStr">
        <is>
          <t>DIF: 2 €   ·   Margen hist.: 100.0%</t>
        </is>
      </c>
    </row>
    <row r="1626">
      <c r="A1626" s="30" t="inlineStr">
        <is>
          <t>P2 Potencia</t>
        </is>
      </c>
      <c r="B1626" s="31" t="n">
        <v>14.49</v>
      </c>
      <c r="C1626" s="32">
        <f>$N$1622-$L$1622+1</f>
        <v/>
      </c>
      <c r="D1626" s="33" t="n">
        <v>1.31928</v>
      </c>
      <c r="E1626" s="34" t="n">
        <v>1.33</v>
      </c>
      <c r="F1626" s="35">
        <f>ROUND(B1626*E1626,2)</f>
        <v/>
      </c>
      <c r="H1626" s="36" t="n">
        <v>14.49</v>
      </c>
      <c r="I1626" s="37" t="n">
        <v>1.33</v>
      </c>
      <c r="J1626" s="38">
        <f>ROUND(H1626*I1626,2)</f>
        <v/>
      </c>
      <c r="L1626" s="65" t="n"/>
      <c r="M1626" s="65" t="n"/>
      <c r="N1626" s="65" t="n"/>
    </row>
    <row r="1627">
      <c r="A1627" s="30" t="inlineStr">
        <is>
          <t>P1 Energía</t>
        </is>
      </c>
      <c r="B1627" s="31">
        <f>IF($P$1627&lt;&gt;"",ROUND(AA1627*(($AB$1627/(1-$P$1627))-75.0582)/220.4430,2),IF('Resumen'!$D$3="OPTIMIZAR",AA1627,AA1627))</f>
        <v/>
      </c>
      <c r="C1627" s="44" t="n"/>
      <c r="D1627" s="33" t="n">
        <v>0.111171</v>
      </c>
      <c r="E1627" s="34" t="n">
        <v>0.13788</v>
      </c>
      <c r="F1627" s="35">
        <f>ROUND(B1627*E1627,2)</f>
        <v/>
      </c>
      <c r="H1627" s="36" t="n">
        <v>325.707</v>
      </c>
      <c r="I1627" s="37" t="n">
        <v>0.13788</v>
      </c>
      <c r="J1627" s="38">
        <f>ROUND(H1627*I1627,2)</f>
        <v/>
      </c>
      <c r="L1627" s="65" t="n"/>
      <c r="M1627" s="65" t="n"/>
      <c r="N1627" s="65" t="n"/>
      <c r="O1627" s="45" t="inlineStr">
        <is>
          <t>Margen objetivo (edita % aquí) ▶</t>
        </is>
      </c>
      <c r="P1627" s="5" t="n"/>
      <c r="AA1627" t="n">
        <v>428.614</v>
      </c>
      <c r="AB1627">
        <f>B1625*D1625+B1626*D1626+AA1627*D1627+AA1628*D1628+AA1629*D1629</f>
        <v/>
      </c>
    </row>
    <row r="1628">
      <c r="A1628" s="30" t="inlineStr">
        <is>
          <t>P2 Energía</t>
        </is>
      </c>
      <c r="B1628" s="31">
        <f>IF($P$1627&lt;&gt;"",ROUND(AA1628*(($AB$1627/(1-$P$1627))-75.0582)/220.4430,2),IF('Resumen'!$D$3="OPTIMIZAR",AA1628,AA1628))</f>
        <v/>
      </c>
      <c r="C1628" s="44" t="n"/>
      <c r="D1628" s="33" t="n">
        <v>0.111171</v>
      </c>
      <c r="E1628" s="34" t="n">
        <v>0.13788</v>
      </c>
      <c r="F1628" s="35">
        <f>ROUND(B1628*E1628,2)</f>
        <v/>
      </c>
      <c r="H1628" s="36" t="n">
        <v>282.443</v>
      </c>
      <c r="I1628" s="37" t="n">
        <v>0.13788</v>
      </c>
      <c r="J1628" s="38">
        <f>ROUND(H1628*I1628,2)</f>
        <v/>
      </c>
      <c r="L1628" s="65" t="n"/>
      <c r="M1628" s="65" t="n"/>
      <c r="N1628" s="65" t="n"/>
      <c r="O1628" s="46" t="inlineStr">
        <is>
          <t>Cant. P1/P2/P3 energía suben</t>
        </is>
      </c>
      <c r="R1628" s="43" t="inlineStr">
        <is>
          <t>Importe mensual cobrado (€) · 24 meses ▾</t>
        </is>
      </c>
      <c r="AA1628" t="n">
        <v>393.29</v>
      </c>
    </row>
    <row r="1629">
      <c r="A1629" s="30" t="inlineStr">
        <is>
          <t>P3 Energía</t>
        </is>
      </c>
      <c r="B1629" s="31">
        <f>IF($P$1627&lt;&gt;"",ROUND(AA1629*(($AB$1627/(1-$P$1627))-75.0582)/220.4430,2),IF('Resumen'!$D$3="OPTIMIZAR",AA1629,AA1629))</f>
        <v/>
      </c>
      <c r="C1629" s="44" t="n"/>
      <c r="D1629" s="33" t="n">
        <v>0.111171</v>
      </c>
      <c r="E1629" s="34" t="n">
        <v>0.13788</v>
      </c>
      <c r="F1629" s="35">
        <f>ROUND(B1629*E1629,2)</f>
        <v/>
      </c>
      <c r="H1629" s="36" t="n">
        <v>553.849</v>
      </c>
      <c r="I1629" s="37" t="n">
        <v>0.13788</v>
      </c>
      <c r="J1629" s="38">
        <f>ROUND(H1629*I1629,2)</f>
        <v/>
      </c>
      <c r="L1629" s="65" t="n"/>
      <c r="M1629" s="65" t="n"/>
      <c r="N1629" s="65" t="n"/>
      <c r="O1629" s="46" t="inlineStr">
        <is>
          <t>en proporción para ese margen</t>
        </is>
      </c>
      <c r="AA1629" t="n">
        <v>776.899</v>
      </c>
    </row>
    <row r="1630">
      <c r="A1630" s="30" t="inlineStr">
        <is>
          <t>Alquiler contador</t>
        </is>
      </c>
      <c r="B1630" s="31" t="n">
        <v>1</v>
      </c>
      <c r="C1630" s="32">
        <f>$N$1622-$L$1622+1</f>
        <v/>
      </c>
      <c r="D1630" s="33" t="n">
        <v>0.7989000000000001</v>
      </c>
      <c r="E1630" s="34" t="n">
        <v>3</v>
      </c>
      <c r="F1630" s="35">
        <f>ROUND(B1630*E1630,2)</f>
        <v/>
      </c>
      <c r="H1630" s="36" t="n">
        <v>1</v>
      </c>
      <c r="I1630" s="37" t="n">
        <v>3</v>
      </c>
      <c r="J1630" s="38">
        <f>ROUND(H1630*I1630,2)</f>
        <v/>
      </c>
      <c r="L1630" s="65" t="n"/>
      <c r="M1630" s="65" t="n"/>
      <c r="N1630" s="65" t="n"/>
    </row>
    <row r="1631">
      <c r="A1631" s="30" t="inlineStr">
        <is>
          <t>Bono social</t>
        </is>
      </c>
      <c r="B1631" s="31" t="n">
        <v>30</v>
      </c>
      <c r="C1631" s="32">
        <f>$N$1622-$L$1622+1</f>
        <v/>
      </c>
      <c r="D1631" s="33" t="n">
        <v>0.5736</v>
      </c>
      <c r="E1631" s="34" t="n">
        <v>0.01274</v>
      </c>
      <c r="F1631" s="35">
        <f>ROUND(B1631*E1631,2)</f>
        <v/>
      </c>
      <c r="H1631" s="36" t="n">
        <v>30</v>
      </c>
      <c r="I1631" s="37" t="n">
        <v>0.01274</v>
      </c>
      <c r="J1631" s="38">
        <f>ROUND(H1631*I1631,2)</f>
        <v/>
      </c>
      <c r="L1631" s="65" t="n"/>
      <c r="M1631" s="65" t="n"/>
      <c r="N1631" s="65" t="n"/>
    </row>
    <row r="1632">
      <c r="A1632" s="30" t="inlineStr">
        <is>
          <t>Tasa eléctrica</t>
        </is>
      </c>
      <c r="B1632" s="31" t="n">
        <v>15.96</v>
      </c>
      <c r="C1632" s="44" t="n"/>
      <c r="D1632" s="33" t="n">
        <v>0.27312</v>
      </c>
      <c r="E1632" s="34" t="n">
        <v>1</v>
      </c>
      <c r="F1632" s="35">
        <f>ROUND(B1632*E1632,2)</f>
        <v/>
      </c>
      <c r="H1632" s="36" t="n">
        <v>12.03</v>
      </c>
      <c r="I1632" s="37" t="n">
        <v>1</v>
      </c>
      <c r="J1632" s="38">
        <f>ROUND(H1632*I1632,2)</f>
        <v/>
      </c>
      <c r="L1632" s="65" t="n"/>
      <c r="M1632" s="65" t="n"/>
      <c r="N1632" s="65" t="n"/>
    </row>
    <row r="1633">
      <c r="A1633" s="47" t="inlineStr">
        <is>
          <t>TOTAL c/IVA</t>
        </is>
      </c>
      <c r="F1633" s="48">
        <f>ROUND((SUM(F1625:F1632)-F1632)*1.1+F1632,2)</f>
        <v/>
      </c>
      <c r="J1633" s="49">
        <f>ROUND(SUM(J1625:J1632),2)</f>
        <v/>
      </c>
      <c r="N1633" s="66" t="n"/>
    </row>
    <row r="1634">
      <c r="A1634" s="19" t="inlineStr">
        <is>
          <t>MARGEN sin registrar</t>
        </is>
      </c>
      <c r="B1634" s="51">
        <f>IF((F1628+F1625+F1627+F1629+F1626)=0,"",((F1628+F1625+F1627+F1629+F1626)-$AB$1627)/(F1628+F1625+F1627+F1629+F1626))</f>
        <v/>
      </c>
      <c r="D1634" s="52">
        <f>IF(B1634="","SIN PC",IF(B1634&gt;=0.3,"APROBAR",IF(B1634&gt;=0.2,"REVISAR","RECHAZAR")))</f>
        <v/>
      </c>
      <c r="E1634" s="53" t="n"/>
      <c r="F1634" s="54" t="n"/>
      <c r="AD1634">
        <f>SUM(F1627:F1629)-220.4430</f>
        <v/>
      </c>
    </row>
    <row r="1636">
      <c r="A1636" s="15" t="inlineStr">
        <is>
          <t>Factura 8692 · C03030 · JUAN MANUEL CAMACHO GONZALEZ</t>
        </is>
      </c>
      <c r="H1636" s="15" t="inlineStr">
        <is>
          <t>ES0021000001212039YM · Iberdrola</t>
        </is>
      </c>
      <c r="L1636" s="16" t="n">
        <v>46113</v>
      </c>
      <c r="M1636" s="17" t="inlineStr">
        <is>
          <t>a</t>
        </is>
      </c>
      <c r="N1636" s="16" t="n">
        <v>46142</v>
      </c>
      <c r="R1636" s="18" t="inlineStr">
        <is>
          <t>HISTÓRICO DEL CUPS · HOJA TTVA LUZ</t>
        </is>
      </c>
    </row>
    <row r="1637">
      <c r="A1637" s="19" t="inlineStr">
        <is>
          <t>Concepto</t>
        </is>
      </c>
      <c r="B1637" s="20" t="inlineStr">
        <is>
          <t>PENDIENTE (sin registrar)</t>
        </is>
      </c>
      <c r="C1637" s="21" t="n"/>
      <c r="D1637" s="21" t="n"/>
      <c r="E1637" s="21" t="n"/>
      <c r="F1637" s="21" t="n"/>
      <c r="H1637" s="22" t="inlineStr">
        <is>
          <t>MES ANTERIOR · Fact.6350</t>
        </is>
      </c>
      <c r="I1637" s="23" t="n"/>
      <c r="J1637" s="23" t="n"/>
      <c r="L1637" s="24" t="inlineStr">
        <is>
          <t>AÑO ANTERIOR · (sin dato)</t>
        </is>
      </c>
      <c r="M1637" s="25" t="n"/>
      <c r="N1637" s="25" t="n"/>
      <c r="R1637" s="26" t="inlineStr">
        <is>
          <t>Cobrado total: 1 €</t>
        </is>
      </c>
    </row>
    <row r="1638">
      <c r="B1638" s="7" t="inlineStr">
        <is>
          <t>Cant</t>
        </is>
      </c>
      <c r="C1638" s="7" t="inlineStr">
        <is>
          <t>Días</t>
        </is>
      </c>
      <c r="D1638" s="7" t="inlineStr">
        <is>
          <t>PC real</t>
        </is>
      </c>
      <c r="E1638" s="7" t="inlineStr">
        <is>
          <t>PV</t>
        </is>
      </c>
      <c r="F1638" s="7" t="inlineStr">
        <is>
          <t>Importe</t>
        </is>
      </c>
      <c r="H1638" s="27" t="inlineStr">
        <is>
          <t>Cant</t>
        </is>
      </c>
      <c r="I1638" s="27" t="inlineStr">
        <is>
          <t>PV</t>
        </is>
      </c>
      <c r="J1638" s="27" t="inlineStr">
        <is>
          <t>Importe</t>
        </is>
      </c>
      <c r="L1638" s="28" t="inlineStr">
        <is>
          <t>Cant</t>
        </is>
      </c>
      <c r="M1638" s="28" t="inlineStr">
        <is>
          <t>PV</t>
        </is>
      </c>
      <c r="N1638" s="28" t="inlineStr">
        <is>
          <t>Importe</t>
        </is>
      </c>
      <c r="R1638" s="29" t="inlineStr">
        <is>
          <t>Pagado total: 0 €</t>
        </is>
      </c>
    </row>
    <row r="1639">
      <c r="A1639" s="30" t="inlineStr">
        <is>
          <t>P1 Potencia</t>
        </is>
      </c>
      <c r="B1639" s="31" t="n">
        <v>5.75</v>
      </c>
      <c r="C1639" s="32">
        <f>$N$1636-$L$1636+1</f>
        <v/>
      </c>
      <c r="D1639" s="33" t="n">
        <v>2.98056</v>
      </c>
      <c r="E1639" s="34" t="n">
        <v>3.85</v>
      </c>
      <c r="F1639" s="35">
        <f>ROUND(B1639*E1639,2)</f>
        <v/>
      </c>
      <c r="H1639" s="36" t="n">
        <v>5.75</v>
      </c>
      <c r="I1639" s="37" t="n">
        <v>3.85</v>
      </c>
      <c r="J1639" s="38">
        <f>ROUND(H1639*I1639,2)</f>
        <v/>
      </c>
      <c r="L1639" s="65" t="n"/>
      <c r="M1639" s="65" t="n"/>
      <c r="N1639" s="65" t="n"/>
      <c r="R1639" s="42" t="inlineStr">
        <is>
          <t>DIF: 1 €   ·   Margen hist.: 100.0%</t>
        </is>
      </c>
    </row>
    <row r="1640">
      <c r="A1640" s="30" t="inlineStr">
        <is>
          <t>P2 Potencia</t>
        </is>
      </c>
      <c r="B1640" s="31" t="n">
        <v>5.75</v>
      </c>
      <c r="C1640" s="32">
        <f>$N$1636-$L$1636+1</f>
        <v/>
      </c>
      <c r="D1640" s="33" t="n">
        <v>0.09228</v>
      </c>
      <c r="E1640" s="34" t="n">
        <v>1.33</v>
      </c>
      <c r="F1640" s="35">
        <f>ROUND(B1640*E1640,2)</f>
        <v/>
      </c>
      <c r="H1640" s="36" t="n">
        <v>5.75</v>
      </c>
      <c r="I1640" s="37" t="n">
        <v>1.33</v>
      </c>
      <c r="J1640" s="38">
        <f>ROUND(H1640*I1640,2)</f>
        <v/>
      </c>
      <c r="L1640" s="65" t="n"/>
      <c r="M1640" s="65" t="n"/>
      <c r="N1640" s="65" t="n"/>
    </row>
    <row r="1641">
      <c r="A1641" s="30" t="inlineStr">
        <is>
          <t>P1 Energía</t>
        </is>
      </c>
      <c r="B1641" s="31">
        <f>IF($P$1641&lt;&gt;"",ROUND(AA1641*(($AB$1641/(1-$P$1641))-29.7850)/11.7794,2),IF('Resumen'!$D$3="OPTIMIZAR",AA1641,AA1641))</f>
        <v/>
      </c>
      <c r="C1641" s="44" t="n"/>
      <c r="D1641" s="33" t="n">
        <v>0.222799</v>
      </c>
      <c r="E1641" s="34" t="n">
        <v>0.13788</v>
      </c>
      <c r="F1641" s="35">
        <f>ROUND(B1641*E1641,2)</f>
        <v/>
      </c>
      <c r="H1641" s="36" t="n">
        <v>28.333</v>
      </c>
      <c r="I1641" s="37" t="n">
        <v>0.13788</v>
      </c>
      <c r="J1641" s="38">
        <f>ROUND(H1641*I1641,2)</f>
        <v/>
      </c>
      <c r="L1641" s="65" t="n"/>
      <c r="M1641" s="65" t="n"/>
      <c r="N1641" s="65" t="n"/>
      <c r="O1641" s="45" t="inlineStr">
        <is>
          <t>Margen objetivo (edita % aquí) ▶</t>
        </is>
      </c>
      <c r="P1641" s="5" t="n"/>
      <c r="AA1641" t="n">
        <v>31.863</v>
      </c>
      <c r="AB1641">
        <f>B1639*D1639+B1640*D1640+AA1641*D1641+AA1642*D1642+AA1643*D1643</f>
        <v/>
      </c>
    </row>
    <row r="1642">
      <c r="A1642" s="30" t="inlineStr">
        <is>
          <t>P2 Energía</t>
        </is>
      </c>
      <c r="B1642" s="31">
        <f>IF($P$1641&lt;&gt;"",ROUND(AA1642*(($AB$1641/(1-$P$1641))-29.7850)/11.7794,2),IF('Resumen'!$D$3="OPTIMIZAR",AA1642,AA1642))</f>
        <v/>
      </c>
      <c r="C1642" s="44" t="n"/>
      <c r="D1642" s="33" t="n">
        <v>0.222799</v>
      </c>
      <c r="E1642" s="34" t="n">
        <v>0.13788</v>
      </c>
      <c r="F1642" s="35">
        <f>ROUND(B1642*E1642,2)</f>
        <v/>
      </c>
      <c r="H1642" s="36" t="n">
        <v>17.821</v>
      </c>
      <c r="I1642" s="37" t="n">
        <v>0.13788</v>
      </c>
      <c r="J1642" s="38">
        <f>ROUND(H1642*I1642,2)</f>
        <v/>
      </c>
      <c r="L1642" s="65" t="n"/>
      <c r="M1642" s="65" t="n"/>
      <c r="N1642" s="65" t="n"/>
      <c r="O1642" s="46" t="inlineStr">
        <is>
          <t>Cant. P1/P2/P3 energía suben</t>
        </is>
      </c>
      <c r="R1642" s="43" t="inlineStr">
        <is>
          <t>Importe mensual cobrado (€) · 24 meses ▾</t>
        </is>
      </c>
      <c r="AA1642" t="n">
        <v>17.294</v>
      </c>
    </row>
    <row r="1643">
      <c r="A1643" s="30" t="inlineStr">
        <is>
          <t>P3 Energía</t>
        </is>
      </c>
      <c r="B1643" s="31">
        <f>IF($P$1641&lt;&gt;"",ROUND(AA1643*(($AB$1641/(1-$P$1641))-29.7850)/11.7794,2),IF('Resumen'!$D$3="OPTIMIZAR",AA1643,AA1643))</f>
        <v/>
      </c>
      <c r="C1643" s="44" t="n"/>
      <c r="D1643" s="33" t="n">
        <v>0.222799</v>
      </c>
      <c r="E1643" s="34" t="n">
        <v>0.13788</v>
      </c>
      <c r="F1643" s="35">
        <f>ROUND(B1643*E1643,2)</f>
        <v/>
      </c>
      <c r="H1643" s="36" t="n">
        <v>42.064</v>
      </c>
      <c r="I1643" s="37" t="n">
        <v>0.13788</v>
      </c>
      <c r="J1643" s="38">
        <f>ROUND(H1643*I1643,2)</f>
        <v/>
      </c>
      <c r="L1643" s="65" t="n"/>
      <c r="M1643" s="65" t="n"/>
      <c r="N1643" s="65" t="n"/>
      <c r="O1643" s="46" t="inlineStr">
        <is>
          <t>en proporción para ese margen</t>
        </is>
      </c>
      <c r="AA1643" t="n">
        <v>36.275</v>
      </c>
    </row>
    <row r="1644">
      <c r="A1644" s="30" t="inlineStr">
        <is>
          <t>Alquiler contador</t>
        </is>
      </c>
      <c r="B1644" s="31" t="n">
        <v>1</v>
      </c>
      <c r="C1644" s="32">
        <f>$N$1636-$L$1636+1</f>
        <v/>
      </c>
      <c r="D1644" s="33" t="n">
        <v>0.7989000000000001</v>
      </c>
      <c r="E1644" s="34" t="n">
        <v>3</v>
      </c>
      <c r="F1644" s="35">
        <f>ROUND(B1644*E1644,2)</f>
        <v/>
      </c>
      <c r="H1644" s="36" t="n">
        <v>1</v>
      </c>
      <c r="I1644" s="37" t="n">
        <v>3</v>
      </c>
      <c r="J1644" s="38">
        <f>ROUND(H1644*I1644,2)</f>
        <v/>
      </c>
      <c r="L1644" s="65" t="n"/>
      <c r="M1644" s="65" t="n"/>
      <c r="N1644" s="65" t="n"/>
    </row>
    <row r="1645">
      <c r="A1645" s="30" t="inlineStr">
        <is>
          <t>Bono social</t>
        </is>
      </c>
      <c r="B1645" s="31" t="n">
        <v>30</v>
      </c>
      <c r="C1645" s="32">
        <f>$N$1636-$L$1636+1</f>
        <v/>
      </c>
      <c r="D1645" s="33" t="n">
        <v>0.5736</v>
      </c>
      <c r="E1645" s="34" t="n">
        <v>0.01274</v>
      </c>
      <c r="F1645" s="35">
        <f>ROUND(B1645*E1645,2)</f>
        <v/>
      </c>
      <c r="H1645" s="36" t="n">
        <v>30</v>
      </c>
      <c r="I1645" s="37" t="n">
        <v>0.01274</v>
      </c>
      <c r="J1645" s="38">
        <f>ROUND(H1645*I1645,2)</f>
        <v/>
      </c>
      <c r="L1645" s="65" t="n"/>
      <c r="M1645" s="65" t="n"/>
      <c r="N1645" s="65" t="n"/>
    </row>
    <row r="1646">
      <c r="A1646" s="30" t="inlineStr">
        <is>
          <t>Tasa eléctrica</t>
        </is>
      </c>
      <c r="B1646" s="31" t="n">
        <v>2.13</v>
      </c>
      <c r="C1646" s="44" t="n"/>
      <c r="D1646" s="33" t="n">
        <v>0.01871</v>
      </c>
      <c r="E1646" s="34" t="n">
        <v>1</v>
      </c>
      <c r="F1646" s="35">
        <f>ROUND(B1646*E1646,2)</f>
        <v/>
      </c>
      <c r="H1646" s="36" t="n">
        <v>2.15</v>
      </c>
      <c r="I1646" s="37" t="n">
        <v>1</v>
      </c>
      <c r="J1646" s="38">
        <f>ROUND(H1646*I1646,2)</f>
        <v/>
      </c>
      <c r="L1646" s="65" t="n"/>
      <c r="M1646" s="65" t="n"/>
      <c r="N1646" s="65" t="n"/>
    </row>
    <row r="1647">
      <c r="A1647" s="47" t="inlineStr">
        <is>
          <t>TOTAL c/IVA</t>
        </is>
      </c>
      <c r="F1647" s="48">
        <f>ROUND((SUM(F1639:F1646)-F1646)*1.1+F1646,2)</f>
        <v/>
      </c>
      <c r="J1647" s="49">
        <f>ROUND(SUM(J1639:J1646),2)</f>
        <v/>
      </c>
      <c r="N1647" s="66" t="n"/>
    </row>
    <row r="1648">
      <c r="A1648" s="19" t="inlineStr">
        <is>
          <t>MARGEN sin registrar</t>
        </is>
      </c>
      <c r="B1648" s="51">
        <f>IF((F1642+F1639+F1641+F1643+F1640)=0,"",((F1642+F1639+F1641+F1643+F1640)-$AB$1641)/(F1642+F1639+F1641+F1643+F1640))</f>
        <v/>
      </c>
      <c r="D1648" s="52">
        <f>IF(B1648="","SIN PC",IF(B1648&gt;=0.3,"APROBAR",IF(B1648&gt;=0.2,"REVISAR","RECHAZAR")))</f>
        <v/>
      </c>
      <c r="E1648" s="53" t="n"/>
      <c r="F1648" s="54" t="n"/>
      <c r="AD1648">
        <f>SUM(F1641:F1643)-11.7794</f>
        <v/>
      </c>
    </row>
    <row r="1650">
      <c r="A1650" s="15" t="inlineStr">
        <is>
          <t>Factura 8693 · C03040 · JUAN MANUEL CAMACHO GONZALEZ</t>
        </is>
      </c>
      <c r="H1650" s="15" t="inlineStr">
        <is>
          <t>ES0021000005295382MC · Naturgy</t>
        </is>
      </c>
      <c r="L1650" s="16" t="n">
        <v>46113</v>
      </c>
      <c r="M1650" s="17" t="inlineStr">
        <is>
          <t>a</t>
        </is>
      </c>
      <c r="N1650" s="16" t="n">
        <v>46142</v>
      </c>
      <c r="R1650" s="18" t="inlineStr">
        <is>
          <t>HISTÓRICO DEL CUPS · HOJA TTVA LUZ</t>
        </is>
      </c>
    </row>
    <row r="1651">
      <c r="A1651" s="19" t="inlineStr">
        <is>
          <t>Concepto</t>
        </is>
      </c>
      <c r="B1651" s="20" t="inlineStr">
        <is>
          <t>PENDIENTE (sin registrar)</t>
        </is>
      </c>
      <c r="C1651" s="21" t="n"/>
      <c r="D1651" s="21" t="n"/>
      <c r="E1651" s="21" t="n"/>
      <c r="F1651" s="21" t="n"/>
      <c r="H1651" s="22" t="inlineStr">
        <is>
          <t>MES ANTERIOR · Fact.6349</t>
        </is>
      </c>
      <c r="I1651" s="23" t="n"/>
      <c r="J1651" s="23" t="n"/>
      <c r="L1651" s="24" t="inlineStr">
        <is>
          <t>AÑO ANTERIOR · (sin dato)</t>
        </is>
      </c>
      <c r="M1651" s="25" t="n"/>
      <c r="N1651" s="25" t="n"/>
      <c r="R1651" s="26" t="inlineStr">
        <is>
          <t>Cobrado total: 1 €</t>
        </is>
      </c>
    </row>
    <row r="1652">
      <c r="B1652" s="7" t="inlineStr">
        <is>
          <t>Cant</t>
        </is>
      </c>
      <c r="C1652" s="7" t="inlineStr">
        <is>
          <t>Días</t>
        </is>
      </c>
      <c r="D1652" s="7" t="inlineStr">
        <is>
          <t>PC real</t>
        </is>
      </c>
      <c r="E1652" s="7" t="inlineStr">
        <is>
          <t>PV</t>
        </is>
      </c>
      <c r="F1652" s="7" t="inlineStr">
        <is>
          <t>Importe</t>
        </is>
      </c>
      <c r="H1652" s="27" t="inlineStr">
        <is>
          <t>Cant</t>
        </is>
      </c>
      <c r="I1652" s="27" t="inlineStr">
        <is>
          <t>PV</t>
        </is>
      </c>
      <c r="J1652" s="27" t="inlineStr">
        <is>
          <t>Importe</t>
        </is>
      </c>
      <c r="L1652" s="28" t="inlineStr">
        <is>
          <t>Cant</t>
        </is>
      </c>
      <c r="M1652" s="28" t="inlineStr">
        <is>
          <t>PV</t>
        </is>
      </c>
      <c r="N1652" s="28" t="inlineStr">
        <is>
          <t>Importe</t>
        </is>
      </c>
      <c r="R1652" s="29" t="inlineStr">
        <is>
          <t>Pagado total: 0 €</t>
        </is>
      </c>
    </row>
    <row r="1653">
      <c r="A1653" s="30" t="inlineStr">
        <is>
          <t>P1 Potencia</t>
        </is>
      </c>
      <c r="B1653" s="31" t="n">
        <v>4.4</v>
      </c>
      <c r="C1653" s="32">
        <f>$N$1650-$L$1650+1</f>
        <v/>
      </c>
      <c r="D1653" s="33" t="n">
        <v>3.68919</v>
      </c>
      <c r="E1653" s="34" t="n">
        <v>3.85</v>
      </c>
      <c r="F1653" s="35">
        <f>ROUND(B1653*E1653,2)</f>
        <v/>
      </c>
      <c r="H1653" s="36" t="n">
        <v>4.4</v>
      </c>
      <c r="I1653" s="37" t="n">
        <v>3.85</v>
      </c>
      <c r="J1653" s="38">
        <f>ROUND(H1653*I1653,2)</f>
        <v/>
      </c>
      <c r="L1653" s="65" t="n"/>
      <c r="M1653" s="65" t="n"/>
      <c r="N1653" s="65" t="n"/>
      <c r="R1653" s="42" t="inlineStr">
        <is>
          <t>DIF: 1 €   ·   Margen hist.: 100.0%</t>
        </is>
      </c>
    </row>
    <row r="1654">
      <c r="A1654" s="30" t="inlineStr">
        <is>
          <t>P2 Potencia</t>
        </is>
      </c>
      <c r="B1654" s="31" t="n">
        <v>4.4</v>
      </c>
      <c r="C1654" s="32">
        <f>$N$1650-$L$1650+1</f>
        <v/>
      </c>
      <c r="D1654" s="33" t="n">
        <v>1.31928</v>
      </c>
      <c r="E1654" s="34" t="n">
        <v>1.33</v>
      </c>
      <c r="F1654" s="35">
        <f>ROUND(B1654*E1654,2)</f>
        <v/>
      </c>
      <c r="H1654" s="36" t="n">
        <v>4.4</v>
      </c>
      <c r="I1654" s="37" t="n">
        <v>1.33</v>
      </c>
      <c r="J1654" s="38">
        <f>ROUND(H1654*I1654,2)</f>
        <v/>
      </c>
      <c r="L1654" s="65" t="n"/>
      <c r="M1654" s="65" t="n"/>
      <c r="N1654" s="65" t="n"/>
    </row>
    <row r="1655">
      <c r="A1655" s="30" t="inlineStr">
        <is>
          <t>P1 Energía</t>
        </is>
      </c>
      <c r="B1655" s="31">
        <f>IF($P$1655&lt;&gt;"",ROUND(AA1655*(($AB$1655/(1-$P$1655))-22.7920)/21.0475,2),IF('Resumen'!$D$3="OPTIMIZAR",AA1655,AA1655))</f>
        <v/>
      </c>
      <c r="C1655" s="44" t="n"/>
      <c r="D1655" s="33" t="n">
        <v>0.111171</v>
      </c>
      <c r="E1655" s="34" t="n">
        <v>0.13788</v>
      </c>
      <c r="F1655" s="35">
        <f>ROUND(B1655*E1655,2)</f>
        <v/>
      </c>
      <c r="H1655" s="36" t="n">
        <v>48.267</v>
      </c>
      <c r="I1655" s="37" t="n">
        <v>0.13788</v>
      </c>
      <c r="J1655" s="38">
        <f>ROUND(H1655*I1655,2)</f>
        <v/>
      </c>
      <c r="L1655" s="65" t="n"/>
      <c r="M1655" s="65" t="n"/>
      <c r="N1655" s="65" t="n"/>
      <c r="O1655" s="45" t="inlineStr">
        <is>
          <t>Margen objetivo (edita % aquí) ▶</t>
        </is>
      </c>
      <c r="P1655" s="5" t="n"/>
      <c r="AA1655" t="n">
        <v>43.044</v>
      </c>
      <c r="AB1655">
        <f>B1653*D1653+B1654*D1654+AA1655*D1655+AA1656*D1656+AA1657*D1657</f>
        <v/>
      </c>
    </row>
    <row r="1656">
      <c r="A1656" s="30" t="inlineStr">
        <is>
          <t>P2 Energía</t>
        </is>
      </c>
      <c r="B1656" s="31">
        <f>IF($P$1655&lt;&gt;"",ROUND(AA1656*(($AB$1655/(1-$P$1655))-22.7920)/21.0475,2),IF('Resumen'!$D$3="OPTIMIZAR",AA1656,AA1656))</f>
        <v/>
      </c>
      <c r="C1656" s="44" t="n"/>
      <c r="D1656" s="33" t="n">
        <v>0.111171</v>
      </c>
      <c r="E1656" s="34" t="n">
        <v>0.13788</v>
      </c>
      <c r="F1656" s="35">
        <f>ROUND(B1656*E1656,2)</f>
        <v/>
      </c>
      <c r="H1656" s="36" t="n">
        <v>51.181</v>
      </c>
      <c r="I1656" s="37" t="n">
        <v>0.13788</v>
      </c>
      <c r="J1656" s="38">
        <f>ROUND(H1656*I1656,2)</f>
        <v/>
      </c>
      <c r="L1656" s="65" t="n"/>
      <c r="M1656" s="65" t="n"/>
      <c r="N1656" s="65" t="n"/>
      <c r="O1656" s="46" t="inlineStr">
        <is>
          <t>Cant. P1/P2/P3 energía suben</t>
        </is>
      </c>
      <c r="R1656" s="43" t="inlineStr">
        <is>
          <t>Importe mensual cobrado (€) · 24 meses ▾</t>
        </is>
      </c>
      <c r="AA1656" t="n">
        <v>38.124</v>
      </c>
    </row>
    <row r="1657">
      <c r="A1657" s="30" t="inlineStr">
        <is>
          <t>P3 Energía</t>
        </is>
      </c>
      <c r="B1657" s="31">
        <f>IF($P$1655&lt;&gt;"",ROUND(AA1657*(($AB$1655/(1-$P$1655))-22.7920)/21.0475,2),IF('Resumen'!$D$3="OPTIMIZAR",AA1657,AA1657))</f>
        <v/>
      </c>
      <c r="C1657" s="44" t="n"/>
      <c r="D1657" s="33" t="n">
        <v>0.111171</v>
      </c>
      <c r="E1657" s="34" t="n">
        <v>0.13788</v>
      </c>
      <c r="F1657" s="35">
        <f>ROUND(B1657*E1657,2)</f>
        <v/>
      </c>
      <c r="H1657" s="36" t="n">
        <v>76.515</v>
      </c>
      <c r="I1657" s="37" t="n">
        <v>0.13788</v>
      </c>
      <c r="J1657" s="38">
        <f>ROUND(H1657*I1657,2)</f>
        <v/>
      </c>
      <c r="L1657" s="65" t="n"/>
      <c r="M1657" s="65" t="n"/>
      <c r="N1657" s="65" t="n"/>
      <c r="O1657" s="46" t="inlineStr">
        <is>
          <t>en proporción para ese margen</t>
        </is>
      </c>
      <c r="AA1657" t="n">
        <v>71.483</v>
      </c>
    </row>
    <row r="1658">
      <c r="A1658" s="30" t="inlineStr">
        <is>
          <t>Alquiler contador</t>
        </is>
      </c>
      <c r="B1658" s="31" t="n">
        <v>1</v>
      </c>
      <c r="C1658" s="32">
        <f>$N$1650-$L$1650+1</f>
        <v/>
      </c>
      <c r="D1658" s="33" t="n">
        <v>0.7989000000000001</v>
      </c>
      <c r="E1658" s="34" t="n">
        <v>3</v>
      </c>
      <c r="F1658" s="35">
        <f>ROUND(B1658*E1658,2)</f>
        <v/>
      </c>
      <c r="H1658" s="36" t="n">
        <v>1</v>
      </c>
      <c r="I1658" s="37" t="n">
        <v>3</v>
      </c>
      <c r="J1658" s="38">
        <f>ROUND(H1658*I1658,2)</f>
        <v/>
      </c>
      <c r="L1658" s="65" t="n"/>
      <c r="M1658" s="65" t="n"/>
      <c r="N1658" s="65" t="n"/>
    </row>
    <row r="1659">
      <c r="A1659" s="30" t="inlineStr">
        <is>
          <t>Bono social</t>
        </is>
      </c>
      <c r="B1659" s="31" t="n">
        <v>30</v>
      </c>
      <c r="C1659" s="32">
        <f>$N$1650-$L$1650+1</f>
        <v/>
      </c>
      <c r="D1659" s="33" t="n">
        <v>0.5736</v>
      </c>
      <c r="E1659" s="34" t="n">
        <v>0.01274</v>
      </c>
      <c r="F1659" s="35">
        <f>ROUND(B1659*E1659,2)</f>
        <v/>
      </c>
      <c r="H1659" s="36" t="n">
        <v>30</v>
      </c>
      <c r="I1659" s="37" t="n">
        <v>0.01274</v>
      </c>
      <c r="J1659" s="38">
        <f>ROUND(H1659*I1659,2)</f>
        <v/>
      </c>
      <c r="L1659" s="65" t="n"/>
      <c r="M1659" s="65" t="n"/>
      <c r="N1659" s="65" t="n"/>
    </row>
    <row r="1660">
      <c r="A1660" s="30" t="inlineStr">
        <is>
          <t>Tasa eléctrica</t>
        </is>
      </c>
      <c r="B1660" s="31" t="n">
        <v>2.25</v>
      </c>
      <c r="C1660" s="44" t="n"/>
      <c r="D1660" s="33" t="n">
        <v>0.27312</v>
      </c>
      <c r="E1660" s="34" t="n">
        <v>1</v>
      </c>
      <c r="F1660" s="35">
        <f>ROUND(B1660*E1660,2)</f>
        <v/>
      </c>
      <c r="H1660" s="36" t="n">
        <v>2.41</v>
      </c>
      <c r="I1660" s="37" t="n">
        <v>1</v>
      </c>
      <c r="J1660" s="38">
        <f>ROUND(H1660*I1660,2)</f>
        <v/>
      </c>
      <c r="L1660" s="65" t="n"/>
      <c r="M1660" s="65" t="n"/>
      <c r="N1660" s="65" t="n"/>
    </row>
    <row r="1661">
      <c r="A1661" s="47" t="inlineStr">
        <is>
          <t>TOTAL c/IVA</t>
        </is>
      </c>
      <c r="F1661" s="48">
        <f>ROUND((SUM(F1653:F1660)-F1660)*1.1+F1660,2)</f>
        <v/>
      </c>
      <c r="J1661" s="49">
        <f>ROUND(SUM(J1653:J1660),2)</f>
        <v/>
      </c>
      <c r="N1661" s="66" t="n"/>
    </row>
    <row r="1662">
      <c r="A1662" s="19" t="inlineStr">
        <is>
          <t>MARGEN sin registrar</t>
        </is>
      </c>
      <c r="B1662" s="51">
        <f>IF((F1656+F1653+F1655+F1657+F1654)=0,"",((F1656+F1653+F1655+F1657+F1654)-$AB$1655)/(F1656+F1653+F1655+F1657+F1654))</f>
        <v/>
      </c>
      <c r="D1662" s="52">
        <f>IF(B1662="","SIN PC",IF(B1662&gt;=0.3,"APROBAR",IF(B1662&gt;=0.2,"REVISAR","RECHAZAR")))</f>
        <v/>
      </c>
      <c r="E1662" s="53" t="n"/>
      <c r="F1662" s="54" t="n"/>
      <c r="AD1662">
        <f>SUM(F1655:F1657)-21.0475</f>
        <v/>
      </c>
    </row>
    <row r="1664">
      <c r="A1664" s="15" t="inlineStr">
        <is>
          <t>Factura 8694 · C03050 · JAN ANDERS ANSEHN</t>
        </is>
      </c>
      <c r="H1664" s="15" t="inlineStr">
        <is>
          <t>ES0021000001502901WD · Naturgy</t>
        </is>
      </c>
      <c r="L1664" s="16" t="n">
        <v>46113</v>
      </c>
      <c r="M1664" s="17" t="inlineStr">
        <is>
          <t>a</t>
        </is>
      </c>
      <c r="N1664" s="16" t="n">
        <v>46142</v>
      </c>
      <c r="R1664" s="18" t="inlineStr">
        <is>
          <t>HISTÓRICO DEL CUPS · HOJA TTVA LUZ</t>
        </is>
      </c>
    </row>
    <row r="1665">
      <c r="A1665" s="19" t="inlineStr">
        <is>
          <t>Concepto</t>
        </is>
      </c>
      <c r="B1665" s="20" t="inlineStr">
        <is>
          <t>PENDIENTE (sin registrar)</t>
        </is>
      </c>
      <c r="C1665" s="21" t="n"/>
      <c r="D1665" s="21" t="n"/>
      <c r="E1665" s="21" t="n"/>
      <c r="F1665" s="21" t="n"/>
      <c r="H1665" s="22" t="inlineStr">
        <is>
          <t>MES ANTERIOR · Fact.6348</t>
        </is>
      </c>
      <c r="I1665" s="23" t="n"/>
      <c r="J1665" s="23" t="n"/>
      <c r="L1665" s="24" t="inlineStr">
        <is>
          <t>AÑO ANTERIOR · (sin dato)</t>
        </is>
      </c>
      <c r="M1665" s="25" t="n"/>
      <c r="N1665" s="25" t="n"/>
      <c r="R1665" s="26" t="inlineStr">
        <is>
          <t>Cobrado total: 2 €</t>
        </is>
      </c>
    </row>
    <row r="1666">
      <c r="B1666" s="7" t="inlineStr">
        <is>
          <t>Cant</t>
        </is>
      </c>
      <c r="C1666" s="7" t="inlineStr">
        <is>
          <t>Días</t>
        </is>
      </c>
      <c r="D1666" s="7" t="inlineStr">
        <is>
          <t>PC real</t>
        </is>
      </c>
      <c r="E1666" s="7" t="inlineStr">
        <is>
          <t>PV</t>
        </is>
      </c>
      <c r="F1666" s="7" t="inlineStr">
        <is>
          <t>Importe</t>
        </is>
      </c>
      <c r="H1666" s="27" t="inlineStr">
        <is>
          <t>Cant</t>
        </is>
      </c>
      <c r="I1666" s="27" t="inlineStr">
        <is>
          <t>PV</t>
        </is>
      </c>
      <c r="J1666" s="27" t="inlineStr">
        <is>
          <t>Importe</t>
        </is>
      </c>
      <c r="L1666" s="28" t="inlineStr">
        <is>
          <t>Cant</t>
        </is>
      </c>
      <c r="M1666" s="28" t="inlineStr">
        <is>
          <t>PV</t>
        </is>
      </c>
      <c r="N1666" s="28" t="inlineStr">
        <is>
          <t>Importe</t>
        </is>
      </c>
      <c r="R1666" s="29" t="inlineStr">
        <is>
          <t>Pagado total: 0 €</t>
        </is>
      </c>
    </row>
    <row r="1667">
      <c r="A1667" s="30" t="inlineStr">
        <is>
          <t>P1 Potencia</t>
        </is>
      </c>
      <c r="B1667" s="31" t="n">
        <v>3.45</v>
      </c>
      <c r="C1667" s="32">
        <f>$N$1664-$L$1664+1</f>
        <v/>
      </c>
      <c r="D1667" s="33" t="n">
        <v>3.68919</v>
      </c>
      <c r="E1667" s="34" t="n">
        <v>3.85</v>
      </c>
      <c r="F1667" s="35">
        <f>ROUND(B1667*E1667,2)</f>
        <v/>
      </c>
      <c r="H1667" s="36" t="n">
        <v>3.45</v>
      </c>
      <c r="I1667" s="37" t="n">
        <v>3.85</v>
      </c>
      <c r="J1667" s="38">
        <f>ROUND(H1667*I1667,2)</f>
        <v/>
      </c>
      <c r="L1667" s="65" t="n"/>
      <c r="M1667" s="65" t="n"/>
      <c r="N1667" s="65" t="n"/>
      <c r="R1667" s="42" t="inlineStr">
        <is>
          <t>DIF: 2 €   ·   Margen hist.: 100.0%</t>
        </is>
      </c>
    </row>
    <row r="1668">
      <c r="A1668" s="30" t="inlineStr">
        <is>
          <t>P2 Potencia</t>
        </is>
      </c>
      <c r="B1668" s="31" t="n">
        <v>3.45</v>
      </c>
      <c r="C1668" s="32">
        <f>$N$1664-$L$1664+1</f>
        <v/>
      </c>
      <c r="D1668" s="33" t="n">
        <v>1.31928</v>
      </c>
      <c r="E1668" s="34" t="n">
        <v>1.33</v>
      </c>
      <c r="F1668" s="35">
        <f>ROUND(B1668*E1668,2)</f>
        <v/>
      </c>
      <c r="H1668" s="36" t="n">
        <v>3.45</v>
      </c>
      <c r="I1668" s="37" t="n">
        <v>1.33</v>
      </c>
      <c r="J1668" s="38">
        <f>ROUND(H1668*I1668,2)</f>
        <v/>
      </c>
      <c r="L1668" s="65" t="n"/>
      <c r="M1668" s="65" t="n"/>
      <c r="N1668" s="65" t="n"/>
    </row>
    <row r="1669">
      <c r="A1669" s="30" t="inlineStr">
        <is>
          <t>P1 Energía</t>
        </is>
      </c>
      <c r="B1669" s="31">
        <f>IF($P$1669&lt;&gt;"",ROUND(AA1669*(($AB$1669/(1-$P$1669))-17.8710)/67.1602,2),IF('Resumen'!$D$3="OPTIMIZAR",AA1669,AA1669))</f>
        <v/>
      </c>
      <c r="C1669" s="44" t="n"/>
      <c r="D1669" s="33" t="n">
        <v>0.111171</v>
      </c>
      <c r="E1669" s="34" t="n">
        <v>0.13788</v>
      </c>
      <c r="F1669" s="35">
        <f>ROUND(B1669*E1669,2)</f>
        <v/>
      </c>
      <c r="H1669" s="36" t="n">
        <v>174.503</v>
      </c>
      <c r="I1669" s="37" t="n">
        <v>0.13788</v>
      </c>
      <c r="J1669" s="38">
        <f>ROUND(H1669*I1669,2)</f>
        <v/>
      </c>
      <c r="L1669" s="65" t="n"/>
      <c r="M1669" s="65" t="n"/>
      <c r="N1669" s="65" t="n"/>
      <c r="O1669" s="45" t="inlineStr">
        <is>
          <t>Margen objetivo (edita % aquí) ▶</t>
        </is>
      </c>
      <c r="P1669" s="5" t="n"/>
      <c r="AA1669" t="n">
        <v>138.931</v>
      </c>
      <c r="AB1669">
        <f>B1667*D1667+B1668*D1668+AA1669*D1669+AA1670*D1670+AA1671*D1671</f>
        <v/>
      </c>
    </row>
    <row r="1670">
      <c r="A1670" s="30" t="inlineStr">
        <is>
          <t>P2 Energía</t>
        </is>
      </c>
      <c r="B1670" s="31">
        <f>IF($P$1669&lt;&gt;"",ROUND(AA1670*(($AB$1669/(1-$P$1669))-17.8710)/67.1602,2),IF('Resumen'!$D$3="OPTIMIZAR",AA1670,AA1670))</f>
        <v/>
      </c>
      <c r="C1670" s="44" t="n"/>
      <c r="D1670" s="33" t="n">
        <v>0.111171</v>
      </c>
      <c r="E1670" s="34" t="n">
        <v>0.13788</v>
      </c>
      <c r="F1670" s="35">
        <f>ROUND(B1670*E1670,2)</f>
        <v/>
      </c>
      <c r="H1670" s="36" t="n">
        <v>169.289</v>
      </c>
      <c r="I1670" s="37" t="n">
        <v>0.13788</v>
      </c>
      <c r="J1670" s="38">
        <f>ROUND(H1670*I1670,2)</f>
        <v/>
      </c>
      <c r="L1670" s="65" t="n"/>
      <c r="M1670" s="65" t="n"/>
      <c r="N1670" s="65" t="n"/>
      <c r="O1670" s="46" t="inlineStr">
        <is>
          <t>Cant. P1/P2/P3 energía suben</t>
        </is>
      </c>
      <c r="R1670" s="43" t="inlineStr">
        <is>
          <t>Importe mensual cobrado (€) · 24 meses ▾</t>
        </is>
      </c>
      <c r="AA1670" t="n">
        <v>133.252</v>
      </c>
    </row>
    <row r="1671">
      <c r="A1671" s="30" t="inlineStr">
        <is>
          <t>P3 Energía</t>
        </is>
      </c>
      <c r="B1671" s="31">
        <f>IF($P$1669&lt;&gt;"",ROUND(AA1671*(($AB$1669/(1-$P$1669))-17.8710)/67.1602,2),IF('Resumen'!$D$3="OPTIMIZAR",AA1671,AA1671))</f>
        <v/>
      </c>
      <c r="C1671" s="44" t="n"/>
      <c r="D1671" s="33" t="n">
        <v>0.111171</v>
      </c>
      <c r="E1671" s="34" t="n">
        <v>0.13788</v>
      </c>
      <c r="F1671" s="35">
        <f>ROUND(B1671*E1671,2)</f>
        <v/>
      </c>
      <c r="H1671" s="36" t="n">
        <v>259.872</v>
      </c>
      <c r="I1671" s="37" t="n">
        <v>0.13788</v>
      </c>
      <c r="J1671" s="38">
        <f>ROUND(H1671*I1671,2)</f>
        <v/>
      </c>
      <c r="L1671" s="65" t="n"/>
      <c r="M1671" s="65" t="n"/>
      <c r="N1671" s="65" t="n"/>
      <c r="O1671" s="46" t="inlineStr">
        <is>
          <t>en proporción para ese margen</t>
        </is>
      </c>
      <c r="AA1671" t="n">
        <v>214.909</v>
      </c>
    </row>
    <row r="1672">
      <c r="A1672" s="30" t="inlineStr">
        <is>
          <t>Alquiler contador</t>
        </is>
      </c>
      <c r="B1672" s="31" t="n">
        <v>1</v>
      </c>
      <c r="C1672" s="32">
        <f>$N$1664-$L$1664+1</f>
        <v/>
      </c>
      <c r="D1672" s="33" t="n">
        <v>0.7989000000000001</v>
      </c>
      <c r="E1672" s="34" t="n">
        <v>3</v>
      </c>
      <c r="F1672" s="35">
        <f>ROUND(B1672*E1672,2)</f>
        <v/>
      </c>
      <c r="H1672" s="36" t="n">
        <v>1</v>
      </c>
      <c r="I1672" s="37" t="n">
        <v>3</v>
      </c>
      <c r="J1672" s="38">
        <f>ROUND(H1672*I1672,2)</f>
        <v/>
      </c>
      <c r="L1672" s="65" t="n"/>
      <c r="M1672" s="65" t="n"/>
      <c r="N1672" s="65" t="n"/>
    </row>
    <row r="1673">
      <c r="A1673" s="30" t="inlineStr">
        <is>
          <t>Bono social</t>
        </is>
      </c>
      <c r="B1673" s="31" t="n">
        <v>30</v>
      </c>
      <c r="C1673" s="32">
        <f>$N$1664-$L$1664+1</f>
        <v/>
      </c>
      <c r="D1673" s="33" t="n">
        <v>0.5736</v>
      </c>
      <c r="E1673" s="34" t="n">
        <v>0.01274</v>
      </c>
      <c r="F1673" s="35">
        <f>ROUND(B1673*E1673,2)</f>
        <v/>
      </c>
      <c r="H1673" s="36" t="n">
        <v>30</v>
      </c>
      <c r="I1673" s="37" t="n">
        <v>0.01274</v>
      </c>
      <c r="J1673" s="38">
        <f>ROUND(H1673*I1673,2)</f>
        <v/>
      </c>
      <c r="L1673" s="65" t="n"/>
      <c r="M1673" s="65" t="n"/>
      <c r="N1673" s="65" t="n"/>
    </row>
    <row r="1674">
      <c r="A1674" s="30" t="inlineStr">
        <is>
          <t>Tasa eléctrica</t>
        </is>
      </c>
      <c r="B1674" s="31" t="n">
        <v>4.35</v>
      </c>
      <c r="C1674" s="44" t="n"/>
      <c r="D1674" s="33" t="n">
        <v>0.27312</v>
      </c>
      <c r="E1674" s="34" t="n">
        <v>1</v>
      </c>
      <c r="F1674" s="35">
        <f>ROUND(B1674*E1674,2)</f>
        <v/>
      </c>
      <c r="H1674" s="36" t="n">
        <v>5.18</v>
      </c>
      <c r="I1674" s="37" t="n">
        <v>1</v>
      </c>
      <c r="J1674" s="38">
        <f>ROUND(H1674*I1674,2)</f>
        <v/>
      </c>
      <c r="L1674" s="65" t="n"/>
      <c r="M1674" s="65" t="n"/>
      <c r="N1674" s="65" t="n"/>
    </row>
    <row r="1675">
      <c r="A1675" s="47" t="inlineStr">
        <is>
          <t>TOTAL c/IVA</t>
        </is>
      </c>
      <c r="F1675" s="48">
        <f>ROUND((SUM(F1667:F1674)-F1674)*1.1+F1674,2)</f>
        <v/>
      </c>
      <c r="J1675" s="49">
        <f>ROUND(SUM(J1667:J1674),2)</f>
        <v/>
      </c>
      <c r="N1675" s="66" t="n"/>
    </row>
    <row r="1676">
      <c r="A1676" s="19" t="inlineStr">
        <is>
          <t>MARGEN sin registrar</t>
        </is>
      </c>
      <c r="B1676" s="51">
        <f>IF((F1670+F1667+F1669+F1671+F1668)=0,"",((F1670+F1667+F1669+F1671+F1668)-$AB$1669)/(F1670+F1667+F1669+F1671+F1668))</f>
        <v/>
      </c>
      <c r="D1676" s="52">
        <f>IF(B1676="","SIN PC",IF(B1676&gt;=0.3,"APROBAR",IF(B1676&gt;=0.2,"REVISAR","RECHAZAR")))</f>
        <v/>
      </c>
      <c r="E1676" s="53" t="n"/>
      <c r="F1676" s="54" t="n"/>
      <c r="AD1676">
        <f>SUM(F1669:F1671)-67.1602</f>
        <v/>
      </c>
    </row>
    <row r="1678">
      <c r="A1678" s="15" t="inlineStr">
        <is>
          <t>Factura 8695 · C03060 · MARIA TERESA PONS DEVESA</t>
        </is>
      </c>
      <c r="H1678" s="15" t="inlineStr">
        <is>
          <t>ES0021000001201680SL · Naturgy</t>
        </is>
      </c>
      <c r="L1678" s="16" t="n">
        <v>46113</v>
      </c>
      <c r="M1678" s="17" t="inlineStr">
        <is>
          <t>a</t>
        </is>
      </c>
      <c r="N1678" s="16" t="n">
        <v>46142</v>
      </c>
      <c r="R1678" s="18" t="inlineStr">
        <is>
          <t>HISTÓRICO DEL CUPS · HOJA TTVA LUZ</t>
        </is>
      </c>
    </row>
    <row r="1679">
      <c r="A1679" s="19" t="inlineStr">
        <is>
          <t>Concepto</t>
        </is>
      </c>
      <c r="B1679" s="20" t="inlineStr">
        <is>
          <t>PENDIENTE (sin registrar)</t>
        </is>
      </c>
      <c r="C1679" s="21" t="n"/>
      <c r="D1679" s="21" t="n"/>
      <c r="E1679" s="21" t="n"/>
      <c r="F1679" s="21" t="n"/>
      <c r="H1679" s="22" t="inlineStr">
        <is>
          <t>MES ANTERIOR · Fact.6347</t>
        </is>
      </c>
      <c r="I1679" s="23" t="n"/>
      <c r="J1679" s="23" t="n"/>
      <c r="L1679" s="24" t="inlineStr">
        <is>
          <t>AÑO ANTERIOR · (sin dato)</t>
        </is>
      </c>
      <c r="M1679" s="25" t="n"/>
      <c r="N1679" s="25" t="n"/>
      <c r="R1679" s="26" t="inlineStr">
        <is>
          <t>Cobrado total: 1 €</t>
        </is>
      </c>
    </row>
    <row r="1680">
      <c r="B1680" s="7" t="inlineStr">
        <is>
          <t>Cant</t>
        </is>
      </c>
      <c r="C1680" s="7" t="inlineStr">
        <is>
          <t>Días</t>
        </is>
      </c>
      <c r="D1680" s="7" t="inlineStr">
        <is>
          <t>PC real</t>
        </is>
      </c>
      <c r="E1680" s="7" t="inlineStr">
        <is>
          <t>PV</t>
        </is>
      </c>
      <c r="F1680" s="7" t="inlineStr">
        <is>
          <t>Importe</t>
        </is>
      </c>
      <c r="H1680" s="27" t="inlineStr">
        <is>
          <t>Cant</t>
        </is>
      </c>
      <c r="I1680" s="27" t="inlineStr">
        <is>
          <t>PV</t>
        </is>
      </c>
      <c r="J1680" s="27" t="inlineStr">
        <is>
          <t>Importe</t>
        </is>
      </c>
      <c r="L1680" s="28" t="inlineStr">
        <is>
          <t>Cant</t>
        </is>
      </c>
      <c r="M1680" s="28" t="inlineStr">
        <is>
          <t>PV</t>
        </is>
      </c>
      <c r="N1680" s="28" t="inlineStr">
        <is>
          <t>Importe</t>
        </is>
      </c>
      <c r="R1680" s="29" t="inlineStr">
        <is>
          <t>Pagado total: 0 €</t>
        </is>
      </c>
    </row>
    <row r="1681">
      <c r="A1681" s="30" t="inlineStr">
        <is>
          <t>P1 Potencia</t>
        </is>
      </c>
      <c r="B1681" s="31" t="n">
        <v>5.75</v>
      </c>
      <c r="C1681" s="32">
        <f>$N$1678-$L$1678+1</f>
        <v/>
      </c>
      <c r="D1681" s="33" t="n">
        <v>3.68919</v>
      </c>
      <c r="E1681" s="34" t="n">
        <v>3.85</v>
      </c>
      <c r="F1681" s="35">
        <f>ROUND(B1681*E1681,2)</f>
        <v/>
      </c>
      <c r="H1681" s="36" t="n">
        <v>5.75</v>
      </c>
      <c r="I1681" s="37" t="n">
        <v>3.85</v>
      </c>
      <c r="J1681" s="38">
        <f>ROUND(H1681*I1681,2)</f>
        <v/>
      </c>
      <c r="L1681" s="65" t="n"/>
      <c r="M1681" s="65" t="n"/>
      <c r="N1681" s="65" t="n"/>
      <c r="R1681" s="42" t="inlineStr">
        <is>
          <t>DIF: 1 €   ·   Margen hist.: 100.0%</t>
        </is>
      </c>
    </row>
    <row r="1682">
      <c r="A1682" s="30" t="inlineStr">
        <is>
          <t>P2 Potencia</t>
        </is>
      </c>
      <c r="B1682" s="31" t="n">
        <v>5.75</v>
      </c>
      <c r="C1682" s="32">
        <f>$N$1678-$L$1678+1</f>
        <v/>
      </c>
      <c r="D1682" s="33" t="n">
        <v>1.31928</v>
      </c>
      <c r="E1682" s="34" t="n">
        <v>1.33</v>
      </c>
      <c r="F1682" s="35">
        <f>ROUND(B1682*E1682,2)</f>
        <v/>
      </c>
      <c r="H1682" s="36" t="n">
        <v>5.75</v>
      </c>
      <c r="I1682" s="37" t="n">
        <v>1.33</v>
      </c>
      <c r="J1682" s="38">
        <f>ROUND(H1682*I1682,2)</f>
        <v/>
      </c>
      <c r="L1682" s="65" t="n"/>
      <c r="M1682" s="65" t="n"/>
      <c r="N1682" s="65" t="n"/>
    </row>
    <row r="1683">
      <c r="A1683" s="30" t="inlineStr">
        <is>
          <t>P1 Energía</t>
        </is>
      </c>
      <c r="B1683" s="31">
        <f>IF($P$1683&lt;&gt;"",ROUND(AA1683*(($AB$1683/(1-$P$1683))-29.7850)/6.8810,2),IF('Resumen'!$D$3="OPTIMIZAR",AA1683,AA1683))</f>
        <v/>
      </c>
      <c r="C1683" s="44" t="n"/>
      <c r="D1683" s="33" t="n">
        <v>0.111171</v>
      </c>
      <c r="E1683" s="34" t="n">
        <v>0.13788</v>
      </c>
      <c r="F1683" s="35">
        <f>ROUND(B1683*E1683,2)</f>
        <v/>
      </c>
      <c r="H1683" s="36" t="n">
        <v>25.441</v>
      </c>
      <c r="I1683" s="37" t="n">
        <v>0.13788</v>
      </c>
      <c r="J1683" s="38">
        <f>ROUND(H1683*I1683,2)</f>
        <v/>
      </c>
      <c r="L1683" s="65" t="n"/>
      <c r="M1683" s="65" t="n"/>
      <c r="N1683" s="65" t="n"/>
      <c r="O1683" s="45" t="inlineStr">
        <is>
          <t>Margen objetivo (edita % aquí) ▶</t>
        </is>
      </c>
      <c r="P1683" s="5" t="n"/>
      <c r="AA1683" t="n">
        <v>9.516999999999999</v>
      </c>
      <c r="AB1683">
        <f>B1681*D1681+B1682*D1682+AA1683*D1683+AA1684*D1684+AA1685*D1685</f>
        <v/>
      </c>
    </row>
    <row r="1684">
      <c r="A1684" s="30" t="inlineStr">
        <is>
          <t>P2 Energía</t>
        </is>
      </c>
      <c r="B1684" s="31">
        <f>IF($P$1683&lt;&gt;"",ROUND(AA1684*(($AB$1683/(1-$P$1683))-29.7850)/6.8810,2),IF('Resumen'!$D$3="OPTIMIZAR",AA1684,AA1684))</f>
        <v/>
      </c>
      <c r="C1684" s="44" t="n"/>
      <c r="D1684" s="33" t="n">
        <v>0.111171</v>
      </c>
      <c r="E1684" s="34" t="n">
        <v>0.13788</v>
      </c>
      <c r="F1684" s="35">
        <f>ROUND(B1684*E1684,2)</f>
        <v/>
      </c>
      <c r="H1684" s="36" t="n">
        <v>16.664</v>
      </c>
      <c r="I1684" s="37" t="n">
        <v>0.13788</v>
      </c>
      <c r="J1684" s="38">
        <f>ROUND(H1684*I1684,2)</f>
        <v/>
      </c>
      <c r="L1684" s="65" t="n"/>
      <c r="M1684" s="65" t="n"/>
      <c r="N1684" s="65" t="n"/>
      <c r="O1684" s="46" t="inlineStr">
        <is>
          <t>Cant. P1/P2/P3 energía suben</t>
        </is>
      </c>
      <c r="R1684" s="43" t="inlineStr">
        <is>
          <t>Importe mensual cobrado (€) · 24 meses ▾</t>
        </is>
      </c>
      <c r="AA1684" t="n">
        <v>15.845</v>
      </c>
    </row>
    <row r="1685">
      <c r="A1685" s="30" t="inlineStr">
        <is>
          <t>P3 Energía</t>
        </is>
      </c>
      <c r="B1685" s="31">
        <f>IF($P$1683&lt;&gt;"",ROUND(AA1685*(($AB$1683/(1-$P$1683))-29.7850)/6.8810,2),IF('Resumen'!$D$3="OPTIMIZAR",AA1685,AA1685))</f>
        <v/>
      </c>
      <c r="C1685" s="44" t="n"/>
      <c r="D1685" s="33" t="n">
        <v>0.111171</v>
      </c>
      <c r="E1685" s="34" t="n">
        <v>0.13788</v>
      </c>
      <c r="F1685" s="35">
        <f>ROUND(B1685*E1685,2)</f>
        <v/>
      </c>
      <c r="H1685" s="36" t="n">
        <v>21.789</v>
      </c>
      <c r="I1685" s="37" t="n">
        <v>0.13788</v>
      </c>
      <c r="J1685" s="38">
        <f>ROUND(H1685*I1685,2)</f>
        <v/>
      </c>
      <c r="L1685" s="65" t="n"/>
      <c r="M1685" s="65" t="n"/>
      <c r="N1685" s="65" t="n"/>
      <c r="O1685" s="46" t="inlineStr">
        <is>
          <t>en proporción para ese margen</t>
        </is>
      </c>
      <c r="AA1685" t="n">
        <v>24.544</v>
      </c>
    </row>
    <row r="1686">
      <c r="A1686" s="30" t="inlineStr">
        <is>
          <t>Alquiler contador</t>
        </is>
      </c>
      <c r="B1686" s="31" t="n">
        <v>1</v>
      </c>
      <c r="C1686" s="32">
        <f>$N$1678-$L$1678+1</f>
        <v/>
      </c>
      <c r="D1686" s="33" t="n">
        <v>0.7989000000000001</v>
      </c>
      <c r="E1686" s="34" t="n">
        <v>3</v>
      </c>
      <c r="F1686" s="35">
        <f>ROUND(B1686*E1686,2)</f>
        <v/>
      </c>
      <c r="H1686" s="36" t="n">
        <v>1</v>
      </c>
      <c r="I1686" s="37" t="n">
        <v>3</v>
      </c>
      <c r="J1686" s="38">
        <f>ROUND(H1686*I1686,2)</f>
        <v/>
      </c>
      <c r="L1686" s="65" t="n"/>
      <c r="M1686" s="65" t="n"/>
      <c r="N1686" s="65" t="n"/>
    </row>
    <row r="1687">
      <c r="A1687" s="30" t="inlineStr">
        <is>
          <t>Bono social</t>
        </is>
      </c>
      <c r="B1687" s="31" t="n">
        <v>30</v>
      </c>
      <c r="C1687" s="32">
        <f>$N$1678-$L$1678+1</f>
        <v/>
      </c>
      <c r="D1687" s="33" t="n">
        <v>0.5736</v>
      </c>
      <c r="E1687" s="34" t="n">
        <v>0.01274</v>
      </c>
      <c r="F1687" s="35">
        <f>ROUND(B1687*E1687,2)</f>
        <v/>
      </c>
      <c r="H1687" s="36" t="n">
        <v>30</v>
      </c>
      <c r="I1687" s="37" t="n">
        <v>0.01274</v>
      </c>
      <c r="J1687" s="38">
        <f>ROUND(H1687*I1687,2)</f>
        <v/>
      </c>
      <c r="L1687" s="65" t="n"/>
      <c r="M1687" s="65" t="n"/>
      <c r="N1687" s="65" t="n"/>
    </row>
    <row r="1688">
      <c r="A1688" s="30" t="inlineStr">
        <is>
          <t>Tasa eléctrica</t>
        </is>
      </c>
      <c r="B1688" s="31" t="n">
        <v>1.88</v>
      </c>
      <c r="C1688" s="44" t="n"/>
      <c r="D1688" s="33" t="n">
        <v>0.02671</v>
      </c>
      <c r="E1688" s="34" t="n">
        <v>1</v>
      </c>
      <c r="F1688" s="35">
        <f>ROUND(B1688*E1688,2)</f>
        <v/>
      </c>
      <c r="H1688" s="36" t="n">
        <v>1.98</v>
      </c>
      <c r="I1688" s="37" t="n">
        <v>1</v>
      </c>
      <c r="J1688" s="38">
        <f>ROUND(H1688*I1688,2)</f>
        <v/>
      </c>
      <c r="L1688" s="65" t="n"/>
      <c r="M1688" s="65" t="n"/>
      <c r="N1688" s="65" t="n"/>
    </row>
    <row r="1689">
      <c r="A1689" s="47" t="inlineStr">
        <is>
          <t>TOTAL c/IVA</t>
        </is>
      </c>
      <c r="F1689" s="48">
        <f>ROUND((SUM(F1681:F1688)-F1688)*1.1+F1688,2)</f>
        <v/>
      </c>
      <c r="J1689" s="49">
        <f>ROUND(SUM(J1681:J1688),2)</f>
        <v/>
      </c>
      <c r="N1689" s="66" t="n"/>
    </row>
    <row r="1690">
      <c r="A1690" s="19" t="inlineStr">
        <is>
          <t>MARGEN sin registrar</t>
        </is>
      </c>
      <c r="B1690" s="51">
        <f>IF((F1684+F1681+F1683+F1685+F1682)=0,"",((F1684+F1681+F1683+F1685+F1682)-$AB$1683)/(F1684+F1681+F1683+F1685+F1682))</f>
        <v/>
      </c>
      <c r="D1690" s="52">
        <f>IF(B1690="","SIN PC",IF(B1690&gt;=0.3,"APROBAR",IF(B1690&gt;=0.2,"REVISAR","RECHAZAR")))</f>
        <v/>
      </c>
      <c r="E1690" s="53" t="n"/>
      <c r="F1690" s="54" t="n"/>
      <c r="AD1690">
        <f>SUM(F1683:F1685)-6.8810</f>
        <v/>
      </c>
    </row>
    <row r="1692">
      <c r="A1692" s="15" t="inlineStr">
        <is>
          <t>Factura 8696 · C03070 · CONGLI WANG</t>
        </is>
      </c>
      <c r="H1692" s="15" t="inlineStr">
        <is>
          <t>ES0021000013610497HZ · Naturgy</t>
        </is>
      </c>
      <c r="L1692" s="16" t="n">
        <v>46113</v>
      </c>
      <c r="M1692" s="17" t="inlineStr">
        <is>
          <t>a</t>
        </is>
      </c>
      <c r="N1692" s="16" t="n">
        <v>46142</v>
      </c>
      <c r="R1692" s="18" t="inlineStr">
        <is>
          <t>HISTÓRICO DEL CUPS · HOJA TTVA LUZ</t>
        </is>
      </c>
    </row>
    <row r="1693">
      <c r="A1693" s="19" t="inlineStr">
        <is>
          <t>Concepto</t>
        </is>
      </c>
      <c r="B1693" s="20" t="inlineStr">
        <is>
          <t>PENDIENTE (sin registrar)</t>
        </is>
      </c>
      <c r="C1693" s="21" t="n"/>
      <c r="D1693" s="21" t="n"/>
      <c r="E1693" s="21" t="n"/>
      <c r="F1693" s="21" t="n"/>
      <c r="H1693" s="22" t="inlineStr">
        <is>
          <t>MES ANTERIOR · Fact.6346</t>
        </is>
      </c>
      <c r="I1693" s="23" t="n"/>
      <c r="J1693" s="23" t="n"/>
      <c r="L1693" s="24" t="inlineStr">
        <is>
          <t>AÑO ANTERIOR · (sin dato)</t>
        </is>
      </c>
      <c r="M1693" s="25" t="n"/>
      <c r="N1693" s="25" t="n"/>
      <c r="R1693" s="26" t="inlineStr">
        <is>
          <t>Cobrado total: 1 €</t>
        </is>
      </c>
    </row>
    <row r="1694">
      <c r="B1694" s="7" t="inlineStr">
        <is>
          <t>Cant</t>
        </is>
      </c>
      <c r="C1694" s="7" t="inlineStr">
        <is>
          <t>Días</t>
        </is>
      </c>
      <c r="D1694" s="7" t="inlineStr">
        <is>
          <t>PC real</t>
        </is>
      </c>
      <c r="E1694" s="7" t="inlineStr">
        <is>
          <t>PV</t>
        </is>
      </c>
      <c r="F1694" s="7" t="inlineStr">
        <is>
          <t>Importe</t>
        </is>
      </c>
      <c r="H1694" s="27" t="inlineStr">
        <is>
          <t>Cant</t>
        </is>
      </c>
      <c r="I1694" s="27" t="inlineStr">
        <is>
          <t>PV</t>
        </is>
      </c>
      <c r="J1694" s="27" t="inlineStr">
        <is>
          <t>Importe</t>
        </is>
      </c>
      <c r="L1694" s="28" t="inlineStr">
        <is>
          <t>Cant</t>
        </is>
      </c>
      <c r="M1694" s="28" t="inlineStr">
        <is>
          <t>PV</t>
        </is>
      </c>
      <c r="N1694" s="28" t="inlineStr">
        <is>
          <t>Importe</t>
        </is>
      </c>
      <c r="R1694" s="29" t="inlineStr">
        <is>
          <t>Pagado total: 0 €</t>
        </is>
      </c>
    </row>
    <row r="1695">
      <c r="A1695" s="30" t="inlineStr">
        <is>
          <t>P1 Potencia</t>
        </is>
      </c>
      <c r="B1695" s="31" t="n">
        <v>5.75</v>
      </c>
      <c r="C1695" s="32">
        <f>$N$1692-$L$1692+1</f>
        <v/>
      </c>
      <c r="D1695" s="33" t="n">
        <v>3.68919</v>
      </c>
      <c r="E1695" s="34" t="n">
        <v>3.85</v>
      </c>
      <c r="F1695" s="35">
        <f>ROUND(B1695*E1695,2)</f>
        <v/>
      </c>
      <c r="H1695" s="36" t="n">
        <v>5.75</v>
      </c>
      <c r="I1695" s="37" t="n">
        <v>3.85</v>
      </c>
      <c r="J1695" s="38">
        <f>ROUND(H1695*I1695,2)</f>
        <v/>
      </c>
      <c r="L1695" s="65" t="n"/>
      <c r="M1695" s="65" t="n"/>
      <c r="N1695" s="65" t="n"/>
      <c r="R1695" s="42" t="inlineStr">
        <is>
          <t>DIF: 1 €   ·   Margen hist.: 100.0%</t>
        </is>
      </c>
    </row>
    <row r="1696">
      <c r="A1696" s="30" t="inlineStr">
        <is>
          <t>P2 Potencia</t>
        </is>
      </c>
      <c r="B1696" s="31" t="n">
        <v>5.75</v>
      </c>
      <c r="C1696" s="32">
        <f>$N$1692-$L$1692+1</f>
        <v/>
      </c>
      <c r="D1696" s="33" t="n">
        <v>1.31928</v>
      </c>
      <c r="E1696" s="34" t="n">
        <v>1.33</v>
      </c>
      <c r="F1696" s="35">
        <f>ROUND(B1696*E1696,2)</f>
        <v/>
      </c>
      <c r="H1696" s="36" t="n">
        <v>5.75</v>
      </c>
      <c r="I1696" s="37" t="n">
        <v>1.33</v>
      </c>
      <c r="J1696" s="38">
        <f>ROUND(H1696*I1696,2)</f>
        <v/>
      </c>
      <c r="L1696" s="65" t="n"/>
      <c r="M1696" s="65" t="n"/>
      <c r="N1696" s="65" t="n"/>
    </row>
    <row r="1697">
      <c r="A1697" s="30" t="inlineStr">
        <is>
          <t>P1 Energía</t>
        </is>
      </c>
      <c r="B1697" s="31">
        <f>IF($P$1697&lt;&gt;"",ROUND(AA1697*(($AB$1697/(1-$P$1697))-29.7850)/0.1475,2),IF('Resumen'!$D$3="OPTIMIZAR",AA1697,AA1697))</f>
        <v/>
      </c>
      <c r="C1697" s="44" t="n"/>
      <c r="D1697" s="33" t="n">
        <v>0.111171</v>
      </c>
      <c r="E1697" s="34" t="n">
        <v>0.13788</v>
      </c>
      <c r="F1697" s="35">
        <f>ROUND(B1697*E1697,2)</f>
        <v/>
      </c>
      <c r="H1697" s="36" t="n">
        <v>17.646</v>
      </c>
      <c r="I1697" s="37" t="n">
        <v>0.13788</v>
      </c>
      <c r="J1697" s="38">
        <f>ROUND(H1697*I1697,2)</f>
        <v/>
      </c>
      <c r="L1697" s="65" t="n"/>
      <c r="M1697" s="65" t="n"/>
      <c r="N1697" s="65" t="n"/>
      <c r="O1697" s="45" t="inlineStr">
        <is>
          <t>Margen objetivo (edita % aquí) ▶</t>
        </is>
      </c>
      <c r="P1697" s="5" t="n"/>
      <c r="AA1697" t="n">
        <v>0.727</v>
      </c>
      <c r="AB1697">
        <f>B1695*D1695+B1696*D1696+AA1697*D1697+AA1698*D1698+AA1699*D1699</f>
        <v/>
      </c>
    </row>
    <row r="1698">
      <c r="A1698" s="30" t="inlineStr">
        <is>
          <t>P2 Energía</t>
        </is>
      </c>
      <c r="B1698" s="31">
        <f>IF($P$1697&lt;&gt;"",ROUND(AA1698*(($AB$1697/(1-$P$1697))-29.7850)/0.1475,2),IF('Resumen'!$D$3="OPTIMIZAR",AA1698,AA1698))</f>
        <v/>
      </c>
      <c r="C1698" s="44" t="n"/>
      <c r="D1698" s="33" t="n">
        <v>0.111171</v>
      </c>
      <c r="E1698" s="34" t="n">
        <v>0.13788</v>
      </c>
      <c r="F1698" s="35">
        <f>ROUND(B1698*E1698,2)</f>
        <v/>
      </c>
      <c r="H1698" s="36" t="n">
        <v>19.589</v>
      </c>
      <c r="I1698" s="37" t="n">
        <v>0.13788</v>
      </c>
      <c r="J1698" s="38">
        <f>ROUND(H1698*I1698,2)</f>
        <v/>
      </c>
      <c r="L1698" s="65" t="n"/>
      <c r="M1698" s="65" t="n"/>
      <c r="N1698" s="65" t="n"/>
      <c r="O1698" s="46" t="inlineStr">
        <is>
          <t>Cant. P1/P2/P3 energía suben</t>
        </is>
      </c>
      <c r="R1698" s="43" t="inlineStr">
        <is>
          <t>Importe mensual cobrado (€) · 24 meses ▾</t>
        </is>
      </c>
      <c r="AA1698" t="n">
        <v>0.221</v>
      </c>
    </row>
    <row r="1699">
      <c r="A1699" s="30" t="inlineStr">
        <is>
          <t>P3 Energía</t>
        </is>
      </c>
      <c r="B1699" s="31">
        <f>IF($P$1697&lt;&gt;"",ROUND(AA1699*(($AB$1697/(1-$P$1697))-29.7850)/0.1475,2),IF('Resumen'!$D$3="OPTIMIZAR",AA1699,AA1699))</f>
        <v/>
      </c>
      <c r="C1699" s="44" t="n"/>
      <c r="D1699" s="33" t="n">
        <v>0.111171</v>
      </c>
      <c r="E1699" s="34" t="n">
        <v>0.13788</v>
      </c>
      <c r="F1699" s="35">
        <f>ROUND(B1699*E1699,2)</f>
        <v/>
      </c>
      <c r="H1699" s="36" t="n">
        <v>3.689</v>
      </c>
      <c r="I1699" s="37" t="n">
        <v>0.13788</v>
      </c>
      <c r="J1699" s="38">
        <f>ROUND(H1699*I1699,2)</f>
        <v/>
      </c>
      <c r="L1699" s="65" t="n"/>
      <c r="M1699" s="65" t="n"/>
      <c r="N1699" s="65" t="n"/>
      <c r="O1699" s="46" t="inlineStr">
        <is>
          <t>en proporción para ese margen</t>
        </is>
      </c>
      <c r="AA1699" t="n">
        <v>0.122</v>
      </c>
    </row>
    <row r="1700">
      <c r="A1700" s="30" t="inlineStr">
        <is>
          <t>Alquiler contador</t>
        </is>
      </c>
      <c r="B1700" s="31" t="n">
        <v>1</v>
      </c>
      <c r="C1700" s="32">
        <f>$N$1692-$L$1692+1</f>
        <v/>
      </c>
      <c r="D1700" s="33" t="n">
        <v>0.7989000000000001</v>
      </c>
      <c r="E1700" s="34" t="n">
        <v>3</v>
      </c>
      <c r="F1700" s="35">
        <f>ROUND(B1700*E1700,2)</f>
        <v/>
      </c>
      <c r="H1700" s="36" t="n">
        <v>1</v>
      </c>
      <c r="I1700" s="37" t="n">
        <v>3</v>
      </c>
      <c r="J1700" s="38">
        <f>ROUND(H1700*I1700,2)</f>
        <v/>
      </c>
      <c r="L1700" s="65" t="n"/>
      <c r="M1700" s="65" t="n"/>
      <c r="N1700" s="65" t="n"/>
    </row>
    <row r="1701">
      <c r="A1701" s="30" t="inlineStr">
        <is>
          <t>Bono social</t>
        </is>
      </c>
      <c r="B1701" s="31" t="n">
        <v>30</v>
      </c>
      <c r="C1701" s="32">
        <f>$N$1692-$L$1692+1</f>
        <v/>
      </c>
      <c r="D1701" s="33" t="n">
        <v>0.5736</v>
      </c>
      <c r="E1701" s="34" t="n">
        <v>0.01274</v>
      </c>
      <c r="F1701" s="35">
        <f>ROUND(B1701*E1701,2)</f>
        <v/>
      </c>
      <c r="H1701" s="36" t="n">
        <v>30</v>
      </c>
      <c r="I1701" s="37" t="n">
        <v>0.01274</v>
      </c>
      <c r="J1701" s="38">
        <f>ROUND(H1701*I1701,2)</f>
        <v/>
      </c>
      <c r="L1701" s="65" t="n"/>
      <c r="M1701" s="65" t="n"/>
      <c r="N1701" s="65" t="n"/>
    </row>
    <row r="1702">
      <c r="A1702" s="30" t="inlineStr">
        <is>
          <t>Tasa eléctrica</t>
        </is>
      </c>
      <c r="B1702" s="31" t="n">
        <v>1.54</v>
      </c>
      <c r="C1702" s="44" t="n"/>
      <c r="D1702" s="33" t="n">
        <v>0.02671</v>
      </c>
      <c r="E1702" s="34" t="n">
        <v>1</v>
      </c>
      <c r="F1702" s="35">
        <f>ROUND(B1702*E1702,2)</f>
        <v/>
      </c>
      <c r="H1702" s="36" t="n">
        <v>1.82</v>
      </c>
      <c r="I1702" s="37" t="n">
        <v>1</v>
      </c>
      <c r="J1702" s="38">
        <f>ROUND(H1702*I1702,2)</f>
        <v/>
      </c>
      <c r="L1702" s="65" t="n"/>
      <c r="M1702" s="65" t="n"/>
      <c r="N1702" s="65" t="n"/>
    </row>
    <row r="1703">
      <c r="A1703" s="47" t="inlineStr">
        <is>
          <t>TOTAL c/IVA</t>
        </is>
      </c>
      <c r="F1703" s="48">
        <f>ROUND((SUM(F1695:F1702)-F1702)*1.1+F1702,2)</f>
        <v/>
      </c>
      <c r="J1703" s="49">
        <f>ROUND(SUM(J1695:J1702),2)</f>
        <v/>
      </c>
      <c r="N1703" s="66" t="n"/>
    </row>
    <row r="1704">
      <c r="A1704" s="19" t="inlineStr">
        <is>
          <t>MARGEN sin registrar</t>
        </is>
      </c>
      <c r="B1704" s="51">
        <f>IF((F1698+F1695+F1697+F1699+F1696)=0,"",((F1698+F1695+F1697+F1699+F1696)-$AB$1697)/(F1698+F1695+F1697+F1699+F1696))</f>
        <v/>
      </c>
      <c r="D1704" s="52">
        <f>IF(B1704="","SIN PC",IF(B1704&gt;=0.3,"APROBAR",IF(B1704&gt;=0.2,"REVISAR","RECHAZAR")))</f>
        <v/>
      </c>
      <c r="E1704" s="53" t="n"/>
      <c r="F1704" s="54" t="n"/>
      <c r="AD1704">
        <f>SUM(F1697:F1699)-0.1475</f>
        <v/>
      </c>
    </row>
    <row r="1706">
      <c r="A1706" s="15" t="inlineStr">
        <is>
          <t>Factura 8697 · C03110 · RUBÉN CAMACHO PATRICIO</t>
        </is>
      </c>
      <c r="H1706" s="15" t="inlineStr">
        <is>
          <t>ES0021000004645064KG · Naturgy</t>
        </is>
      </c>
      <c r="L1706" s="16" t="n">
        <v>46113</v>
      </c>
      <c r="M1706" s="17" t="inlineStr">
        <is>
          <t>a</t>
        </is>
      </c>
      <c r="N1706" s="16" t="n">
        <v>46142</v>
      </c>
      <c r="R1706" s="18" t="inlineStr">
        <is>
          <t>HISTÓRICO DEL CUPS · HOJA TTVA LUZ</t>
        </is>
      </c>
    </row>
    <row r="1707">
      <c r="A1707" s="19" t="inlineStr">
        <is>
          <t>Concepto</t>
        </is>
      </c>
      <c r="B1707" s="20" t="inlineStr">
        <is>
          <t>PENDIENTE (sin registrar)</t>
        </is>
      </c>
      <c r="C1707" s="21" t="n"/>
      <c r="D1707" s="21" t="n"/>
      <c r="E1707" s="21" t="n"/>
      <c r="F1707" s="21" t="n"/>
      <c r="H1707" s="22" t="inlineStr">
        <is>
          <t>MES ANTERIOR · Fact.6345</t>
        </is>
      </c>
      <c r="I1707" s="23" t="n"/>
      <c r="J1707" s="23" t="n"/>
      <c r="L1707" s="24" t="inlineStr">
        <is>
          <t>AÑO ANTERIOR · (sin dato)</t>
        </is>
      </c>
      <c r="M1707" s="25" t="n"/>
      <c r="N1707" s="25" t="n"/>
      <c r="R1707" s="26" t="inlineStr">
        <is>
          <t>Cobrado total: -0 €</t>
        </is>
      </c>
    </row>
    <row r="1708">
      <c r="B1708" s="7" t="inlineStr">
        <is>
          <t>Cant</t>
        </is>
      </c>
      <c r="C1708" s="7" t="inlineStr">
        <is>
          <t>Días</t>
        </is>
      </c>
      <c r="D1708" s="7" t="inlineStr">
        <is>
          <t>PC real</t>
        </is>
      </c>
      <c r="E1708" s="7" t="inlineStr">
        <is>
          <t>PV</t>
        </is>
      </c>
      <c r="F1708" s="7" t="inlineStr">
        <is>
          <t>Importe</t>
        </is>
      </c>
      <c r="H1708" s="27" t="inlineStr">
        <is>
          <t>Cant</t>
        </is>
      </c>
      <c r="I1708" s="27" t="inlineStr">
        <is>
          <t>PV</t>
        </is>
      </c>
      <c r="J1708" s="27" t="inlineStr">
        <is>
          <t>Importe</t>
        </is>
      </c>
      <c r="L1708" s="28" t="inlineStr">
        <is>
          <t>Cant</t>
        </is>
      </c>
      <c r="M1708" s="28" t="inlineStr">
        <is>
          <t>PV</t>
        </is>
      </c>
      <c r="N1708" s="28" t="inlineStr">
        <is>
          <t>Importe</t>
        </is>
      </c>
      <c r="R1708" s="29" t="inlineStr">
        <is>
          <t>Pagado total: 0 €</t>
        </is>
      </c>
    </row>
    <row r="1709">
      <c r="A1709" s="30" t="inlineStr">
        <is>
          <t>P1 Potencia</t>
        </is>
      </c>
      <c r="B1709" s="31" t="n">
        <v>3.3</v>
      </c>
      <c r="C1709" s="32">
        <f>$N$1706-$L$1706+1</f>
        <v/>
      </c>
      <c r="D1709" s="33" t="n">
        <v>3.4086</v>
      </c>
      <c r="E1709" s="34" t="n">
        <v>3.85</v>
      </c>
      <c r="F1709" s="35">
        <f>ROUND(B1709*E1709,2)</f>
        <v/>
      </c>
      <c r="H1709" s="36" t="n">
        <v>3.3</v>
      </c>
      <c r="I1709" s="37" t="n">
        <v>3.85</v>
      </c>
      <c r="J1709" s="38">
        <f>ROUND(H1709*I1709,2)</f>
        <v/>
      </c>
      <c r="L1709" s="65" t="n"/>
      <c r="M1709" s="65" t="n"/>
      <c r="N1709" s="65" t="n"/>
      <c r="R1709" s="42" t="inlineStr">
        <is>
          <t>DIF: -0 €   ·   Margen hist.: 100.0%</t>
        </is>
      </c>
    </row>
    <row r="1710">
      <c r="A1710" s="30" t="inlineStr">
        <is>
          <t>P2 Potencia</t>
        </is>
      </c>
      <c r="B1710" s="31" t="n">
        <v>3.3</v>
      </c>
      <c r="C1710" s="32">
        <f>$N$1706-$L$1706+1</f>
        <v/>
      </c>
      <c r="D1710" s="33" t="n">
        <v>1.20579</v>
      </c>
      <c r="E1710" s="34" t="n">
        <v>1.33</v>
      </c>
      <c r="F1710" s="35">
        <f>ROUND(B1710*E1710,2)</f>
        <v/>
      </c>
      <c r="H1710" s="36" t="n">
        <v>3.3</v>
      </c>
      <c r="I1710" s="37" t="n">
        <v>1.33</v>
      </c>
      <c r="J1710" s="38">
        <f>ROUND(H1710*I1710,2)</f>
        <v/>
      </c>
      <c r="L1710" s="65" t="n"/>
      <c r="M1710" s="65" t="n"/>
      <c r="N1710" s="65" t="n"/>
    </row>
    <row r="1711">
      <c r="A1711" s="30" t="inlineStr">
        <is>
          <t>P1 Energía</t>
        </is>
      </c>
      <c r="B1711" s="31">
        <f>IF($P$1711&lt;&gt;"",ROUND(AA1711*(($AB$1711/(1-$P$1711))-17.0940)/15.4296,2),IF('Resumen'!$D$3="OPTIMIZAR",AA1711,AA1711))</f>
        <v/>
      </c>
      <c r="C1711" s="44" t="n"/>
      <c r="D1711" s="33" t="n">
        <v>0.108</v>
      </c>
      <c r="E1711" s="34" t="n">
        <v>0.13788</v>
      </c>
      <c r="F1711" s="35">
        <f>ROUND(B1711*E1711,2)</f>
        <v/>
      </c>
      <c r="H1711" s="36" t="n">
        <v>31.827</v>
      </c>
      <c r="I1711" s="37" t="n">
        <v>0.13788</v>
      </c>
      <c r="J1711" s="38">
        <f>ROUND(H1711*I1711,2)</f>
        <v/>
      </c>
      <c r="L1711" s="65" t="n"/>
      <c r="M1711" s="65" t="n"/>
      <c r="N1711" s="65" t="n"/>
      <c r="O1711" s="45" t="inlineStr">
        <is>
          <t>Margen objetivo (edita % aquí) ▶</t>
        </is>
      </c>
      <c r="P1711" s="5" t="n"/>
      <c r="AA1711" t="n">
        <v>46.116</v>
      </c>
      <c r="AB1711">
        <f>B1709*D1709+B1710*D1710+AA1711*D1711+AA1712*D1712+AA1713*D1713</f>
        <v/>
      </c>
    </row>
    <row r="1712">
      <c r="A1712" s="30" t="inlineStr">
        <is>
          <t>P2 Energía</t>
        </is>
      </c>
      <c r="B1712" s="31">
        <f>IF($P$1711&lt;&gt;"",ROUND(AA1712*(($AB$1711/(1-$P$1711))-17.0940)/15.4296,2),IF('Resumen'!$D$3="OPTIMIZAR",AA1712,AA1712))</f>
        <v/>
      </c>
      <c r="C1712" s="44" t="n"/>
      <c r="D1712" s="33" t="n">
        <v>0.108</v>
      </c>
      <c r="E1712" s="34" t="n">
        <v>0.13788</v>
      </c>
      <c r="F1712" s="35">
        <f>ROUND(B1712*E1712,2)</f>
        <v/>
      </c>
      <c r="H1712" s="36" t="n">
        <v>30.178</v>
      </c>
      <c r="I1712" s="37" t="n">
        <v>0.13788</v>
      </c>
      <c r="J1712" s="38">
        <f>ROUND(H1712*I1712,2)</f>
        <v/>
      </c>
      <c r="L1712" s="65" t="n"/>
      <c r="M1712" s="65" t="n"/>
      <c r="N1712" s="65" t="n"/>
      <c r="O1712" s="46" t="inlineStr">
        <is>
          <t>Cant. P1/P2/P3 energía suben</t>
        </is>
      </c>
      <c r="R1712" s="43" t="inlineStr">
        <is>
          <t>Importe mensual cobrado (€) · 24 meses ▾</t>
        </is>
      </c>
      <c r="AA1712" t="n">
        <v>25.26</v>
      </c>
    </row>
    <row r="1713">
      <c r="A1713" s="30" t="inlineStr">
        <is>
          <t>P3 Energía</t>
        </is>
      </c>
      <c r="B1713" s="31">
        <f>IF($P$1711&lt;&gt;"",ROUND(AA1713*(($AB$1711/(1-$P$1711))-17.0940)/15.4296,2),IF('Resumen'!$D$3="OPTIMIZAR",AA1713,AA1713))</f>
        <v/>
      </c>
      <c r="C1713" s="44" t="n"/>
      <c r="D1713" s="33" t="n">
        <v>0.108</v>
      </c>
      <c r="E1713" s="34" t="n">
        <v>0.13788</v>
      </c>
      <c r="F1713" s="35">
        <f>ROUND(B1713*E1713,2)</f>
        <v/>
      </c>
      <c r="H1713" s="36" t="n">
        <v>28.651</v>
      </c>
      <c r="I1713" s="37" t="n">
        <v>0.13788</v>
      </c>
      <c r="J1713" s="38">
        <f>ROUND(H1713*I1713,2)</f>
        <v/>
      </c>
      <c r="L1713" s="65" t="n"/>
      <c r="M1713" s="65" t="n"/>
      <c r="N1713" s="65" t="n"/>
      <c r="O1713" s="46" t="inlineStr">
        <is>
          <t>en proporción para ese margen</t>
        </is>
      </c>
      <c r="AA1713" t="n">
        <v>40.53</v>
      </c>
    </row>
    <row r="1714">
      <c r="A1714" s="30" t="inlineStr">
        <is>
          <t>Alquiler contador</t>
        </is>
      </c>
      <c r="B1714" s="31" t="n">
        <v>1</v>
      </c>
      <c r="C1714" s="32">
        <f>$N$1706-$L$1706+1</f>
        <v/>
      </c>
      <c r="D1714" s="33" t="n">
        <v>0.7989000000000001</v>
      </c>
      <c r="E1714" s="34" t="n">
        <v>3</v>
      </c>
      <c r="F1714" s="35">
        <f>ROUND(B1714*E1714,2)</f>
        <v/>
      </c>
      <c r="H1714" s="36" t="n">
        <v>1</v>
      </c>
      <c r="I1714" s="37" t="n">
        <v>3</v>
      </c>
      <c r="J1714" s="38">
        <f>ROUND(H1714*I1714,2)</f>
        <v/>
      </c>
      <c r="L1714" s="65" t="n"/>
      <c r="M1714" s="65" t="n"/>
      <c r="N1714" s="65" t="n"/>
    </row>
    <row r="1715">
      <c r="A1715" s="30" t="inlineStr">
        <is>
          <t>Bono social</t>
        </is>
      </c>
      <c r="B1715" s="31" t="n">
        <v>30</v>
      </c>
      <c r="C1715" s="32">
        <f>$N$1706-$L$1706+1</f>
        <v/>
      </c>
      <c r="D1715" s="33" t="n">
        <v>0.5736</v>
      </c>
      <c r="E1715" s="34" t="n">
        <v>0.01274</v>
      </c>
      <c r="F1715" s="35">
        <f>ROUND(B1715*E1715,2)</f>
        <v/>
      </c>
      <c r="H1715" s="36" t="n">
        <v>30</v>
      </c>
      <c r="I1715" s="37" t="n">
        <v>0.01274</v>
      </c>
      <c r="J1715" s="38">
        <f>ROUND(H1715*I1715,2)</f>
        <v/>
      </c>
      <c r="L1715" s="65" t="n"/>
      <c r="M1715" s="65" t="n"/>
      <c r="N1715" s="65" t="n"/>
    </row>
    <row r="1716">
      <c r="A1716" s="30" t="inlineStr">
        <is>
          <t>Tasa eléctrica</t>
        </is>
      </c>
      <c r="B1716" s="31" t="n">
        <v>1.67</v>
      </c>
      <c r="C1716" s="44" t="n"/>
      <c r="D1716" s="33" t="n">
        <v>0.25248</v>
      </c>
      <c r="E1716" s="34" t="n">
        <v>1</v>
      </c>
      <c r="F1716" s="35">
        <f>ROUND(B1716*E1716,2)</f>
        <v/>
      </c>
      <c r="H1716" s="36" t="n">
        <v>1.52</v>
      </c>
      <c r="I1716" s="37" t="n">
        <v>1</v>
      </c>
      <c r="J1716" s="38">
        <f>ROUND(H1716*I1716,2)</f>
        <v/>
      </c>
      <c r="L1716" s="65" t="n"/>
      <c r="M1716" s="65" t="n"/>
      <c r="N1716" s="65" t="n"/>
    </row>
    <row r="1717">
      <c r="A1717" s="47" t="inlineStr">
        <is>
          <t>TOTAL c/IVA</t>
        </is>
      </c>
      <c r="F1717" s="48">
        <f>ROUND((SUM(F1709:F1716)-F1716)*1.1+F1716,2)</f>
        <v/>
      </c>
      <c r="J1717" s="49">
        <f>ROUND(SUM(J1709:J1716),2)</f>
        <v/>
      </c>
      <c r="N1717" s="66" t="n"/>
    </row>
    <row r="1718">
      <c r="A1718" s="19" t="inlineStr">
        <is>
          <t>MARGEN sin registrar</t>
        </is>
      </c>
      <c r="B1718" s="51">
        <f>IF((F1712+F1709+F1711+F1713+F1710)=0,"",((F1712+F1709+F1711+F1713+F1710)-$AB$1711)/(F1712+F1709+F1711+F1713+F1710))</f>
        <v/>
      </c>
      <c r="D1718" s="52">
        <f>IF(B1718="","SIN PC",IF(B1718&gt;=0.3,"APROBAR",IF(B1718&gt;=0.2,"REVISAR","RECHAZAR")))</f>
        <v/>
      </c>
      <c r="E1718" s="53" t="n"/>
      <c r="F1718" s="54" t="n"/>
      <c r="AD1718">
        <f>SUM(F1711:F1713)-15.4296</f>
        <v/>
      </c>
    </row>
    <row r="1720">
      <c r="A1720" s="15" t="inlineStr">
        <is>
          <t>Factura 8698 · C03130 · MARCELLO RAUCCI</t>
        </is>
      </c>
      <c r="H1720" s="15" t="inlineStr">
        <is>
          <t>ES0021000000938748ST · Naturgy</t>
        </is>
      </c>
      <c r="L1720" s="16" t="n">
        <v>46113</v>
      </c>
      <c r="M1720" s="17" t="inlineStr">
        <is>
          <t>a</t>
        </is>
      </c>
      <c r="N1720" s="16" t="n">
        <v>46142</v>
      </c>
      <c r="R1720" s="18" t="inlineStr">
        <is>
          <t>HISTÓRICO DEL CUPS · HOJA TTVA LUZ</t>
        </is>
      </c>
    </row>
    <row r="1721">
      <c r="A1721" s="19" t="inlineStr">
        <is>
          <t>Concepto</t>
        </is>
      </c>
      <c r="B1721" s="20" t="inlineStr">
        <is>
          <t>PENDIENTE (sin registrar)</t>
        </is>
      </c>
      <c r="C1721" s="21" t="n"/>
      <c r="D1721" s="21" t="n"/>
      <c r="E1721" s="21" t="n"/>
      <c r="F1721" s="21" t="n"/>
      <c r="H1721" s="22" t="inlineStr">
        <is>
          <t>MES ANTERIOR · Fact.6344</t>
        </is>
      </c>
      <c r="I1721" s="23" t="n"/>
      <c r="J1721" s="23" t="n"/>
      <c r="L1721" s="24" t="inlineStr">
        <is>
          <t>AÑO ANTERIOR · (sin dato)</t>
        </is>
      </c>
      <c r="M1721" s="25" t="n"/>
      <c r="N1721" s="25" t="n"/>
      <c r="R1721" s="26" t="inlineStr">
        <is>
          <t>Cobrado total: 2 €</t>
        </is>
      </c>
    </row>
    <row r="1722">
      <c r="B1722" s="7" t="inlineStr">
        <is>
          <t>Cant</t>
        </is>
      </c>
      <c r="C1722" s="7" t="inlineStr">
        <is>
          <t>Días</t>
        </is>
      </c>
      <c r="D1722" s="7" t="inlineStr">
        <is>
          <t>PC real</t>
        </is>
      </c>
      <c r="E1722" s="7" t="inlineStr">
        <is>
          <t>PV</t>
        </is>
      </c>
      <c r="F1722" s="7" t="inlineStr">
        <is>
          <t>Importe</t>
        </is>
      </c>
      <c r="H1722" s="27" t="inlineStr">
        <is>
          <t>Cant</t>
        </is>
      </c>
      <c r="I1722" s="27" t="inlineStr">
        <is>
          <t>PV</t>
        </is>
      </c>
      <c r="J1722" s="27" t="inlineStr">
        <is>
          <t>Importe</t>
        </is>
      </c>
      <c r="L1722" s="28" t="inlineStr">
        <is>
          <t>Cant</t>
        </is>
      </c>
      <c r="M1722" s="28" t="inlineStr">
        <is>
          <t>PV</t>
        </is>
      </c>
      <c r="N1722" s="28" t="inlineStr">
        <is>
          <t>Importe</t>
        </is>
      </c>
      <c r="R1722" s="29" t="inlineStr">
        <is>
          <t>Pagado total: 0 €</t>
        </is>
      </c>
    </row>
    <row r="1723">
      <c r="A1723" s="30" t="inlineStr">
        <is>
          <t>P1 Potencia</t>
        </is>
      </c>
      <c r="B1723" s="31" t="n">
        <v>9.199999999999999</v>
      </c>
      <c r="C1723" s="32">
        <f>$N$1720-$L$1720+1</f>
        <v/>
      </c>
      <c r="D1723" s="33" t="n">
        <v>3.68919</v>
      </c>
      <c r="E1723" s="34" t="n">
        <v>3.85</v>
      </c>
      <c r="F1723" s="35">
        <f>ROUND(B1723*E1723,2)</f>
        <v/>
      </c>
      <c r="H1723" s="36" t="n">
        <v>9.199999999999999</v>
      </c>
      <c r="I1723" s="37" t="n">
        <v>3.85</v>
      </c>
      <c r="J1723" s="38">
        <f>ROUND(H1723*I1723,2)</f>
        <v/>
      </c>
      <c r="L1723" s="65" t="n"/>
      <c r="M1723" s="65" t="n"/>
      <c r="N1723" s="65" t="n"/>
      <c r="R1723" s="42" t="inlineStr">
        <is>
          <t>DIF: 2 €   ·   Margen hist.: 100.0%</t>
        </is>
      </c>
    </row>
    <row r="1724">
      <c r="A1724" s="30" t="inlineStr">
        <is>
          <t>P2 Potencia</t>
        </is>
      </c>
      <c r="B1724" s="31" t="n">
        <v>9.199999999999999</v>
      </c>
      <c r="C1724" s="32">
        <f>$N$1720-$L$1720+1</f>
        <v/>
      </c>
      <c r="D1724" s="33" t="n">
        <v>1.31928</v>
      </c>
      <c r="E1724" s="34" t="n">
        <v>1.33</v>
      </c>
      <c r="F1724" s="35">
        <f>ROUND(B1724*E1724,2)</f>
        <v/>
      </c>
      <c r="H1724" s="36" t="n">
        <v>9.199999999999999</v>
      </c>
      <c r="I1724" s="37" t="n">
        <v>1.33</v>
      </c>
      <c r="J1724" s="38">
        <f>ROUND(H1724*I1724,2)</f>
        <v/>
      </c>
      <c r="L1724" s="65" t="n"/>
      <c r="M1724" s="65" t="n"/>
      <c r="N1724" s="65" t="n"/>
    </row>
    <row r="1725">
      <c r="A1725" s="30" t="inlineStr">
        <is>
          <t>P1 Energía</t>
        </is>
      </c>
      <c r="B1725" s="31">
        <f>IF($P$1725&lt;&gt;"",ROUND(AA1725*(($AB$1725/(1-$P$1725))-47.6560)/184.3680,2),IF('Resumen'!$D$3="OPTIMIZAR",AA1725,AA1725))</f>
        <v/>
      </c>
      <c r="C1725" s="44" t="n"/>
      <c r="D1725" s="33" t="n">
        <v>0.111171</v>
      </c>
      <c r="E1725" s="34" t="n">
        <v>0.129</v>
      </c>
      <c r="F1725" s="35">
        <f>ROUND(B1725*E1725,2)</f>
        <v/>
      </c>
      <c r="H1725" s="36" t="n">
        <v>318.188</v>
      </c>
      <c r="I1725" s="37" t="n">
        <v>0.13788</v>
      </c>
      <c r="J1725" s="38">
        <f>ROUND(H1725*I1725,2)</f>
        <v/>
      </c>
      <c r="L1725" s="65" t="n"/>
      <c r="M1725" s="65" t="n"/>
      <c r="N1725" s="65" t="n"/>
      <c r="O1725" s="45" t="inlineStr">
        <is>
          <t>Margen objetivo (edita % aquí) ▶</t>
        </is>
      </c>
      <c r="P1725" s="5" t="n"/>
      <c r="AA1725" t="n">
        <v>204.787</v>
      </c>
      <c r="AB1725">
        <f>B1723*D1723+B1724*D1724+AA1725*D1725+AA1726*D1726+AA1727*D1727</f>
        <v/>
      </c>
    </row>
    <row r="1726">
      <c r="A1726" s="30" t="inlineStr">
        <is>
          <t>P2 Energía</t>
        </is>
      </c>
      <c r="B1726" s="31">
        <f>IF($P$1725&lt;&gt;"",ROUND(AA1726*(($AB$1725/(1-$P$1725))-47.6560)/184.3680,2),IF('Resumen'!$D$3="OPTIMIZAR",AA1726,AA1726))</f>
        <v/>
      </c>
      <c r="C1726" s="44" t="n"/>
      <c r="D1726" s="33" t="n">
        <v>0.111171</v>
      </c>
      <c r="E1726" s="34" t="n">
        <v>0.129</v>
      </c>
      <c r="F1726" s="35">
        <f>ROUND(B1726*E1726,2)</f>
        <v/>
      </c>
      <c r="H1726" s="36" t="n">
        <v>339.731</v>
      </c>
      <c r="I1726" s="37" t="n">
        <v>0.13788</v>
      </c>
      <c r="J1726" s="38">
        <f>ROUND(H1726*I1726,2)</f>
        <v/>
      </c>
      <c r="L1726" s="65" t="n"/>
      <c r="M1726" s="65" t="n"/>
      <c r="N1726" s="65" t="n"/>
      <c r="O1726" s="46" t="inlineStr">
        <is>
          <t>Cant. P1/P2/P3 energía suben</t>
        </is>
      </c>
      <c r="R1726" s="43" t="inlineStr">
        <is>
          <t>Importe mensual cobrado (€) · 24 meses ▾</t>
        </is>
      </c>
      <c r="AA1726" t="n">
        <v>200.612</v>
      </c>
    </row>
    <row r="1727">
      <c r="A1727" s="30" t="inlineStr">
        <is>
          <t>P3 Energía</t>
        </is>
      </c>
      <c r="B1727" s="31">
        <f>IF($P$1725&lt;&gt;"",ROUND(AA1727*(($AB$1725/(1-$P$1725))-47.6560)/184.3680,2),IF('Resumen'!$D$3="OPTIMIZAR",AA1727,AA1727))</f>
        <v/>
      </c>
      <c r="C1727" s="44" t="n"/>
      <c r="D1727" s="33" t="n">
        <v>0.111171</v>
      </c>
      <c r="E1727" s="34" t="n">
        <v>0.129</v>
      </c>
      <c r="F1727" s="35">
        <f>ROUND(B1727*E1727,2)</f>
        <v/>
      </c>
      <c r="H1727" s="36" t="n">
        <v>1049.76</v>
      </c>
      <c r="I1727" s="37" t="n">
        <v>0.13788</v>
      </c>
      <c r="J1727" s="38">
        <f>ROUND(H1727*I1727,2)</f>
        <v/>
      </c>
      <c r="L1727" s="65" t="n"/>
      <c r="M1727" s="65" t="n"/>
      <c r="N1727" s="65" t="n"/>
      <c r="O1727" s="46" t="inlineStr">
        <is>
          <t>en proporción para ese margen</t>
        </is>
      </c>
      <c r="AA1727" t="n">
        <v>1023.81</v>
      </c>
    </row>
    <row r="1728">
      <c r="A1728" s="30" t="inlineStr">
        <is>
          <t>Alquiler contador</t>
        </is>
      </c>
      <c r="B1728" s="31" t="n">
        <v>1</v>
      </c>
      <c r="C1728" s="32">
        <f>$N$1720-$L$1720+1</f>
        <v/>
      </c>
      <c r="D1728" s="33" t="n">
        <v>0.7989000000000001</v>
      </c>
      <c r="E1728" s="34" t="n">
        <v>3</v>
      </c>
      <c r="F1728" s="35">
        <f>ROUND(B1728*E1728,2)</f>
        <v/>
      </c>
      <c r="H1728" s="36" t="n">
        <v>1</v>
      </c>
      <c r="I1728" s="37" t="n">
        <v>3</v>
      </c>
      <c r="J1728" s="38">
        <f>ROUND(H1728*I1728,2)</f>
        <v/>
      </c>
      <c r="L1728" s="65" t="n"/>
      <c r="M1728" s="65" t="n"/>
      <c r="N1728" s="65" t="n"/>
    </row>
    <row r="1729">
      <c r="A1729" s="30" t="inlineStr">
        <is>
          <t>Bono social</t>
        </is>
      </c>
      <c r="B1729" s="31" t="n">
        <v>30</v>
      </c>
      <c r="C1729" s="32">
        <f>$N$1720-$L$1720+1</f>
        <v/>
      </c>
      <c r="D1729" s="33" t="n">
        <v>0.5736</v>
      </c>
      <c r="E1729" s="34" t="n">
        <v>0.01274</v>
      </c>
      <c r="F1729" s="35">
        <f>ROUND(B1729*E1729,2)</f>
        <v/>
      </c>
      <c r="H1729" s="36" t="n">
        <v>30</v>
      </c>
      <c r="I1729" s="37" t="n">
        <v>0.01274</v>
      </c>
      <c r="J1729" s="38">
        <f>ROUND(H1729*I1729,2)</f>
        <v/>
      </c>
      <c r="L1729" s="65" t="n"/>
      <c r="M1729" s="65" t="n"/>
      <c r="N1729" s="65" t="n"/>
    </row>
    <row r="1730">
      <c r="A1730" s="30" t="inlineStr">
        <is>
          <t>Tasa eléctrica</t>
        </is>
      </c>
      <c r="B1730" s="31" t="n">
        <v>11.51</v>
      </c>
      <c r="C1730" s="44" t="n"/>
      <c r="D1730" s="33" t="n">
        <v>0.27312</v>
      </c>
      <c r="E1730" s="34" t="n">
        <v>1</v>
      </c>
      <c r="F1730" s="35">
        <f>ROUND(B1730*E1730,2)</f>
        <v/>
      </c>
      <c r="H1730" s="36" t="n">
        <v>14.04</v>
      </c>
      <c r="I1730" s="37" t="n">
        <v>1</v>
      </c>
      <c r="J1730" s="38">
        <f>ROUND(H1730*I1730,2)</f>
        <v/>
      </c>
      <c r="L1730" s="65" t="n"/>
      <c r="M1730" s="65" t="n"/>
      <c r="N1730" s="65" t="n"/>
    </row>
    <row r="1731">
      <c r="A1731" s="47" t="inlineStr">
        <is>
          <t>TOTAL c/IVA</t>
        </is>
      </c>
      <c r="F1731" s="48">
        <f>ROUND((SUM(F1723:F1730)-F1730)*1.1+F1730,2)</f>
        <v/>
      </c>
      <c r="J1731" s="49">
        <f>ROUND(SUM(J1723:J1730),2)</f>
        <v/>
      </c>
      <c r="N1731" s="66" t="n"/>
    </row>
    <row r="1732">
      <c r="A1732" s="19" t="inlineStr">
        <is>
          <t>MARGEN sin registrar</t>
        </is>
      </c>
      <c r="B1732" s="51">
        <f>IF((F1726+F1723+F1725+F1727+F1724)=0,"",((F1726+F1723+F1725+F1727+F1724)-$AB$1725)/(F1726+F1723+F1725+F1727+F1724))</f>
        <v/>
      </c>
      <c r="D1732" s="52">
        <f>IF(B1732="","SIN PC",IF(B1732&gt;=0.3,"APROBAR",IF(B1732&gt;=0.2,"REVISAR","RECHAZAR")))</f>
        <v/>
      </c>
      <c r="E1732" s="53" t="n"/>
      <c r="F1732" s="54" t="n"/>
      <c r="AD1732">
        <f>SUM(F1725:F1727)-184.3680</f>
        <v/>
      </c>
    </row>
    <row r="1733">
      <c r="A1733" s="55" t="inlineStr">
        <is>
          <t>☀ EXCEDENTES SOLARES (kWh vertidos reales)</t>
        </is>
      </c>
      <c r="B1733" s="56" t="n"/>
      <c r="C1733" s="56" t="n"/>
      <c r="D1733" s="56" t="n"/>
      <c r="E1733" s="56" t="n"/>
      <c r="F1733" s="56" t="n"/>
    </row>
    <row r="1734">
      <c r="A1734" s="57" t="inlineStr">
        <is>
          <t>Concepto</t>
        </is>
      </c>
      <c r="B1734" s="57" t="inlineStr">
        <is>
          <t>kWh</t>
        </is>
      </c>
      <c r="D1734" s="57" t="inlineStr">
        <is>
          <t>€/kWh compra</t>
        </is>
      </c>
      <c r="E1734" s="57" t="inlineStr">
        <is>
          <t>€/kWh venta</t>
        </is>
      </c>
      <c r="F1734" s="57" t="inlineStr">
        <is>
          <t>Importe</t>
        </is>
      </c>
    </row>
    <row r="1735">
      <c r="A1735" s="58" t="inlineStr">
        <is>
          <t>Compra excedentes (vertido red)</t>
        </is>
      </c>
      <c r="B1735" s="59" t="n">
        <v>324</v>
      </c>
      <c r="C1735" s="60" t="n"/>
      <c r="D1735" s="33" t="n">
        <v>0.06</v>
      </c>
      <c r="E1735" s="60" t="n"/>
      <c r="F1735" s="61">
        <f>ROUND(B1735*D1735,2)</f>
        <v/>
      </c>
    </row>
    <row r="1736">
      <c r="A1736" s="58" t="inlineStr">
        <is>
          <t>Venta cliente (saldo batería, 1043)</t>
        </is>
      </c>
      <c r="B1736" s="60" t="n"/>
      <c r="C1736" s="60" t="n"/>
      <c r="D1736" s="60" t="n"/>
      <c r="E1736" s="62" t="n">
        <v>0.056</v>
      </c>
      <c r="F1736" s="61" t="n">
        <v>19.61</v>
      </c>
    </row>
    <row r="1737">
      <c r="A1737" s="63" t="inlineStr">
        <is>
          <t>NETO Transactiva (compra − venta)</t>
        </is>
      </c>
      <c r="B1737" s="60" t="n"/>
      <c r="C1737" s="60" t="n"/>
      <c r="D1737" s="60" t="n"/>
      <c r="E1737" s="60" t="n"/>
      <c r="F1737" s="64">
        <f>F1735-F1736</f>
        <v/>
      </c>
    </row>
    <row r="1739">
      <c r="A1739" s="15" t="inlineStr">
        <is>
          <t>Factura 8702 · C03170 · THOMAS CHRISTIAAN GREVE</t>
        </is>
      </c>
      <c r="H1739" s="15" t="inlineStr">
        <is>
          <t>ES0021000001504221JH · Naturgy</t>
        </is>
      </c>
      <c r="L1739" s="16" t="n">
        <v>46113</v>
      </c>
      <c r="M1739" s="17" t="inlineStr">
        <is>
          <t>a</t>
        </is>
      </c>
      <c r="N1739" s="16" t="n">
        <v>46142</v>
      </c>
      <c r="R1739" s="18" t="inlineStr">
        <is>
          <t>HISTÓRICO DEL CUPS · HOJA TTVA LUZ</t>
        </is>
      </c>
    </row>
    <row r="1740">
      <c r="A1740" s="19" t="inlineStr">
        <is>
          <t>Concepto</t>
        </is>
      </c>
      <c r="B1740" s="20" t="inlineStr">
        <is>
          <t>PENDIENTE (sin registrar)</t>
        </is>
      </c>
      <c r="C1740" s="21" t="n"/>
      <c r="D1740" s="21" t="n"/>
      <c r="E1740" s="21" t="n"/>
      <c r="F1740" s="21" t="n"/>
      <c r="H1740" s="22" t="inlineStr">
        <is>
          <t>MES ANTERIOR · Fact.6340</t>
        </is>
      </c>
      <c r="I1740" s="23" t="n"/>
      <c r="J1740" s="23" t="n"/>
      <c r="L1740" s="24" t="inlineStr">
        <is>
          <t>AÑO ANTERIOR · (sin dato)</t>
        </is>
      </c>
      <c r="M1740" s="25" t="n"/>
      <c r="N1740" s="25" t="n"/>
      <c r="R1740" s="26" t="inlineStr">
        <is>
          <t>Cobrado total: 1 €</t>
        </is>
      </c>
    </row>
    <row r="1741">
      <c r="B1741" s="7" t="inlineStr">
        <is>
          <t>Cant</t>
        </is>
      </c>
      <c r="C1741" s="7" t="inlineStr">
        <is>
          <t>Días</t>
        </is>
      </c>
      <c r="D1741" s="7" t="inlineStr">
        <is>
          <t>PC real</t>
        </is>
      </c>
      <c r="E1741" s="7" t="inlineStr">
        <is>
          <t>PV</t>
        </is>
      </c>
      <c r="F1741" s="7" t="inlineStr">
        <is>
          <t>Importe</t>
        </is>
      </c>
      <c r="H1741" s="27" t="inlineStr">
        <is>
          <t>Cant</t>
        </is>
      </c>
      <c r="I1741" s="27" t="inlineStr">
        <is>
          <t>PV</t>
        </is>
      </c>
      <c r="J1741" s="27" t="inlineStr">
        <is>
          <t>Importe</t>
        </is>
      </c>
      <c r="L1741" s="28" t="inlineStr">
        <is>
          <t>Cant</t>
        </is>
      </c>
      <c r="M1741" s="28" t="inlineStr">
        <is>
          <t>PV</t>
        </is>
      </c>
      <c r="N1741" s="28" t="inlineStr">
        <is>
          <t>Importe</t>
        </is>
      </c>
      <c r="R1741" s="29" t="inlineStr">
        <is>
          <t>Pagado total: 0 €</t>
        </is>
      </c>
    </row>
    <row r="1742">
      <c r="A1742" s="30" t="inlineStr">
        <is>
          <t>P1 Potencia</t>
        </is>
      </c>
      <c r="B1742" s="31" t="n">
        <v>5</v>
      </c>
      <c r="C1742" s="32">
        <f>$N$1739-$L$1739+1</f>
        <v/>
      </c>
      <c r="D1742" s="33" t="n">
        <v>3.68919</v>
      </c>
      <c r="E1742" s="34" t="n">
        <v>3.85</v>
      </c>
      <c r="F1742" s="35">
        <f>ROUND(B1742*E1742,2)</f>
        <v/>
      </c>
      <c r="H1742" s="36" t="n">
        <v>5</v>
      </c>
      <c r="I1742" s="37" t="n">
        <v>3.85</v>
      </c>
      <c r="J1742" s="38">
        <f>ROUND(H1742*I1742,2)</f>
        <v/>
      </c>
      <c r="L1742" s="65" t="n"/>
      <c r="M1742" s="65" t="n"/>
      <c r="N1742" s="65" t="n"/>
      <c r="R1742" s="42" t="inlineStr">
        <is>
          <t>DIF: 1 €   ·   Margen hist.: 100.0%</t>
        </is>
      </c>
    </row>
    <row r="1743">
      <c r="A1743" s="30" t="inlineStr">
        <is>
          <t>P2 Potencia</t>
        </is>
      </c>
      <c r="B1743" s="31" t="n">
        <v>5</v>
      </c>
      <c r="C1743" s="32">
        <f>$N$1739-$L$1739+1</f>
        <v/>
      </c>
      <c r="D1743" s="33" t="n">
        <v>1.31928</v>
      </c>
      <c r="E1743" s="34" t="n">
        <v>1.33</v>
      </c>
      <c r="F1743" s="35">
        <f>ROUND(B1743*E1743,2)</f>
        <v/>
      </c>
      <c r="H1743" s="36" t="n">
        <v>5</v>
      </c>
      <c r="I1743" s="37" t="n">
        <v>1.33</v>
      </c>
      <c r="J1743" s="38">
        <f>ROUND(H1743*I1743,2)</f>
        <v/>
      </c>
      <c r="L1743" s="65" t="n"/>
      <c r="M1743" s="65" t="n"/>
      <c r="N1743" s="65" t="n"/>
    </row>
    <row r="1744">
      <c r="A1744" s="30" t="inlineStr">
        <is>
          <t>P1 Energía</t>
        </is>
      </c>
      <c r="B1744" s="31">
        <f>IF($P$1744&lt;&gt;"",ROUND(AA1744*(($AB$1744/(1-$P$1744))-25.9000)/56.1093,2),IF('Resumen'!$D$3="OPTIMIZAR",AA1744,AA1744))</f>
        <v/>
      </c>
      <c r="C1744" s="44" t="n"/>
      <c r="D1744" s="33" t="n">
        <v>0.111171</v>
      </c>
      <c r="E1744" s="34" t="n">
        <v>0.13788</v>
      </c>
      <c r="F1744" s="35">
        <f>ROUND(B1744*E1744,2)</f>
        <v/>
      </c>
      <c r="H1744" s="36" t="n">
        <v>100.986</v>
      </c>
      <c r="I1744" s="37" t="n">
        <v>0.119</v>
      </c>
      <c r="J1744" s="38">
        <f>ROUND(H1744*I1744,2)</f>
        <v/>
      </c>
      <c r="L1744" s="65" t="n"/>
      <c r="M1744" s="65" t="n"/>
      <c r="N1744" s="65" t="n"/>
      <c r="O1744" s="45" t="inlineStr">
        <is>
          <t>Margen objetivo (edita % aquí) ▶</t>
        </is>
      </c>
      <c r="P1744" s="5" t="n"/>
      <c r="AA1744" t="n">
        <v>73.13500000000001</v>
      </c>
      <c r="AB1744">
        <f>B1742*D1742+B1743*D1743+AA1744*D1744+AA1745*D1745+AA1746*D1746</f>
        <v/>
      </c>
    </row>
    <row r="1745">
      <c r="A1745" s="30" t="inlineStr">
        <is>
          <t>P2 Energía</t>
        </is>
      </c>
      <c r="B1745" s="31">
        <f>IF($P$1744&lt;&gt;"",ROUND(AA1745*(($AB$1744/(1-$P$1744))-25.9000)/56.1093,2),IF('Resumen'!$D$3="OPTIMIZAR",AA1745,AA1745))</f>
        <v/>
      </c>
      <c r="C1745" s="44" t="n"/>
      <c r="D1745" s="33" t="n">
        <v>0.111171</v>
      </c>
      <c r="E1745" s="34" t="n">
        <v>0.13788</v>
      </c>
      <c r="F1745" s="35">
        <f>ROUND(B1745*E1745,2)</f>
        <v/>
      </c>
      <c r="H1745" s="36" t="n">
        <v>84.974</v>
      </c>
      <c r="I1745" s="37" t="n">
        <v>0.119</v>
      </c>
      <c r="J1745" s="38">
        <f>ROUND(H1745*I1745,2)</f>
        <v/>
      </c>
      <c r="L1745" s="65" t="n"/>
      <c r="M1745" s="65" t="n"/>
      <c r="N1745" s="65" t="n"/>
      <c r="O1745" s="46" t="inlineStr">
        <is>
          <t>Cant. P1/P2/P3 energía suben</t>
        </is>
      </c>
      <c r="R1745" s="43" t="inlineStr">
        <is>
          <t>Importe mensual cobrado (€) · 24 meses ▾</t>
        </is>
      </c>
      <c r="AA1745" t="n">
        <v>70.274</v>
      </c>
    </row>
    <row r="1746">
      <c r="A1746" s="30" t="inlineStr">
        <is>
          <t>P3 Energía</t>
        </is>
      </c>
      <c r="B1746" s="31">
        <f>IF($P$1744&lt;&gt;"",ROUND(AA1746*(($AB$1744/(1-$P$1744))-25.9000)/56.1093,2),IF('Resumen'!$D$3="OPTIMIZAR",AA1746,AA1746))</f>
        <v/>
      </c>
      <c r="C1746" s="44" t="n"/>
      <c r="D1746" s="33" t="n">
        <v>0.111171</v>
      </c>
      <c r="E1746" s="34" t="n">
        <v>0.13788</v>
      </c>
      <c r="F1746" s="35">
        <f>ROUND(B1746*E1746,2)</f>
        <v/>
      </c>
      <c r="H1746" s="36" t="n">
        <v>502.991</v>
      </c>
      <c r="I1746" s="37" t="n">
        <v>0.119</v>
      </c>
      <c r="J1746" s="38">
        <f>ROUND(H1746*I1746,2)</f>
        <v/>
      </c>
      <c r="L1746" s="65" t="n"/>
      <c r="M1746" s="65" t="n"/>
      <c r="N1746" s="65" t="n"/>
      <c r="O1746" s="46" t="inlineStr">
        <is>
          <t>en proporción para ese margen</t>
        </is>
      </c>
      <c r="AA1746" t="n">
        <v>263.534</v>
      </c>
    </row>
    <row r="1747">
      <c r="A1747" s="30" t="inlineStr">
        <is>
          <t>Alquiler contador</t>
        </is>
      </c>
      <c r="B1747" s="31" t="n">
        <v>1</v>
      </c>
      <c r="C1747" s="32">
        <f>$N$1739-$L$1739+1</f>
        <v/>
      </c>
      <c r="D1747" s="33" t="n">
        <v>0.7989000000000001</v>
      </c>
      <c r="E1747" s="34" t="n">
        <v>3</v>
      </c>
      <c r="F1747" s="35">
        <f>ROUND(B1747*E1747,2)</f>
        <v/>
      </c>
      <c r="H1747" s="36" t="n">
        <v>1</v>
      </c>
      <c r="I1747" s="37" t="n">
        <v>3</v>
      </c>
      <c r="J1747" s="38">
        <f>ROUND(H1747*I1747,2)</f>
        <v/>
      </c>
      <c r="L1747" s="65" t="n"/>
      <c r="M1747" s="65" t="n"/>
      <c r="N1747" s="65" t="n"/>
    </row>
    <row r="1748">
      <c r="A1748" s="30" t="inlineStr">
        <is>
          <t>Bono social</t>
        </is>
      </c>
      <c r="B1748" s="31" t="n">
        <v>30</v>
      </c>
      <c r="C1748" s="32">
        <f>$N$1739-$L$1739+1</f>
        <v/>
      </c>
      <c r="D1748" s="33" t="n">
        <v>0.5736</v>
      </c>
      <c r="E1748" s="34" t="n">
        <v>0.01274</v>
      </c>
      <c r="F1748" s="35">
        <f>ROUND(B1748*E1748,2)</f>
        <v/>
      </c>
      <c r="H1748" s="36" t="n">
        <v>30</v>
      </c>
      <c r="I1748" s="37" t="n">
        <v>0.01274</v>
      </c>
      <c r="J1748" s="38">
        <f>ROUND(H1748*I1748,2)</f>
        <v/>
      </c>
      <c r="L1748" s="65" t="n"/>
      <c r="M1748" s="65" t="n"/>
      <c r="N1748" s="65" t="n"/>
    </row>
    <row r="1749">
      <c r="A1749" s="30" t="inlineStr">
        <is>
          <t>Tasa eléctrica</t>
        </is>
      </c>
      <c r="B1749" s="31" t="n">
        <v>4.2</v>
      </c>
      <c r="C1749" s="44" t="n"/>
      <c r="D1749" s="33" t="n">
        <v>0.27312</v>
      </c>
      <c r="E1749" s="34" t="n">
        <v>1</v>
      </c>
      <c r="F1749" s="35">
        <f>ROUND(B1749*E1749,2)</f>
        <v/>
      </c>
      <c r="H1749" s="36" t="n">
        <v>6</v>
      </c>
      <c r="I1749" s="37" t="n">
        <v>1</v>
      </c>
      <c r="J1749" s="38">
        <f>ROUND(H1749*I1749,2)</f>
        <v/>
      </c>
      <c r="L1749" s="65" t="n"/>
      <c r="M1749" s="65" t="n"/>
      <c r="N1749" s="65" t="n"/>
    </row>
    <row r="1750">
      <c r="A1750" s="47" t="inlineStr">
        <is>
          <t>TOTAL c/IVA</t>
        </is>
      </c>
      <c r="F1750" s="48">
        <f>ROUND((SUM(F1742:F1749)-F1749)*1.1+F1749,2)</f>
        <v/>
      </c>
      <c r="J1750" s="49">
        <f>ROUND(SUM(J1742:J1749),2)</f>
        <v/>
      </c>
      <c r="N1750" s="66" t="n"/>
    </row>
    <row r="1751">
      <c r="A1751" s="19" t="inlineStr">
        <is>
          <t>MARGEN sin registrar</t>
        </is>
      </c>
      <c r="B1751" s="51">
        <f>IF((F1745+F1742+F1744+F1746+F1743)=0,"",((F1745+F1742+F1744+F1746+F1743)-$AB$1744)/(F1745+F1742+F1744+F1746+F1743))</f>
        <v/>
      </c>
      <c r="D1751" s="52">
        <f>IF(B1751="","SIN PC",IF(B1751&gt;=0.3,"APROBAR",IF(B1751&gt;=0.2,"REVISAR","RECHAZAR")))</f>
        <v/>
      </c>
      <c r="E1751" s="53" t="n"/>
      <c r="F1751" s="54" t="n"/>
      <c r="AD1751">
        <f>SUM(F1744:F1746)-56.1093</f>
        <v/>
      </c>
    </row>
    <row r="1753">
      <c r="A1753" s="15" t="inlineStr">
        <is>
          <t>Factura 8703 · C03180 · LERWIN SANTIAGO AVENDAÑO ANDRADE</t>
        </is>
      </c>
      <c r="H1753" s="15" t="inlineStr">
        <is>
          <t>ES0021000018843904LR · Naturgy</t>
        </is>
      </c>
      <c r="L1753" s="16" t="n">
        <v>46113</v>
      </c>
      <c r="M1753" s="17" t="inlineStr">
        <is>
          <t>a</t>
        </is>
      </c>
      <c r="N1753" s="16" t="n">
        <v>46142</v>
      </c>
      <c r="R1753" s="18" t="inlineStr">
        <is>
          <t>HISTÓRICO DEL CUPS · HOJA TTVA LUZ</t>
        </is>
      </c>
    </row>
    <row r="1754">
      <c r="A1754" s="19" t="inlineStr">
        <is>
          <t>Concepto</t>
        </is>
      </c>
      <c r="B1754" s="20" t="inlineStr">
        <is>
          <t>PENDIENTE (sin registrar)</t>
        </is>
      </c>
      <c r="C1754" s="21" t="n"/>
      <c r="D1754" s="21" t="n"/>
      <c r="E1754" s="21" t="n"/>
      <c r="F1754" s="21" t="n"/>
      <c r="H1754" s="22" t="inlineStr">
        <is>
          <t>MES ANTERIOR · Fact.6339</t>
        </is>
      </c>
      <c r="I1754" s="23" t="n"/>
      <c r="J1754" s="23" t="n"/>
      <c r="L1754" s="24" t="inlineStr">
        <is>
          <t>AÑO ANTERIOR · (sin dato)</t>
        </is>
      </c>
      <c r="M1754" s="25" t="n"/>
      <c r="N1754" s="25" t="n"/>
      <c r="R1754" s="26" t="inlineStr">
        <is>
          <t>Cobrado total: 1 €</t>
        </is>
      </c>
    </row>
    <row r="1755">
      <c r="B1755" s="7" t="inlineStr">
        <is>
          <t>Cant</t>
        </is>
      </c>
      <c r="C1755" s="7" t="inlineStr">
        <is>
          <t>Días</t>
        </is>
      </c>
      <c r="D1755" s="7" t="inlineStr">
        <is>
          <t>PC real</t>
        </is>
      </c>
      <c r="E1755" s="7" t="inlineStr">
        <is>
          <t>PV</t>
        </is>
      </c>
      <c r="F1755" s="7" t="inlineStr">
        <is>
          <t>Importe</t>
        </is>
      </c>
      <c r="H1755" s="27" t="inlineStr">
        <is>
          <t>Cant</t>
        </is>
      </c>
      <c r="I1755" s="27" t="inlineStr">
        <is>
          <t>PV</t>
        </is>
      </c>
      <c r="J1755" s="27" t="inlineStr">
        <is>
          <t>Importe</t>
        </is>
      </c>
      <c r="L1755" s="28" t="inlineStr">
        <is>
          <t>Cant</t>
        </is>
      </c>
      <c r="M1755" s="28" t="inlineStr">
        <is>
          <t>PV</t>
        </is>
      </c>
      <c r="N1755" s="28" t="inlineStr">
        <is>
          <t>Importe</t>
        </is>
      </c>
      <c r="R1755" s="29" t="inlineStr">
        <is>
          <t>Pagado total: 0 €</t>
        </is>
      </c>
    </row>
    <row r="1756">
      <c r="A1756" s="30" t="inlineStr">
        <is>
          <t>P1 Potencia</t>
        </is>
      </c>
      <c r="B1756" s="31" t="n">
        <v>9.199999999999999</v>
      </c>
      <c r="C1756" s="32">
        <f>$N$1753-$L$1753+1</f>
        <v/>
      </c>
      <c r="D1756" s="33" t="n">
        <v>3.68919</v>
      </c>
      <c r="E1756" s="34" t="n">
        <v>3.85</v>
      </c>
      <c r="F1756" s="35">
        <f>ROUND(B1756*E1756,2)</f>
        <v/>
      </c>
      <c r="H1756" s="36" t="n">
        <v>9.199999999999999</v>
      </c>
      <c r="I1756" s="37" t="n">
        <v>3.85</v>
      </c>
      <c r="J1756" s="38">
        <f>ROUND(H1756*I1756,2)</f>
        <v/>
      </c>
      <c r="L1756" s="65" t="n"/>
      <c r="M1756" s="65" t="n"/>
      <c r="N1756" s="65" t="n"/>
      <c r="R1756" s="42" t="inlineStr">
        <is>
          <t>DIF: 1 €   ·   Margen hist.: 100.0%</t>
        </is>
      </c>
    </row>
    <row r="1757">
      <c r="A1757" s="30" t="inlineStr">
        <is>
          <t>P2 Potencia</t>
        </is>
      </c>
      <c r="B1757" s="31" t="n">
        <v>9.199999999999999</v>
      </c>
      <c r="C1757" s="32">
        <f>$N$1753-$L$1753+1</f>
        <v/>
      </c>
      <c r="D1757" s="33" t="n">
        <v>1.31928</v>
      </c>
      <c r="E1757" s="34" t="n">
        <v>1.33</v>
      </c>
      <c r="F1757" s="35">
        <f>ROUND(B1757*E1757,2)</f>
        <v/>
      </c>
      <c r="H1757" s="36" t="n">
        <v>9.199999999999999</v>
      </c>
      <c r="I1757" s="37" t="n">
        <v>1.33</v>
      </c>
      <c r="J1757" s="38">
        <f>ROUND(H1757*I1757,2)</f>
        <v/>
      </c>
      <c r="L1757" s="65" t="n"/>
      <c r="M1757" s="65" t="n"/>
      <c r="N1757" s="65" t="n"/>
    </row>
    <row r="1758">
      <c r="A1758" s="30" t="inlineStr">
        <is>
          <t>P1 Energía</t>
        </is>
      </c>
      <c r="B1758" s="31">
        <f>IF($P$1758&lt;&gt;"",ROUND(AA1758*(($AB$1758/(1-$P$1758))-47.6560)/84.3502,2),IF('Resumen'!$D$3="OPTIMIZAR",AA1758,AA1758))</f>
        <v/>
      </c>
      <c r="C1758" s="44" t="n"/>
      <c r="D1758" s="33" t="n">
        <v>0.111171</v>
      </c>
      <c r="E1758" s="34" t="n">
        <v>0.13788</v>
      </c>
      <c r="F1758" s="35">
        <f>ROUND(B1758*E1758,2)</f>
        <v/>
      </c>
      <c r="H1758" s="36" t="n">
        <v>204.067</v>
      </c>
      <c r="I1758" s="37" t="n">
        <v>0.13788</v>
      </c>
      <c r="J1758" s="38">
        <f>ROUND(H1758*I1758,2)</f>
        <v/>
      </c>
      <c r="L1758" s="65" t="n"/>
      <c r="M1758" s="65" t="n"/>
      <c r="N1758" s="65" t="n"/>
      <c r="O1758" s="45" t="inlineStr">
        <is>
          <t>Margen objetivo (edita % aquí) ▶</t>
        </is>
      </c>
      <c r="P1758" s="5" t="n"/>
      <c r="AA1758" t="n">
        <v>118.653</v>
      </c>
      <c r="AB1758">
        <f>B1756*D1756+B1757*D1757+AA1758*D1758+AA1759*D1759+AA1760*D1760</f>
        <v/>
      </c>
    </row>
    <row r="1759">
      <c r="A1759" s="30" t="inlineStr">
        <is>
          <t>P2 Energía</t>
        </is>
      </c>
      <c r="B1759" s="31">
        <f>IF($P$1758&lt;&gt;"",ROUND(AA1759*(($AB$1758/(1-$P$1758))-47.6560)/84.3502,2),IF('Resumen'!$D$3="OPTIMIZAR",AA1759,AA1759))</f>
        <v/>
      </c>
      <c r="C1759" s="44" t="n"/>
      <c r="D1759" s="33" t="n">
        <v>0.111171</v>
      </c>
      <c r="E1759" s="34" t="n">
        <v>0.13788</v>
      </c>
      <c r="F1759" s="35">
        <f>ROUND(B1759*E1759,2)</f>
        <v/>
      </c>
      <c r="H1759" s="36" t="n">
        <v>233.594</v>
      </c>
      <c r="I1759" s="37" t="n">
        <v>0.13788</v>
      </c>
      <c r="J1759" s="38">
        <f>ROUND(H1759*I1759,2)</f>
        <v/>
      </c>
      <c r="L1759" s="65" t="n"/>
      <c r="M1759" s="65" t="n"/>
      <c r="N1759" s="65" t="n"/>
      <c r="O1759" s="46" t="inlineStr">
        <is>
          <t>Cant. P1/P2/P3 energía suben</t>
        </is>
      </c>
      <c r="R1759" s="43" t="inlineStr">
        <is>
          <t>Importe mensual cobrado (€) · 24 meses ▾</t>
        </is>
      </c>
      <c r="AA1759" t="n">
        <v>153.269</v>
      </c>
    </row>
    <row r="1760">
      <c r="A1760" s="30" t="inlineStr">
        <is>
          <t>P3 Energía</t>
        </is>
      </c>
      <c r="B1760" s="31">
        <f>IF($P$1758&lt;&gt;"",ROUND(AA1760*(($AB$1758/(1-$P$1758))-47.6560)/84.3502,2),IF('Resumen'!$D$3="OPTIMIZAR",AA1760,AA1760))</f>
        <v/>
      </c>
      <c r="C1760" s="44" t="n"/>
      <c r="D1760" s="33" t="n">
        <v>0.111171</v>
      </c>
      <c r="E1760" s="34" t="n">
        <v>0.13788</v>
      </c>
      <c r="F1760" s="35">
        <f>ROUND(B1760*E1760,2)</f>
        <v/>
      </c>
      <c r="H1760" s="36" t="n">
        <v>314.405</v>
      </c>
      <c r="I1760" s="37" t="n">
        <v>0.13788</v>
      </c>
      <c r="J1760" s="38">
        <f>ROUND(H1760*I1760,2)</f>
        <v/>
      </c>
      <c r="L1760" s="65" t="n"/>
      <c r="M1760" s="65" t="n"/>
      <c r="N1760" s="65" t="n"/>
      <c r="O1760" s="46" t="inlineStr">
        <is>
          <t>en proporción para ese margen</t>
        </is>
      </c>
      <c r="AA1760" t="n">
        <v>339.843</v>
      </c>
    </row>
    <row r="1761">
      <c r="A1761" s="30" t="inlineStr">
        <is>
          <t>Alquiler contador</t>
        </is>
      </c>
      <c r="B1761" s="31" t="n">
        <v>1</v>
      </c>
      <c r="C1761" s="32">
        <f>$N$1753-$L$1753+1</f>
        <v/>
      </c>
      <c r="D1761" s="33" t="n">
        <v>0.7989000000000001</v>
      </c>
      <c r="E1761" s="34" t="n">
        <v>3</v>
      </c>
      <c r="F1761" s="35">
        <f>ROUND(B1761*E1761,2)</f>
        <v/>
      </c>
      <c r="H1761" s="36" t="n">
        <v>1</v>
      </c>
      <c r="I1761" s="37" t="n">
        <v>3</v>
      </c>
      <c r="J1761" s="38">
        <f>ROUND(H1761*I1761,2)</f>
        <v/>
      </c>
      <c r="L1761" s="65" t="n"/>
      <c r="M1761" s="65" t="n"/>
      <c r="N1761" s="65" t="n"/>
    </row>
    <row r="1762">
      <c r="A1762" s="30" t="inlineStr">
        <is>
          <t>Bono social</t>
        </is>
      </c>
      <c r="B1762" s="31" t="n">
        <v>30</v>
      </c>
      <c r="C1762" s="32">
        <f>$N$1753-$L$1753+1</f>
        <v/>
      </c>
      <c r="D1762" s="33" t="n">
        <v>0.5736</v>
      </c>
      <c r="E1762" s="34" t="n">
        <v>0.01274</v>
      </c>
      <c r="F1762" s="35">
        <f>ROUND(B1762*E1762,2)</f>
        <v/>
      </c>
      <c r="H1762" s="36" t="n">
        <v>30</v>
      </c>
      <c r="I1762" s="37" t="n">
        <v>0.01274</v>
      </c>
      <c r="J1762" s="38">
        <f>ROUND(H1762*I1762,2)</f>
        <v/>
      </c>
      <c r="L1762" s="65" t="n"/>
      <c r="M1762" s="65" t="n"/>
      <c r="N1762" s="65" t="n"/>
    </row>
    <row r="1763">
      <c r="A1763" s="30" t="inlineStr">
        <is>
          <t>Tasa eléctrica</t>
        </is>
      </c>
      <c r="B1763" s="31" t="n">
        <v>6.76</v>
      </c>
      <c r="C1763" s="44" t="n"/>
      <c r="D1763" s="33" t="n">
        <v>0.27312</v>
      </c>
      <c r="E1763" s="34" t="n">
        <v>1</v>
      </c>
      <c r="F1763" s="35">
        <f>ROUND(B1763*E1763,2)</f>
        <v/>
      </c>
      <c r="H1763" s="36" t="n">
        <v>7.74</v>
      </c>
      <c r="I1763" s="37" t="n">
        <v>1</v>
      </c>
      <c r="J1763" s="38">
        <f>ROUND(H1763*I1763,2)</f>
        <v/>
      </c>
      <c r="L1763" s="65" t="n"/>
      <c r="M1763" s="65" t="n"/>
      <c r="N1763" s="65" t="n"/>
    </row>
    <row r="1764">
      <c r="A1764" s="47" t="inlineStr">
        <is>
          <t>TOTAL c/IVA</t>
        </is>
      </c>
      <c r="F1764" s="48">
        <f>ROUND((SUM(F1756:F1763)-F1763)*1.1+F1763,2)</f>
        <v/>
      </c>
      <c r="J1764" s="49">
        <f>ROUND(SUM(J1756:J1763),2)</f>
        <v/>
      </c>
      <c r="N1764" s="66" t="n"/>
    </row>
    <row r="1765">
      <c r="A1765" s="19" t="inlineStr">
        <is>
          <t>MARGEN sin registrar</t>
        </is>
      </c>
      <c r="B1765" s="51">
        <f>IF((F1759+F1756+F1758+F1760+F1757)=0,"",((F1759+F1756+F1758+F1760+F1757)-$AB$1758)/(F1759+F1756+F1758+F1760+F1757))</f>
        <v/>
      </c>
      <c r="D1765" s="52">
        <f>IF(B1765="","SIN PC",IF(B1765&gt;=0.3,"APROBAR",IF(B1765&gt;=0.2,"REVISAR","RECHAZAR")))</f>
        <v/>
      </c>
      <c r="E1765" s="53" t="n"/>
      <c r="F1765" s="54" t="n"/>
      <c r="AD1765">
        <f>SUM(F1758:F1760)-84.3502</f>
        <v/>
      </c>
    </row>
    <row r="1767">
      <c r="A1767" s="15" t="inlineStr">
        <is>
          <t>Factura 8704 · C03190 · 2 HANDS FULL S.L</t>
        </is>
      </c>
      <c r="H1767" s="15" t="inlineStr">
        <is>
          <t>ES0021000037345279RS · Naturgy</t>
        </is>
      </c>
      <c r="L1767" s="16" t="n">
        <v>46113</v>
      </c>
      <c r="M1767" s="17" t="inlineStr">
        <is>
          <t>a</t>
        </is>
      </c>
      <c r="N1767" s="16" t="n">
        <v>46142</v>
      </c>
      <c r="R1767" s="18" t="inlineStr">
        <is>
          <t>HISTÓRICO DEL CUPS · HOJA TTVA LUZ</t>
        </is>
      </c>
    </row>
    <row r="1768">
      <c r="A1768" s="19" t="inlineStr">
        <is>
          <t>Concepto</t>
        </is>
      </c>
      <c r="B1768" s="20" t="inlineStr">
        <is>
          <t>PENDIENTE (sin registrar)</t>
        </is>
      </c>
      <c r="C1768" s="21" t="n"/>
      <c r="D1768" s="21" t="n"/>
      <c r="E1768" s="21" t="n"/>
      <c r="F1768" s="21" t="n"/>
      <c r="H1768" s="22" t="inlineStr">
        <is>
          <t>MES ANTERIOR · Fact.6338</t>
        </is>
      </c>
      <c r="I1768" s="23" t="n"/>
      <c r="J1768" s="23" t="n"/>
      <c r="L1768" s="24" t="inlineStr">
        <is>
          <t>AÑO ANTERIOR · (sin dato)</t>
        </is>
      </c>
      <c r="M1768" s="25" t="n"/>
      <c r="N1768" s="25" t="n"/>
      <c r="R1768" s="26" t="inlineStr">
        <is>
          <t>Cobrado total: 2 €</t>
        </is>
      </c>
    </row>
    <row r="1769">
      <c r="B1769" s="7" t="inlineStr">
        <is>
          <t>Cant</t>
        </is>
      </c>
      <c r="C1769" s="7" t="inlineStr">
        <is>
          <t>Días</t>
        </is>
      </c>
      <c r="D1769" s="7" t="inlineStr">
        <is>
          <t>PC real</t>
        </is>
      </c>
      <c r="E1769" s="7" t="inlineStr">
        <is>
          <t>PV</t>
        </is>
      </c>
      <c r="F1769" s="7" t="inlineStr">
        <is>
          <t>Importe</t>
        </is>
      </c>
      <c r="H1769" s="27" t="inlineStr">
        <is>
          <t>Cant</t>
        </is>
      </c>
      <c r="I1769" s="27" t="inlineStr">
        <is>
          <t>PV</t>
        </is>
      </c>
      <c r="J1769" s="27" t="inlineStr">
        <is>
          <t>Importe</t>
        </is>
      </c>
      <c r="L1769" s="28" t="inlineStr">
        <is>
          <t>Cant</t>
        </is>
      </c>
      <c r="M1769" s="28" t="inlineStr">
        <is>
          <t>PV</t>
        </is>
      </c>
      <c r="N1769" s="28" t="inlineStr">
        <is>
          <t>Importe</t>
        </is>
      </c>
      <c r="R1769" s="29" t="inlineStr">
        <is>
          <t>Pagado total: 0 €</t>
        </is>
      </c>
    </row>
    <row r="1770">
      <c r="A1770" s="30" t="inlineStr">
        <is>
          <t>P1 Potencia</t>
        </is>
      </c>
      <c r="B1770" s="31" t="n">
        <v>5.5</v>
      </c>
      <c r="C1770" s="32">
        <f>$N$1767-$L$1767+1</f>
        <v/>
      </c>
      <c r="D1770" s="33" t="n">
        <v>3.68919</v>
      </c>
      <c r="E1770" s="34" t="n">
        <v>3.85</v>
      </c>
      <c r="F1770" s="35">
        <f>ROUND(B1770*E1770,2)</f>
        <v/>
      </c>
      <c r="H1770" s="36" t="n">
        <v>5.5</v>
      </c>
      <c r="I1770" s="37" t="n">
        <v>3.85</v>
      </c>
      <c r="J1770" s="38">
        <f>ROUND(H1770*I1770,2)</f>
        <v/>
      </c>
      <c r="L1770" s="65" t="n"/>
      <c r="M1770" s="65" t="n"/>
      <c r="N1770" s="65" t="n"/>
      <c r="R1770" s="42" t="inlineStr">
        <is>
          <t>DIF: 2 €   ·   Margen hist.: 100.0%</t>
        </is>
      </c>
    </row>
    <row r="1771">
      <c r="A1771" s="30" t="inlineStr">
        <is>
          <t>P2 Potencia</t>
        </is>
      </c>
      <c r="B1771" s="31" t="n">
        <v>5.5</v>
      </c>
      <c r="C1771" s="32">
        <f>$N$1767-$L$1767+1</f>
        <v/>
      </c>
      <c r="D1771" s="33" t="n">
        <v>1.31928</v>
      </c>
      <c r="E1771" s="34" t="n">
        <v>1.33</v>
      </c>
      <c r="F1771" s="35">
        <f>ROUND(B1771*E1771,2)</f>
        <v/>
      </c>
      <c r="H1771" s="36" t="n">
        <v>5.5</v>
      </c>
      <c r="I1771" s="37" t="n">
        <v>1.33</v>
      </c>
      <c r="J1771" s="38">
        <f>ROUND(H1771*I1771,2)</f>
        <v/>
      </c>
      <c r="L1771" s="65" t="n"/>
      <c r="M1771" s="65" t="n"/>
      <c r="N1771" s="65" t="n"/>
    </row>
    <row r="1772">
      <c r="A1772" s="30" t="inlineStr">
        <is>
          <t>P1 Energía</t>
        </is>
      </c>
      <c r="B1772" s="31">
        <f>IF($P$1772&lt;&gt;"",ROUND(AA1772*(($AB$1772/(1-$P$1772))-28.4900)/34.0521,2),IF('Resumen'!$D$3="OPTIMIZAR",AA1772,AA1772))</f>
        <v/>
      </c>
      <c r="C1772" s="44" t="n"/>
      <c r="D1772" s="33" t="n">
        <v>0.111171</v>
      </c>
      <c r="E1772" s="34" t="n">
        <v>0.13788</v>
      </c>
      <c r="F1772" s="35">
        <f>ROUND(B1772*E1772,2)</f>
        <v/>
      </c>
      <c r="H1772" s="36" t="n">
        <v>104.922</v>
      </c>
      <c r="I1772" s="37" t="n">
        <v>0.13788</v>
      </c>
      <c r="J1772" s="38">
        <f>ROUND(H1772*I1772,2)</f>
        <v/>
      </c>
      <c r="L1772" s="65" t="n"/>
      <c r="M1772" s="65" t="n"/>
      <c r="N1772" s="65" t="n"/>
      <c r="O1772" s="45" t="inlineStr">
        <is>
          <t>Margen objetivo (edita % aquí) ▶</t>
        </is>
      </c>
      <c r="P1772" s="5" t="n"/>
      <c r="AA1772" t="n">
        <v>76.518</v>
      </c>
      <c r="AB1772">
        <f>B1770*D1770+B1771*D1771+AA1772*D1772+AA1773*D1773+AA1774*D1774</f>
        <v/>
      </c>
    </row>
    <row r="1773">
      <c r="A1773" s="30" t="inlineStr">
        <is>
          <t>P2 Energía</t>
        </is>
      </c>
      <c r="B1773" s="31">
        <f>IF($P$1772&lt;&gt;"",ROUND(AA1773*(($AB$1772/(1-$P$1772))-28.4900)/34.0521,2),IF('Resumen'!$D$3="OPTIMIZAR",AA1773,AA1773))</f>
        <v/>
      </c>
      <c r="C1773" s="44" t="n"/>
      <c r="D1773" s="33" t="n">
        <v>0.111171</v>
      </c>
      <c r="E1773" s="34" t="n">
        <v>0.13788</v>
      </c>
      <c r="F1773" s="35">
        <f>ROUND(B1773*E1773,2)</f>
        <v/>
      </c>
      <c r="H1773" s="36" t="n">
        <v>82.97799999999999</v>
      </c>
      <c r="I1773" s="37" t="n">
        <v>0.13788</v>
      </c>
      <c r="J1773" s="38">
        <f>ROUND(H1773*I1773,2)</f>
        <v/>
      </c>
      <c r="L1773" s="65" t="n"/>
      <c r="M1773" s="65" t="n"/>
      <c r="N1773" s="65" t="n"/>
      <c r="O1773" s="46" t="inlineStr">
        <is>
          <t>Cant. P1/P2/P3 energía suben</t>
        </is>
      </c>
      <c r="R1773" s="43" t="inlineStr">
        <is>
          <t>Importe mensual cobrado (€) · 24 meses ▾</t>
        </is>
      </c>
      <c r="AA1773" t="n">
        <v>71.62</v>
      </c>
    </row>
    <row r="1774">
      <c r="A1774" s="30" t="inlineStr">
        <is>
          <t>P3 Energía</t>
        </is>
      </c>
      <c r="B1774" s="31">
        <f>IF($P$1772&lt;&gt;"",ROUND(AA1774*(($AB$1772/(1-$P$1772))-28.4900)/34.0521,2),IF('Resumen'!$D$3="OPTIMIZAR",AA1774,AA1774))</f>
        <v/>
      </c>
      <c r="C1774" s="44" t="n"/>
      <c r="D1774" s="33" t="n">
        <v>0.111171</v>
      </c>
      <c r="E1774" s="34" t="n">
        <v>0.13788</v>
      </c>
      <c r="F1774" s="35">
        <f>ROUND(B1774*E1774,2)</f>
        <v/>
      </c>
      <c r="H1774" s="36" t="n">
        <v>120.424</v>
      </c>
      <c r="I1774" s="37" t="n">
        <v>0.13788</v>
      </c>
      <c r="J1774" s="38">
        <f>ROUND(H1774*I1774,2)</f>
        <v/>
      </c>
      <c r="L1774" s="65" t="n"/>
      <c r="M1774" s="65" t="n"/>
      <c r="N1774" s="65" t="n"/>
      <c r="O1774" s="46" t="inlineStr">
        <is>
          <t>en proporción para ese margen</t>
        </is>
      </c>
      <c r="AA1774" t="n">
        <v>98.831</v>
      </c>
    </row>
    <row r="1775">
      <c r="A1775" s="30" t="inlineStr">
        <is>
          <t>Alquiler contador</t>
        </is>
      </c>
      <c r="B1775" s="31" t="n">
        <v>1</v>
      </c>
      <c r="C1775" s="32">
        <f>$N$1767-$L$1767+1</f>
        <v/>
      </c>
      <c r="D1775" s="33" t="n">
        <v>0.7989000000000001</v>
      </c>
      <c r="E1775" s="34" t="n">
        <v>3</v>
      </c>
      <c r="F1775" s="35">
        <f>ROUND(B1775*E1775,2)</f>
        <v/>
      </c>
      <c r="H1775" s="36" t="n">
        <v>1</v>
      </c>
      <c r="I1775" s="37" t="n">
        <v>3</v>
      </c>
      <c r="J1775" s="38">
        <f>ROUND(H1775*I1775,2)</f>
        <v/>
      </c>
      <c r="L1775" s="65" t="n"/>
      <c r="M1775" s="65" t="n"/>
      <c r="N1775" s="65" t="n"/>
    </row>
    <row r="1776">
      <c r="A1776" s="30" t="inlineStr">
        <is>
          <t>Bono social</t>
        </is>
      </c>
      <c r="B1776" s="31" t="n">
        <v>30</v>
      </c>
      <c r="C1776" s="32">
        <f>$N$1767-$L$1767+1</f>
        <v/>
      </c>
      <c r="D1776" s="33" t="n">
        <v>0.5736</v>
      </c>
      <c r="E1776" s="34" t="n">
        <v>0.01274</v>
      </c>
      <c r="F1776" s="35">
        <f>ROUND(B1776*E1776,2)</f>
        <v/>
      </c>
      <c r="H1776" s="36" t="n">
        <v>30</v>
      </c>
      <c r="I1776" s="37" t="n">
        <v>0.01274</v>
      </c>
      <c r="J1776" s="38">
        <f>ROUND(H1776*I1776,2)</f>
        <v/>
      </c>
      <c r="L1776" s="65" t="n"/>
      <c r="M1776" s="65" t="n"/>
      <c r="N1776" s="65" t="n"/>
    </row>
    <row r="1777">
      <c r="A1777" s="30" t="inlineStr">
        <is>
          <t>Tasa eléctrica</t>
        </is>
      </c>
      <c r="B1777" s="31" t="n">
        <v>3.21</v>
      </c>
      <c r="C1777" s="44" t="n"/>
      <c r="D1777" s="33" t="n">
        <v>0.02671</v>
      </c>
      <c r="E1777" s="34" t="n">
        <v>1</v>
      </c>
      <c r="F1777" s="35">
        <f>ROUND(B1777*E1777,2)</f>
        <v/>
      </c>
      <c r="H1777" s="36" t="n">
        <v>3.64</v>
      </c>
      <c r="I1777" s="37" t="n">
        <v>1</v>
      </c>
      <c r="J1777" s="38">
        <f>ROUND(H1777*I1777,2)</f>
        <v/>
      </c>
      <c r="L1777" s="65" t="n"/>
      <c r="M1777" s="65" t="n"/>
      <c r="N1777" s="65" t="n"/>
    </row>
    <row r="1778">
      <c r="A1778" s="47" t="inlineStr">
        <is>
          <t>TOTAL c/IVA</t>
        </is>
      </c>
      <c r="F1778" s="48">
        <f>ROUND((SUM(F1770:F1777)-F1777)*1.1+F1777,2)</f>
        <v/>
      </c>
      <c r="J1778" s="49">
        <f>ROUND(SUM(J1770:J1777),2)</f>
        <v/>
      </c>
      <c r="N1778" s="66" t="n"/>
    </row>
    <row r="1779">
      <c r="A1779" s="19" t="inlineStr">
        <is>
          <t>MARGEN sin registrar</t>
        </is>
      </c>
      <c r="B1779" s="51">
        <f>IF((F1773+F1770+F1772+F1774+F1771)=0,"",((F1773+F1770+F1772+F1774+F1771)-$AB$1772)/(F1773+F1770+F1772+F1774+F1771))</f>
        <v/>
      </c>
      <c r="D1779" s="52">
        <f>IF(B1779="","SIN PC",IF(B1779&gt;=0.3,"APROBAR",IF(B1779&gt;=0.2,"REVISAR","RECHAZAR")))</f>
        <v/>
      </c>
      <c r="E1779" s="53" t="n"/>
      <c r="F1779" s="54" t="n"/>
      <c r="AD1779">
        <f>SUM(F1772:F1774)-34.0521</f>
        <v/>
      </c>
    </row>
    <row r="1781">
      <c r="A1781" s="15" t="inlineStr">
        <is>
          <t>Factura 8706 · C03210 · VLADIMIR KREMPASKY</t>
        </is>
      </c>
      <c r="H1781" s="15" t="inlineStr">
        <is>
          <t>ES0021000039701028YN · Naturgy</t>
        </is>
      </c>
      <c r="L1781" s="16" t="n">
        <v>46113</v>
      </c>
      <c r="M1781" s="17" t="inlineStr">
        <is>
          <t>a</t>
        </is>
      </c>
      <c r="N1781" s="16" t="n">
        <v>46142</v>
      </c>
      <c r="R1781" s="18" t="inlineStr">
        <is>
          <t>HISTÓRICO DEL CUPS · HOJA TTVA LUZ</t>
        </is>
      </c>
    </row>
    <row r="1782">
      <c r="A1782" s="19" t="inlineStr">
        <is>
          <t>Concepto</t>
        </is>
      </c>
      <c r="B1782" s="20" t="inlineStr">
        <is>
          <t>PENDIENTE (sin registrar)</t>
        </is>
      </c>
      <c r="C1782" s="21" t="n"/>
      <c r="D1782" s="21" t="n"/>
      <c r="E1782" s="21" t="n"/>
      <c r="F1782" s="21" t="n"/>
      <c r="H1782" s="22" t="inlineStr">
        <is>
          <t>MES ANTERIOR · Fact.6337</t>
        </is>
      </c>
      <c r="I1782" s="23" t="n"/>
      <c r="J1782" s="23" t="n"/>
      <c r="L1782" s="24" t="inlineStr">
        <is>
          <t>AÑO ANTERIOR · (sin dato)</t>
        </is>
      </c>
      <c r="M1782" s="25" t="n"/>
      <c r="N1782" s="25" t="n"/>
      <c r="R1782" s="26" t="inlineStr">
        <is>
          <t>Cobrado total: 1 €</t>
        </is>
      </c>
    </row>
    <row r="1783">
      <c r="B1783" s="7" t="inlineStr">
        <is>
          <t>Cant</t>
        </is>
      </c>
      <c r="C1783" s="7" t="inlineStr">
        <is>
          <t>Días</t>
        </is>
      </c>
      <c r="D1783" s="7" t="inlineStr">
        <is>
          <t>PC real</t>
        </is>
      </c>
      <c r="E1783" s="7" t="inlineStr">
        <is>
          <t>PV</t>
        </is>
      </c>
      <c r="F1783" s="7" t="inlineStr">
        <is>
          <t>Importe</t>
        </is>
      </c>
      <c r="H1783" s="27" t="inlineStr">
        <is>
          <t>Cant</t>
        </is>
      </c>
      <c r="I1783" s="27" t="inlineStr">
        <is>
          <t>PV</t>
        </is>
      </c>
      <c r="J1783" s="27" t="inlineStr">
        <is>
          <t>Importe</t>
        </is>
      </c>
      <c r="L1783" s="28" t="inlineStr">
        <is>
          <t>Cant</t>
        </is>
      </c>
      <c r="M1783" s="28" t="inlineStr">
        <is>
          <t>PV</t>
        </is>
      </c>
      <c r="N1783" s="28" t="inlineStr">
        <is>
          <t>Importe</t>
        </is>
      </c>
      <c r="R1783" s="29" t="inlineStr">
        <is>
          <t>Pagado total: 0 €</t>
        </is>
      </c>
    </row>
    <row r="1784">
      <c r="A1784" s="30" t="inlineStr">
        <is>
          <t>P1 Potencia</t>
        </is>
      </c>
      <c r="B1784" s="31" t="n">
        <v>9.199999999999999</v>
      </c>
      <c r="C1784" s="32">
        <f>$N$1781-$L$1781+1</f>
        <v/>
      </c>
      <c r="D1784" s="33" t="n">
        <v>3.68919</v>
      </c>
      <c r="E1784" s="34" t="n">
        <v>3.85</v>
      </c>
      <c r="F1784" s="35">
        <f>ROUND(B1784*E1784,2)</f>
        <v/>
      </c>
      <c r="H1784" s="36" t="n">
        <v>9.199999999999999</v>
      </c>
      <c r="I1784" s="37" t="n">
        <v>3.85</v>
      </c>
      <c r="J1784" s="38">
        <f>ROUND(H1784*I1784,2)</f>
        <v/>
      </c>
      <c r="L1784" s="65" t="n"/>
      <c r="M1784" s="65" t="n"/>
      <c r="N1784" s="65" t="n"/>
      <c r="R1784" s="42" t="inlineStr">
        <is>
          <t>DIF: 1 €   ·   Margen hist.: 100.0%</t>
        </is>
      </c>
    </row>
    <row r="1785">
      <c r="A1785" s="30" t="inlineStr">
        <is>
          <t>P2 Potencia</t>
        </is>
      </c>
      <c r="B1785" s="31" t="n">
        <v>9.199999999999999</v>
      </c>
      <c r="C1785" s="32">
        <f>$N$1781-$L$1781+1</f>
        <v/>
      </c>
      <c r="D1785" s="33" t="n">
        <v>1.31928</v>
      </c>
      <c r="E1785" s="34" t="n">
        <v>1.33</v>
      </c>
      <c r="F1785" s="35">
        <f>ROUND(B1785*E1785,2)</f>
        <v/>
      </c>
      <c r="H1785" s="36" t="n">
        <v>9.199999999999999</v>
      </c>
      <c r="I1785" s="37" t="n">
        <v>1.33</v>
      </c>
      <c r="J1785" s="38">
        <f>ROUND(H1785*I1785,2)</f>
        <v/>
      </c>
      <c r="L1785" s="65" t="n"/>
      <c r="M1785" s="65" t="n"/>
      <c r="N1785" s="65" t="n"/>
    </row>
    <row r="1786">
      <c r="A1786" s="30" t="inlineStr">
        <is>
          <t>P1 Energía</t>
        </is>
      </c>
      <c r="B1786" s="31">
        <f>IF($P$1786&lt;&gt;"",ROUND(AA1786*(($AB$1786/(1-$P$1786))-47.6560)/2.5115,2),IF('Resumen'!$D$3="OPTIMIZAR",AA1786,AA1786))</f>
        <v/>
      </c>
      <c r="C1786" s="44" t="n"/>
      <c r="D1786" s="33" t="n">
        <v>0.111171</v>
      </c>
      <c r="E1786" s="34" t="n">
        <v>0.13788</v>
      </c>
      <c r="F1786" s="35">
        <f>ROUND(B1786*E1786,2)</f>
        <v/>
      </c>
      <c r="H1786" s="36" t="n">
        <v>6.943</v>
      </c>
      <c r="I1786" s="37" t="n">
        <v>0.13788</v>
      </c>
      <c r="J1786" s="38">
        <f>ROUND(H1786*I1786,2)</f>
        <v/>
      </c>
      <c r="L1786" s="65" t="n"/>
      <c r="M1786" s="65" t="n"/>
      <c r="N1786" s="65" t="n"/>
      <c r="O1786" s="45" t="inlineStr">
        <is>
          <t>Margen objetivo (edita % aquí) ▶</t>
        </is>
      </c>
      <c r="P1786" s="5" t="n"/>
      <c r="AA1786" t="n">
        <v>2.366</v>
      </c>
      <c r="AB1786">
        <f>B1784*D1784+B1785*D1785+AA1786*D1786+AA1787*D1787+AA1788*D1788</f>
        <v/>
      </c>
    </row>
    <row r="1787">
      <c r="A1787" s="30" t="inlineStr">
        <is>
          <t>P2 Energía</t>
        </is>
      </c>
      <c r="B1787" s="31">
        <f>IF($P$1786&lt;&gt;"",ROUND(AA1787*(($AB$1786/(1-$P$1786))-47.6560)/2.5115,2),IF('Resumen'!$D$3="OPTIMIZAR",AA1787,AA1787))</f>
        <v/>
      </c>
      <c r="C1787" s="44" t="n"/>
      <c r="D1787" s="33" t="n">
        <v>0.111171</v>
      </c>
      <c r="E1787" s="34" t="n">
        <v>0.13788</v>
      </c>
      <c r="F1787" s="35">
        <f>ROUND(B1787*E1787,2)</f>
        <v/>
      </c>
      <c r="H1787" s="36" t="n">
        <v>2.317</v>
      </c>
      <c r="I1787" s="37" t="n">
        <v>0.13788</v>
      </c>
      <c r="J1787" s="38">
        <f>ROUND(H1787*I1787,2)</f>
        <v/>
      </c>
      <c r="L1787" s="65" t="n"/>
      <c r="M1787" s="65" t="n"/>
      <c r="N1787" s="65" t="n"/>
      <c r="O1787" s="46" t="inlineStr">
        <is>
          <t>Cant. P1/P2/P3 energía suben</t>
        </is>
      </c>
      <c r="R1787" s="43" t="inlineStr">
        <is>
          <t>Importe mensual cobrado (€) · 24 meses ▾</t>
        </is>
      </c>
      <c r="AA1787" t="n">
        <v>2.34</v>
      </c>
    </row>
    <row r="1788">
      <c r="A1788" s="30" t="inlineStr">
        <is>
          <t>P3 Energía</t>
        </is>
      </c>
      <c r="B1788" s="31">
        <f>IF($P$1786&lt;&gt;"",ROUND(AA1788*(($AB$1786/(1-$P$1786))-47.6560)/2.5115,2),IF('Resumen'!$D$3="OPTIMIZAR",AA1788,AA1788))</f>
        <v/>
      </c>
      <c r="C1788" s="44" t="n"/>
      <c r="D1788" s="33" t="n">
        <v>0.111171</v>
      </c>
      <c r="E1788" s="34" t="n">
        <v>0.13788</v>
      </c>
      <c r="F1788" s="35">
        <f>ROUND(B1788*E1788,2)</f>
        <v/>
      </c>
      <c r="H1788" s="36" t="n">
        <v>16.696</v>
      </c>
      <c r="I1788" s="37" t="n">
        <v>0.13788</v>
      </c>
      <c r="J1788" s="38">
        <f>ROUND(H1788*I1788,2)</f>
        <v/>
      </c>
      <c r="L1788" s="65" t="n"/>
      <c r="M1788" s="65" t="n"/>
      <c r="N1788" s="65" t="n"/>
      <c r="O1788" s="46" t="inlineStr">
        <is>
          <t>en proporción para ese margen</t>
        </is>
      </c>
      <c r="AA1788" t="n">
        <v>13.509</v>
      </c>
    </row>
    <row r="1789">
      <c r="A1789" s="30" t="inlineStr">
        <is>
          <t>Alquiler contador</t>
        </is>
      </c>
      <c r="B1789" s="31" t="n">
        <v>1</v>
      </c>
      <c r="C1789" s="32">
        <f>$N$1781-$L$1781+1</f>
        <v/>
      </c>
      <c r="D1789" s="33" t="n">
        <v>0.7989000000000001</v>
      </c>
      <c r="E1789" s="34" t="n">
        <v>3</v>
      </c>
      <c r="F1789" s="35">
        <f>ROUND(B1789*E1789,2)</f>
        <v/>
      </c>
      <c r="H1789" s="36" t="n">
        <v>1</v>
      </c>
      <c r="I1789" s="37" t="n">
        <v>3</v>
      </c>
      <c r="J1789" s="38">
        <f>ROUND(H1789*I1789,2)</f>
        <v/>
      </c>
      <c r="L1789" s="65" t="n"/>
      <c r="M1789" s="65" t="n"/>
      <c r="N1789" s="65" t="n"/>
    </row>
    <row r="1790">
      <c r="A1790" s="30" t="inlineStr">
        <is>
          <t>Bono social</t>
        </is>
      </c>
      <c r="B1790" s="31" t="n">
        <v>30</v>
      </c>
      <c r="C1790" s="32">
        <f>$N$1781-$L$1781+1</f>
        <v/>
      </c>
      <c r="D1790" s="33" t="n">
        <v>0.5736</v>
      </c>
      <c r="E1790" s="34" t="n">
        <v>0.01274</v>
      </c>
      <c r="F1790" s="35">
        <f>ROUND(B1790*E1790,2)</f>
        <v/>
      </c>
      <c r="H1790" s="36" t="n">
        <v>30</v>
      </c>
      <c r="I1790" s="37" t="n">
        <v>0.01274</v>
      </c>
      <c r="J1790" s="38">
        <f>ROUND(H1790*I1790,2)</f>
        <v/>
      </c>
      <c r="L1790" s="65" t="n"/>
      <c r="M1790" s="65" t="n"/>
      <c r="N1790" s="65" t="n"/>
    </row>
    <row r="1791">
      <c r="A1791" s="30" t="inlineStr">
        <is>
          <t>Tasa eléctrica</t>
        </is>
      </c>
      <c r="B1791" s="31" t="n">
        <v>2.57</v>
      </c>
      <c r="C1791" s="44" t="n"/>
      <c r="D1791" s="33" t="n">
        <v>0.27312</v>
      </c>
      <c r="E1791" s="34" t="n">
        <v>1</v>
      </c>
      <c r="F1791" s="35">
        <f>ROUND(B1791*E1791,2)</f>
        <v/>
      </c>
      <c r="H1791" s="36" t="n">
        <v>2.63</v>
      </c>
      <c r="I1791" s="37" t="n">
        <v>1</v>
      </c>
      <c r="J1791" s="38">
        <f>ROUND(H1791*I1791,2)</f>
        <v/>
      </c>
      <c r="L1791" s="65" t="n"/>
      <c r="M1791" s="65" t="n"/>
      <c r="N1791" s="65" t="n"/>
    </row>
    <row r="1792">
      <c r="A1792" s="47" t="inlineStr">
        <is>
          <t>TOTAL c/IVA</t>
        </is>
      </c>
      <c r="F1792" s="48">
        <f>ROUND((SUM(F1784:F1791)-F1791)*1.1+F1791,2)</f>
        <v/>
      </c>
      <c r="J1792" s="49">
        <f>ROUND(SUM(J1784:J1791),2)</f>
        <v/>
      </c>
      <c r="N1792" s="66" t="n"/>
    </row>
    <row r="1793">
      <c r="A1793" s="19" t="inlineStr">
        <is>
          <t>MARGEN sin registrar</t>
        </is>
      </c>
      <c r="B1793" s="51">
        <f>IF((F1787+F1784+F1786+F1788+F1785)=0,"",((F1787+F1784+F1786+F1788+F1785)-$AB$1786)/(F1787+F1784+F1786+F1788+F1785))</f>
        <v/>
      </c>
      <c r="D1793" s="52">
        <f>IF(B1793="","SIN PC",IF(B1793&gt;=0.3,"APROBAR",IF(B1793&gt;=0.2,"REVISAR","RECHAZAR")))</f>
        <v/>
      </c>
      <c r="E1793" s="53" t="n"/>
      <c r="F1793" s="54" t="n"/>
      <c r="AD1793">
        <f>SUM(F1786:F1788)-2.5115</f>
        <v/>
      </c>
    </row>
    <row r="1795">
      <c r="A1795" s="15" t="inlineStr">
        <is>
          <t>Factura 8707 · C03220 · EVA ROHRMAN MADOVA</t>
        </is>
      </c>
      <c r="H1795" s="15" t="inlineStr">
        <is>
          <t>ES0021000001209164LM · Naturgy</t>
        </is>
      </c>
      <c r="L1795" s="16" t="n">
        <v>46113</v>
      </c>
      <c r="M1795" s="17" t="inlineStr">
        <is>
          <t>a</t>
        </is>
      </c>
      <c r="N1795" s="16" t="n">
        <v>46142</v>
      </c>
      <c r="R1795" s="18" t="inlineStr">
        <is>
          <t>HISTÓRICO DEL CUPS · HOJA TTVA LUZ</t>
        </is>
      </c>
    </row>
    <row r="1796">
      <c r="A1796" s="19" t="inlineStr">
        <is>
          <t>Concepto</t>
        </is>
      </c>
      <c r="B1796" s="20" t="inlineStr">
        <is>
          <t>PENDIENTE (sin registrar)</t>
        </is>
      </c>
      <c r="C1796" s="21" t="n"/>
      <c r="D1796" s="21" t="n"/>
      <c r="E1796" s="21" t="n"/>
      <c r="F1796" s="21" t="n"/>
      <c r="H1796" s="22" t="inlineStr">
        <is>
          <t>MES ANTERIOR · Fact.6336</t>
        </is>
      </c>
      <c r="I1796" s="23" t="n"/>
      <c r="J1796" s="23" t="n"/>
      <c r="L1796" s="24" t="inlineStr">
        <is>
          <t>AÑO ANTERIOR · (sin dato)</t>
        </is>
      </c>
      <c r="M1796" s="25" t="n"/>
      <c r="N1796" s="25" t="n"/>
      <c r="R1796" s="26" t="inlineStr">
        <is>
          <t>Cobrado total: 1 €</t>
        </is>
      </c>
    </row>
    <row r="1797">
      <c r="B1797" s="7" t="inlineStr">
        <is>
          <t>Cant</t>
        </is>
      </c>
      <c r="C1797" s="7" t="inlineStr">
        <is>
          <t>Días</t>
        </is>
      </c>
      <c r="D1797" s="7" t="inlineStr">
        <is>
          <t>PC real</t>
        </is>
      </c>
      <c r="E1797" s="7" t="inlineStr">
        <is>
          <t>PV</t>
        </is>
      </c>
      <c r="F1797" s="7" t="inlineStr">
        <is>
          <t>Importe</t>
        </is>
      </c>
      <c r="H1797" s="27" t="inlineStr">
        <is>
          <t>Cant</t>
        </is>
      </c>
      <c r="I1797" s="27" t="inlineStr">
        <is>
          <t>PV</t>
        </is>
      </c>
      <c r="J1797" s="27" t="inlineStr">
        <is>
          <t>Importe</t>
        </is>
      </c>
      <c r="L1797" s="28" t="inlineStr">
        <is>
          <t>Cant</t>
        </is>
      </c>
      <c r="M1797" s="28" t="inlineStr">
        <is>
          <t>PV</t>
        </is>
      </c>
      <c r="N1797" s="28" t="inlineStr">
        <is>
          <t>Importe</t>
        </is>
      </c>
      <c r="R1797" s="29" t="inlineStr">
        <is>
          <t>Pagado total: 0 €</t>
        </is>
      </c>
    </row>
    <row r="1798">
      <c r="A1798" s="30" t="inlineStr">
        <is>
          <t>P1 Potencia</t>
        </is>
      </c>
      <c r="B1798" s="31" t="n">
        <v>3.45</v>
      </c>
      <c r="C1798" s="32">
        <f>$N$1795-$L$1795+1</f>
        <v/>
      </c>
      <c r="D1798" s="33" t="n">
        <v>3.68919</v>
      </c>
      <c r="E1798" s="34" t="n">
        <v>3.85</v>
      </c>
      <c r="F1798" s="35">
        <f>ROUND(B1798*E1798,2)</f>
        <v/>
      </c>
      <c r="H1798" s="36" t="n">
        <v>3.45</v>
      </c>
      <c r="I1798" s="37" t="n">
        <v>3.85</v>
      </c>
      <c r="J1798" s="38">
        <f>ROUND(H1798*I1798,2)</f>
        <v/>
      </c>
      <c r="L1798" s="65" t="n"/>
      <c r="M1798" s="65" t="n"/>
      <c r="N1798" s="65" t="n"/>
      <c r="R1798" s="42" t="inlineStr">
        <is>
          <t>DIF: 1 €   ·   Margen hist.: 100.0%</t>
        </is>
      </c>
    </row>
    <row r="1799">
      <c r="A1799" s="30" t="inlineStr">
        <is>
          <t>P2 Potencia</t>
        </is>
      </c>
      <c r="B1799" s="31" t="n">
        <v>3.45</v>
      </c>
      <c r="C1799" s="32">
        <f>$N$1795-$L$1795+1</f>
        <v/>
      </c>
      <c r="D1799" s="33" t="n">
        <v>1.31928</v>
      </c>
      <c r="E1799" s="34" t="n">
        <v>1.33</v>
      </c>
      <c r="F1799" s="35">
        <f>ROUND(B1799*E1799,2)</f>
        <v/>
      </c>
      <c r="H1799" s="36" t="n">
        <v>3.45</v>
      </c>
      <c r="I1799" s="37" t="n">
        <v>1.33</v>
      </c>
      <c r="J1799" s="38">
        <f>ROUND(H1799*I1799,2)</f>
        <v/>
      </c>
      <c r="L1799" s="65" t="n"/>
      <c r="M1799" s="65" t="n"/>
      <c r="N1799" s="65" t="n"/>
    </row>
    <row r="1800">
      <c r="A1800" s="30" t="inlineStr">
        <is>
          <t>P1 Energía</t>
        </is>
      </c>
      <c r="B1800" s="31">
        <f>IF($P$1800&lt;&gt;"",ROUND(AA1800*(($AB$1800/(1-$P$1800))-17.8710)/17.8020,2),IF('Resumen'!$D$3="OPTIMIZAR",AA1800,AA1800))</f>
        <v/>
      </c>
      <c r="C1800" s="44" t="n"/>
      <c r="D1800" s="33" t="n">
        <v>0.111171</v>
      </c>
      <c r="E1800" s="34" t="n">
        <v>0.13788</v>
      </c>
      <c r="F1800" s="35">
        <f>ROUND(B1800*E1800,2)</f>
        <v/>
      </c>
      <c r="H1800" s="36" t="n">
        <v>81.08</v>
      </c>
      <c r="I1800" s="37" t="n">
        <v>0.13788</v>
      </c>
      <c r="J1800" s="38">
        <f>ROUND(H1800*I1800,2)</f>
        <v/>
      </c>
      <c r="L1800" s="65" t="n"/>
      <c r="M1800" s="65" t="n"/>
      <c r="N1800" s="65" t="n"/>
      <c r="O1800" s="45" t="inlineStr">
        <is>
          <t>Margen objetivo (edita % aquí) ▶</t>
        </is>
      </c>
      <c r="P1800" s="5" t="n"/>
      <c r="AA1800" t="n">
        <v>49.947</v>
      </c>
      <c r="AB1800">
        <f>B1798*D1798+B1799*D1799+AA1800*D1800+AA1801*D1801+AA1802*D1802</f>
        <v/>
      </c>
    </row>
    <row r="1801">
      <c r="A1801" s="30" t="inlineStr">
        <is>
          <t>P2 Energía</t>
        </is>
      </c>
      <c r="B1801" s="31">
        <f>IF($P$1800&lt;&gt;"",ROUND(AA1801*(($AB$1800/(1-$P$1800))-17.8710)/17.8020,2),IF('Resumen'!$D$3="OPTIMIZAR",AA1801,AA1801))</f>
        <v/>
      </c>
      <c r="C1801" s="44" t="n"/>
      <c r="D1801" s="33" t="n">
        <v>0.111171</v>
      </c>
      <c r="E1801" s="34" t="n">
        <v>0.13788</v>
      </c>
      <c r="F1801" s="35">
        <f>ROUND(B1801*E1801,2)</f>
        <v/>
      </c>
      <c r="H1801" s="36" t="n">
        <v>46.491</v>
      </c>
      <c r="I1801" s="37" t="n">
        <v>0.13788</v>
      </c>
      <c r="J1801" s="38">
        <f>ROUND(H1801*I1801,2)</f>
        <v/>
      </c>
      <c r="L1801" s="65" t="n"/>
      <c r="M1801" s="65" t="n"/>
      <c r="N1801" s="65" t="n"/>
      <c r="O1801" s="46" t="inlineStr">
        <is>
          <t>Cant. P1/P2/P3 energía suben</t>
        </is>
      </c>
      <c r="R1801" s="43" t="inlineStr">
        <is>
          <t>Importe mensual cobrado (€) · 24 meses ▾</t>
        </is>
      </c>
      <c r="AA1801" t="n">
        <v>34.961</v>
      </c>
    </row>
    <row r="1802">
      <c r="A1802" s="30" t="inlineStr">
        <is>
          <t>P3 Energía</t>
        </is>
      </c>
      <c r="B1802" s="31">
        <f>IF($P$1800&lt;&gt;"",ROUND(AA1802*(($AB$1800/(1-$P$1800))-17.8710)/17.8020,2),IF('Resumen'!$D$3="OPTIMIZAR",AA1802,AA1802))</f>
        <v/>
      </c>
      <c r="C1802" s="44" t="n"/>
      <c r="D1802" s="33" t="n">
        <v>0.111171</v>
      </c>
      <c r="E1802" s="34" t="n">
        <v>0.13788</v>
      </c>
      <c r="F1802" s="35">
        <f>ROUND(B1802*E1802,2)</f>
        <v/>
      </c>
      <c r="H1802" s="36" t="n">
        <v>61.626</v>
      </c>
      <c r="I1802" s="37" t="n">
        <v>0.13788</v>
      </c>
      <c r="J1802" s="38">
        <f>ROUND(H1802*I1802,2)</f>
        <v/>
      </c>
      <c r="L1802" s="65" t="n"/>
      <c r="M1802" s="65" t="n"/>
      <c r="N1802" s="65" t="n"/>
      <c r="O1802" s="46" t="inlineStr">
        <is>
          <t>en proporción para ese margen</t>
        </is>
      </c>
      <c r="AA1802" t="n">
        <v>44.204</v>
      </c>
    </row>
    <row r="1803">
      <c r="A1803" s="30" t="inlineStr">
        <is>
          <t>Alquiler contador</t>
        </is>
      </c>
      <c r="B1803" s="31" t="n">
        <v>1</v>
      </c>
      <c r="C1803" s="32">
        <f>$N$1795-$L$1795+1</f>
        <v/>
      </c>
      <c r="D1803" s="33" t="n">
        <v>0.7989000000000001</v>
      </c>
      <c r="E1803" s="34" t="n">
        <v>3</v>
      </c>
      <c r="F1803" s="35">
        <f>ROUND(B1803*E1803,2)</f>
        <v/>
      </c>
      <c r="H1803" s="36" t="n">
        <v>1</v>
      </c>
      <c r="I1803" s="37" t="n">
        <v>3</v>
      </c>
      <c r="J1803" s="38">
        <f>ROUND(H1803*I1803,2)</f>
        <v/>
      </c>
      <c r="L1803" s="65" t="n"/>
      <c r="M1803" s="65" t="n"/>
      <c r="N1803" s="65" t="n"/>
    </row>
    <row r="1804">
      <c r="A1804" s="30" t="inlineStr">
        <is>
          <t>Bono social</t>
        </is>
      </c>
      <c r="B1804" s="31" t="n">
        <v>30</v>
      </c>
      <c r="C1804" s="32">
        <f>$N$1795-$L$1795+1</f>
        <v/>
      </c>
      <c r="D1804" s="33" t="n">
        <v>0.5736</v>
      </c>
      <c r="E1804" s="34" t="n">
        <v>0.01274</v>
      </c>
      <c r="F1804" s="35">
        <f>ROUND(B1804*E1804,2)</f>
        <v/>
      </c>
      <c r="H1804" s="36" t="n">
        <v>30</v>
      </c>
      <c r="I1804" s="37" t="n">
        <v>0.01274</v>
      </c>
      <c r="J1804" s="38">
        <f>ROUND(H1804*I1804,2)</f>
        <v/>
      </c>
      <c r="L1804" s="65" t="n"/>
      <c r="M1804" s="65" t="n"/>
      <c r="N1804" s="65" t="n"/>
    </row>
    <row r="1805">
      <c r="A1805" s="30" t="inlineStr">
        <is>
          <t>Tasa eléctrica</t>
        </is>
      </c>
      <c r="B1805" s="31" t="n">
        <v>1.83</v>
      </c>
      <c r="C1805" s="44" t="n"/>
      <c r="D1805" s="33" t="n">
        <v>0.02671</v>
      </c>
      <c r="E1805" s="34" t="n">
        <v>1</v>
      </c>
      <c r="F1805" s="35">
        <f>ROUND(B1805*E1805,2)</f>
        <v/>
      </c>
      <c r="H1805" s="36" t="n">
        <v>2.26</v>
      </c>
      <c r="I1805" s="37" t="n">
        <v>1</v>
      </c>
      <c r="J1805" s="38">
        <f>ROUND(H1805*I1805,2)</f>
        <v/>
      </c>
      <c r="L1805" s="65" t="n"/>
      <c r="M1805" s="65" t="n"/>
      <c r="N1805" s="65" t="n"/>
    </row>
    <row r="1806">
      <c r="A1806" s="47" t="inlineStr">
        <is>
          <t>TOTAL c/IVA</t>
        </is>
      </c>
      <c r="F1806" s="48">
        <f>ROUND((SUM(F1798:F1805)-F1805)*1.1+F1805,2)</f>
        <v/>
      </c>
      <c r="J1806" s="49">
        <f>ROUND(SUM(J1798:J1805),2)</f>
        <v/>
      </c>
      <c r="N1806" s="66" t="n"/>
    </row>
    <row r="1807">
      <c r="A1807" s="19" t="inlineStr">
        <is>
          <t>MARGEN sin registrar</t>
        </is>
      </c>
      <c r="B1807" s="51">
        <f>IF((F1801+F1798+F1800+F1802+F1799)=0,"",((F1801+F1798+F1800+F1802+F1799)-$AB$1800)/(F1801+F1798+F1800+F1802+F1799))</f>
        <v/>
      </c>
      <c r="D1807" s="52">
        <f>IF(B1807="","SIN PC",IF(B1807&gt;=0.3,"APROBAR",IF(B1807&gt;=0.2,"REVISAR","RECHAZAR")))</f>
        <v/>
      </c>
      <c r="E1807" s="53" t="n"/>
      <c r="F1807" s="54" t="n"/>
      <c r="AD1807">
        <f>SUM(F1800:F1802)-17.8020</f>
        <v/>
      </c>
    </row>
    <row r="1809">
      <c r="A1809" s="15" t="inlineStr">
        <is>
          <t>Factura 8708 · C03230 · OLDRICH PETRAS</t>
        </is>
      </c>
      <c r="H1809" s="15" t="inlineStr">
        <is>
          <t>ES0021000000948050MX · Naturgy</t>
        </is>
      </c>
      <c r="L1809" s="16" t="n">
        <v>46113</v>
      </c>
      <c r="M1809" s="17" t="inlineStr">
        <is>
          <t>a</t>
        </is>
      </c>
      <c r="N1809" s="16" t="n">
        <v>46142</v>
      </c>
      <c r="R1809" s="18" t="inlineStr">
        <is>
          <t>HISTÓRICO DEL CUPS · HOJA TTVA LUZ</t>
        </is>
      </c>
    </row>
    <row r="1810">
      <c r="A1810" s="19" t="inlineStr">
        <is>
          <t>Concepto</t>
        </is>
      </c>
      <c r="B1810" s="20" t="inlineStr">
        <is>
          <t>PENDIENTE (sin registrar)</t>
        </is>
      </c>
      <c r="C1810" s="21" t="n"/>
      <c r="D1810" s="21" t="n"/>
      <c r="E1810" s="21" t="n"/>
      <c r="F1810" s="21" t="n"/>
      <c r="H1810" s="22" t="inlineStr">
        <is>
          <t>MES ANTERIOR · Fact.6335</t>
        </is>
      </c>
      <c r="I1810" s="23" t="n"/>
      <c r="J1810" s="23" t="n"/>
      <c r="L1810" s="24" t="inlineStr">
        <is>
          <t>AÑO ANTERIOR · (sin dato)</t>
        </is>
      </c>
      <c r="M1810" s="25" t="n"/>
      <c r="N1810" s="25" t="n"/>
      <c r="R1810" s="26" t="inlineStr">
        <is>
          <t>Cobrado total: 1 €</t>
        </is>
      </c>
    </row>
    <row r="1811">
      <c r="B1811" s="7" t="inlineStr">
        <is>
          <t>Cant</t>
        </is>
      </c>
      <c r="C1811" s="7" t="inlineStr">
        <is>
          <t>Días</t>
        </is>
      </c>
      <c r="D1811" s="7" t="inlineStr">
        <is>
          <t>PC real</t>
        </is>
      </c>
      <c r="E1811" s="7" t="inlineStr">
        <is>
          <t>PV</t>
        </is>
      </c>
      <c r="F1811" s="7" t="inlineStr">
        <is>
          <t>Importe</t>
        </is>
      </c>
      <c r="H1811" s="27" t="inlineStr">
        <is>
          <t>Cant</t>
        </is>
      </c>
      <c r="I1811" s="27" t="inlineStr">
        <is>
          <t>PV</t>
        </is>
      </c>
      <c r="J1811" s="27" t="inlineStr">
        <is>
          <t>Importe</t>
        </is>
      </c>
      <c r="L1811" s="28" t="inlineStr">
        <is>
          <t>Cant</t>
        </is>
      </c>
      <c r="M1811" s="28" t="inlineStr">
        <is>
          <t>PV</t>
        </is>
      </c>
      <c r="N1811" s="28" t="inlineStr">
        <is>
          <t>Importe</t>
        </is>
      </c>
      <c r="R1811" s="29" t="inlineStr">
        <is>
          <t>Pagado total: 0 €</t>
        </is>
      </c>
    </row>
    <row r="1812">
      <c r="A1812" s="30" t="inlineStr">
        <is>
          <t>P1 Potencia</t>
        </is>
      </c>
      <c r="B1812" s="31" t="n">
        <v>9.9</v>
      </c>
      <c r="C1812" s="32">
        <f>$N$1809-$L$1809+1</f>
        <v/>
      </c>
      <c r="D1812" s="33" t="n">
        <v>3.68919</v>
      </c>
      <c r="E1812" s="34" t="n">
        <v>2.2</v>
      </c>
      <c r="F1812" s="35">
        <f>ROUND(B1812*E1812,2)</f>
        <v/>
      </c>
      <c r="H1812" s="36" t="n">
        <v>9.9</v>
      </c>
      <c r="I1812" s="37" t="n">
        <v>3.85</v>
      </c>
      <c r="J1812" s="38">
        <f>ROUND(H1812*I1812,2)</f>
        <v/>
      </c>
      <c r="L1812" s="65" t="n"/>
      <c r="M1812" s="65" t="n"/>
      <c r="N1812" s="65" t="n"/>
      <c r="R1812" s="42" t="inlineStr">
        <is>
          <t>DIF: 1 €   ·   Margen hist.: 100.0%</t>
        </is>
      </c>
    </row>
    <row r="1813">
      <c r="A1813" s="30" t="inlineStr">
        <is>
          <t>P2 Potencia</t>
        </is>
      </c>
      <c r="B1813" s="31" t="n">
        <v>9.9</v>
      </c>
      <c r="C1813" s="32">
        <f>$N$1809-$L$1809+1</f>
        <v/>
      </c>
      <c r="D1813" s="33" t="n">
        <v>1.31928</v>
      </c>
      <c r="E1813" s="34" t="n">
        <v>1.33</v>
      </c>
      <c r="F1813" s="35">
        <f>ROUND(B1813*E1813,2)</f>
        <v/>
      </c>
      <c r="H1813" s="36" t="n">
        <v>9.9</v>
      </c>
      <c r="I1813" s="37" t="n">
        <v>1.33</v>
      </c>
      <c r="J1813" s="38">
        <f>ROUND(H1813*I1813,2)</f>
        <v/>
      </c>
      <c r="L1813" s="65" t="n"/>
      <c r="M1813" s="65" t="n"/>
      <c r="N1813" s="65" t="n"/>
    </row>
    <row r="1814">
      <c r="A1814" s="30" t="inlineStr">
        <is>
          <t>P1 Energía</t>
        </is>
      </c>
      <c r="B1814" s="31">
        <f>IF($P$1814&lt;&gt;"",ROUND(AA1814*(($AB$1814/(1-$P$1814))-34.9470)/51.1987,2),IF('Resumen'!$D$3="OPTIMIZAR",AA1814,AA1814))</f>
        <v/>
      </c>
      <c r="C1814" s="44" t="n"/>
      <c r="D1814" s="33" t="n">
        <v>0.111171</v>
      </c>
      <c r="E1814" s="34" t="n">
        <v>0.129</v>
      </c>
      <c r="F1814" s="35">
        <f>ROUND(B1814*E1814,2)</f>
        <v/>
      </c>
      <c r="H1814" s="36" t="n">
        <v>87.786</v>
      </c>
      <c r="I1814" s="37" t="n">
        <v>0.13788</v>
      </c>
      <c r="J1814" s="38">
        <f>ROUND(H1814*I1814,2)</f>
        <v/>
      </c>
      <c r="L1814" s="65" t="n"/>
      <c r="M1814" s="65" t="n"/>
      <c r="N1814" s="65" t="n"/>
      <c r="O1814" s="45" t="inlineStr">
        <is>
          <t>Margen objetivo (edita % aquí) ▶</t>
        </is>
      </c>
      <c r="P1814" s="5" t="n"/>
      <c r="AA1814" t="n">
        <v>136.065</v>
      </c>
      <c r="AB1814">
        <f>B1812*D1812+B1813*D1813+AA1814*D1814+AA1815*D1815+AA1816*D1816</f>
        <v/>
      </c>
    </row>
    <row r="1815">
      <c r="A1815" s="30" t="inlineStr">
        <is>
          <t>P2 Energía</t>
        </is>
      </c>
      <c r="B1815" s="31">
        <f>IF($P$1814&lt;&gt;"",ROUND(AA1815*(($AB$1814/(1-$P$1814))-34.9470)/51.1987,2),IF('Resumen'!$D$3="OPTIMIZAR",AA1815,AA1815))</f>
        <v/>
      </c>
      <c r="C1815" s="44" t="n"/>
      <c r="D1815" s="33" t="n">
        <v>0.111171</v>
      </c>
      <c r="E1815" s="34" t="n">
        <v>0.129</v>
      </c>
      <c r="F1815" s="35">
        <f>ROUND(B1815*E1815,2)</f>
        <v/>
      </c>
      <c r="H1815" s="36" t="n">
        <v>69.371</v>
      </c>
      <c r="I1815" s="37" t="n">
        <v>0.13788</v>
      </c>
      <c r="J1815" s="38">
        <f>ROUND(H1815*I1815,2)</f>
        <v/>
      </c>
      <c r="L1815" s="65" t="n"/>
      <c r="M1815" s="65" t="n"/>
      <c r="N1815" s="65" t="n"/>
      <c r="O1815" s="46" t="inlineStr">
        <is>
          <t>Cant. P1/P2/P3 energía suben</t>
        </is>
      </c>
      <c r="R1815" s="43" t="inlineStr">
        <is>
          <t>Importe mensual cobrado (€) · 24 meses ▾</t>
        </is>
      </c>
      <c r="AA1815" t="n">
        <v>133.475</v>
      </c>
    </row>
    <row r="1816">
      <c r="A1816" s="30" t="inlineStr">
        <is>
          <t>P3 Energía</t>
        </is>
      </c>
      <c r="B1816" s="31">
        <f>IF($P$1814&lt;&gt;"",ROUND(AA1816*(($AB$1814/(1-$P$1814))-34.9470)/51.1987,2),IF('Resumen'!$D$3="OPTIMIZAR",AA1816,AA1816))</f>
        <v/>
      </c>
      <c r="C1816" s="44" t="n"/>
      <c r="D1816" s="33" t="n">
        <v>0.111171</v>
      </c>
      <c r="E1816" s="34" t="n">
        <v>0.129</v>
      </c>
      <c r="F1816" s="35">
        <f>ROUND(B1816*E1816,2)</f>
        <v/>
      </c>
      <c r="H1816" s="36" t="n">
        <v>112.245</v>
      </c>
      <c r="I1816" s="37" t="n">
        <v>0.13788</v>
      </c>
      <c r="J1816" s="38">
        <f>ROUND(H1816*I1816,2)</f>
        <v/>
      </c>
      <c r="L1816" s="65" t="n"/>
      <c r="M1816" s="65" t="n"/>
      <c r="N1816" s="65" t="n"/>
      <c r="O1816" s="46" t="inlineStr">
        <is>
          <t>en proporción para ese margen</t>
        </is>
      </c>
      <c r="AA1816" t="n">
        <v>127.349</v>
      </c>
    </row>
    <row r="1817">
      <c r="A1817" s="30" t="inlineStr">
        <is>
          <t>Alquiler contador</t>
        </is>
      </c>
      <c r="B1817" s="31" t="n">
        <v>1</v>
      </c>
      <c r="C1817" s="32">
        <f>$N$1809-$L$1809+1</f>
        <v/>
      </c>
      <c r="D1817" s="33" t="n">
        <v>1.3414</v>
      </c>
      <c r="E1817" s="34" t="n">
        <v>3</v>
      </c>
      <c r="F1817" s="35">
        <f>ROUND(B1817*E1817,2)</f>
        <v/>
      </c>
      <c r="H1817" s="36" t="n">
        <v>1</v>
      </c>
      <c r="I1817" s="37" t="n">
        <v>3</v>
      </c>
      <c r="J1817" s="38">
        <f>ROUND(H1817*I1817,2)</f>
        <v/>
      </c>
      <c r="L1817" s="65" t="n"/>
      <c r="M1817" s="65" t="n"/>
      <c r="N1817" s="65" t="n"/>
    </row>
    <row r="1818">
      <c r="A1818" s="30" t="inlineStr">
        <is>
          <t>Bono social</t>
        </is>
      </c>
      <c r="B1818" s="31" t="n">
        <v>30</v>
      </c>
      <c r="C1818" s="32">
        <f>$N$1809-$L$1809+1</f>
        <v/>
      </c>
      <c r="D1818" s="33" t="n">
        <v>0.5736</v>
      </c>
      <c r="E1818" s="34" t="n">
        <v>0.01274</v>
      </c>
      <c r="F1818" s="35">
        <f>ROUND(B1818*E1818,2)</f>
        <v/>
      </c>
      <c r="H1818" s="36" t="n">
        <v>30</v>
      </c>
      <c r="I1818" s="37" t="n">
        <v>0.01274</v>
      </c>
      <c r="J1818" s="38">
        <f>ROUND(H1818*I1818,2)</f>
        <v/>
      </c>
      <c r="L1818" s="65" t="n"/>
      <c r="M1818" s="65" t="n"/>
      <c r="N1818" s="65" t="n"/>
    </row>
    <row r="1819">
      <c r="A1819" s="30" t="inlineStr">
        <is>
          <t>Tasa eléctrica</t>
        </is>
      </c>
      <c r="B1819" s="31" t="n">
        <v>5.43</v>
      </c>
      <c r="C1819" s="44" t="n"/>
      <c r="D1819" s="33" t="n">
        <v>0.27312</v>
      </c>
      <c r="E1819" s="34" t="n">
        <v>1</v>
      </c>
      <c r="F1819" s="35">
        <f>ROUND(B1819*E1819,2)</f>
        <v/>
      </c>
      <c r="H1819" s="36" t="n">
        <v>4.53</v>
      </c>
      <c r="I1819" s="37" t="n">
        <v>1</v>
      </c>
      <c r="J1819" s="38">
        <f>ROUND(H1819*I1819,2)</f>
        <v/>
      </c>
      <c r="L1819" s="65" t="n"/>
      <c r="M1819" s="65" t="n"/>
      <c r="N1819" s="65" t="n"/>
    </row>
    <row r="1820">
      <c r="A1820" s="47" t="inlineStr">
        <is>
          <t>TOTAL c/IVA</t>
        </is>
      </c>
      <c r="F1820" s="48">
        <f>ROUND((SUM(F1812:F1819)-F1819)*1.1+F1819,2)</f>
        <v/>
      </c>
      <c r="J1820" s="49">
        <f>ROUND(SUM(J1812:J1819),2)</f>
        <v/>
      </c>
      <c r="N1820" s="66" t="n"/>
    </row>
    <row r="1821">
      <c r="A1821" s="19" t="inlineStr">
        <is>
          <t>MARGEN sin registrar</t>
        </is>
      </c>
      <c r="B1821" s="51">
        <f>IF((F1815+F1812+F1814+F1816+F1813)=0,"",((F1815+F1812+F1814+F1816+F1813)-$AB$1814)/(F1815+F1812+F1814+F1816+F1813))</f>
        <v/>
      </c>
      <c r="D1821" s="52">
        <f>IF(B1821="","SIN PC",IF(B1821&gt;=0.3,"APROBAR",IF(B1821&gt;=0.2,"REVISAR","RECHAZAR")))</f>
        <v/>
      </c>
      <c r="E1821" s="53" t="n"/>
      <c r="F1821" s="54" t="n"/>
      <c r="AD1821">
        <f>SUM(F1814:F1816)-51.1987</f>
        <v/>
      </c>
    </row>
    <row r="1823">
      <c r="A1823" s="15" t="inlineStr">
        <is>
          <t>Factura 8709 · C03240 · SPAINLIFE AND HOUSES S.L.</t>
        </is>
      </c>
      <c r="H1823" s="15" t="inlineStr">
        <is>
          <t>ES0021000001214540EE · Naturgy</t>
        </is>
      </c>
      <c r="L1823" s="16" t="n">
        <v>46113</v>
      </c>
      <c r="M1823" s="17" t="inlineStr">
        <is>
          <t>a</t>
        </is>
      </c>
      <c r="N1823" s="16" t="n">
        <v>46142</v>
      </c>
      <c r="R1823" s="18" t="inlineStr">
        <is>
          <t>HISTÓRICO DEL CUPS · HOJA TTVA LUZ</t>
        </is>
      </c>
    </row>
    <row r="1824">
      <c r="A1824" s="19" t="inlineStr">
        <is>
          <t>Concepto</t>
        </is>
      </c>
      <c r="B1824" s="20" t="inlineStr">
        <is>
          <t>PENDIENTE (sin registrar)</t>
        </is>
      </c>
      <c r="C1824" s="21" t="n"/>
      <c r="D1824" s="21" t="n"/>
      <c r="E1824" s="21" t="n"/>
      <c r="F1824" s="21" t="n"/>
      <c r="H1824" s="22" t="inlineStr">
        <is>
          <t>MES ANTERIOR · Fact.6334</t>
        </is>
      </c>
      <c r="I1824" s="23" t="n"/>
      <c r="J1824" s="23" t="n"/>
      <c r="L1824" s="24" t="inlineStr">
        <is>
          <t>AÑO ANTERIOR · (sin dato)</t>
        </is>
      </c>
      <c r="M1824" s="25" t="n"/>
      <c r="N1824" s="25" t="n"/>
      <c r="R1824" s="26" t="inlineStr">
        <is>
          <t>Cobrado total: 1 €</t>
        </is>
      </c>
    </row>
    <row r="1825">
      <c r="B1825" s="7" t="inlineStr">
        <is>
          <t>Cant</t>
        </is>
      </c>
      <c r="C1825" s="7" t="inlineStr">
        <is>
          <t>Días</t>
        </is>
      </c>
      <c r="D1825" s="7" t="inlineStr">
        <is>
          <t>PC real</t>
        </is>
      </c>
      <c r="E1825" s="7" t="inlineStr">
        <is>
          <t>PV</t>
        </is>
      </c>
      <c r="F1825" s="7" t="inlineStr">
        <is>
          <t>Importe</t>
        </is>
      </c>
      <c r="H1825" s="27" t="inlineStr">
        <is>
          <t>Cant</t>
        </is>
      </c>
      <c r="I1825" s="27" t="inlineStr">
        <is>
          <t>PV</t>
        </is>
      </c>
      <c r="J1825" s="27" t="inlineStr">
        <is>
          <t>Importe</t>
        </is>
      </c>
      <c r="L1825" s="28" t="inlineStr">
        <is>
          <t>Cant</t>
        </is>
      </c>
      <c r="M1825" s="28" t="inlineStr">
        <is>
          <t>PV</t>
        </is>
      </c>
      <c r="N1825" s="28" t="inlineStr">
        <is>
          <t>Importe</t>
        </is>
      </c>
      <c r="R1825" s="29" t="inlineStr">
        <is>
          <t>Pagado total: 0 €</t>
        </is>
      </c>
    </row>
    <row r="1826">
      <c r="A1826" s="30" t="inlineStr">
        <is>
          <t>P1 Potencia</t>
        </is>
      </c>
      <c r="B1826" s="31" t="n">
        <v>5.75</v>
      </c>
      <c r="C1826" s="32">
        <f>$N$1823-$L$1823+1</f>
        <v/>
      </c>
      <c r="D1826" s="33" t="n">
        <v>3.68919</v>
      </c>
      <c r="E1826" s="34" t="n">
        <v>3.85</v>
      </c>
      <c r="F1826" s="35">
        <f>ROUND(B1826*E1826,2)</f>
        <v/>
      </c>
      <c r="H1826" s="36" t="n">
        <v>5.75</v>
      </c>
      <c r="I1826" s="37" t="n">
        <v>3.85</v>
      </c>
      <c r="J1826" s="38">
        <f>ROUND(H1826*I1826,2)</f>
        <v/>
      </c>
      <c r="L1826" s="65" t="n"/>
      <c r="M1826" s="65" t="n"/>
      <c r="N1826" s="65" t="n"/>
      <c r="R1826" s="42" t="inlineStr">
        <is>
          <t>DIF: 1 €   ·   Margen hist.: 100.0%</t>
        </is>
      </c>
    </row>
    <row r="1827">
      <c r="A1827" s="30" t="inlineStr">
        <is>
          <t>P2 Potencia</t>
        </is>
      </c>
      <c r="B1827" s="31" t="n">
        <v>5.75</v>
      </c>
      <c r="C1827" s="32">
        <f>$N$1823-$L$1823+1</f>
        <v/>
      </c>
      <c r="D1827" s="33" t="n">
        <v>1.31928</v>
      </c>
      <c r="E1827" s="34" t="n">
        <v>1.33</v>
      </c>
      <c r="F1827" s="35">
        <f>ROUND(B1827*E1827,2)</f>
        <v/>
      </c>
      <c r="H1827" s="36" t="n">
        <v>5.75</v>
      </c>
      <c r="I1827" s="37" t="n">
        <v>1.33</v>
      </c>
      <c r="J1827" s="38">
        <f>ROUND(H1827*I1827,2)</f>
        <v/>
      </c>
      <c r="L1827" s="65" t="n"/>
      <c r="M1827" s="65" t="n"/>
      <c r="N1827" s="65" t="n"/>
    </row>
    <row r="1828">
      <c r="A1828" s="30" t="inlineStr">
        <is>
          <t>P1 Energía</t>
        </is>
      </c>
      <c r="B1828" s="31">
        <f>IF($P$1828&lt;&gt;"",ROUND(AA1828*(($AB$1828/(1-$P$1828))-29.7850)/78.3584,2),IF('Resumen'!$D$3="OPTIMIZAR",AA1828,AA1828))</f>
        <v/>
      </c>
      <c r="C1828" s="44" t="n"/>
      <c r="D1828" s="33" t="n">
        <v>0.111171</v>
      </c>
      <c r="E1828" s="34" t="n">
        <v>0.13788</v>
      </c>
      <c r="F1828" s="35">
        <f>ROUND(B1828*E1828,2)</f>
        <v/>
      </c>
      <c r="H1828" s="36" t="n">
        <v>151.433</v>
      </c>
      <c r="I1828" s="37" t="n">
        <v>0.13788</v>
      </c>
      <c r="J1828" s="38">
        <f>ROUND(H1828*I1828,2)</f>
        <v/>
      </c>
      <c r="L1828" s="65" t="n"/>
      <c r="M1828" s="65" t="n"/>
      <c r="N1828" s="65" t="n"/>
      <c r="O1828" s="45" t="inlineStr">
        <is>
          <t>Margen objetivo (edita % aquí) ▶</t>
        </is>
      </c>
      <c r="P1828" s="5" t="n"/>
      <c r="AA1828" t="n">
        <v>117.05</v>
      </c>
      <c r="AB1828">
        <f>B1826*D1826+B1827*D1827+AA1828*D1828+AA1829*D1829+AA1830*D1830</f>
        <v/>
      </c>
    </row>
    <row r="1829">
      <c r="A1829" s="30" t="inlineStr">
        <is>
          <t>P2 Energía</t>
        </is>
      </c>
      <c r="B1829" s="31">
        <f>IF($P$1828&lt;&gt;"",ROUND(AA1829*(($AB$1828/(1-$P$1828))-29.7850)/78.3584,2),IF('Resumen'!$D$3="OPTIMIZAR",AA1829,AA1829))</f>
        <v/>
      </c>
      <c r="C1829" s="44" t="n"/>
      <c r="D1829" s="33" t="n">
        <v>0.111171</v>
      </c>
      <c r="E1829" s="34" t="n">
        <v>0.13788</v>
      </c>
      <c r="F1829" s="35">
        <f>ROUND(B1829*E1829,2)</f>
        <v/>
      </c>
      <c r="H1829" s="36" t="n">
        <v>128.899</v>
      </c>
      <c r="I1829" s="37" t="n">
        <v>0.13788</v>
      </c>
      <c r="J1829" s="38">
        <f>ROUND(H1829*I1829,2)</f>
        <v/>
      </c>
      <c r="L1829" s="65" t="n"/>
      <c r="M1829" s="65" t="n"/>
      <c r="N1829" s="65" t="n"/>
      <c r="O1829" s="46" t="inlineStr">
        <is>
          <t>Cant. P1/P2/P3 energía suben</t>
        </is>
      </c>
      <c r="R1829" s="43" t="inlineStr">
        <is>
          <t>Importe mensual cobrado (€) · 24 meses ▾</t>
        </is>
      </c>
      <c r="AA1829" t="n">
        <v>120.126</v>
      </c>
    </row>
    <row r="1830">
      <c r="A1830" s="30" t="inlineStr">
        <is>
          <t>P3 Energía</t>
        </is>
      </c>
      <c r="B1830" s="31">
        <f>IF($P$1828&lt;&gt;"",ROUND(AA1830*(($AB$1828/(1-$P$1828))-29.7850)/78.3584,2),IF('Resumen'!$D$3="OPTIMIZAR",AA1830,AA1830))</f>
        <v/>
      </c>
      <c r="C1830" s="44" t="n"/>
      <c r="D1830" s="33" t="n">
        <v>0.111171</v>
      </c>
      <c r="E1830" s="34" t="n">
        <v>0.13788</v>
      </c>
      <c r="F1830" s="35">
        <f>ROUND(B1830*E1830,2)</f>
        <v/>
      </c>
      <c r="H1830" s="36" t="n">
        <v>252.331</v>
      </c>
      <c r="I1830" s="37" t="n">
        <v>0.13788</v>
      </c>
      <c r="J1830" s="38">
        <f>ROUND(H1830*I1830,2)</f>
        <v/>
      </c>
      <c r="L1830" s="65" t="n"/>
      <c r="M1830" s="65" t="n"/>
      <c r="N1830" s="65" t="n"/>
      <c r="O1830" s="46" t="inlineStr">
        <is>
          <t>en proporción para ese margen</t>
        </is>
      </c>
      <c r="AA1830" t="n">
        <v>331.133</v>
      </c>
    </row>
    <row r="1831">
      <c r="A1831" s="30" t="inlineStr">
        <is>
          <t>Alquiler contador</t>
        </is>
      </c>
      <c r="B1831" s="31" t="n">
        <v>1</v>
      </c>
      <c r="C1831" s="32">
        <f>$N$1823-$L$1823+1</f>
        <v/>
      </c>
      <c r="D1831" s="33" t="n">
        <v>0.7989000000000001</v>
      </c>
      <c r="E1831" s="34" t="n">
        <v>3</v>
      </c>
      <c r="F1831" s="35">
        <f>ROUND(B1831*E1831,2)</f>
        <v/>
      </c>
      <c r="H1831" s="36" t="n">
        <v>1</v>
      </c>
      <c r="I1831" s="37" t="n">
        <v>3</v>
      </c>
      <c r="J1831" s="38">
        <f>ROUND(H1831*I1831,2)</f>
        <v/>
      </c>
      <c r="L1831" s="65" t="n"/>
      <c r="M1831" s="65" t="n"/>
      <c r="N1831" s="65" t="n"/>
    </row>
    <row r="1832">
      <c r="A1832" s="30" t="inlineStr">
        <is>
          <t>Bono social</t>
        </is>
      </c>
      <c r="B1832" s="31" t="n">
        <v>30</v>
      </c>
      <c r="C1832" s="32">
        <f>$N$1823-$L$1823+1</f>
        <v/>
      </c>
      <c r="D1832" s="33" t="n">
        <v>0.5736</v>
      </c>
      <c r="E1832" s="34" t="n">
        <v>0.01274</v>
      </c>
      <c r="F1832" s="35">
        <f>ROUND(B1832*E1832,2)</f>
        <v/>
      </c>
      <c r="H1832" s="36" t="n">
        <v>30</v>
      </c>
      <c r="I1832" s="37" t="n">
        <v>0.01274</v>
      </c>
      <c r="J1832" s="38">
        <f>ROUND(H1832*I1832,2)</f>
        <v/>
      </c>
      <c r="L1832" s="65" t="n"/>
      <c r="M1832" s="65" t="n"/>
      <c r="N1832" s="65" t="n"/>
    </row>
    <row r="1833">
      <c r="A1833" s="30" t="inlineStr">
        <is>
          <t>Tasa eléctrica</t>
        </is>
      </c>
      <c r="B1833" s="31" t="n">
        <v>5.54</v>
      </c>
      <c r="C1833" s="44" t="n"/>
      <c r="D1833" s="33" t="n">
        <v>0.27312</v>
      </c>
      <c r="E1833" s="34" t="n">
        <v>1</v>
      </c>
      <c r="F1833" s="35">
        <f>ROUND(B1833*E1833,2)</f>
        <v/>
      </c>
      <c r="H1833" s="36" t="n">
        <v>5.28</v>
      </c>
      <c r="I1833" s="37" t="n">
        <v>1</v>
      </c>
      <c r="J1833" s="38">
        <f>ROUND(H1833*I1833,2)</f>
        <v/>
      </c>
      <c r="L1833" s="65" t="n"/>
      <c r="M1833" s="65" t="n"/>
      <c r="N1833" s="65" t="n"/>
    </row>
    <row r="1834">
      <c r="A1834" s="47" t="inlineStr">
        <is>
          <t>TOTAL c/IVA</t>
        </is>
      </c>
      <c r="F1834" s="48">
        <f>ROUND((SUM(F1826:F1833)-F1833)*1.1+F1833,2)</f>
        <v/>
      </c>
      <c r="J1834" s="49">
        <f>ROUND(SUM(J1826:J1833),2)</f>
        <v/>
      </c>
      <c r="N1834" s="66" t="n"/>
    </row>
    <row r="1835">
      <c r="A1835" s="19" t="inlineStr">
        <is>
          <t>MARGEN sin registrar</t>
        </is>
      </c>
      <c r="B1835" s="51">
        <f>IF((F1829+F1826+F1828+F1830+F1827)=0,"",((F1829+F1826+F1828+F1830+F1827)-$AB$1828)/(F1829+F1826+F1828+F1830+F1827))</f>
        <v/>
      </c>
      <c r="D1835" s="52">
        <f>IF(B1835="","SIN PC",IF(B1835&gt;=0.3,"APROBAR",IF(B1835&gt;=0.2,"REVISAR","RECHAZAR")))</f>
        <v/>
      </c>
      <c r="E1835" s="53" t="n"/>
      <c r="F1835" s="54" t="n"/>
      <c r="AD1835">
        <f>SUM(F1828:F1830)-78.3584</f>
        <v/>
      </c>
    </row>
    <row r="1837">
      <c r="A1837" s="15" t="inlineStr">
        <is>
          <t>Factura 8710 · C03250 · SPAINLIFE AND HOUSES S.L.</t>
        </is>
      </c>
      <c r="H1837" s="15" t="inlineStr">
        <is>
          <t>ES0021000042961967ZB · Naturgy</t>
        </is>
      </c>
      <c r="L1837" s="16" t="n">
        <v>46113</v>
      </c>
      <c r="M1837" s="17" t="inlineStr">
        <is>
          <t>a</t>
        </is>
      </c>
      <c r="N1837" s="16" t="n">
        <v>46142</v>
      </c>
      <c r="R1837" s="18" t="inlineStr">
        <is>
          <t>HISTÓRICO DEL CUPS · HOJA TTVA LUZ</t>
        </is>
      </c>
    </row>
    <row r="1838">
      <c r="A1838" s="19" t="inlineStr">
        <is>
          <t>Concepto</t>
        </is>
      </c>
      <c r="B1838" s="20" t="inlineStr">
        <is>
          <t>PENDIENTE (sin registrar)</t>
        </is>
      </c>
      <c r="C1838" s="21" t="n"/>
      <c r="D1838" s="21" t="n"/>
      <c r="E1838" s="21" t="n"/>
      <c r="F1838" s="21" t="n"/>
      <c r="H1838" s="22" t="inlineStr">
        <is>
          <t>MES ANTERIOR · Fact.6333</t>
        </is>
      </c>
      <c r="I1838" s="23" t="n"/>
      <c r="J1838" s="23" t="n"/>
      <c r="L1838" s="24" t="inlineStr">
        <is>
          <t>AÑO ANTERIOR · (sin dato)</t>
        </is>
      </c>
      <c r="M1838" s="25" t="n"/>
      <c r="N1838" s="25" t="n"/>
      <c r="R1838" s="26" t="inlineStr">
        <is>
          <t>Cobrado total: 1 €</t>
        </is>
      </c>
    </row>
    <row r="1839">
      <c r="B1839" s="7" t="inlineStr">
        <is>
          <t>Cant</t>
        </is>
      </c>
      <c r="C1839" s="7" t="inlineStr">
        <is>
          <t>Días</t>
        </is>
      </c>
      <c r="D1839" s="7" t="inlineStr">
        <is>
          <t>PC real</t>
        </is>
      </c>
      <c r="E1839" s="7" t="inlineStr">
        <is>
          <t>PV</t>
        </is>
      </c>
      <c r="F1839" s="7" t="inlineStr">
        <is>
          <t>Importe</t>
        </is>
      </c>
      <c r="H1839" s="27" t="inlineStr">
        <is>
          <t>Cant</t>
        </is>
      </c>
      <c r="I1839" s="27" t="inlineStr">
        <is>
          <t>PV</t>
        </is>
      </c>
      <c r="J1839" s="27" t="inlineStr">
        <is>
          <t>Importe</t>
        </is>
      </c>
      <c r="L1839" s="28" t="inlineStr">
        <is>
          <t>Cant</t>
        </is>
      </c>
      <c r="M1839" s="28" t="inlineStr">
        <is>
          <t>PV</t>
        </is>
      </c>
      <c r="N1839" s="28" t="inlineStr">
        <is>
          <t>Importe</t>
        </is>
      </c>
      <c r="R1839" s="29" t="inlineStr">
        <is>
          <t>Pagado total: 0 €</t>
        </is>
      </c>
    </row>
    <row r="1840">
      <c r="A1840" s="30" t="inlineStr">
        <is>
          <t>P1 Potencia</t>
        </is>
      </c>
      <c r="B1840" s="31" t="n">
        <v>5.75</v>
      </c>
      <c r="C1840" s="32">
        <f>$N$1837-$L$1837+1</f>
        <v/>
      </c>
      <c r="D1840" s="33" t="n">
        <v>3.68919</v>
      </c>
      <c r="E1840" s="34" t="n">
        <v>3.85</v>
      </c>
      <c r="F1840" s="35">
        <f>ROUND(B1840*E1840,2)</f>
        <v/>
      </c>
      <c r="H1840" s="36" t="n">
        <v>5.75</v>
      </c>
      <c r="I1840" s="37" t="n">
        <v>3.85</v>
      </c>
      <c r="J1840" s="38">
        <f>ROUND(H1840*I1840,2)</f>
        <v/>
      </c>
      <c r="L1840" s="65" t="n"/>
      <c r="M1840" s="65" t="n"/>
      <c r="N1840" s="65" t="n"/>
      <c r="R1840" s="42" t="inlineStr">
        <is>
          <t>DIF: 1 €   ·   Margen hist.: 100.0%</t>
        </is>
      </c>
    </row>
    <row r="1841">
      <c r="A1841" s="30" t="inlineStr">
        <is>
          <t>P2 Potencia</t>
        </is>
      </c>
      <c r="B1841" s="31" t="n">
        <v>5.75</v>
      </c>
      <c r="C1841" s="32">
        <f>$N$1837-$L$1837+1</f>
        <v/>
      </c>
      <c r="D1841" s="33" t="n">
        <v>1.31928</v>
      </c>
      <c r="E1841" s="34" t="n">
        <v>1.33</v>
      </c>
      <c r="F1841" s="35">
        <f>ROUND(B1841*E1841,2)</f>
        <v/>
      </c>
      <c r="H1841" s="36" t="n">
        <v>5.75</v>
      </c>
      <c r="I1841" s="37" t="n">
        <v>1.33</v>
      </c>
      <c r="J1841" s="38">
        <f>ROUND(H1841*I1841,2)</f>
        <v/>
      </c>
      <c r="L1841" s="65" t="n"/>
      <c r="M1841" s="65" t="n"/>
      <c r="N1841" s="65" t="n"/>
    </row>
    <row r="1842">
      <c r="A1842" s="30" t="inlineStr">
        <is>
          <t>P1 Energía</t>
        </is>
      </c>
      <c r="B1842" s="31">
        <f>IF($P$1842&lt;&gt;"",ROUND(AA1842*(($AB$1842/(1-$P$1842))-29.7850)/28.6520,2),IF('Resumen'!$D$3="OPTIMIZAR",AA1842,AA1842))</f>
        <v/>
      </c>
      <c r="C1842" s="44" t="n"/>
      <c r="D1842" s="33" t="n">
        <v>0.111171</v>
      </c>
      <c r="E1842" s="34" t="n">
        <v>0.13788</v>
      </c>
      <c r="F1842" s="35">
        <f>ROUND(B1842*E1842,2)</f>
        <v/>
      </c>
      <c r="H1842" s="36" t="n">
        <v>101.952</v>
      </c>
      <c r="I1842" s="37" t="n">
        <v>0.13788</v>
      </c>
      <c r="J1842" s="38">
        <f>ROUND(H1842*I1842,2)</f>
        <v/>
      </c>
      <c r="L1842" s="65" t="n"/>
      <c r="M1842" s="65" t="n"/>
      <c r="N1842" s="65" t="n"/>
      <c r="O1842" s="45" t="inlineStr">
        <is>
          <t>Margen objetivo (edita % aquí) ▶</t>
        </is>
      </c>
      <c r="P1842" s="5" t="n"/>
      <c r="AA1842" t="n">
        <v>57.892</v>
      </c>
      <c r="AB1842">
        <f>B1840*D1840+B1841*D1841+AA1842*D1842+AA1843*D1843+AA1844*D1844</f>
        <v/>
      </c>
    </row>
    <row r="1843">
      <c r="A1843" s="30" t="inlineStr">
        <is>
          <t>P2 Energía</t>
        </is>
      </c>
      <c r="B1843" s="31">
        <f>IF($P$1842&lt;&gt;"",ROUND(AA1843*(($AB$1842/(1-$P$1842))-29.7850)/28.6520,2),IF('Resumen'!$D$3="OPTIMIZAR",AA1843,AA1843))</f>
        <v/>
      </c>
      <c r="C1843" s="44" t="n"/>
      <c r="D1843" s="33" t="n">
        <v>0.111171</v>
      </c>
      <c r="E1843" s="34" t="n">
        <v>0.13788</v>
      </c>
      <c r="F1843" s="35">
        <f>ROUND(B1843*E1843,2)</f>
        <v/>
      </c>
      <c r="H1843" s="36" t="n">
        <v>87.66800000000001</v>
      </c>
      <c r="I1843" s="37" t="n">
        <v>0.13788</v>
      </c>
      <c r="J1843" s="38">
        <f>ROUND(H1843*I1843,2)</f>
        <v/>
      </c>
      <c r="L1843" s="65" t="n"/>
      <c r="M1843" s="65" t="n"/>
      <c r="N1843" s="65" t="n"/>
      <c r="O1843" s="46" t="inlineStr">
        <is>
          <t>Cant. P1/P2/P3 energía suben</t>
        </is>
      </c>
      <c r="R1843" s="43" t="inlineStr">
        <is>
          <t>Importe mensual cobrado (€) · 24 meses ▾</t>
        </is>
      </c>
      <c r="AA1843" t="n">
        <v>44.093</v>
      </c>
    </row>
    <row r="1844">
      <c r="A1844" s="30" t="inlineStr">
        <is>
          <t>P3 Energía</t>
        </is>
      </c>
      <c r="B1844" s="31">
        <f>IF($P$1842&lt;&gt;"",ROUND(AA1844*(($AB$1842/(1-$P$1842))-29.7850)/28.6520,2),IF('Resumen'!$D$3="OPTIMIZAR",AA1844,AA1844))</f>
        <v/>
      </c>
      <c r="C1844" s="44" t="n"/>
      <c r="D1844" s="33" t="n">
        <v>0.111171</v>
      </c>
      <c r="E1844" s="34" t="n">
        <v>0.13788</v>
      </c>
      <c r="F1844" s="35">
        <f>ROUND(B1844*E1844,2)</f>
        <v/>
      </c>
      <c r="H1844" s="36" t="n">
        <v>140.434</v>
      </c>
      <c r="I1844" s="37" t="n">
        <v>0.13788</v>
      </c>
      <c r="J1844" s="38">
        <f>ROUND(H1844*I1844,2)</f>
        <v/>
      </c>
      <c r="L1844" s="65" t="n"/>
      <c r="M1844" s="65" t="n"/>
      <c r="N1844" s="65" t="n"/>
      <c r="O1844" s="46" t="inlineStr">
        <is>
          <t>en proporción para ese margen</t>
        </is>
      </c>
      <c r="AA1844" t="n">
        <v>105.819</v>
      </c>
    </row>
    <row r="1845">
      <c r="A1845" s="30" t="inlineStr">
        <is>
          <t>Alquiler contador</t>
        </is>
      </c>
      <c r="B1845" s="31" t="n">
        <v>1</v>
      </c>
      <c r="C1845" s="32">
        <f>$N$1837-$L$1837+1</f>
        <v/>
      </c>
      <c r="D1845" s="33" t="n">
        <v>0.7989000000000001</v>
      </c>
      <c r="E1845" s="34" t="n">
        <v>3</v>
      </c>
      <c r="F1845" s="35">
        <f>ROUND(B1845*E1845,2)</f>
        <v/>
      </c>
      <c r="H1845" s="36" t="n">
        <v>1</v>
      </c>
      <c r="I1845" s="37" t="n">
        <v>3</v>
      </c>
      <c r="J1845" s="38">
        <f>ROUND(H1845*I1845,2)</f>
        <v/>
      </c>
      <c r="L1845" s="65" t="n"/>
      <c r="M1845" s="65" t="n"/>
      <c r="N1845" s="65" t="n"/>
    </row>
    <row r="1846">
      <c r="A1846" s="30" t="inlineStr">
        <is>
          <t>Bono social</t>
        </is>
      </c>
      <c r="B1846" s="31" t="n">
        <v>30</v>
      </c>
      <c r="C1846" s="32">
        <f>$N$1837-$L$1837+1</f>
        <v/>
      </c>
      <c r="D1846" s="33" t="n">
        <v>0.5736</v>
      </c>
      <c r="E1846" s="34" t="n">
        <v>0.01274</v>
      </c>
      <c r="F1846" s="35">
        <f>ROUND(B1846*E1846,2)</f>
        <v/>
      </c>
      <c r="H1846" s="36" t="n">
        <v>30</v>
      </c>
      <c r="I1846" s="37" t="n">
        <v>0.01274</v>
      </c>
      <c r="J1846" s="38">
        <f>ROUND(H1846*I1846,2)</f>
        <v/>
      </c>
      <c r="L1846" s="65" t="n"/>
      <c r="M1846" s="65" t="n"/>
      <c r="N1846" s="65" t="n"/>
    </row>
    <row r="1847">
      <c r="A1847" s="30" t="inlineStr">
        <is>
          <t>Tasa eléctrica</t>
        </is>
      </c>
      <c r="B1847" s="31" t="n">
        <v>3</v>
      </c>
      <c r="C1847" s="44" t="n"/>
      <c r="D1847" s="33" t="n">
        <v>0.27312</v>
      </c>
      <c r="E1847" s="34" t="n">
        <v>1</v>
      </c>
      <c r="F1847" s="35">
        <f>ROUND(B1847*E1847,2)</f>
        <v/>
      </c>
      <c r="H1847" s="36" t="n">
        <v>3.86</v>
      </c>
      <c r="I1847" s="37" t="n">
        <v>1</v>
      </c>
      <c r="J1847" s="38">
        <f>ROUND(H1847*I1847,2)</f>
        <v/>
      </c>
      <c r="L1847" s="65" t="n"/>
      <c r="M1847" s="65" t="n"/>
      <c r="N1847" s="65" t="n"/>
    </row>
    <row r="1848">
      <c r="A1848" s="47" t="inlineStr">
        <is>
          <t>TOTAL c/IVA</t>
        </is>
      </c>
      <c r="F1848" s="48">
        <f>ROUND((SUM(F1840:F1847)-F1847)*1.1+F1847,2)</f>
        <v/>
      </c>
      <c r="J1848" s="49">
        <f>ROUND(SUM(J1840:J1847),2)</f>
        <v/>
      </c>
      <c r="N1848" s="66" t="n"/>
    </row>
    <row r="1849">
      <c r="A1849" s="19" t="inlineStr">
        <is>
          <t>MARGEN sin registrar</t>
        </is>
      </c>
      <c r="B1849" s="51">
        <f>IF((F1843+F1840+F1842+F1844+F1841)=0,"",((F1843+F1840+F1842+F1844+F1841)-$AB$1842)/(F1843+F1840+F1842+F1844+F1841))</f>
        <v/>
      </c>
      <c r="D1849" s="52">
        <f>IF(B1849="","SIN PC",IF(B1849&gt;=0.3,"APROBAR",IF(B1849&gt;=0.2,"REVISAR","RECHAZAR")))</f>
        <v/>
      </c>
      <c r="E1849" s="53" t="n"/>
      <c r="F1849" s="54" t="n"/>
      <c r="AD1849">
        <f>SUM(F1842:F1844)-28.6520</f>
        <v/>
      </c>
    </row>
    <row r="1851">
      <c r="A1851" s="15" t="inlineStr">
        <is>
          <t>Factura 8711 · C03260 · MICHAL CUKAN</t>
        </is>
      </c>
      <c r="H1851" s="15" t="inlineStr">
        <is>
          <t>ES0021000042994597FG · Naturgy</t>
        </is>
      </c>
      <c r="L1851" s="16" t="n">
        <v>46113</v>
      </c>
      <c r="M1851" s="17" t="inlineStr">
        <is>
          <t>a</t>
        </is>
      </c>
      <c r="N1851" s="16" t="n">
        <v>46142</v>
      </c>
      <c r="R1851" s="18" t="inlineStr">
        <is>
          <t>HISTÓRICO DEL CUPS · HOJA TTVA LUZ</t>
        </is>
      </c>
    </row>
    <row r="1852">
      <c r="A1852" s="19" t="inlineStr">
        <is>
          <t>Concepto</t>
        </is>
      </c>
      <c r="B1852" s="20" t="inlineStr">
        <is>
          <t>PENDIENTE (sin registrar)</t>
        </is>
      </c>
      <c r="C1852" s="21" t="n"/>
      <c r="D1852" s="21" t="n"/>
      <c r="E1852" s="21" t="n"/>
      <c r="F1852" s="21" t="n"/>
      <c r="H1852" s="22" t="inlineStr">
        <is>
          <t>MES ANTERIOR · Fact.6332</t>
        </is>
      </c>
      <c r="I1852" s="23" t="n"/>
      <c r="J1852" s="23" t="n"/>
      <c r="L1852" s="24" t="inlineStr">
        <is>
          <t>AÑO ANTERIOR · (sin dato)</t>
        </is>
      </c>
      <c r="M1852" s="25" t="n"/>
      <c r="N1852" s="25" t="n"/>
      <c r="R1852" s="26" t="inlineStr">
        <is>
          <t>Cobrado total: 1 €</t>
        </is>
      </c>
    </row>
    <row r="1853">
      <c r="B1853" s="7" t="inlineStr">
        <is>
          <t>Cant</t>
        </is>
      </c>
      <c r="C1853" s="7" t="inlineStr">
        <is>
          <t>Días</t>
        </is>
      </c>
      <c r="D1853" s="7" t="inlineStr">
        <is>
          <t>PC real</t>
        </is>
      </c>
      <c r="E1853" s="7" t="inlineStr">
        <is>
          <t>PV</t>
        </is>
      </c>
      <c r="F1853" s="7" t="inlineStr">
        <is>
          <t>Importe</t>
        </is>
      </c>
      <c r="H1853" s="27" t="inlineStr">
        <is>
          <t>Cant</t>
        </is>
      </c>
      <c r="I1853" s="27" t="inlineStr">
        <is>
          <t>PV</t>
        </is>
      </c>
      <c r="J1853" s="27" t="inlineStr">
        <is>
          <t>Importe</t>
        </is>
      </c>
      <c r="L1853" s="28" t="inlineStr">
        <is>
          <t>Cant</t>
        </is>
      </c>
      <c r="M1853" s="28" t="inlineStr">
        <is>
          <t>PV</t>
        </is>
      </c>
      <c r="N1853" s="28" t="inlineStr">
        <is>
          <t>Importe</t>
        </is>
      </c>
      <c r="R1853" s="29" t="inlineStr">
        <is>
          <t>Pagado total: 0 €</t>
        </is>
      </c>
    </row>
    <row r="1854">
      <c r="A1854" s="30" t="inlineStr">
        <is>
          <t>P1 Potencia</t>
        </is>
      </c>
      <c r="B1854" s="31" t="n">
        <v>5.5</v>
      </c>
      <c r="C1854" s="32">
        <f>$N$1851-$L$1851+1</f>
        <v/>
      </c>
      <c r="D1854" s="33" t="n">
        <v>3.68919</v>
      </c>
      <c r="E1854" s="34" t="n">
        <v>3.85</v>
      </c>
      <c r="F1854" s="35">
        <f>ROUND(B1854*E1854,2)</f>
        <v/>
      </c>
      <c r="H1854" s="36" t="n">
        <v>5.5</v>
      </c>
      <c r="I1854" s="37" t="n">
        <v>3.85</v>
      </c>
      <c r="J1854" s="38">
        <f>ROUND(H1854*I1854,2)</f>
        <v/>
      </c>
      <c r="L1854" s="65" t="n"/>
      <c r="M1854" s="65" t="n"/>
      <c r="N1854" s="65" t="n"/>
      <c r="R1854" s="42" t="inlineStr">
        <is>
          <t>DIF: 1 €   ·   Margen hist.: 100.0%</t>
        </is>
      </c>
    </row>
    <row r="1855">
      <c r="A1855" s="30" t="inlineStr">
        <is>
          <t>P2 Potencia</t>
        </is>
      </c>
      <c r="B1855" s="31" t="n">
        <v>5.5</v>
      </c>
      <c r="C1855" s="32">
        <f>$N$1851-$L$1851+1</f>
        <v/>
      </c>
      <c r="D1855" s="33" t="n">
        <v>1.31928</v>
      </c>
      <c r="E1855" s="34" t="n">
        <v>1.33</v>
      </c>
      <c r="F1855" s="35">
        <f>ROUND(B1855*E1855,2)</f>
        <v/>
      </c>
      <c r="H1855" s="36" t="n">
        <v>5.5</v>
      </c>
      <c r="I1855" s="37" t="n">
        <v>1.33</v>
      </c>
      <c r="J1855" s="38">
        <f>ROUND(H1855*I1855,2)</f>
        <v/>
      </c>
      <c r="L1855" s="65" t="n"/>
      <c r="M1855" s="65" t="n"/>
      <c r="N1855" s="65" t="n"/>
    </row>
    <row r="1856">
      <c r="A1856" s="30" t="inlineStr">
        <is>
          <t>P1 Energía</t>
        </is>
      </c>
      <c r="B1856" s="31">
        <f>IF($P$1856&lt;&gt;"",ROUND(AA1856*(($AB$1856/(1-$P$1856))-28.4900)/19.4386,2),IF('Resumen'!$D$3="OPTIMIZAR",AA1856,AA1856))</f>
        <v/>
      </c>
      <c r="C1856" s="44" t="n"/>
      <c r="D1856" s="33" t="n">
        <v>0.111171</v>
      </c>
      <c r="E1856" s="34" t="n">
        <v>0.13788</v>
      </c>
      <c r="F1856" s="35">
        <f>ROUND(B1856*E1856,2)</f>
        <v/>
      </c>
      <c r="H1856" s="36" t="n">
        <v>28.824</v>
      </c>
      <c r="I1856" s="37" t="n">
        <v>0.13788</v>
      </c>
      <c r="J1856" s="38">
        <f>ROUND(H1856*I1856,2)</f>
        <v/>
      </c>
      <c r="L1856" s="65" t="n"/>
      <c r="M1856" s="65" t="n"/>
      <c r="N1856" s="65" t="n"/>
      <c r="O1856" s="45" t="inlineStr">
        <is>
          <t>Margen objetivo (edita % aquí) ▶</t>
        </is>
      </c>
      <c r="P1856" s="5" t="n"/>
      <c r="AA1856" t="n">
        <v>20.389</v>
      </c>
      <c r="AB1856">
        <f>B1854*D1854+B1855*D1855+AA1856*D1856+AA1857*D1857+AA1858*D1858</f>
        <v/>
      </c>
    </row>
    <row r="1857">
      <c r="A1857" s="30" t="inlineStr">
        <is>
          <t>P2 Energía</t>
        </is>
      </c>
      <c r="B1857" s="31">
        <f>IF($P$1856&lt;&gt;"",ROUND(AA1857*(($AB$1856/(1-$P$1856))-28.4900)/19.4386,2),IF('Resumen'!$D$3="OPTIMIZAR",AA1857,AA1857))</f>
        <v/>
      </c>
      <c r="C1857" s="44" t="n"/>
      <c r="D1857" s="33" t="n">
        <v>0.111171</v>
      </c>
      <c r="E1857" s="34" t="n">
        <v>0.13788</v>
      </c>
      <c r="F1857" s="35">
        <f>ROUND(B1857*E1857,2)</f>
        <v/>
      </c>
      <c r="H1857" s="36" t="n">
        <v>27.849</v>
      </c>
      <c r="I1857" s="37" t="n">
        <v>0.13788</v>
      </c>
      <c r="J1857" s="38">
        <f>ROUND(H1857*I1857,2)</f>
        <v/>
      </c>
      <c r="L1857" s="65" t="n"/>
      <c r="M1857" s="65" t="n"/>
      <c r="N1857" s="65" t="n"/>
      <c r="O1857" s="46" t="inlineStr">
        <is>
          <t>Cant. P1/P2/P3 energía suben</t>
        </is>
      </c>
      <c r="R1857" s="43" t="inlineStr">
        <is>
          <t>Importe mensual cobrado (€) · 24 meses ▾</t>
        </is>
      </c>
      <c r="AA1857" t="n">
        <v>20.816</v>
      </c>
    </row>
    <row r="1858">
      <c r="A1858" s="30" t="inlineStr">
        <is>
          <t>P3 Energía</t>
        </is>
      </c>
      <c r="B1858" s="31">
        <f>IF($P$1856&lt;&gt;"",ROUND(AA1858*(($AB$1856/(1-$P$1856))-28.4900)/19.4386,2),IF('Resumen'!$D$3="OPTIMIZAR",AA1858,AA1858))</f>
        <v/>
      </c>
      <c r="C1858" s="44" t="n"/>
      <c r="D1858" s="33" t="n">
        <v>0.111171</v>
      </c>
      <c r="E1858" s="34" t="n">
        <v>0.13788</v>
      </c>
      <c r="F1858" s="35">
        <f>ROUND(B1858*E1858,2)</f>
        <v/>
      </c>
      <c r="H1858" s="36" t="n">
        <v>76.40900000000001</v>
      </c>
      <c r="I1858" s="37" t="n">
        <v>0.13788</v>
      </c>
      <c r="J1858" s="38">
        <f>ROUND(H1858*I1858,2)</f>
        <v/>
      </c>
      <c r="L1858" s="65" t="n"/>
      <c r="M1858" s="65" t="n"/>
      <c r="N1858" s="65" t="n"/>
      <c r="O1858" s="46" t="inlineStr">
        <is>
          <t>en proporción para ese margen</t>
        </is>
      </c>
      <c r="AA1858" t="n">
        <v>99.777</v>
      </c>
    </row>
    <row r="1859">
      <c r="A1859" s="30" t="inlineStr">
        <is>
          <t>Alquiler contador</t>
        </is>
      </c>
      <c r="B1859" s="31" t="n">
        <v>1</v>
      </c>
      <c r="C1859" s="32">
        <f>$N$1851-$L$1851+1</f>
        <v/>
      </c>
      <c r="D1859" s="33" t="n">
        <v>0.7989000000000001</v>
      </c>
      <c r="E1859" s="34" t="n">
        <v>3</v>
      </c>
      <c r="F1859" s="35">
        <f>ROUND(B1859*E1859,2)</f>
        <v/>
      </c>
      <c r="H1859" s="36" t="n">
        <v>1</v>
      </c>
      <c r="I1859" s="37" t="n">
        <v>3</v>
      </c>
      <c r="J1859" s="38">
        <f>ROUND(H1859*I1859,2)</f>
        <v/>
      </c>
      <c r="L1859" s="65" t="n"/>
      <c r="M1859" s="65" t="n"/>
      <c r="N1859" s="65" t="n"/>
    </row>
    <row r="1860">
      <c r="A1860" s="30" t="inlineStr">
        <is>
          <t>Bono social</t>
        </is>
      </c>
      <c r="B1860" s="31" t="n">
        <v>30</v>
      </c>
      <c r="C1860" s="32">
        <f>$N$1851-$L$1851+1</f>
        <v/>
      </c>
      <c r="D1860" s="33" t="n">
        <v>0.5736</v>
      </c>
      <c r="E1860" s="34" t="n">
        <v>0.01274</v>
      </c>
      <c r="F1860" s="35">
        <f>ROUND(B1860*E1860,2)</f>
        <v/>
      </c>
      <c r="H1860" s="36" t="n">
        <v>30</v>
      </c>
      <c r="I1860" s="37" t="n">
        <v>0.01274</v>
      </c>
      <c r="J1860" s="38">
        <f>ROUND(H1860*I1860,2)</f>
        <v/>
      </c>
      <c r="L1860" s="65" t="n"/>
      <c r="M1860" s="65" t="n"/>
      <c r="N1860" s="65" t="n"/>
    </row>
    <row r="1861">
      <c r="A1861" s="30" t="inlineStr">
        <is>
          <t>Tasa eléctrica</t>
        </is>
      </c>
      <c r="B1861" s="31" t="n">
        <v>2.46</v>
      </c>
      <c r="C1861" s="44" t="n"/>
      <c r="D1861" s="33" t="n">
        <v>0.02671</v>
      </c>
      <c r="E1861" s="34" t="n">
        <v>1</v>
      </c>
      <c r="F1861" s="35">
        <f>ROUND(B1861*E1861,2)</f>
        <v/>
      </c>
      <c r="H1861" s="36" t="n">
        <v>2.4</v>
      </c>
      <c r="I1861" s="37" t="n">
        <v>1</v>
      </c>
      <c r="J1861" s="38">
        <f>ROUND(H1861*I1861,2)</f>
        <v/>
      </c>
      <c r="L1861" s="65" t="n"/>
      <c r="M1861" s="65" t="n"/>
      <c r="N1861" s="65" t="n"/>
    </row>
    <row r="1862">
      <c r="A1862" s="47" t="inlineStr">
        <is>
          <t>TOTAL c/IVA</t>
        </is>
      </c>
      <c r="F1862" s="48">
        <f>ROUND((SUM(F1854:F1861)-F1861)*1.1+F1861,2)</f>
        <v/>
      </c>
      <c r="J1862" s="49">
        <f>ROUND(SUM(J1854:J1861),2)</f>
        <v/>
      </c>
      <c r="N1862" s="66" t="n"/>
    </row>
    <row r="1863">
      <c r="A1863" s="19" t="inlineStr">
        <is>
          <t>MARGEN sin registrar</t>
        </is>
      </c>
      <c r="B1863" s="51">
        <f>IF((F1857+F1854+F1856+F1858+F1855)=0,"",((F1857+F1854+F1856+F1858+F1855)-$AB$1856)/(F1857+F1854+F1856+F1858+F1855))</f>
        <v/>
      </c>
      <c r="D1863" s="52">
        <f>IF(B1863="","SIN PC",IF(B1863&gt;=0.3,"APROBAR",IF(B1863&gt;=0.2,"REVISAR","RECHAZAR")))</f>
        <v/>
      </c>
      <c r="E1863" s="53" t="n"/>
      <c r="F1863" s="54" t="n"/>
      <c r="AD1863">
        <f>SUM(F1856:F1858)-19.4386</f>
        <v/>
      </c>
    </row>
    <row r="1865">
      <c r="A1865" s="15" t="inlineStr">
        <is>
          <t>Factura 8712 · C03280 · SOPHIA ROSE WADLE</t>
        </is>
      </c>
      <c r="H1865" s="15" t="inlineStr">
        <is>
          <t>ES0021000001212470RE · Naturgy</t>
        </is>
      </c>
      <c r="L1865" s="16" t="n">
        <v>46113</v>
      </c>
      <c r="M1865" s="17" t="inlineStr">
        <is>
          <t>a</t>
        </is>
      </c>
      <c r="N1865" s="16" t="n">
        <v>46142</v>
      </c>
      <c r="R1865" s="18" t="inlineStr">
        <is>
          <t>HISTÓRICO DEL CUPS · HOJA TTVA LUZ</t>
        </is>
      </c>
    </row>
    <row r="1866">
      <c r="A1866" s="19" t="inlineStr">
        <is>
          <t>Concepto</t>
        </is>
      </c>
      <c r="B1866" s="20" t="inlineStr">
        <is>
          <t>PENDIENTE (sin registrar)</t>
        </is>
      </c>
      <c r="C1866" s="21" t="n"/>
      <c r="D1866" s="21" t="n"/>
      <c r="E1866" s="21" t="n"/>
      <c r="F1866" s="21" t="n"/>
      <c r="H1866" s="22" t="inlineStr">
        <is>
          <t>MES ANTERIOR · Fact.6331</t>
        </is>
      </c>
      <c r="I1866" s="23" t="n"/>
      <c r="J1866" s="23" t="n"/>
      <c r="L1866" s="24" t="inlineStr">
        <is>
          <t>AÑO ANTERIOR · (sin dato)</t>
        </is>
      </c>
      <c r="M1866" s="25" t="n"/>
      <c r="N1866" s="25" t="n"/>
      <c r="R1866" s="26" t="inlineStr">
        <is>
          <t>Cobrado total: 1 €</t>
        </is>
      </c>
    </row>
    <row r="1867">
      <c r="B1867" s="7" t="inlineStr">
        <is>
          <t>Cant</t>
        </is>
      </c>
      <c r="C1867" s="7" t="inlineStr">
        <is>
          <t>Días</t>
        </is>
      </c>
      <c r="D1867" s="7" t="inlineStr">
        <is>
          <t>PC real</t>
        </is>
      </c>
      <c r="E1867" s="7" t="inlineStr">
        <is>
          <t>PV</t>
        </is>
      </c>
      <c r="F1867" s="7" t="inlineStr">
        <is>
          <t>Importe</t>
        </is>
      </c>
      <c r="H1867" s="27" t="inlineStr">
        <is>
          <t>Cant</t>
        </is>
      </c>
      <c r="I1867" s="27" t="inlineStr">
        <is>
          <t>PV</t>
        </is>
      </c>
      <c r="J1867" s="27" t="inlineStr">
        <is>
          <t>Importe</t>
        </is>
      </c>
      <c r="L1867" s="28" t="inlineStr">
        <is>
          <t>Cant</t>
        </is>
      </c>
      <c r="M1867" s="28" t="inlineStr">
        <is>
          <t>PV</t>
        </is>
      </c>
      <c r="N1867" s="28" t="inlineStr">
        <is>
          <t>Importe</t>
        </is>
      </c>
      <c r="R1867" s="29" t="inlineStr">
        <is>
          <t>Pagado total: 0 €</t>
        </is>
      </c>
    </row>
    <row r="1868">
      <c r="A1868" s="30" t="inlineStr">
        <is>
          <t>P1 Potencia</t>
        </is>
      </c>
      <c r="B1868" s="31" t="n">
        <v>5.75</v>
      </c>
      <c r="C1868" s="32">
        <f>$N$1865-$L$1865+1</f>
        <v/>
      </c>
      <c r="D1868" s="33" t="n">
        <v>3.68919</v>
      </c>
      <c r="E1868" s="34" t="n">
        <v>3.85</v>
      </c>
      <c r="F1868" s="35">
        <f>ROUND(B1868*E1868,2)</f>
        <v/>
      </c>
      <c r="H1868" s="36" t="n">
        <v>5.75</v>
      </c>
      <c r="I1868" s="37" t="n">
        <v>3.85</v>
      </c>
      <c r="J1868" s="38">
        <f>ROUND(H1868*I1868,2)</f>
        <v/>
      </c>
      <c r="L1868" s="65" t="n"/>
      <c r="M1868" s="65" t="n"/>
      <c r="N1868" s="65" t="n"/>
      <c r="R1868" s="42" t="inlineStr">
        <is>
          <t>DIF: 1 €   ·   Margen hist.: 100.0%</t>
        </is>
      </c>
    </row>
    <row r="1869">
      <c r="A1869" s="30" t="inlineStr">
        <is>
          <t>P2 Potencia</t>
        </is>
      </c>
      <c r="B1869" s="31" t="n">
        <v>5.75</v>
      </c>
      <c r="C1869" s="32">
        <f>$N$1865-$L$1865+1</f>
        <v/>
      </c>
      <c r="D1869" s="33" t="n">
        <v>1.31928</v>
      </c>
      <c r="E1869" s="34" t="n">
        <v>1.33</v>
      </c>
      <c r="F1869" s="35">
        <f>ROUND(B1869*E1869,2)</f>
        <v/>
      </c>
      <c r="H1869" s="36" t="n">
        <v>5.75</v>
      </c>
      <c r="I1869" s="37" t="n">
        <v>1.33</v>
      </c>
      <c r="J1869" s="38">
        <f>ROUND(H1869*I1869,2)</f>
        <v/>
      </c>
      <c r="L1869" s="65" t="n"/>
      <c r="M1869" s="65" t="n"/>
      <c r="N1869" s="65" t="n"/>
    </row>
    <row r="1870">
      <c r="A1870" s="30" t="inlineStr">
        <is>
          <t>P1 Energía</t>
        </is>
      </c>
      <c r="B1870" s="31">
        <f>IF($P$1870&lt;&gt;"",ROUND(AA1870*(($AB$1870/(1-$P$1870))-29.7850)/44.2039,2),IF('Resumen'!$D$3="OPTIMIZAR",AA1870,AA1870))</f>
        <v/>
      </c>
      <c r="C1870" s="44" t="n"/>
      <c r="D1870" s="33" t="n">
        <v>0.111171</v>
      </c>
      <c r="E1870" s="34" t="n">
        <v>0.13788</v>
      </c>
      <c r="F1870" s="35">
        <f>ROUND(B1870*E1870,2)</f>
        <v/>
      </c>
      <c r="H1870" s="36" t="n">
        <v>125.295</v>
      </c>
      <c r="I1870" s="37" t="n">
        <v>0.13788</v>
      </c>
      <c r="J1870" s="38">
        <f>ROUND(H1870*I1870,2)</f>
        <v/>
      </c>
      <c r="L1870" s="65" t="n"/>
      <c r="M1870" s="65" t="n"/>
      <c r="N1870" s="65" t="n"/>
      <c r="O1870" s="45" t="inlineStr">
        <is>
          <t>Margen objetivo (edita % aquí) ▶</t>
        </is>
      </c>
      <c r="P1870" s="5" t="n"/>
      <c r="AA1870" t="n">
        <v>107.851</v>
      </c>
      <c r="AB1870">
        <f>B1868*D1868+B1869*D1869+AA1870*D1870+AA1871*D1871+AA1872*D1872</f>
        <v/>
      </c>
    </row>
    <row r="1871">
      <c r="A1871" s="30" t="inlineStr">
        <is>
          <t>P2 Energía</t>
        </is>
      </c>
      <c r="B1871" s="31">
        <f>IF($P$1870&lt;&gt;"",ROUND(AA1871*(($AB$1870/(1-$P$1870))-29.7850)/44.2039,2),IF('Resumen'!$D$3="OPTIMIZAR",AA1871,AA1871))</f>
        <v/>
      </c>
      <c r="C1871" s="44" t="n"/>
      <c r="D1871" s="33" t="n">
        <v>0.111171</v>
      </c>
      <c r="E1871" s="34" t="n">
        <v>0.13788</v>
      </c>
      <c r="F1871" s="35">
        <f>ROUND(B1871*E1871,2)</f>
        <v/>
      </c>
      <c r="H1871" s="36" t="n">
        <v>101.296</v>
      </c>
      <c r="I1871" s="37" t="n">
        <v>0.13788</v>
      </c>
      <c r="J1871" s="38">
        <f>ROUND(H1871*I1871,2)</f>
        <v/>
      </c>
      <c r="L1871" s="65" t="n"/>
      <c r="M1871" s="65" t="n"/>
      <c r="N1871" s="65" t="n"/>
      <c r="O1871" s="46" t="inlineStr">
        <is>
          <t>Cant. P1/P2/P3 energía suben</t>
        </is>
      </c>
      <c r="R1871" s="43" t="inlineStr">
        <is>
          <t>Importe mensual cobrado (€) · 24 meses ▾</t>
        </is>
      </c>
      <c r="AA1871" t="n">
        <v>93.012</v>
      </c>
    </row>
    <row r="1872">
      <c r="A1872" s="30" t="inlineStr">
        <is>
          <t>P3 Energía</t>
        </is>
      </c>
      <c r="B1872" s="31">
        <f>IF($P$1870&lt;&gt;"",ROUND(AA1872*(($AB$1870/(1-$P$1870))-29.7850)/44.2039,2),IF('Resumen'!$D$3="OPTIMIZAR",AA1872,AA1872))</f>
        <v/>
      </c>
      <c r="C1872" s="44" t="n"/>
      <c r="D1872" s="33" t="n">
        <v>0.111171</v>
      </c>
      <c r="E1872" s="34" t="n">
        <v>0.13788</v>
      </c>
      <c r="F1872" s="35">
        <f>ROUND(B1872*E1872,2)</f>
        <v/>
      </c>
      <c r="H1872" s="36" t="n">
        <v>134.461</v>
      </c>
      <c r="I1872" s="37" t="n">
        <v>0.13788</v>
      </c>
      <c r="J1872" s="38">
        <f>ROUND(H1872*I1872,2)</f>
        <v/>
      </c>
      <c r="L1872" s="65" t="n"/>
      <c r="M1872" s="65" t="n"/>
      <c r="N1872" s="65" t="n"/>
      <c r="O1872" s="46" t="inlineStr">
        <is>
          <t>en proporción para ese margen</t>
        </is>
      </c>
      <c r="AA1872" t="n">
        <v>119.734</v>
      </c>
    </row>
    <row r="1873">
      <c r="A1873" s="30" t="inlineStr">
        <is>
          <t>Alquiler contador</t>
        </is>
      </c>
      <c r="B1873" s="31" t="n">
        <v>1</v>
      </c>
      <c r="C1873" s="32">
        <f>$N$1865-$L$1865+1</f>
        <v/>
      </c>
      <c r="D1873" s="33" t="n">
        <v>0.7989000000000001</v>
      </c>
      <c r="E1873" s="34" t="n">
        <v>3</v>
      </c>
      <c r="F1873" s="35">
        <f>ROUND(B1873*E1873,2)</f>
        <v/>
      </c>
      <c r="H1873" s="36" t="n">
        <v>1</v>
      </c>
      <c r="I1873" s="37" t="n">
        <v>3</v>
      </c>
      <c r="J1873" s="38">
        <f>ROUND(H1873*I1873,2)</f>
        <v/>
      </c>
      <c r="L1873" s="65" t="n"/>
      <c r="M1873" s="65" t="n"/>
      <c r="N1873" s="65" t="n"/>
    </row>
    <row r="1874">
      <c r="A1874" s="30" t="inlineStr">
        <is>
          <t>Bono social</t>
        </is>
      </c>
      <c r="B1874" s="31" t="n">
        <v>30</v>
      </c>
      <c r="C1874" s="32">
        <f>$N$1865-$L$1865+1</f>
        <v/>
      </c>
      <c r="D1874" s="33" t="n">
        <v>0.5736</v>
      </c>
      <c r="E1874" s="34" t="n">
        <v>0.01274</v>
      </c>
      <c r="F1874" s="35">
        <f>ROUND(B1874*E1874,2)</f>
        <v/>
      </c>
      <c r="H1874" s="36" t="n">
        <v>30</v>
      </c>
      <c r="I1874" s="37" t="n">
        <v>0.01274</v>
      </c>
      <c r="J1874" s="38">
        <f>ROUND(H1874*I1874,2)</f>
        <v/>
      </c>
      <c r="L1874" s="65" t="n"/>
      <c r="M1874" s="65" t="n"/>
      <c r="N1874" s="65" t="n"/>
    </row>
    <row r="1875">
      <c r="A1875" s="30" t="inlineStr">
        <is>
          <t>Tasa eléctrica</t>
        </is>
      </c>
      <c r="B1875" s="31" t="n">
        <v>3.79</v>
      </c>
      <c r="C1875" s="44" t="n"/>
      <c r="D1875" s="33" t="n">
        <v>0.02671</v>
      </c>
      <c r="E1875" s="34" t="n">
        <v>1</v>
      </c>
      <c r="F1875" s="35">
        <f>ROUND(B1875*E1875,2)</f>
        <v/>
      </c>
      <c r="H1875" s="36" t="n">
        <v>4.08</v>
      </c>
      <c r="I1875" s="37" t="n">
        <v>1</v>
      </c>
      <c r="J1875" s="38">
        <f>ROUND(H1875*I1875,2)</f>
        <v/>
      </c>
      <c r="L1875" s="65" t="n"/>
      <c r="M1875" s="65" t="n"/>
      <c r="N1875" s="65" t="n"/>
    </row>
    <row r="1876">
      <c r="A1876" s="47" t="inlineStr">
        <is>
          <t>TOTAL c/IVA</t>
        </is>
      </c>
      <c r="F1876" s="48">
        <f>ROUND((SUM(F1868:F1875)-F1875)*1.1+F1875,2)</f>
        <v/>
      </c>
      <c r="J1876" s="49">
        <f>ROUND(SUM(J1868:J1875),2)</f>
        <v/>
      </c>
      <c r="N1876" s="66" t="n"/>
    </row>
    <row r="1877">
      <c r="A1877" s="19" t="inlineStr">
        <is>
          <t>MARGEN sin registrar</t>
        </is>
      </c>
      <c r="B1877" s="51">
        <f>IF((F1871+F1868+F1870+F1872+F1869)=0,"",((F1871+F1868+F1870+F1872+F1869)-$AB$1870)/(F1871+F1868+F1870+F1872+F1869))</f>
        <v/>
      </c>
      <c r="D1877" s="52">
        <f>IF(B1877="","SIN PC",IF(B1877&gt;=0.3,"APROBAR",IF(B1877&gt;=0.2,"REVISAR","RECHAZAR")))</f>
        <v/>
      </c>
      <c r="E1877" s="53" t="n"/>
      <c r="F1877" s="54" t="n"/>
      <c r="AD1877">
        <f>SUM(F1870:F1872)-44.2039</f>
        <v/>
      </c>
    </row>
    <row r="1879">
      <c r="A1879" s="15" t="inlineStr">
        <is>
          <t>Factura 8714 · C03300 · COMPASS IBERICA 2007 SL</t>
        </is>
      </c>
      <c r="H1879" s="15" t="inlineStr">
        <is>
          <t>ES0021000001211776VH · Naturgy</t>
        </is>
      </c>
      <c r="L1879" s="16" t="n">
        <v>46113</v>
      </c>
      <c r="M1879" s="17" t="inlineStr">
        <is>
          <t>a</t>
        </is>
      </c>
      <c r="N1879" s="16" t="n">
        <v>46142</v>
      </c>
      <c r="R1879" s="18" t="inlineStr">
        <is>
          <t>HISTÓRICO DEL CUPS · HOJA TTVA LUZ</t>
        </is>
      </c>
    </row>
    <row r="1880">
      <c r="A1880" s="19" t="inlineStr">
        <is>
          <t>Concepto</t>
        </is>
      </c>
      <c r="B1880" s="20" t="inlineStr">
        <is>
          <t>PENDIENTE (sin registrar)</t>
        </is>
      </c>
      <c r="C1880" s="21" t="n"/>
      <c r="D1880" s="21" t="n"/>
      <c r="E1880" s="21" t="n"/>
      <c r="F1880" s="21" t="n"/>
      <c r="H1880" s="22" t="inlineStr">
        <is>
          <t>MES ANTERIOR · Fact.6329</t>
        </is>
      </c>
      <c r="I1880" s="23" t="n"/>
      <c r="J1880" s="23" t="n"/>
      <c r="L1880" s="24" t="inlineStr">
        <is>
          <t>AÑO ANTERIOR · (sin dato)</t>
        </is>
      </c>
      <c r="M1880" s="25" t="n"/>
      <c r="N1880" s="25" t="n"/>
      <c r="R1880" s="26" t="inlineStr">
        <is>
          <t>Cobrado total: 1 €</t>
        </is>
      </c>
    </row>
    <row r="1881">
      <c r="B1881" s="7" t="inlineStr">
        <is>
          <t>Cant</t>
        </is>
      </c>
      <c r="C1881" s="7" t="inlineStr">
        <is>
          <t>Días</t>
        </is>
      </c>
      <c r="D1881" s="7" t="inlineStr">
        <is>
          <t>PC real</t>
        </is>
      </c>
      <c r="E1881" s="7" t="inlineStr">
        <is>
          <t>PV</t>
        </is>
      </c>
      <c r="F1881" s="7" t="inlineStr">
        <is>
          <t>Importe</t>
        </is>
      </c>
      <c r="H1881" s="27" t="inlineStr">
        <is>
          <t>Cant</t>
        </is>
      </c>
      <c r="I1881" s="27" t="inlineStr">
        <is>
          <t>PV</t>
        </is>
      </c>
      <c r="J1881" s="27" t="inlineStr">
        <is>
          <t>Importe</t>
        </is>
      </c>
      <c r="L1881" s="28" t="inlineStr">
        <is>
          <t>Cant</t>
        </is>
      </c>
      <c r="M1881" s="28" t="inlineStr">
        <is>
          <t>PV</t>
        </is>
      </c>
      <c r="N1881" s="28" t="inlineStr">
        <is>
          <t>Importe</t>
        </is>
      </c>
      <c r="R1881" s="29" t="inlineStr">
        <is>
          <t>Pagado total: 0 €</t>
        </is>
      </c>
    </row>
    <row r="1882">
      <c r="A1882" s="30" t="inlineStr">
        <is>
          <t>P1 Potencia</t>
        </is>
      </c>
      <c r="B1882" s="31" t="n">
        <v>5.75</v>
      </c>
      <c r="C1882" s="32">
        <f>$N$1879-$L$1879+1</f>
        <v/>
      </c>
      <c r="D1882" s="33" t="n">
        <v>3.68919</v>
      </c>
      <c r="E1882" s="34" t="n">
        <v>3.85</v>
      </c>
      <c r="F1882" s="35">
        <f>ROUND(B1882*E1882,2)</f>
        <v/>
      </c>
      <c r="H1882" s="36" t="n">
        <v>5.75</v>
      </c>
      <c r="I1882" s="37" t="n">
        <v>3.85</v>
      </c>
      <c r="J1882" s="38">
        <f>ROUND(H1882*I1882,2)</f>
        <v/>
      </c>
      <c r="L1882" s="65" t="n"/>
      <c r="M1882" s="65" t="n"/>
      <c r="N1882" s="65" t="n"/>
      <c r="R1882" s="42" t="inlineStr">
        <is>
          <t>DIF: 1 €   ·   Margen hist.: 100.0%</t>
        </is>
      </c>
    </row>
    <row r="1883">
      <c r="A1883" s="30" t="inlineStr">
        <is>
          <t>P2 Potencia</t>
        </is>
      </c>
      <c r="B1883" s="31" t="n">
        <v>5.75</v>
      </c>
      <c r="C1883" s="32">
        <f>$N$1879-$L$1879+1</f>
        <v/>
      </c>
      <c r="D1883" s="33" t="n">
        <v>1.31928</v>
      </c>
      <c r="E1883" s="34" t="n">
        <v>1.33</v>
      </c>
      <c r="F1883" s="35">
        <f>ROUND(B1883*E1883,2)</f>
        <v/>
      </c>
      <c r="H1883" s="36" t="n">
        <v>5.75</v>
      </c>
      <c r="I1883" s="37" t="n">
        <v>1.33</v>
      </c>
      <c r="J1883" s="38">
        <f>ROUND(H1883*I1883,2)</f>
        <v/>
      </c>
      <c r="L1883" s="65" t="n"/>
      <c r="M1883" s="65" t="n"/>
      <c r="N1883" s="65" t="n"/>
    </row>
    <row r="1884">
      <c r="A1884" s="30" t="inlineStr">
        <is>
          <t>P1 Energía</t>
        </is>
      </c>
      <c r="B1884" s="31">
        <f>IF($P$1884&lt;&gt;"",ROUND(AA1884*(($AB$1884/(1-$P$1884))-29.7850)/32.1718,2),IF('Resumen'!$D$3="OPTIMIZAR",AA1884,AA1884))</f>
        <v/>
      </c>
      <c r="C1884" s="44" t="n"/>
      <c r="D1884" s="33" t="n">
        <v>0.111171</v>
      </c>
      <c r="E1884" s="34" t="n">
        <v>0.13788</v>
      </c>
      <c r="F1884" s="35">
        <f>ROUND(B1884*E1884,2)</f>
        <v/>
      </c>
      <c r="H1884" s="36" t="n">
        <v>73.501</v>
      </c>
      <c r="I1884" s="37" t="n">
        <v>0.13788</v>
      </c>
      <c r="J1884" s="38">
        <f>ROUND(H1884*I1884,2)</f>
        <v/>
      </c>
      <c r="L1884" s="65" t="n"/>
      <c r="M1884" s="65" t="n"/>
      <c r="N1884" s="65" t="n"/>
      <c r="O1884" s="45" t="inlineStr">
        <is>
          <t>Margen objetivo (edita % aquí) ▶</t>
        </is>
      </c>
      <c r="P1884" s="5" t="n"/>
      <c r="AA1884" t="n">
        <v>45.499</v>
      </c>
      <c r="AB1884">
        <f>B1882*D1882+B1883*D1883+AA1884*D1884+AA1885*D1885+AA1886*D1886</f>
        <v/>
      </c>
    </row>
    <row r="1885">
      <c r="A1885" s="30" t="inlineStr">
        <is>
          <t>P2 Energía</t>
        </is>
      </c>
      <c r="B1885" s="31">
        <f>IF($P$1884&lt;&gt;"",ROUND(AA1885*(($AB$1884/(1-$P$1884))-29.7850)/32.1718,2),IF('Resumen'!$D$3="OPTIMIZAR",AA1885,AA1885))</f>
        <v/>
      </c>
      <c r="C1885" s="44" t="n"/>
      <c r="D1885" s="33" t="n">
        <v>0.111171</v>
      </c>
      <c r="E1885" s="34" t="n">
        <v>0.13788</v>
      </c>
      <c r="F1885" s="35">
        <f>ROUND(B1885*E1885,2)</f>
        <v/>
      </c>
      <c r="H1885" s="36" t="n">
        <v>71.27</v>
      </c>
      <c r="I1885" s="37" t="n">
        <v>0.13788</v>
      </c>
      <c r="J1885" s="38">
        <f>ROUND(H1885*I1885,2)</f>
        <v/>
      </c>
      <c r="L1885" s="65" t="n"/>
      <c r="M1885" s="65" t="n"/>
      <c r="N1885" s="65" t="n"/>
      <c r="O1885" s="46" t="inlineStr">
        <is>
          <t>Cant. P1/P2/P3 energía suben</t>
        </is>
      </c>
      <c r="R1885" s="43" t="inlineStr">
        <is>
          <t>Importe mensual cobrado (€) · 24 meses ▾</t>
        </is>
      </c>
      <c r="AA1885" t="n">
        <v>46.535</v>
      </c>
    </row>
    <row r="1886">
      <c r="A1886" s="30" t="inlineStr">
        <is>
          <t>P3 Energía</t>
        </is>
      </c>
      <c r="B1886" s="31">
        <f>IF($P$1884&lt;&gt;"",ROUND(AA1886*(($AB$1884/(1-$P$1884))-29.7850)/32.1718,2),IF('Resumen'!$D$3="OPTIMIZAR",AA1886,AA1886))</f>
        <v/>
      </c>
      <c r="C1886" s="44" t="n"/>
      <c r="D1886" s="33" t="n">
        <v>0.111171</v>
      </c>
      <c r="E1886" s="34" t="n">
        <v>0.13788</v>
      </c>
      <c r="F1886" s="35">
        <f>ROUND(B1886*E1886,2)</f>
        <v/>
      </c>
      <c r="H1886" s="36" t="n">
        <v>107.316</v>
      </c>
      <c r="I1886" s="37" t="n">
        <v>0.13788</v>
      </c>
      <c r="J1886" s="38">
        <f>ROUND(H1886*I1886,2)</f>
        <v/>
      </c>
      <c r="L1886" s="65" t="n"/>
      <c r="M1886" s="65" t="n"/>
      <c r="N1886" s="65" t="n"/>
      <c r="O1886" s="46" t="inlineStr">
        <is>
          <t>en proporción para ese margen</t>
        </is>
      </c>
      <c r="AA1886" t="n">
        <v>141.298</v>
      </c>
    </row>
    <row r="1887">
      <c r="A1887" s="30" t="inlineStr">
        <is>
          <t>Alquiler contador</t>
        </is>
      </c>
      <c r="B1887" s="31" t="n">
        <v>1</v>
      </c>
      <c r="C1887" s="32">
        <f>$N$1879-$L$1879+1</f>
        <v/>
      </c>
      <c r="D1887" s="33" t="n">
        <v>0.7989000000000001</v>
      </c>
      <c r="E1887" s="34" t="n">
        <v>3</v>
      </c>
      <c r="F1887" s="35">
        <f>ROUND(B1887*E1887,2)</f>
        <v/>
      </c>
      <c r="H1887" s="36" t="n">
        <v>1</v>
      </c>
      <c r="I1887" s="37" t="n">
        <v>3</v>
      </c>
      <c r="J1887" s="38">
        <f>ROUND(H1887*I1887,2)</f>
        <v/>
      </c>
      <c r="L1887" s="65" t="n"/>
      <c r="M1887" s="65" t="n"/>
      <c r="N1887" s="65" t="n"/>
    </row>
    <row r="1888">
      <c r="A1888" s="30" t="inlineStr">
        <is>
          <t>Bono social</t>
        </is>
      </c>
      <c r="B1888" s="31" t="n">
        <v>30</v>
      </c>
      <c r="C1888" s="32">
        <f>$N$1879-$L$1879+1</f>
        <v/>
      </c>
      <c r="D1888" s="33" t="n">
        <v>0.5736</v>
      </c>
      <c r="E1888" s="34" t="n">
        <v>0.01274</v>
      </c>
      <c r="F1888" s="35">
        <f>ROUND(B1888*E1888,2)</f>
        <v/>
      </c>
      <c r="H1888" s="36" t="n">
        <v>30</v>
      </c>
      <c r="I1888" s="37" t="n">
        <v>0.01274</v>
      </c>
      <c r="J1888" s="38">
        <f>ROUND(H1888*I1888,2)</f>
        <v/>
      </c>
      <c r="L1888" s="65" t="n"/>
      <c r="M1888" s="65" t="n"/>
      <c r="N1888" s="65" t="n"/>
    </row>
    <row r="1889">
      <c r="A1889" s="30" t="inlineStr">
        <is>
          <t>Tasa eléctrica</t>
        </is>
      </c>
      <c r="B1889" s="31" t="n">
        <v>3.18</v>
      </c>
      <c r="C1889" s="44" t="n"/>
      <c r="D1889" s="33" t="n">
        <v>0.02671</v>
      </c>
      <c r="E1889" s="34" t="n">
        <v>1</v>
      </c>
      <c r="F1889" s="35">
        <f>ROUND(B1889*E1889,2)</f>
        <v/>
      </c>
      <c r="H1889" s="36" t="n">
        <v>3.31</v>
      </c>
      <c r="I1889" s="37" t="n">
        <v>1</v>
      </c>
      <c r="J1889" s="38">
        <f>ROUND(H1889*I1889,2)</f>
        <v/>
      </c>
      <c r="L1889" s="65" t="n"/>
      <c r="M1889" s="65" t="n"/>
      <c r="N1889" s="65" t="n"/>
    </row>
    <row r="1890">
      <c r="A1890" s="47" t="inlineStr">
        <is>
          <t>TOTAL c/IVA</t>
        </is>
      </c>
      <c r="F1890" s="48">
        <f>ROUND((SUM(F1882:F1889)-F1889)*1.1+F1889,2)</f>
        <v/>
      </c>
      <c r="J1890" s="49">
        <f>ROUND(SUM(J1882:J1889),2)</f>
        <v/>
      </c>
      <c r="N1890" s="66" t="n"/>
    </row>
    <row r="1891">
      <c r="A1891" s="19" t="inlineStr">
        <is>
          <t>MARGEN sin registrar</t>
        </is>
      </c>
      <c r="B1891" s="51">
        <f>IF((F1885+F1882+F1884+F1886+F1883)=0,"",((F1885+F1882+F1884+F1886+F1883)-$AB$1884)/(F1885+F1882+F1884+F1886+F1883))</f>
        <v/>
      </c>
      <c r="D1891" s="52">
        <f>IF(B1891="","SIN PC",IF(B1891&gt;=0.3,"APROBAR",IF(B1891&gt;=0.2,"REVISAR","RECHAZAR")))</f>
        <v/>
      </c>
      <c r="E1891" s="53" t="n"/>
      <c r="F1891" s="54" t="n"/>
      <c r="AD1891">
        <f>SUM(F1884:F1886)-32.1718</f>
        <v/>
      </c>
    </row>
    <row r="1893">
      <c r="A1893" s="15" t="inlineStr">
        <is>
          <t>Factura 8715 · C03310 · AMANDA APARICI MARTINEZ</t>
        </is>
      </c>
      <c r="H1893" s="15" t="inlineStr">
        <is>
          <t>ES0021000038540357GJ · Naturgy</t>
        </is>
      </c>
      <c r="L1893" s="16" t="n">
        <v>46113</v>
      </c>
      <c r="M1893" s="17" t="inlineStr">
        <is>
          <t>a</t>
        </is>
      </c>
      <c r="N1893" s="16" t="n">
        <v>46142</v>
      </c>
      <c r="R1893" s="18" t="inlineStr">
        <is>
          <t>HISTÓRICO DEL CUPS · HOJA TTVA LUZ</t>
        </is>
      </c>
    </row>
    <row r="1894">
      <c r="A1894" s="19" t="inlineStr">
        <is>
          <t>Concepto</t>
        </is>
      </c>
      <c r="B1894" s="20" t="inlineStr">
        <is>
          <t>PENDIENTE (sin registrar)</t>
        </is>
      </c>
      <c r="C1894" s="21" t="n"/>
      <c r="D1894" s="21" t="n"/>
      <c r="E1894" s="21" t="n"/>
      <c r="F1894" s="21" t="n"/>
      <c r="H1894" s="22" t="inlineStr">
        <is>
          <t>MES ANTERIOR · Fact.6328</t>
        </is>
      </c>
      <c r="I1894" s="23" t="n"/>
      <c r="J1894" s="23" t="n"/>
      <c r="L1894" s="24" t="inlineStr">
        <is>
          <t>AÑO ANTERIOR · (sin dato)</t>
        </is>
      </c>
      <c r="M1894" s="25" t="n"/>
      <c r="N1894" s="25" t="n"/>
      <c r="R1894" s="26" t="inlineStr">
        <is>
          <t>Cobrado total: 1 €</t>
        </is>
      </c>
    </row>
    <row r="1895">
      <c r="B1895" s="7" t="inlineStr">
        <is>
          <t>Cant</t>
        </is>
      </c>
      <c r="C1895" s="7" t="inlineStr">
        <is>
          <t>Días</t>
        </is>
      </c>
      <c r="D1895" s="7" t="inlineStr">
        <is>
          <t>PC real</t>
        </is>
      </c>
      <c r="E1895" s="7" t="inlineStr">
        <is>
          <t>PV</t>
        </is>
      </c>
      <c r="F1895" s="7" t="inlineStr">
        <is>
          <t>Importe</t>
        </is>
      </c>
      <c r="H1895" s="27" t="inlineStr">
        <is>
          <t>Cant</t>
        </is>
      </c>
      <c r="I1895" s="27" t="inlineStr">
        <is>
          <t>PV</t>
        </is>
      </c>
      <c r="J1895" s="27" t="inlineStr">
        <is>
          <t>Importe</t>
        </is>
      </c>
      <c r="L1895" s="28" t="inlineStr">
        <is>
          <t>Cant</t>
        </is>
      </c>
      <c r="M1895" s="28" t="inlineStr">
        <is>
          <t>PV</t>
        </is>
      </c>
      <c r="N1895" s="28" t="inlineStr">
        <is>
          <t>Importe</t>
        </is>
      </c>
      <c r="R1895" s="29" t="inlineStr">
        <is>
          <t>Pagado total: 0 €</t>
        </is>
      </c>
    </row>
    <row r="1896">
      <c r="A1896" s="30" t="inlineStr">
        <is>
          <t>P1 Potencia</t>
        </is>
      </c>
      <c r="B1896" s="31" t="n">
        <v>5.5</v>
      </c>
      <c r="C1896" s="32">
        <f>$N$1893-$L$1893+1</f>
        <v/>
      </c>
      <c r="D1896" s="33" t="n">
        <v>3.68919</v>
      </c>
      <c r="E1896" s="34" t="n">
        <v>3.85</v>
      </c>
      <c r="F1896" s="35">
        <f>ROUND(B1896*E1896,2)</f>
        <v/>
      </c>
      <c r="H1896" s="36" t="n">
        <v>5.5</v>
      </c>
      <c r="I1896" s="37" t="n">
        <v>3.85</v>
      </c>
      <c r="J1896" s="38">
        <f>ROUND(H1896*I1896,2)</f>
        <v/>
      </c>
      <c r="L1896" s="65" t="n"/>
      <c r="M1896" s="65" t="n"/>
      <c r="N1896" s="65" t="n"/>
      <c r="R1896" s="42" t="inlineStr">
        <is>
          <t>DIF: 1 €   ·   Margen hist.: 100.0%</t>
        </is>
      </c>
    </row>
    <row r="1897">
      <c r="A1897" s="30" t="inlineStr">
        <is>
          <t>P2 Potencia</t>
        </is>
      </c>
      <c r="B1897" s="31" t="n">
        <v>5.5</v>
      </c>
      <c r="C1897" s="32">
        <f>$N$1893-$L$1893+1</f>
        <v/>
      </c>
      <c r="D1897" s="33" t="n">
        <v>1.31928</v>
      </c>
      <c r="E1897" s="34" t="n">
        <v>1.33</v>
      </c>
      <c r="F1897" s="35">
        <f>ROUND(B1897*E1897,2)</f>
        <v/>
      </c>
      <c r="H1897" s="36" t="n">
        <v>5.5</v>
      </c>
      <c r="I1897" s="37" t="n">
        <v>1.33</v>
      </c>
      <c r="J1897" s="38">
        <f>ROUND(H1897*I1897,2)</f>
        <v/>
      </c>
      <c r="L1897" s="65" t="n"/>
      <c r="M1897" s="65" t="n"/>
      <c r="N1897" s="65" t="n"/>
    </row>
    <row r="1898">
      <c r="A1898" s="30" t="inlineStr">
        <is>
          <t>P1 Energía</t>
        </is>
      </c>
      <c r="B1898" s="31">
        <f>IF($P$1898&lt;&gt;"",ROUND(AA1898*(($AB$1898/(1-$P$1898))-28.4900)/13.6063,2),IF('Resumen'!$D$3="OPTIMIZAR",AA1898,AA1898))</f>
        <v/>
      </c>
      <c r="C1898" s="44" t="n"/>
      <c r="D1898" s="33" t="n">
        <v>0.111171</v>
      </c>
      <c r="E1898" s="34" t="n">
        <v>0.13788</v>
      </c>
      <c r="F1898" s="35">
        <f>ROUND(B1898*E1898,2)</f>
        <v/>
      </c>
      <c r="H1898" s="36" t="n">
        <v>51.171</v>
      </c>
      <c r="I1898" s="37" t="n">
        <v>0.13788</v>
      </c>
      <c r="J1898" s="38">
        <f>ROUND(H1898*I1898,2)</f>
        <v/>
      </c>
      <c r="L1898" s="65" t="n"/>
      <c r="M1898" s="65" t="n"/>
      <c r="N1898" s="65" t="n"/>
      <c r="O1898" s="45" t="inlineStr">
        <is>
          <t>Margen objetivo (edita % aquí) ▶</t>
        </is>
      </c>
      <c r="P1898" s="5" t="n"/>
      <c r="AA1898" t="n">
        <v>24.916</v>
      </c>
      <c r="AB1898">
        <f>B1896*D1896+B1897*D1897+AA1898*D1898+AA1899*D1899+AA1900*D1900</f>
        <v/>
      </c>
    </row>
    <row r="1899">
      <c r="A1899" s="30" t="inlineStr">
        <is>
          <t>P2 Energía</t>
        </is>
      </c>
      <c r="B1899" s="31">
        <f>IF($P$1898&lt;&gt;"",ROUND(AA1899*(($AB$1898/(1-$P$1898))-28.4900)/13.6063,2),IF('Resumen'!$D$3="OPTIMIZAR",AA1899,AA1899))</f>
        <v/>
      </c>
      <c r="C1899" s="44" t="n"/>
      <c r="D1899" s="33" t="n">
        <v>0.111171</v>
      </c>
      <c r="E1899" s="34" t="n">
        <v>0.13788</v>
      </c>
      <c r="F1899" s="35">
        <f>ROUND(B1899*E1899,2)</f>
        <v/>
      </c>
      <c r="H1899" s="36" t="n">
        <v>36.703</v>
      </c>
      <c r="I1899" s="37" t="n">
        <v>0.13788</v>
      </c>
      <c r="J1899" s="38">
        <f>ROUND(H1899*I1899,2)</f>
        <v/>
      </c>
      <c r="L1899" s="65" t="n"/>
      <c r="M1899" s="65" t="n"/>
      <c r="N1899" s="65" t="n"/>
      <c r="O1899" s="46" t="inlineStr">
        <is>
          <t>Cant. P1/P2/P3 energía suben</t>
        </is>
      </c>
      <c r="R1899" s="43" t="inlineStr">
        <is>
          <t>Importe mensual cobrado (€) · 24 meses ▾</t>
        </is>
      </c>
      <c r="AA1899" t="n">
        <v>18.143</v>
      </c>
    </row>
    <row r="1900">
      <c r="A1900" s="30" t="inlineStr">
        <is>
          <t>P3 Energía</t>
        </is>
      </c>
      <c r="B1900" s="31">
        <f>IF($P$1898&lt;&gt;"",ROUND(AA1900*(($AB$1898/(1-$P$1898))-28.4900)/13.6063,2),IF('Resumen'!$D$3="OPTIMIZAR",AA1900,AA1900))</f>
        <v/>
      </c>
      <c r="C1900" s="44" t="n"/>
      <c r="D1900" s="33" t="n">
        <v>0.111171</v>
      </c>
      <c r="E1900" s="34" t="n">
        <v>0.13788</v>
      </c>
      <c r="F1900" s="35">
        <f>ROUND(B1900*E1900,2)</f>
        <v/>
      </c>
      <c r="H1900" s="36" t="n">
        <v>76.274</v>
      </c>
      <c r="I1900" s="37" t="n">
        <v>0.13788</v>
      </c>
      <c r="J1900" s="38">
        <f>ROUND(H1900*I1900,2)</f>
        <v/>
      </c>
      <c r="L1900" s="65" t="n"/>
      <c r="M1900" s="65" t="n"/>
      <c r="N1900" s="65" t="n"/>
      <c r="O1900" s="46" t="inlineStr">
        <is>
          <t>en proporción para ese margen</t>
        </is>
      </c>
      <c r="AA1900" t="n">
        <v>55.623</v>
      </c>
    </row>
    <row r="1901">
      <c r="A1901" s="30" t="inlineStr">
        <is>
          <t>Alquiler contador</t>
        </is>
      </c>
      <c r="B1901" s="31" t="n">
        <v>1</v>
      </c>
      <c r="C1901" s="32">
        <f>$N$1893-$L$1893+1</f>
        <v/>
      </c>
      <c r="D1901" s="33" t="n">
        <v>0.7989000000000001</v>
      </c>
      <c r="E1901" s="34" t="n">
        <v>3</v>
      </c>
      <c r="F1901" s="35">
        <f>ROUND(B1901*E1901,2)</f>
        <v/>
      </c>
      <c r="H1901" s="36" t="n">
        <v>1</v>
      </c>
      <c r="I1901" s="37" t="n">
        <v>3</v>
      </c>
      <c r="J1901" s="38">
        <f>ROUND(H1901*I1901,2)</f>
        <v/>
      </c>
      <c r="L1901" s="65" t="n"/>
      <c r="M1901" s="65" t="n"/>
      <c r="N1901" s="65" t="n"/>
    </row>
    <row r="1902">
      <c r="A1902" s="30" t="inlineStr">
        <is>
          <t>Bono social</t>
        </is>
      </c>
      <c r="B1902" s="31" t="n">
        <v>30</v>
      </c>
      <c r="C1902" s="32">
        <f>$N$1893-$L$1893+1</f>
        <v/>
      </c>
      <c r="D1902" s="33" t="n">
        <v>0.5736</v>
      </c>
      <c r="E1902" s="34" t="n">
        <v>0.01274</v>
      </c>
      <c r="F1902" s="35">
        <f>ROUND(B1902*E1902,2)</f>
        <v/>
      </c>
      <c r="H1902" s="36" t="n">
        <v>30</v>
      </c>
      <c r="I1902" s="37" t="n">
        <v>0.01274</v>
      </c>
      <c r="J1902" s="38">
        <f>ROUND(H1902*I1902,2)</f>
        <v/>
      </c>
      <c r="L1902" s="65" t="n"/>
      <c r="M1902" s="65" t="n"/>
      <c r="N1902" s="65" t="n"/>
    </row>
    <row r="1903">
      <c r="A1903" s="30" t="inlineStr">
        <is>
          <t>Tasa eléctrica</t>
        </is>
      </c>
      <c r="B1903" s="31" t="n">
        <v>2.16</v>
      </c>
      <c r="C1903" s="44" t="n"/>
      <c r="D1903" s="33" t="n">
        <v>0.27312</v>
      </c>
      <c r="E1903" s="34" t="n">
        <v>1</v>
      </c>
      <c r="F1903" s="35">
        <f>ROUND(B1903*E1903,2)</f>
        <v/>
      </c>
      <c r="H1903" s="36" t="n">
        <v>2.62</v>
      </c>
      <c r="I1903" s="37" t="n">
        <v>1</v>
      </c>
      <c r="J1903" s="38">
        <f>ROUND(H1903*I1903,2)</f>
        <v/>
      </c>
      <c r="L1903" s="65" t="n"/>
      <c r="M1903" s="65" t="n"/>
      <c r="N1903" s="65" t="n"/>
    </row>
    <row r="1904">
      <c r="A1904" s="47" t="inlineStr">
        <is>
          <t>TOTAL c/IVA</t>
        </is>
      </c>
      <c r="F1904" s="48">
        <f>ROUND((SUM(F1896:F1903)-F1903)*1.1+F1903,2)</f>
        <v/>
      </c>
      <c r="J1904" s="49">
        <f>ROUND(SUM(J1896:J1903),2)</f>
        <v/>
      </c>
      <c r="N1904" s="66" t="n"/>
    </row>
    <row r="1905">
      <c r="A1905" s="19" t="inlineStr">
        <is>
          <t>MARGEN sin registrar</t>
        </is>
      </c>
      <c r="B1905" s="51">
        <f>IF((F1899+F1896+F1898+F1900+F1897)=0,"",((F1899+F1896+F1898+F1900+F1897)-$AB$1898)/(F1899+F1896+F1898+F1900+F1897))</f>
        <v/>
      </c>
      <c r="D1905" s="52">
        <f>IF(B1905="","SIN PC",IF(B1905&gt;=0.3,"APROBAR",IF(B1905&gt;=0.2,"REVISAR","RECHAZAR")))</f>
        <v/>
      </c>
      <c r="E1905" s="53" t="n"/>
      <c r="F1905" s="54" t="n"/>
      <c r="AD1905">
        <f>SUM(F1898:F1900)-13.6063</f>
        <v/>
      </c>
    </row>
    <row r="1907">
      <c r="A1907" s="15" t="inlineStr">
        <is>
          <t>Factura 8716 · C03320 · ELISABETH M. PAREDES DE QUINTERO</t>
        </is>
      </c>
      <c r="H1907" s="15" t="inlineStr">
        <is>
          <t>ES0021000012286668YL · Naturgy</t>
        </is>
      </c>
      <c r="L1907" s="16" t="n">
        <v>46113</v>
      </c>
      <c r="M1907" s="17" t="inlineStr">
        <is>
          <t>a</t>
        </is>
      </c>
      <c r="N1907" s="16" t="n">
        <v>46142</v>
      </c>
      <c r="R1907" s="18" t="inlineStr">
        <is>
          <t>HISTÓRICO DEL CUPS · HOJA TTVA LUZ</t>
        </is>
      </c>
    </row>
    <row r="1908">
      <c r="A1908" s="19" t="inlineStr">
        <is>
          <t>Concepto</t>
        </is>
      </c>
      <c r="B1908" s="20" t="inlineStr">
        <is>
          <t>PENDIENTE (sin registrar)</t>
        </is>
      </c>
      <c r="C1908" s="21" t="n"/>
      <c r="D1908" s="21" t="n"/>
      <c r="E1908" s="21" t="n"/>
      <c r="F1908" s="21" t="n"/>
      <c r="H1908" s="22" t="inlineStr">
        <is>
          <t>MES ANTERIOR · Fact.6327</t>
        </is>
      </c>
      <c r="I1908" s="23" t="n"/>
      <c r="J1908" s="23" t="n"/>
      <c r="L1908" s="24" t="inlineStr">
        <is>
          <t>AÑO ANTERIOR · (sin dato)</t>
        </is>
      </c>
      <c r="M1908" s="25" t="n"/>
      <c r="N1908" s="25" t="n"/>
      <c r="R1908" s="26" t="inlineStr">
        <is>
          <t>Cobrado total: 1 €</t>
        </is>
      </c>
    </row>
    <row r="1909">
      <c r="B1909" s="7" t="inlineStr">
        <is>
          <t>Cant</t>
        </is>
      </c>
      <c r="C1909" s="7" t="inlineStr">
        <is>
          <t>Días</t>
        </is>
      </c>
      <c r="D1909" s="7" t="inlineStr">
        <is>
          <t>PC real</t>
        </is>
      </c>
      <c r="E1909" s="7" t="inlineStr">
        <is>
          <t>PV</t>
        </is>
      </c>
      <c r="F1909" s="7" t="inlineStr">
        <is>
          <t>Importe</t>
        </is>
      </c>
      <c r="H1909" s="27" t="inlineStr">
        <is>
          <t>Cant</t>
        </is>
      </c>
      <c r="I1909" s="27" t="inlineStr">
        <is>
          <t>PV</t>
        </is>
      </c>
      <c r="J1909" s="27" t="inlineStr">
        <is>
          <t>Importe</t>
        </is>
      </c>
      <c r="L1909" s="28" t="inlineStr">
        <is>
          <t>Cant</t>
        </is>
      </c>
      <c r="M1909" s="28" t="inlineStr">
        <is>
          <t>PV</t>
        </is>
      </c>
      <c r="N1909" s="28" t="inlineStr">
        <is>
          <t>Importe</t>
        </is>
      </c>
      <c r="R1909" s="29" t="inlineStr">
        <is>
          <t>Pagado total: 0 €</t>
        </is>
      </c>
    </row>
    <row r="1910">
      <c r="A1910" s="30" t="inlineStr">
        <is>
          <t>P1 Potencia</t>
        </is>
      </c>
      <c r="B1910" s="31" t="n">
        <v>4.6</v>
      </c>
      <c r="C1910" s="32">
        <f>$N$1907-$L$1907+1</f>
        <v/>
      </c>
      <c r="D1910" s="33" t="n">
        <v>3.68919</v>
      </c>
      <c r="E1910" s="34" t="n">
        <v>3.85</v>
      </c>
      <c r="F1910" s="35">
        <f>ROUND(B1910*E1910,2)</f>
        <v/>
      </c>
      <c r="H1910" s="36" t="n">
        <v>4.6</v>
      </c>
      <c r="I1910" s="37" t="n">
        <v>3.85</v>
      </c>
      <c r="J1910" s="38">
        <f>ROUND(H1910*I1910,2)</f>
        <v/>
      </c>
      <c r="L1910" s="65" t="n"/>
      <c r="M1910" s="65" t="n"/>
      <c r="N1910" s="65" t="n"/>
      <c r="R1910" s="42" t="inlineStr">
        <is>
          <t>DIF: 1 €   ·   Margen hist.: 100.0%</t>
        </is>
      </c>
    </row>
    <row r="1911">
      <c r="A1911" s="30" t="inlineStr">
        <is>
          <t>P2 Potencia</t>
        </is>
      </c>
      <c r="B1911" s="31" t="n">
        <v>4.6</v>
      </c>
      <c r="C1911" s="32">
        <f>$N$1907-$L$1907+1</f>
        <v/>
      </c>
      <c r="D1911" s="33" t="n">
        <v>1.31928</v>
      </c>
      <c r="E1911" s="34" t="n">
        <v>1.33</v>
      </c>
      <c r="F1911" s="35">
        <f>ROUND(B1911*E1911,2)</f>
        <v/>
      </c>
      <c r="H1911" s="36" t="n">
        <v>4.6</v>
      </c>
      <c r="I1911" s="37" t="n">
        <v>1.33</v>
      </c>
      <c r="J1911" s="38">
        <f>ROUND(H1911*I1911,2)</f>
        <v/>
      </c>
      <c r="L1911" s="65" t="n"/>
      <c r="M1911" s="65" t="n"/>
      <c r="N1911" s="65" t="n"/>
    </row>
    <row r="1912">
      <c r="A1912" s="30" t="inlineStr">
        <is>
          <t>P1 Energía</t>
        </is>
      </c>
      <c r="B1912" s="31">
        <f>IF($P$1912&lt;&gt;"",ROUND(AA1912*(($AB$1912/(1-$P$1912))-23.8280)/42.8818,2),IF('Resumen'!$D$3="OPTIMIZAR",AA1912,AA1912))</f>
        <v/>
      </c>
      <c r="C1912" s="44" t="n"/>
      <c r="D1912" s="33" t="n">
        <v>0.111171</v>
      </c>
      <c r="E1912" s="34" t="n">
        <v>0.13788</v>
      </c>
      <c r="F1912" s="35">
        <f>ROUND(B1912*E1912,2)</f>
        <v/>
      </c>
      <c r="H1912" s="36" t="n">
        <v>90.86199999999999</v>
      </c>
      <c r="I1912" s="37" t="n">
        <v>0.13788</v>
      </c>
      <c r="J1912" s="38">
        <f>ROUND(H1912*I1912,2)</f>
        <v/>
      </c>
      <c r="L1912" s="65" t="n"/>
      <c r="M1912" s="65" t="n"/>
      <c r="N1912" s="65" t="n"/>
      <c r="O1912" s="45" t="inlineStr">
        <is>
          <t>Margen objetivo (edita % aquí) ▶</t>
        </is>
      </c>
      <c r="P1912" s="5" t="n"/>
      <c r="AA1912" t="n">
        <v>69.899</v>
      </c>
      <c r="AB1912">
        <f>B1910*D1910+B1911*D1911+AA1912*D1912+AA1913*D1913+AA1914*D1914</f>
        <v/>
      </c>
    </row>
    <row r="1913">
      <c r="A1913" s="30" t="inlineStr">
        <is>
          <t>P2 Energía</t>
        </is>
      </c>
      <c r="B1913" s="31">
        <f>IF($P$1912&lt;&gt;"",ROUND(AA1913*(($AB$1912/(1-$P$1912))-23.8280)/42.8818,2),IF('Resumen'!$D$3="OPTIMIZAR",AA1913,AA1913))</f>
        <v/>
      </c>
      <c r="C1913" s="44" t="n"/>
      <c r="D1913" s="33" t="n">
        <v>0.111171</v>
      </c>
      <c r="E1913" s="34" t="n">
        <v>0.13788</v>
      </c>
      <c r="F1913" s="35">
        <f>ROUND(B1913*E1913,2)</f>
        <v/>
      </c>
      <c r="H1913" s="36" t="n">
        <v>125.749</v>
      </c>
      <c r="I1913" s="37" t="n">
        <v>0.13788</v>
      </c>
      <c r="J1913" s="38">
        <f>ROUND(H1913*I1913,2)</f>
        <v/>
      </c>
      <c r="L1913" s="65" t="n"/>
      <c r="M1913" s="65" t="n"/>
      <c r="N1913" s="65" t="n"/>
      <c r="O1913" s="46" t="inlineStr">
        <is>
          <t>Cant. P1/P2/P3 energía suben</t>
        </is>
      </c>
      <c r="R1913" s="43" t="inlineStr">
        <is>
          <t>Importe mensual cobrado (€) · 24 meses ▾</t>
        </is>
      </c>
      <c r="AA1913" t="n">
        <v>96.191</v>
      </c>
    </row>
    <row r="1914">
      <c r="A1914" s="30" t="inlineStr">
        <is>
          <t>P3 Energía</t>
        </is>
      </c>
      <c r="B1914" s="31">
        <f>IF($P$1912&lt;&gt;"",ROUND(AA1914*(($AB$1912/(1-$P$1912))-23.8280)/42.8818,2),IF('Resumen'!$D$3="OPTIMIZAR",AA1914,AA1914))</f>
        <v/>
      </c>
      <c r="C1914" s="44" t="n"/>
      <c r="D1914" s="33" t="n">
        <v>0.111171</v>
      </c>
      <c r="E1914" s="34" t="n">
        <v>0.13788</v>
      </c>
      <c r="F1914" s="35">
        <f>ROUND(B1914*E1914,2)</f>
        <v/>
      </c>
      <c r="H1914" s="36" t="n">
        <v>130.646</v>
      </c>
      <c r="I1914" s="37" t="n">
        <v>0.13788</v>
      </c>
      <c r="J1914" s="38">
        <f>ROUND(H1914*I1914,2)</f>
        <v/>
      </c>
      <c r="L1914" s="65" t="n"/>
      <c r="M1914" s="65" t="n"/>
      <c r="N1914" s="65" t="n"/>
      <c r="O1914" s="46" t="inlineStr">
        <is>
          <t>en proporción para ese margen</t>
        </is>
      </c>
      <c r="AA1914" t="n">
        <v>144.918</v>
      </c>
    </row>
    <row r="1915">
      <c r="A1915" s="30" t="inlineStr">
        <is>
          <t>Alquiler contador</t>
        </is>
      </c>
      <c r="B1915" s="31" t="n">
        <v>1</v>
      </c>
      <c r="C1915" s="32">
        <f>$N$1907-$L$1907+1</f>
        <v/>
      </c>
      <c r="D1915" s="33" t="n">
        <v>0.7989000000000001</v>
      </c>
      <c r="E1915" s="34" t="n">
        <v>3</v>
      </c>
      <c r="F1915" s="35">
        <f>ROUND(B1915*E1915,2)</f>
        <v/>
      </c>
      <c r="H1915" s="36" t="n">
        <v>1</v>
      </c>
      <c r="I1915" s="37" t="n">
        <v>3</v>
      </c>
      <c r="J1915" s="38">
        <f>ROUND(H1915*I1915,2)</f>
        <v/>
      </c>
      <c r="L1915" s="65" t="n"/>
      <c r="M1915" s="65" t="n"/>
      <c r="N1915" s="65" t="n"/>
    </row>
    <row r="1916">
      <c r="A1916" s="30" t="inlineStr">
        <is>
          <t>Bono social</t>
        </is>
      </c>
      <c r="B1916" s="31" t="n">
        <v>30</v>
      </c>
      <c r="C1916" s="32">
        <f>$N$1907-$L$1907+1</f>
        <v/>
      </c>
      <c r="D1916" s="33" t="n">
        <v>0.5736</v>
      </c>
      <c r="E1916" s="34" t="n">
        <v>0.01274</v>
      </c>
      <c r="F1916" s="35">
        <f>ROUND(B1916*E1916,2)</f>
        <v/>
      </c>
      <c r="H1916" s="36" t="n">
        <v>30</v>
      </c>
      <c r="I1916" s="37" t="n">
        <v>0.01274</v>
      </c>
      <c r="J1916" s="38">
        <f>ROUND(H1916*I1916,2)</f>
        <v/>
      </c>
      <c r="L1916" s="65" t="n"/>
      <c r="M1916" s="65" t="n"/>
      <c r="N1916" s="65" t="n"/>
    </row>
    <row r="1917">
      <c r="A1917" s="30" t="inlineStr">
        <is>
          <t>Tasa eléctrica</t>
        </is>
      </c>
      <c r="B1917" s="31" t="n">
        <v>3.42</v>
      </c>
      <c r="C1917" s="44" t="n"/>
      <c r="D1917" s="33" t="n">
        <v>0.27312</v>
      </c>
      <c r="E1917" s="34" t="n">
        <v>1</v>
      </c>
      <c r="F1917" s="35">
        <f>ROUND(B1917*E1917,2)</f>
        <v/>
      </c>
      <c r="H1917" s="36" t="n">
        <v>3.67</v>
      </c>
      <c r="I1917" s="37" t="n">
        <v>1</v>
      </c>
      <c r="J1917" s="38">
        <f>ROUND(H1917*I1917,2)</f>
        <v/>
      </c>
      <c r="L1917" s="65" t="n"/>
      <c r="M1917" s="65" t="n"/>
      <c r="N1917" s="65" t="n"/>
    </row>
    <row r="1918">
      <c r="A1918" s="47" t="inlineStr">
        <is>
          <t>TOTAL c/IVA</t>
        </is>
      </c>
      <c r="F1918" s="48">
        <f>ROUND((SUM(F1910:F1917)-F1917)*1.1+F1917,2)</f>
        <v/>
      </c>
      <c r="J1918" s="49">
        <f>ROUND(SUM(J1910:J1917),2)</f>
        <v/>
      </c>
      <c r="N1918" s="66" t="n"/>
    </row>
    <row r="1919">
      <c r="A1919" s="19" t="inlineStr">
        <is>
          <t>MARGEN sin registrar</t>
        </is>
      </c>
      <c r="B1919" s="51">
        <f>IF((F1913+F1910+F1912+F1914+F1911)=0,"",((F1913+F1910+F1912+F1914+F1911)-$AB$1912)/(F1913+F1910+F1912+F1914+F1911))</f>
        <v/>
      </c>
      <c r="D1919" s="52">
        <f>IF(B1919="","SIN PC",IF(B1919&gt;=0.3,"APROBAR",IF(B1919&gt;=0.2,"REVISAR","RECHAZAR")))</f>
        <v/>
      </c>
      <c r="E1919" s="53" t="n"/>
      <c r="F1919" s="54" t="n"/>
      <c r="AD1919">
        <f>SUM(F1912:F1914)-42.8818</f>
        <v/>
      </c>
    </row>
    <row r="1921">
      <c r="A1921" s="15" t="inlineStr">
        <is>
          <t>Factura 8717 · C03330 · MARIA SOLEDAD ANSOLA ESTRADA</t>
        </is>
      </c>
      <c r="H1921" s="15" t="inlineStr">
        <is>
          <t>ES0021000008759184RE · Naturgy</t>
        </is>
      </c>
      <c r="L1921" s="16" t="n">
        <v>46113</v>
      </c>
      <c r="M1921" s="17" t="inlineStr">
        <is>
          <t>a</t>
        </is>
      </c>
      <c r="N1921" s="16" t="n">
        <v>46142</v>
      </c>
      <c r="R1921" s="18" t="inlineStr">
        <is>
          <t>HISTÓRICO DEL CUPS · HOJA TTVA LUZ</t>
        </is>
      </c>
    </row>
    <row r="1922">
      <c r="A1922" s="19" t="inlineStr">
        <is>
          <t>Concepto</t>
        </is>
      </c>
      <c r="B1922" s="20" t="inlineStr">
        <is>
          <t>PENDIENTE (sin registrar)</t>
        </is>
      </c>
      <c r="C1922" s="21" t="n"/>
      <c r="D1922" s="21" t="n"/>
      <c r="E1922" s="21" t="n"/>
      <c r="F1922" s="21" t="n"/>
      <c r="H1922" s="22" t="inlineStr">
        <is>
          <t>MES ANTERIOR · Fact.6326</t>
        </is>
      </c>
      <c r="I1922" s="23" t="n"/>
      <c r="J1922" s="23" t="n"/>
      <c r="L1922" s="24" t="inlineStr">
        <is>
          <t>AÑO ANTERIOR · (sin dato)</t>
        </is>
      </c>
      <c r="M1922" s="25" t="n"/>
      <c r="N1922" s="25" t="n"/>
      <c r="R1922" s="26" t="inlineStr">
        <is>
          <t>Cobrado total: 0 €</t>
        </is>
      </c>
    </row>
    <row r="1923">
      <c r="B1923" s="7" t="inlineStr">
        <is>
          <t>Cant</t>
        </is>
      </c>
      <c r="C1923" s="7" t="inlineStr">
        <is>
          <t>Días</t>
        </is>
      </c>
      <c r="D1923" s="7" t="inlineStr">
        <is>
          <t>PC real</t>
        </is>
      </c>
      <c r="E1923" s="7" t="inlineStr">
        <is>
          <t>PV</t>
        </is>
      </c>
      <c r="F1923" s="7" t="inlineStr">
        <is>
          <t>Importe</t>
        </is>
      </c>
      <c r="H1923" s="27" t="inlineStr">
        <is>
          <t>Cant</t>
        </is>
      </c>
      <c r="I1923" s="27" t="inlineStr">
        <is>
          <t>PV</t>
        </is>
      </c>
      <c r="J1923" s="27" t="inlineStr">
        <is>
          <t>Importe</t>
        </is>
      </c>
      <c r="L1923" s="28" t="inlineStr">
        <is>
          <t>Cant</t>
        </is>
      </c>
      <c r="M1923" s="28" t="inlineStr">
        <is>
          <t>PV</t>
        </is>
      </c>
      <c r="N1923" s="28" t="inlineStr">
        <is>
          <t>Importe</t>
        </is>
      </c>
      <c r="R1923" s="29" t="inlineStr">
        <is>
          <t>Pagado total: 0 €</t>
        </is>
      </c>
    </row>
    <row r="1924">
      <c r="A1924" s="30" t="inlineStr">
        <is>
          <t>P1 Potencia</t>
        </is>
      </c>
      <c r="B1924" s="31" t="n">
        <v>5.5</v>
      </c>
      <c r="C1924" s="32">
        <f>$N$1921-$L$1921+1</f>
        <v/>
      </c>
      <c r="D1924" s="33" t="n">
        <v>3.68919</v>
      </c>
      <c r="E1924" s="34" t="n">
        <v>3.85</v>
      </c>
      <c r="F1924" s="35">
        <f>ROUND(B1924*E1924,2)</f>
        <v/>
      </c>
      <c r="H1924" s="36" t="n">
        <v>5.5</v>
      </c>
      <c r="I1924" s="37" t="n">
        <v>3.85</v>
      </c>
      <c r="J1924" s="38">
        <f>ROUND(H1924*I1924,2)</f>
        <v/>
      </c>
      <c r="L1924" s="65" t="n"/>
      <c r="M1924" s="65" t="n"/>
      <c r="N1924" s="65" t="n"/>
      <c r="R1924" s="42" t="inlineStr">
        <is>
          <t>DIF: 0 €   ·   Margen hist.: 100.0%</t>
        </is>
      </c>
    </row>
    <row r="1925">
      <c r="A1925" s="30" t="inlineStr">
        <is>
          <t>P2 Potencia</t>
        </is>
      </c>
      <c r="B1925" s="31" t="n">
        <v>2</v>
      </c>
      <c r="C1925" s="32">
        <f>$N$1921-$L$1921+1</f>
        <v/>
      </c>
      <c r="D1925" s="33" t="n">
        <v>1.31928</v>
      </c>
      <c r="E1925" s="34" t="n">
        <v>1.33</v>
      </c>
      <c r="F1925" s="35">
        <f>ROUND(B1925*E1925,2)</f>
        <v/>
      </c>
      <c r="H1925" s="36" t="n">
        <v>2</v>
      </c>
      <c r="I1925" s="37" t="n">
        <v>1.33</v>
      </c>
      <c r="J1925" s="38">
        <f>ROUND(H1925*I1925,2)</f>
        <v/>
      </c>
      <c r="L1925" s="65" t="n"/>
      <c r="M1925" s="65" t="n"/>
      <c r="N1925" s="65" t="n"/>
    </row>
    <row r="1926">
      <c r="A1926" s="30" t="inlineStr">
        <is>
          <t>P1 Energía</t>
        </is>
      </c>
      <c r="B1926" s="31">
        <f>IF($P$1926&lt;&gt;"",ROUND(AA1926*(($AB$1926/(1-$P$1926))-23.8350)/23.5279,2),IF('Resumen'!$D$3="OPTIMIZAR",AA1926,AA1926))</f>
        <v/>
      </c>
      <c r="C1926" s="44" t="n"/>
      <c r="D1926" s="33" t="n">
        <v>0.111171</v>
      </c>
      <c r="E1926" s="34" t="n">
        <v>0.129</v>
      </c>
      <c r="F1926" s="35">
        <f>ROUND(B1926*E1926,2)</f>
        <v/>
      </c>
      <c r="H1926" s="36" t="n">
        <v>354</v>
      </c>
      <c r="I1926" s="37" t="n">
        <v>0.129</v>
      </c>
      <c r="J1926" s="38">
        <f>ROUND(H1926*I1926,2)</f>
        <v/>
      </c>
      <c r="L1926" s="65" t="n"/>
      <c r="M1926" s="65" t="n"/>
      <c r="N1926" s="65" t="n"/>
      <c r="O1926" s="45" t="inlineStr">
        <is>
          <t>Margen objetivo (edita % aquí) ▶</t>
        </is>
      </c>
      <c r="P1926" s="5" t="n"/>
      <c r="AA1926" t="n">
        <v>182.387</v>
      </c>
      <c r="AB1926">
        <f>B1924*D1924+B1925*D1925+AA1926*D1926+AA1927*D1927+AA1928*D1928</f>
        <v/>
      </c>
    </row>
    <row r="1927">
      <c r="A1927" s="30" t="inlineStr">
        <is>
          <t>P2 Energía</t>
        </is>
      </c>
      <c r="B1927" s="31">
        <f>IF($P$1926&lt;&gt;"",ROUND(AA1927*(($AB$1926/(1-$P$1926))-23.8350)/23.5279,2),IF('Resumen'!$D$3="OPTIMIZAR",AA1927,AA1927))</f>
        <v/>
      </c>
      <c r="C1927" s="44" t="n"/>
      <c r="D1927" s="33" t="n">
        <v>0.111171</v>
      </c>
      <c r="E1927" s="34" t="n">
        <v>0</v>
      </c>
      <c r="F1927" s="35">
        <f>ROUND(B1927*E1927,2)</f>
        <v/>
      </c>
      <c r="H1927" s="67" t="n"/>
      <c r="I1927" s="67" t="n"/>
      <c r="J1927" s="67" t="n"/>
      <c r="L1927" s="65" t="n"/>
      <c r="M1927" s="65" t="n"/>
      <c r="N1927" s="65" t="n"/>
      <c r="O1927" s="46" t="inlineStr">
        <is>
          <t>Cant. P1/P2/P3 energía suben</t>
        </is>
      </c>
      <c r="R1927" s="43" t="inlineStr">
        <is>
          <t>Importe mensual cobrado (€) · 24 meses ▾</t>
        </is>
      </c>
      <c r="AA1927" t="n">
        <v>0</v>
      </c>
    </row>
    <row r="1928">
      <c r="A1928" s="30" t="inlineStr">
        <is>
          <t>P3 Energía</t>
        </is>
      </c>
      <c r="B1928" s="31">
        <f>IF($P$1926&lt;&gt;"",ROUND(AA1928*(($AB$1926/(1-$P$1926))-23.8350)/23.5279,2),IF('Resumen'!$D$3="OPTIMIZAR",AA1928,AA1928))</f>
        <v/>
      </c>
      <c r="C1928" s="44" t="n"/>
      <c r="D1928" s="33" t="n">
        <v>0.111171</v>
      </c>
      <c r="E1928" s="34" t="n">
        <v>0</v>
      </c>
      <c r="F1928" s="35">
        <f>ROUND(B1928*E1928,2)</f>
        <v/>
      </c>
      <c r="H1928" s="67" t="n"/>
      <c r="I1928" s="67" t="n"/>
      <c r="J1928" s="67" t="n"/>
      <c r="L1928" s="65" t="n"/>
      <c r="M1928" s="65" t="n"/>
      <c r="N1928" s="65" t="n"/>
      <c r="O1928" s="46" t="inlineStr">
        <is>
          <t>en proporción para ese margen</t>
        </is>
      </c>
      <c r="AA1928" t="n">
        <v>0</v>
      </c>
    </row>
    <row r="1929">
      <c r="A1929" s="30" t="inlineStr">
        <is>
          <t>Alquiler contador</t>
        </is>
      </c>
      <c r="B1929" s="31" t="n">
        <v>1</v>
      </c>
      <c r="C1929" s="32">
        <f>$N$1921-$L$1921+1</f>
        <v/>
      </c>
      <c r="D1929" s="33" t="n">
        <v>0.7989000000000001</v>
      </c>
      <c r="E1929" s="34" t="n">
        <v>1</v>
      </c>
      <c r="F1929" s="35">
        <f>ROUND(B1929*E1929,2)</f>
        <v/>
      </c>
      <c r="H1929" s="36" t="n">
        <v>1</v>
      </c>
      <c r="I1929" s="37" t="n">
        <v>1</v>
      </c>
      <c r="J1929" s="38">
        <f>ROUND(H1929*I1929,2)</f>
        <v/>
      </c>
      <c r="L1929" s="65" t="n"/>
      <c r="M1929" s="65" t="n"/>
      <c r="N1929" s="65" t="n"/>
    </row>
    <row r="1930">
      <c r="A1930" s="30" t="inlineStr">
        <is>
          <t>Bono social</t>
        </is>
      </c>
      <c r="B1930" s="31" t="n">
        <v>30</v>
      </c>
      <c r="C1930" s="32">
        <f>$N$1921-$L$1921+1</f>
        <v/>
      </c>
      <c r="D1930" s="33" t="n">
        <v>0.5736</v>
      </c>
      <c r="E1930" s="34" t="n">
        <v>0.01274</v>
      </c>
      <c r="F1930" s="35">
        <f>ROUND(B1930*E1930,2)</f>
        <v/>
      </c>
      <c r="H1930" s="36" t="n">
        <v>30</v>
      </c>
      <c r="I1930" s="37" t="n">
        <v>0.01274</v>
      </c>
      <c r="J1930" s="38">
        <f>ROUND(H1930*I1930,2)</f>
        <v/>
      </c>
      <c r="L1930" s="65" t="n"/>
      <c r="M1930" s="65" t="n"/>
      <c r="N1930" s="65" t="n"/>
    </row>
    <row r="1931">
      <c r="A1931" s="30" t="inlineStr">
        <is>
          <t>Tasa eléctrica</t>
        </is>
      </c>
      <c r="B1931" s="31" t="n">
        <v>1.23</v>
      </c>
      <c r="C1931" s="44" t="n"/>
      <c r="D1931" s="33" t="n">
        <v>0.27312</v>
      </c>
      <c r="E1931" s="34" t="n">
        <v>1</v>
      </c>
      <c r="F1931" s="35">
        <f>ROUND(B1931*E1931,2)</f>
        <v/>
      </c>
      <c r="H1931" s="36" t="n">
        <v>1.23</v>
      </c>
      <c r="I1931" s="37" t="n">
        <v>1</v>
      </c>
      <c r="J1931" s="38">
        <f>ROUND(H1931*I1931,2)</f>
        <v/>
      </c>
      <c r="L1931" s="65" t="n"/>
      <c r="M1931" s="65" t="n"/>
      <c r="N1931" s="65" t="n"/>
    </row>
    <row r="1932">
      <c r="A1932" s="47" t="inlineStr">
        <is>
          <t>TOTAL c/IVA</t>
        </is>
      </c>
      <c r="F1932" s="48">
        <f>ROUND((SUM(F1924:F1931)-F1931)*1.1+F1931,2)</f>
        <v/>
      </c>
      <c r="J1932" s="49">
        <f>ROUND(SUM(J1924:J1931),2)</f>
        <v/>
      </c>
      <c r="N1932" s="66" t="n"/>
    </row>
    <row r="1933">
      <c r="A1933" s="19" t="inlineStr">
        <is>
          <t>MARGEN sin registrar</t>
        </is>
      </c>
      <c r="B1933" s="51">
        <f>IF((F1927+F1924+F1926+F1928+F1925)=0,"",((F1927+F1924+F1926+F1928+F1925)-$AB$1926)/(F1927+F1924+F1926+F1928+F1925))</f>
        <v/>
      </c>
      <c r="D1933" s="52">
        <f>IF(B1933="","SIN PC",IF(B1933&gt;=0.3,"APROBAR",IF(B1933&gt;=0.2,"REVISAR","RECHAZAR")))</f>
        <v/>
      </c>
      <c r="E1933" s="53" t="n"/>
      <c r="F1933" s="54" t="n"/>
      <c r="AD1933">
        <f>SUM(F1926:F1928)-23.5279</f>
        <v/>
      </c>
    </row>
    <row r="1935">
      <c r="A1935" s="15" t="inlineStr">
        <is>
          <t>Factura 8718 · C03340 · CRISTIAN DAVID BETANCUR BARRERA</t>
        </is>
      </c>
      <c r="H1935" s="15" t="inlineStr">
        <is>
          <t>ES0021000001150431HZ · Naturgy</t>
        </is>
      </c>
      <c r="L1935" s="16" t="n">
        <v>46113</v>
      </c>
      <c r="M1935" s="17" t="inlineStr">
        <is>
          <t>a</t>
        </is>
      </c>
      <c r="N1935" s="16" t="n">
        <v>46142</v>
      </c>
      <c r="R1935" s="18" t="inlineStr">
        <is>
          <t>HISTÓRICO DEL CUPS · HOJA TTVA LUZ</t>
        </is>
      </c>
    </row>
    <row r="1936">
      <c r="A1936" s="19" t="inlineStr">
        <is>
          <t>Concepto</t>
        </is>
      </c>
      <c r="B1936" s="20" t="inlineStr">
        <is>
          <t>PENDIENTE (sin registrar)</t>
        </is>
      </c>
      <c r="C1936" s="21" t="n"/>
      <c r="D1936" s="21" t="n"/>
      <c r="E1936" s="21" t="n"/>
      <c r="F1936" s="21" t="n"/>
      <c r="H1936" s="22" t="inlineStr">
        <is>
          <t>MES ANTERIOR · Fact.6325</t>
        </is>
      </c>
      <c r="I1936" s="23" t="n"/>
      <c r="J1936" s="23" t="n"/>
      <c r="L1936" s="24" t="inlineStr">
        <is>
          <t>AÑO ANTERIOR · (sin dato)</t>
        </is>
      </c>
      <c r="M1936" s="25" t="n"/>
      <c r="N1936" s="25" t="n"/>
      <c r="R1936" s="26" t="inlineStr">
        <is>
          <t>Cobrado total: 1 €</t>
        </is>
      </c>
    </row>
    <row r="1937">
      <c r="B1937" s="7" t="inlineStr">
        <is>
          <t>Cant</t>
        </is>
      </c>
      <c r="C1937" s="7" t="inlineStr">
        <is>
          <t>Días</t>
        </is>
      </c>
      <c r="D1937" s="7" t="inlineStr">
        <is>
          <t>PC real</t>
        </is>
      </c>
      <c r="E1937" s="7" t="inlineStr">
        <is>
          <t>PV</t>
        </is>
      </c>
      <c r="F1937" s="7" t="inlineStr">
        <is>
          <t>Importe</t>
        </is>
      </c>
      <c r="H1937" s="27" t="inlineStr">
        <is>
          <t>Cant</t>
        </is>
      </c>
      <c r="I1937" s="27" t="inlineStr">
        <is>
          <t>PV</t>
        </is>
      </c>
      <c r="J1937" s="27" t="inlineStr">
        <is>
          <t>Importe</t>
        </is>
      </c>
      <c r="L1937" s="28" t="inlineStr">
        <is>
          <t>Cant</t>
        </is>
      </c>
      <c r="M1937" s="28" t="inlineStr">
        <is>
          <t>PV</t>
        </is>
      </c>
      <c r="N1937" s="28" t="inlineStr">
        <is>
          <t>Importe</t>
        </is>
      </c>
      <c r="R1937" s="29" t="inlineStr">
        <is>
          <t>Pagado total: 0 €</t>
        </is>
      </c>
    </row>
    <row r="1938">
      <c r="A1938" s="30" t="inlineStr">
        <is>
          <t>P1 Potencia</t>
        </is>
      </c>
      <c r="B1938" s="31" t="n">
        <v>3.45</v>
      </c>
      <c r="C1938" s="32">
        <f>$N$1935-$L$1935+1</f>
        <v/>
      </c>
      <c r="D1938" s="33" t="n">
        <v>3.68919</v>
      </c>
      <c r="E1938" s="34" t="n">
        <v>3.85</v>
      </c>
      <c r="F1938" s="35">
        <f>ROUND(B1938*E1938,2)</f>
        <v/>
      </c>
      <c r="H1938" s="36" t="n">
        <v>3.45</v>
      </c>
      <c r="I1938" s="37" t="n">
        <v>3.85</v>
      </c>
      <c r="J1938" s="38">
        <f>ROUND(H1938*I1938,2)</f>
        <v/>
      </c>
      <c r="L1938" s="65" t="n"/>
      <c r="M1938" s="65" t="n"/>
      <c r="N1938" s="65" t="n"/>
      <c r="R1938" s="42" t="inlineStr">
        <is>
          <t>DIF: 1 €   ·   Margen hist.: 100.0%</t>
        </is>
      </c>
    </row>
    <row r="1939">
      <c r="A1939" s="30" t="inlineStr">
        <is>
          <t>P2 Potencia</t>
        </is>
      </c>
      <c r="B1939" s="31" t="n">
        <v>3.45</v>
      </c>
      <c r="C1939" s="32">
        <f>$N$1935-$L$1935+1</f>
        <v/>
      </c>
      <c r="D1939" s="33" t="n">
        <v>1.31928</v>
      </c>
      <c r="E1939" s="34" t="n">
        <v>1.33</v>
      </c>
      <c r="F1939" s="35">
        <f>ROUND(B1939*E1939,2)</f>
        <v/>
      </c>
      <c r="H1939" s="36" t="n">
        <v>3.45</v>
      </c>
      <c r="I1939" s="37" t="n">
        <v>1.33</v>
      </c>
      <c r="J1939" s="38">
        <f>ROUND(H1939*I1939,2)</f>
        <v/>
      </c>
      <c r="L1939" s="65" t="n"/>
      <c r="M1939" s="65" t="n"/>
      <c r="N1939" s="65" t="n"/>
    </row>
    <row r="1940">
      <c r="A1940" s="30" t="inlineStr">
        <is>
          <t>P1 Energía</t>
        </is>
      </c>
      <c r="B1940" s="31">
        <f>IF($P$1940&lt;&gt;"",ROUND(AA1940*(($AB$1940/(1-$P$1940))-17.8710)/24.8214,2),IF('Resumen'!$D$3="OPTIMIZAR",AA1940,AA1940))</f>
        <v/>
      </c>
      <c r="C1940" s="44" t="n"/>
      <c r="D1940" s="33" t="n">
        <v>0.111171</v>
      </c>
      <c r="E1940" s="34" t="n">
        <v>0.13788</v>
      </c>
      <c r="F1940" s="35">
        <f>ROUND(B1940*E1940,2)</f>
        <v/>
      </c>
      <c r="H1940" s="36" t="n">
        <v>56.643</v>
      </c>
      <c r="I1940" s="37" t="n">
        <v>0.13788</v>
      </c>
      <c r="J1940" s="38">
        <f>ROUND(H1940*I1940,2)</f>
        <v/>
      </c>
      <c r="L1940" s="65" t="n"/>
      <c r="M1940" s="65" t="n"/>
      <c r="N1940" s="65" t="n"/>
      <c r="O1940" s="45" t="inlineStr">
        <is>
          <t>Margen objetivo (edita % aquí) ▶</t>
        </is>
      </c>
      <c r="P1940" s="5" t="n"/>
      <c r="AA1940" t="n">
        <v>42.986</v>
      </c>
      <c r="AB1940">
        <f>B1938*D1938+B1939*D1939+AA1940*D1940+AA1941*D1941+AA1942*D1942</f>
        <v/>
      </c>
    </row>
    <row r="1941">
      <c r="A1941" s="30" t="inlineStr">
        <is>
          <t>P2 Energía</t>
        </is>
      </c>
      <c r="B1941" s="31">
        <f>IF($P$1940&lt;&gt;"",ROUND(AA1941*(($AB$1940/(1-$P$1940))-17.8710)/24.8214,2),IF('Resumen'!$D$3="OPTIMIZAR",AA1941,AA1941))</f>
        <v/>
      </c>
      <c r="C1941" s="44" t="n"/>
      <c r="D1941" s="33" t="n">
        <v>0.111171</v>
      </c>
      <c r="E1941" s="34" t="n">
        <v>0.13788</v>
      </c>
      <c r="F1941" s="35">
        <f>ROUND(B1941*E1941,2)</f>
        <v/>
      </c>
      <c r="H1941" s="36" t="n">
        <v>75.685</v>
      </c>
      <c r="I1941" s="37" t="n">
        <v>0.13788</v>
      </c>
      <c r="J1941" s="38">
        <f>ROUND(H1941*I1941,2)</f>
        <v/>
      </c>
      <c r="L1941" s="65" t="n"/>
      <c r="M1941" s="65" t="n"/>
      <c r="N1941" s="65" t="n"/>
      <c r="O1941" s="46" t="inlineStr">
        <is>
          <t>Cant. P1/P2/P3 energía suben</t>
        </is>
      </c>
      <c r="R1941" s="43" t="inlineStr">
        <is>
          <t>Importe mensual cobrado (€) · 24 meses ▾</t>
        </is>
      </c>
      <c r="AA1941" t="n">
        <v>29.61</v>
      </c>
    </row>
    <row r="1942">
      <c r="A1942" s="30" t="inlineStr">
        <is>
          <t>P3 Energía</t>
        </is>
      </c>
      <c r="B1942" s="31">
        <f>IF($P$1940&lt;&gt;"",ROUND(AA1942*(($AB$1940/(1-$P$1940))-17.8710)/24.8214,2),IF('Resumen'!$D$3="OPTIMIZAR",AA1942,AA1942))</f>
        <v/>
      </c>
      <c r="C1942" s="44" t="n"/>
      <c r="D1942" s="33" t="n">
        <v>0.111171</v>
      </c>
      <c r="E1942" s="34" t="n">
        <v>0.13788</v>
      </c>
      <c r="F1942" s="35">
        <f>ROUND(B1942*E1942,2)</f>
        <v/>
      </c>
      <c r="H1942" s="36" t="n">
        <v>283.436</v>
      </c>
      <c r="I1942" s="37" t="n">
        <v>0.13788</v>
      </c>
      <c r="J1942" s="38">
        <f>ROUND(H1942*I1942,2)</f>
        <v/>
      </c>
      <c r="L1942" s="65" t="n"/>
      <c r="M1942" s="65" t="n"/>
      <c r="N1942" s="65" t="n"/>
      <c r="O1942" s="46" t="inlineStr">
        <is>
          <t>en proporción para ese margen</t>
        </is>
      </c>
      <c r="AA1942" t="n">
        <v>107.426</v>
      </c>
    </row>
    <row r="1943">
      <c r="A1943" s="30" t="inlineStr">
        <is>
          <t>Alquiler contador</t>
        </is>
      </c>
      <c r="B1943" s="31" t="n">
        <v>1</v>
      </c>
      <c r="C1943" s="32">
        <f>$N$1935-$L$1935+1</f>
        <v/>
      </c>
      <c r="D1943" s="33" t="n">
        <v>0.7989000000000001</v>
      </c>
      <c r="E1943" s="34" t="n">
        <v>3</v>
      </c>
      <c r="F1943" s="35">
        <f>ROUND(B1943*E1943,2)</f>
        <v/>
      </c>
      <c r="H1943" s="36" t="n">
        <v>1</v>
      </c>
      <c r="I1943" s="37" t="n">
        <v>3</v>
      </c>
      <c r="J1943" s="38">
        <f>ROUND(H1943*I1943,2)</f>
        <v/>
      </c>
      <c r="L1943" s="65" t="n"/>
      <c r="M1943" s="65" t="n"/>
      <c r="N1943" s="65" t="n"/>
    </row>
    <row r="1944">
      <c r="A1944" s="30" t="inlineStr">
        <is>
          <t>Bono social</t>
        </is>
      </c>
      <c r="B1944" s="31" t="n">
        <v>30</v>
      </c>
      <c r="C1944" s="32">
        <f>$N$1935-$L$1935+1</f>
        <v/>
      </c>
      <c r="D1944" s="33" t="n">
        <v>0.5736</v>
      </c>
      <c r="E1944" s="34" t="n">
        <v>0.01274</v>
      </c>
      <c r="F1944" s="35">
        <f>ROUND(B1944*E1944,2)</f>
        <v/>
      </c>
      <c r="H1944" s="36" t="n">
        <v>30</v>
      </c>
      <c r="I1944" s="37" t="n">
        <v>0.01274</v>
      </c>
      <c r="J1944" s="38">
        <f>ROUND(H1944*I1944,2)</f>
        <v/>
      </c>
      <c r="L1944" s="65" t="n"/>
      <c r="M1944" s="65" t="n"/>
      <c r="N1944" s="65" t="n"/>
    </row>
    <row r="1945">
      <c r="A1945" s="30" t="inlineStr">
        <is>
          <t>Tasa eléctrica</t>
        </is>
      </c>
      <c r="B1945" s="31" t="n">
        <v>2.19</v>
      </c>
      <c r="C1945" s="44" t="n"/>
      <c r="D1945" s="33" t="n">
        <v>0.27312</v>
      </c>
      <c r="E1945" s="34" t="n">
        <v>1</v>
      </c>
      <c r="F1945" s="35">
        <f>ROUND(B1945*E1945,2)</f>
        <v/>
      </c>
      <c r="H1945" s="36" t="n">
        <v>3.85</v>
      </c>
      <c r="I1945" s="37" t="n">
        <v>1</v>
      </c>
      <c r="J1945" s="38">
        <f>ROUND(H1945*I1945,2)</f>
        <v/>
      </c>
      <c r="L1945" s="65" t="n"/>
      <c r="M1945" s="65" t="n"/>
      <c r="N1945" s="65" t="n"/>
    </row>
    <row r="1946">
      <c r="A1946" s="47" t="inlineStr">
        <is>
          <t>TOTAL c/IVA</t>
        </is>
      </c>
      <c r="F1946" s="48">
        <f>ROUND((SUM(F1938:F1945)-F1945)*1.1+F1945,2)</f>
        <v/>
      </c>
      <c r="J1946" s="49">
        <f>ROUND(SUM(J1938:J1945),2)</f>
        <v/>
      </c>
      <c r="N1946" s="66" t="n"/>
    </row>
    <row r="1947">
      <c r="A1947" s="19" t="inlineStr">
        <is>
          <t>MARGEN sin registrar</t>
        </is>
      </c>
      <c r="B1947" s="51">
        <f>IF((F1941+F1938+F1940+F1942+F1939)=0,"",((F1941+F1938+F1940+F1942+F1939)-$AB$1940)/(F1941+F1938+F1940+F1942+F1939))</f>
        <v/>
      </c>
      <c r="D1947" s="52">
        <f>IF(B1947="","SIN PC",IF(B1947&gt;=0.3,"APROBAR",IF(B1947&gt;=0.2,"REVISAR","RECHAZAR")))</f>
        <v/>
      </c>
      <c r="E1947" s="53" t="n"/>
      <c r="F1947" s="54" t="n"/>
      <c r="AD1947">
        <f>SUM(F1940:F1942)-24.8214</f>
        <v/>
      </c>
    </row>
    <row r="1949">
      <c r="A1949" s="15" t="inlineStr">
        <is>
          <t>Factura 8719 · C03350 · SARA BARBERA SOLA</t>
        </is>
      </c>
      <c r="H1949" s="15" t="inlineStr">
        <is>
          <t>ES0021000007872840JY · Naturgy</t>
        </is>
      </c>
      <c r="L1949" s="16" t="n">
        <v>46113</v>
      </c>
      <c r="M1949" s="17" t="inlineStr">
        <is>
          <t>a</t>
        </is>
      </c>
      <c r="N1949" s="16" t="n">
        <v>46142</v>
      </c>
      <c r="R1949" s="18" t="inlineStr">
        <is>
          <t>HISTÓRICO DEL CUPS · HOJA TTVA LUZ</t>
        </is>
      </c>
    </row>
    <row r="1950">
      <c r="A1950" s="19" t="inlineStr">
        <is>
          <t>Concepto</t>
        </is>
      </c>
      <c r="B1950" s="20" t="inlineStr">
        <is>
          <t>PENDIENTE (sin registrar)</t>
        </is>
      </c>
      <c r="C1950" s="21" t="n"/>
      <c r="D1950" s="21" t="n"/>
      <c r="E1950" s="21" t="n"/>
      <c r="F1950" s="21" t="n"/>
      <c r="H1950" s="22" t="inlineStr">
        <is>
          <t>MES ANTERIOR · (sin dato)</t>
        </is>
      </c>
      <c r="I1950" s="23" t="n"/>
      <c r="J1950" s="23" t="n"/>
      <c r="L1950" s="24" t="inlineStr">
        <is>
          <t>AÑO ANTERIOR · (sin dato)</t>
        </is>
      </c>
      <c r="M1950" s="25" t="n"/>
      <c r="N1950" s="25" t="n"/>
      <c r="R1950" s="26" t="inlineStr">
        <is>
          <t>Cobrado total: 0 €</t>
        </is>
      </c>
    </row>
    <row r="1951">
      <c r="B1951" s="7" t="inlineStr">
        <is>
          <t>Cant</t>
        </is>
      </c>
      <c r="C1951" s="7" t="inlineStr">
        <is>
          <t>Días</t>
        </is>
      </c>
      <c r="D1951" s="7" t="inlineStr">
        <is>
          <t>PC real</t>
        </is>
      </c>
      <c r="E1951" s="7" t="inlineStr">
        <is>
          <t>PV</t>
        </is>
      </c>
      <c r="F1951" s="7" t="inlineStr">
        <is>
          <t>Importe</t>
        </is>
      </c>
      <c r="H1951" s="27" t="inlineStr">
        <is>
          <t>Cant</t>
        </is>
      </c>
      <c r="I1951" s="27" t="inlineStr">
        <is>
          <t>PV</t>
        </is>
      </c>
      <c r="J1951" s="27" t="inlineStr">
        <is>
          <t>Importe</t>
        </is>
      </c>
      <c r="L1951" s="28" t="inlineStr">
        <is>
          <t>Cant</t>
        </is>
      </c>
      <c r="M1951" s="28" t="inlineStr">
        <is>
          <t>PV</t>
        </is>
      </c>
      <c r="N1951" s="28" t="inlineStr">
        <is>
          <t>Importe</t>
        </is>
      </c>
      <c r="R1951" s="29" t="inlineStr">
        <is>
          <t>Pagado total: 0 €</t>
        </is>
      </c>
    </row>
    <row r="1952">
      <c r="A1952" s="30" t="inlineStr">
        <is>
          <t>P1 Potencia</t>
        </is>
      </c>
      <c r="B1952" s="31" t="n">
        <v>3.3</v>
      </c>
      <c r="C1952" s="32">
        <f>$N$1949-$L$1949+1</f>
        <v/>
      </c>
      <c r="D1952" s="33" t="n">
        <v>3.68919</v>
      </c>
      <c r="E1952" s="34" t="n">
        <v>3.85</v>
      </c>
      <c r="F1952" s="35">
        <f>ROUND(B1952*E1952,2)</f>
        <v/>
      </c>
      <c r="H1952" s="67" t="n"/>
      <c r="I1952" s="67" t="n"/>
      <c r="J1952" s="67" t="n"/>
      <c r="L1952" s="65" t="n"/>
      <c r="M1952" s="65" t="n"/>
      <c r="N1952" s="65" t="n"/>
      <c r="R1952" s="42" t="inlineStr">
        <is>
          <t>DIF: 0 €   ·   Margen hist.: 100.0%</t>
        </is>
      </c>
    </row>
    <row r="1953">
      <c r="A1953" s="30" t="inlineStr">
        <is>
          <t>P2 Potencia</t>
        </is>
      </c>
      <c r="B1953" s="31" t="n">
        <v>3.3</v>
      </c>
      <c r="C1953" s="32">
        <f>$N$1949-$L$1949+1</f>
        <v/>
      </c>
      <c r="D1953" s="33" t="n">
        <v>1.31928</v>
      </c>
      <c r="E1953" s="34" t="n">
        <v>1.33</v>
      </c>
      <c r="F1953" s="35">
        <f>ROUND(B1953*E1953,2)</f>
        <v/>
      </c>
      <c r="H1953" s="67" t="n"/>
      <c r="I1953" s="67" t="n"/>
      <c r="J1953" s="67" t="n"/>
      <c r="L1953" s="65" t="n"/>
      <c r="M1953" s="65" t="n"/>
      <c r="N1953" s="65" t="n"/>
    </row>
    <row r="1954">
      <c r="A1954" s="30" t="inlineStr">
        <is>
          <t>P1 Energía</t>
        </is>
      </c>
      <c r="B1954" s="31">
        <f>IF($P$1954&lt;&gt;"",ROUND(AA1954*(($AB$1954/(1-$P$1954))-17.0940)/18.2781,2),IF('Resumen'!$D$3="OPTIMIZAR",AA1954,AA1954))</f>
        <v/>
      </c>
      <c r="C1954" s="44" t="n"/>
      <c r="D1954" s="33" t="n">
        <v>0.111171</v>
      </c>
      <c r="E1954" s="34" t="n">
        <v>0.13788</v>
      </c>
      <c r="F1954" s="35">
        <f>ROUND(B1954*E1954,2)</f>
        <v/>
      </c>
      <c r="H1954" s="67" t="n"/>
      <c r="I1954" s="67" t="n"/>
      <c r="J1954" s="67" t="n"/>
      <c r="L1954" s="65" t="n"/>
      <c r="M1954" s="65" t="n"/>
      <c r="N1954" s="65" t="n"/>
      <c r="O1954" s="45" t="inlineStr">
        <is>
          <t>Margen objetivo (edita % aquí) ▶</t>
        </is>
      </c>
      <c r="P1954" s="5" t="n"/>
      <c r="AA1954" t="n">
        <v>36.17</v>
      </c>
      <c r="AB1954">
        <f>B1952*D1952+B1953*D1953+AA1954*D1954+AA1955*D1955+AA1956*D1956</f>
        <v/>
      </c>
    </row>
    <row r="1955">
      <c r="A1955" s="30" t="inlineStr">
        <is>
          <t>P2 Energía</t>
        </is>
      </c>
      <c r="B1955" s="31">
        <f>IF($P$1954&lt;&gt;"",ROUND(AA1955*(($AB$1954/(1-$P$1954))-17.0940)/18.2781,2),IF('Resumen'!$D$3="OPTIMIZAR",AA1955,AA1955))</f>
        <v/>
      </c>
      <c r="C1955" s="44" t="n"/>
      <c r="D1955" s="33" t="n">
        <v>0.111171</v>
      </c>
      <c r="E1955" s="34" t="n">
        <v>0.13788</v>
      </c>
      <c r="F1955" s="35">
        <f>ROUND(B1955*E1955,2)</f>
        <v/>
      </c>
      <c r="H1955" s="67" t="n"/>
      <c r="I1955" s="67" t="n"/>
      <c r="J1955" s="67" t="n"/>
      <c r="L1955" s="65" t="n"/>
      <c r="M1955" s="65" t="n"/>
      <c r="N1955" s="65" t="n"/>
      <c r="O1955" s="46" t="inlineStr">
        <is>
          <t>Cant. P1/P2/P3 energía suben</t>
        </is>
      </c>
      <c r="R1955" s="43" t="inlineStr">
        <is>
          <t>Importe mensual cobrado (€) · 24 meses ▾</t>
        </is>
      </c>
      <c r="AA1955" t="n">
        <v>29.212</v>
      </c>
    </row>
    <row r="1956">
      <c r="A1956" s="30" t="inlineStr">
        <is>
          <t>P3 Energía</t>
        </is>
      </c>
      <c r="B1956" s="31">
        <f>IF($P$1954&lt;&gt;"",ROUND(AA1956*(($AB$1954/(1-$P$1954))-17.0940)/18.2781,2),IF('Resumen'!$D$3="OPTIMIZAR",AA1956,AA1956))</f>
        <v/>
      </c>
      <c r="C1956" s="44" t="n"/>
      <c r="D1956" s="33" t="n">
        <v>0.111171</v>
      </c>
      <c r="E1956" s="34" t="n">
        <v>0.13788</v>
      </c>
      <c r="F1956" s="35">
        <f>ROUND(B1956*E1956,2)</f>
        <v/>
      </c>
      <c r="H1956" s="67" t="n"/>
      <c r="I1956" s="67" t="n"/>
      <c r="J1956" s="67" t="n"/>
      <c r="L1956" s="65" t="n"/>
      <c r="M1956" s="65" t="n"/>
      <c r="N1956" s="65" t="n"/>
      <c r="O1956" s="46" t="inlineStr">
        <is>
          <t>en proporción para ese margen</t>
        </is>
      </c>
      <c r="AA1956" t="n">
        <v>67.18300000000001</v>
      </c>
    </row>
    <row r="1957">
      <c r="A1957" s="30" t="inlineStr">
        <is>
          <t>Alquiler contador</t>
        </is>
      </c>
      <c r="B1957" s="31" t="n">
        <v>1</v>
      </c>
      <c r="C1957" s="32">
        <f>$N$1949-$L$1949+1</f>
        <v/>
      </c>
      <c r="D1957" s="33" t="n">
        <v>0.7989000000000001</v>
      </c>
      <c r="E1957" s="34" t="n">
        <v>3</v>
      </c>
      <c r="F1957" s="35">
        <f>ROUND(B1957*E1957,2)</f>
        <v/>
      </c>
      <c r="H1957" s="67" t="n"/>
      <c r="I1957" s="67" t="n"/>
      <c r="J1957" s="67" t="n"/>
      <c r="L1957" s="65" t="n"/>
      <c r="M1957" s="65" t="n"/>
      <c r="N1957" s="65" t="n"/>
    </row>
    <row r="1958">
      <c r="A1958" s="30" t="inlineStr">
        <is>
          <t>Bono social</t>
        </is>
      </c>
      <c r="B1958" s="31" t="n">
        <v>30</v>
      </c>
      <c r="C1958" s="32">
        <f>$N$1949-$L$1949+1</f>
        <v/>
      </c>
      <c r="D1958" s="33" t="n">
        <v>0.5736</v>
      </c>
      <c r="E1958" s="34" t="n">
        <v>0.01274</v>
      </c>
      <c r="F1958" s="35">
        <f>ROUND(B1958*E1958,2)</f>
        <v/>
      </c>
      <c r="H1958" s="67" t="n"/>
      <c r="I1958" s="67" t="n"/>
      <c r="J1958" s="67" t="n"/>
      <c r="L1958" s="65" t="n"/>
      <c r="M1958" s="65" t="n"/>
      <c r="N1958" s="65" t="n"/>
    </row>
    <row r="1959">
      <c r="A1959" s="30" t="inlineStr">
        <is>
          <t>Tasa eléctrica</t>
        </is>
      </c>
      <c r="B1959" s="31" t="n">
        <v>1.82</v>
      </c>
      <c r="C1959" s="44" t="n"/>
      <c r="D1959" s="33" t="n">
        <v>0.02671</v>
      </c>
      <c r="E1959" s="34" t="n">
        <v>1</v>
      </c>
      <c r="F1959" s="35">
        <f>ROUND(B1959*E1959,2)</f>
        <v/>
      </c>
      <c r="H1959" s="67" t="n"/>
      <c r="I1959" s="67" t="n"/>
      <c r="J1959" s="67" t="n"/>
      <c r="L1959" s="65" t="n"/>
      <c r="M1959" s="65" t="n"/>
      <c r="N1959" s="65" t="n"/>
    </row>
    <row r="1960">
      <c r="A1960" s="47" t="inlineStr">
        <is>
          <t>TOTAL c/IVA</t>
        </is>
      </c>
      <c r="F1960" s="48">
        <f>ROUND((SUM(F1952:F1959)-F1959)*1.1+F1959,2)</f>
        <v/>
      </c>
      <c r="J1960" s="69" t="n"/>
      <c r="N1960" s="66" t="n"/>
    </row>
    <row r="1961">
      <c r="A1961" s="19" t="inlineStr">
        <is>
          <t>MARGEN sin registrar</t>
        </is>
      </c>
      <c r="B1961" s="51">
        <f>IF((F1955+F1952+F1954+F1956+F1953)=0,"",((F1955+F1952+F1954+F1956+F1953)-$AB$1954)/(F1955+F1952+F1954+F1956+F1953))</f>
        <v/>
      </c>
      <c r="D1961" s="52">
        <f>IF(B1961="","SIN PC",IF(B1961&gt;=0.3,"APROBAR",IF(B1961&gt;=0.2,"REVISAR","RECHAZAR")))</f>
        <v/>
      </c>
      <c r="E1961" s="53" t="n"/>
      <c r="F1961" s="54" t="n"/>
      <c r="AD1961">
        <f>SUM(F1954:F1956)-18.2781</f>
        <v/>
      </c>
    </row>
    <row r="1963">
      <c r="A1963" s="15" t="inlineStr">
        <is>
          <t>Factura 8720 · C03360 · CBDSROLL,S.L.</t>
        </is>
      </c>
      <c r="H1963" s="15" t="inlineStr">
        <is>
          <t>ES0021000008123399MA · Naturgy</t>
        </is>
      </c>
      <c r="L1963" s="16" t="n">
        <v>46113</v>
      </c>
      <c r="M1963" s="17" t="inlineStr">
        <is>
          <t>a</t>
        </is>
      </c>
      <c r="N1963" s="16" t="n">
        <v>46142</v>
      </c>
      <c r="R1963" s="18" t="inlineStr">
        <is>
          <t>HISTÓRICO DEL CUPS · HOJA TTVA LUZ</t>
        </is>
      </c>
    </row>
    <row r="1964">
      <c r="A1964" s="19" t="inlineStr">
        <is>
          <t>Concepto</t>
        </is>
      </c>
      <c r="B1964" s="20" t="inlineStr">
        <is>
          <t>PENDIENTE (sin registrar)</t>
        </is>
      </c>
      <c r="C1964" s="21" t="n"/>
      <c r="D1964" s="21" t="n"/>
      <c r="E1964" s="21" t="n"/>
      <c r="F1964" s="21" t="n"/>
      <c r="H1964" s="22" t="inlineStr">
        <is>
          <t>MES ANTERIOR · (sin dato)</t>
        </is>
      </c>
      <c r="I1964" s="23" t="n"/>
      <c r="J1964" s="23" t="n"/>
      <c r="L1964" s="24" t="inlineStr">
        <is>
          <t>AÑO ANTERIOR · (sin dato)</t>
        </is>
      </c>
      <c r="M1964" s="25" t="n"/>
      <c r="N1964" s="25" t="n"/>
      <c r="R1964" s="26" t="inlineStr">
        <is>
          <t>Cobrado total: 0 €</t>
        </is>
      </c>
    </row>
    <row r="1965">
      <c r="B1965" s="7" t="inlineStr">
        <is>
          <t>Cant</t>
        </is>
      </c>
      <c r="C1965" s="7" t="inlineStr">
        <is>
          <t>Días</t>
        </is>
      </c>
      <c r="D1965" s="7" t="inlineStr">
        <is>
          <t>PC real</t>
        </is>
      </c>
      <c r="E1965" s="7" t="inlineStr">
        <is>
          <t>PV</t>
        </is>
      </c>
      <c r="F1965" s="7" t="inlineStr">
        <is>
          <t>Importe</t>
        </is>
      </c>
      <c r="H1965" s="27" t="inlineStr">
        <is>
          <t>Cant</t>
        </is>
      </c>
      <c r="I1965" s="27" t="inlineStr">
        <is>
          <t>PV</t>
        </is>
      </c>
      <c r="J1965" s="27" t="inlineStr">
        <is>
          <t>Importe</t>
        </is>
      </c>
      <c r="L1965" s="28" t="inlineStr">
        <is>
          <t>Cant</t>
        </is>
      </c>
      <c r="M1965" s="28" t="inlineStr">
        <is>
          <t>PV</t>
        </is>
      </c>
      <c r="N1965" s="28" t="inlineStr">
        <is>
          <t>Importe</t>
        </is>
      </c>
      <c r="R1965" s="29" t="inlineStr">
        <is>
          <t>Pagado total: 0 €</t>
        </is>
      </c>
    </row>
    <row r="1966">
      <c r="A1966" s="30" t="inlineStr">
        <is>
          <t>P1 Potencia</t>
        </is>
      </c>
      <c r="B1966" s="31" t="n">
        <v>4</v>
      </c>
      <c r="C1966" s="32">
        <f>$N$1963-$L$1963+1</f>
        <v/>
      </c>
      <c r="D1966" s="33" t="n">
        <v>3.68919</v>
      </c>
      <c r="E1966" s="34" t="n">
        <v>3.85</v>
      </c>
      <c r="F1966" s="35">
        <f>ROUND(B1966*E1966,2)</f>
        <v/>
      </c>
      <c r="H1966" s="67" t="n"/>
      <c r="I1966" s="67" t="n"/>
      <c r="J1966" s="67" t="n"/>
      <c r="L1966" s="65" t="n"/>
      <c r="M1966" s="65" t="n"/>
      <c r="N1966" s="65" t="n"/>
      <c r="R1966" s="42" t="inlineStr">
        <is>
          <t>DIF: 0 €   ·   Margen hist.: 100.0%</t>
        </is>
      </c>
    </row>
    <row r="1967">
      <c r="A1967" s="30" t="inlineStr">
        <is>
          <t>P2 Potencia</t>
        </is>
      </c>
      <c r="B1967" s="31" t="n">
        <v>4</v>
      </c>
      <c r="C1967" s="32">
        <f>$N$1963-$L$1963+1</f>
        <v/>
      </c>
      <c r="D1967" s="33" t="n">
        <v>1.31928</v>
      </c>
      <c r="E1967" s="34" t="n">
        <v>1.33</v>
      </c>
      <c r="F1967" s="35">
        <f>ROUND(B1967*E1967,2)</f>
        <v/>
      </c>
      <c r="H1967" s="67" t="n"/>
      <c r="I1967" s="67" t="n"/>
      <c r="J1967" s="67" t="n"/>
      <c r="L1967" s="65" t="n"/>
      <c r="M1967" s="65" t="n"/>
      <c r="N1967" s="65" t="n"/>
    </row>
    <row r="1968">
      <c r="A1968" s="30" t="inlineStr">
        <is>
          <t>P1 Energía</t>
        </is>
      </c>
      <c r="B1968" s="31">
        <f>IF($P$1968&lt;&gt;"",ROUND(AA1968*(($AB$1968/(1-$P$1968))-20.7200)/21.5573,2),IF('Resumen'!$D$3="OPTIMIZAR",AA1968,AA1968))</f>
        <v/>
      </c>
      <c r="C1968" s="44" t="n"/>
      <c r="D1968" s="33" t="n">
        <v>0.111171</v>
      </c>
      <c r="E1968" s="34" t="n">
        <v>0.13788</v>
      </c>
      <c r="F1968" s="35">
        <f>ROUND(B1968*E1968,2)</f>
        <v/>
      </c>
      <c r="H1968" s="67" t="n"/>
      <c r="I1968" s="67" t="n"/>
      <c r="J1968" s="67" t="n"/>
      <c r="L1968" s="65" t="n"/>
      <c r="M1968" s="65" t="n"/>
      <c r="N1968" s="65" t="n"/>
      <c r="O1968" s="45" t="inlineStr">
        <is>
          <t>Margen objetivo (edita % aquí) ▶</t>
        </is>
      </c>
      <c r="P1968" s="5" t="n"/>
      <c r="AA1968" t="n">
        <v>51.209</v>
      </c>
      <c r="AB1968">
        <f>B1966*D1966+B1967*D1967+AA1968*D1968+AA1969*D1969+AA1970*D1970</f>
        <v/>
      </c>
    </row>
    <row r="1969">
      <c r="A1969" s="30" t="inlineStr">
        <is>
          <t>P2 Energía</t>
        </is>
      </c>
      <c r="B1969" s="31">
        <f>IF($P$1968&lt;&gt;"",ROUND(AA1969*(($AB$1968/(1-$P$1968))-20.7200)/21.5573,2),IF('Resumen'!$D$3="OPTIMIZAR",AA1969,AA1969))</f>
        <v/>
      </c>
      <c r="C1969" s="44" t="n"/>
      <c r="D1969" s="33" t="n">
        <v>0.111171</v>
      </c>
      <c r="E1969" s="34" t="n">
        <v>0.13788</v>
      </c>
      <c r="F1969" s="35">
        <f>ROUND(B1969*E1969,2)</f>
        <v/>
      </c>
      <c r="H1969" s="67" t="n"/>
      <c r="I1969" s="67" t="n"/>
      <c r="J1969" s="67" t="n"/>
      <c r="L1969" s="65" t="n"/>
      <c r="M1969" s="65" t="n"/>
      <c r="N1969" s="65" t="n"/>
      <c r="O1969" s="46" t="inlineStr">
        <is>
          <t>Cant. P1/P2/P3 energía suben</t>
        </is>
      </c>
      <c r="R1969" s="43" t="inlineStr">
        <is>
          <t>Importe mensual cobrado (€) · 24 meses ▾</t>
        </is>
      </c>
      <c r="AA1969" t="n">
        <v>44.805</v>
      </c>
    </row>
    <row r="1970">
      <c r="A1970" s="30" t="inlineStr">
        <is>
          <t>P3 Energía</t>
        </is>
      </c>
      <c r="B1970" s="31">
        <f>IF($P$1968&lt;&gt;"",ROUND(AA1970*(($AB$1968/(1-$P$1968))-20.7200)/21.5573,2),IF('Resumen'!$D$3="OPTIMIZAR",AA1970,AA1970))</f>
        <v/>
      </c>
      <c r="C1970" s="44" t="n"/>
      <c r="D1970" s="33" t="n">
        <v>0.111171</v>
      </c>
      <c r="E1970" s="34" t="n">
        <v>0.13788</v>
      </c>
      <c r="F1970" s="35">
        <f>ROUND(B1970*E1970,2)</f>
        <v/>
      </c>
      <c r="H1970" s="67" t="n"/>
      <c r="I1970" s="67" t="n"/>
      <c r="J1970" s="67" t="n"/>
      <c r="L1970" s="65" t="n"/>
      <c r="M1970" s="65" t="n"/>
      <c r="N1970" s="65" t="n"/>
      <c r="O1970" s="46" t="inlineStr">
        <is>
          <t>en proporción para ese margen</t>
        </is>
      </c>
      <c r="AA1970" t="n">
        <v>60.334</v>
      </c>
    </row>
    <row r="1971">
      <c r="A1971" s="30" t="inlineStr">
        <is>
          <t>Alquiler contador</t>
        </is>
      </c>
      <c r="B1971" s="31" t="n">
        <v>1</v>
      </c>
      <c r="C1971" s="32">
        <f>$N$1963-$L$1963+1</f>
        <v/>
      </c>
      <c r="D1971" s="33" t="n">
        <v>0.7989000000000001</v>
      </c>
      <c r="E1971" s="34" t="n">
        <v>3</v>
      </c>
      <c r="F1971" s="35">
        <f>ROUND(B1971*E1971,2)</f>
        <v/>
      </c>
      <c r="H1971" s="67" t="n"/>
      <c r="I1971" s="67" t="n"/>
      <c r="J1971" s="67" t="n"/>
      <c r="L1971" s="65" t="n"/>
      <c r="M1971" s="65" t="n"/>
      <c r="N1971" s="65" t="n"/>
    </row>
    <row r="1972">
      <c r="A1972" s="30" t="inlineStr">
        <is>
          <t>Bono social</t>
        </is>
      </c>
      <c r="B1972" s="31" t="n">
        <v>30</v>
      </c>
      <c r="C1972" s="32">
        <f>$N$1963-$L$1963+1</f>
        <v/>
      </c>
      <c r="D1972" s="33" t="n">
        <v>0.5736</v>
      </c>
      <c r="E1972" s="34" t="n">
        <v>0.01274</v>
      </c>
      <c r="F1972" s="35">
        <f>ROUND(B1972*E1972,2)</f>
        <v/>
      </c>
      <c r="H1972" s="67" t="n"/>
      <c r="I1972" s="67" t="n"/>
      <c r="J1972" s="67" t="n"/>
      <c r="L1972" s="65" t="n"/>
      <c r="M1972" s="65" t="n"/>
      <c r="N1972" s="65" t="n"/>
    </row>
    <row r="1973">
      <c r="A1973" s="30" t="inlineStr">
        <is>
          <t>Tasa eléctrica</t>
        </is>
      </c>
      <c r="B1973" s="31" t="n">
        <v>2.17</v>
      </c>
      <c r="C1973" s="44" t="n"/>
      <c r="D1973" s="33" t="n">
        <v>0.02671</v>
      </c>
      <c r="E1973" s="34" t="n">
        <v>1</v>
      </c>
      <c r="F1973" s="35">
        <f>ROUND(B1973*E1973,2)</f>
        <v/>
      </c>
      <c r="H1973" s="67" t="n"/>
      <c r="I1973" s="67" t="n"/>
      <c r="J1973" s="67" t="n"/>
      <c r="L1973" s="65" t="n"/>
      <c r="M1973" s="65" t="n"/>
      <c r="N1973" s="65" t="n"/>
    </row>
    <row r="1974">
      <c r="A1974" s="47" t="inlineStr">
        <is>
          <t>TOTAL c/IVA</t>
        </is>
      </c>
      <c r="F1974" s="48">
        <f>ROUND((SUM(F1966:F1973)-F1973)*1.1+F1973,2)</f>
        <v/>
      </c>
      <c r="J1974" s="69" t="n"/>
      <c r="N1974" s="66" t="n"/>
    </row>
    <row r="1975">
      <c r="A1975" s="19" t="inlineStr">
        <is>
          <t>MARGEN sin registrar</t>
        </is>
      </c>
      <c r="B1975" s="51">
        <f>IF((F1969+F1966+F1968+F1970+F1967)=0,"",((F1969+F1966+F1968+F1970+F1967)-$AB$1968)/(F1969+F1966+F1968+F1970+F1967))</f>
        <v/>
      </c>
      <c r="D1975" s="52">
        <f>IF(B1975="","SIN PC",IF(B1975&gt;=0.3,"APROBAR",IF(B1975&gt;=0.2,"REVISAR","RECHAZAR")))</f>
        <v/>
      </c>
      <c r="E1975" s="53" t="n"/>
      <c r="F1975" s="54" t="n"/>
      <c r="AD1975">
        <f>SUM(F1968:F1970)-21.5573</f>
        <v/>
      </c>
    </row>
    <row r="1977">
      <c r="A1977" s="15" t="inlineStr">
        <is>
          <t xml:space="preserve">Factura 8721 · C03380 · </t>
        </is>
      </c>
      <c r="H1977" s="15" t="inlineStr">
        <is>
          <t>ES0021000008123313RD · Naturgy</t>
        </is>
      </c>
      <c r="L1977" s="16" t="n">
        <v>46113</v>
      </c>
      <c r="M1977" s="17" t="inlineStr">
        <is>
          <t>a</t>
        </is>
      </c>
      <c r="N1977" s="16" t="n">
        <v>46142</v>
      </c>
      <c r="R1977" s="18" t="inlineStr">
        <is>
          <t>HISTÓRICO DEL CUPS · HOJA TTVA LUZ</t>
        </is>
      </c>
    </row>
    <row r="1978">
      <c r="A1978" s="19" t="inlineStr">
        <is>
          <t>Concepto</t>
        </is>
      </c>
      <c r="B1978" s="20" t="inlineStr">
        <is>
          <t>PENDIENTE (sin registrar)</t>
        </is>
      </c>
      <c r="C1978" s="21" t="n"/>
      <c r="D1978" s="21" t="n"/>
      <c r="E1978" s="21" t="n"/>
      <c r="F1978" s="21" t="n"/>
      <c r="H1978" s="22" t="inlineStr">
        <is>
          <t>MES ANTERIOR · (sin dato)</t>
        </is>
      </c>
      <c r="I1978" s="23" t="n"/>
      <c r="J1978" s="23" t="n"/>
      <c r="L1978" s="24" t="inlineStr">
        <is>
          <t>AÑO ANTERIOR · (sin dato)</t>
        </is>
      </c>
      <c r="M1978" s="25" t="n"/>
      <c r="N1978" s="25" t="n"/>
      <c r="R1978" s="26" t="inlineStr">
        <is>
          <t>Cobrado total: 1 €</t>
        </is>
      </c>
    </row>
    <row r="1979">
      <c r="B1979" s="7" t="inlineStr">
        <is>
          <t>Cant</t>
        </is>
      </c>
      <c r="C1979" s="7" t="inlineStr">
        <is>
          <t>Días</t>
        </is>
      </c>
      <c r="D1979" s="7" t="inlineStr">
        <is>
          <t>PC real</t>
        </is>
      </c>
      <c r="E1979" s="7" t="inlineStr">
        <is>
          <t>PV</t>
        </is>
      </c>
      <c r="F1979" s="7" t="inlineStr">
        <is>
          <t>Importe</t>
        </is>
      </c>
      <c r="H1979" s="27" t="inlineStr">
        <is>
          <t>Cant</t>
        </is>
      </c>
      <c r="I1979" s="27" t="inlineStr">
        <is>
          <t>PV</t>
        </is>
      </c>
      <c r="J1979" s="27" t="inlineStr">
        <is>
          <t>Importe</t>
        </is>
      </c>
      <c r="L1979" s="28" t="inlineStr">
        <is>
          <t>Cant</t>
        </is>
      </c>
      <c r="M1979" s="28" t="inlineStr">
        <is>
          <t>PV</t>
        </is>
      </c>
      <c r="N1979" s="28" t="inlineStr">
        <is>
          <t>Importe</t>
        </is>
      </c>
      <c r="R1979" s="29" t="inlineStr">
        <is>
          <t>Pagado total: 0 €</t>
        </is>
      </c>
    </row>
    <row r="1980">
      <c r="A1980" s="30" t="inlineStr">
        <is>
          <t>P1 Potencia</t>
        </is>
      </c>
      <c r="B1980" s="31" t="n">
        <v>10.392</v>
      </c>
      <c r="C1980" s="32">
        <f>$N$1977-$L$1977+1</f>
        <v/>
      </c>
      <c r="D1980" s="33" t="n"/>
      <c r="E1980" s="34" t="n">
        <v>3.85</v>
      </c>
      <c r="F1980" s="35">
        <f>ROUND(B1980*E1980,2)</f>
        <v/>
      </c>
      <c r="H1980" s="67" t="n"/>
      <c r="I1980" s="67" t="n"/>
      <c r="J1980" s="67" t="n"/>
      <c r="L1980" s="65" t="n"/>
      <c r="M1980" s="65" t="n"/>
      <c r="N1980" s="65" t="n"/>
      <c r="R1980" s="42" t="inlineStr">
        <is>
          <t>DIF: 1 €   ·   Margen hist.: 100.0%</t>
        </is>
      </c>
    </row>
    <row r="1981">
      <c r="A1981" s="30" t="inlineStr">
        <is>
          <t>P2 Potencia</t>
        </is>
      </c>
      <c r="B1981" s="31" t="n">
        <v>10.392</v>
      </c>
      <c r="C1981" s="32">
        <f>$N$1977-$L$1977+1</f>
        <v/>
      </c>
      <c r="D1981" s="33" t="n"/>
      <c r="E1981" s="34" t="n">
        <v>1.33</v>
      </c>
      <c r="F1981" s="35">
        <f>ROUND(B1981*E1981,2)</f>
        <v/>
      </c>
      <c r="H1981" s="67" t="n"/>
      <c r="I1981" s="67" t="n"/>
      <c r="J1981" s="67" t="n"/>
      <c r="L1981" s="65" t="n"/>
      <c r="M1981" s="65" t="n"/>
      <c r="N1981" s="65" t="n"/>
    </row>
    <row r="1982">
      <c r="A1982" s="30" t="inlineStr">
        <is>
          <t>P1 Energía</t>
        </is>
      </c>
      <c r="B1982" s="31">
        <f>IF($P$1982&lt;&gt;"",ROUND(AA1982*(($AB$1982/(1-$P$1982))-53.8306)/4.9645,2),IF('Resumen'!$D$3="OPTIMIZAR",AA1982,AA1982))</f>
        <v/>
      </c>
      <c r="C1982" s="44" t="n"/>
      <c r="D1982" s="33" t="n"/>
      <c r="E1982" s="34" t="n">
        <v>0.13788</v>
      </c>
      <c r="F1982" s="35">
        <f>ROUND(B1982*E1982,2)</f>
        <v/>
      </c>
      <c r="H1982" s="67" t="n"/>
      <c r="I1982" s="67" t="n"/>
      <c r="J1982" s="67" t="n"/>
      <c r="L1982" s="65" t="n"/>
      <c r="M1982" s="65" t="n"/>
      <c r="N1982" s="65" t="n"/>
      <c r="O1982" s="45" t="inlineStr">
        <is>
          <t>Margen objetivo (edita % aquí) ▶</t>
        </is>
      </c>
      <c r="P1982" s="5" t="n"/>
      <c r="AA1982" t="n">
        <v>14.103</v>
      </c>
      <c r="AB1982">
        <f>B1980*D1980+B1981*D1981+AA1982*D1982+AA1983*D1983+AA1984*D1984</f>
        <v/>
      </c>
    </row>
    <row r="1983">
      <c r="A1983" s="30" t="inlineStr">
        <is>
          <t>P2 Energía</t>
        </is>
      </c>
      <c r="B1983" s="31">
        <f>IF($P$1982&lt;&gt;"",ROUND(AA1983*(($AB$1982/(1-$P$1982))-53.8306)/4.9645,2),IF('Resumen'!$D$3="OPTIMIZAR",AA1983,AA1983))</f>
        <v/>
      </c>
      <c r="C1983" s="44" t="n"/>
      <c r="D1983" s="33" t="n"/>
      <c r="E1983" s="34" t="n">
        <v>0.13788</v>
      </c>
      <c r="F1983" s="35">
        <f>ROUND(B1983*E1983,2)</f>
        <v/>
      </c>
      <c r="H1983" s="67" t="n"/>
      <c r="I1983" s="67" t="n"/>
      <c r="J1983" s="67" t="n"/>
      <c r="L1983" s="65" t="n"/>
      <c r="M1983" s="65" t="n"/>
      <c r="N1983" s="65" t="n"/>
      <c r="O1983" s="46" t="inlineStr">
        <is>
          <t>Cant. P1/P2/P3 energía suben</t>
        </is>
      </c>
      <c r="R1983" s="43" t="inlineStr">
        <is>
          <t>Importe mensual cobrado (€) · 24 meses ▾</t>
        </is>
      </c>
      <c r="AA1983" t="n">
        <v>14.029</v>
      </c>
    </row>
    <row r="1984">
      <c r="A1984" s="30" t="inlineStr">
        <is>
          <t>P3 Energía</t>
        </is>
      </c>
      <c r="B1984" s="31">
        <f>IF($P$1982&lt;&gt;"",ROUND(AA1984*(($AB$1982/(1-$P$1982))-53.8306)/4.9645,2),IF('Resumen'!$D$3="OPTIMIZAR",AA1984,AA1984))</f>
        <v/>
      </c>
      <c r="C1984" s="44" t="n"/>
      <c r="D1984" s="33" t="n"/>
      <c r="E1984" s="34" t="n">
        <v>0.13788</v>
      </c>
      <c r="F1984" s="35">
        <f>ROUND(B1984*E1984,2)</f>
        <v/>
      </c>
      <c r="H1984" s="67" t="n"/>
      <c r="I1984" s="67" t="n"/>
      <c r="J1984" s="67" t="n"/>
      <c r="L1984" s="65" t="n"/>
      <c r="M1984" s="65" t="n"/>
      <c r="N1984" s="65" t="n"/>
      <c r="O1984" s="46" t="inlineStr">
        <is>
          <t>en proporción para ese margen</t>
        </is>
      </c>
      <c r="AA1984" t="n">
        <v>7.874</v>
      </c>
    </row>
    <row r="1985">
      <c r="A1985" s="30" t="inlineStr">
        <is>
          <t>Alquiler contador</t>
        </is>
      </c>
      <c r="B1985" s="31" t="n">
        <v>1</v>
      </c>
      <c r="C1985" s="32">
        <f>$N$1977-$L$1977+1</f>
        <v/>
      </c>
      <c r="D1985" s="33" t="n"/>
      <c r="E1985" s="34" t="n">
        <v>3</v>
      </c>
      <c r="F1985" s="35">
        <f>ROUND(B1985*E1985,2)</f>
        <v/>
      </c>
      <c r="H1985" s="67" t="n"/>
      <c r="I1985" s="67" t="n"/>
      <c r="J1985" s="67" t="n"/>
      <c r="L1985" s="65" t="n"/>
      <c r="M1985" s="65" t="n"/>
      <c r="N1985" s="65" t="n"/>
    </row>
    <row r="1986">
      <c r="A1986" s="30" t="inlineStr">
        <is>
          <t>Bono social</t>
        </is>
      </c>
      <c r="B1986" s="31" t="n">
        <v>30</v>
      </c>
      <c r="C1986" s="32">
        <f>$N$1977-$L$1977+1</f>
        <v/>
      </c>
      <c r="D1986" s="33" t="n"/>
      <c r="E1986" s="34" t="n">
        <v>0.01274</v>
      </c>
      <c r="F1986" s="35">
        <f>ROUND(B1986*E1986,2)</f>
        <v/>
      </c>
      <c r="H1986" s="67" t="n"/>
      <c r="I1986" s="67" t="n"/>
      <c r="J1986" s="67" t="n"/>
      <c r="L1986" s="65" t="n"/>
      <c r="M1986" s="65" t="n"/>
      <c r="N1986" s="65" t="n"/>
    </row>
    <row r="1987">
      <c r="A1987" s="30" t="inlineStr">
        <is>
          <t>Tasa eléctrica</t>
        </is>
      </c>
      <c r="B1987" s="31" t="n">
        <v>3.01</v>
      </c>
      <c r="C1987" s="44" t="n"/>
      <c r="D1987" s="33" t="n"/>
      <c r="E1987" s="34" t="n">
        <v>1</v>
      </c>
      <c r="F1987" s="35">
        <f>ROUND(B1987*E1987,2)</f>
        <v/>
      </c>
      <c r="H1987" s="67" t="n"/>
      <c r="I1987" s="67" t="n"/>
      <c r="J1987" s="67" t="n"/>
      <c r="L1987" s="65" t="n"/>
      <c r="M1987" s="65" t="n"/>
      <c r="N1987" s="65" t="n"/>
    </row>
    <row r="1988">
      <c r="A1988" s="47" t="inlineStr">
        <is>
          <t>TOTAL c/IVA</t>
        </is>
      </c>
      <c r="F1988" s="48">
        <f>ROUND((SUM(F1980:F1987)-F1987)*1.1+F1987,2)</f>
        <v/>
      </c>
      <c r="J1988" s="69" t="n"/>
      <c r="N1988" s="66" t="n"/>
    </row>
    <row r="1989">
      <c r="A1989" s="19" t="inlineStr">
        <is>
          <t>MARGEN sin registrar</t>
        </is>
      </c>
      <c r="B1989" s="51">
        <f>IF((F1983+F1980+F1982+F1984+F1981)=0,"",((F1983+F1980+F1982+F1984+F1981)-$AB$1982)/(F1983+F1980+F1982+F1984+F1981))</f>
        <v/>
      </c>
      <c r="D1989" s="52">
        <f>IF(B1989="","SIN PC",IF(B1989&gt;=0.3,"APROBAR",IF(B1989&gt;=0.2,"REVISAR","RECHAZAR")))</f>
        <v/>
      </c>
      <c r="E1989" s="53" t="n"/>
      <c r="F1989" s="54" t="n"/>
      <c r="AD1989">
        <f>SUM(F1982:F1984)-4.9645</f>
        <v/>
      </c>
    </row>
    <row r="1991">
      <c r="A1991" s="15" t="inlineStr">
        <is>
          <t>Factura 8722 · C03390 · MAGDALENA ORTOLÁ FERRER</t>
        </is>
      </c>
      <c r="H1991" s="15" t="inlineStr">
        <is>
          <t>ES0021000000827500PA · Naturgy</t>
        </is>
      </c>
      <c r="L1991" s="16" t="n">
        <v>46113</v>
      </c>
      <c r="M1991" s="17" t="inlineStr">
        <is>
          <t>a</t>
        </is>
      </c>
      <c r="N1991" s="16" t="n">
        <v>46142</v>
      </c>
      <c r="R1991" s="18" t="inlineStr">
        <is>
          <t>HISTÓRICO DEL CUPS · HOJA TTVA LUZ</t>
        </is>
      </c>
    </row>
    <row r="1992">
      <c r="A1992" s="19" t="inlineStr">
        <is>
          <t>Concepto</t>
        </is>
      </c>
      <c r="B1992" s="20" t="inlineStr">
        <is>
          <t>PENDIENTE (sin registrar)</t>
        </is>
      </c>
      <c r="C1992" s="21" t="n"/>
      <c r="D1992" s="21" t="n"/>
      <c r="E1992" s="21" t="n"/>
      <c r="F1992" s="21" t="n"/>
      <c r="H1992" s="22" t="inlineStr">
        <is>
          <t>MES ANTERIOR · Fact.6324</t>
        </is>
      </c>
      <c r="I1992" s="23" t="n"/>
      <c r="J1992" s="23" t="n"/>
      <c r="L1992" s="24" t="inlineStr">
        <is>
          <t>AÑO ANTERIOR · (sin dato)</t>
        </is>
      </c>
      <c r="M1992" s="25" t="n"/>
      <c r="N1992" s="25" t="n"/>
      <c r="R1992" s="26" t="inlineStr">
        <is>
          <t>Cobrado total: 1 €</t>
        </is>
      </c>
    </row>
    <row r="1993">
      <c r="B1993" s="7" t="inlineStr">
        <is>
          <t>Cant</t>
        </is>
      </c>
      <c r="C1993" s="7" t="inlineStr">
        <is>
          <t>Días</t>
        </is>
      </c>
      <c r="D1993" s="7" t="inlineStr">
        <is>
          <t>PC real</t>
        </is>
      </c>
      <c r="E1993" s="7" t="inlineStr">
        <is>
          <t>PV</t>
        </is>
      </c>
      <c r="F1993" s="7" t="inlineStr">
        <is>
          <t>Importe</t>
        </is>
      </c>
      <c r="H1993" s="27" t="inlineStr">
        <is>
          <t>Cant</t>
        </is>
      </c>
      <c r="I1993" s="27" t="inlineStr">
        <is>
          <t>PV</t>
        </is>
      </c>
      <c r="J1993" s="27" t="inlineStr">
        <is>
          <t>Importe</t>
        </is>
      </c>
      <c r="L1993" s="28" t="inlineStr">
        <is>
          <t>Cant</t>
        </is>
      </c>
      <c r="M1993" s="28" t="inlineStr">
        <is>
          <t>PV</t>
        </is>
      </c>
      <c r="N1993" s="28" t="inlineStr">
        <is>
          <t>Importe</t>
        </is>
      </c>
      <c r="R1993" s="29" t="inlineStr">
        <is>
          <t>Pagado total: 0 €</t>
        </is>
      </c>
    </row>
    <row r="1994">
      <c r="A1994" s="30" t="inlineStr">
        <is>
          <t>P1 Potencia</t>
        </is>
      </c>
      <c r="B1994" s="31" t="n">
        <v>5.75</v>
      </c>
      <c r="C1994" s="32">
        <f>$N$1991-$L$1991+1</f>
        <v/>
      </c>
      <c r="D1994" s="33" t="n">
        <v>3.68919</v>
      </c>
      <c r="E1994" s="34" t="n">
        <v>3.85</v>
      </c>
      <c r="F1994" s="35">
        <f>ROUND(B1994*E1994,2)</f>
        <v/>
      </c>
      <c r="H1994" s="36" t="n">
        <v>5.75</v>
      </c>
      <c r="I1994" s="37" t="n">
        <v>3.85</v>
      </c>
      <c r="J1994" s="38">
        <f>ROUND(H1994*I1994,2)</f>
        <v/>
      </c>
      <c r="L1994" s="65" t="n"/>
      <c r="M1994" s="65" t="n"/>
      <c r="N1994" s="65" t="n"/>
      <c r="R1994" s="42" t="inlineStr">
        <is>
          <t>DIF: 1 €   ·   Margen hist.: 100.0%</t>
        </is>
      </c>
    </row>
    <row r="1995">
      <c r="A1995" s="30" t="inlineStr">
        <is>
          <t>P2 Potencia</t>
        </is>
      </c>
      <c r="B1995" s="31" t="n">
        <v>5.75</v>
      </c>
      <c r="C1995" s="32">
        <f>$N$1991-$L$1991+1</f>
        <v/>
      </c>
      <c r="D1995" s="33" t="n">
        <v>1.31928</v>
      </c>
      <c r="E1995" s="34" t="n">
        <v>1.33</v>
      </c>
      <c r="F1995" s="35">
        <f>ROUND(B1995*E1995,2)</f>
        <v/>
      </c>
      <c r="H1995" s="36" t="n">
        <v>5.75</v>
      </c>
      <c r="I1995" s="37" t="n">
        <v>1.33</v>
      </c>
      <c r="J1995" s="38">
        <f>ROUND(H1995*I1995,2)</f>
        <v/>
      </c>
      <c r="L1995" s="65" t="n"/>
      <c r="M1995" s="65" t="n"/>
      <c r="N1995" s="65" t="n"/>
    </row>
    <row r="1996">
      <c r="A1996" s="30" t="inlineStr">
        <is>
          <t>P1 Energía</t>
        </is>
      </c>
      <c r="B1996" s="31">
        <f>IF($P$1996&lt;&gt;"",ROUND(AA1996*(($AB$1996/(1-$P$1996))-29.7850)/22.7862,2),IF('Resumen'!$D$3="OPTIMIZAR",AA1996,AA1996))</f>
        <v/>
      </c>
      <c r="C1996" s="44" t="n"/>
      <c r="D1996" s="33" t="n">
        <v>0.111171</v>
      </c>
      <c r="E1996" s="34" t="n">
        <v>0.13788</v>
      </c>
      <c r="F1996" s="35">
        <f>ROUND(B1996*E1996,2)</f>
        <v/>
      </c>
      <c r="H1996" s="36" t="n">
        <v>64.402</v>
      </c>
      <c r="I1996" s="37" t="n">
        <v>0.13788</v>
      </c>
      <c r="J1996" s="38">
        <f>ROUND(H1996*I1996,2)</f>
        <v/>
      </c>
      <c r="L1996" s="65" t="n"/>
      <c r="M1996" s="65" t="n"/>
      <c r="N1996" s="65" t="n"/>
      <c r="O1996" s="45" t="inlineStr">
        <is>
          <t>Margen objetivo (edita % aquí) ▶</t>
        </is>
      </c>
      <c r="P1996" s="5" t="n"/>
      <c r="AA1996" t="n">
        <v>43.383</v>
      </c>
      <c r="AB1996">
        <f>B1994*D1994+B1995*D1995+AA1996*D1996+AA1997*D1997+AA1998*D1998</f>
        <v/>
      </c>
    </row>
    <row r="1997">
      <c r="A1997" s="30" t="inlineStr">
        <is>
          <t>P2 Energía</t>
        </is>
      </c>
      <c r="B1997" s="31">
        <f>IF($P$1996&lt;&gt;"",ROUND(AA1997*(($AB$1996/(1-$P$1996))-29.7850)/22.7862,2),IF('Resumen'!$D$3="OPTIMIZAR",AA1997,AA1997))</f>
        <v/>
      </c>
      <c r="C1997" s="44" t="n"/>
      <c r="D1997" s="33" t="n">
        <v>0.111171</v>
      </c>
      <c r="E1997" s="34" t="n">
        <v>0.13788</v>
      </c>
      <c r="F1997" s="35">
        <f>ROUND(B1997*E1997,2)</f>
        <v/>
      </c>
      <c r="H1997" s="36" t="n">
        <v>63.161</v>
      </c>
      <c r="I1997" s="37" t="n">
        <v>0.13788</v>
      </c>
      <c r="J1997" s="38">
        <f>ROUND(H1997*I1997,2)</f>
        <v/>
      </c>
      <c r="L1997" s="65" t="n"/>
      <c r="M1997" s="65" t="n"/>
      <c r="N1997" s="65" t="n"/>
      <c r="O1997" s="46" t="inlineStr">
        <is>
          <t>Cant. P1/P2/P3 energía suben</t>
        </is>
      </c>
      <c r="R1997" s="43" t="inlineStr">
        <is>
          <t>Importe mensual cobrado (€) · 24 meses ▾</t>
        </is>
      </c>
      <c r="AA1997" t="n">
        <v>51.333</v>
      </c>
    </row>
    <row r="1998">
      <c r="A1998" s="30" t="inlineStr">
        <is>
          <t>P3 Energía</t>
        </is>
      </c>
      <c r="B1998" s="31">
        <f>IF($P$1996&lt;&gt;"",ROUND(AA1998*(($AB$1996/(1-$P$1996))-29.7850)/22.7862,2),IF('Resumen'!$D$3="OPTIMIZAR",AA1998,AA1998))</f>
        <v/>
      </c>
      <c r="C1998" s="44" t="n"/>
      <c r="D1998" s="33" t="n">
        <v>0.111171</v>
      </c>
      <c r="E1998" s="34" t="n">
        <v>0.13788</v>
      </c>
      <c r="F1998" s="35">
        <f>ROUND(B1998*E1998,2)</f>
        <v/>
      </c>
      <c r="H1998" s="36" t="n">
        <v>90.626</v>
      </c>
      <c r="I1998" s="37" t="n">
        <v>0.13788</v>
      </c>
      <c r="J1998" s="38">
        <f>ROUND(H1998*I1998,2)</f>
        <v/>
      </c>
      <c r="L1998" s="65" t="n"/>
      <c r="M1998" s="65" t="n"/>
      <c r="N1998" s="65" t="n"/>
      <c r="O1998" s="46" t="inlineStr">
        <is>
          <t>en proporción para ese margen</t>
        </is>
      </c>
      <c r="AA1998" t="n">
        <v>70.545</v>
      </c>
    </row>
    <row r="1999">
      <c r="A1999" s="30" t="inlineStr">
        <is>
          <t>Alquiler contador</t>
        </is>
      </c>
      <c r="B1999" s="31" t="n">
        <v>1</v>
      </c>
      <c r="C1999" s="32">
        <f>$N$1991-$L$1991+1</f>
        <v/>
      </c>
      <c r="D1999" s="33" t="n">
        <v>0.7989000000000001</v>
      </c>
      <c r="E1999" s="34" t="n">
        <v>3</v>
      </c>
      <c r="F1999" s="35">
        <f>ROUND(B1999*E1999,2)</f>
        <v/>
      </c>
      <c r="H1999" s="36" t="n">
        <v>1</v>
      </c>
      <c r="I1999" s="37" t="n">
        <v>3</v>
      </c>
      <c r="J1999" s="38">
        <f>ROUND(H1999*I1999,2)</f>
        <v/>
      </c>
      <c r="L1999" s="65" t="n"/>
      <c r="M1999" s="65" t="n"/>
      <c r="N1999" s="65" t="n"/>
    </row>
    <row r="2000">
      <c r="A2000" s="30" t="inlineStr">
        <is>
          <t>Bono social</t>
        </is>
      </c>
      <c r="B2000" s="31" t="n">
        <v>30</v>
      </c>
      <c r="C2000" s="32">
        <f>$N$1991-$L$1991+1</f>
        <v/>
      </c>
      <c r="D2000" s="33" t="n">
        <v>0.5736</v>
      </c>
      <c r="E2000" s="34" t="n">
        <v>0.01274</v>
      </c>
      <c r="F2000" s="35">
        <f>ROUND(B2000*E2000,2)</f>
        <v/>
      </c>
      <c r="H2000" s="36" t="n">
        <v>30</v>
      </c>
      <c r="I2000" s="37" t="n">
        <v>0.01274</v>
      </c>
      <c r="J2000" s="38">
        <f>ROUND(H2000*I2000,2)</f>
        <v/>
      </c>
      <c r="L2000" s="65" t="n"/>
      <c r="M2000" s="65" t="n"/>
      <c r="N2000" s="65" t="n"/>
    </row>
    <row r="2001">
      <c r="A2001" s="30" t="inlineStr">
        <is>
          <t>Tasa eléctrica</t>
        </is>
      </c>
      <c r="B2001" s="31" t="n">
        <v>2.7</v>
      </c>
      <c r="C2001" s="44" t="n"/>
      <c r="D2001" s="33" t="n">
        <v>0.02671</v>
      </c>
      <c r="E2001" s="34" t="n">
        <v>1</v>
      </c>
      <c r="F2001" s="35">
        <f>ROUND(B2001*E2001,2)</f>
        <v/>
      </c>
      <c r="H2001" s="36" t="n">
        <v>3.07</v>
      </c>
      <c r="I2001" s="37" t="n">
        <v>1</v>
      </c>
      <c r="J2001" s="38">
        <f>ROUND(H2001*I2001,2)</f>
        <v/>
      </c>
      <c r="L2001" s="65" t="n"/>
      <c r="M2001" s="65" t="n"/>
      <c r="N2001" s="65" t="n"/>
    </row>
    <row r="2002">
      <c r="A2002" s="47" t="inlineStr">
        <is>
          <t>TOTAL c/IVA</t>
        </is>
      </c>
      <c r="F2002" s="48">
        <f>ROUND((SUM(F1994:F2001)-F2001)*1.1+F2001,2)</f>
        <v/>
      </c>
      <c r="J2002" s="49">
        <f>ROUND(SUM(J1994:J2001),2)</f>
        <v/>
      </c>
      <c r="N2002" s="66" t="n"/>
    </row>
    <row r="2003">
      <c r="A2003" s="19" t="inlineStr">
        <is>
          <t>MARGEN sin registrar</t>
        </is>
      </c>
      <c r="B2003" s="51">
        <f>IF((F1997+F1994+F1996+F1998+F1995)=0,"",((F1997+F1994+F1996+F1998+F1995)-$AB$1996)/(F1997+F1994+F1996+F1998+F1995))</f>
        <v/>
      </c>
      <c r="D2003" s="52">
        <f>IF(B2003="","SIN PC",IF(B2003&gt;=0.3,"APROBAR",IF(B2003&gt;=0.2,"REVISAR","RECHAZAR")))</f>
        <v/>
      </c>
      <c r="E2003" s="53" t="n"/>
      <c r="F2003" s="54" t="n"/>
      <c r="AD2003">
        <f>SUM(F1996:F1998)-22.7862</f>
        <v/>
      </c>
    </row>
    <row r="2005">
      <c r="A2005" s="15" t="inlineStr">
        <is>
          <t>Factura 8723 · C03400 · ZISKO SLAVOMIR</t>
        </is>
      </c>
      <c r="H2005" s="15" t="inlineStr">
        <is>
          <t>ES0021000001386440KC · Naturgy</t>
        </is>
      </c>
      <c r="L2005" s="16" t="n">
        <v>46113</v>
      </c>
      <c r="M2005" s="17" t="inlineStr">
        <is>
          <t>a</t>
        </is>
      </c>
      <c r="N2005" s="16" t="n">
        <v>46142</v>
      </c>
      <c r="R2005" s="18" t="inlineStr">
        <is>
          <t>HISTÓRICO DEL CUPS · HOJA TTVA LUZ</t>
        </is>
      </c>
    </row>
    <row r="2006">
      <c r="A2006" s="19" t="inlineStr">
        <is>
          <t>Concepto</t>
        </is>
      </c>
      <c r="B2006" s="20" t="inlineStr">
        <is>
          <t>PENDIENTE (sin registrar)</t>
        </is>
      </c>
      <c r="C2006" s="21" t="n"/>
      <c r="D2006" s="21" t="n"/>
      <c r="E2006" s="21" t="n"/>
      <c r="F2006" s="21" t="n"/>
      <c r="H2006" s="22" t="inlineStr">
        <is>
          <t>MES ANTERIOR · Fact.6323</t>
        </is>
      </c>
      <c r="I2006" s="23" t="n"/>
      <c r="J2006" s="23" t="n"/>
      <c r="L2006" s="24" t="inlineStr">
        <is>
          <t>AÑO ANTERIOR · (sin dato)</t>
        </is>
      </c>
      <c r="M2006" s="25" t="n"/>
      <c r="N2006" s="25" t="n"/>
      <c r="R2006" s="26" t="inlineStr">
        <is>
          <t>Cobrado total: 1 €</t>
        </is>
      </c>
    </row>
    <row r="2007">
      <c r="B2007" s="7" t="inlineStr">
        <is>
          <t>Cant</t>
        </is>
      </c>
      <c r="C2007" s="7" t="inlineStr">
        <is>
          <t>Días</t>
        </is>
      </c>
      <c r="D2007" s="7" t="inlineStr">
        <is>
          <t>PC real</t>
        </is>
      </c>
      <c r="E2007" s="7" t="inlineStr">
        <is>
          <t>PV</t>
        </is>
      </c>
      <c r="F2007" s="7" t="inlineStr">
        <is>
          <t>Importe</t>
        </is>
      </c>
      <c r="H2007" s="27" t="inlineStr">
        <is>
          <t>Cant</t>
        </is>
      </c>
      <c r="I2007" s="27" t="inlineStr">
        <is>
          <t>PV</t>
        </is>
      </c>
      <c r="J2007" s="27" t="inlineStr">
        <is>
          <t>Importe</t>
        </is>
      </c>
      <c r="L2007" s="28" t="inlineStr">
        <is>
          <t>Cant</t>
        </is>
      </c>
      <c r="M2007" s="28" t="inlineStr">
        <is>
          <t>PV</t>
        </is>
      </c>
      <c r="N2007" s="28" t="inlineStr">
        <is>
          <t>Importe</t>
        </is>
      </c>
      <c r="R2007" s="29" t="inlineStr">
        <is>
          <t>Pagado total: 0 €</t>
        </is>
      </c>
    </row>
    <row r="2008">
      <c r="A2008" s="30" t="inlineStr">
        <is>
          <t>P1 Potencia</t>
        </is>
      </c>
      <c r="B2008" s="31" t="n">
        <v>10.1</v>
      </c>
      <c r="C2008" s="32">
        <f>$N$2005-$L$2005+1</f>
        <v/>
      </c>
      <c r="D2008" s="33" t="n">
        <v>3.68919</v>
      </c>
      <c r="E2008" s="34" t="n">
        <v>3.85</v>
      </c>
      <c r="F2008" s="35">
        <f>ROUND(B2008*E2008,2)</f>
        <v/>
      </c>
      <c r="H2008" s="36" t="n">
        <v>10.1</v>
      </c>
      <c r="I2008" s="37" t="n">
        <v>3.85</v>
      </c>
      <c r="J2008" s="38">
        <f>ROUND(H2008*I2008,2)</f>
        <v/>
      </c>
      <c r="L2008" s="65" t="n"/>
      <c r="M2008" s="65" t="n"/>
      <c r="N2008" s="65" t="n"/>
      <c r="R2008" s="42" t="inlineStr">
        <is>
          <t>DIF: 1 €   ·   Margen hist.: 100.0%</t>
        </is>
      </c>
    </row>
    <row r="2009">
      <c r="A2009" s="30" t="inlineStr">
        <is>
          <t>P2 Potencia</t>
        </is>
      </c>
      <c r="B2009" s="31" t="n">
        <v>10.1</v>
      </c>
      <c r="C2009" s="32">
        <f>$N$2005-$L$2005+1</f>
        <v/>
      </c>
      <c r="D2009" s="33" t="n">
        <v>1.31928</v>
      </c>
      <c r="E2009" s="34" t="n">
        <v>1.33</v>
      </c>
      <c r="F2009" s="35">
        <f>ROUND(B2009*E2009,2)</f>
        <v/>
      </c>
      <c r="H2009" s="36" t="n">
        <v>10.1</v>
      </c>
      <c r="I2009" s="37" t="n">
        <v>1.33</v>
      </c>
      <c r="J2009" s="38">
        <f>ROUND(H2009*I2009,2)</f>
        <v/>
      </c>
      <c r="L2009" s="65" t="n"/>
      <c r="M2009" s="65" t="n"/>
      <c r="N2009" s="65" t="n"/>
    </row>
    <row r="2010">
      <c r="A2010" s="30" t="inlineStr">
        <is>
          <t>P1 Energía</t>
        </is>
      </c>
      <c r="B2010" s="31">
        <f>IF($P$2010&lt;&gt;"",ROUND(AA2010*(($AB$2010/(1-$P$2010))-52.3180)/44.0054,2),IF('Resumen'!$D$3="OPTIMIZAR",AA2010,AA2010))</f>
        <v/>
      </c>
      <c r="C2010" s="44" t="n"/>
      <c r="D2010" s="33" t="n">
        <v>0.111171</v>
      </c>
      <c r="E2010" s="34" t="n">
        <v>0.13788</v>
      </c>
      <c r="F2010" s="35">
        <f>ROUND(B2010*E2010,2)</f>
        <v/>
      </c>
      <c r="H2010" s="36" t="n">
        <v>55.312</v>
      </c>
      <c r="I2010" s="37" t="n">
        <v>0.13788</v>
      </c>
      <c r="J2010" s="38">
        <f>ROUND(H2010*I2010,2)</f>
        <v/>
      </c>
      <c r="L2010" s="65" t="n"/>
      <c r="M2010" s="65" t="n"/>
      <c r="N2010" s="65" t="n"/>
      <c r="O2010" s="45" t="inlineStr">
        <is>
          <t>Margen objetivo (edita % aquí) ▶</t>
        </is>
      </c>
      <c r="P2010" s="5" t="n"/>
      <c r="AA2010" t="n">
        <v>116.628</v>
      </c>
      <c r="AB2010">
        <f>B2008*D2008+B2009*D2009+AA2010*D2010+AA2011*D2011+AA2012*D2012</f>
        <v/>
      </c>
    </row>
    <row r="2011">
      <c r="A2011" s="30" t="inlineStr">
        <is>
          <t>P2 Energía</t>
        </is>
      </c>
      <c r="B2011" s="31">
        <f>IF($P$2010&lt;&gt;"",ROUND(AA2011*(($AB$2010/(1-$P$2010))-52.3180)/44.0054,2),IF('Resumen'!$D$3="OPTIMIZAR",AA2011,AA2011))</f>
        <v/>
      </c>
      <c r="C2011" s="44" t="n"/>
      <c r="D2011" s="33" t="n">
        <v>0.111171</v>
      </c>
      <c r="E2011" s="34" t="n">
        <v>0.13788</v>
      </c>
      <c r="F2011" s="35">
        <f>ROUND(B2011*E2011,2)</f>
        <v/>
      </c>
      <c r="H2011" s="36" t="n">
        <v>37.686</v>
      </c>
      <c r="I2011" s="37" t="n">
        <v>0.13788</v>
      </c>
      <c r="J2011" s="38">
        <f>ROUND(H2011*I2011,2)</f>
        <v/>
      </c>
      <c r="L2011" s="65" t="n"/>
      <c r="M2011" s="65" t="n"/>
      <c r="N2011" s="65" t="n"/>
      <c r="O2011" s="46" t="inlineStr">
        <is>
          <t>Cant. P1/P2/P3 energía suben</t>
        </is>
      </c>
      <c r="R2011" s="43" t="inlineStr">
        <is>
          <t>Importe mensual cobrado (€) · 24 meses ▾</t>
        </is>
      </c>
      <c r="AA2011" t="n">
        <v>65.738</v>
      </c>
    </row>
    <row r="2012">
      <c r="A2012" s="30" t="inlineStr">
        <is>
          <t>P3 Energía</t>
        </is>
      </c>
      <c r="B2012" s="31">
        <f>IF($P$2010&lt;&gt;"",ROUND(AA2012*(($AB$2010/(1-$P$2010))-52.3180)/44.0054,2),IF('Resumen'!$D$3="OPTIMIZAR",AA2012,AA2012))</f>
        <v/>
      </c>
      <c r="C2012" s="44" t="n"/>
      <c r="D2012" s="33" t="n">
        <v>0.111171</v>
      </c>
      <c r="E2012" s="34" t="n">
        <v>0.13788</v>
      </c>
      <c r="F2012" s="35">
        <f>ROUND(B2012*E2012,2)</f>
        <v/>
      </c>
      <c r="H2012" s="36" t="n">
        <v>41.32</v>
      </c>
      <c r="I2012" s="37" t="n">
        <v>0.13788</v>
      </c>
      <c r="J2012" s="38">
        <f>ROUND(H2012*I2012,2)</f>
        <v/>
      </c>
      <c r="L2012" s="65" t="n"/>
      <c r="M2012" s="65" t="n"/>
      <c r="N2012" s="65" t="n"/>
      <c r="O2012" s="46" t="inlineStr">
        <is>
          <t>en proporción para ese margen</t>
        </is>
      </c>
      <c r="AA2012" t="n">
        <v>136.791</v>
      </c>
    </row>
    <row r="2013">
      <c r="A2013" s="30" t="inlineStr">
        <is>
          <t>Alquiler contador</t>
        </is>
      </c>
      <c r="B2013" s="31" t="n">
        <v>1</v>
      </c>
      <c r="C2013" s="32">
        <f>$N$2005-$L$2005+1</f>
        <v/>
      </c>
      <c r="D2013" s="33" t="n">
        <v>1.3414</v>
      </c>
      <c r="E2013" s="34" t="n">
        <v>3</v>
      </c>
      <c r="F2013" s="35">
        <f>ROUND(B2013*E2013,2)</f>
        <v/>
      </c>
      <c r="H2013" s="36" t="n">
        <v>1</v>
      </c>
      <c r="I2013" s="37" t="n">
        <v>3</v>
      </c>
      <c r="J2013" s="38">
        <f>ROUND(H2013*I2013,2)</f>
        <v/>
      </c>
      <c r="L2013" s="65" t="n"/>
      <c r="M2013" s="65" t="n"/>
      <c r="N2013" s="65" t="n"/>
    </row>
    <row r="2014">
      <c r="A2014" s="30" t="inlineStr">
        <is>
          <t>Bono social</t>
        </is>
      </c>
      <c r="B2014" s="31" t="n">
        <v>30</v>
      </c>
      <c r="C2014" s="32">
        <f>$N$2005-$L$2005+1</f>
        <v/>
      </c>
      <c r="D2014" s="33" t="n">
        <v>0.5736</v>
      </c>
      <c r="E2014" s="34" t="n">
        <v>0.01274</v>
      </c>
      <c r="F2014" s="35">
        <f>ROUND(B2014*E2014,2)</f>
        <v/>
      </c>
      <c r="H2014" s="36" t="n">
        <v>30</v>
      </c>
      <c r="I2014" s="37" t="n">
        <v>0.01274</v>
      </c>
      <c r="J2014" s="38">
        <f>ROUND(H2014*I2014,2)</f>
        <v/>
      </c>
      <c r="L2014" s="65" t="n"/>
      <c r="M2014" s="65" t="n"/>
      <c r="N2014" s="65" t="n"/>
    </row>
    <row r="2015">
      <c r="A2015" s="30" t="inlineStr">
        <is>
          <t>Tasa eléctrica</t>
        </is>
      </c>
      <c r="B2015" s="31" t="n">
        <v>4.93</v>
      </c>
      <c r="C2015" s="44" t="n"/>
      <c r="D2015" s="33" t="n">
        <v>0.02671</v>
      </c>
      <c r="E2015" s="34" t="n">
        <v>1</v>
      </c>
      <c r="F2015" s="35">
        <f>ROUND(B2015*E2015,2)</f>
        <v/>
      </c>
      <c r="H2015" s="36" t="n">
        <v>3.63</v>
      </c>
      <c r="I2015" s="37" t="n">
        <v>1</v>
      </c>
      <c r="J2015" s="38">
        <f>ROUND(H2015*I2015,2)</f>
        <v/>
      </c>
      <c r="L2015" s="65" t="n"/>
      <c r="M2015" s="65" t="n"/>
      <c r="N2015" s="65" t="n"/>
    </row>
    <row r="2016">
      <c r="A2016" s="47" t="inlineStr">
        <is>
          <t>TOTAL c/IVA</t>
        </is>
      </c>
      <c r="F2016" s="48">
        <f>ROUND((SUM(F2008:F2015)-F2015)*1.1+F2015,2)</f>
        <v/>
      </c>
      <c r="J2016" s="49">
        <f>ROUND(SUM(J2008:J2015),2)</f>
        <v/>
      </c>
      <c r="N2016" s="66" t="n"/>
    </row>
    <row r="2017">
      <c r="A2017" s="19" t="inlineStr">
        <is>
          <t>MARGEN sin registrar</t>
        </is>
      </c>
      <c r="B2017" s="51">
        <f>IF((F2011+F2008+F2010+F2012+F2009)=0,"",((F2011+F2008+F2010+F2012+F2009)-$AB$2010)/(F2011+F2008+F2010+F2012+F2009))</f>
        <v/>
      </c>
      <c r="D2017" s="52">
        <f>IF(B2017="","SIN PC",IF(B2017&gt;=0.3,"APROBAR",IF(B2017&gt;=0.2,"REVISAR","RECHAZAR")))</f>
        <v/>
      </c>
      <c r="E2017" s="53" t="n"/>
      <c r="F2017" s="54" t="n"/>
      <c r="AD2017">
        <f>SUM(F2010:F2012)-44.0054</f>
        <v/>
      </c>
    </row>
    <row r="2019">
      <c r="A2019" s="15" t="inlineStr">
        <is>
          <t>Factura 8724 · C03430 · MARIA DEL MAR FERRANDO GUILLEM</t>
        </is>
      </c>
      <c r="H2019" s="15" t="inlineStr">
        <is>
          <t>ES0021000001204298ZS · Naturgy</t>
        </is>
      </c>
      <c r="L2019" s="16" t="n">
        <v>46113</v>
      </c>
      <c r="M2019" s="17" t="inlineStr">
        <is>
          <t>a</t>
        </is>
      </c>
      <c r="N2019" s="16" t="n">
        <v>46142</v>
      </c>
      <c r="R2019" s="18" t="inlineStr">
        <is>
          <t>HISTÓRICO DEL CUPS · HOJA TTVA LUZ</t>
        </is>
      </c>
    </row>
    <row r="2020">
      <c r="A2020" s="19" t="inlineStr">
        <is>
          <t>Concepto</t>
        </is>
      </c>
      <c r="B2020" s="20" t="inlineStr">
        <is>
          <t>PENDIENTE (sin registrar)</t>
        </is>
      </c>
      <c r="C2020" s="21" t="n"/>
      <c r="D2020" s="21" t="n"/>
      <c r="E2020" s="21" t="n"/>
      <c r="F2020" s="21" t="n"/>
      <c r="H2020" s="22" t="inlineStr">
        <is>
          <t>MES ANTERIOR · (sin dato)</t>
        </is>
      </c>
      <c r="I2020" s="23" t="n"/>
      <c r="J2020" s="23" t="n"/>
      <c r="L2020" s="24" t="inlineStr">
        <is>
          <t>AÑO ANTERIOR · (sin dato)</t>
        </is>
      </c>
      <c r="M2020" s="25" t="n"/>
      <c r="N2020" s="25" t="n"/>
      <c r="R2020" s="26" t="inlineStr">
        <is>
          <t>Cobrado total: 1 €</t>
        </is>
      </c>
    </row>
    <row r="2021">
      <c r="B2021" s="7" t="inlineStr">
        <is>
          <t>Cant</t>
        </is>
      </c>
      <c r="C2021" s="7" t="inlineStr">
        <is>
          <t>Días</t>
        </is>
      </c>
      <c r="D2021" s="7" t="inlineStr">
        <is>
          <t>PC real</t>
        </is>
      </c>
      <c r="E2021" s="7" t="inlineStr">
        <is>
          <t>PV</t>
        </is>
      </c>
      <c r="F2021" s="7" t="inlineStr">
        <is>
          <t>Importe</t>
        </is>
      </c>
      <c r="H2021" s="27" t="inlineStr">
        <is>
          <t>Cant</t>
        </is>
      </c>
      <c r="I2021" s="27" t="inlineStr">
        <is>
          <t>PV</t>
        </is>
      </c>
      <c r="J2021" s="27" t="inlineStr">
        <is>
          <t>Importe</t>
        </is>
      </c>
      <c r="L2021" s="28" t="inlineStr">
        <is>
          <t>Cant</t>
        </is>
      </c>
      <c r="M2021" s="28" t="inlineStr">
        <is>
          <t>PV</t>
        </is>
      </c>
      <c r="N2021" s="28" t="inlineStr">
        <is>
          <t>Importe</t>
        </is>
      </c>
      <c r="R2021" s="29" t="inlineStr">
        <is>
          <t>Pagado total: 0 €</t>
        </is>
      </c>
    </row>
    <row r="2022">
      <c r="A2022" s="30" t="inlineStr">
        <is>
          <t>P1 Potencia</t>
        </is>
      </c>
      <c r="B2022" s="31" t="n">
        <v>3.45</v>
      </c>
      <c r="C2022" s="32">
        <f>$N$2019-$L$2019+1</f>
        <v/>
      </c>
      <c r="D2022" s="33" t="n">
        <v>3.68919</v>
      </c>
      <c r="E2022" s="34" t="n">
        <v>3.85</v>
      </c>
      <c r="F2022" s="35">
        <f>ROUND(B2022*E2022,2)</f>
        <v/>
      </c>
      <c r="H2022" s="67" t="n"/>
      <c r="I2022" s="67" t="n"/>
      <c r="J2022" s="67" t="n"/>
      <c r="L2022" s="65" t="n"/>
      <c r="M2022" s="65" t="n"/>
      <c r="N2022" s="65" t="n"/>
      <c r="R2022" s="42" t="inlineStr">
        <is>
          <t>DIF: 1 €   ·   Margen hist.: 100.0%</t>
        </is>
      </c>
    </row>
    <row r="2023">
      <c r="A2023" s="30" t="inlineStr">
        <is>
          <t>P2 Potencia</t>
        </is>
      </c>
      <c r="B2023" s="31" t="n">
        <v>3.45</v>
      </c>
      <c r="C2023" s="32">
        <f>$N$2019-$L$2019+1</f>
        <v/>
      </c>
      <c r="D2023" s="33" t="n">
        <v>1.31928</v>
      </c>
      <c r="E2023" s="34" t="n">
        <v>1.33</v>
      </c>
      <c r="F2023" s="35">
        <f>ROUND(B2023*E2023,2)</f>
        <v/>
      </c>
      <c r="H2023" s="67" t="n"/>
      <c r="I2023" s="67" t="n"/>
      <c r="J2023" s="67" t="n"/>
      <c r="L2023" s="65" t="n"/>
      <c r="M2023" s="65" t="n"/>
      <c r="N2023" s="65" t="n"/>
    </row>
    <row r="2024">
      <c r="A2024" s="30" t="inlineStr">
        <is>
          <t>P1 Energía</t>
        </is>
      </c>
      <c r="B2024" s="31">
        <f>IF($P$2024&lt;&gt;"",ROUND(AA2024*(($AB$2024/(1-$P$2024))-17.8710)/3.6890,2),IF('Resumen'!$D$3="OPTIMIZAR",AA2024,AA2024))</f>
        <v/>
      </c>
      <c r="C2024" s="44" t="n"/>
      <c r="D2024" s="33" t="n">
        <v>0.111171</v>
      </c>
      <c r="E2024" s="34" t="n">
        <v>0.13788</v>
      </c>
      <c r="F2024" s="35">
        <f>ROUND(B2024*E2024,2)</f>
        <v/>
      </c>
      <c r="H2024" s="67" t="n"/>
      <c r="I2024" s="67" t="n"/>
      <c r="J2024" s="67" t="n"/>
      <c r="L2024" s="65" t="n"/>
      <c r="M2024" s="65" t="n"/>
      <c r="N2024" s="65" t="n"/>
      <c r="O2024" s="45" t="inlineStr">
        <is>
          <t>Margen objetivo (edita % aquí) ▶</t>
        </is>
      </c>
      <c r="P2024" s="5" t="n"/>
      <c r="AA2024" t="n">
        <v>8.130000000000001</v>
      </c>
      <c r="AB2024">
        <f>B2022*D2022+B2023*D2023+AA2024*D2024+AA2025*D2025+AA2026*D2026</f>
        <v/>
      </c>
    </row>
    <row r="2025">
      <c r="A2025" s="30" t="inlineStr">
        <is>
          <t>P2 Energía</t>
        </is>
      </c>
      <c r="B2025" s="31">
        <f>IF($P$2024&lt;&gt;"",ROUND(AA2025*(($AB$2024/(1-$P$2024))-17.8710)/3.6890,2),IF('Resumen'!$D$3="OPTIMIZAR",AA2025,AA2025))</f>
        <v/>
      </c>
      <c r="C2025" s="44" t="n"/>
      <c r="D2025" s="33" t="n">
        <v>0.111171</v>
      </c>
      <c r="E2025" s="34" t="n">
        <v>0.13788</v>
      </c>
      <c r="F2025" s="35">
        <f>ROUND(B2025*E2025,2)</f>
        <v/>
      </c>
      <c r="H2025" s="67" t="n"/>
      <c r="I2025" s="67" t="n"/>
      <c r="J2025" s="67" t="n"/>
      <c r="L2025" s="65" t="n"/>
      <c r="M2025" s="65" t="n"/>
      <c r="N2025" s="65" t="n"/>
      <c r="O2025" s="46" t="inlineStr">
        <is>
          <t>Cant. P1/P2/P3 energía suben</t>
        </is>
      </c>
      <c r="R2025" s="43" t="inlineStr">
        <is>
          <t>Importe mensual cobrado (€) · 24 meses ▾</t>
        </is>
      </c>
      <c r="AA2025" t="n">
        <v>7.249</v>
      </c>
    </row>
    <row r="2026">
      <c r="A2026" s="30" t="inlineStr">
        <is>
          <t>P3 Energía</t>
        </is>
      </c>
      <c r="B2026" s="31">
        <f>IF($P$2024&lt;&gt;"",ROUND(AA2026*(($AB$2024/(1-$P$2024))-17.8710)/3.6890,2),IF('Resumen'!$D$3="OPTIMIZAR",AA2026,AA2026))</f>
        <v/>
      </c>
      <c r="C2026" s="44" t="n"/>
      <c r="D2026" s="33" t="n">
        <v>0.111171</v>
      </c>
      <c r="E2026" s="34" t="n">
        <v>0.13788</v>
      </c>
      <c r="F2026" s="35">
        <f>ROUND(B2026*E2026,2)</f>
        <v/>
      </c>
      <c r="H2026" s="67" t="n"/>
      <c r="I2026" s="67" t="n"/>
      <c r="J2026" s="67" t="n"/>
      <c r="L2026" s="65" t="n"/>
      <c r="M2026" s="65" t="n"/>
      <c r="N2026" s="65" t="n"/>
      <c r="O2026" s="46" t="inlineStr">
        <is>
          <t>en proporción para ese margen</t>
        </is>
      </c>
      <c r="AA2026" t="n">
        <v>11.376</v>
      </c>
    </row>
    <row r="2027">
      <c r="A2027" s="30" t="inlineStr">
        <is>
          <t>Alquiler contador</t>
        </is>
      </c>
      <c r="B2027" s="31" t="n">
        <v>1</v>
      </c>
      <c r="C2027" s="32">
        <f>$N$2019-$L$2019+1</f>
        <v/>
      </c>
      <c r="D2027" s="33" t="n">
        <v>0.7989000000000001</v>
      </c>
      <c r="E2027" s="34" t="n">
        <v>3</v>
      </c>
      <c r="F2027" s="35">
        <f>ROUND(B2027*E2027,2)</f>
        <v/>
      </c>
      <c r="H2027" s="67" t="n"/>
      <c r="I2027" s="67" t="n"/>
      <c r="J2027" s="67" t="n"/>
      <c r="L2027" s="65" t="n"/>
      <c r="M2027" s="65" t="n"/>
      <c r="N2027" s="65" t="n"/>
    </row>
    <row r="2028">
      <c r="A2028" s="30" t="inlineStr">
        <is>
          <t>Bono social</t>
        </is>
      </c>
      <c r="B2028" s="31" t="n">
        <v>30</v>
      </c>
      <c r="C2028" s="32">
        <f>$N$2019-$L$2019+1</f>
        <v/>
      </c>
      <c r="D2028" s="33" t="n">
        <v>0.5736</v>
      </c>
      <c r="E2028" s="34" t="n">
        <v>0.01274</v>
      </c>
      <c r="F2028" s="35">
        <f>ROUND(B2028*E2028,2)</f>
        <v/>
      </c>
      <c r="H2028" s="67" t="n"/>
      <c r="I2028" s="67" t="n"/>
      <c r="J2028" s="67" t="n"/>
      <c r="L2028" s="65" t="n"/>
      <c r="M2028" s="65" t="n"/>
      <c r="N2028" s="65" t="n"/>
    </row>
    <row r="2029">
      <c r="A2029" s="30" t="inlineStr">
        <is>
          <t>Tasa eléctrica</t>
        </is>
      </c>
      <c r="B2029" s="31" t="n">
        <v>1.11</v>
      </c>
      <c r="C2029" s="44" t="n"/>
      <c r="D2029" s="33" t="n">
        <v>0.02671</v>
      </c>
      <c r="E2029" s="34" t="n">
        <v>1</v>
      </c>
      <c r="F2029" s="35">
        <f>ROUND(B2029*E2029,2)</f>
        <v/>
      </c>
      <c r="H2029" s="67" t="n"/>
      <c r="I2029" s="67" t="n"/>
      <c r="J2029" s="67" t="n"/>
      <c r="L2029" s="65" t="n"/>
      <c r="M2029" s="65" t="n"/>
      <c r="N2029" s="65" t="n"/>
    </row>
    <row r="2030">
      <c r="A2030" s="47" t="inlineStr">
        <is>
          <t>TOTAL c/IVA</t>
        </is>
      </c>
      <c r="F2030" s="48">
        <f>ROUND((SUM(F2022:F2029)-F2029)*1.1+F2029,2)</f>
        <v/>
      </c>
      <c r="J2030" s="69" t="n"/>
      <c r="N2030" s="66" t="n"/>
    </row>
    <row r="2031">
      <c r="A2031" s="19" t="inlineStr">
        <is>
          <t>MARGEN sin registrar</t>
        </is>
      </c>
      <c r="B2031" s="51">
        <f>IF((F2025+F2022+F2024+F2026+F2023)=0,"",((F2025+F2022+F2024+F2026+F2023)-$AB$2024)/(F2025+F2022+F2024+F2026+F2023))</f>
        <v/>
      </c>
      <c r="D2031" s="52">
        <f>IF(B2031="","SIN PC",IF(B2031&gt;=0.3,"APROBAR",IF(B2031&gt;=0.2,"REVISAR","RECHAZAR")))</f>
        <v/>
      </c>
      <c r="E2031" s="53" t="n"/>
      <c r="F2031" s="54" t="n"/>
      <c r="AD2031">
        <f>SUM(F2024:F2026)-3.6890</f>
        <v/>
      </c>
    </row>
    <row r="2033">
      <c r="A2033" s="15" t="inlineStr">
        <is>
          <t>Factura 8725 · C03440 · DIEGO BARQUERO PEREZ</t>
        </is>
      </c>
      <c r="H2033" s="15" t="inlineStr">
        <is>
          <t>ES0021000001200743KW · Naturgy</t>
        </is>
      </c>
      <c r="L2033" s="16" t="n">
        <v>46113</v>
      </c>
      <c r="M2033" s="17" t="inlineStr">
        <is>
          <t>a</t>
        </is>
      </c>
      <c r="N2033" s="16" t="n">
        <v>46142</v>
      </c>
      <c r="R2033" s="18" t="inlineStr">
        <is>
          <t>HISTÓRICO DEL CUPS · HOJA TTVA LUZ</t>
        </is>
      </c>
    </row>
    <row r="2034">
      <c r="A2034" s="19" t="inlineStr">
        <is>
          <t>Concepto</t>
        </is>
      </c>
      <c r="B2034" s="20" t="inlineStr">
        <is>
          <t>PENDIENTE (sin registrar)</t>
        </is>
      </c>
      <c r="C2034" s="21" t="n"/>
      <c r="D2034" s="21" t="n"/>
      <c r="E2034" s="21" t="n"/>
      <c r="F2034" s="21" t="n"/>
      <c r="H2034" s="22" t="inlineStr">
        <is>
          <t>MES ANTERIOR · (sin dato)</t>
        </is>
      </c>
      <c r="I2034" s="23" t="n"/>
      <c r="J2034" s="23" t="n"/>
      <c r="L2034" s="24" t="inlineStr">
        <is>
          <t>AÑO ANTERIOR · (sin dato)</t>
        </is>
      </c>
      <c r="M2034" s="25" t="n"/>
      <c r="N2034" s="25" t="n"/>
      <c r="R2034" s="26" t="inlineStr">
        <is>
          <t>Cobrado total: 0 €</t>
        </is>
      </c>
    </row>
    <row r="2035">
      <c r="B2035" s="7" t="inlineStr">
        <is>
          <t>Cant</t>
        </is>
      </c>
      <c r="C2035" s="7" t="inlineStr">
        <is>
          <t>Días</t>
        </is>
      </c>
      <c r="D2035" s="7" t="inlineStr">
        <is>
          <t>PC real</t>
        </is>
      </c>
      <c r="E2035" s="7" t="inlineStr">
        <is>
          <t>PV</t>
        </is>
      </c>
      <c r="F2035" s="7" t="inlineStr">
        <is>
          <t>Importe</t>
        </is>
      </c>
      <c r="H2035" s="27" t="inlineStr">
        <is>
          <t>Cant</t>
        </is>
      </c>
      <c r="I2035" s="27" t="inlineStr">
        <is>
          <t>PV</t>
        </is>
      </c>
      <c r="J2035" s="27" t="inlineStr">
        <is>
          <t>Importe</t>
        </is>
      </c>
      <c r="L2035" s="28" t="inlineStr">
        <is>
          <t>Cant</t>
        </is>
      </c>
      <c r="M2035" s="28" t="inlineStr">
        <is>
          <t>PV</t>
        </is>
      </c>
      <c r="N2035" s="28" t="inlineStr">
        <is>
          <t>Importe</t>
        </is>
      </c>
      <c r="R2035" s="29" t="inlineStr">
        <is>
          <t>Pagado total: 0 €</t>
        </is>
      </c>
    </row>
    <row r="2036">
      <c r="A2036" s="30" t="inlineStr">
        <is>
          <t>P1 Potencia</t>
        </is>
      </c>
      <c r="B2036" s="31" t="n">
        <v>9.199999999999999</v>
      </c>
      <c r="C2036" s="32">
        <f>$N$2033-$L$2033+1</f>
        <v/>
      </c>
      <c r="D2036" s="33" t="n">
        <v>3.68919</v>
      </c>
      <c r="E2036" s="34" t="n">
        <v>3.85</v>
      </c>
      <c r="F2036" s="35">
        <f>ROUND(B2036*E2036,2)</f>
        <v/>
      </c>
      <c r="H2036" s="67" t="n"/>
      <c r="I2036" s="67" t="n"/>
      <c r="J2036" s="67" t="n"/>
      <c r="L2036" s="65" t="n"/>
      <c r="M2036" s="65" t="n"/>
      <c r="N2036" s="65" t="n"/>
      <c r="R2036" s="42" t="inlineStr">
        <is>
          <t>DIF: 0 €   ·   Margen hist.: 100.0%</t>
        </is>
      </c>
    </row>
    <row r="2037">
      <c r="A2037" s="30" t="inlineStr">
        <is>
          <t>P2 Potencia</t>
        </is>
      </c>
      <c r="B2037" s="31" t="n">
        <v>9.199999999999999</v>
      </c>
      <c r="C2037" s="32">
        <f>$N$2033-$L$2033+1</f>
        <v/>
      </c>
      <c r="D2037" s="33" t="n">
        <v>1.31928</v>
      </c>
      <c r="E2037" s="34" t="n">
        <v>1.33</v>
      </c>
      <c r="F2037" s="35">
        <f>ROUND(B2037*E2037,2)</f>
        <v/>
      </c>
      <c r="H2037" s="67" t="n"/>
      <c r="I2037" s="67" t="n"/>
      <c r="J2037" s="67" t="n"/>
      <c r="L2037" s="65" t="n"/>
      <c r="M2037" s="65" t="n"/>
      <c r="N2037" s="65" t="n"/>
    </row>
    <row r="2038">
      <c r="A2038" s="30" t="inlineStr">
        <is>
          <t>P1 Energía</t>
        </is>
      </c>
      <c r="B2038" s="31">
        <f>IF($P$2038&lt;&gt;"",ROUND(AA2038*(($AB$2038/(1-$P$2038))-47.6560)/32.9284,2),IF('Resumen'!$D$3="OPTIMIZAR",AA2038,AA2038))</f>
        <v/>
      </c>
      <c r="C2038" s="44" t="n"/>
      <c r="D2038" s="33" t="n">
        <v>0.111171</v>
      </c>
      <c r="E2038" s="34" t="n">
        <v>0.13788</v>
      </c>
      <c r="F2038" s="35">
        <f>ROUND(B2038*E2038,2)</f>
        <v/>
      </c>
      <c r="H2038" s="67" t="n"/>
      <c r="I2038" s="67" t="n"/>
      <c r="J2038" s="67" t="n"/>
      <c r="L2038" s="65" t="n"/>
      <c r="M2038" s="65" t="n"/>
      <c r="N2038" s="65" t="n"/>
      <c r="O2038" s="45" t="inlineStr">
        <is>
          <t>Margen objetivo (edita % aquí) ▶</t>
        </is>
      </c>
      <c r="P2038" s="5" t="n"/>
      <c r="AA2038" t="n">
        <v>52.826</v>
      </c>
      <c r="AB2038">
        <f>B2036*D2036+B2037*D2037+AA2038*D2038+AA2039*D2039+AA2040*D2040</f>
        <v/>
      </c>
    </row>
    <row r="2039">
      <c r="A2039" s="30" t="inlineStr">
        <is>
          <t>P2 Energía</t>
        </is>
      </c>
      <c r="B2039" s="31">
        <f>IF($P$2038&lt;&gt;"",ROUND(AA2039*(($AB$2038/(1-$P$2038))-47.6560)/32.9284,2),IF('Resumen'!$D$3="OPTIMIZAR",AA2039,AA2039))</f>
        <v/>
      </c>
      <c r="C2039" s="44" t="n"/>
      <c r="D2039" s="33" t="n">
        <v>0.111171</v>
      </c>
      <c r="E2039" s="34" t="n">
        <v>0.13788</v>
      </c>
      <c r="F2039" s="35">
        <f>ROUND(B2039*E2039,2)</f>
        <v/>
      </c>
      <c r="H2039" s="67" t="n"/>
      <c r="I2039" s="67" t="n"/>
      <c r="J2039" s="67" t="n"/>
      <c r="L2039" s="65" t="n"/>
      <c r="M2039" s="65" t="n"/>
      <c r="N2039" s="65" t="n"/>
      <c r="O2039" s="46" t="inlineStr">
        <is>
          <t>Cant. P1/P2/P3 energía suben</t>
        </is>
      </c>
      <c r="R2039" s="43" t="inlineStr">
        <is>
          <t>Importe mensual cobrado (€) · 24 meses ▾</t>
        </is>
      </c>
      <c r="AA2039" t="n">
        <v>74.812</v>
      </c>
    </row>
    <row r="2040">
      <c r="A2040" s="30" t="inlineStr">
        <is>
          <t>P3 Energía</t>
        </is>
      </c>
      <c r="B2040" s="31">
        <f>IF($P$2038&lt;&gt;"",ROUND(AA2040*(($AB$2038/(1-$P$2038))-47.6560)/32.9284,2),IF('Resumen'!$D$3="OPTIMIZAR",AA2040,AA2040))</f>
        <v/>
      </c>
      <c r="C2040" s="44" t="n"/>
      <c r="D2040" s="33" t="n">
        <v>0.111171</v>
      </c>
      <c r="E2040" s="34" t="n">
        <v>0.13788</v>
      </c>
      <c r="F2040" s="35">
        <f>ROUND(B2040*E2040,2)</f>
        <v/>
      </c>
      <c r="H2040" s="67" t="n"/>
      <c r="I2040" s="67" t="n"/>
      <c r="J2040" s="67" t="n"/>
      <c r="L2040" s="65" t="n"/>
      <c r="M2040" s="65" t="n"/>
      <c r="N2040" s="65" t="n"/>
      <c r="O2040" s="46" t="inlineStr">
        <is>
          <t>en proporción para ese margen</t>
        </is>
      </c>
      <c r="AA2040" t="n">
        <v>111.181</v>
      </c>
    </row>
    <row r="2041">
      <c r="A2041" s="30" t="inlineStr">
        <is>
          <t>Alquiler contador</t>
        </is>
      </c>
      <c r="B2041" s="31" t="n">
        <v>1</v>
      </c>
      <c r="C2041" s="32">
        <f>$N$2033-$L$2033+1</f>
        <v/>
      </c>
      <c r="D2041" s="33" t="n">
        <v>0.7989000000000001</v>
      </c>
      <c r="E2041" s="34" t="n">
        <v>3</v>
      </c>
      <c r="F2041" s="35">
        <f>ROUND(B2041*E2041,2)</f>
        <v/>
      </c>
      <c r="H2041" s="67" t="n"/>
      <c r="I2041" s="67" t="n"/>
      <c r="J2041" s="67" t="n"/>
      <c r="L2041" s="65" t="n"/>
      <c r="M2041" s="65" t="n"/>
      <c r="N2041" s="65" t="n"/>
    </row>
    <row r="2042">
      <c r="A2042" s="30" t="inlineStr">
        <is>
          <t>Bono social</t>
        </is>
      </c>
      <c r="B2042" s="31" t="n">
        <v>30</v>
      </c>
      <c r="C2042" s="32">
        <f>$N$2033-$L$2033+1</f>
        <v/>
      </c>
      <c r="D2042" s="33" t="n">
        <v>0.5736</v>
      </c>
      <c r="E2042" s="34" t="n">
        <v>0.01274</v>
      </c>
      <c r="F2042" s="35">
        <f>ROUND(B2042*E2042,2)</f>
        <v/>
      </c>
      <c r="H2042" s="67" t="n"/>
      <c r="I2042" s="67" t="n"/>
      <c r="J2042" s="67" t="n"/>
      <c r="L2042" s="65" t="n"/>
      <c r="M2042" s="65" t="n"/>
      <c r="N2042" s="65" t="n"/>
    </row>
    <row r="2043">
      <c r="A2043" s="30" t="inlineStr">
        <is>
          <t>Tasa eléctrica</t>
        </is>
      </c>
      <c r="B2043" s="31" t="n">
        <v>4.13</v>
      </c>
      <c r="C2043" s="44" t="n"/>
      <c r="D2043" s="33" t="n">
        <v>0.02671</v>
      </c>
      <c r="E2043" s="34" t="n">
        <v>1</v>
      </c>
      <c r="F2043" s="35">
        <f>ROUND(B2043*E2043,2)</f>
        <v/>
      </c>
      <c r="H2043" s="67" t="n"/>
      <c r="I2043" s="67" t="n"/>
      <c r="J2043" s="67" t="n"/>
      <c r="L2043" s="65" t="n"/>
      <c r="M2043" s="65" t="n"/>
      <c r="N2043" s="65" t="n"/>
    </row>
    <row r="2044">
      <c r="A2044" s="47" t="inlineStr">
        <is>
          <t>TOTAL c/IVA</t>
        </is>
      </c>
      <c r="F2044" s="48">
        <f>ROUND((SUM(F2036:F2043)-F2043)*1.1+F2043,2)</f>
        <v/>
      </c>
      <c r="J2044" s="69" t="n"/>
      <c r="N2044" s="66" t="n"/>
    </row>
    <row r="2045">
      <c r="A2045" s="19" t="inlineStr">
        <is>
          <t>MARGEN sin registrar</t>
        </is>
      </c>
      <c r="B2045" s="51">
        <f>IF((F2039+F2036+F2038+F2040+F2037)=0,"",((F2039+F2036+F2038+F2040+F2037)-$AB$2038)/(F2039+F2036+F2038+F2040+F2037))</f>
        <v/>
      </c>
      <c r="D2045" s="52">
        <f>IF(B2045="","SIN PC",IF(B2045&gt;=0.3,"APROBAR",IF(B2045&gt;=0.2,"REVISAR","RECHAZAR")))</f>
        <v/>
      </c>
      <c r="E2045" s="53" t="n"/>
      <c r="F2045" s="54" t="n"/>
      <c r="AD2045">
        <f>SUM(F2038:F2040)-32.9284</f>
        <v/>
      </c>
    </row>
    <row r="2047">
      <c r="A2047" s="15" t="inlineStr">
        <is>
          <t>Factura 8726 · C03450 · RADEK ERBEN</t>
        </is>
      </c>
      <c r="H2047" s="15" t="inlineStr">
        <is>
          <t>ES0021000013695713CS · Naturgy</t>
        </is>
      </c>
      <c r="L2047" s="16" t="n">
        <v>46120</v>
      </c>
      <c r="M2047" s="17" t="inlineStr">
        <is>
          <t>a</t>
        </is>
      </c>
      <c r="N2047" s="16" t="n">
        <v>46142</v>
      </c>
      <c r="R2047" s="18" t="inlineStr">
        <is>
          <t>HISTÓRICO DEL CUPS · HOJA TTVA LUZ</t>
        </is>
      </c>
    </row>
    <row r="2048">
      <c r="A2048" s="19" t="inlineStr">
        <is>
          <t>Concepto</t>
        </is>
      </c>
      <c r="B2048" s="20" t="inlineStr">
        <is>
          <t>PENDIENTE (sin registrar)</t>
        </is>
      </c>
      <c r="C2048" s="21" t="n"/>
      <c r="D2048" s="21" t="n"/>
      <c r="E2048" s="21" t="n"/>
      <c r="F2048" s="21" t="n"/>
      <c r="H2048" s="22" t="inlineStr">
        <is>
          <t>MES ANTERIOR · (sin dato)</t>
        </is>
      </c>
      <c r="I2048" s="23" t="n"/>
      <c r="J2048" s="23" t="n"/>
      <c r="L2048" s="24" t="inlineStr">
        <is>
          <t>AÑO ANTERIOR · (sin dato)</t>
        </is>
      </c>
      <c r="M2048" s="25" t="n"/>
      <c r="N2048" s="25" t="n"/>
      <c r="R2048" s="26" t="inlineStr">
        <is>
          <t>Cobrado total: 1 €</t>
        </is>
      </c>
    </row>
    <row r="2049">
      <c r="B2049" s="7" t="inlineStr">
        <is>
          <t>Cant</t>
        </is>
      </c>
      <c r="C2049" s="7" t="inlineStr">
        <is>
          <t>Días</t>
        </is>
      </c>
      <c r="D2049" s="7" t="inlineStr">
        <is>
          <t>PC real</t>
        </is>
      </c>
      <c r="E2049" s="7" t="inlineStr">
        <is>
          <t>PV</t>
        </is>
      </c>
      <c r="F2049" s="7" t="inlineStr">
        <is>
          <t>Importe</t>
        </is>
      </c>
      <c r="H2049" s="27" t="inlineStr">
        <is>
          <t>Cant</t>
        </is>
      </c>
      <c r="I2049" s="27" t="inlineStr">
        <is>
          <t>PV</t>
        </is>
      </c>
      <c r="J2049" s="27" t="inlineStr">
        <is>
          <t>Importe</t>
        </is>
      </c>
      <c r="L2049" s="28" t="inlineStr">
        <is>
          <t>Cant</t>
        </is>
      </c>
      <c r="M2049" s="28" t="inlineStr">
        <is>
          <t>PV</t>
        </is>
      </c>
      <c r="N2049" s="28" t="inlineStr">
        <is>
          <t>Importe</t>
        </is>
      </c>
      <c r="R2049" s="29" t="inlineStr">
        <is>
          <t>Pagado total: 0 €</t>
        </is>
      </c>
    </row>
    <row r="2050">
      <c r="A2050" s="30" t="inlineStr">
        <is>
          <t>P1 Potencia</t>
        </is>
      </c>
      <c r="B2050" s="31" t="n">
        <v>4.6</v>
      </c>
      <c r="C2050" s="32">
        <f>$N$2047-$L$2047+1</f>
        <v/>
      </c>
      <c r="D2050" s="33" t="n">
        <v>3.68919</v>
      </c>
      <c r="E2050" s="34" t="n">
        <v>2.85</v>
      </c>
      <c r="F2050" s="35">
        <f>ROUND(B2050*E2050,2)</f>
        <v/>
      </c>
      <c r="H2050" s="67" t="n"/>
      <c r="I2050" s="67" t="n"/>
      <c r="J2050" s="67" t="n"/>
      <c r="L2050" s="65" t="n"/>
      <c r="M2050" s="65" t="n"/>
      <c r="N2050" s="65" t="n"/>
      <c r="R2050" s="42" t="inlineStr">
        <is>
          <t>DIF: 1 €   ·   Margen hist.: 100.0%</t>
        </is>
      </c>
    </row>
    <row r="2051">
      <c r="A2051" s="30" t="inlineStr">
        <is>
          <t>P2 Potencia</t>
        </is>
      </c>
      <c r="B2051" s="31" t="n">
        <v>4.6</v>
      </c>
      <c r="C2051" s="32">
        <f>$N$2047-$L$2047+1</f>
        <v/>
      </c>
      <c r="D2051" s="33" t="n">
        <v>1.31928</v>
      </c>
      <c r="E2051" s="34" t="n">
        <v>1.01</v>
      </c>
      <c r="F2051" s="35">
        <f>ROUND(B2051*E2051,2)</f>
        <v/>
      </c>
      <c r="H2051" s="67" t="n"/>
      <c r="I2051" s="67" t="n"/>
      <c r="J2051" s="67" t="n"/>
      <c r="L2051" s="65" t="n"/>
      <c r="M2051" s="65" t="n"/>
      <c r="N2051" s="65" t="n"/>
    </row>
    <row r="2052">
      <c r="A2052" s="30" t="inlineStr">
        <is>
          <t>P1 Energía</t>
        </is>
      </c>
      <c r="B2052" s="31">
        <f>IF($P$2052&lt;&gt;"",ROUND(AA2052*(($AB$2052/(1-$P$2052))-17.7560)/34.5811,2),IF('Resumen'!$D$3="OPTIMIZAR",AA2052,AA2052))</f>
        <v/>
      </c>
      <c r="C2052" s="44" t="n"/>
      <c r="D2052" s="33" t="n">
        <v>0.111171</v>
      </c>
      <c r="E2052" s="34" t="n">
        <v>0.13788</v>
      </c>
      <c r="F2052" s="35">
        <f>ROUND(B2052*E2052,2)</f>
        <v/>
      </c>
      <c r="H2052" s="67" t="n"/>
      <c r="I2052" s="67" t="n"/>
      <c r="J2052" s="67" t="n"/>
      <c r="L2052" s="65" t="n"/>
      <c r="M2052" s="65" t="n"/>
      <c r="N2052" s="65" t="n"/>
      <c r="O2052" s="45" t="inlineStr">
        <is>
          <t>Margen objetivo (edita % aquí) ▶</t>
        </is>
      </c>
      <c r="P2052" s="5" t="n"/>
      <c r="AA2052" t="n">
        <v>82.13200000000001</v>
      </c>
      <c r="AB2052">
        <f>B2050*D2050+B2051*D2051+AA2052*D2052+AA2053*D2053+AA2054*D2054</f>
        <v/>
      </c>
    </row>
    <row r="2053">
      <c r="A2053" s="30" t="inlineStr">
        <is>
          <t>P2 Energía</t>
        </is>
      </c>
      <c r="B2053" s="31">
        <f>IF($P$2052&lt;&gt;"",ROUND(AA2053*(($AB$2052/(1-$P$2052))-17.7560)/34.5811,2),IF('Resumen'!$D$3="OPTIMIZAR",AA2053,AA2053))</f>
        <v/>
      </c>
      <c r="C2053" s="44" t="n"/>
      <c r="D2053" s="33" t="n">
        <v>0.111171</v>
      </c>
      <c r="E2053" s="34" t="n">
        <v>0.13788</v>
      </c>
      <c r="F2053" s="35">
        <f>ROUND(B2053*E2053,2)</f>
        <v/>
      </c>
      <c r="H2053" s="67" t="n"/>
      <c r="I2053" s="67" t="n"/>
      <c r="J2053" s="67" t="n"/>
      <c r="L2053" s="65" t="n"/>
      <c r="M2053" s="65" t="n"/>
      <c r="N2053" s="65" t="n"/>
      <c r="O2053" s="46" t="inlineStr">
        <is>
          <t>Cant. P1/P2/P3 energía suben</t>
        </is>
      </c>
      <c r="R2053" s="43" t="inlineStr">
        <is>
          <t>Importe mensual cobrado (€) · 24 meses ▾</t>
        </is>
      </c>
      <c r="AA2053" t="n">
        <v>62.389</v>
      </c>
    </row>
    <row r="2054">
      <c r="A2054" s="30" t="inlineStr">
        <is>
          <t>P3 Energía</t>
        </is>
      </c>
      <c r="B2054" s="31">
        <f>IF($P$2052&lt;&gt;"",ROUND(AA2054*(($AB$2052/(1-$P$2052))-17.7560)/34.5811,2),IF('Resumen'!$D$3="OPTIMIZAR",AA2054,AA2054))</f>
        <v/>
      </c>
      <c r="C2054" s="44" t="n"/>
      <c r="D2054" s="33" t="n">
        <v>0.111171</v>
      </c>
      <c r="E2054" s="34" t="n">
        <v>0.13788</v>
      </c>
      <c r="F2054" s="35">
        <f>ROUND(B2054*E2054,2)</f>
        <v/>
      </c>
      <c r="H2054" s="67" t="n"/>
      <c r="I2054" s="67" t="n"/>
      <c r="J2054" s="67" t="n"/>
      <c r="L2054" s="65" t="n"/>
      <c r="M2054" s="65" t="n"/>
      <c r="N2054" s="65" t="n"/>
      <c r="O2054" s="46" t="inlineStr">
        <is>
          <t>en proporción para ese margen</t>
        </is>
      </c>
      <c r="AA2054" t="n">
        <v>106.285</v>
      </c>
    </row>
    <row r="2055">
      <c r="A2055" s="30" t="inlineStr">
        <is>
          <t>Alquiler contador</t>
        </is>
      </c>
      <c r="B2055" s="31" t="n">
        <v>1</v>
      </c>
      <c r="C2055" s="32">
        <f>$N$2047-$L$2047+1</f>
        <v/>
      </c>
      <c r="D2055" s="33" t="n">
        <v>0.7989000000000001</v>
      </c>
      <c r="E2055" s="34" t="n">
        <v>3</v>
      </c>
      <c r="F2055" s="35">
        <f>ROUND(B2055*E2055,2)</f>
        <v/>
      </c>
      <c r="H2055" s="67" t="n"/>
      <c r="I2055" s="67" t="n"/>
      <c r="J2055" s="67" t="n"/>
      <c r="L2055" s="65" t="n"/>
      <c r="M2055" s="65" t="n"/>
      <c r="N2055" s="65" t="n"/>
    </row>
    <row r="2056">
      <c r="A2056" s="30" t="inlineStr">
        <is>
          <t>Bono social</t>
        </is>
      </c>
      <c r="B2056" s="31" t="n">
        <v>30</v>
      </c>
      <c r="C2056" s="32">
        <f>$N$2047-$L$2047+1</f>
        <v/>
      </c>
      <c r="D2056" s="33" t="n">
        <v>0.5736</v>
      </c>
      <c r="E2056" s="34" t="n">
        <v>0.01274</v>
      </c>
      <c r="F2056" s="35">
        <f>ROUND(B2056*E2056,2)</f>
        <v/>
      </c>
      <c r="H2056" s="67" t="n"/>
      <c r="I2056" s="67" t="n"/>
      <c r="J2056" s="67" t="n"/>
      <c r="L2056" s="65" t="n"/>
      <c r="M2056" s="65" t="n"/>
      <c r="N2056" s="65" t="n"/>
    </row>
    <row r="2057">
      <c r="A2057" s="30" t="inlineStr">
        <is>
          <t>Tasa eléctrica</t>
        </is>
      </c>
      <c r="B2057" s="31" t="n">
        <v>2.99</v>
      </c>
      <c r="C2057" s="44" t="n"/>
      <c r="D2057" s="33" t="n">
        <v>0.02671</v>
      </c>
      <c r="E2057" s="34" t="n">
        <v>1</v>
      </c>
      <c r="F2057" s="35">
        <f>ROUND(B2057*E2057,2)</f>
        <v/>
      </c>
      <c r="H2057" s="67" t="n"/>
      <c r="I2057" s="67" t="n"/>
      <c r="J2057" s="67" t="n"/>
      <c r="L2057" s="65" t="n"/>
      <c r="M2057" s="65" t="n"/>
      <c r="N2057" s="65" t="n"/>
    </row>
    <row r="2058">
      <c r="A2058" s="47" t="inlineStr">
        <is>
          <t>TOTAL c/IVA</t>
        </is>
      </c>
      <c r="F2058" s="48">
        <f>ROUND((SUM(F2050:F2057)-F2057)*1.1+F2057,2)</f>
        <v/>
      </c>
      <c r="J2058" s="69" t="n"/>
      <c r="N2058" s="66" t="n"/>
    </row>
    <row r="2059">
      <c r="A2059" s="19" t="inlineStr">
        <is>
          <t>MARGEN sin registrar</t>
        </is>
      </c>
      <c r="B2059" s="51">
        <f>IF((F2053+F2050+F2052+F2054+F2051)=0,"",((F2053+F2050+F2052+F2054+F2051)-$AB$2052)/(F2053+F2050+F2052+F2054+F2051))</f>
        <v/>
      </c>
      <c r="D2059" s="52">
        <f>IF(B2059="","SIN PC",IF(B2059&gt;=0.3,"APROBAR",IF(B2059&gt;=0.2,"REVISAR","RECHAZAR")))</f>
        <v/>
      </c>
      <c r="E2059" s="53" t="n"/>
      <c r="F2059" s="54" t="n"/>
      <c r="AD2059">
        <f>SUM(F2052:F2054)-34.5811</f>
        <v/>
      </c>
    </row>
    <row r="2061">
      <c r="A2061" s="15" t="inlineStr">
        <is>
          <t>Factura 8727 · C03460 · SILVIA KREMPASKA</t>
        </is>
      </c>
      <c r="H2061" s="15" t="inlineStr">
        <is>
          <t>ES0021000039701362KR · Naturgy</t>
        </is>
      </c>
      <c r="L2061" s="16" t="n">
        <v>46122</v>
      </c>
      <c r="M2061" s="17" t="inlineStr">
        <is>
          <t>a</t>
        </is>
      </c>
      <c r="N2061" s="16" t="n">
        <v>46142</v>
      </c>
      <c r="R2061" s="18" t="inlineStr">
        <is>
          <t>HISTÓRICO DEL CUPS · HOJA TTVA LUZ</t>
        </is>
      </c>
    </row>
    <row r="2062">
      <c r="A2062" s="19" t="inlineStr">
        <is>
          <t>Concepto</t>
        </is>
      </c>
      <c r="B2062" s="20" t="inlineStr">
        <is>
          <t>PENDIENTE (sin registrar)</t>
        </is>
      </c>
      <c r="C2062" s="21" t="n"/>
      <c r="D2062" s="21" t="n"/>
      <c r="E2062" s="21" t="n"/>
      <c r="F2062" s="21" t="n"/>
      <c r="H2062" s="22" t="inlineStr">
        <is>
          <t>MES ANTERIOR · (sin dato)</t>
        </is>
      </c>
      <c r="I2062" s="23" t="n"/>
      <c r="J2062" s="23" t="n"/>
      <c r="L2062" s="24" t="inlineStr">
        <is>
          <t>AÑO ANTERIOR · (sin dato)</t>
        </is>
      </c>
      <c r="M2062" s="25" t="n"/>
      <c r="N2062" s="25" t="n"/>
      <c r="R2062" s="26" t="inlineStr">
        <is>
          <t>Cobrado total: 0 €</t>
        </is>
      </c>
    </row>
    <row r="2063">
      <c r="B2063" s="7" t="inlineStr">
        <is>
          <t>Cant</t>
        </is>
      </c>
      <c r="C2063" s="7" t="inlineStr">
        <is>
          <t>Días</t>
        </is>
      </c>
      <c r="D2063" s="7" t="inlineStr">
        <is>
          <t>PC real</t>
        </is>
      </c>
      <c r="E2063" s="7" t="inlineStr">
        <is>
          <t>PV</t>
        </is>
      </c>
      <c r="F2063" s="7" t="inlineStr">
        <is>
          <t>Importe</t>
        </is>
      </c>
      <c r="H2063" s="27" t="inlineStr">
        <is>
          <t>Cant</t>
        </is>
      </c>
      <c r="I2063" s="27" t="inlineStr">
        <is>
          <t>PV</t>
        </is>
      </c>
      <c r="J2063" s="27" t="inlineStr">
        <is>
          <t>Importe</t>
        </is>
      </c>
      <c r="L2063" s="28" t="inlineStr">
        <is>
          <t>Cant</t>
        </is>
      </c>
      <c r="M2063" s="28" t="inlineStr">
        <is>
          <t>PV</t>
        </is>
      </c>
      <c r="N2063" s="28" t="inlineStr">
        <is>
          <t>Importe</t>
        </is>
      </c>
      <c r="R2063" s="29" t="inlineStr">
        <is>
          <t>Pagado total: 0 €</t>
        </is>
      </c>
    </row>
    <row r="2064">
      <c r="A2064" s="30" t="inlineStr">
        <is>
          <t>P1 Potencia</t>
        </is>
      </c>
      <c r="B2064" s="31" t="n">
        <v>9.199999999999999</v>
      </c>
      <c r="C2064" s="32">
        <f>$N$2061-$L$2061+1</f>
        <v/>
      </c>
      <c r="D2064" s="33" t="n">
        <v>3.68919</v>
      </c>
      <c r="E2064" s="34" t="n">
        <v>2.15</v>
      </c>
      <c r="F2064" s="35">
        <f>ROUND(B2064*E2064,2)</f>
        <v/>
      </c>
      <c r="H2064" s="67" t="n"/>
      <c r="I2064" s="67" t="n"/>
      <c r="J2064" s="67" t="n"/>
      <c r="L2064" s="65" t="n"/>
      <c r="M2064" s="65" t="n"/>
      <c r="N2064" s="65" t="n"/>
      <c r="R2064" s="42" t="inlineStr">
        <is>
          <t>DIF: 0 €   ·   Margen hist.: 100.0%</t>
        </is>
      </c>
    </row>
    <row r="2065">
      <c r="A2065" s="30" t="inlineStr">
        <is>
          <t>P2 Potencia</t>
        </is>
      </c>
      <c r="B2065" s="31" t="n">
        <v>9.199999999999999</v>
      </c>
      <c r="C2065" s="32">
        <f>$N$2061-$L$2061+1</f>
        <v/>
      </c>
      <c r="D2065" s="33" t="n">
        <v>1.31928</v>
      </c>
      <c r="E2065" s="34" t="n">
        <v>0.93</v>
      </c>
      <c r="F2065" s="35">
        <f>ROUND(B2065*E2065,2)</f>
        <v/>
      </c>
      <c r="H2065" s="67" t="n"/>
      <c r="I2065" s="67" t="n"/>
      <c r="J2065" s="67" t="n"/>
      <c r="L2065" s="65" t="n"/>
      <c r="M2065" s="65" t="n"/>
      <c r="N2065" s="65" t="n"/>
    </row>
    <row r="2066">
      <c r="A2066" s="30" t="inlineStr">
        <is>
          <t>P1 Energía</t>
        </is>
      </c>
      <c r="B2066" s="31">
        <f>IF($P$2066&lt;&gt;"",ROUND(AA2066*(($AB$2066/(1-$P$2066))-28.3360)/19.7862,2),IF('Resumen'!$D$3="OPTIMIZAR",AA2066,AA2066))</f>
        <v/>
      </c>
      <c r="C2066" s="44" t="n"/>
      <c r="D2066" s="33" t="n">
        <v>0.111171</v>
      </c>
      <c r="E2066" s="34" t="n">
        <v>0.13788</v>
      </c>
      <c r="F2066" s="35">
        <f>ROUND(B2066*E2066,2)</f>
        <v/>
      </c>
      <c r="H2066" s="67" t="n"/>
      <c r="I2066" s="67" t="n"/>
      <c r="J2066" s="67" t="n"/>
      <c r="L2066" s="65" t="n"/>
      <c r="M2066" s="65" t="n"/>
      <c r="N2066" s="65" t="n"/>
      <c r="O2066" s="45" t="inlineStr">
        <is>
          <t>Margen objetivo (edita % aquí) ▶</t>
        </is>
      </c>
      <c r="P2066" s="5" t="n"/>
      <c r="AA2066" t="n">
        <v>34.221</v>
      </c>
      <c r="AB2066">
        <f>B2064*D2064+B2065*D2065+AA2066*D2066+AA2067*D2067+AA2068*D2068</f>
        <v/>
      </c>
    </row>
    <row r="2067">
      <c r="A2067" s="30" t="inlineStr">
        <is>
          <t>P2 Energía</t>
        </is>
      </c>
      <c r="B2067" s="31">
        <f>IF($P$2066&lt;&gt;"",ROUND(AA2067*(($AB$2066/(1-$P$2066))-28.3360)/19.7862,2),IF('Resumen'!$D$3="OPTIMIZAR",AA2067,AA2067))</f>
        <v/>
      </c>
      <c r="C2067" s="44" t="n"/>
      <c r="D2067" s="33" t="n">
        <v>0.111171</v>
      </c>
      <c r="E2067" s="34" t="n">
        <v>0.13788</v>
      </c>
      <c r="F2067" s="35">
        <f>ROUND(B2067*E2067,2)</f>
        <v/>
      </c>
      <c r="H2067" s="67" t="n"/>
      <c r="I2067" s="67" t="n"/>
      <c r="J2067" s="67" t="n"/>
      <c r="L2067" s="65" t="n"/>
      <c r="M2067" s="65" t="n"/>
      <c r="N2067" s="65" t="n"/>
      <c r="O2067" s="46" t="inlineStr">
        <is>
          <t>Cant. P1/P2/P3 energía suben</t>
        </is>
      </c>
      <c r="R2067" s="43" t="inlineStr">
        <is>
          <t>Importe mensual cobrado (€) · 24 meses ▾</t>
        </is>
      </c>
      <c r="AA2067" t="n">
        <v>34.56</v>
      </c>
    </row>
    <row r="2068">
      <c r="A2068" s="30" t="inlineStr">
        <is>
          <t>P3 Energía</t>
        </is>
      </c>
      <c r="B2068" s="31">
        <f>IF($P$2066&lt;&gt;"",ROUND(AA2068*(($AB$2066/(1-$P$2066))-28.3360)/19.7862,2),IF('Resumen'!$D$3="OPTIMIZAR",AA2068,AA2068))</f>
        <v/>
      </c>
      <c r="C2068" s="44" t="n"/>
      <c r="D2068" s="33" t="n">
        <v>0.111171</v>
      </c>
      <c r="E2068" s="34" t="n">
        <v>0.13788</v>
      </c>
      <c r="F2068" s="35">
        <f>ROUND(B2068*E2068,2)</f>
        <v/>
      </c>
      <c r="H2068" s="67" t="n"/>
      <c r="I2068" s="67" t="n"/>
      <c r="J2068" s="67" t="n"/>
      <c r="L2068" s="65" t="n"/>
      <c r="M2068" s="65" t="n"/>
      <c r="N2068" s="65" t="n"/>
      <c r="O2068" s="46" t="inlineStr">
        <is>
          <t>en proporción para ese margen</t>
        </is>
      </c>
      <c r="AA2068" t="n">
        <v>74.72199999999999</v>
      </c>
    </row>
    <row r="2069">
      <c r="A2069" s="30" t="inlineStr">
        <is>
          <t>Alquiler contador</t>
        </is>
      </c>
      <c r="B2069" s="31" t="n">
        <v>1</v>
      </c>
      <c r="C2069" s="32">
        <f>$N$2061-$L$2061+1</f>
        <v/>
      </c>
      <c r="D2069" s="33" t="n">
        <v>0.7989000000000001</v>
      </c>
      <c r="E2069" s="34" t="n">
        <v>3</v>
      </c>
      <c r="F2069" s="35">
        <f>ROUND(B2069*E2069,2)</f>
        <v/>
      </c>
      <c r="H2069" s="67" t="n"/>
      <c r="I2069" s="67" t="n"/>
      <c r="J2069" s="67" t="n"/>
      <c r="L2069" s="65" t="n"/>
      <c r="M2069" s="65" t="n"/>
      <c r="N2069" s="65" t="n"/>
    </row>
    <row r="2070">
      <c r="A2070" s="30" t="inlineStr">
        <is>
          <t>Bono social</t>
        </is>
      </c>
      <c r="B2070" s="31" t="n">
        <v>30</v>
      </c>
      <c r="C2070" s="32">
        <f>$N$2061-$L$2061+1</f>
        <v/>
      </c>
      <c r="D2070" s="33" t="n">
        <v>0.5736</v>
      </c>
      <c r="E2070" s="34" t="n">
        <v>0.01274</v>
      </c>
      <c r="F2070" s="35">
        <f>ROUND(B2070*E2070,2)</f>
        <v/>
      </c>
      <c r="H2070" s="67" t="n"/>
      <c r="I2070" s="67" t="n"/>
      <c r="J2070" s="67" t="n"/>
      <c r="L2070" s="65" t="n"/>
      <c r="M2070" s="65" t="n"/>
      <c r="N2070" s="65" t="n"/>
    </row>
    <row r="2071">
      <c r="A2071" s="30" t="inlineStr">
        <is>
          <t>Tasa eléctrica</t>
        </is>
      </c>
      <c r="B2071" s="31" t="n">
        <v>3.46</v>
      </c>
      <c r="C2071" s="44" t="n"/>
      <c r="D2071" s="33" t="n">
        <v>0.02671</v>
      </c>
      <c r="E2071" s="34" t="n">
        <v>1</v>
      </c>
      <c r="F2071" s="35">
        <f>ROUND(B2071*E2071,2)</f>
        <v/>
      </c>
      <c r="H2071" s="67" t="n"/>
      <c r="I2071" s="67" t="n"/>
      <c r="J2071" s="67" t="n"/>
      <c r="L2071" s="65" t="n"/>
      <c r="M2071" s="65" t="n"/>
      <c r="N2071" s="65" t="n"/>
    </row>
    <row r="2072">
      <c r="A2072" s="47" t="inlineStr">
        <is>
          <t>TOTAL c/IVA</t>
        </is>
      </c>
      <c r="F2072" s="48">
        <f>ROUND((SUM(F2064:F2071)-F2071)*1.1+F2071,2)</f>
        <v/>
      </c>
      <c r="J2072" s="69" t="n"/>
      <c r="N2072" s="66" t="n"/>
    </row>
    <row r="2073">
      <c r="A2073" s="19" t="inlineStr">
        <is>
          <t>MARGEN sin registrar</t>
        </is>
      </c>
      <c r="B2073" s="51">
        <f>IF((F2067+F2064+F2066+F2068+F2065)=0,"",((F2067+F2064+F2066+F2068+F2065)-$AB$2066)/(F2067+F2064+F2066+F2068+F2065))</f>
        <v/>
      </c>
      <c r="D2073" s="52">
        <f>IF(B2073="","SIN PC",IF(B2073&gt;=0.3,"APROBAR",IF(B2073&gt;=0.2,"REVISAR","RECHAZAR")))</f>
        <v/>
      </c>
      <c r="E2073" s="53" t="n"/>
      <c r="F2073" s="54" t="n"/>
      <c r="AD2073">
        <f>SUM(F2066:F2068)-19.7862</f>
        <v/>
      </c>
    </row>
    <row r="2075">
      <c r="A2075" s="15" t="inlineStr">
        <is>
          <t xml:space="preserve">Factura 8728 · C03470 · </t>
        </is>
      </c>
      <c r="H2075" s="15" t="inlineStr">
        <is>
          <t>ES0021000001198764GR · Naturgy</t>
        </is>
      </c>
      <c r="L2075" s="16" t="n">
        <v>46113</v>
      </c>
      <c r="M2075" s="17" t="inlineStr">
        <is>
          <t>a</t>
        </is>
      </c>
      <c r="N2075" s="16" t="n">
        <v>46142</v>
      </c>
      <c r="R2075" s="18" t="inlineStr">
        <is>
          <t>HISTÓRICO DEL CUPS · HOJA TTVA LUZ</t>
        </is>
      </c>
    </row>
    <row r="2076">
      <c r="A2076" s="19" t="inlineStr">
        <is>
          <t>Concepto</t>
        </is>
      </c>
      <c r="B2076" s="20" t="inlineStr">
        <is>
          <t>PENDIENTE (sin registrar)</t>
        </is>
      </c>
      <c r="C2076" s="21" t="n"/>
      <c r="D2076" s="21" t="n"/>
      <c r="E2076" s="21" t="n"/>
      <c r="F2076" s="21" t="n"/>
      <c r="H2076" s="22" t="inlineStr">
        <is>
          <t>MES ANTERIOR · (sin dato)</t>
        </is>
      </c>
      <c r="I2076" s="23" t="n"/>
      <c r="J2076" s="23" t="n"/>
      <c r="L2076" s="24" t="inlineStr">
        <is>
          <t>AÑO ANTERIOR · (sin dato)</t>
        </is>
      </c>
      <c r="M2076" s="25" t="n"/>
      <c r="N2076" s="25" t="n"/>
    </row>
    <row r="2077">
      <c r="B2077" s="7" t="inlineStr">
        <is>
          <t>Cant</t>
        </is>
      </c>
      <c r="C2077" s="7" t="inlineStr">
        <is>
          <t>Días</t>
        </is>
      </c>
      <c r="D2077" s="7" t="inlineStr">
        <is>
          <t>PC real</t>
        </is>
      </c>
      <c r="E2077" s="7" t="inlineStr">
        <is>
          <t>PV</t>
        </is>
      </c>
      <c r="F2077" s="7" t="inlineStr">
        <is>
          <t>Importe</t>
        </is>
      </c>
      <c r="H2077" s="27" t="inlineStr">
        <is>
          <t>Cant</t>
        </is>
      </c>
      <c r="I2077" s="27" t="inlineStr">
        <is>
          <t>PV</t>
        </is>
      </c>
      <c r="J2077" s="27" t="inlineStr">
        <is>
          <t>Importe</t>
        </is>
      </c>
      <c r="L2077" s="28" t="inlineStr">
        <is>
          <t>Cant</t>
        </is>
      </c>
      <c r="M2077" s="28" t="inlineStr">
        <is>
          <t>PV</t>
        </is>
      </c>
      <c r="N2077" s="28" t="inlineStr">
        <is>
          <t>Importe</t>
        </is>
      </c>
    </row>
    <row r="2078">
      <c r="A2078" s="30" t="inlineStr">
        <is>
          <t>P1 Potencia</t>
        </is>
      </c>
      <c r="B2078" s="31" t="n">
        <v>5.5</v>
      </c>
      <c r="C2078" s="32">
        <f>$N$2075-$L$2075+1</f>
        <v/>
      </c>
      <c r="D2078" s="33" t="n"/>
      <c r="E2078" s="34" t="n">
        <v>3.85</v>
      </c>
      <c r="F2078" s="35">
        <f>ROUND(B2078*E2078,2)</f>
        <v/>
      </c>
      <c r="H2078" s="67" t="n"/>
      <c r="I2078" s="67" t="n"/>
      <c r="J2078" s="67" t="n"/>
      <c r="L2078" s="65" t="n"/>
      <c r="M2078" s="65" t="n"/>
      <c r="N2078" s="65" t="n"/>
    </row>
    <row r="2079">
      <c r="A2079" s="30" t="inlineStr">
        <is>
          <t>P2 Potencia</t>
        </is>
      </c>
      <c r="B2079" s="31" t="n">
        <v>5.5</v>
      </c>
      <c r="C2079" s="32">
        <f>$N$2075-$L$2075+1</f>
        <v/>
      </c>
      <c r="D2079" s="33" t="n"/>
      <c r="E2079" s="34" t="n">
        <v>1.33</v>
      </c>
      <c r="F2079" s="35">
        <f>ROUND(B2079*E2079,2)</f>
        <v/>
      </c>
      <c r="H2079" s="67" t="n"/>
      <c r="I2079" s="67" t="n"/>
      <c r="J2079" s="67" t="n"/>
      <c r="L2079" s="65" t="n"/>
      <c r="M2079" s="65" t="n"/>
      <c r="N2079" s="65" t="n"/>
    </row>
    <row r="2080">
      <c r="A2080" s="30" t="inlineStr">
        <is>
          <t>P1 Energía</t>
        </is>
      </c>
      <c r="B2080" s="31">
        <f>IF($P$2080&lt;&gt;"",ROUND(AA2080*(($AB$2080/(1-$P$2080))-28.4900)/0.0000,2),IF('Resumen'!$D$3="OPTIMIZAR",AA2080,AA2080))</f>
        <v/>
      </c>
      <c r="C2080" s="44" t="n"/>
      <c r="D2080" s="33" t="n"/>
      <c r="E2080" s="34" t="n">
        <v>0</v>
      </c>
      <c r="F2080" s="35">
        <f>ROUND(B2080*E2080,2)</f>
        <v/>
      </c>
      <c r="H2080" s="67" t="n"/>
      <c r="I2080" s="67" t="n"/>
      <c r="J2080" s="67" t="n"/>
      <c r="L2080" s="65" t="n"/>
      <c r="M2080" s="65" t="n"/>
      <c r="N2080" s="65" t="n"/>
      <c r="O2080" s="45" t="inlineStr">
        <is>
          <t>Margen objetivo (edita % aquí) ▶</t>
        </is>
      </c>
      <c r="P2080" s="5" t="n"/>
      <c r="AA2080" t="n">
        <v>0</v>
      </c>
      <c r="AB2080">
        <f>B2078*D2078+B2079*D2079+AA2080*D2080+AA2081*D2081+AA2082*D2082</f>
        <v/>
      </c>
    </row>
    <row r="2081">
      <c r="A2081" s="30" t="inlineStr">
        <is>
          <t>P2 Energía</t>
        </is>
      </c>
      <c r="B2081" s="31">
        <f>IF($P$2080&lt;&gt;"",ROUND(AA2081*(($AB$2080/(1-$P$2080))-28.4900)/0.0000,2),IF('Resumen'!$D$3="OPTIMIZAR",AA2081,AA2081))</f>
        <v/>
      </c>
      <c r="C2081" s="44" t="n"/>
      <c r="D2081" s="33" t="n"/>
      <c r="E2081" s="34" t="n">
        <v>0</v>
      </c>
      <c r="F2081" s="35">
        <f>ROUND(B2081*E2081,2)</f>
        <v/>
      </c>
      <c r="H2081" s="67" t="n"/>
      <c r="I2081" s="67" t="n"/>
      <c r="J2081" s="67" t="n"/>
      <c r="L2081" s="65" t="n"/>
      <c r="M2081" s="65" t="n"/>
      <c r="N2081" s="65" t="n"/>
      <c r="O2081" s="46" t="inlineStr">
        <is>
          <t>Cant. P1/P2/P3 energía suben</t>
        </is>
      </c>
      <c r="AA2081" t="n">
        <v>0</v>
      </c>
    </row>
    <row r="2082">
      <c r="A2082" s="30" t="inlineStr">
        <is>
          <t>P3 Energía</t>
        </is>
      </c>
      <c r="B2082" s="31">
        <f>IF($P$2080&lt;&gt;"",ROUND(AA2082*(($AB$2080/(1-$P$2080))-28.4900)/0.0000,2),IF('Resumen'!$D$3="OPTIMIZAR",AA2082,AA2082))</f>
        <v/>
      </c>
      <c r="C2082" s="44" t="n"/>
      <c r="D2082" s="33" t="n"/>
      <c r="E2082" s="34" t="n">
        <v>0</v>
      </c>
      <c r="F2082" s="35">
        <f>ROUND(B2082*E2082,2)</f>
        <v/>
      </c>
      <c r="H2082" s="67" t="n"/>
      <c r="I2082" s="67" t="n"/>
      <c r="J2082" s="67" t="n"/>
      <c r="L2082" s="65" t="n"/>
      <c r="M2082" s="65" t="n"/>
      <c r="N2082" s="65" t="n"/>
      <c r="O2082" s="46" t="inlineStr">
        <is>
          <t>en proporción para ese margen</t>
        </is>
      </c>
      <c r="AA2082" t="n">
        <v>0</v>
      </c>
    </row>
    <row r="2083">
      <c r="A2083" s="30" t="inlineStr">
        <is>
          <t>Alquiler contador</t>
        </is>
      </c>
      <c r="B2083" s="31" t="n">
        <v>1</v>
      </c>
      <c r="C2083" s="32">
        <f>$N$2075-$L$2075+1</f>
        <v/>
      </c>
      <c r="D2083" s="33" t="n"/>
      <c r="E2083" s="34" t="n">
        <v>3</v>
      </c>
      <c r="F2083" s="35">
        <f>ROUND(B2083*E2083,2)</f>
        <v/>
      </c>
      <c r="H2083" s="67" t="n"/>
      <c r="I2083" s="67" t="n"/>
      <c r="J2083" s="67" t="n"/>
      <c r="L2083" s="65" t="n"/>
      <c r="M2083" s="65" t="n"/>
      <c r="N2083" s="65" t="n"/>
    </row>
    <row r="2084">
      <c r="A2084" s="30" t="inlineStr">
        <is>
          <t>Bono social</t>
        </is>
      </c>
      <c r="B2084" s="31" t="n">
        <v>30</v>
      </c>
      <c r="C2084" s="32">
        <f>$N$2075-$L$2075+1</f>
        <v/>
      </c>
      <c r="D2084" s="33" t="n"/>
      <c r="E2084" s="34" t="n">
        <v>0.01274</v>
      </c>
      <c r="F2084" s="35">
        <f>ROUND(B2084*E2084,2)</f>
        <v/>
      </c>
      <c r="H2084" s="67" t="n"/>
      <c r="I2084" s="67" t="n"/>
      <c r="J2084" s="67" t="n"/>
      <c r="L2084" s="65" t="n"/>
      <c r="M2084" s="65" t="n"/>
      <c r="N2084" s="65" t="n"/>
    </row>
    <row r="2085">
      <c r="A2085" s="30" t="inlineStr">
        <is>
          <t>Tasa eléctrica</t>
        </is>
      </c>
      <c r="B2085" s="31" t="n">
        <v>1.47</v>
      </c>
      <c r="C2085" s="44" t="n"/>
      <c r="D2085" s="33" t="n"/>
      <c r="E2085" s="34" t="n">
        <v>1</v>
      </c>
      <c r="F2085" s="35">
        <f>ROUND(B2085*E2085,2)</f>
        <v/>
      </c>
      <c r="H2085" s="67" t="n"/>
      <c r="I2085" s="67" t="n"/>
      <c r="J2085" s="67" t="n"/>
      <c r="L2085" s="65" t="n"/>
      <c r="M2085" s="65" t="n"/>
      <c r="N2085" s="65" t="n"/>
    </row>
    <row r="2086">
      <c r="A2086" s="47" t="inlineStr">
        <is>
          <t>TOTAL c/IVA</t>
        </is>
      </c>
      <c r="F2086" s="48">
        <f>ROUND((SUM(F2078:F2085)-F2085)*1.1+F2085,2)</f>
        <v/>
      </c>
      <c r="J2086" s="69" t="n"/>
      <c r="N2086" s="66" t="n"/>
    </row>
    <row r="2087">
      <c r="A2087" s="19" t="inlineStr">
        <is>
          <t>MARGEN sin registrar</t>
        </is>
      </c>
      <c r="B2087" s="51">
        <f>IF((F2081+F2078+F2080+F2082+F2079)=0,"",((F2081+F2078+F2080+F2082+F2079)-$AB$2080)/(F2081+F2078+F2080+F2082+F2079))</f>
        <v/>
      </c>
      <c r="D2087" s="52">
        <f>IF(B2087="","SIN PC",IF(B2087&gt;=0.3,"APROBAR",IF(B2087&gt;=0.2,"REVISAR","RECHAZAR")))</f>
        <v/>
      </c>
      <c r="E2087" s="53" t="n"/>
      <c r="F2087" s="54" t="n"/>
      <c r="AD2087">
        <f>SUM(F2080:F2082)-0.0000</f>
        <v/>
      </c>
    </row>
    <row r="2089">
      <c r="A2089" s="15" t="inlineStr">
        <is>
          <t>Factura 8729 · C03480 · MICHAL GLOSIK</t>
        </is>
      </c>
      <c r="H2089" s="15" t="inlineStr">
        <is>
          <t>ES0021000042199454GV · Naturgy</t>
        </is>
      </c>
      <c r="L2089" s="16" t="n">
        <v>46113</v>
      </c>
      <c r="M2089" s="17" t="inlineStr">
        <is>
          <t>a</t>
        </is>
      </c>
      <c r="N2089" s="16" t="n">
        <v>46142</v>
      </c>
      <c r="R2089" s="18" t="inlineStr">
        <is>
          <t>HISTÓRICO DEL CUPS · HOJA TTVA LUZ</t>
        </is>
      </c>
    </row>
    <row r="2090">
      <c r="A2090" s="19" t="inlineStr">
        <is>
          <t>Concepto</t>
        </is>
      </c>
      <c r="B2090" s="20" t="inlineStr">
        <is>
          <t>PENDIENTE (sin registrar)</t>
        </is>
      </c>
      <c r="C2090" s="21" t="n"/>
      <c r="D2090" s="21" t="n"/>
      <c r="E2090" s="21" t="n"/>
      <c r="F2090" s="21" t="n"/>
      <c r="H2090" s="22" t="inlineStr">
        <is>
          <t>MES ANTERIOR · (sin dato)</t>
        </is>
      </c>
      <c r="I2090" s="23" t="n"/>
      <c r="J2090" s="23" t="n"/>
      <c r="L2090" s="24" t="inlineStr">
        <is>
          <t>AÑO ANTERIOR · (sin dato)</t>
        </is>
      </c>
      <c r="M2090" s="25" t="n"/>
      <c r="N2090" s="25" t="n"/>
      <c r="R2090" s="26" t="inlineStr">
        <is>
          <t>Cobrado total: 1 €</t>
        </is>
      </c>
    </row>
    <row r="2091">
      <c r="B2091" s="7" t="inlineStr">
        <is>
          <t>Cant</t>
        </is>
      </c>
      <c r="C2091" s="7" t="inlineStr">
        <is>
          <t>Días</t>
        </is>
      </c>
      <c r="D2091" s="7" t="inlineStr">
        <is>
          <t>PC real</t>
        </is>
      </c>
      <c r="E2091" s="7" t="inlineStr">
        <is>
          <t>PV</t>
        </is>
      </c>
      <c r="F2091" s="7" t="inlineStr">
        <is>
          <t>Importe</t>
        </is>
      </c>
      <c r="H2091" s="27" t="inlineStr">
        <is>
          <t>Cant</t>
        </is>
      </c>
      <c r="I2091" s="27" t="inlineStr">
        <is>
          <t>PV</t>
        </is>
      </c>
      <c r="J2091" s="27" t="inlineStr">
        <is>
          <t>Importe</t>
        </is>
      </c>
      <c r="L2091" s="28" t="inlineStr">
        <is>
          <t>Cant</t>
        </is>
      </c>
      <c r="M2091" s="28" t="inlineStr">
        <is>
          <t>PV</t>
        </is>
      </c>
      <c r="N2091" s="28" t="inlineStr">
        <is>
          <t>Importe</t>
        </is>
      </c>
      <c r="R2091" s="29" t="inlineStr">
        <is>
          <t>Pagado total: 0 €</t>
        </is>
      </c>
    </row>
    <row r="2092">
      <c r="A2092" s="30" t="inlineStr">
        <is>
          <t>P1 Potencia</t>
        </is>
      </c>
      <c r="B2092" s="31" t="n">
        <v>5.7</v>
      </c>
      <c r="C2092" s="32">
        <f>$N$2089-$L$2089+1</f>
        <v/>
      </c>
      <c r="D2092" s="33" t="n">
        <v>3.68919</v>
      </c>
      <c r="E2092" s="34" t="n">
        <v>3.85</v>
      </c>
      <c r="F2092" s="35">
        <f>ROUND(B2092*E2092,2)</f>
        <v/>
      </c>
      <c r="H2092" s="67" t="n"/>
      <c r="I2092" s="67" t="n"/>
      <c r="J2092" s="67" t="n"/>
      <c r="L2092" s="65" t="n"/>
      <c r="M2092" s="65" t="n"/>
      <c r="N2092" s="65" t="n"/>
      <c r="R2092" s="42" t="inlineStr">
        <is>
          <t>DIF: 1 €   ·   Margen hist.: 100.0%</t>
        </is>
      </c>
    </row>
    <row r="2093">
      <c r="A2093" s="30" t="inlineStr">
        <is>
          <t>P2 Potencia</t>
        </is>
      </c>
      <c r="B2093" s="31" t="n">
        <v>5.7</v>
      </c>
      <c r="C2093" s="32">
        <f>$N$2089-$L$2089+1</f>
        <v/>
      </c>
      <c r="D2093" s="33" t="n">
        <v>1.31928</v>
      </c>
      <c r="E2093" s="34" t="n">
        <v>1.33</v>
      </c>
      <c r="F2093" s="35">
        <f>ROUND(B2093*E2093,2)</f>
        <v/>
      </c>
      <c r="H2093" s="67" t="n"/>
      <c r="I2093" s="67" t="n"/>
      <c r="J2093" s="67" t="n"/>
      <c r="L2093" s="65" t="n"/>
      <c r="M2093" s="65" t="n"/>
      <c r="N2093" s="65" t="n"/>
    </row>
    <row r="2094">
      <c r="A2094" s="30" t="inlineStr">
        <is>
          <t>P1 Energía</t>
        </is>
      </c>
      <c r="B2094" s="31">
        <f>IF($P$2094&lt;&gt;"",ROUND(AA2094*(($AB$2094/(1-$P$2094))-29.5260)/24.7278,2),IF('Resumen'!$D$3="OPTIMIZAR",AA2094,AA2094))</f>
        <v/>
      </c>
      <c r="C2094" s="44" t="n"/>
      <c r="D2094" s="33" t="n">
        <v>0.111171</v>
      </c>
      <c r="E2094" s="34" t="n">
        <v>0.13788</v>
      </c>
      <c r="F2094" s="35">
        <f>ROUND(B2094*E2094,2)</f>
        <v/>
      </c>
      <c r="H2094" s="67" t="n"/>
      <c r="I2094" s="67" t="n"/>
      <c r="J2094" s="67" t="n"/>
      <c r="L2094" s="65" t="n"/>
      <c r="M2094" s="65" t="n"/>
      <c r="N2094" s="65" t="n"/>
      <c r="O2094" s="45" t="inlineStr">
        <is>
          <t>Margen objetivo (edita % aquí) ▶</t>
        </is>
      </c>
      <c r="P2094" s="5" t="n"/>
      <c r="AA2094" t="n">
        <v>82.934</v>
      </c>
      <c r="AB2094">
        <f>B2092*D2092+B2093*D2093+AA2094*D2094+AA2095*D2095+AA2096*D2096</f>
        <v/>
      </c>
    </row>
    <row r="2095">
      <c r="A2095" s="30" t="inlineStr">
        <is>
          <t>P2 Energía</t>
        </is>
      </c>
      <c r="B2095" s="31">
        <f>IF($P$2094&lt;&gt;"",ROUND(AA2095*(($AB$2094/(1-$P$2094))-29.5260)/24.7278,2),IF('Resumen'!$D$3="OPTIMIZAR",AA2095,AA2095))</f>
        <v/>
      </c>
      <c r="C2095" s="44" t="n"/>
      <c r="D2095" s="33" t="n">
        <v>0.111171</v>
      </c>
      <c r="E2095" s="34" t="n">
        <v>0.13788</v>
      </c>
      <c r="F2095" s="35">
        <f>ROUND(B2095*E2095,2)</f>
        <v/>
      </c>
      <c r="H2095" s="67" t="n"/>
      <c r="I2095" s="67" t="n"/>
      <c r="J2095" s="67" t="n"/>
      <c r="L2095" s="65" t="n"/>
      <c r="M2095" s="65" t="n"/>
      <c r="N2095" s="65" t="n"/>
      <c r="O2095" s="46" t="inlineStr">
        <is>
          <t>Cant. P1/P2/P3 energía suben</t>
        </is>
      </c>
      <c r="R2095" s="43" t="inlineStr">
        <is>
          <t>Importe mensual cobrado (€) · 24 meses ▾</t>
        </is>
      </c>
      <c r="AA2095" t="n">
        <v>56.983</v>
      </c>
    </row>
    <row r="2096">
      <c r="A2096" s="30" t="inlineStr">
        <is>
          <t>P3 Energía</t>
        </is>
      </c>
      <c r="B2096" s="31">
        <f>IF($P$2094&lt;&gt;"",ROUND(AA2096*(($AB$2094/(1-$P$2094))-29.5260)/24.7278,2),IF('Resumen'!$D$3="OPTIMIZAR",AA2096,AA2096))</f>
        <v/>
      </c>
      <c r="C2096" s="44" t="n"/>
      <c r="D2096" s="33" t="n">
        <v>0.111171</v>
      </c>
      <c r="E2096" s="34" t="n">
        <v>0.13788</v>
      </c>
      <c r="F2096" s="35">
        <f>ROUND(B2096*E2096,2)</f>
        <v/>
      </c>
      <c r="H2096" s="67" t="n"/>
      <c r="I2096" s="67" t="n"/>
      <c r="J2096" s="67" t="n"/>
      <c r="L2096" s="65" t="n"/>
      <c r="M2096" s="65" t="n"/>
      <c r="N2096" s="65" t="n"/>
      <c r="O2096" s="46" t="inlineStr">
        <is>
          <t>en proporción para ese margen</t>
        </is>
      </c>
      <c r="AA2096" t="n">
        <v>39.426</v>
      </c>
    </row>
    <row r="2097">
      <c r="A2097" s="30" t="inlineStr">
        <is>
          <t>Alquiler contador</t>
        </is>
      </c>
      <c r="B2097" s="31" t="n">
        <v>1</v>
      </c>
      <c r="C2097" s="32">
        <f>$N$2089-$L$2089+1</f>
        <v/>
      </c>
      <c r="D2097" s="33" t="n">
        <v>0.7989000000000001</v>
      </c>
      <c r="E2097" s="34" t="n">
        <v>3</v>
      </c>
      <c r="F2097" s="35">
        <f>ROUND(B2097*E2097,2)</f>
        <v/>
      </c>
      <c r="H2097" s="67" t="n"/>
      <c r="I2097" s="67" t="n"/>
      <c r="J2097" s="67" t="n"/>
      <c r="L2097" s="65" t="n"/>
      <c r="M2097" s="65" t="n"/>
      <c r="N2097" s="65" t="n"/>
    </row>
    <row r="2098">
      <c r="A2098" s="30" t="inlineStr">
        <is>
          <t>Bono social</t>
        </is>
      </c>
      <c r="B2098" s="31" t="n">
        <v>30</v>
      </c>
      <c r="C2098" s="32">
        <f>$N$2089-$L$2089+1</f>
        <v/>
      </c>
      <c r="D2098" s="33" t="n">
        <v>0.5736</v>
      </c>
      <c r="E2098" s="34" t="n">
        <v>0.01274</v>
      </c>
      <c r="F2098" s="35">
        <f>ROUND(B2098*E2098,2)</f>
        <v/>
      </c>
      <c r="H2098" s="67" t="n"/>
      <c r="I2098" s="67" t="n"/>
      <c r="J2098" s="67" t="n"/>
      <c r="L2098" s="65" t="n"/>
      <c r="M2098" s="65" t="n"/>
      <c r="N2098" s="65" t="n"/>
    </row>
    <row r="2099">
      <c r="A2099" s="30" t="inlineStr">
        <is>
          <t>Tasa eléctrica</t>
        </is>
      </c>
      <c r="B2099" s="31" t="n">
        <v>2.78</v>
      </c>
      <c r="C2099" s="44" t="n"/>
      <c r="D2099" s="33" t="n">
        <v>0.27312</v>
      </c>
      <c r="E2099" s="34" t="n">
        <v>1</v>
      </c>
      <c r="F2099" s="35">
        <f>ROUND(B2099*E2099,2)</f>
        <v/>
      </c>
      <c r="H2099" s="67" t="n"/>
      <c r="I2099" s="67" t="n"/>
      <c r="J2099" s="67" t="n"/>
      <c r="L2099" s="65" t="n"/>
      <c r="M2099" s="65" t="n"/>
      <c r="N2099" s="65" t="n"/>
    </row>
    <row r="2100">
      <c r="A2100" s="47" t="inlineStr">
        <is>
          <t>TOTAL c/IVA</t>
        </is>
      </c>
      <c r="F2100" s="48">
        <f>ROUND((SUM(F2092:F2099)-F2099)*1.1+F2099,2)</f>
        <v/>
      </c>
      <c r="J2100" s="69" t="n"/>
      <c r="N2100" s="66" t="n"/>
    </row>
    <row r="2101">
      <c r="A2101" s="19" t="inlineStr">
        <is>
          <t>MARGEN sin registrar</t>
        </is>
      </c>
      <c r="B2101" s="51">
        <f>IF((F2095+F2092+F2094+F2096+F2093)=0,"",((F2095+F2092+F2094+F2096+F2093)-$AB$2094)/(F2095+F2092+F2094+F2096+F2093))</f>
        <v/>
      </c>
      <c r="D2101" s="52">
        <f>IF(B2101="","SIN PC",IF(B2101&gt;=0.3,"APROBAR",IF(B2101&gt;=0.2,"REVISAR","RECHAZAR")))</f>
        <v/>
      </c>
      <c r="E2101" s="53" t="n"/>
      <c r="F2101" s="54" t="n"/>
      <c r="AD2101">
        <f>SUM(F2094:F2096)-24.7278</f>
        <v/>
      </c>
    </row>
    <row r="2103">
      <c r="A2103" s="15" t="inlineStr">
        <is>
          <t>Factura 8730 · C00760 · SALVADOR TORRES BISQUERT</t>
        </is>
      </c>
      <c r="H2103" s="15" t="inlineStr">
        <is>
          <t>ES0021000001192533DA · Naturgy</t>
        </is>
      </c>
      <c r="L2103" s="16" t="n">
        <v>46113</v>
      </c>
      <c r="M2103" s="17" t="inlineStr">
        <is>
          <t>a</t>
        </is>
      </c>
      <c r="N2103" s="16" t="n">
        <v>46142</v>
      </c>
      <c r="R2103" s="18" t="inlineStr">
        <is>
          <t>HISTÓRICO DEL CUPS · HOJA TTVA LUZ</t>
        </is>
      </c>
    </row>
    <row r="2104">
      <c r="A2104" s="19" t="inlineStr">
        <is>
          <t>Concepto</t>
        </is>
      </c>
      <c r="B2104" s="20" t="inlineStr">
        <is>
          <t>PENDIENTE (sin registrar)</t>
        </is>
      </c>
      <c r="C2104" s="21" t="n"/>
      <c r="D2104" s="21" t="n"/>
      <c r="E2104" s="21" t="n"/>
      <c r="F2104" s="21" t="n"/>
      <c r="H2104" s="22" t="inlineStr">
        <is>
          <t>MES ANTERIOR · Fact.6322</t>
        </is>
      </c>
      <c r="I2104" s="23" t="n"/>
      <c r="J2104" s="23" t="n"/>
      <c r="L2104" s="24" t="inlineStr">
        <is>
          <t>AÑO ANTERIOR · Fact.4672</t>
        </is>
      </c>
      <c r="M2104" s="25" t="n"/>
      <c r="N2104" s="25" t="n"/>
      <c r="R2104" s="26" t="inlineStr">
        <is>
          <t>Cobrado total: 17.622 €</t>
        </is>
      </c>
    </row>
    <row r="2105">
      <c r="B2105" s="7" t="inlineStr">
        <is>
          <t>Cant</t>
        </is>
      </c>
      <c r="C2105" s="7" t="inlineStr">
        <is>
          <t>Días</t>
        </is>
      </c>
      <c r="D2105" s="7" t="inlineStr">
        <is>
          <t>PC real</t>
        </is>
      </c>
      <c r="E2105" s="7" t="inlineStr">
        <is>
          <t>PV</t>
        </is>
      </c>
      <c r="F2105" s="7" t="inlineStr">
        <is>
          <t>Importe</t>
        </is>
      </c>
      <c r="H2105" s="27" t="inlineStr">
        <is>
          <t>Cant</t>
        </is>
      </c>
      <c r="I2105" s="27" t="inlineStr">
        <is>
          <t>PV</t>
        </is>
      </c>
      <c r="J2105" s="27" t="inlineStr">
        <is>
          <t>Importe</t>
        </is>
      </c>
      <c r="L2105" s="28" t="inlineStr">
        <is>
          <t>Cant</t>
        </is>
      </c>
      <c r="M2105" s="28" t="inlineStr">
        <is>
          <t>PV</t>
        </is>
      </c>
      <c r="N2105" s="28" t="inlineStr">
        <is>
          <t>Importe</t>
        </is>
      </c>
      <c r="R2105" s="29" t="inlineStr">
        <is>
          <t>Pagado total: 13.368 €</t>
        </is>
      </c>
    </row>
    <row r="2106">
      <c r="A2106" s="30" t="inlineStr">
        <is>
          <t>P1 Potencia</t>
        </is>
      </c>
      <c r="B2106" s="31" t="n">
        <v>14</v>
      </c>
      <c r="C2106" s="32">
        <f>$N$2103-$L$2103+1</f>
        <v/>
      </c>
      <c r="D2106" s="33" t="n">
        <v>3.68919</v>
      </c>
      <c r="E2106" s="34" t="n">
        <v>3.85</v>
      </c>
      <c r="F2106" s="35">
        <f>ROUND(B2106*E2106,2)</f>
        <v/>
      </c>
      <c r="H2106" s="36" t="n">
        <v>14</v>
      </c>
      <c r="I2106" s="37" t="n">
        <v>3.85</v>
      </c>
      <c r="J2106" s="38">
        <f>ROUND(H2106*I2106,2)</f>
        <v/>
      </c>
      <c r="L2106" s="39" t="n">
        <v>14</v>
      </c>
      <c r="M2106" s="40" t="n">
        <v>3.85</v>
      </c>
      <c r="N2106" s="41">
        <f>ROUND(L2106*M2106,2)</f>
        <v/>
      </c>
      <c r="R2106" s="42" t="inlineStr">
        <is>
          <t>DIF: 4.254 €   ·   Margen hist.: 24.1%</t>
        </is>
      </c>
    </row>
    <row r="2107">
      <c r="A2107" s="30" t="inlineStr">
        <is>
          <t>P2 Potencia</t>
        </is>
      </c>
      <c r="B2107" s="31" t="n">
        <v>14</v>
      </c>
      <c r="C2107" s="32">
        <f>$N$2103-$L$2103+1</f>
        <v/>
      </c>
      <c r="D2107" s="33" t="n">
        <v>1.31928</v>
      </c>
      <c r="E2107" s="34" t="n">
        <v>1.33</v>
      </c>
      <c r="F2107" s="35">
        <f>ROUND(B2107*E2107,2)</f>
        <v/>
      </c>
      <c r="H2107" s="36" t="n">
        <v>14</v>
      </c>
      <c r="I2107" s="37" t="n">
        <v>1.33</v>
      </c>
      <c r="J2107" s="38">
        <f>ROUND(H2107*I2107,2)</f>
        <v/>
      </c>
      <c r="L2107" s="39" t="n">
        <v>14</v>
      </c>
      <c r="M2107" s="40" t="n">
        <v>1.33</v>
      </c>
      <c r="N2107" s="41">
        <f>ROUND(L2107*M2107,2)</f>
        <v/>
      </c>
      <c r="R2107" s="43" t="inlineStr">
        <is>
          <t>Mejor mes: 2024-12 · 1.051 € · margen 66%</t>
        </is>
      </c>
    </row>
    <row r="2108">
      <c r="A2108" s="30" t="inlineStr">
        <is>
          <t>P1 Energía</t>
        </is>
      </c>
      <c r="B2108" s="31">
        <f>IF($P$2108&lt;&gt;"",ROUND(AA2108*(($AB$2108/(1-$P$2108))-72.5200)/517.1723,2),IF('Resumen'!$D$3="OPTIMIZAR",ROUND(MAX(AA2108,MIN(AA2108*(($AB$2108/(1-'Resumen'!$F$3))-72.5200)/517.1723,AA2108*(943.5278)/517.1723)),3),AA2108))</f>
        <v/>
      </c>
      <c r="C2108" s="44" t="n"/>
      <c r="D2108" s="33" t="n">
        <v>0.111171</v>
      </c>
      <c r="E2108" s="34" t="n">
        <v>0.13788</v>
      </c>
      <c r="F2108" s="35">
        <f>ROUND(B2108*E2108,2)</f>
        <v/>
      </c>
      <c r="H2108" s="36" t="n">
        <v>1180.76</v>
      </c>
      <c r="I2108" s="37" t="n">
        <v>0.13788</v>
      </c>
      <c r="J2108" s="38">
        <f>ROUND(H2108*I2108,2)</f>
        <v/>
      </c>
      <c r="L2108" s="39" t="n">
        <v>6850</v>
      </c>
      <c r="M2108" s="40" t="n">
        <v>0.13788</v>
      </c>
      <c r="N2108" s="41">
        <f>ROUND(L2108*M2108,2)</f>
        <v/>
      </c>
      <c r="O2108" s="45" t="inlineStr">
        <is>
          <t>Margen objetivo (edita % aquí) ▶</t>
        </is>
      </c>
      <c r="P2108" s="5" t="n"/>
      <c r="R2108" s="43" t="inlineStr">
        <is>
          <t>Peor mes: 2023-11 · 258 € · margen 23%</t>
        </is>
      </c>
      <c r="AA2108" t="n">
        <v>1169.76</v>
      </c>
      <c r="AB2108">
        <f>B2106*D2106+B2107*D2107+AA2108*D2108+AA2109*D2109+AA2110*D2110</f>
        <v/>
      </c>
    </row>
    <row r="2109">
      <c r="A2109" s="30" t="inlineStr">
        <is>
          <t>P2 Energía</t>
        </is>
      </c>
      <c r="B2109" s="31">
        <f>IF($P$2108&lt;&gt;"",ROUND(AA2109*(($AB$2108/(1-$P$2108))-72.5200)/517.1723,2),IF('Resumen'!$D$3="OPTIMIZAR",ROUND(MAX(AA2109,MIN(AA2109*(($AB$2108/(1-'Resumen'!$F$3))-72.5200)/517.1723,AA2109*(943.5278)/517.1723)),3),AA2109))</f>
        <v/>
      </c>
      <c r="C2109" s="44" t="n"/>
      <c r="D2109" s="33" t="n">
        <v>0.111171</v>
      </c>
      <c r="E2109" s="34" t="n">
        <v>0.13788</v>
      </c>
      <c r="F2109" s="35">
        <f>ROUND(B2109*E2109,2)</f>
        <v/>
      </c>
      <c r="H2109" s="36" t="n">
        <v>1051.29</v>
      </c>
      <c r="I2109" s="37" t="n">
        <v>0.13788</v>
      </c>
      <c r="J2109" s="38">
        <f>ROUND(H2109*I2109,2)</f>
        <v/>
      </c>
      <c r="L2109" s="65" t="n"/>
      <c r="M2109" s="65" t="n"/>
      <c r="N2109" s="65" t="n"/>
      <c r="O2109" s="46" t="inlineStr">
        <is>
          <t>Cant. P1/P2/P3 energía suben</t>
        </is>
      </c>
      <c r="R2109" s="43" t="inlineStr">
        <is>
          <t>Importe mensual cobrado (€) · 24 meses ▾</t>
        </is>
      </c>
      <c r="AA2109" t="n">
        <v>1131.29</v>
      </c>
    </row>
    <row r="2110">
      <c r="A2110" s="30" t="inlineStr">
        <is>
          <t>P3 Energía</t>
        </is>
      </c>
      <c r="B2110" s="31">
        <f>IF($P$2108&lt;&gt;"",ROUND(AA2110*(($AB$2108/(1-$P$2108))-72.5200)/517.1723,2),IF('Resumen'!$D$3="OPTIMIZAR",ROUND(MAX(AA2110,MIN(AA2110*(($AB$2108/(1-'Resumen'!$F$3))-72.5200)/517.1723,AA2110*(943.5278)/517.1723)),3),AA2110))</f>
        <v/>
      </c>
      <c r="C2110" s="44" t="n"/>
      <c r="D2110" s="33" t="n">
        <v>0.111171</v>
      </c>
      <c r="E2110" s="34" t="n">
        <v>0.13788</v>
      </c>
      <c r="F2110" s="35">
        <f>ROUND(B2110*E2110,2)</f>
        <v/>
      </c>
      <c r="H2110" s="36" t="n">
        <v>949.837</v>
      </c>
      <c r="I2110" s="37" t="n">
        <v>0.13788</v>
      </c>
      <c r="J2110" s="38">
        <f>ROUND(H2110*I2110,2)</f>
        <v/>
      </c>
      <c r="L2110" s="65" t="n"/>
      <c r="M2110" s="65" t="n"/>
      <c r="N2110" s="65" t="n"/>
      <c r="O2110" s="46" t="inlineStr">
        <is>
          <t>en proporción para ese margen</t>
        </is>
      </c>
      <c r="AA2110" t="n">
        <v>1449.837</v>
      </c>
    </row>
    <row r="2111">
      <c r="A2111" s="30" t="inlineStr">
        <is>
          <t>Alquiler contador</t>
        </is>
      </c>
      <c r="B2111" s="31" t="n">
        <v>1</v>
      </c>
      <c r="C2111" s="32">
        <f>$N$2103-$L$2103+1</f>
        <v/>
      </c>
      <c r="D2111" s="33" t="n">
        <v>1.3414</v>
      </c>
      <c r="E2111" s="34" t="n">
        <v>3</v>
      </c>
      <c r="F2111" s="35">
        <f>ROUND(B2111*E2111,2)</f>
        <v/>
      </c>
      <c r="H2111" s="36" t="n">
        <v>1</v>
      </c>
      <c r="I2111" s="37" t="n">
        <v>3</v>
      </c>
      <c r="J2111" s="38">
        <f>ROUND(H2111*I2111,2)</f>
        <v/>
      </c>
      <c r="L2111" s="39" t="n">
        <v>1</v>
      </c>
      <c r="M2111" s="40" t="n">
        <v>3</v>
      </c>
      <c r="N2111" s="41">
        <f>ROUND(L2111*M2111,2)</f>
        <v/>
      </c>
    </row>
    <row r="2112">
      <c r="A2112" s="30" t="inlineStr">
        <is>
          <t>Bono social</t>
        </is>
      </c>
      <c r="B2112" s="31" t="n">
        <v>30</v>
      </c>
      <c r="C2112" s="32">
        <f>$N$2103-$L$2103+1</f>
        <v/>
      </c>
      <c r="D2112" s="33" t="n">
        <v>0.5736</v>
      </c>
      <c r="E2112" s="34" t="n">
        <v>0.01274</v>
      </c>
      <c r="F2112" s="35">
        <f>ROUND(B2112*E2112,2)</f>
        <v/>
      </c>
      <c r="H2112" s="36" t="n">
        <v>30</v>
      </c>
      <c r="I2112" s="37" t="n">
        <v>0.01274</v>
      </c>
      <c r="J2112" s="38">
        <f>ROUND(H2112*I2112,2)</f>
        <v/>
      </c>
      <c r="L2112" s="39" t="n">
        <v>30</v>
      </c>
      <c r="M2112" s="40" t="n">
        <v>0.01274</v>
      </c>
      <c r="N2112" s="41">
        <f>ROUND(L2112*M2112,2)</f>
        <v/>
      </c>
    </row>
    <row r="2113">
      <c r="A2113" s="30" t="inlineStr">
        <is>
          <t>Tasa eléctrica</t>
        </is>
      </c>
      <c r="B2113" s="31" t="n">
        <v>31.64</v>
      </c>
      <c r="C2113" s="44" t="n"/>
      <c r="D2113" s="33" t="n">
        <v>0.27312</v>
      </c>
      <c r="E2113" s="34" t="n">
        <v>1</v>
      </c>
      <c r="F2113" s="35">
        <f>ROUND(B2113*E2113,2)</f>
        <v/>
      </c>
      <c r="H2113" s="36" t="n">
        <v>26.13</v>
      </c>
      <c r="I2113" s="37" t="n">
        <v>1</v>
      </c>
      <c r="J2113" s="38">
        <f>ROUND(H2113*I2113,2)</f>
        <v/>
      </c>
      <c r="L2113" s="39" t="n">
        <v>54.1</v>
      </c>
      <c r="M2113" s="40" t="n">
        <v>1</v>
      </c>
      <c r="N2113" s="41">
        <f>ROUND(L2113*M2113,2)</f>
        <v/>
      </c>
    </row>
    <row r="2114">
      <c r="A2114" s="47" t="inlineStr">
        <is>
          <t>TOTAL c/IVA</t>
        </is>
      </c>
      <c r="F2114" s="48">
        <f>ROUND((SUM(F2106:F2113)-F2113)*1.1+F2113,2)</f>
        <v/>
      </c>
      <c r="J2114" s="49">
        <f>ROUND(SUM(J2106:J2113),2)</f>
        <v/>
      </c>
      <c r="N2114" s="50">
        <f>ROUND(SUM(N2106:N2113),2)</f>
        <v/>
      </c>
    </row>
    <row r="2115">
      <c r="A2115" s="19" t="inlineStr">
        <is>
          <t>MARGEN sin registrar</t>
        </is>
      </c>
      <c r="B2115" s="51">
        <f>IF((F2109+F2106+F2108+F2110+F2107)=0,"",((F2109+F2106+F2108+F2110+F2107)-$AB$2108)/(F2109+F2106+F2108+F2110+F2107))</f>
        <v/>
      </c>
      <c r="D2115" s="52">
        <f>IF(B2115="","SIN PC",IF(B2115&gt;=0.3,"APROBAR",IF(B2115&gt;=0.2,"REVISAR","RECHAZAR")))</f>
        <v/>
      </c>
      <c r="E2115" s="53" t="n"/>
      <c r="F2115" s="54" t="n"/>
      <c r="AD2115">
        <f>SUM(F2108:F2110)-517.1723</f>
        <v/>
      </c>
    </row>
  </sheetData>
  <mergeCells count="587">
    <mergeCell ref="R592:V592"/>
    <mergeCell ref="H2103:K2103"/>
    <mergeCell ref="D1148:F1148"/>
    <mergeCell ref="R73:V73"/>
    <mergeCell ref="D1751:F1751"/>
    <mergeCell ref="R1561:V1561"/>
    <mergeCell ref="R502:V502"/>
    <mergeCell ref="H101:K101"/>
    <mergeCell ref="D197:F197"/>
    <mergeCell ref="D1517:F1517"/>
    <mergeCell ref="A719:F719"/>
    <mergeCell ref="D1054:F1054"/>
    <mergeCell ref="D1016:F1016"/>
    <mergeCell ref="D2115:F2115"/>
    <mergeCell ref="A839:F839"/>
    <mergeCell ref="A814:F814"/>
    <mergeCell ref="A1075:F1075"/>
    <mergeCell ref="H521:K521"/>
    <mergeCell ref="H990:K990"/>
    <mergeCell ref="H1767:K1767"/>
    <mergeCell ref="A534:F534"/>
    <mergeCell ref="A605:F605"/>
    <mergeCell ref="R1421:V1421"/>
    <mergeCell ref="H1851:K1851"/>
    <mergeCell ref="R1977:V1977"/>
    <mergeCell ref="A349:F349"/>
    <mergeCell ref="R2075:V2075"/>
    <mergeCell ref="A918:F918"/>
    <mergeCell ref="D1601:F1601"/>
    <mergeCell ref="R1678:V1678"/>
    <mergeCell ref="A905:F905"/>
    <mergeCell ref="H218:K218"/>
    <mergeCell ref="D183:F183"/>
    <mergeCell ref="D1307:F1307"/>
    <mergeCell ref="D419:F419"/>
    <mergeCell ref="H1706:K1706"/>
    <mergeCell ref="A649:F649"/>
    <mergeCell ref="D533:F533"/>
    <mergeCell ref="R1851:V1851"/>
    <mergeCell ref="D277:F277"/>
    <mergeCell ref="D1765:F1765"/>
    <mergeCell ref="D43:F43"/>
    <mergeCell ref="A1991:F1991"/>
    <mergeCell ref="R1042:V1042"/>
    <mergeCell ref="H1795:K1795"/>
    <mergeCell ref="H592:K592"/>
    <mergeCell ref="A738:F738"/>
    <mergeCell ref="H763:K763"/>
    <mergeCell ref="D495:F495"/>
    <mergeCell ref="H1589:K1589"/>
    <mergeCell ref="A725:F725"/>
    <mergeCell ref="H1337:K1337"/>
    <mergeCell ref="H171:K171"/>
    <mergeCell ref="A439:F439"/>
    <mergeCell ref="A852:F852"/>
    <mergeCell ref="A1023:F1023"/>
    <mergeCell ref="H1295:K1295"/>
    <mergeCell ref="H407:K407"/>
    <mergeCell ref="A420:F420"/>
    <mergeCell ref="A662:F662"/>
    <mergeCell ref="R801:V801"/>
    <mergeCell ref="A199:F199"/>
    <mergeCell ref="A1323:F1323"/>
    <mergeCell ref="H1935:K1935"/>
    <mergeCell ref="R374:V374"/>
    <mergeCell ref="R3:V3"/>
    <mergeCell ref="R445:V445"/>
    <mergeCell ref="R1393:V1393"/>
    <mergeCell ref="A1089:F1089"/>
    <mergeCell ref="A59:F59"/>
    <mergeCell ref="A2061:F2061"/>
    <mergeCell ref="D590:F590"/>
    <mergeCell ref="R303:V303"/>
    <mergeCell ref="H483:K483"/>
    <mergeCell ref="R1720:V1720"/>
    <mergeCell ref="R1991:V1991"/>
    <mergeCell ref="D969:F969"/>
    <mergeCell ref="H1421:K1421"/>
    <mergeCell ref="H1519:K1519"/>
    <mergeCell ref="R521:V521"/>
    <mergeCell ref="H1323:K1323"/>
    <mergeCell ref="A1616:F1616"/>
    <mergeCell ref="R990:V990"/>
    <mergeCell ref="H3:K3"/>
    <mergeCell ref="A388:F388"/>
    <mergeCell ref="A1407:F1407"/>
    <mergeCell ref="H2075:K2075"/>
    <mergeCell ref="A891:F891"/>
    <mergeCell ref="D514:F514"/>
    <mergeCell ref="A611:F611"/>
    <mergeCell ref="A1547:F1547"/>
    <mergeCell ref="D1035:F1035"/>
    <mergeCell ref="A129:F129"/>
    <mergeCell ref="R31:V31"/>
    <mergeCell ref="R87:V87"/>
    <mergeCell ref="H303:K303"/>
    <mergeCell ref="A1253:F1253"/>
    <mergeCell ref="R218:V218"/>
    <mergeCell ref="A1191:F1191"/>
    <mergeCell ref="R1575:V1575"/>
    <mergeCell ref="D1531:F1531"/>
    <mergeCell ref="D1335:F1335"/>
    <mergeCell ref="A1379:F1379"/>
    <mergeCell ref="A1865:F1865"/>
    <mergeCell ref="A143:F143"/>
    <mergeCell ref="A368:F368"/>
    <mergeCell ref="R891:V891"/>
    <mergeCell ref="H1837:K1837"/>
    <mergeCell ref="R171:V171"/>
    <mergeCell ref="D1101:F1101"/>
    <mergeCell ref="R1491:V1491"/>
    <mergeCell ref="D438:F438"/>
    <mergeCell ref="A668:F668"/>
    <mergeCell ref="D661:F661"/>
    <mergeCell ref="D794:F794"/>
    <mergeCell ref="D832:F832"/>
    <mergeCell ref="A2033:F2033"/>
    <mergeCell ref="R1935:V1935"/>
    <mergeCell ref="R1407:V1407"/>
    <mergeCell ref="D1559:F1559"/>
    <mergeCell ref="D296:F296"/>
    <mergeCell ref="D141:F141"/>
    <mergeCell ref="A2089:F2089"/>
    <mergeCell ref="H1089:K1089"/>
    <mergeCell ref="A1893:F1893"/>
    <mergeCell ref="R1267:V1267"/>
    <mergeCell ref="H426:K426"/>
    <mergeCell ref="H2061:K2061"/>
    <mergeCell ref="A681:F681"/>
    <mergeCell ref="H265:K265"/>
    <mergeCell ref="H31:K31"/>
    <mergeCell ref="R464:V464"/>
    <mergeCell ref="H1351:K1351"/>
    <mergeCell ref="A858:F858"/>
    <mergeCell ref="H73:K73"/>
    <mergeCell ref="A1463:F1463"/>
    <mergeCell ref="H1664:K1664"/>
    <mergeCell ref="D2073:F2073"/>
    <mergeCell ref="D680:F680"/>
    <mergeCell ref="D851:F851"/>
    <mergeCell ref="A284:F284"/>
    <mergeCell ref="A1281:F1281"/>
    <mergeCell ref="R1122:V1122"/>
    <mergeCell ref="R630:V630"/>
    <mergeCell ref="R1351:V1351"/>
    <mergeCell ref="H1253:K1253"/>
    <mergeCell ref="D1176:F1176"/>
    <mergeCell ref="R1197:V1197"/>
    <mergeCell ref="A317:F317"/>
    <mergeCell ref="A578:F578"/>
    <mergeCell ref="H1379:K1379"/>
    <mergeCell ref="A1136:F1136"/>
    <mergeCell ref="H1533:K1533"/>
    <mergeCell ref="A515:F515"/>
    <mergeCell ref="D1265:F1265"/>
    <mergeCell ref="A1739:F1739"/>
    <mergeCell ref="D2017:F2017"/>
    <mergeCell ref="D230:F230"/>
    <mergeCell ref="H2033:K2033"/>
    <mergeCell ref="A976:F976"/>
    <mergeCell ref="A1505:F1505"/>
    <mergeCell ref="H1977:K1977"/>
    <mergeCell ref="A744:F744"/>
    <mergeCell ref="A877:F877"/>
    <mergeCell ref="D1807:F1807"/>
    <mergeCell ref="R45:V45"/>
    <mergeCell ref="D1863:F1863"/>
    <mergeCell ref="H1103:K1103"/>
    <mergeCell ref="R1809:V1809"/>
    <mergeCell ref="H129:K129"/>
    <mergeCell ref="D2087:F2087"/>
    <mergeCell ref="D1293:F1293"/>
    <mergeCell ref="H45:K45"/>
    <mergeCell ref="A355:F355"/>
    <mergeCell ref="H1042:K1042"/>
    <mergeCell ref="H1893:K1893"/>
    <mergeCell ref="A1650:F1650"/>
    <mergeCell ref="H858:K858"/>
    <mergeCell ref="R540:V540"/>
    <mergeCell ref="R924:V924"/>
    <mergeCell ref="A1823:F1823"/>
    <mergeCell ref="A2019:F2019"/>
    <mergeCell ref="R1664:V1664"/>
    <mergeCell ref="A101:F101"/>
    <mergeCell ref="D917:F917"/>
    <mergeCell ref="R246:V246"/>
    <mergeCell ref="R1365:V1365"/>
    <mergeCell ref="A592:F592"/>
    <mergeCell ref="A763:F763"/>
    <mergeCell ref="R1949:V1949"/>
    <mergeCell ref="A1061:F1061"/>
    <mergeCell ref="H1225:K1225"/>
    <mergeCell ref="H284:K284"/>
    <mergeCell ref="D1947:F1947"/>
    <mergeCell ref="D1363:F1363"/>
    <mergeCell ref="R1225:V1225"/>
    <mergeCell ref="H559:K559"/>
    <mergeCell ref="A1211:F1211"/>
    <mergeCell ref="H801:K801"/>
    <mergeCell ref="A1963:F1963"/>
    <mergeCell ref="R17:V17"/>
    <mergeCell ref="H782:K782"/>
    <mergeCell ref="A990:F990"/>
    <mergeCell ref="D1573:F1573"/>
    <mergeCell ref="A1767:F1767"/>
    <mergeCell ref="A2047:F2047"/>
    <mergeCell ref="H1449:K1449"/>
    <mergeCell ref="A1164:F1164"/>
    <mergeCell ref="A458:F458"/>
    <mergeCell ref="R317:V317"/>
    <mergeCell ref="R559:V559"/>
    <mergeCell ref="A1150:F1150"/>
    <mergeCell ref="A1421:F1421"/>
    <mergeCell ref="R1879:V1879"/>
    <mergeCell ref="R820:V820"/>
    <mergeCell ref="A218:F218"/>
    <mergeCell ref="A1337:F1337"/>
    <mergeCell ref="A1575:F1575"/>
    <mergeCell ref="A687:F687"/>
    <mergeCell ref="R1477:V1477"/>
    <mergeCell ref="H1622:K1622"/>
    <mergeCell ref="R782:V782"/>
    <mergeCell ref="A1706:F1706"/>
    <mergeCell ref="H1907:K1907"/>
    <mergeCell ref="D2031:F2031"/>
    <mergeCell ref="D813:F813"/>
    <mergeCell ref="A1116:F1116"/>
    <mergeCell ref="H877:K877"/>
    <mergeCell ref="A624:F624"/>
    <mergeCell ref="D386:F386"/>
    <mergeCell ref="D936:F936"/>
    <mergeCell ref="H1164:K1164"/>
    <mergeCell ref="D1634:F1634"/>
    <mergeCell ref="A1589:F1589"/>
    <mergeCell ref="H1477:K1477"/>
    <mergeCell ref="H445:K445"/>
    <mergeCell ref="H1393:K1393"/>
    <mergeCell ref="A171:F171"/>
    <mergeCell ref="H687:K687"/>
    <mergeCell ref="A336:F336"/>
    <mergeCell ref="H1491:K1491"/>
    <mergeCell ref="A407:F407"/>
    <mergeCell ref="A700:F700"/>
    <mergeCell ref="D1223:F1223"/>
    <mergeCell ref="A115:F115"/>
    <mergeCell ref="D1002:F1002"/>
    <mergeCell ref="A1603:F1603"/>
    <mergeCell ref="R2005:V2005"/>
    <mergeCell ref="R185:V185"/>
    <mergeCell ref="R483:V483"/>
    <mergeCell ref="R1309:V1309"/>
    <mergeCell ref="A1851:F1851"/>
    <mergeCell ref="H1739:K1739"/>
    <mergeCell ref="D1821:F1821"/>
    <mergeCell ref="R1004:V1004"/>
    <mergeCell ref="D99:F99"/>
    <mergeCell ref="R1075:V1075"/>
    <mergeCell ref="D1587:F1587"/>
    <mergeCell ref="D699:F699"/>
    <mergeCell ref="D870:F870"/>
    <mergeCell ref="H1061:K1061"/>
    <mergeCell ref="A426:F426"/>
    <mergeCell ref="A1519:F1519"/>
    <mergeCell ref="A1239:F1239"/>
    <mergeCell ref="A776:F776"/>
    <mergeCell ref="R1178:V1178"/>
    <mergeCell ref="R1449:V1449"/>
    <mergeCell ref="D775:F775"/>
    <mergeCell ref="D1073:F1073"/>
    <mergeCell ref="D2045:F2045"/>
    <mergeCell ref="D348:F348"/>
    <mergeCell ref="D1849:F1849"/>
    <mergeCell ref="A1837:F1837"/>
    <mergeCell ref="A1720:F1720"/>
    <mergeCell ref="R1622:V1622"/>
    <mergeCell ref="D127:F127"/>
    <mergeCell ref="R1907:V1907"/>
    <mergeCell ref="D1615:F1615"/>
    <mergeCell ref="D623:F623"/>
    <mergeCell ref="H1575:K1575"/>
    <mergeCell ref="D476:F476"/>
    <mergeCell ref="R1753:V1753"/>
    <mergeCell ref="H1178:K1178"/>
    <mergeCell ref="R1519:V1519"/>
    <mergeCell ref="H115:K115"/>
    <mergeCell ref="R1692:V1692"/>
    <mergeCell ref="H2005:K2005"/>
    <mergeCell ref="A706:F706"/>
    <mergeCell ref="H388:K388"/>
    <mergeCell ref="A643:F643"/>
    <mergeCell ref="D1475:F1475"/>
    <mergeCell ref="A1435:F1435"/>
    <mergeCell ref="D244:F244"/>
    <mergeCell ref="A943:F943"/>
    <mergeCell ref="D1162:F1162"/>
    <mergeCell ref="R1781:V1781"/>
    <mergeCell ref="R649:V649"/>
    <mergeCell ref="H1809:K1809"/>
    <mergeCell ref="R1547:V1547"/>
    <mergeCell ref="H464:K464"/>
    <mergeCell ref="H706:K706"/>
    <mergeCell ref="H1865:K1865"/>
    <mergeCell ref="A265:F265"/>
    <mergeCell ref="A1753:F1753"/>
    <mergeCell ref="A957:F957"/>
    <mergeCell ref="A31:F31"/>
    <mergeCell ref="H232:K232"/>
    <mergeCell ref="R725:V725"/>
    <mergeCell ref="A1795:F1795"/>
    <mergeCell ref="H1720:K1720"/>
    <mergeCell ref="R1023:V1023"/>
    <mergeCell ref="A73:F73"/>
    <mergeCell ref="D718:F718"/>
    <mergeCell ref="D889:F889"/>
    <mergeCell ref="H924:K924"/>
    <mergeCell ref="R1865:V1865"/>
    <mergeCell ref="R1921:V1921"/>
    <mergeCell ref="A502:F502"/>
    <mergeCell ref="D1690:F1690"/>
    <mergeCell ref="R143:V143"/>
    <mergeCell ref="R199:V199"/>
    <mergeCell ref="A1365:F1365"/>
    <mergeCell ref="D1877:F1877"/>
    <mergeCell ref="R1323:V1323"/>
    <mergeCell ref="D1779:F1779"/>
    <mergeCell ref="D57:F57"/>
    <mergeCell ref="R1089:V1089"/>
    <mergeCell ref="H87:K87"/>
    <mergeCell ref="D1489:F1489"/>
    <mergeCell ref="H1407:K1407"/>
    <mergeCell ref="A1:N1"/>
    <mergeCell ref="D367:F367"/>
    <mergeCell ref="A553:F553"/>
    <mergeCell ref="A1533:F1533"/>
    <mergeCell ref="H1949:K1949"/>
    <mergeCell ref="A259:F259"/>
    <mergeCell ref="R388:V388"/>
    <mergeCell ref="A1103:F1103"/>
    <mergeCell ref="R611:V611"/>
    <mergeCell ref="A1977:F1977"/>
    <mergeCell ref="D1905:F1905"/>
    <mergeCell ref="D642:F642"/>
    <mergeCell ref="A2075:F2075"/>
    <mergeCell ref="D604:F604"/>
    <mergeCell ref="R129:V129"/>
    <mergeCell ref="R1636:V1636"/>
    <mergeCell ref="H820:K820"/>
    <mergeCell ref="A1678:F1678"/>
    <mergeCell ref="H1879:K1879"/>
    <mergeCell ref="D85:F85"/>
    <mergeCell ref="D1405:F1405"/>
    <mergeCell ref="A782:F782"/>
    <mergeCell ref="H157:K157"/>
    <mergeCell ref="D1676:F1676"/>
    <mergeCell ref="D1961:F1961"/>
    <mergeCell ref="A477:F477"/>
    <mergeCell ref="H1435:K1435"/>
    <mergeCell ref="H943:K943"/>
    <mergeCell ref="H17:K17"/>
    <mergeCell ref="D2003:F2003"/>
    <mergeCell ref="H611:K611"/>
    <mergeCell ref="R1379:V1379"/>
    <mergeCell ref="A1561:F1561"/>
    <mergeCell ref="A871:F871"/>
    <mergeCell ref="H246:K246"/>
    <mergeCell ref="H317:K317"/>
    <mergeCell ref="A330:F330"/>
    <mergeCell ref="A572:F572"/>
    <mergeCell ref="H540:K540"/>
    <mergeCell ref="H1136:K1136"/>
    <mergeCell ref="D1545:F1545"/>
    <mergeCell ref="D1349:F1349"/>
    <mergeCell ref="D955:F955"/>
    <mergeCell ref="A630:F630"/>
    <mergeCell ref="H185:K185"/>
    <mergeCell ref="H2089:K2089"/>
    <mergeCell ref="H1505:K1505"/>
    <mergeCell ref="R976:V976"/>
    <mergeCell ref="D71:F71"/>
    <mergeCell ref="A374:F374"/>
    <mergeCell ref="D1718:F1718"/>
    <mergeCell ref="A1393:F1393"/>
    <mergeCell ref="R1739:V1739"/>
    <mergeCell ref="H1365:K1365"/>
    <mergeCell ref="R905:V905"/>
    <mergeCell ref="R2089:V2089"/>
    <mergeCell ref="D1115:F1115"/>
    <mergeCell ref="R744:V744"/>
    <mergeCell ref="D1321:F1321"/>
    <mergeCell ref="H630:K630"/>
    <mergeCell ref="A521:F521"/>
    <mergeCell ref="A757:F757"/>
    <mergeCell ref="H374:K374"/>
    <mergeCell ref="A496:F496"/>
    <mergeCell ref="A45:F45"/>
    <mergeCell ref="A1042:F1042"/>
    <mergeCell ref="D155:F155"/>
    <mergeCell ref="D1377:F1377"/>
    <mergeCell ref="A1017:F1017"/>
    <mergeCell ref="A87:F87"/>
    <mergeCell ref="A1622:F1622"/>
    <mergeCell ref="H1823:K1823"/>
    <mergeCell ref="D1704:F1704"/>
    <mergeCell ref="R157:V157"/>
    <mergeCell ref="A1907:F1907"/>
    <mergeCell ref="D1919:F1919"/>
    <mergeCell ref="R284:V284"/>
    <mergeCell ref="R1281:V1281"/>
    <mergeCell ref="D1975:F1975"/>
    <mergeCell ref="R2019:V2019"/>
    <mergeCell ref="H1309:K1309"/>
    <mergeCell ref="D15:F15"/>
    <mergeCell ref="A1477:F1477"/>
    <mergeCell ref="A445:F445"/>
    <mergeCell ref="H839:K839"/>
    <mergeCell ref="A1491:F1491"/>
    <mergeCell ref="A1295:F1295"/>
    <mergeCell ref="A1178:F1178"/>
    <mergeCell ref="H1963:K1963"/>
    <mergeCell ref="H1075:K1075"/>
    <mergeCell ref="R1136:V1136"/>
    <mergeCell ref="A801:F801"/>
    <mergeCell ref="H2047:K2047"/>
    <mergeCell ref="D315:F315"/>
    <mergeCell ref="D1732:F1732"/>
    <mergeCell ref="A1935:F1935"/>
    <mergeCell ref="R1505:V1505"/>
    <mergeCell ref="D2101:F2101"/>
    <mergeCell ref="D1134:F1134"/>
    <mergeCell ref="R1211:V1211"/>
    <mergeCell ref="H905:K905"/>
    <mergeCell ref="D737:F737"/>
    <mergeCell ref="D1503:F1503"/>
    <mergeCell ref="D1419:F1419"/>
    <mergeCell ref="R2047:V2047"/>
    <mergeCell ref="R2103:V2103"/>
    <mergeCell ref="D1087:F1087"/>
    <mergeCell ref="D1391:F1391"/>
    <mergeCell ref="A1267:F1267"/>
    <mergeCell ref="R1337:V1337"/>
    <mergeCell ref="H1239:K1239"/>
    <mergeCell ref="H1991:K1991"/>
    <mergeCell ref="A3:F3"/>
    <mergeCell ref="R59:V59"/>
    <mergeCell ref="R1650:V1650"/>
    <mergeCell ref="A464:F464"/>
    <mergeCell ref="H725:K725"/>
    <mergeCell ref="D457:F457"/>
    <mergeCell ref="H1023:K1023"/>
    <mergeCell ref="A303:F303"/>
    <mergeCell ref="A1921:F1921"/>
    <mergeCell ref="R1823:V1823"/>
    <mergeCell ref="R1239:V1239"/>
    <mergeCell ref="R1295:V1295"/>
    <mergeCell ref="D1447:F1447"/>
    <mergeCell ref="H1603:K1603"/>
    <mergeCell ref="R101:V101"/>
    <mergeCell ref="A1122:F1122"/>
    <mergeCell ref="R763:V763"/>
    <mergeCell ref="D29:F29"/>
    <mergeCell ref="D1251:F1251"/>
    <mergeCell ref="R1061:V1061"/>
    <mergeCell ref="R1589:V1589"/>
    <mergeCell ref="H2019:K2019"/>
    <mergeCell ref="R336:V336"/>
    <mergeCell ref="H59:K59"/>
    <mergeCell ref="D1793:F1793"/>
    <mergeCell ref="A1781:F1781"/>
    <mergeCell ref="A1036:F1036"/>
    <mergeCell ref="H1921:K1921"/>
    <mergeCell ref="R839:V839"/>
    <mergeCell ref="A2005:F2005"/>
    <mergeCell ref="H199:K199"/>
    <mergeCell ref="R1963:V1963"/>
    <mergeCell ref="A212:F212"/>
    <mergeCell ref="H649:K649"/>
    <mergeCell ref="H891:K891"/>
    <mergeCell ref="H1211:K1211"/>
    <mergeCell ref="A1636:F1636"/>
    <mergeCell ref="R1150:V1150"/>
    <mergeCell ref="R426:V426"/>
    <mergeCell ref="D1933:F1933"/>
    <mergeCell ref="R687:V687"/>
    <mergeCell ref="A278:F278"/>
    <mergeCell ref="R407:V407"/>
    <mergeCell ref="D211:F211"/>
    <mergeCell ref="A1809:F1809"/>
    <mergeCell ref="A970:F970"/>
    <mergeCell ref="D903:F903"/>
    <mergeCell ref="R232:V232"/>
    <mergeCell ref="R2033:V2033"/>
    <mergeCell ref="A401:F401"/>
    <mergeCell ref="H143:K143"/>
    <mergeCell ref="H1267:K1267"/>
    <mergeCell ref="H1636:K1636"/>
    <mergeCell ref="A232:F232"/>
    <mergeCell ref="A1351:F1351"/>
    <mergeCell ref="A1733:F1733"/>
    <mergeCell ref="D756:F756"/>
    <mergeCell ref="A937:F937"/>
    <mergeCell ref="R578:V578"/>
    <mergeCell ref="A540:F540"/>
    <mergeCell ref="A924:F924"/>
    <mergeCell ref="D1989:F1989"/>
    <mergeCell ref="A1664:F1664"/>
    <mergeCell ref="R115:V115"/>
    <mergeCell ref="H668:K668"/>
    <mergeCell ref="D329:F329"/>
    <mergeCell ref="D400:F400"/>
    <mergeCell ref="D571:F571"/>
    <mergeCell ref="A1197:F1197"/>
    <mergeCell ref="R1603:V1603"/>
    <mergeCell ref="A1949:F1949"/>
    <mergeCell ref="H336:K336"/>
    <mergeCell ref="D552:F552"/>
    <mergeCell ref="D1279:F1279"/>
    <mergeCell ref="D1648:F1648"/>
    <mergeCell ref="R706:V706"/>
    <mergeCell ref="R877:V877"/>
    <mergeCell ref="H1122:K1122"/>
    <mergeCell ref="R2061:V2061"/>
    <mergeCell ref="R858:V858"/>
    <mergeCell ref="R1463:V1463"/>
    <mergeCell ref="A1692:F1692"/>
    <mergeCell ref="H1781:K1781"/>
    <mergeCell ref="H1197:K1197"/>
    <mergeCell ref="A17:F17"/>
    <mergeCell ref="H1753:K1753"/>
    <mergeCell ref="H1547:K1547"/>
    <mergeCell ref="H957:K957"/>
    <mergeCell ref="D113:F113"/>
    <mergeCell ref="H1150:K1150"/>
    <mergeCell ref="R355:V355"/>
    <mergeCell ref="A1879:F1879"/>
    <mergeCell ref="A820:F820"/>
    <mergeCell ref="R1837:V1837"/>
    <mergeCell ref="R1253:V1253"/>
    <mergeCell ref="H1463:K1463"/>
    <mergeCell ref="A157:F157"/>
    <mergeCell ref="H502:K502"/>
    <mergeCell ref="D1209:F1209"/>
    <mergeCell ref="A1055:F1055"/>
    <mergeCell ref="R957:V957"/>
    <mergeCell ref="D988:F988"/>
    <mergeCell ref="H355:K355"/>
    <mergeCell ref="A246:F246"/>
    <mergeCell ref="D2059:F2059"/>
    <mergeCell ref="H578:K578"/>
    <mergeCell ref="D1461:F1461"/>
    <mergeCell ref="A297:F297"/>
    <mergeCell ref="D1433:F1433"/>
    <mergeCell ref="R668:V668"/>
    <mergeCell ref="H976:K976"/>
    <mergeCell ref="A185:F185"/>
    <mergeCell ref="A483:F483"/>
    <mergeCell ref="A1309:F1309"/>
    <mergeCell ref="R1767:V1767"/>
    <mergeCell ref="D1237:F1237"/>
    <mergeCell ref="A1225:F1225"/>
    <mergeCell ref="D1662:F1662"/>
    <mergeCell ref="R1164:V1164"/>
    <mergeCell ref="R1435:V1435"/>
    <mergeCell ref="A833:F833"/>
    <mergeCell ref="A1004:F1004"/>
    <mergeCell ref="H1678:K1678"/>
    <mergeCell ref="R1533:V1533"/>
    <mergeCell ref="D1891:F1891"/>
    <mergeCell ref="R943:V943"/>
    <mergeCell ref="D169:F169"/>
    <mergeCell ref="D1835:F1835"/>
    <mergeCell ref="R1706:V1706"/>
    <mergeCell ref="R1893:V1893"/>
    <mergeCell ref="A559:F559"/>
    <mergeCell ref="A795:F795"/>
    <mergeCell ref="R265:V265"/>
    <mergeCell ref="H1561:K1561"/>
    <mergeCell ref="H744:K744"/>
    <mergeCell ref="H1692:K1692"/>
    <mergeCell ref="D1190:F1190"/>
    <mergeCell ref="R1103:V1103"/>
    <mergeCell ref="H1281:K1281"/>
    <mergeCell ref="A1449:F1449"/>
    <mergeCell ref="D258:F258"/>
    <mergeCell ref="H1650:K1650"/>
    <mergeCell ref="A2103:F2103"/>
    <mergeCell ref="H1004:K1004"/>
    <mergeCell ref="R1795:V1795"/>
  </mergeCells>
  <pageMargins left="0.3" right="0.3" top="0.4" bottom="0.4" header="0.5" footer="0.5"/>
  <pageSetup orientation="landscape" fitToHeight="0" fitToWidth="1"/>
  <rowBreaks count="136" manualBreakCount="136">
    <brk id="16" min="0" max="16383" man="1"/>
    <brk id="30" min="0" max="16383" man="1"/>
    <brk id="44" min="0" max="16383" man="1"/>
    <brk id="58" min="0" max="16383" man="1"/>
    <brk id="72" min="0" max="16383" man="1"/>
    <brk id="86" min="0" max="16383" man="1"/>
    <brk id="100" min="0" max="16383" man="1"/>
    <brk id="114" min="0" max="16383" man="1"/>
    <brk id="128" min="0" max="16383" man="1"/>
    <brk id="142" min="0" max="16383" man="1"/>
    <brk id="156" min="0" max="16383" man="1"/>
    <brk id="170" min="0" max="16383" man="1"/>
    <brk id="184" min="0" max="16383" man="1"/>
    <brk id="198" min="0" max="16383" man="1"/>
    <brk id="217" min="0" max="16383" man="1"/>
    <brk id="231" min="0" max="16383" man="1"/>
    <brk id="245" min="0" max="16383" man="1"/>
    <brk id="264" min="0" max="16383" man="1"/>
    <brk id="283" min="0" max="16383" man="1"/>
    <brk id="302" min="0" max="16383" man="1"/>
    <brk id="316" min="0" max="16383" man="1"/>
    <brk id="335" min="0" max="16383" man="1"/>
    <brk id="354" min="0" max="16383" man="1"/>
    <brk id="373" min="0" max="16383" man="1"/>
    <brk id="387" min="0" max="16383" man="1"/>
    <brk id="406" min="0" max="16383" man="1"/>
    <brk id="425" min="0" max="16383" man="1"/>
    <brk id="444" min="0" max="16383" man="1"/>
    <brk id="463" min="0" max="16383" man="1"/>
    <brk id="482" min="0" max="16383" man="1"/>
    <brk id="501" min="0" max="16383" man="1"/>
    <brk id="520" min="0" max="16383" man="1"/>
    <brk id="539" min="0" max="16383" man="1"/>
    <brk id="558" min="0" max="16383" man="1"/>
    <brk id="577" min="0" max="16383" man="1"/>
    <brk id="591" min="0" max="16383" man="1"/>
    <brk id="610" min="0" max="16383" man="1"/>
    <brk id="629" min="0" max="16383" man="1"/>
    <brk id="648" min="0" max="16383" man="1"/>
    <brk id="667" min="0" max="16383" man="1"/>
    <brk id="686" min="0" max="16383" man="1"/>
    <brk id="705" min="0" max="16383" man="1"/>
    <brk id="724" min="0" max="16383" man="1"/>
    <brk id="743" min="0" max="16383" man="1"/>
    <brk id="762" min="0" max="16383" man="1"/>
    <brk id="781" min="0" max="16383" man="1"/>
    <brk id="800" min="0" max="16383" man="1"/>
    <brk id="819" min="0" max="16383" man="1"/>
    <brk id="838" min="0" max="16383" man="1"/>
    <brk id="857" min="0" max="16383" man="1"/>
    <brk id="876" min="0" max="16383" man="1"/>
    <brk id="890" min="0" max="16383" man="1"/>
    <brk id="904" min="0" max="16383" man="1"/>
    <brk id="923" min="0" max="16383" man="1"/>
    <brk id="942" min="0" max="16383" man="1"/>
    <brk id="956" min="0" max="16383" man="1"/>
    <brk id="975" min="0" max="16383" man="1"/>
    <brk id="989" min="0" max="16383" man="1"/>
    <brk id="1003" min="0" max="16383" man="1"/>
    <brk id="1022" min="0" max="16383" man="1"/>
    <brk id="1041" min="0" max="16383" man="1"/>
    <brk id="1060" min="0" max="16383" man="1"/>
    <brk id="1074" min="0" max="16383" man="1"/>
    <brk id="1088" min="0" max="16383" man="1"/>
    <brk id="1102" min="0" max="16383" man="1"/>
    <brk id="1121" min="0" max="16383" man="1"/>
    <brk id="1135" min="0" max="16383" man="1"/>
    <brk id="1149" min="0" max="16383" man="1"/>
    <brk id="1163" min="0" max="16383" man="1"/>
    <brk id="1177" min="0" max="16383" man="1"/>
    <brk id="1196" min="0" max="16383" man="1"/>
    <brk id="1210" min="0" max="16383" man="1"/>
    <brk id="1224" min="0" max="16383" man="1"/>
    <brk id="1238" min="0" max="16383" man="1"/>
    <brk id="1252" min="0" max="16383" man="1"/>
    <brk id="1266" min="0" max="16383" man="1"/>
    <brk id="1280" min="0" max="16383" man="1"/>
    <brk id="1294" min="0" max="16383" man="1"/>
    <brk id="1308" min="0" max="16383" man="1"/>
    <brk id="1322" min="0" max="16383" man="1"/>
    <brk id="1336" min="0" max="16383" man="1"/>
    <brk id="1350" min="0" max="16383" man="1"/>
    <brk id="1364" min="0" max="16383" man="1"/>
    <brk id="1378" min="0" max="16383" man="1"/>
    <brk id="1392" min="0" max="16383" man="1"/>
    <brk id="1406" min="0" max="16383" man="1"/>
    <brk id="1420" min="0" max="16383" man="1"/>
    <brk id="1434" min="0" max="16383" man="1"/>
    <brk id="1448" min="0" max="16383" man="1"/>
    <brk id="1462" min="0" max="16383" man="1"/>
    <brk id="1476" min="0" max="16383" man="1"/>
    <brk id="1490" min="0" max="16383" man="1"/>
    <brk id="1504" min="0" max="16383" man="1"/>
    <brk id="1518" min="0" max="16383" man="1"/>
    <brk id="1532" min="0" max="16383" man="1"/>
    <brk id="1546" min="0" max="16383" man="1"/>
    <brk id="1560" min="0" max="16383" man="1"/>
    <brk id="1574" min="0" max="16383" man="1"/>
    <brk id="1588" min="0" max="16383" man="1"/>
    <brk id="1602" min="0" max="16383" man="1"/>
    <brk id="1621" min="0" max="16383" man="1"/>
    <brk id="1635" min="0" max="16383" man="1"/>
    <brk id="1649" min="0" max="16383" man="1"/>
    <brk id="1663" min="0" max="16383" man="1"/>
    <brk id="1677" min="0" max="16383" man="1"/>
    <brk id="1691" min="0" max="16383" man="1"/>
    <brk id="1705" min="0" max="16383" man="1"/>
    <brk id="1719" min="0" max="16383" man="1"/>
    <brk id="1738" min="0" max="16383" man="1"/>
    <brk id="1752" min="0" max="16383" man="1"/>
    <brk id="1766" min="0" max="16383" man="1"/>
    <brk id="1780" min="0" max="16383" man="1"/>
    <brk id="1794" min="0" max="16383" man="1"/>
    <brk id="1808" min="0" max="16383" man="1"/>
    <brk id="1822" min="0" max="16383" man="1"/>
    <brk id="1836" min="0" max="16383" man="1"/>
    <brk id="1850" min="0" max="16383" man="1"/>
    <brk id="1864" min="0" max="16383" man="1"/>
    <brk id="1878" min="0" max="16383" man="1"/>
    <brk id="1892" min="0" max="16383" man="1"/>
    <brk id="1906" min="0" max="16383" man="1"/>
    <brk id="1920" min="0" max="16383" man="1"/>
    <brk id="1934" min="0" max="16383" man="1"/>
    <brk id="1948" min="0" max="16383" man="1"/>
    <brk id="1962" min="0" max="16383" man="1"/>
    <brk id="1976" min="0" max="16383" man="1"/>
    <brk id="1990" min="0" max="16383" man="1"/>
    <brk id="2004" min="0" max="16383" man="1"/>
    <brk id="2018" min="0" max="16383" man="1"/>
    <brk id="2032" min="0" max="16383" man="1"/>
    <brk id="2046" min="0" max="16383" man="1"/>
    <brk id="2060" min="0" max="16383" man="1"/>
    <brk id="2074" min="0" max="16383" man="1"/>
    <brk id="2088" min="0" max="16383" man="1"/>
    <brk id="2102" min="0" max="16383" man="1"/>
    <brk id="2116" min="0" max="16383" man="1"/>
  </rowBreaks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nf</t>
        </is>
      </c>
      <c r="B1" t="inlineStr">
        <is>
          <t>2024-07</t>
        </is>
      </c>
      <c r="C1" t="inlineStr">
        <is>
          <t>2024-08</t>
        </is>
      </c>
      <c r="D1" t="inlineStr">
        <is>
          <t>2024-09</t>
        </is>
      </c>
      <c r="E1" t="inlineStr">
        <is>
          <t>2024-10</t>
        </is>
      </c>
      <c r="F1" t="inlineStr">
        <is>
          <t>2024-11</t>
        </is>
      </c>
      <c r="G1" t="inlineStr">
        <is>
          <t>2024-12</t>
        </is>
      </c>
      <c r="H1" t="inlineStr">
        <is>
          <t>2025-01</t>
        </is>
      </c>
      <c r="I1" t="inlineStr">
        <is>
          <t>2025-02</t>
        </is>
      </c>
      <c r="J1" t="inlineStr">
        <is>
          <t>2025-03</t>
        </is>
      </c>
      <c r="K1" t="inlineStr">
        <is>
          <t>2025-04</t>
        </is>
      </c>
      <c r="L1" t="inlineStr">
        <is>
          <t>2025-05</t>
        </is>
      </c>
      <c r="M1" t="inlineStr">
        <is>
          <t>2025-06</t>
        </is>
      </c>
      <c r="N1" t="inlineStr">
        <is>
          <t>2025-07</t>
        </is>
      </c>
      <c r="O1" t="inlineStr">
        <is>
          <t>2025-08</t>
        </is>
      </c>
      <c r="P1" t="inlineStr">
        <is>
          <t>2025-09</t>
        </is>
      </c>
      <c r="Q1" t="inlineStr">
        <is>
          <t>2025-10</t>
        </is>
      </c>
      <c r="R1" t="inlineStr">
        <is>
          <t>2025-11</t>
        </is>
      </c>
      <c r="S1" t="inlineStr">
        <is>
          <t>2025-12</t>
        </is>
      </c>
      <c r="T1" t="inlineStr">
        <is>
          <t>2026-01</t>
        </is>
      </c>
      <c r="U1" t="inlineStr">
        <is>
          <t>2026-02</t>
        </is>
      </c>
      <c r="V1" t="inlineStr">
        <is>
          <t>2026-03</t>
        </is>
      </c>
      <c r="W1" t="inlineStr">
        <is>
          <t>2026-04</t>
        </is>
      </c>
      <c r="X1" t="inlineStr">
        <is>
          <t>2026-05</t>
        </is>
      </c>
      <c r="Y1" t="inlineStr">
        <is>
          <t>2026-06</t>
        </is>
      </c>
    </row>
    <row r="2">
      <c r="A2" t="n">
        <v>8550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67.84999999999999</v>
      </c>
      <c r="H2" t="n">
        <v>291.23</v>
      </c>
      <c r="I2" t="n">
        <v>212.91</v>
      </c>
      <c r="J2" t="n">
        <v>183.41</v>
      </c>
      <c r="K2" t="n">
        <v>146.93</v>
      </c>
      <c r="L2" t="n">
        <v>240.12</v>
      </c>
      <c r="M2" t="n">
        <v>360.36</v>
      </c>
      <c r="N2" t="n">
        <v>489.63</v>
      </c>
      <c r="O2" t="n">
        <v>103.62</v>
      </c>
      <c r="P2" t="n">
        <v>664.91</v>
      </c>
      <c r="Q2" t="n">
        <v>334.22</v>
      </c>
      <c r="R2" t="n">
        <v>254.97</v>
      </c>
      <c r="S2" t="n">
        <v>121.53</v>
      </c>
      <c r="T2" t="n">
        <v>392.65</v>
      </c>
      <c r="U2" t="n">
        <v>287.51</v>
      </c>
      <c r="V2" t="n">
        <v>349.44</v>
      </c>
      <c r="W2" t="n">
        <v>199.21</v>
      </c>
      <c r="X2" t="n">
        <v>273.87</v>
      </c>
      <c r="Y2" t="n">
        <v>430.03</v>
      </c>
    </row>
    <row r="3">
      <c r="A3" t="n">
        <v>8551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122.79</v>
      </c>
      <c r="H3" t="n">
        <v>257.6</v>
      </c>
      <c r="I3" t="n">
        <v>149.89</v>
      </c>
      <c r="J3" t="n">
        <v>179.34</v>
      </c>
      <c r="K3" t="n">
        <v>133.56</v>
      </c>
      <c r="L3" t="n">
        <v>217.18</v>
      </c>
      <c r="M3" t="n">
        <v>255.1</v>
      </c>
      <c r="N3" t="n">
        <v>355.24</v>
      </c>
      <c r="O3" t="n">
        <v>132.59</v>
      </c>
      <c r="P3" t="n">
        <v>333.79</v>
      </c>
      <c r="Q3" t="n">
        <v>306.02</v>
      </c>
      <c r="R3" t="n">
        <v>209.78</v>
      </c>
      <c r="S3" t="n">
        <v>189.38</v>
      </c>
      <c r="T3" t="n">
        <v>339.72</v>
      </c>
      <c r="U3" t="n">
        <v>188.55</v>
      </c>
      <c r="V3" t="n">
        <v>237.18</v>
      </c>
      <c r="W3" t="n">
        <v>186.2</v>
      </c>
      <c r="X3" t="n">
        <v>276</v>
      </c>
      <c r="Y3" t="n">
        <v>343.77</v>
      </c>
    </row>
    <row r="4">
      <c r="A4" t="n">
        <v>8552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240.78</v>
      </c>
      <c r="H4" t="n">
        <v>270.33</v>
      </c>
      <c r="I4" t="n">
        <v>122.02</v>
      </c>
      <c r="J4" t="n">
        <v>156.75</v>
      </c>
      <c r="K4" t="n">
        <v>185.58</v>
      </c>
      <c r="L4" t="n">
        <v>220.94</v>
      </c>
      <c r="M4" t="n">
        <v>589.63</v>
      </c>
      <c r="N4" t="n">
        <v>626.48</v>
      </c>
      <c r="O4" t="n">
        <v>164.89</v>
      </c>
      <c r="P4" t="n">
        <v>386.56</v>
      </c>
      <c r="Q4" t="n">
        <v>382.69</v>
      </c>
      <c r="R4" t="n">
        <v>261.9</v>
      </c>
      <c r="S4" t="n">
        <v>330.96</v>
      </c>
      <c r="T4" t="n">
        <v>371.28</v>
      </c>
      <c r="U4" t="n">
        <v>169.53</v>
      </c>
      <c r="V4" t="n">
        <v>214.78</v>
      </c>
      <c r="W4" t="n">
        <v>271.98</v>
      </c>
      <c r="X4" t="n">
        <v>271.88</v>
      </c>
      <c r="Y4" t="n">
        <v>692.9400000000001</v>
      </c>
    </row>
    <row r="5">
      <c r="A5" t="n">
        <v>8553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143.34</v>
      </c>
      <c r="H5" t="n">
        <v>255.18</v>
      </c>
      <c r="I5" t="n">
        <v>122.89</v>
      </c>
      <c r="J5" t="n">
        <v>228.55</v>
      </c>
      <c r="K5" t="n">
        <v>175.12</v>
      </c>
      <c r="L5" t="n">
        <v>270.51</v>
      </c>
      <c r="M5" t="n">
        <v>388.07</v>
      </c>
      <c r="N5" t="n">
        <v>574.8200000000001</v>
      </c>
      <c r="O5" t="n">
        <v>154.53</v>
      </c>
      <c r="P5" t="n">
        <v>359.42</v>
      </c>
      <c r="Q5" t="n">
        <v>352.4</v>
      </c>
      <c r="R5" t="n">
        <v>177.06</v>
      </c>
      <c r="S5" t="n">
        <v>261.13</v>
      </c>
      <c r="T5" t="n">
        <v>337.12</v>
      </c>
      <c r="U5" t="n">
        <v>149.42</v>
      </c>
      <c r="V5" t="n">
        <v>232.63</v>
      </c>
      <c r="W5" t="n">
        <v>279.54</v>
      </c>
      <c r="X5" t="n">
        <v>333.42</v>
      </c>
      <c r="Y5" t="n">
        <v>462.7</v>
      </c>
    </row>
    <row r="6">
      <c r="A6" t="n">
        <v>8554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181.06</v>
      </c>
      <c r="H6" t="n">
        <v>235.48</v>
      </c>
      <c r="I6" t="n">
        <v>115.38</v>
      </c>
      <c r="J6" t="n">
        <v>164.69</v>
      </c>
      <c r="K6" t="n">
        <v>208.48</v>
      </c>
      <c r="L6" t="n">
        <v>620.36</v>
      </c>
      <c r="M6" t="n">
        <v>776.6900000000001</v>
      </c>
      <c r="N6" t="n">
        <v>910.6799999999999</v>
      </c>
      <c r="O6" t="n">
        <v>276.4</v>
      </c>
      <c r="P6" t="n">
        <v>777.08</v>
      </c>
      <c r="Q6" t="n">
        <v>555.3099999999999</v>
      </c>
      <c r="R6" t="n">
        <v>267.98</v>
      </c>
      <c r="S6" t="n">
        <v>240.42</v>
      </c>
      <c r="T6" t="n">
        <v>316.78</v>
      </c>
      <c r="U6" t="n">
        <v>165.48</v>
      </c>
      <c r="V6" t="n">
        <v>218.11</v>
      </c>
      <c r="W6" t="n">
        <v>311.55</v>
      </c>
      <c r="X6" t="n">
        <v>651.3099999999999</v>
      </c>
      <c r="Y6" t="n">
        <v>839.16</v>
      </c>
    </row>
    <row r="7">
      <c r="A7" t="n">
        <v>8555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98.79000000000001</v>
      </c>
      <c r="H7" t="n">
        <v>169.59</v>
      </c>
      <c r="I7" t="n">
        <v>113.34</v>
      </c>
      <c r="J7" t="n">
        <v>142.42</v>
      </c>
      <c r="K7" t="n">
        <v>111.81</v>
      </c>
      <c r="L7" t="n">
        <v>150.31</v>
      </c>
      <c r="M7" t="n">
        <v>280.5</v>
      </c>
      <c r="N7" t="n">
        <v>374.5</v>
      </c>
      <c r="O7" t="n">
        <v>130.26</v>
      </c>
      <c r="P7" t="n">
        <v>333.66</v>
      </c>
      <c r="Q7" t="n">
        <v>240.63</v>
      </c>
      <c r="R7" t="n">
        <v>117.47</v>
      </c>
      <c r="S7" t="n">
        <v>166.39</v>
      </c>
      <c r="T7" t="n">
        <v>229.98</v>
      </c>
      <c r="U7" t="n">
        <v>152.99</v>
      </c>
      <c r="V7" t="n">
        <v>196.1</v>
      </c>
      <c r="W7" t="n">
        <v>164.11</v>
      </c>
      <c r="X7" t="n">
        <v>189.25</v>
      </c>
      <c r="Y7" t="n">
        <v>351.03</v>
      </c>
    </row>
    <row r="8">
      <c r="A8" t="n">
        <v>8556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170.28</v>
      </c>
      <c r="H8" t="n">
        <v>258.52</v>
      </c>
      <c r="I8" t="n">
        <v>181.42</v>
      </c>
      <c r="J8" t="n">
        <v>255.74</v>
      </c>
      <c r="K8" t="n">
        <v>242.83</v>
      </c>
      <c r="L8" t="n">
        <v>303.68</v>
      </c>
      <c r="M8" t="n">
        <v>367.91</v>
      </c>
      <c r="N8" t="n">
        <v>611.02</v>
      </c>
      <c r="O8" t="n">
        <v>163.33</v>
      </c>
      <c r="P8" t="n">
        <v>392.33</v>
      </c>
      <c r="Q8" t="n">
        <v>376.51</v>
      </c>
      <c r="R8" t="n">
        <v>126.21</v>
      </c>
      <c r="S8" t="n">
        <v>230.73</v>
      </c>
      <c r="T8" t="n">
        <v>340.4</v>
      </c>
      <c r="U8" t="n">
        <v>259.71</v>
      </c>
      <c r="V8" t="n">
        <v>311.91</v>
      </c>
      <c r="W8" t="n">
        <v>314.39</v>
      </c>
      <c r="X8" t="n">
        <v>371.77</v>
      </c>
      <c r="Y8" t="n">
        <v>505.17</v>
      </c>
    </row>
    <row r="9">
      <c r="A9" t="n">
        <v>8557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193.05</v>
      </c>
      <c r="H9" t="n">
        <v>309.11</v>
      </c>
      <c r="I9" t="n">
        <v>197.99</v>
      </c>
      <c r="J9" t="n">
        <v>256.8</v>
      </c>
      <c r="K9" t="n">
        <v>114.01</v>
      </c>
      <c r="L9" t="n">
        <v>245.88</v>
      </c>
      <c r="M9" t="n">
        <v>405.6</v>
      </c>
      <c r="N9" t="n">
        <v>510.83</v>
      </c>
      <c r="O9" t="n">
        <v>181.08</v>
      </c>
      <c r="P9" t="n">
        <v>334.97</v>
      </c>
      <c r="Q9" t="n">
        <v>263.34</v>
      </c>
      <c r="R9" t="n">
        <v>146.93</v>
      </c>
      <c r="S9" t="n">
        <v>251.21</v>
      </c>
      <c r="T9" t="n">
        <v>411.51</v>
      </c>
      <c r="U9" t="n">
        <v>292.86</v>
      </c>
      <c r="V9" t="n">
        <v>309.03</v>
      </c>
      <c r="W9" t="n">
        <v>166.4</v>
      </c>
      <c r="X9" t="n">
        <v>321.26</v>
      </c>
      <c r="Y9" t="n">
        <v>473.59</v>
      </c>
    </row>
    <row r="10">
      <c r="A10" t="n">
        <v>8558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131.4</v>
      </c>
      <c r="H10" t="n">
        <v>332.79</v>
      </c>
      <c r="I10" t="n">
        <v>154.85</v>
      </c>
      <c r="J10" t="n">
        <v>172.58</v>
      </c>
      <c r="K10" t="n">
        <v>151.87</v>
      </c>
      <c r="L10" t="n">
        <v>305.89</v>
      </c>
      <c r="M10" t="n">
        <v>454</v>
      </c>
      <c r="N10" t="n">
        <v>499.25</v>
      </c>
      <c r="O10" t="n">
        <v>117.75</v>
      </c>
      <c r="P10" t="n">
        <v>483.02</v>
      </c>
      <c r="Q10" t="n">
        <v>456.69</v>
      </c>
      <c r="R10" t="n">
        <v>281.62</v>
      </c>
      <c r="S10" t="n">
        <v>195.74</v>
      </c>
      <c r="T10" t="n">
        <v>435.76</v>
      </c>
      <c r="U10" t="n">
        <v>244.72</v>
      </c>
      <c r="V10" t="n">
        <v>225.93</v>
      </c>
      <c r="W10" t="n">
        <v>215.79</v>
      </c>
      <c r="X10" t="n">
        <v>358.91</v>
      </c>
      <c r="Y10" t="n">
        <v>525.02</v>
      </c>
    </row>
    <row r="11">
      <c r="A11" t="n">
        <v>8559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85.02</v>
      </c>
      <c r="H11" t="n">
        <v>92.48</v>
      </c>
      <c r="I11" t="n">
        <v>67.3</v>
      </c>
      <c r="J11" t="n">
        <v>63.22</v>
      </c>
      <c r="K11" t="n">
        <v>67.94</v>
      </c>
      <c r="L11" t="n">
        <v>131.71</v>
      </c>
      <c r="M11" t="n">
        <v>173.41</v>
      </c>
      <c r="N11" t="n">
        <v>247.92</v>
      </c>
      <c r="O11" t="n">
        <v>108.06</v>
      </c>
      <c r="P11" t="n">
        <v>101.19</v>
      </c>
      <c r="Q11" t="n">
        <v>77.36</v>
      </c>
      <c r="R11" t="n">
        <v>93.5</v>
      </c>
      <c r="S11" t="n">
        <v>135.59</v>
      </c>
      <c r="T11" t="n">
        <v>150.61</v>
      </c>
      <c r="U11" t="n">
        <v>101.26</v>
      </c>
      <c r="V11" t="n">
        <v>83.58</v>
      </c>
      <c r="W11" t="n">
        <v>92.95</v>
      </c>
      <c r="X11" t="n">
        <v>164.49</v>
      </c>
      <c r="Y11" t="n">
        <v>244.04</v>
      </c>
    </row>
    <row r="12">
      <c r="A12" t="n">
        <v>8560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51.19</v>
      </c>
      <c r="H12" t="n">
        <v>153.54</v>
      </c>
      <c r="I12" t="n">
        <v>125.01</v>
      </c>
      <c r="J12" t="n">
        <v>130.52</v>
      </c>
      <c r="K12" t="n">
        <v>91.61</v>
      </c>
      <c r="L12" t="n">
        <v>150.09</v>
      </c>
      <c r="M12" t="n">
        <v>209.74</v>
      </c>
      <c r="N12" t="n">
        <v>185.37</v>
      </c>
      <c r="O12" t="n">
        <v>131.51</v>
      </c>
      <c r="P12" t="n">
        <v>105.59</v>
      </c>
      <c r="Q12" t="n">
        <v>72.64</v>
      </c>
      <c r="R12" t="n">
        <v>89.98999999999999</v>
      </c>
      <c r="S12" t="n">
        <v>123.52</v>
      </c>
      <c r="T12" t="n">
        <v>213.59</v>
      </c>
      <c r="U12" t="n">
        <v>175.89</v>
      </c>
      <c r="V12" t="n">
        <v>185.75</v>
      </c>
      <c r="W12" t="n">
        <v>115.98</v>
      </c>
      <c r="X12" t="n">
        <v>187.53</v>
      </c>
      <c r="Y12" t="n">
        <v>400.32</v>
      </c>
    </row>
    <row r="13">
      <c r="A13" t="n">
        <v>8561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114.46</v>
      </c>
      <c r="H13" t="n">
        <v>156.2</v>
      </c>
      <c r="I13" t="n">
        <v>110.71</v>
      </c>
      <c r="J13" t="n">
        <v>260.77</v>
      </c>
      <c r="K13" t="n">
        <v>179.33</v>
      </c>
      <c r="L13" t="n">
        <v>224.35</v>
      </c>
      <c r="M13" t="n">
        <v>412.73</v>
      </c>
      <c r="N13" t="n">
        <v>606.87</v>
      </c>
      <c r="O13" t="n">
        <v>152.73</v>
      </c>
      <c r="P13" t="n">
        <v>491.2</v>
      </c>
      <c r="Q13" t="n">
        <v>404.96</v>
      </c>
      <c r="R13" t="n">
        <v>240.01</v>
      </c>
      <c r="S13" t="n">
        <v>180.49</v>
      </c>
      <c r="T13" t="n">
        <v>212.19</v>
      </c>
      <c r="U13" t="n">
        <v>175.43</v>
      </c>
      <c r="V13" t="n">
        <v>339.01</v>
      </c>
      <c r="W13" t="n">
        <v>251.07</v>
      </c>
      <c r="X13" t="n">
        <v>287</v>
      </c>
      <c r="Y13" t="n">
        <v>499.04</v>
      </c>
    </row>
    <row r="14">
      <c r="A14" t="n">
        <v>8562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74.36</v>
      </c>
      <c r="H14" t="n">
        <v>212.65</v>
      </c>
      <c r="I14" t="n">
        <v>196.15</v>
      </c>
      <c r="J14" t="n">
        <v>271.38</v>
      </c>
      <c r="K14" t="n">
        <v>232.4</v>
      </c>
      <c r="L14" t="n">
        <v>267.24</v>
      </c>
      <c r="M14" t="n">
        <v>355.82</v>
      </c>
      <c r="N14" t="n">
        <v>442.68</v>
      </c>
      <c r="O14" t="n">
        <v>117.14</v>
      </c>
      <c r="P14" t="n">
        <v>501.52</v>
      </c>
      <c r="Q14" t="n">
        <v>378.61</v>
      </c>
      <c r="R14" t="n">
        <v>286.56</v>
      </c>
      <c r="S14" t="n">
        <v>128.8</v>
      </c>
      <c r="T14" t="n">
        <v>271.26</v>
      </c>
      <c r="U14" t="n">
        <v>269.14</v>
      </c>
      <c r="V14" t="n">
        <v>401.39</v>
      </c>
      <c r="W14" t="n">
        <v>298.92</v>
      </c>
      <c r="X14" t="n">
        <v>330.2</v>
      </c>
      <c r="Y14" t="n">
        <v>399.6</v>
      </c>
    </row>
    <row r="15">
      <c r="A15" t="n">
        <v>8563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80.48999999999999</v>
      </c>
      <c r="H15" t="n">
        <v>305.09</v>
      </c>
      <c r="I15" t="n">
        <v>247.72</v>
      </c>
      <c r="J15" t="n">
        <v>457.79</v>
      </c>
      <c r="K15" t="n">
        <v>280.07</v>
      </c>
      <c r="L15" t="n">
        <v>373.47</v>
      </c>
      <c r="M15" t="n">
        <v>467.85</v>
      </c>
      <c r="N15" t="n">
        <v>609.1</v>
      </c>
      <c r="O15" t="n">
        <v>125.46</v>
      </c>
      <c r="P15" t="n">
        <v>424.54</v>
      </c>
      <c r="Q15" t="n">
        <v>524.58</v>
      </c>
      <c r="R15" t="n">
        <v>411.31</v>
      </c>
      <c r="S15" t="n">
        <v>134.32</v>
      </c>
      <c r="T15" t="n">
        <v>403.13</v>
      </c>
      <c r="U15" t="n">
        <v>345.53</v>
      </c>
      <c r="V15" t="n">
        <v>523.95</v>
      </c>
      <c r="W15" t="n">
        <v>345.87</v>
      </c>
      <c r="X15" t="n">
        <v>442.35</v>
      </c>
      <c r="Y15" t="n">
        <v>522.52</v>
      </c>
    </row>
    <row r="16">
      <c r="A16" t="n">
        <v>8568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197.21</v>
      </c>
      <c r="H16" t="n">
        <v>107.96</v>
      </c>
      <c r="I16" t="n">
        <v>57.75</v>
      </c>
      <c r="J16" t="n">
        <v>57.76</v>
      </c>
      <c r="K16" t="n">
        <v>156.48</v>
      </c>
      <c r="L16" t="n">
        <v>109.34</v>
      </c>
      <c r="M16" t="n">
        <v>81.95999999999999</v>
      </c>
      <c r="N16" t="n">
        <v>104.55</v>
      </c>
      <c r="O16" t="n">
        <v>64.70999999999999</v>
      </c>
      <c r="P16" t="n">
        <v>144.05</v>
      </c>
      <c r="Q16" t="n">
        <v>114.68</v>
      </c>
      <c r="R16" t="n">
        <v>57.95</v>
      </c>
      <c r="S16" t="n">
        <v>155.67</v>
      </c>
      <c r="T16" t="n">
        <v>95.69</v>
      </c>
      <c r="U16" t="n">
        <v>73.01000000000001</v>
      </c>
      <c r="V16" t="n">
        <v>131.64</v>
      </c>
      <c r="W16" t="n">
        <v>214.16</v>
      </c>
      <c r="X16" t="n">
        <v>0</v>
      </c>
      <c r="Y16" t="n">
        <v>0</v>
      </c>
    </row>
    <row r="17">
      <c r="A17" t="n">
        <v>8569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242.74</v>
      </c>
      <c r="H17" t="n">
        <v>219.19</v>
      </c>
      <c r="I17" t="n">
        <v>209.34</v>
      </c>
      <c r="J17" t="n">
        <v>210.33</v>
      </c>
      <c r="K17" t="n">
        <v>189.9</v>
      </c>
      <c r="L17" t="n">
        <v>190.38</v>
      </c>
      <c r="M17" t="n">
        <v>193.93</v>
      </c>
      <c r="N17" t="n">
        <v>203.58</v>
      </c>
      <c r="O17" t="n">
        <v>205.73</v>
      </c>
      <c r="P17" t="n">
        <v>206.28</v>
      </c>
      <c r="Q17" t="n">
        <v>209.82</v>
      </c>
      <c r="R17" t="n">
        <v>233.02</v>
      </c>
      <c r="S17" t="n">
        <v>237.28</v>
      </c>
      <c r="T17" t="n">
        <v>266.33</v>
      </c>
      <c r="U17" t="n">
        <v>225.34</v>
      </c>
      <c r="V17" t="n">
        <v>236</v>
      </c>
      <c r="W17" t="n">
        <v>204.34</v>
      </c>
      <c r="X17" t="n">
        <v>0</v>
      </c>
      <c r="Y17" t="n">
        <v>0</v>
      </c>
    </row>
    <row r="18">
      <c r="A18" t="n">
        <v>8570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237.82</v>
      </c>
      <c r="J18" t="n">
        <v>194.8</v>
      </c>
      <c r="K18" t="n">
        <v>152.7</v>
      </c>
      <c r="L18" t="n">
        <v>84.08</v>
      </c>
      <c r="M18" t="n">
        <v>156.38</v>
      </c>
      <c r="N18" t="n">
        <v>191.84</v>
      </c>
      <c r="O18" t="n">
        <v>247.16</v>
      </c>
      <c r="P18" t="n">
        <v>137.84</v>
      </c>
      <c r="Q18" t="n">
        <v>112.15</v>
      </c>
      <c r="R18" t="n">
        <v>186.88</v>
      </c>
      <c r="S18" t="n">
        <v>247.21</v>
      </c>
      <c r="T18" t="n">
        <v>287.01</v>
      </c>
      <c r="U18" t="n">
        <v>230.81</v>
      </c>
      <c r="V18" t="n">
        <v>276.44</v>
      </c>
      <c r="W18" t="n">
        <v>139.84</v>
      </c>
      <c r="X18" t="n">
        <v>0</v>
      </c>
      <c r="Y18" t="n">
        <v>0</v>
      </c>
    </row>
    <row r="19">
      <c r="A19" t="n">
        <v>8571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48.8</v>
      </c>
      <c r="H19" t="n">
        <v>87.84</v>
      </c>
      <c r="I19" t="n">
        <v>47.65</v>
      </c>
      <c r="J19" t="n">
        <v>56.89</v>
      </c>
      <c r="K19" t="n">
        <v>54.07</v>
      </c>
      <c r="L19" t="n">
        <v>53.92</v>
      </c>
      <c r="M19" t="n">
        <v>76.54000000000001</v>
      </c>
      <c r="N19" t="n">
        <v>42.09</v>
      </c>
      <c r="O19" t="n">
        <v>39.38</v>
      </c>
      <c r="P19" t="n">
        <v>74.06</v>
      </c>
      <c r="Q19" t="n">
        <v>82.16</v>
      </c>
      <c r="R19" t="n">
        <v>50.76</v>
      </c>
      <c r="S19" t="n">
        <v>68.31999999999999</v>
      </c>
      <c r="T19" t="n">
        <v>74.95</v>
      </c>
      <c r="U19" t="n">
        <v>74.28</v>
      </c>
      <c r="V19" t="n">
        <v>67.62</v>
      </c>
      <c r="W19" t="n">
        <v>68.56</v>
      </c>
      <c r="X19" t="n">
        <v>0</v>
      </c>
      <c r="Y19" t="n">
        <v>0</v>
      </c>
    </row>
    <row r="20">
      <c r="A20" t="n">
        <v>8572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142.7</v>
      </c>
      <c r="H20" t="n">
        <v>158.03</v>
      </c>
      <c r="I20" t="n">
        <v>104.93</v>
      </c>
      <c r="J20" t="n">
        <v>109.06</v>
      </c>
      <c r="K20" t="n">
        <v>62.3</v>
      </c>
      <c r="L20" t="n">
        <v>62.29</v>
      </c>
      <c r="M20" t="n">
        <v>157.8</v>
      </c>
      <c r="N20" t="n">
        <v>198.54</v>
      </c>
      <c r="O20" t="n">
        <v>134.89</v>
      </c>
      <c r="P20" t="n">
        <v>110.65</v>
      </c>
      <c r="Q20" t="n">
        <v>105.97</v>
      </c>
      <c r="R20" t="n">
        <v>117.91</v>
      </c>
      <c r="S20" t="n">
        <v>123.7</v>
      </c>
      <c r="T20" t="n">
        <v>98.87</v>
      </c>
      <c r="U20" t="n">
        <v>105.2</v>
      </c>
      <c r="V20" t="n">
        <v>90.93000000000001</v>
      </c>
      <c r="W20" t="n">
        <v>57.95</v>
      </c>
      <c r="X20" t="n">
        <v>0</v>
      </c>
      <c r="Y20" t="n">
        <v>0</v>
      </c>
    </row>
    <row r="21">
      <c r="A21" t="n">
        <v>8573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47.1</v>
      </c>
      <c r="H21" t="n">
        <v>102.36</v>
      </c>
      <c r="I21" t="n">
        <v>78.98</v>
      </c>
      <c r="J21" t="n">
        <v>99.58</v>
      </c>
      <c r="K21" t="n">
        <v>74.5</v>
      </c>
      <c r="L21" t="n">
        <v>68.43000000000001</v>
      </c>
      <c r="M21" t="n">
        <v>74.5</v>
      </c>
      <c r="N21" t="n">
        <v>105.08</v>
      </c>
      <c r="O21" t="n">
        <v>138.22</v>
      </c>
      <c r="P21" t="n">
        <v>106.65</v>
      </c>
      <c r="Q21" t="n">
        <v>83.05</v>
      </c>
      <c r="R21" t="n">
        <v>64.55</v>
      </c>
      <c r="S21" t="n">
        <v>76.48999999999999</v>
      </c>
      <c r="T21" t="n">
        <v>91.62</v>
      </c>
      <c r="U21" t="n">
        <v>58.77</v>
      </c>
      <c r="V21" t="n">
        <v>58.18</v>
      </c>
      <c r="W21" t="n">
        <v>55.48</v>
      </c>
      <c r="X21" t="n">
        <v>0</v>
      </c>
      <c r="Y21" t="n">
        <v>0</v>
      </c>
    </row>
    <row r="22">
      <c r="A22" t="n">
        <v>8574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62.66</v>
      </c>
      <c r="V22" t="n">
        <v>52.63</v>
      </c>
      <c r="W22" t="n">
        <v>53.78</v>
      </c>
      <c r="X22" t="n">
        <v>0</v>
      </c>
      <c r="Y22" t="n">
        <v>0</v>
      </c>
    </row>
    <row r="23">
      <c r="A23" t="n">
        <v>8575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40.13</v>
      </c>
      <c r="H23" t="n">
        <v>113.72</v>
      </c>
      <c r="I23" t="n">
        <v>75.18000000000001</v>
      </c>
      <c r="J23" t="n">
        <v>54.02</v>
      </c>
      <c r="K23" t="n">
        <v>53.3</v>
      </c>
      <c r="L23" t="n">
        <v>53.49</v>
      </c>
      <c r="M23" t="n">
        <v>66.13</v>
      </c>
      <c r="N23" t="n">
        <v>53.49</v>
      </c>
      <c r="O23" t="n">
        <v>53.49</v>
      </c>
      <c r="P23" t="n">
        <v>53.49</v>
      </c>
      <c r="Q23" t="n">
        <v>59.64</v>
      </c>
      <c r="R23" t="n">
        <v>53.49</v>
      </c>
      <c r="S23" t="n">
        <v>53.49</v>
      </c>
      <c r="T23" t="n">
        <v>53.49</v>
      </c>
      <c r="U23" t="n">
        <v>84.44</v>
      </c>
      <c r="V23" t="n">
        <v>86.3</v>
      </c>
      <c r="W23" t="n">
        <v>53.49</v>
      </c>
      <c r="X23" t="n">
        <v>0</v>
      </c>
      <c r="Y23" t="n">
        <v>0</v>
      </c>
    </row>
    <row r="24">
      <c r="A24" t="n">
        <v>8579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4.17</v>
      </c>
      <c r="H24" t="n">
        <v>38.81</v>
      </c>
      <c r="I24" t="n">
        <v>29.88</v>
      </c>
      <c r="J24" t="n">
        <v>29.89</v>
      </c>
      <c r="K24" t="n">
        <v>29.89</v>
      </c>
      <c r="L24" t="n">
        <v>30.08</v>
      </c>
      <c r="M24" t="n">
        <v>30.08</v>
      </c>
      <c r="N24" t="n">
        <v>30.08</v>
      </c>
      <c r="O24" t="n">
        <v>41.58</v>
      </c>
      <c r="P24" t="n">
        <v>32.89</v>
      </c>
      <c r="Q24" t="n">
        <v>35.43</v>
      </c>
      <c r="R24" t="n">
        <v>30.08</v>
      </c>
      <c r="S24" t="n">
        <v>59.76</v>
      </c>
      <c r="T24" t="n">
        <v>45.3</v>
      </c>
      <c r="U24" t="n">
        <v>30.07</v>
      </c>
      <c r="V24" t="n">
        <v>30.27</v>
      </c>
      <c r="W24" t="n">
        <v>30.08</v>
      </c>
      <c r="X24" t="n">
        <v>0</v>
      </c>
      <c r="Y24" t="n">
        <v>0</v>
      </c>
    </row>
    <row r="25">
      <c r="A25" t="n">
        <v>8580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57.56</v>
      </c>
      <c r="H25" t="n">
        <v>84.20999999999999</v>
      </c>
      <c r="I25" t="n">
        <v>44.54</v>
      </c>
      <c r="J25" t="n">
        <v>79.59999999999999</v>
      </c>
      <c r="K25" t="n">
        <v>44.55</v>
      </c>
      <c r="L25" t="n">
        <v>44.74</v>
      </c>
      <c r="M25" t="n">
        <v>50.05</v>
      </c>
      <c r="N25" t="n">
        <v>68.03</v>
      </c>
      <c r="O25" t="n">
        <v>100.62</v>
      </c>
      <c r="P25" t="n">
        <v>68.28</v>
      </c>
      <c r="Q25" t="n">
        <v>74.86</v>
      </c>
      <c r="R25" t="n">
        <v>98.20999999999999</v>
      </c>
      <c r="S25" t="n">
        <v>185.93</v>
      </c>
      <c r="T25" t="n">
        <v>227.02</v>
      </c>
      <c r="U25" t="n">
        <v>130.45</v>
      </c>
      <c r="V25" t="n">
        <v>129.43</v>
      </c>
      <c r="W25" t="n">
        <v>68.31999999999999</v>
      </c>
      <c r="X25" t="n">
        <v>0</v>
      </c>
      <c r="Y25" t="n">
        <v>0</v>
      </c>
    </row>
    <row r="26">
      <c r="A26" t="n">
        <v>8581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184.43</v>
      </c>
      <c r="H26" t="n">
        <v>228.2</v>
      </c>
      <c r="I26" t="n">
        <v>253.06</v>
      </c>
      <c r="J26" t="n">
        <v>162.55</v>
      </c>
      <c r="K26" t="n">
        <v>99.76000000000001</v>
      </c>
      <c r="L26" t="n">
        <v>93.70999999999999</v>
      </c>
      <c r="M26" t="n">
        <v>151.01</v>
      </c>
      <c r="N26" t="n">
        <v>123.8</v>
      </c>
      <c r="O26" t="n">
        <v>89.88</v>
      </c>
      <c r="P26" t="n">
        <v>110.76</v>
      </c>
      <c r="Q26" t="n">
        <v>115.59</v>
      </c>
      <c r="R26" t="n">
        <v>181.22</v>
      </c>
      <c r="S26" t="n">
        <v>196.25</v>
      </c>
      <c r="T26" t="n">
        <v>0</v>
      </c>
      <c r="U26" t="n">
        <v>123.89</v>
      </c>
      <c r="V26" t="n">
        <v>110.69</v>
      </c>
      <c r="W26" t="n">
        <v>82.16</v>
      </c>
      <c r="X26" t="n">
        <v>0</v>
      </c>
      <c r="Y26" t="n">
        <v>0</v>
      </c>
    </row>
    <row r="27">
      <c r="A27" t="n">
        <v>8584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290.71</v>
      </c>
      <c r="H27" t="n">
        <v>324.28</v>
      </c>
      <c r="I27" t="n">
        <v>271.18</v>
      </c>
      <c r="J27" t="n">
        <v>294.1</v>
      </c>
      <c r="K27" t="n">
        <v>305.38</v>
      </c>
      <c r="L27" t="n">
        <v>240.86</v>
      </c>
      <c r="M27" t="n">
        <v>379.37</v>
      </c>
      <c r="N27" t="n">
        <v>463.88</v>
      </c>
      <c r="O27" t="n">
        <v>533.8099999999999</v>
      </c>
      <c r="P27" t="n">
        <v>372.47</v>
      </c>
      <c r="Q27" t="n">
        <v>384.38</v>
      </c>
      <c r="R27" t="n">
        <v>309.32</v>
      </c>
      <c r="S27" t="n">
        <v>368.67</v>
      </c>
      <c r="T27" t="n">
        <v>343.52</v>
      </c>
      <c r="U27" t="n">
        <v>280.31</v>
      </c>
      <c r="V27" t="n">
        <v>335.76</v>
      </c>
      <c r="W27" t="n">
        <v>67.20999999999999</v>
      </c>
      <c r="X27" t="n">
        <v>0</v>
      </c>
      <c r="Y27" t="n">
        <v>0</v>
      </c>
    </row>
    <row r="28">
      <c r="A28" t="n">
        <v>8585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42.64</v>
      </c>
      <c r="H28" t="n">
        <v>52.53</v>
      </c>
      <c r="I28" t="n">
        <v>52.52</v>
      </c>
      <c r="J28" t="n">
        <v>52.53</v>
      </c>
      <c r="K28" t="n">
        <v>96.36</v>
      </c>
      <c r="L28" t="n">
        <v>158.5</v>
      </c>
      <c r="M28" t="n">
        <v>323.81</v>
      </c>
      <c r="N28" t="n">
        <v>532.71</v>
      </c>
      <c r="O28" t="n">
        <v>651.11</v>
      </c>
      <c r="P28" t="n">
        <v>444.67</v>
      </c>
      <c r="Q28" t="n">
        <v>119.88</v>
      </c>
      <c r="R28" t="n">
        <v>48.59</v>
      </c>
      <c r="S28" t="n">
        <v>48.59</v>
      </c>
      <c r="T28" t="n">
        <v>48.59</v>
      </c>
      <c r="U28" t="n">
        <v>48.58</v>
      </c>
      <c r="V28" t="n">
        <v>48.59</v>
      </c>
      <c r="W28" t="n">
        <v>111.27</v>
      </c>
      <c r="X28" t="n">
        <v>0</v>
      </c>
      <c r="Y28" t="n">
        <v>0</v>
      </c>
    </row>
    <row r="29">
      <c r="A29" t="n">
        <v>8586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57.56</v>
      </c>
      <c r="H29" t="n">
        <v>84.20999999999999</v>
      </c>
      <c r="I29" t="n">
        <v>44.54</v>
      </c>
      <c r="J29" t="n">
        <v>79.59999999999999</v>
      </c>
      <c r="K29" t="n">
        <v>44.55</v>
      </c>
      <c r="L29" t="n">
        <v>44.74</v>
      </c>
      <c r="M29" t="n">
        <v>50.05</v>
      </c>
      <c r="N29" t="n">
        <v>68.03</v>
      </c>
      <c r="O29" t="n">
        <v>100.62</v>
      </c>
      <c r="P29" t="n">
        <v>68.28</v>
      </c>
      <c r="Q29" t="n">
        <v>74.86</v>
      </c>
      <c r="R29" t="n">
        <v>98.20999999999999</v>
      </c>
      <c r="S29" t="n">
        <v>185.93</v>
      </c>
      <c r="T29" t="n">
        <v>227.02</v>
      </c>
      <c r="U29" t="n">
        <v>130.45</v>
      </c>
      <c r="V29" t="n">
        <v>129.43</v>
      </c>
      <c r="W29" t="n">
        <v>68.31999999999999</v>
      </c>
      <c r="X29" t="n">
        <v>0</v>
      </c>
      <c r="Y29" t="n">
        <v>0</v>
      </c>
    </row>
    <row r="30">
      <c r="A30" t="n">
        <v>8588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109.99</v>
      </c>
      <c r="H30" t="n">
        <v>103.64</v>
      </c>
      <c r="I30" t="n">
        <v>88.68000000000001</v>
      </c>
      <c r="J30" t="n">
        <v>82.90000000000001</v>
      </c>
      <c r="K30" t="n">
        <v>70.77</v>
      </c>
      <c r="L30" t="n">
        <v>60.15</v>
      </c>
      <c r="M30" t="n">
        <v>65.72</v>
      </c>
      <c r="N30" t="n">
        <v>71.95</v>
      </c>
      <c r="O30" t="n">
        <v>80.73</v>
      </c>
      <c r="P30" t="n">
        <v>75.31</v>
      </c>
      <c r="Q30" t="n">
        <v>94.23999999999999</v>
      </c>
      <c r="R30" t="n">
        <v>100.13</v>
      </c>
      <c r="S30" t="n">
        <v>79.2</v>
      </c>
      <c r="T30" t="n">
        <v>54.04</v>
      </c>
      <c r="U30" t="n">
        <v>45.11</v>
      </c>
      <c r="V30" t="n">
        <v>44.24</v>
      </c>
      <c r="W30" t="n">
        <v>41.17</v>
      </c>
      <c r="X30" t="n">
        <v>0</v>
      </c>
      <c r="Y30" t="n">
        <v>0</v>
      </c>
    </row>
    <row r="31">
      <c r="A31" t="n">
        <v>8589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205.47</v>
      </c>
      <c r="H31" t="n">
        <v>180.57</v>
      </c>
      <c r="I31" t="n">
        <v>117.27</v>
      </c>
      <c r="J31" t="n">
        <v>110.2</v>
      </c>
      <c r="K31" t="n">
        <v>156.35</v>
      </c>
      <c r="L31" t="n">
        <v>119.87</v>
      </c>
      <c r="M31" t="n">
        <v>107.22</v>
      </c>
      <c r="N31" t="n">
        <v>95.45999999999999</v>
      </c>
      <c r="O31" t="n">
        <v>96.08</v>
      </c>
      <c r="P31" t="n">
        <v>120.23</v>
      </c>
      <c r="Q31" t="n">
        <v>147.18</v>
      </c>
      <c r="R31" t="n">
        <v>119.33</v>
      </c>
      <c r="S31" t="n">
        <v>180.97</v>
      </c>
      <c r="T31" t="n">
        <v>141.69</v>
      </c>
      <c r="U31" t="n">
        <v>112.85</v>
      </c>
      <c r="V31" t="n">
        <v>113.52</v>
      </c>
      <c r="W31" t="n">
        <v>101.6</v>
      </c>
      <c r="X31" t="n">
        <v>0</v>
      </c>
      <c r="Y31" t="n">
        <v>0</v>
      </c>
    </row>
    <row r="32">
      <c r="A32" t="n">
        <v>8590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140.66</v>
      </c>
      <c r="H32" t="n">
        <v>134.18</v>
      </c>
      <c r="I32" t="n">
        <v>89.76000000000001</v>
      </c>
      <c r="J32" t="n">
        <v>109.97</v>
      </c>
      <c r="K32" t="n">
        <v>103.97</v>
      </c>
      <c r="L32" t="n">
        <v>101.4</v>
      </c>
      <c r="M32" t="n">
        <v>119.43</v>
      </c>
      <c r="N32" t="n">
        <v>157.59</v>
      </c>
      <c r="O32" t="n">
        <v>113.58</v>
      </c>
      <c r="P32" t="n">
        <v>111.7</v>
      </c>
      <c r="Q32" t="n">
        <v>107.47</v>
      </c>
      <c r="R32" t="n">
        <v>104.65</v>
      </c>
      <c r="S32" t="n">
        <v>129.96</v>
      </c>
      <c r="T32" t="n">
        <v>127.07</v>
      </c>
      <c r="U32" t="n">
        <v>121.45</v>
      </c>
      <c r="V32" t="n">
        <v>103.58</v>
      </c>
      <c r="W32" t="n">
        <v>78.2</v>
      </c>
      <c r="X32" t="n">
        <v>0</v>
      </c>
      <c r="Y32" t="n">
        <v>0</v>
      </c>
    </row>
    <row r="33">
      <c r="A33" t="n">
        <v>8593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250.33</v>
      </c>
      <c r="H33" t="n">
        <v>300.47</v>
      </c>
      <c r="I33" t="n">
        <v>153.37</v>
      </c>
      <c r="J33" t="n">
        <v>98.05</v>
      </c>
      <c r="K33" t="n">
        <v>46.76</v>
      </c>
      <c r="L33" t="n">
        <v>46.95</v>
      </c>
      <c r="M33" t="n">
        <v>66.98999999999999</v>
      </c>
      <c r="N33" t="n">
        <v>80.47</v>
      </c>
      <c r="O33" t="n">
        <v>46.95</v>
      </c>
      <c r="P33" t="n">
        <v>46.95</v>
      </c>
      <c r="Q33" t="n">
        <v>47.59</v>
      </c>
      <c r="R33" t="n">
        <v>50.27</v>
      </c>
      <c r="S33" t="n">
        <v>81.56</v>
      </c>
      <c r="T33" t="n">
        <v>86.93000000000001</v>
      </c>
      <c r="U33" t="n">
        <v>118.72</v>
      </c>
      <c r="V33" t="n">
        <v>137.71</v>
      </c>
      <c r="W33" t="n">
        <v>70.26000000000001</v>
      </c>
      <c r="X33" t="n">
        <v>0</v>
      </c>
      <c r="Y33" t="n">
        <v>0</v>
      </c>
    </row>
    <row r="34">
      <c r="A34" t="n">
        <v>8594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151.14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95.38</v>
      </c>
      <c r="O34" t="n">
        <v>123.9</v>
      </c>
      <c r="P34" t="n">
        <v>69.87</v>
      </c>
      <c r="Q34" t="n">
        <v>49.33</v>
      </c>
      <c r="R34" t="n">
        <v>0</v>
      </c>
      <c r="S34" t="n">
        <v>42.49</v>
      </c>
      <c r="T34" t="n">
        <v>111.24</v>
      </c>
      <c r="U34" t="n">
        <v>93.63</v>
      </c>
      <c r="V34" t="n">
        <v>97.90000000000001</v>
      </c>
      <c r="W34" t="n">
        <v>42.2</v>
      </c>
      <c r="X34" t="n">
        <v>0</v>
      </c>
      <c r="Y34" t="n">
        <v>0</v>
      </c>
    </row>
    <row r="35">
      <c r="A35" t="n">
        <v>8597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183.99</v>
      </c>
      <c r="H35" t="n">
        <v>208.66</v>
      </c>
      <c r="I35" t="n">
        <v>164.96</v>
      </c>
      <c r="J35" t="n">
        <v>184.6</v>
      </c>
      <c r="K35" t="n">
        <v>105.48</v>
      </c>
      <c r="L35" t="n">
        <v>99.48</v>
      </c>
      <c r="M35" t="n">
        <v>125.01</v>
      </c>
      <c r="N35" t="n">
        <v>160.11</v>
      </c>
      <c r="O35" t="n">
        <v>158.62</v>
      </c>
      <c r="P35" t="n">
        <v>121.02</v>
      </c>
      <c r="Q35" t="n">
        <v>144.5</v>
      </c>
      <c r="R35" t="n">
        <v>171.88</v>
      </c>
      <c r="S35" t="n">
        <v>180.64</v>
      </c>
      <c r="T35" t="n">
        <v>279.86</v>
      </c>
      <c r="U35" t="n">
        <v>154.99</v>
      </c>
      <c r="V35" t="n">
        <v>162.32</v>
      </c>
      <c r="W35" t="n">
        <v>116.13</v>
      </c>
      <c r="X35" t="n">
        <v>0</v>
      </c>
      <c r="Y35" t="n">
        <v>0</v>
      </c>
    </row>
    <row r="36">
      <c r="A36" t="n">
        <v>8599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34.93</v>
      </c>
      <c r="H36" t="n">
        <v>40.56</v>
      </c>
      <c r="I36" t="n">
        <v>28.45</v>
      </c>
      <c r="J36" t="n">
        <v>32.65</v>
      </c>
      <c r="K36" t="n">
        <v>28.32</v>
      </c>
      <c r="L36" t="n">
        <v>24.49</v>
      </c>
      <c r="M36" t="n">
        <v>38.8</v>
      </c>
      <c r="N36" t="n">
        <v>35.69</v>
      </c>
      <c r="O36" t="n">
        <v>36.82</v>
      </c>
      <c r="P36" t="n">
        <v>32.56</v>
      </c>
      <c r="Q36" t="n">
        <v>39.99</v>
      </c>
      <c r="R36" t="n">
        <v>36.5</v>
      </c>
      <c r="S36" t="n">
        <v>41.24</v>
      </c>
      <c r="T36" t="n">
        <v>45.72</v>
      </c>
      <c r="U36" t="n">
        <v>29.07</v>
      </c>
      <c r="V36" t="n">
        <v>32.75</v>
      </c>
      <c r="W36" t="n">
        <v>28.68</v>
      </c>
      <c r="X36" t="n">
        <v>0</v>
      </c>
      <c r="Y36" t="n">
        <v>0</v>
      </c>
    </row>
    <row r="37">
      <c r="A37" t="n">
        <v>8600</v>
      </c>
      <c r="B37" t="n">
        <v>0</v>
      </c>
      <c r="C37" t="n">
        <v>0</v>
      </c>
      <c r="D37" t="n">
        <v>0</v>
      </c>
      <c r="E37" t="n">
        <v>177.12</v>
      </c>
      <c r="F37" t="n">
        <v>204.62</v>
      </c>
      <c r="G37" t="n">
        <v>217.29</v>
      </c>
      <c r="H37" t="n">
        <v>120.17</v>
      </c>
      <c r="I37" t="n">
        <v>215.39</v>
      </c>
      <c r="J37" t="n">
        <v>192.67</v>
      </c>
      <c r="K37" t="n">
        <v>186.75</v>
      </c>
      <c r="L37" t="n">
        <v>256.6</v>
      </c>
      <c r="M37" t="n">
        <v>320.88</v>
      </c>
      <c r="N37" t="n">
        <v>513.52</v>
      </c>
      <c r="O37" t="n">
        <v>434.38</v>
      </c>
      <c r="P37" t="n">
        <v>379.45</v>
      </c>
      <c r="Q37" t="n">
        <v>311.35</v>
      </c>
      <c r="R37" t="n">
        <v>170.8</v>
      </c>
      <c r="S37" t="n">
        <v>165</v>
      </c>
      <c r="T37" t="n">
        <v>160.49</v>
      </c>
      <c r="U37" t="n">
        <v>211.41</v>
      </c>
      <c r="V37" t="n">
        <v>194.07</v>
      </c>
      <c r="W37" t="n">
        <v>204.35</v>
      </c>
      <c r="X37" t="n">
        <v>0</v>
      </c>
      <c r="Y37" t="n">
        <v>0</v>
      </c>
    </row>
    <row r="38">
      <c r="A38" t="n">
        <v>8601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48.8</v>
      </c>
      <c r="H38" t="n">
        <v>87.84</v>
      </c>
      <c r="I38" t="n">
        <v>47.65</v>
      </c>
      <c r="J38" t="n">
        <v>56.89</v>
      </c>
      <c r="K38" t="n">
        <v>54.07</v>
      </c>
      <c r="L38" t="n">
        <v>53.92</v>
      </c>
      <c r="M38" t="n">
        <v>76.54000000000001</v>
      </c>
      <c r="N38" t="n">
        <v>42.09</v>
      </c>
      <c r="O38" t="n">
        <v>39.38</v>
      </c>
      <c r="P38" t="n">
        <v>74.06</v>
      </c>
      <c r="Q38" t="n">
        <v>82.16</v>
      </c>
      <c r="R38" t="n">
        <v>50.76</v>
      </c>
      <c r="S38" t="n">
        <v>68.31999999999999</v>
      </c>
      <c r="T38" t="n">
        <v>74.95</v>
      </c>
      <c r="U38" t="n">
        <v>74.28</v>
      </c>
      <c r="V38" t="n">
        <v>67.62</v>
      </c>
      <c r="W38" t="n">
        <v>68.56</v>
      </c>
      <c r="X38" t="n">
        <v>0</v>
      </c>
      <c r="Y38" t="n">
        <v>0</v>
      </c>
    </row>
    <row r="39">
      <c r="A39" t="n">
        <v>8604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101.08</v>
      </c>
      <c r="H39" t="n">
        <v>100.46</v>
      </c>
      <c r="I39" t="n">
        <v>67.75</v>
      </c>
      <c r="J39" t="n">
        <v>70.88</v>
      </c>
      <c r="K39" t="n">
        <v>33.21</v>
      </c>
      <c r="L39" t="n">
        <v>46.03</v>
      </c>
      <c r="M39" t="n">
        <v>63.22</v>
      </c>
      <c r="N39" t="n">
        <v>43.54</v>
      </c>
      <c r="O39" t="n">
        <v>97.03</v>
      </c>
      <c r="P39" t="n">
        <v>53.97</v>
      </c>
      <c r="Q39" t="n">
        <v>70.02</v>
      </c>
      <c r="R39" t="n">
        <v>65.2</v>
      </c>
      <c r="S39" t="n">
        <v>75.98999999999999</v>
      </c>
      <c r="T39" t="n">
        <v>74.93000000000001</v>
      </c>
      <c r="U39" t="n">
        <v>73.78</v>
      </c>
      <c r="V39" t="n">
        <v>153.96</v>
      </c>
      <c r="W39" t="n">
        <v>66.73</v>
      </c>
      <c r="X39" t="n">
        <v>0</v>
      </c>
      <c r="Y39" t="n">
        <v>0</v>
      </c>
    </row>
    <row r="40">
      <c r="A40" t="n">
        <v>8605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89.75</v>
      </c>
      <c r="H40" t="n">
        <v>108.92</v>
      </c>
      <c r="I40" t="n">
        <v>73.59</v>
      </c>
      <c r="J40" t="n">
        <v>77.8</v>
      </c>
      <c r="K40" t="n">
        <v>61.24</v>
      </c>
      <c r="L40" t="n">
        <v>63.51</v>
      </c>
      <c r="M40" t="n">
        <v>96.98</v>
      </c>
      <c r="N40" t="n">
        <v>81.79000000000001</v>
      </c>
      <c r="O40" t="n">
        <v>88.77</v>
      </c>
      <c r="P40" t="n">
        <v>74.94</v>
      </c>
      <c r="Q40" t="n">
        <v>73.06</v>
      </c>
      <c r="R40" t="n">
        <v>77.56</v>
      </c>
      <c r="S40" t="n">
        <v>93.16</v>
      </c>
      <c r="T40" t="n">
        <v>91.18000000000001</v>
      </c>
      <c r="U40" t="n">
        <v>67.79000000000001</v>
      </c>
      <c r="V40" t="n">
        <v>75.66</v>
      </c>
      <c r="W40" t="n">
        <v>57.57</v>
      </c>
      <c r="X40" t="n">
        <v>0</v>
      </c>
      <c r="Y40" t="n">
        <v>0</v>
      </c>
    </row>
    <row r="41">
      <c r="A41" t="n">
        <v>8606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90.02</v>
      </c>
      <c r="H41" t="n">
        <v>133.35</v>
      </c>
      <c r="I41" t="n">
        <v>87.14</v>
      </c>
      <c r="J41" t="n">
        <v>80.25</v>
      </c>
      <c r="K41" t="n">
        <v>53.25</v>
      </c>
      <c r="L41" t="n">
        <v>42.98</v>
      </c>
      <c r="M41" t="n">
        <v>51.71</v>
      </c>
      <c r="N41" t="n">
        <v>75.05</v>
      </c>
      <c r="O41" t="n">
        <v>105.46</v>
      </c>
      <c r="P41" t="n">
        <v>67.14</v>
      </c>
      <c r="Q41" t="n">
        <v>65.41</v>
      </c>
      <c r="R41" t="n">
        <v>70.95</v>
      </c>
      <c r="S41" t="n">
        <v>61.44</v>
      </c>
      <c r="T41" t="n">
        <v>55.79</v>
      </c>
      <c r="U41" t="n">
        <v>58.96</v>
      </c>
      <c r="V41" t="n">
        <v>59.58</v>
      </c>
      <c r="W41" t="n">
        <v>31.76</v>
      </c>
      <c r="X41" t="n">
        <v>0</v>
      </c>
      <c r="Y41" t="n">
        <v>0</v>
      </c>
    </row>
    <row r="42">
      <c r="A42" t="n">
        <v>8607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206.38</v>
      </c>
      <c r="H42" t="n">
        <v>195.81</v>
      </c>
      <c r="I42" t="n">
        <v>143.12</v>
      </c>
      <c r="J42" t="n">
        <v>105.5</v>
      </c>
      <c r="K42" t="n">
        <v>61.13</v>
      </c>
      <c r="L42" t="n">
        <v>55.64</v>
      </c>
      <c r="M42" t="n">
        <v>2296.4</v>
      </c>
      <c r="N42" t="n">
        <v>68.33</v>
      </c>
      <c r="O42" t="n">
        <v>73.64</v>
      </c>
      <c r="P42" t="n">
        <v>67.28</v>
      </c>
      <c r="Q42" t="n">
        <v>71.22</v>
      </c>
      <c r="R42" t="n">
        <v>115.97</v>
      </c>
      <c r="S42" t="n">
        <v>141.81</v>
      </c>
      <c r="T42" t="n">
        <v>189.29</v>
      </c>
      <c r="U42" t="n">
        <v>147.98</v>
      </c>
      <c r="V42" t="n">
        <v>177.84</v>
      </c>
      <c r="W42" t="n">
        <v>107.11</v>
      </c>
      <c r="X42" t="n">
        <v>0</v>
      </c>
      <c r="Y42" t="n">
        <v>0</v>
      </c>
    </row>
    <row r="43">
      <c r="A43" t="n">
        <v>8611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40.13</v>
      </c>
      <c r="H43" t="n">
        <v>113.72</v>
      </c>
      <c r="I43" t="n">
        <v>75.18000000000001</v>
      </c>
      <c r="J43" t="n">
        <v>54.02</v>
      </c>
      <c r="K43" t="n">
        <v>53.3</v>
      </c>
      <c r="L43" t="n">
        <v>53.49</v>
      </c>
      <c r="M43" t="n">
        <v>66.13</v>
      </c>
      <c r="N43" t="n">
        <v>53.49</v>
      </c>
      <c r="O43" t="n">
        <v>53.49</v>
      </c>
      <c r="P43" t="n">
        <v>53.49</v>
      </c>
      <c r="Q43" t="n">
        <v>59.64</v>
      </c>
      <c r="R43" t="n">
        <v>53.49</v>
      </c>
      <c r="S43" t="n">
        <v>53.49</v>
      </c>
      <c r="T43" t="n">
        <v>53.49</v>
      </c>
      <c r="U43" t="n">
        <v>84.44</v>
      </c>
      <c r="V43" t="n">
        <v>86.3</v>
      </c>
      <c r="W43" t="n">
        <v>53.49</v>
      </c>
      <c r="X43" t="n">
        <v>0</v>
      </c>
      <c r="Y43" t="n">
        <v>0</v>
      </c>
    </row>
    <row r="44">
      <c r="A44" t="n">
        <v>8612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347.11</v>
      </c>
      <c r="H44" t="n">
        <v>371.75</v>
      </c>
      <c r="I44" t="n">
        <v>300.62</v>
      </c>
      <c r="J44" t="n">
        <v>294.73</v>
      </c>
      <c r="K44" t="n">
        <v>169.66</v>
      </c>
      <c r="L44" t="n">
        <v>79.89</v>
      </c>
      <c r="M44" t="n">
        <v>63.9</v>
      </c>
      <c r="N44" t="n">
        <v>53.49</v>
      </c>
      <c r="O44" t="n">
        <v>83.14</v>
      </c>
      <c r="P44" t="n">
        <v>68.13</v>
      </c>
      <c r="Q44" t="n">
        <v>65.56</v>
      </c>
      <c r="R44" t="n">
        <v>165.45</v>
      </c>
      <c r="S44" t="n">
        <v>344.09</v>
      </c>
      <c r="T44" t="n">
        <v>343.37</v>
      </c>
      <c r="U44" t="n">
        <v>215.59</v>
      </c>
      <c r="V44" t="n">
        <v>339.06</v>
      </c>
      <c r="W44" t="n">
        <v>133.97</v>
      </c>
      <c r="X44" t="n">
        <v>0</v>
      </c>
      <c r="Y44" t="n">
        <v>0</v>
      </c>
    </row>
    <row r="45">
      <c r="A45" t="n">
        <v>8613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118.49</v>
      </c>
      <c r="H45" t="n">
        <v>154.22</v>
      </c>
      <c r="I45" t="n">
        <v>87.47</v>
      </c>
      <c r="J45" t="n">
        <v>83.48999999999999</v>
      </c>
      <c r="K45" t="n">
        <v>78.65000000000001</v>
      </c>
      <c r="L45" t="n">
        <v>78.84</v>
      </c>
      <c r="M45" t="n">
        <v>121.87</v>
      </c>
      <c r="N45" t="n">
        <v>124.02</v>
      </c>
      <c r="O45" t="n">
        <v>93.77</v>
      </c>
      <c r="P45" t="n">
        <v>93.31</v>
      </c>
      <c r="Q45" t="n">
        <v>94.56</v>
      </c>
      <c r="R45" t="n">
        <v>93.5</v>
      </c>
      <c r="S45" t="n">
        <v>165.13</v>
      </c>
      <c r="T45" t="n">
        <v>175.03</v>
      </c>
      <c r="U45" t="n">
        <v>121.96</v>
      </c>
      <c r="V45" t="n">
        <v>78.84</v>
      </c>
      <c r="W45" t="n">
        <v>78.84</v>
      </c>
      <c r="X45" t="n">
        <v>0</v>
      </c>
      <c r="Y45" t="n">
        <v>0</v>
      </c>
    </row>
    <row r="46">
      <c r="A46" t="n">
        <v>8614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39.85</v>
      </c>
      <c r="H46" t="n">
        <v>51.78</v>
      </c>
      <c r="I46" t="n">
        <v>37.33</v>
      </c>
      <c r="J46" t="n">
        <v>41.41</v>
      </c>
      <c r="K46" t="n">
        <v>97.03</v>
      </c>
      <c r="L46" t="n">
        <v>0</v>
      </c>
      <c r="M46" t="n">
        <v>0</v>
      </c>
      <c r="N46" t="n">
        <v>42.75</v>
      </c>
      <c r="O46" t="n">
        <v>31.97</v>
      </c>
      <c r="P46" t="n">
        <v>0</v>
      </c>
      <c r="Q46" t="n">
        <v>52.56</v>
      </c>
      <c r="R46" t="n">
        <v>44.32</v>
      </c>
      <c r="S46" t="n">
        <v>39.84</v>
      </c>
      <c r="T46" t="n">
        <v>45.55</v>
      </c>
      <c r="U46" t="n">
        <v>44.05</v>
      </c>
      <c r="V46" t="n">
        <v>37.65</v>
      </c>
      <c r="W46" t="n">
        <v>36.42</v>
      </c>
      <c r="X46" t="n">
        <v>0</v>
      </c>
      <c r="Y46" t="n">
        <v>0</v>
      </c>
    </row>
    <row r="47">
      <c r="A47" t="n">
        <v>8617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24.44</v>
      </c>
      <c r="H47" t="n">
        <v>103.27</v>
      </c>
      <c r="I47" t="n">
        <v>38.12</v>
      </c>
      <c r="J47" t="n">
        <v>30.84</v>
      </c>
      <c r="K47" t="n">
        <v>62.64</v>
      </c>
      <c r="L47" t="n">
        <v>48.65</v>
      </c>
      <c r="M47" t="n">
        <v>38.22</v>
      </c>
      <c r="N47" t="n">
        <v>30.61</v>
      </c>
      <c r="O47" t="n">
        <v>30.61</v>
      </c>
      <c r="P47" t="n">
        <v>30.61</v>
      </c>
      <c r="Q47" t="n">
        <v>30.61</v>
      </c>
      <c r="R47" t="n">
        <v>46.48</v>
      </c>
      <c r="S47" t="n">
        <v>34.29</v>
      </c>
      <c r="T47" t="n">
        <v>31.16</v>
      </c>
      <c r="U47" t="n">
        <v>30.6</v>
      </c>
      <c r="V47" t="n">
        <v>30.61</v>
      </c>
      <c r="W47" t="n">
        <v>30.61</v>
      </c>
      <c r="X47" t="n">
        <v>0</v>
      </c>
      <c r="Y47" t="n">
        <v>0</v>
      </c>
    </row>
    <row r="48">
      <c r="A48" t="n">
        <v>8618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142.7</v>
      </c>
      <c r="H48" t="n">
        <v>158.03</v>
      </c>
      <c r="I48" t="n">
        <v>104.93</v>
      </c>
      <c r="J48" t="n">
        <v>109.06</v>
      </c>
      <c r="K48" t="n">
        <v>62.3</v>
      </c>
      <c r="L48" t="n">
        <v>62.29</v>
      </c>
      <c r="M48" t="n">
        <v>157.8</v>
      </c>
      <c r="N48" t="n">
        <v>198.54</v>
      </c>
      <c r="O48" t="n">
        <v>134.89</v>
      </c>
      <c r="P48" t="n">
        <v>110.65</v>
      </c>
      <c r="Q48" t="n">
        <v>105.97</v>
      </c>
      <c r="R48" t="n">
        <v>117.91</v>
      </c>
      <c r="S48" t="n">
        <v>123.7</v>
      </c>
      <c r="T48" t="n">
        <v>98.87</v>
      </c>
      <c r="U48" t="n">
        <v>105.2</v>
      </c>
      <c r="V48" t="n">
        <v>90.93000000000001</v>
      </c>
      <c r="W48" t="n">
        <v>57.95</v>
      </c>
      <c r="X48" t="n">
        <v>0</v>
      </c>
      <c r="Y48" t="n">
        <v>0</v>
      </c>
    </row>
    <row r="49">
      <c r="A49" t="n">
        <v>8620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36.64</v>
      </c>
      <c r="H49" t="n">
        <v>50.58</v>
      </c>
      <c r="I49" t="n">
        <v>40.66</v>
      </c>
      <c r="J49" t="n">
        <v>36.23</v>
      </c>
      <c r="K49" t="n">
        <v>56.58</v>
      </c>
      <c r="L49" t="n">
        <v>36.42</v>
      </c>
      <c r="M49" t="n">
        <v>73.55</v>
      </c>
      <c r="N49" t="n">
        <v>129.06</v>
      </c>
      <c r="O49" t="n">
        <v>123.92</v>
      </c>
      <c r="P49" t="n">
        <v>91.34999999999999</v>
      </c>
      <c r="Q49" t="n">
        <v>61.86</v>
      </c>
      <c r="R49" t="n">
        <v>36.42</v>
      </c>
      <c r="S49" t="n">
        <v>36.42</v>
      </c>
      <c r="T49" t="n">
        <v>36.42</v>
      </c>
      <c r="U49" t="n">
        <v>36.41</v>
      </c>
      <c r="V49" t="n">
        <v>36.42</v>
      </c>
      <c r="W49" t="n">
        <v>36.42</v>
      </c>
      <c r="X49" t="n">
        <v>0</v>
      </c>
      <c r="Y49" t="n">
        <v>0</v>
      </c>
    </row>
    <row r="50">
      <c r="A50" t="n">
        <v>8621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4.17</v>
      </c>
      <c r="H50" t="n">
        <v>38.81</v>
      </c>
      <c r="I50" t="n">
        <v>29.88</v>
      </c>
      <c r="J50" t="n">
        <v>29.89</v>
      </c>
      <c r="K50" t="n">
        <v>29.89</v>
      </c>
      <c r="L50" t="n">
        <v>30.08</v>
      </c>
      <c r="M50" t="n">
        <v>30.08</v>
      </c>
      <c r="N50" t="n">
        <v>30.08</v>
      </c>
      <c r="O50" t="n">
        <v>41.58</v>
      </c>
      <c r="P50" t="n">
        <v>32.89</v>
      </c>
      <c r="Q50" t="n">
        <v>35.43</v>
      </c>
      <c r="R50" t="n">
        <v>30.08</v>
      </c>
      <c r="S50" t="n">
        <v>59.76</v>
      </c>
      <c r="T50" t="n">
        <v>45.3</v>
      </c>
      <c r="U50" t="n">
        <v>30.07</v>
      </c>
      <c r="V50" t="n">
        <v>30.27</v>
      </c>
      <c r="W50" t="n">
        <v>30.08</v>
      </c>
      <c r="X50" t="n">
        <v>0</v>
      </c>
      <c r="Y50" t="n">
        <v>0</v>
      </c>
    </row>
    <row r="51">
      <c r="A51" t="n">
        <v>8622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187.37</v>
      </c>
      <c r="H51" t="n">
        <v>356.58</v>
      </c>
      <c r="I51" t="n">
        <v>235.43</v>
      </c>
      <c r="J51" t="n">
        <v>209.2</v>
      </c>
      <c r="K51" t="n">
        <v>182.14</v>
      </c>
      <c r="L51" t="n">
        <v>207.52</v>
      </c>
      <c r="M51" t="n">
        <v>386.58</v>
      </c>
      <c r="N51" t="n">
        <v>538.58</v>
      </c>
      <c r="O51" t="n">
        <v>419.91</v>
      </c>
      <c r="P51" t="n">
        <v>343.48</v>
      </c>
      <c r="Q51" t="n">
        <v>342.43</v>
      </c>
      <c r="R51" t="n">
        <v>233.64</v>
      </c>
      <c r="S51" t="n">
        <v>286.64</v>
      </c>
      <c r="T51" t="n">
        <v>392.56</v>
      </c>
      <c r="U51" t="n">
        <v>325.89</v>
      </c>
      <c r="V51" t="n">
        <v>280.12</v>
      </c>
      <c r="W51" t="n">
        <v>251.73</v>
      </c>
      <c r="X51" t="n">
        <v>0</v>
      </c>
      <c r="Y51" t="n">
        <v>0</v>
      </c>
    </row>
    <row r="52">
      <c r="A52" t="n">
        <v>8623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197.21</v>
      </c>
      <c r="H52" t="n">
        <v>107.96</v>
      </c>
      <c r="I52" t="n">
        <v>57.75</v>
      </c>
      <c r="J52" t="n">
        <v>57.76</v>
      </c>
      <c r="K52" t="n">
        <v>156.48</v>
      </c>
      <c r="L52" t="n">
        <v>109.34</v>
      </c>
      <c r="M52" t="n">
        <v>81.95999999999999</v>
      </c>
      <c r="N52" t="n">
        <v>104.55</v>
      </c>
      <c r="O52" t="n">
        <v>64.70999999999999</v>
      </c>
      <c r="P52" t="n">
        <v>144.05</v>
      </c>
      <c r="Q52" t="n">
        <v>114.68</v>
      </c>
      <c r="R52" t="n">
        <v>57.95</v>
      </c>
      <c r="S52" t="n">
        <v>155.67</v>
      </c>
      <c r="T52" t="n">
        <v>95.69</v>
      </c>
      <c r="U52" t="n">
        <v>73.01000000000001</v>
      </c>
      <c r="V52" t="n">
        <v>131.64</v>
      </c>
      <c r="W52" t="n">
        <v>214.16</v>
      </c>
      <c r="X52" t="n">
        <v>0</v>
      </c>
      <c r="Y52" t="n">
        <v>0</v>
      </c>
    </row>
    <row r="53">
      <c r="A53" t="n">
        <v>8624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180.47</v>
      </c>
      <c r="H53" t="n">
        <v>158.91</v>
      </c>
      <c r="I53" t="n">
        <v>141.13</v>
      </c>
      <c r="J53" t="n">
        <v>152.98</v>
      </c>
      <c r="K53" t="n">
        <v>157.74</v>
      </c>
      <c r="L53" t="n">
        <v>113.65</v>
      </c>
      <c r="M53" t="n">
        <v>193.9</v>
      </c>
      <c r="N53" t="n">
        <v>208.65</v>
      </c>
      <c r="O53" t="n">
        <v>154.35</v>
      </c>
      <c r="P53" t="n">
        <v>155.61</v>
      </c>
      <c r="Q53" t="n">
        <v>97.8</v>
      </c>
      <c r="R53" t="n">
        <v>151.27</v>
      </c>
      <c r="S53" t="n">
        <v>251.03</v>
      </c>
      <c r="T53" t="n">
        <v>157.49</v>
      </c>
      <c r="U53" t="n">
        <v>190.46</v>
      </c>
      <c r="V53" t="n">
        <v>136.69</v>
      </c>
      <c r="W53" t="n">
        <v>63.08</v>
      </c>
      <c r="X53" t="n">
        <v>0</v>
      </c>
      <c r="Y53" t="n">
        <v>0</v>
      </c>
    </row>
    <row r="54">
      <c r="A54" t="n">
        <v>8625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69.31999999999999</v>
      </c>
      <c r="H54" t="n">
        <v>68.18000000000001</v>
      </c>
      <c r="I54" t="n">
        <v>67.91</v>
      </c>
      <c r="J54" t="n">
        <v>65.5</v>
      </c>
      <c r="K54" t="n">
        <v>63</v>
      </c>
      <c r="L54" t="n">
        <v>66.73999999999999</v>
      </c>
      <c r="M54" t="n">
        <v>76.22</v>
      </c>
      <c r="N54" t="n">
        <v>103.09</v>
      </c>
      <c r="O54" t="n">
        <v>113.81</v>
      </c>
      <c r="P54" t="n">
        <v>63.43</v>
      </c>
      <c r="Q54" t="n">
        <v>65.43000000000001</v>
      </c>
      <c r="R54" t="n">
        <v>70.01000000000001</v>
      </c>
      <c r="S54" t="n">
        <v>68.52</v>
      </c>
      <c r="T54" t="n">
        <v>70.37</v>
      </c>
      <c r="U54" t="n">
        <v>71.34</v>
      </c>
      <c r="V54" t="n">
        <v>69.79000000000001</v>
      </c>
      <c r="W54" t="n">
        <v>67.31</v>
      </c>
      <c r="X54" t="n">
        <v>0</v>
      </c>
      <c r="Y54" t="n">
        <v>0</v>
      </c>
    </row>
    <row r="55">
      <c r="A55" t="n">
        <v>8626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47.83</v>
      </c>
      <c r="H55" t="n">
        <v>50.78</v>
      </c>
      <c r="I55" t="n">
        <v>50.77</v>
      </c>
      <c r="J55" t="n">
        <v>50.78</v>
      </c>
      <c r="K55" t="n">
        <v>50.78</v>
      </c>
      <c r="L55" t="n">
        <v>50.97</v>
      </c>
      <c r="M55" t="n">
        <v>65.40000000000001</v>
      </c>
      <c r="N55" t="n">
        <v>50.97</v>
      </c>
      <c r="O55" t="n">
        <v>50.97</v>
      </c>
      <c r="P55" t="n">
        <v>50.97</v>
      </c>
      <c r="Q55" t="n">
        <v>66.67</v>
      </c>
      <c r="R55" t="n">
        <v>64.70999999999999</v>
      </c>
      <c r="S55" t="n">
        <v>50.97</v>
      </c>
      <c r="T55" t="n">
        <v>50.97</v>
      </c>
      <c r="U55" t="n">
        <v>50.96</v>
      </c>
      <c r="V55" t="n">
        <v>50.97</v>
      </c>
      <c r="W55" t="n">
        <v>50.97</v>
      </c>
      <c r="X55" t="n">
        <v>0</v>
      </c>
      <c r="Y55" t="n">
        <v>0</v>
      </c>
    </row>
    <row r="56">
      <c r="A56" t="n">
        <v>8627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30.2</v>
      </c>
      <c r="H56" t="n">
        <v>34.09</v>
      </c>
      <c r="I56" t="n">
        <v>59.75</v>
      </c>
      <c r="J56" t="n">
        <v>34.51</v>
      </c>
      <c r="K56" t="n">
        <v>39.85</v>
      </c>
      <c r="L56" t="n">
        <v>53.43</v>
      </c>
      <c r="M56" t="n">
        <v>116.93</v>
      </c>
      <c r="N56" t="n">
        <v>93.33</v>
      </c>
      <c r="O56" t="n">
        <v>112.19</v>
      </c>
      <c r="P56" t="n">
        <v>101.59</v>
      </c>
      <c r="Q56" t="n">
        <v>86.7</v>
      </c>
      <c r="R56" t="n">
        <v>120.39</v>
      </c>
      <c r="S56" t="n">
        <v>129.97</v>
      </c>
      <c r="T56" t="n">
        <v>202.95</v>
      </c>
      <c r="U56" t="n">
        <v>104.89</v>
      </c>
      <c r="V56" t="n">
        <v>100.84</v>
      </c>
      <c r="W56" t="n">
        <v>34.7</v>
      </c>
      <c r="X56" t="n">
        <v>0</v>
      </c>
      <c r="Y56" t="n">
        <v>0</v>
      </c>
    </row>
    <row r="57">
      <c r="A57" t="n">
        <v>8628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152.3</v>
      </c>
      <c r="H57" t="n">
        <v>155.74</v>
      </c>
      <c r="I57" t="n">
        <v>135.53</v>
      </c>
      <c r="J57" t="n">
        <v>151.45</v>
      </c>
      <c r="K57" t="n">
        <v>121.1</v>
      </c>
      <c r="L57" t="n">
        <v>117.22</v>
      </c>
      <c r="M57" t="n">
        <v>135.4</v>
      </c>
      <c r="N57" t="n">
        <v>157.11</v>
      </c>
      <c r="O57" t="n">
        <v>145.6</v>
      </c>
      <c r="P57" t="n">
        <v>133.59</v>
      </c>
      <c r="Q57" t="n">
        <v>124.12</v>
      </c>
      <c r="R57" t="n">
        <v>141.72</v>
      </c>
      <c r="S57" t="n">
        <v>181.57</v>
      </c>
      <c r="T57" t="n">
        <v>190.85</v>
      </c>
      <c r="U57" t="n">
        <v>144.71</v>
      </c>
      <c r="V57" t="n">
        <v>140.88</v>
      </c>
      <c r="W57" t="n">
        <v>121.29</v>
      </c>
      <c r="X57" t="n">
        <v>0</v>
      </c>
      <c r="Y57" t="n">
        <v>0</v>
      </c>
    </row>
    <row r="58">
      <c r="A58" t="n">
        <v>8630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192.1</v>
      </c>
      <c r="H58" t="n">
        <v>178.04</v>
      </c>
      <c r="I58" t="n">
        <v>145.32</v>
      </c>
      <c r="J58" t="n">
        <v>133.89</v>
      </c>
      <c r="K58" t="n">
        <v>81.14</v>
      </c>
      <c r="L58" t="n">
        <v>70.79000000000001</v>
      </c>
      <c r="M58" t="n">
        <v>85.31</v>
      </c>
      <c r="N58" t="n">
        <v>127.02</v>
      </c>
      <c r="O58" t="n">
        <v>106.87</v>
      </c>
      <c r="P58" t="n">
        <v>97.92</v>
      </c>
      <c r="Q58" t="n">
        <v>105.82</v>
      </c>
      <c r="R58" t="n">
        <v>139.48</v>
      </c>
      <c r="S58" t="n">
        <v>194.34</v>
      </c>
      <c r="T58" t="n">
        <v>242.11</v>
      </c>
      <c r="U58" t="n">
        <v>171.01</v>
      </c>
      <c r="V58" t="n">
        <v>177.95</v>
      </c>
      <c r="W58" t="n">
        <v>93.5</v>
      </c>
      <c r="X58" t="n">
        <v>0</v>
      </c>
      <c r="Y58" t="n">
        <v>0</v>
      </c>
    </row>
    <row r="59">
      <c r="A59" t="n">
        <v>8631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488.65</v>
      </c>
      <c r="H59" t="n">
        <v>537.73</v>
      </c>
      <c r="I59" t="n">
        <v>494.3</v>
      </c>
      <c r="J59" t="n">
        <v>528.99</v>
      </c>
      <c r="K59" t="n">
        <v>544.83</v>
      </c>
      <c r="L59" t="n">
        <v>537.05</v>
      </c>
      <c r="M59" t="n">
        <v>563.3200000000001</v>
      </c>
      <c r="N59" t="n">
        <v>575.52</v>
      </c>
      <c r="O59" t="n">
        <v>644.98</v>
      </c>
      <c r="P59" t="n">
        <v>529.15</v>
      </c>
      <c r="Q59" t="n">
        <v>488.22</v>
      </c>
      <c r="R59" t="n">
        <v>454.74</v>
      </c>
      <c r="S59" t="n">
        <v>450</v>
      </c>
      <c r="T59" t="n">
        <v>440.38</v>
      </c>
      <c r="U59" t="n">
        <v>457.36</v>
      </c>
      <c r="V59" t="n">
        <v>398.64</v>
      </c>
      <c r="W59" t="n">
        <v>437.08</v>
      </c>
      <c r="X59" t="n">
        <v>0</v>
      </c>
      <c r="Y59" t="n">
        <v>0</v>
      </c>
    </row>
    <row r="60">
      <c r="A60" t="n">
        <v>8632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94.92</v>
      </c>
      <c r="H60" t="n">
        <v>86.01000000000001</v>
      </c>
      <c r="I60" t="n">
        <v>79.34999999999999</v>
      </c>
      <c r="J60" t="n">
        <v>78.97</v>
      </c>
      <c r="K60" t="n">
        <v>65.97</v>
      </c>
      <c r="L60" t="n">
        <v>67.69</v>
      </c>
      <c r="M60" t="n">
        <v>103.82</v>
      </c>
      <c r="N60" t="n">
        <v>132.38</v>
      </c>
      <c r="O60" t="n">
        <v>136.19</v>
      </c>
      <c r="P60" t="n">
        <v>77.81999999999999</v>
      </c>
      <c r="Q60" t="n">
        <v>64.73</v>
      </c>
      <c r="R60" t="n">
        <v>71.67</v>
      </c>
      <c r="S60" t="n">
        <v>82.72</v>
      </c>
      <c r="T60" t="n">
        <v>96.29000000000001</v>
      </c>
      <c r="U60" t="n">
        <v>71.93000000000001</v>
      </c>
      <c r="V60" t="n">
        <v>86.06999999999999</v>
      </c>
      <c r="W60" t="n">
        <v>73.45</v>
      </c>
      <c r="X60" t="n">
        <v>0</v>
      </c>
      <c r="Y60" t="n">
        <v>0</v>
      </c>
    </row>
    <row r="61">
      <c r="A61" t="n">
        <v>8633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153.3</v>
      </c>
      <c r="H61" t="n">
        <v>235.52</v>
      </c>
      <c r="I61" t="n">
        <v>144.81</v>
      </c>
      <c r="J61" t="n">
        <v>170.73</v>
      </c>
      <c r="K61" t="n">
        <v>107.14</v>
      </c>
      <c r="L61" t="n">
        <v>64.89</v>
      </c>
      <c r="M61" t="n">
        <v>74.86</v>
      </c>
      <c r="N61" t="n">
        <v>64.90000000000001</v>
      </c>
      <c r="O61" t="n">
        <v>73.65000000000001</v>
      </c>
      <c r="P61" t="n">
        <v>68.86</v>
      </c>
      <c r="Q61" t="n">
        <v>64.90000000000001</v>
      </c>
      <c r="R61" t="n">
        <v>98.52</v>
      </c>
      <c r="S61" t="n">
        <v>222.19</v>
      </c>
      <c r="T61" t="n">
        <v>204.15</v>
      </c>
      <c r="U61" t="n">
        <v>117.32</v>
      </c>
      <c r="V61" t="n">
        <v>122.82</v>
      </c>
      <c r="W61" t="n">
        <v>64.90000000000001</v>
      </c>
      <c r="X61" t="n">
        <v>0</v>
      </c>
      <c r="Y61" t="n">
        <v>0</v>
      </c>
    </row>
    <row r="62">
      <c r="A62" t="n">
        <v>8634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25.51</v>
      </c>
      <c r="H62" t="n">
        <v>36.23</v>
      </c>
      <c r="I62" t="n">
        <v>36.22</v>
      </c>
      <c r="J62" t="n">
        <v>36.23</v>
      </c>
      <c r="K62" t="n">
        <v>36.23</v>
      </c>
      <c r="L62" t="n">
        <v>36.42</v>
      </c>
      <c r="M62" t="n">
        <v>39.14</v>
      </c>
      <c r="N62" t="n">
        <v>36.42</v>
      </c>
      <c r="O62" t="n">
        <v>69.20999999999999</v>
      </c>
      <c r="P62" t="n">
        <v>36.42</v>
      </c>
      <c r="Q62" t="n">
        <v>36.42</v>
      </c>
      <c r="R62" t="n">
        <v>36.42</v>
      </c>
      <c r="S62" t="n">
        <v>36.42</v>
      </c>
      <c r="T62" t="n">
        <v>36.42</v>
      </c>
      <c r="U62" t="n">
        <v>36.41</v>
      </c>
      <c r="V62" t="n">
        <v>36.42</v>
      </c>
      <c r="W62" t="n">
        <v>36.42</v>
      </c>
      <c r="X62" t="n">
        <v>0</v>
      </c>
      <c r="Y62" t="n">
        <v>0</v>
      </c>
    </row>
    <row r="63">
      <c r="A63" t="n">
        <v>8636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84.84</v>
      </c>
      <c r="H63" t="n">
        <v>87.59999999999999</v>
      </c>
      <c r="I63" t="n">
        <v>102.13</v>
      </c>
      <c r="J63" t="n">
        <v>112.73</v>
      </c>
      <c r="K63" t="n">
        <v>67.23999999999999</v>
      </c>
      <c r="L63" t="n">
        <v>70.09</v>
      </c>
      <c r="M63" t="n">
        <v>176.45</v>
      </c>
      <c r="N63" t="n">
        <v>216.18</v>
      </c>
      <c r="O63" t="n">
        <v>228.49</v>
      </c>
      <c r="P63" t="n">
        <v>167.21</v>
      </c>
      <c r="Q63" t="n">
        <v>89.58</v>
      </c>
      <c r="R63" t="n">
        <v>53.52</v>
      </c>
      <c r="S63" t="n">
        <v>94.91</v>
      </c>
      <c r="T63" t="n">
        <v>68.69</v>
      </c>
      <c r="U63" t="n">
        <v>52.1</v>
      </c>
      <c r="V63" t="n">
        <v>65.48</v>
      </c>
      <c r="W63" t="n">
        <v>54.69</v>
      </c>
      <c r="X63" t="n">
        <v>0</v>
      </c>
      <c r="Y63" t="n">
        <v>0</v>
      </c>
    </row>
    <row r="64">
      <c r="A64" t="n">
        <v>8637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210.17</v>
      </c>
      <c r="H64" t="n">
        <v>158.23</v>
      </c>
      <c r="I64" t="n">
        <v>144.91</v>
      </c>
      <c r="J64" t="n">
        <v>177.92</v>
      </c>
      <c r="K64" t="n">
        <v>203.1</v>
      </c>
      <c r="L64" t="n">
        <v>248.87</v>
      </c>
      <c r="M64" t="n">
        <v>311.28</v>
      </c>
      <c r="N64" t="n">
        <v>316.34</v>
      </c>
      <c r="O64" t="n">
        <v>459.23</v>
      </c>
      <c r="P64" t="n">
        <v>343.62</v>
      </c>
      <c r="Q64" t="n">
        <v>268.93</v>
      </c>
      <c r="R64" t="n">
        <v>208.6</v>
      </c>
      <c r="S64" t="n">
        <v>225.91</v>
      </c>
      <c r="T64" t="n">
        <v>206.38</v>
      </c>
      <c r="U64" t="n">
        <v>249.36</v>
      </c>
      <c r="V64" t="n">
        <v>234.85</v>
      </c>
      <c r="W64" t="n">
        <v>245.83</v>
      </c>
      <c r="X64" t="n">
        <v>0</v>
      </c>
      <c r="Y64" t="n">
        <v>0</v>
      </c>
    </row>
    <row r="65">
      <c r="A65" t="n">
        <v>8639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102.46</v>
      </c>
      <c r="H65" t="n">
        <v>89.20999999999999</v>
      </c>
      <c r="I65" t="n">
        <v>83.15000000000001</v>
      </c>
      <c r="J65" t="n">
        <v>72.06</v>
      </c>
      <c r="K65" t="n">
        <v>80.98999999999999</v>
      </c>
      <c r="L65" t="n">
        <v>82.20999999999999</v>
      </c>
      <c r="M65" t="n">
        <v>98.36</v>
      </c>
      <c r="N65" t="n">
        <v>101.02</v>
      </c>
      <c r="O65" t="n">
        <v>102.55</v>
      </c>
      <c r="P65" t="n">
        <v>85.84</v>
      </c>
      <c r="Q65" t="n">
        <v>73.62</v>
      </c>
      <c r="R65" t="n">
        <v>75.20999999999999</v>
      </c>
      <c r="S65" t="n">
        <v>82.48</v>
      </c>
      <c r="T65" t="n">
        <v>82.8</v>
      </c>
      <c r="U65" t="n">
        <v>76.5</v>
      </c>
      <c r="V65" t="n">
        <v>89.98</v>
      </c>
      <c r="W65" t="n">
        <v>96.87</v>
      </c>
      <c r="X65" t="n">
        <v>0</v>
      </c>
      <c r="Y65" t="n">
        <v>0</v>
      </c>
    </row>
    <row r="66">
      <c r="A66" t="n">
        <v>8640</v>
      </c>
      <c r="B66" t="n">
        <v>0</v>
      </c>
      <c r="C66" t="n">
        <v>0</v>
      </c>
      <c r="D66" t="n">
        <v>0</v>
      </c>
      <c r="E66" t="n">
        <v>0</v>
      </c>
      <c r="F66" t="n">
        <v>449.11</v>
      </c>
      <c r="G66" t="n">
        <v>662.1799999999999</v>
      </c>
      <c r="H66" t="n">
        <v>474.49</v>
      </c>
      <c r="I66" t="n">
        <v>515.45</v>
      </c>
      <c r="J66" t="n">
        <v>71.20999999999999</v>
      </c>
      <c r="K66" t="n">
        <v>492.58</v>
      </c>
      <c r="L66" t="n">
        <v>493.06</v>
      </c>
      <c r="M66" t="n">
        <v>616.1</v>
      </c>
      <c r="N66" t="n">
        <v>1183.11</v>
      </c>
      <c r="O66" t="n">
        <v>1678.46</v>
      </c>
      <c r="P66" t="n">
        <v>0</v>
      </c>
      <c r="Q66" t="n">
        <v>417.31</v>
      </c>
      <c r="R66" t="n">
        <v>248.18</v>
      </c>
      <c r="S66" t="n">
        <v>405.59</v>
      </c>
      <c r="T66" t="n">
        <v>379.31</v>
      </c>
      <c r="U66" t="n">
        <v>351.58</v>
      </c>
      <c r="V66" t="n">
        <v>359.92</v>
      </c>
      <c r="W66" t="n">
        <v>452.06</v>
      </c>
      <c r="X66" t="n">
        <v>0</v>
      </c>
      <c r="Y66" t="n">
        <v>0</v>
      </c>
    </row>
    <row r="67">
      <c r="A67" t="n">
        <v>8642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85.15000000000001</v>
      </c>
      <c r="H67" t="n">
        <v>120.77</v>
      </c>
      <c r="I67" t="n">
        <v>92.2</v>
      </c>
      <c r="J67" t="n">
        <v>68.44</v>
      </c>
      <c r="K67" t="n">
        <v>57.76</v>
      </c>
      <c r="L67" t="n">
        <v>57.95</v>
      </c>
      <c r="M67" t="n">
        <v>84.98</v>
      </c>
      <c r="N67" t="n">
        <v>61.44</v>
      </c>
      <c r="O67" t="n">
        <v>101.42</v>
      </c>
      <c r="P67" t="n">
        <v>70.84</v>
      </c>
      <c r="Q67" t="n">
        <v>84.56999999999999</v>
      </c>
      <c r="R67" t="n">
        <v>67.08</v>
      </c>
      <c r="S67" t="n">
        <v>70.83</v>
      </c>
      <c r="T67" t="n">
        <v>70.11</v>
      </c>
      <c r="U67" t="n">
        <v>132.36</v>
      </c>
      <c r="V67" t="n">
        <v>104.69</v>
      </c>
      <c r="W67" t="n">
        <v>57.95</v>
      </c>
      <c r="X67" t="n">
        <v>0</v>
      </c>
      <c r="Y67" t="n">
        <v>0</v>
      </c>
    </row>
    <row r="68">
      <c r="A68" t="n">
        <v>8645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41.66</v>
      </c>
      <c r="H68" t="n">
        <v>35.05</v>
      </c>
      <c r="I68" t="n">
        <v>34.81</v>
      </c>
      <c r="J68" t="n">
        <v>35.95</v>
      </c>
      <c r="K68" t="n">
        <v>31.75</v>
      </c>
      <c r="L68" t="n">
        <v>29.2</v>
      </c>
      <c r="M68" t="n">
        <v>31.73</v>
      </c>
      <c r="N68" t="n">
        <v>33.85</v>
      </c>
      <c r="O68" t="n">
        <v>33.05</v>
      </c>
      <c r="P68" t="n">
        <v>31.61</v>
      </c>
      <c r="Q68" t="n">
        <v>29.11</v>
      </c>
      <c r="R68" t="n">
        <v>28.47</v>
      </c>
      <c r="S68" t="n">
        <v>31.87</v>
      </c>
      <c r="T68" t="n">
        <v>30.7</v>
      </c>
      <c r="U68" t="n">
        <v>29.69</v>
      </c>
      <c r="V68" t="n">
        <v>30.16</v>
      </c>
      <c r="W68" t="n">
        <v>29.88</v>
      </c>
      <c r="X68" t="n">
        <v>0</v>
      </c>
      <c r="Y68" t="n">
        <v>0</v>
      </c>
    </row>
    <row r="69">
      <c r="A69" t="n">
        <v>8646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358.67</v>
      </c>
      <c r="H69" t="n">
        <v>350.43</v>
      </c>
      <c r="I69" t="n">
        <v>337.5</v>
      </c>
      <c r="J69" t="n">
        <v>277.58</v>
      </c>
      <c r="K69" t="n">
        <v>256.26</v>
      </c>
      <c r="L69" t="n">
        <v>193.71</v>
      </c>
      <c r="M69" t="n">
        <v>181.85</v>
      </c>
      <c r="N69" t="n">
        <v>363.21</v>
      </c>
      <c r="O69" t="n">
        <v>369.07</v>
      </c>
      <c r="P69" t="n">
        <v>254.21</v>
      </c>
      <c r="Q69" t="n">
        <v>189.36</v>
      </c>
      <c r="R69" t="n">
        <v>231.97</v>
      </c>
      <c r="S69" t="n">
        <v>305.24</v>
      </c>
      <c r="T69" t="n">
        <v>452.36</v>
      </c>
      <c r="U69" t="n">
        <v>293.37</v>
      </c>
      <c r="V69" t="n">
        <v>376.52</v>
      </c>
      <c r="W69" t="n">
        <v>246.41</v>
      </c>
      <c r="X69" t="n">
        <v>0</v>
      </c>
      <c r="Y69" t="n">
        <v>0</v>
      </c>
    </row>
    <row r="70">
      <c r="A70" t="n">
        <v>8647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118.32</v>
      </c>
      <c r="H70" t="n">
        <v>113.69</v>
      </c>
      <c r="I70" t="n">
        <v>92.56</v>
      </c>
      <c r="J70" t="n">
        <v>84.84</v>
      </c>
      <c r="K70" t="n">
        <v>76.2</v>
      </c>
      <c r="L70" t="n">
        <v>56.22</v>
      </c>
      <c r="M70" t="n">
        <v>54.26</v>
      </c>
      <c r="N70" t="n">
        <v>61.97</v>
      </c>
      <c r="O70" t="n">
        <v>68.04000000000001</v>
      </c>
      <c r="P70" t="n">
        <v>57.03</v>
      </c>
      <c r="Q70" t="n">
        <v>67.69</v>
      </c>
      <c r="R70" t="n">
        <v>86.22</v>
      </c>
      <c r="S70" t="n">
        <v>126.77</v>
      </c>
      <c r="T70" t="n">
        <v>120.39</v>
      </c>
      <c r="U70" t="n">
        <v>76.79000000000001</v>
      </c>
      <c r="V70" t="n">
        <v>111.2</v>
      </c>
      <c r="W70" t="n">
        <v>66.77</v>
      </c>
      <c r="X70" t="n">
        <v>0</v>
      </c>
      <c r="Y70" t="n">
        <v>0</v>
      </c>
    </row>
    <row r="71">
      <c r="A71" t="n">
        <v>8648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36.63</v>
      </c>
      <c r="H71" t="n">
        <v>65.34</v>
      </c>
      <c r="I71" t="n">
        <v>88.68000000000001</v>
      </c>
      <c r="J71" t="n">
        <v>93.12</v>
      </c>
      <c r="K71" t="n">
        <v>84.43000000000001</v>
      </c>
      <c r="L71" t="n">
        <v>101.18</v>
      </c>
      <c r="M71" t="n">
        <v>101.75</v>
      </c>
      <c r="N71" t="n">
        <v>102.95</v>
      </c>
      <c r="O71" t="n">
        <v>100.4</v>
      </c>
      <c r="P71" t="n">
        <v>97.61</v>
      </c>
      <c r="Q71" t="n">
        <v>97.97</v>
      </c>
      <c r="R71" t="n">
        <v>102.17</v>
      </c>
      <c r="S71" t="n">
        <v>84.78</v>
      </c>
      <c r="T71" t="n">
        <v>86.04000000000001</v>
      </c>
      <c r="U71" t="n">
        <v>90.5</v>
      </c>
      <c r="V71" t="n">
        <v>92.13</v>
      </c>
      <c r="W71" t="n">
        <v>105.09</v>
      </c>
      <c r="X71" t="n">
        <v>0</v>
      </c>
      <c r="Y71" t="n">
        <v>0</v>
      </c>
    </row>
    <row r="72">
      <c r="A72" t="n">
        <v>8650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47.1</v>
      </c>
      <c r="H72" t="n">
        <v>102.36</v>
      </c>
      <c r="I72" t="n">
        <v>78.98</v>
      </c>
      <c r="J72" t="n">
        <v>99.58</v>
      </c>
      <c r="K72" t="n">
        <v>74.5</v>
      </c>
      <c r="L72" t="n">
        <v>68.43000000000001</v>
      </c>
      <c r="M72" t="n">
        <v>74.5</v>
      </c>
      <c r="N72" t="n">
        <v>105.08</v>
      </c>
      <c r="O72" t="n">
        <v>138.22</v>
      </c>
      <c r="P72" t="n">
        <v>106.65</v>
      </c>
      <c r="Q72" t="n">
        <v>83.05</v>
      </c>
      <c r="R72" t="n">
        <v>64.55</v>
      </c>
      <c r="S72" t="n">
        <v>76.48999999999999</v>
      </c>
      <c r="T72" t="n">
        <v>91.62</v>
      </c>
      <c r="U72" t="n">
        <v>58.77</v>
      </c>
      <c r="V72" t="n">
        <v>58.18</v>
      </c>
      <c r="W72" t="n">
        <v>55.48</v>
      </c>
      <c r="X72" t="n">
        <v>0</v>
      </c>
      <c r="Y72" t="n">
        <v>0</v>
      </c>
    </row>
    <row r="73">
      <c r="A73" t="n">
        <v>8651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179.27</v>
      </c>
      <c r="H73" t="n">
        <v>171.75</v>
      </c>
      <c r="I73" t="n">
        <v>160.16</v>
      </c>
      <c r="J73" t="n">
        <v>129.92</v>
      </c>
      <c r="K73" t="n">
        <v>139.63</v>
      </c>
      <c r="L73" t="n">
        <v>145.33</v>
      </c>
      <c r="M73" t="n">
        <v>125.55</v>
      </c>
      <c r="N73" t="n">
        <v>124.24</v>
      </c>
      <c r="O73" t="n">
        <v>120.84</v>
      </c>
      <c r="P73" t="n">
        <v>128.59</v>
      </c>
      <c r="Q73" t="n">
        <v>127.75</v>
      </c>
      <c r="R73" t="n">
        <v>133.81</v>
      </c>
      <c r="S73" t="n">
        <v>141.93</v>
      </c>
      <c r="T73" t="n">
        <v>138.58</v>
      </c>
      <c r="U73" t="n">
        <v>129.93</v>
      </c>
      <c r="V73" t="n">
        <v>125.39</v>
      </c>
      <c r="W73" t="n">
        <v>116.23</v>
      </c>
      <c r="X73" t="n">
        <v>0</v>
      </c>
      <c r="Y73" t="n">
        <v>0</v>
      </c>
    </row>
    <row r="74">
      <c r="A74" t="n">
        <v>8653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60.01</v>
      </c>
      <c r="H74" t="n">
        <v>68.16</v>
      </c>
      <c r="I74" t="n">
        <v>67.64</v>
      </c>
      <c r="J74" t="n">
        <v>73.34999999999999</v>
      </c>
      <c r="K74" t="n">
        <v>53.01</v>
      </c>
      <c r="L74" t="n">
        <v>58.62</v>
      </c>
      <c r="M74" t="n">
        <v>72.58</v>
      </c>
      <c r="N74" t="n">
        <v>79.48999999999999</v>
      </c>
      <c r="O74" t="n">
        <v>70.45</v>
      </c>
      <c r="P74" t="n">
        <v>70.06999999999999</v>
      </c>
      <c r="Q74" t="n">
        <v>52.96</v>
      </c>
      <c r="R74" t="n">
        <v>59.33</v>
      </c>
      <c r="S74" t="n">
        <v>75.91</v>
      </c>
      <c r="T74" t="n">
        <v>71.54000000000001</v>
      </c>
      <c r="U74" t="n">
        <v>63.92</v>
      </c>
      <c r="V74" t="n">
        <v>69.45999999999999</v>
      </c>
      <c r="W74" t="n">
        <v>54.68</v>
      </c>
      <c r="X74" t="n">
        <v>0</v>
      </c>
      <c r="Y74" t="n">
        <v>0</v>
      </c>
    </row>
    <row r="75">
      <c r="A75" t="n">
        <v>8655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24.29</v>
      </c>
      <c r="H75" t="n">
        <v>30.33</v>
      </c>
      <c r="I75" t="n">
        <v>30.41</v>
      </c>
      <c r="J75" t="n">
        <v>30.7</v>
      </c>
      <c r="K75" t="n">
        <v>30.44</v>
      </c>
      <c r="L75" t="n">
        <v>31.33</v>
      </c>
      <c r="M75" t="n">
        <v>30.63</v>
      </c>
      <c r="N75" t="n">
        <v>50.95</v>
      </c>
      <c r="O75" t="n">
        <v>143.88</v>
      </c>
      <c r="P75" t="n">
        <v>75.89</v>
      </c>
      <c r="Q75" t="n">
        <v>97.48</v>
      </c>
      <c r="R75" t="n">
        <v>138.15</v>
      </c>
      <c r="S75" t="n">
        <v>225.91</v>
      </c>
      <c r="T75" t="n">
        <v>280.97</v>
      </c>
      <c r="U75" t="n">
        <v>162.3</v>
      </c>
      <c r="V75" t="n">
        <v>213.17</v>
      </c>
      <c r="W75" t="n">
        <v>130.56</v>
      </c>
      <c r="X75" t="n">
        <v>0</v>
      </c>
      <c r="Y75" t="n">
        <v>0</v>
      </c>
    </row>
    <row r="76">
      <c r="A76" t="n">
        <v>8656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139.72</v>
      </c>
      <c r="H76" t="n">
        <v>238.81</v>
      </c>
      <c r="I76" t="n">
        <v>213.22</v>
      </c>
      <c r="J76" t="n">
        <v>225.12</v>
      </c>
      <c r="K76" t="n">
        <v>105.27</v>
      </c>
      <c r="L76" t="n">
        <v>108.45</v>
      </c>
      <c r="M76" t="n">
        <v>111.84</v>
      </c>
      <c r="N76" t="n">
        <v>118.73</v>
      </c>
      <c r="O76" t="n">
        <v>117.75</v>
      </c>
      <c r="P76" t="n">
        <v>115.82</v>
      </c>
      <c r="Q76" t="n">
        <v>109.08</v>
      </c>
      <c r="R76" t="n">
        <v>115.93</v>
      </c>
      <c r="S76" t="n">
        <v>128.57</v>
      </c>
      <c r="T76" t="n">
        <v>124.52</v>
      </c>
      <c r="U76" t="n">
        <v>115.58</v>
      </c>
      <c r="V76" t="n">
        <v>122.89</v>
      </c>
      <c r="W76" t="n">
        <v>106.18</v>
      </c>
      <c r="X76" t="n">
        <v>0</v>
      </c>
      <c r="Y76" t="n">
        <v>0</v>
      </c>
    </row>
    <row r="77">
      <c r="A77" t="n">
        <v>8657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393.41</v>
      </c>
      <c r="H77" t="n">
        <v>419.51</v>
      </c>
      <c r="I77" t="n">
        <v>389.06</v>
      </c>
      <c r="J77" t="n">
        <v>401.02</v>
      </c>
      <c r="K77" t="n">
        <v>407.94</v>
      </c>
      <c r="L77" t="n">
        <v>493.27</v>
      </c>
      <c r="M77" t="n">
        <v>521.53</v>
      </c>
      <c r="N77" t="n">
        <v>704.76</v>
      </c>
      <c r="O77" t="n">
        <v>749.9299999999999</v>
      </c>
      <c r="P77" t="n">
        <v>566.89</v>
      </c>
      <c r="Q77" t="n">
        <v>529.1</v>
      </c>
      <c r="R77" t="n">
        <v>324.93</v>
      </c>
      <c r="S77" t="n">
        <v>478.51</v>
      </c>
      <c r="T77" t="n">
        <v>445.62</v>
      </c>
      <c r="U77" t="n">
        <v>481.49</v>
      </c>
      <c r="V77" t="n">
        <v>416.01</v>
      </c>
      <c r="W77" t="n">
        <v>494.21</v>
      </c>
      <c r="X77" t="n">
        <v>0</v>
      </c>
      <c r="Y77" t="n">
        <v>0</v>
      </c>
    </row>
    <row r="78">
      <c r="A78" t="n">
        <v>8658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172.66</v>
      </c>
      <c r="H78" t="n">
        <v>140.6</v>
      </c>
      <c r="I78" t="n">
        <v>158.47</v>
      </c>
      <c r="J78" t="n">
        <v>184.51</v>
      </c>
      <c r="K78" t="n">
        <v>194.33</v>
      </c>
      <c r="L78" t="n">
        <v>221.07</v>
      </c>
      <c r="M78" t="n">
        <v>286.14</v>
      </c>
      <c r="N78" t="n">
        <v>327.74</v>
      </c>
      <c r="O78" t="n">
        <v>322.68</v>
      </c>
      <c r="P78" t="n">
        <v>298.59</v>
      </c>
      <c r="Q78" t="n">
        <v>127.27</v>
      </c>
      <c r="R78" t="n">
        <v>86.75</v>
      </c>
      <c r="S78" t="n">
        <v>125.6</v>
      </c>
      <c r="T78" t="n">
        <v>117.49</v>
      </c>
      <c r="U78" t="n">
        <v>107.32</v>
      </c>
      <c r="V78" t="n">
        <v>98.2</v>
      </c>
      <c r="W78" t="n">
        <v>110.02</v>
      </c>
      <c r="X78" t="n">
        <v>0</v>
      </c>
      <c r="Y78" t="n">
        <v>0</v>
      </c>
    </row>
    <row r="79">
      <c r="A79" t="n">
        <v>8659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75.72</v>
      </c>
      <c r="H79" t="n">
        <v>65.52</v>
      </c>
      <c r="I79" t="n">
        <v>59.6</v>
      </c>
      <c r="J79" t="n">
        <v>64.86</v>
      </c>
      <c r="K79" t="n">
        <v>58.86</v>
      </c>
      <c r="L79" t="n">
        <v>62.08</v>
      </c>
      <c r="M79" t="n">
        <v>68.69</v>
      </c>
      <c r="N79" t="n">
        <v>93.19</v>
      </c>
      <c r="O79" t="n">
        <v>44.32</v>
      </c>
      <c r="P79" t="n">
        <v>71.61</v>
      </c>
      <c r="Q79" t="n">
        <v>75.68000000000001</v>
      </c>
      <c r="R79" t="n">
        <v>82.53</v>
      </c>
      <c r="S79" t="n">
        <v>123.37</v>
      </c>
      <c r="T79" t="n">
        <v>111.46</v>
      </c>
      <c r="U79" t="n">
        <v>98.20999999999999</v>
      </c>
      <c r="V79" t="n">
        <v>102.11</v>
      </c>
      <c r="W79" t="n">
        <v>93.47</v>
      </c>
      <c r="X79" t="n">
        <v>0</v>
      </c>
      <c r="Y79" t="n">
        <v>0</v>
      </c>
    </row>
    <row r="80">
      <c r="A80" t="n">
        <v>8660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194.59</v>
      </c>
      <c r="H80" t="n">
        <v>200.53</v>
      </c>
      <c r="I80" t="n">
        <v>189.95</v>
      </c>
      <c r="J80" t="n">
        <v>191.45</v>
      </c>
      <c r="K80" t="n">
        <v>170.59</v>
      </c>
      <c r="L80" t="n">
        <v>187.58</v>
      </c>
      <c r="M80" t="n">
        <v>243.75</v>
      </c>
      <c r="N80" t="n">
        <v>225.29</v>
      </c>
      <c r="O80" t="n">
        <v>265.1</v>
      </c>
      <c r="P80" t="n">
        <v>177.17</v>
      </c>
      <c r="Q80" t="n">
        <v>163.95</v>
      </c>
      <c r="R80" t="n">
        <v>163.55</v>
      </c>
      <c r="S80" t="n">
        <v>169.55</v>
      </c>
      <c r="T80" t="n">
        <v>163.22</v>
      </c>
      <c r="U80" t="n">
        <v>171.38</v>
      </c>
      <c r="V80" t="n">
        <v>159.33</v>
      </c>
      <c r="W80" t="n">
        <v>114.01</v>
      </c>
      <c r="X80" t="n">
        <v>0</v>
      </c>
      <c r="Y80" t="n">
        <v>0</v>
      </c>
    </row>
    <row r="81">
      <c r="A81" t="n">
        <v>8662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133.65</v>
      </c>
      <c r="H81" t="n">
        <v>145.22</v>
      </c>
      <c r="I81" t="n">
        <v>137.24</v>
      </c>
      <c r="J81" t="n">
        <v>134.79</v>
      </c>
      <c r="K81" t="n">
        <v>106.91</v>
      </c>
      <c r="L81" t="n">
        <v>99.98999999999999</v>
      </c>
      <c r="M81" t="n">
        <v>105.79</v>
      </c>
      <c r="N81" t="n">
        <v>111.83</v>
      </c>
      <c r="O81" t="n">
        <v>115.89</v>
      </c>
      <c r="P81" t="n">
        <v>113.78</v>
      </c>
      <c r="Q81" t="n">
        <v>108.16</v>
      </c>
      <c r="R81" t="n">
        <v>116.05</v>
      </c>
      <c r="S81" t="n">
        <v>136.53</v>
      </c>
      <c r="T81" t="n">
        <v>161.18</v>
      </c>
      <c r="U81" t="n">
        <v>142.85</v>
      </c>
      <c r="V81" t="n">
        <v>135.28</v>
      </c>
      <c r="W81" t="n">
        <v>103.79</v>
      </c>
      <c r="X81" t="n">
        <v>0</v>
      </c>
      <c r="Y81" t="n">
        <v>0</v>
      </c>
    </row>
    <row r="82">
      <c r="A82" t="n">
        <v>8663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88.31999999999999</v>
      </c>
      <c r="H82" t="n">
        <v>83.40000000000001</v>
      </c>
      <c r="I82" t="n">
        <v>82.42</v>
      </c>
      <c r="J82" t="n">
        <v>82.92</v>
      </c>
      <c r="K82" t="n">
        <v>82.87</v>
      </c>
      <c r="L82" t="n">
        <v>87.13</v>
      </c>
      <c r="M82" t="n">
        <v>84.8</v>
      </c>
      <c r="N82" t="n">
        <v>86.52</v>
      </c>
      <c r="O82" t="n">
        <v>83.41</v>
      </c>
      <c r="P82" t="n">
        <v>87.34</v>
      </c>
      <c r="Q82" t="n">
        <v>89.19</v>
      </c>
      <c r="R82" t="n">
        <v>86.84999999999999</v>
      </c>
      <c r="S82" t="n">
        <v>82.81</v>
      </c>
      <c r="T82" t="n">
        <v>59.72</v>
      </c>
      <c r="U82" t="n">
        <v>82.23999999999999</v>
      </c>
      <c r="V82" t="n">
        <v>84.62</v>
      </c>
      <c r="W82" t="n">
        <v>83.26000000000001</v>
      </c>
      <c r="X82" t="n">
        <v>0</v>
      </c>
      <c r="Y82" t="n">
        <v>0</v>
      </c>
    </row>
    <row r="83">
      <c r="A83" t="n">
        <v>8665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66.43000000000001</v>
      </c>
      <c r="H83" t="n">
        <v>73.23</v>
      </c>
      <c r="I83" t="n">
        <v>88.95</v>
      </c>
      <c r="J83" t="n">
        <v>92.01000000000001</v>
      </c>
      <c r="K83" t="n">
        <v>89.3</v>
      </c>
      <c r="L83" t="n">
        <v>90.55</v>
      </c>
      <c r="M83" t="n">
        <v>96.06999999999999</v>
      </c>
      <c r="N83" t="n">
        <v>104.36</v>
      </c>
      <c r="O83" t="n">
        <v>101.37</v>
      </c>
      <c r="P83" t="n">
        <v>96.2</v>
      </c>
      <c r="Q83" t="n">
        <v>95.27</v>
      </c>
      <c r="R83" t="n">
        <v>94.89</v>
      </c>
      <c r="S83" t="n">
        <v>95.73</v>
      </c>
      <c r="T83" t="n">
        <v>94.77</v>
      </c>
      <c r="U83" t="n">
        <v>92.26000000000001</v>
      </c>
      <c r="V83" t="n">
        <v>97.02</v>
      </c>
      <c r="W83" t="n">
        <v>94.05</v>
      </c>
      <c r="X83" t="n">
        <v>0</v>
      </c>
      <c r="Y83" t="n">
        <v>0</v>
      </c>
    </row>
    <row r="84">
      <c r="A84" t="n">
        <v>8666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67.16</v>
      </c>
      <c r="H84" t="n">
        <v>58.6</v>
      </c>
      <c r="I84" t="n">
        <v>56.07</v>
      </c>
      <c r="J84" t="n">
        <v>52.58</v>
      </c>
      <c r="K84" t="n">
        <v>50.55</v>
      </c>
      <c r="L84" t="n">
        <v>53.01</v>
      </c>
      <c r="M84" t="n">
        <v>43.93</v>
      </c>
      <c r="N84" t="n">
        <v>42.04</v>
      </c>
      <c r="O84" t="n">
        <v>43.36</v>
      </c>
      <c r="P84" t="n">
        <v>56.91</v>
      </c>
      <c r="Q84" t="n">
        <v>55.94</v>
      </c>
      <c r="R84" t="n">
        <v>57.3</v>
      </c>
      <c r="S84" t="n">
        <v>59</v>
      </c>
      <c r="T84" t="n">
        <v>61.26</v>
      </c>
      <c r="U84" t="n">
        <v>51.7</v>
      </c>
      <c r="V84" t="n">
        <v>60.92</v>
      </c>
      <c r="W84" t="n">
        <v>51.83</v>
      </c>
      <c r="X84" t="n">
        <v>0</v>
      </c>
      <c r="Y84" t="n">
        <v>0</v>
      </c>
    </row>
    <row r="85">
      <c r="A85" t="n">
        <v>8667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242.74</v>
      </c>
      <c r="H85" t="n">
        <v>219.19</v>
      </c>
      <c r="I85" t="n">
        <v>209.34</v>
      </c>
      <c r="J85" t="n">
        <v>210.33</v>
      </c>
      <c r="K85" t="n">
        <v>189.9</v>
      </c>
      <c r="L85" t="n">
        <v>190.38</v>
      </c>
      <c r="M85" t="n">
        <v>193.93</v>
      </c>
      <c r="N85" t="n">
        <v>203.58</v>
      </c>
      <c r="O85" t="n">
        <v>205.73</v>
      </c>
      <c r="P85" t="n">
        <v>206.28</v>
      </c>
      <c r="Q85" t="n">
        <v>209.82</v>
      </c>
      <c r="R85" t="n">
        <v>233.02</v>
      </c>
      <c r="S85" t="n">
        <v>237.28</v>
      </c>
      <c r="T85" t="n">
        <v>266.33</v>
      </c>
      <c r="U85" t="n">
        <v>225.34</v>
      </c>
      <c r="V85" t="n">
        <v>236</v>
      </c>
      <c r="W85" t="n">
        <v>204.34</v>
      </c>
      <c r="X85" t="n">
        <v>0</v>
      </c>
      <c r="Y85" t="n">
        <v>0</v>
      </c>
    </row>
    <row r="86">
      <c r="A86" t="n">
        <v>8670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271.49</v>
      </c>
      <c r="H86" t="n">
        <v>223.27</v>
      </c>
      <c r="I86" t="n">
        <v>165.31</v>
      </c>
      <c r="J86" t="n">
        <v>212.39</v>
      </c>
      <c r="K86" t="n">
        <v>192.81</v>
      </c>
      <c r="L86" t="n">
        <v>199.72</v>
      </c>
      <c r="M86" t="n">
        <v>242.68</v>
      </c>
      <c r="N86" t="n">
        <v>304.15</v>
      </c>
      <c r="O86" t="n">
        <v>226.56</v>
      </c>
      <c r="P86" t="n">
        <v>226.4</v>
      </c>
      <c r="Q86" t="n">
        <v>216.69</v>
      </c>
      <c r="R86" t="n">
        <v>185.6</v>
      </c>
      <c r="S86" t="n">
        <v>167.69</v>
      </c>
      <c r="T86" t="n">
        <v>176.58</v>
      </c>
      <c r="U86" t="n">
        <v>191.31</v>
      </c>
      <c r="V86" t="n">
        <v>206.85</v>
      </c>
      <c r="W86" t="n">
        <v>196.66</v>
      </c>
      <c r="X86" t="n">
        <v>0</v>
      </c>
      <c r="Y86" t="n">
        <v>0</v>
      </c>
    </row>
    <row r="87">
      <c r="A87" t="n">
        <v>8671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59.65</v>
      </c>
      <c r="H87" t="n">
        <v>58.03</v>
      </c>
      <c r="I87" t="n">
        <v>88.58</v>
      </c>
      <c r="J87" t="n">
        <v>110.11</v>
      </c>
      <c r="K87" t="n">
        <v>86.86</v>
      </c>
      <c r="L87" t="n">
        <v>94.08</v>
      </c>
      <c r="M87" t="n">
        <v>60.44</v>
      </c>
      <c r="N87" t="n">
        <v>164.62</v>
      </c>
      <c r="O87" t="n">
        <v>102.38</v>
      </c>
      <c r="P87" t="n">
        <v>95.01000000000001</v>
      </c>
      <c r="Q87" t="n">
        <v>128.23</v>
      </c>
      <c r="R87" t="n">
        <v>157.68</v>
      </c>
      <c r="S87" t="n">
        <v>163.88</v>
      </c>
      <c r="T87" t="n">
        <v>215.59</v>
      </c>
      <c r="U87" t="n">
        <v>255.58</v>
      </c>
      <c r="V87" t="n">
        <v>212.36</v>
      </c>
      <c r="W87" t="n">
        <v>149.56</v>
      </c>
      <c r="X87" t="n">
        <v>0</v>
      </c>
      <c r="Y87" t="n">
        <v>0</v>
      </c>
    </row>
    <row r="88">
      <c r="A88" t="n">
        <v>8672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71.29000000000001</v>
      </c>
      <c r="I88" t="n">
        <v>81.17</v>
      </c>
      <c r="J88" t="n">
        <v>67.38</v>
      </c>
      <c r="K88" t="n">
        <v>86.28</v>
      </c>
      <c r="L88" t="n">
        <v>82.2</v>
      </c>
      <c r="M88" t="n">
        <v>101.38</v>
      </c>
      <c r="N88" t="n">
        <v>107.26</v>
      </c>
      <c r="O88" t="n">
        <v>107.01</v>
      </c>
      <c r="P88" t="n">
        <v>97.17</v>
      </c>
      <c r="Q88" t="n">
        <v>98.27</v>
      </c>
      <c r="R88" t="n">
        <v>76.38</v>
      </c>
      <c r="S88" t="n">
        <v>108.71</v>
      </c>
      <c r="T88" t="n">
        <v>56.84</v>
      </c>
      <c r="U88" t="n">
        <v>83.29000000000001</v>
      </c>
      <c r="V88" t="n">
        <v>110.19</v>
      </c>
      <c r="W88" t="n">
        <v>105.17</v>
      </c>
      <c r="X88" t="n">
        <v>0</v>
      </c>
      <c r="Y88" t="n">
        <v>0</v>
      </c>
    </row>
    <row r="89">
      <c r="A89" t="n">
        <v>8674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237.82</v>
      </c>
      <c r="J89" t="n">
        <v>194.8</v>
      </c>
      <c r="K89" t="n">
        <v>152.7</v>
      </c>
      <c r="L89" t="n">
        <v>84.08</v>
      </c>
      <c r="M89" t="n">
        <v>156.38</v>
      </c>
      <c r="N89" t="n">
        <v>191.84</v>
      </c>
      <c r="O89" t="n">
        <v>247.16</v>
      </c>
      <c r="P89" t="n">
        <v>137.84</v>
      </c>
      <c r="Q89" t="n">
        <v>112.15</v>
      </c>
      <c r="R89" t="n">
        <v>186.88</v>
      </c>
      <c r="S89" t="n">
        <v>247.21</v>
      </c>
      <c r="T89" t="n">
        <v>287.01</v>
      </c>
      <c r="U89" t="n">
        <v>230.81</v>
      </c>
      <c r="V89" t="n">
        <v>276.44</v>
      </c>
      <c r="W89" t="n">
        <v>139.84</v>
      </c>
      <c r="X89" t="n">
        <v>0</v>
      </c>
      <c r="Y89" t="n">
        <v>0</v>
      </c>
    </row>
    <row r="90">
      <c r="A90" t="n">
        <v>8676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371.95</v>
      </c>
      <c r="J90" t="n">
        <v>624.4400000000001</v>
      </c>
      <c r="K90" t="n">
        <v>608.5</v>
      </c>
      <c r="L90" t="n">
        <v>558.97</v>
      </c>
      <c r="M90" t="n">
        <v>531.97</v>
      </c>
      <c r="N90" t="n">
        <v>602.51</v>
      </c>
      <c r="O90" t="n">
        <v>614.23</v>
      </c>
      <c r="P90" t="n">
        <v>527.74</v>
      </c>
      <c r="Q90" t="n">
        <v>518.28</v>
      </c>
      <c r="R90" t="n">
        <v>526.58</v>
      </c>
      <c r="S90" t="n">
        <v>689.52</v>
      </c>
      <c r="T90" t="n">
        <v>670.6</v>
      </c>
      <c r="U90" t="n">
        <v>530.95</v>
      </c>
      <c r="V90" t="n">
        <v>522.3200000000001</v>
      </c>
      <c r="W90" t="n">
        <v>506.43</v>
      </c>
      <c r="X90" t="n">
        <v>0</v>
      </c>
      <c r="Y90" t="n">
        <v>0</v>
      </c>
    </row>
    <row r="91">
      <c r="A91" t="n">
        <v>8677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130.28</v>
      </c>
      <c r="K91" t="n">
        <v>86.89</v>
      </c>
      <c r="L91" t="n">
        <v>123.44</v>
      </c>
      <c r="M91" t="n">
        <v>100.73</v>
      </c>
      <c r="N91" t="n">
        <v>168.47</v>
      </c>
      <c r="O91" t="n">
        <v>174.45</v>
      </c>
      <c r="P91" t="n">
        <v>139.44</v>
      </c>
      <c r="Q91" t="n">
        <v>129.46</v>
      </c>
      <c r="R91" t="n">
        <v>108.57</v>
      </c>
      <c r="S91" t="n">
        <v>121.96</v>
      </c>
      <c r="T91" t="n">
        <v>139.72</v>
      </c>
      <c r="U91" t="n">
        <v>108.09</v>
      </c>
      <c r="V91" t="n">
        <v>113.96</v>
      </c>
      <c r="W91" t="n">
        <v>110.63</v>
      </c>
      <c r="X91" t="n">
        <v>0</v>
      </c>
      <c r="Y91" t="n">
        <v>0</v>
      </c>
    </row>
    <row r="92">
      <c r="A92" t="n">
        <v>8678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156.99</v>
      </c>
      <c r="K92" t="n">
        <v>159.88</v>
      </c>
      <c r="L92" t="n">
        <v>155.71</v>
      </c>
      <c r="M92" t="n">
        <v>179.05</v>
      </c>
      <c r="N92" t="n">
        <v>158.95</v>
      </c>
      <c r="O92" t="n">
        <v>171.66</v>
      </c>
      <c r="P92" t="n">
        <v>160.19</v>
      </c>
      <c r="Q92" t="n">
        <v>168.94</v>
      </c>
      <c r="R92" t="n">
        <v>155.65</v>
      </c>
      <c r="S92" t="n">
        <v>129.09</v>
      </c>
      <c r="T92" t="n">
        <v>128.09</v>
      </c>
      <c r="U92" t="n">
        <v>127.88</v>
      </c>
      <c r="V92" t="n">
        <v>132.18</v>
      </c>
      <c r="W92" t="n">
        <v>145.46</v>
      </c>
      <c r="X92" t="n">
        <v>0</v>
      </c>
      <c r="Y92" t="n">
        <v>0</v>
      </c>
    </row>
    <row r="93">
      <c r="A93" t="n">
        <v>8679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55.51</v>
      </c>
      <c r="K93" t="n">
        <v>54.59</v>
      </c>
      <c r="L93" t="n">
        <v>55.04</v>
      </c>
      <c r="M93" t="n">
        <v>57.65</v>
      </c>
      <c r="N93" t="n">
        <v>61.04</v>
      </c>
      <c r="O93" t="n">
        <v>63.23</v>
      </c>
      <c r="P93" t="n">
        <v>58.99</v>
      </c>
      <c r="Q93" t="n">
        <v>53.54</v>
      </c>
      <c r="R93" t="n">
        <v>53.16</v>
      </c>
      <c r="S93" t="n">
        <v>50.92</v>
      </c>
      <c r="T93" t="n">
        <v>52.69</v>
      </c>
      <c r="U93" t="n">
        <v>51.88</v>
      </c>
      <c r="V93" t="n">
        <v>51.56</v>
      </c>
      <c r="W93" t="n">
        <v>50.65</v>
      </c>
      <c r="X93" t="n">
        <v>0</v>
      </c>
      <c r="Y93" t="n">
        <v>0</v>
      </c>
    </row>
    <row r="94">
      <c r="A94" t="n">
        <v>8680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112.02</v>
      </c>
      <c r="K94" t="n">
        <v>144.01</v>
      </c>
      <c r="L94" t="n">
        <v>145.69</v>
      </c>
      <c r="M94" t="n">
        <v>154.99</v>
      </c>
      <c r="N94" t="n">
        <v>145.89</v>
      </c>
      <c r="O94" t="n">
        <v>151.85</v>
      </c>
      <c r="P94" t="n">
        <v>136.86</v>
      </c>
      <c r="Q94" t="n">
        <v>134.53</v>
      </c>
      <c r="R94" t="n">
        <v>144.57</v>
      </c>
      <c r="S94" t="n">
        <v>150.52</v>
      </c>
      <c r="T94" t="n">
        <v>181.28</v>
      </c>
      <c r="U94" t="n">
        <v>153.51</v>
      </c>
      <c r="V94" t="n">
        <v>166.78</v>
      </c>
      <c r="W94" t="n">
        <v>143.64</v>
      </c>
      <c r="X94" t="n">
        <v>0</v>
      </c>
      <c r="Y94" t="n">
        <v>0</v>
      </c>
    </row>
    <row r="95">
      <c r="A95" t="n">
        <v>8681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114.03</v>
      </c>
      <c r="K95" t="n">
        <v>0</v>
      </c>
      <c r="L95" t="n">
        <v>87.23999999999999</v>
      </c>
      <c r="M95" t="n">
        <v>101.39</v>
      </c>
      <c r="N95" t="n">
        <v>120.89</v>
      </c>
      <c r="O95" t="n">
        <v>93.58</v>
      </c>
      <c r="P95" t="n">
        <v>0</v>
      </c>
      <c r="Q95" t="n">
        <v>89.5</v>
      </c>
      <c r="R95" t="n">
        <v>107.26</v>
      </c>
      <c r="S95" t="n">
        <v>158.65</v>
      </c>
      <c r="T95" t="n">
        <v>169.19</v>
      </c>
      <c r="U95" t="n">
        <v>125.64</v>
      </c>
      <c r="V95" t="n">
        <v>130.05</v>
      </c>
      <c r="W95" t="n">
        <v>95.55</v>
      </c>
      <c r="X95" t="n">
        <v>0</v>
      </c>
      <c r="Y95" t="n">
        <v>0</v>
      </c>
    </row>
    <row r="96">
      <c r="A96" t="n">
        <v>8682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60.82</v>
      </c>
      <c r="J96" t="n">
        <v>108.09</v>
      </c>
      <c r="K96" t="n">
        <v>85.8</v>
      </c>
      <c r="L96" t="n">
        <v>81.15000000000001</v>
      </c>
      <c r="M96" t="n">
        <v>80.81999999999999</v>
      </c>
      <c r="N96" t="n">
        <v>80.06999999999999</v>
      </c>
      <c r="O96" t="n">
        <v>80.14</v>
      </c>
      <c r="P96" t="n">
        <v>80.84999999999999</v>
      </c>
      <c r="Q96" t="n">
        <v>80.09</v>
      </c>
      <c r="R96" t="n">
        <v>90.45999999999999</v>
      </c>
      <c r="S96" t="n">
        <v>112.04</v>
      </c>
      <c r="T96" t="n">
        <v>121.6</v>
      </c>
      <c r="U96" t="n">
        <v>104.6</v>
      </c>
      <c r="V96" t="n">
        <v>109.16</v>
      </c>
      <c r="W96" t="n">
        <v>88.23</v>
      </c>
      <c r="X96" t="n">
        <v>0</v>
      </c>
      <c r="Y96" t="n">
        <v>0</v>
      </c>
    </row>
    <row r="97">
      <c r="A97" t="n">
        <v>8683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71.25</v>
      </c>
      <c r="J97" t="n">
        <v>119.33</v>
      </c>
      <c r="K97" t="n">
        <v>141.22</v>
      </c>
      <c r="L97" t="n">
        <v>141.85</v>
      </c>
      <c r="M97" t="n">
        <v>148.12</v>
      </c>
      <c r="N97" t="n">
        <v>205.23</v>
      </c>
      <c r="O97" t="n">
        <v>219.62</v>
      </c>
      <c r="P97" t="n">
        <v>133.77</v>
      </c>
      <c r="Q97" t="n">
        <v>144.42</v>
      </c>
      <c r="R97" t="n">
        <v>102.84</v>
      </c>
      <c r="S97" t="n">
        <v>127.74</v>
      </c>
      <c r="T97" t="n">
        <v>119.1</v>
      </c>
      <c r="U97" t="n">
        <v>115.51</v>
      </c>
      <c r="V97" t="n">
        <v>113.22</v>
      </c>
      <c r="W97" t="n">
        <v>115.73</v>
      </c>
      <c r="X97" t="n">
        <v>0</v>
      </c>
      <c r="Y97" t="n">
        <v>0</v>
      </c>
    </row>
    <row r="98">
      <c r="A98" t="n">
        <v>8685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91.48999999999999</v>
      </c>
      <c r="K98" t="n">
        <v>0</v>
      </c>
      <c r="L98" t="n">
        <v>100.61</v>
      </c>
      <c r="M98" t="n">
        <v>69.69</v>
      </c>
      <c r="N98" t="n">
        <v>101.34</v>
      </c>
      <c r="O98" t="n">
        <v>96.5</v>
      </c>
      <c r="P98" t="n">
        <v>109.71</v>
      </c>
      <c r="Q98" t="n">
        <v>99.05</v>
      </c>
      <c r="R98" t="n">
        <v>104.36</v>
      </c>
      <c r="S98" t="n">
        <v>112.78</v>
      </c>
      <c r="T98" t="n">
        <v>137.89</v>
      </c>
      <c r="U98" t="n">
        <v>93.58</v>
      </c>
      <c r="V98" t="n">
        <v>89.09</v>
      </c>
      <c r="W98" t="n">
        <v>85.98999999999999</v>
      </c>
      <c r="X98" t="n">
        <v>0</v>
      </c>
      <c r="Y98" t="n">
        <v>0</v>
      </c>
    </row>
    <row r="99">
      <c r="A99" t="n">
        <v>8686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85.37</v>
      </c>
      <c r="M99" t="n">
        <v>85.27</v>
      </c>
      <c r="N99" t="n">
        <v>128.1</v>
      </c>
      <c r="O99" t="n">
        <v>138.43</v>
      </c>
      <c r="P99" t="n">
        <v>93.14</v>
      </c>
      <c r="Q99" t="n">
        <v>98.52</v>
      </c>
      <c r="R99" t="n">
        <v>114.92</v>
      </c>
      <c r="S99" t="n">
        <v>236.9</v>
      </c>
      <c r="T99" t="n">
        <v>220.23</v>
      </c>
      <c r="U99" t="n">
        <v>156.77</v>
      </c>
      <c r="V99" t="n">
        <v>189.43</v>
      </c>
      <c r="W99" t="n">
        <v>92.52</v>
      </c>
      <c r="X99" t="n">
        <v>0</v>
      </c>
      <c r="Y99" t="n">
        <v>0</v>
      </c>
    </row>
    <row r="100">
      <c r="A100" t="n">
        <v>8687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29.23</v>
      </c>
      <c r="M100" t="n">
        <v>44.55</v>
      </c>
      <c r="N100" t="n">
        <v>26.01</v>
      </c>
      <c r="O100" t="n">
        <v>53.09</v>
      </c>
      <c r="P100" t="n">
        <v>48.21</v>
      </c>
      <c r="Q100" t="n">
        <v>52.08</v>
      </c>
      <c r="R100" t="n">
        <v>42.39</v>
      </c>
      <c r="S100" t="n">
        <v>63.74</v>
      </c>
      <c r="T100" t="n">
        <v>29.62</v>
      </c>
      <c r="U100" t="n">
        <v>52.02</v>
      </c>
      <c r="V100" t="n">
        <v>45.72</v>
      </c>
      <c r="W100" t="n">
        <v>51.48</v>
      </c>
      <c r="X100" t="n">
        <v>0</v>
      </c>
      <c r="Y100" t="n">
        <v>0</v>
      </c>
    </row>
    <row r="101">
      <c r="A101" t="n">
        <v>8688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42.6</v>
      </c>
      <c r="M101" t="n">
        <v>0</v>
      </c>
      <c r="N101" t="n">
        <v>35.75</v>
      </c>
      <c r="O101" t="n">
        <v>36.09</v>
      </c>
      <c r="P101" t="n">
        <v>32.82</v>
      </c>
      <c r="Q101" t="n">
        <v>31.05</v>
      </c>
      <c r="R101" t="n">
        <v>30.64</v>
      </c>
      <c r="S101" t="n">
        <v>31.9</v>
      </c>
      <c r="T101" t="n">
        <v>33.88</v>
      </c>
      <c r="U101" t="n">
        <v>28.96</v>
      </c>
      <c r="V101" t="n">
        <v>29.65</v>
      </c>
      <c r="W101" t="n">
        <v>28.71</v>
      </c>
      <c r="X101" t="n">
        <v>0</v>
      </c>
      <c r="Y101" t="n">
        <v>0</v>
      </c>
    </row>
    <row r="102">
      <c r="A102" t="n">
        <v>8689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119.86</v>
      </c>
      <c r="O102" t="n">
        <v>120.44</v>
      </c>
      <c r="P102" t="n">
        <v>133.01</v>
      </c>
      <c r="Q102" t="n">
        <v>119.55</v>
      </c>
      <c r="R102" t="n">
        <v>112.61</v>
      </c>
      <c r="S102" t="n">
        <v>80.83</v>
      </c>
      <c r="T102" t="n">
        <v>86.53</v>
      </c>
      <c r="U102" t="n">
        <v>41.27</v>
      </c>
      <c r="V102" t="n">
        <v>49.23</v>
      </c>
      <c r="W102" t="n">
        <v>34.7</v>
      </c>
      <c r="X102" t="n">
        <v>0</v>
      </c>
      <c r="Y102" t="n">
        <v>0</v>
      </c>
    </row>
    <row r="103">
      <c r="A103" t="n">
        <v>8690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232.86</v>
      </c>
      <c r="O103" t="n">
        <v>319.29</v>
      </c>
      <c r="P103" t="n">
        <v>331.38</v>
      </c>
      <c r="Q103" t="n">
        <v>319.24</v>
      </c>
      <c r="R103" t="n">
        <v>236.66</v>
      </c>
      <c r="S103" t="n">
        <v>238.63</v>
      </c>
      <c r="T103" t="n">
        <v>231.31</v>
      </c>
      <c r="U103" t="n">
        <v>138.31</v>
      </c>
      <c r="V103" t="n">
        <v>250.68</v>
      </c>
      <c r="W103" t="n">
        <v>314.85</v>
      </c>
      <c r="X103" t="n">
        <v>0</v>
      </c>
      <c r="Y103" t="n">
        <v>0</v>
      </c>
    </row>
    <row r="104">
      <c r="A104" t="n">
        <v>8692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48.02</v>
      </c>
      <c r="P104" t="n">
        <v>0</v>
      </c>
      <c r="Q104" t="n">
        <v>0</v>
      </c>
      <c r="R104" t="n">
        <v>52.29</v>
      </c>
      <c r="S104" t="n">
        <v>53.54</v>
      </c>
      <c r="T104" t="n">
        <v>37.74</v>
      </c>
      <c r="U104" t="n">
        <v>42.72</v>
      </c>
      <c r="V104" t="n">
        <v>47.49</v>
      </c>
      <c r="W104" t="n">
        <v>47.07</v>
      </c>
      <c r="X104" t="n">
        <v>0</v>
      </c>
      <c r="Y104" t="n">
        <v>0</v>
      </c>
    </row>
    <row r="105">
      <c r="A105" t="n">
        <v>8693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101.99</v>
      </c>
      <c r="P105" t="n">
        <v>0</v>
      </c>
      <c r="Q105" t="n">
        <v>0</v>
      </c>
      <c r="R105" t="n">
        <v>54.46</v>
      </c>
      <c r="S105" t="n">
        <v>48.72</v>
      </c>
      <c r="T105" t="n">
        <v>55.89</v>
      </c>
      <c r="U105" t="n">
        <v>53.5</v>
      </c>
      <c r="V105" t="n">
        <v>52.85</v>
      </c>
      <c r="W105" t="n">
        <v>49.47</v>
      </c>
      <c r="X105" t="n">
        <v>0</v>
      </c>
      <c r="Y105" t="n">
        <v>0</v>
      </c>
    </row>
    <row r="106">
      <c r="A106" t="n">
        <v>8694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30.58</v>
      </c>
      <c r="S106" t="n">
        <v>68.22</v>
      </c>
      <c r="T106" t="n">
        <v>116.82</v>
      </c>
      <c r="U106" t="n">
        <v>110.26</v>
      </c>
      <c r="V106" t="n">
        <v>109.66</v>
      </c>
      <c r="W106" t="n">
        <v>92.76000000000001</v>
      </c>
      <c r="X106" t="n">
        <v>0</v>
      </c>
      <c r="Y106" t="n">
        <v>0</v>
      </c>
    </row>
    <row r="107">
      <c r="A107" t="n">
        <v>8695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42.26</v>
      </c>
      <c r="R107" t="n">
        <v>40.45</v>
      </c>
      <c r="S107" t="n">
        <v>40.36</v>
      </c>
      <c r="T107" t="n">
        <v>41.3</v>
      </c>
      <c r="U107" t="n">
        <v>40.68</v>
      </c>
      <c r="V107" t="n">
        <v>43.96</v>
      </c>
      <c r="W107" t="n">
        <v>41.92</v>
      </c>
      <c r="X107" t="n">
        <v>0</v>
      </c>
      <c r="Y107" t="n">
        <v>0</v>
      </c>
    </row>
    <row r="108">
      <c r="A108" t="n">
        <v>8696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94.36</v>
      </c>
      <c r="R108" t="n">
        <v>70.41</v>
      </c>
      <c r="S108" t="n">
        <v>41.79</v>
      </c>
      <c r="T108" t="n">
        <v>42.14</v>
      </c>
      <c r="U108" t="n">
        <v>46.75</v>
      </c>
      <c r="V108" t="n">
        <v>40.63</v>
      </c>
      <c r="W108" t="n">
        <v>34.86</v>
      </c>
      <c r="X108" t="n">
        <v>0</v>
      </c>
      <c r="Y108" t="n">
        <v>0</v>
      </c>
    </row>
    <row r="109">
      <c r="A109" t="n">
        <v>8697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65.76000000000001</v>
      </c>
      <c r="P109" t="n">
        <v>0</v>
      </c>
      <c r="Q109" t="n">
        <v>0</v>
      </c>
      <c r="R109" t="n">
        <v>37.24</v>
      </c>
      <c r="S109" t="n">
        <v>36.49</v>
      </c>
      <c r="T109" t="n">
        <v>38.72</v>
      </c>
      <c r="U109" t="n">
        <v>36.12</v>
      </c>
      <c r="V109" t="n">
        <v>34.5</v>
      </c>
      <c r="W109" t="n">
        <v>37.58</v>
      </c>
      <c r="X109" t="n">
        <v>0</v>
      </c>
      <c r="Y109" t="n">
        <v>0</v>
      </c>
    </row>
    <row r="110">
      <c r="A110" t="n">
        <v>8698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104.92</v>
      </c>
      <c r="R110" t="n">
        <v>256.57</v>
      </c>
      <c r="S110" t="n">
        <v>406.3</v>
      </c>
      <c r="T110" t="n">
        <v>391.89</v>
      </c>
      <c r="U110" t="n">
        <v>260.7</v>
      </c>
      <c r="V110" t="n">
        <v>291.94</v>
      </c>
      <c r="W110" t="n">
        <v>227.31</v>
      </c>
      <c r="X110" t="n">
        <v>0</v>
      </c>
      <c r="Y110" t="n">
        <v>0</v>
      </c>
    </row>
    <row r="111">
      <c r="A111" t="n">
        <v>8702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69.47</v>
      </c>
      <c r="U111" t="n">
        <v>119.54</v>
      </c>
      <c r="V111" t="n">
        <v>117.27</v>
      </c>
      <c r="W111" t="n">
        <v>89.59</v>
      </c>
      <c r="X111" t="n">
        <v>0</v>
      </c>
      <c r="Y111" t="n">
        <v>0</v>
      </c>
    </row>
    <row r="112">
      <c r="A112" t="n">
        <v>8703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86.78</v>
      </c>
      <c r="U112" t="n">
        <v>195.72</v>
      </c>
      <c r="V112" t="n">
        <v>162.48</v>
      </c>
      <c r="W112" t="n">
        <v>142.15</v>
      </c>
      <c r="X112" t="n">
        <v>0</v>
      </c>
      <c r="Y112" t="n">
        <v>0</v>
      </c>
    </row>
    <row r="113">
      <c r="A113" t="n">
        <v>8704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82.27</v>
      </c>
      <c r="V113" t="n">
        <v>78.03</v>
      </c>
      <c r="W113" t="n">
        <v>69.14</v>
      </c>
      <c r="X113" t="n">
        <v>0</v>
      </c>
      <c r="Y113" t="n">
        <v>0</v>
      </c>
    </row>
    <row r="114">
      <c r="A114" t="n">
        <v>8706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53.48</v>
      </c>
      <c r="V114" t="n">
        <v>57.25</v>
      </c>
      <c r="W114" t="n">
        <v>56.12</v>
      </c>
      <c r="X114" t="n">
        <v>0</v>
      </c>
      <c r="Y114" t="n">
        <v>0</v>
      </c>
    </row>
    <row r="115">
      <c r="A115" t="n">
        <v>8707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49.6</v>
      </c>
      <c r="W115" t="n">
        <v>40.88</v>
      </c>
      <c r="X115" t="n">
        <v>0</v>
      </c>
      <c r="Y115" t="n">
        <v>0</v>
      </c>
    </row>
    <row r="116">
      <c r="A116" t="n">
        <v>8708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271.71</v>
      </c>
      <c r="V116" t="n">
        <v>96.34</v>
      </c>
      <c r="W116" t="n">
        <v>94.95999999999999</v>
      </c>
      <c r="X116" t="n">
        <v>0</v>
      </c>
      <c r="Y116" t="n">
        <v>0</v>
      </c>
    </row>
    <row r="117">
      <c r="A117" t="n">
        <v>8709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107.46</v>
      </c>
      <c r="V117" t="n">
        <v>111.89</v>
      </c>
      <c r="W117" t="n">
        <v>117.07</v>
      </c>
      <c r="X117" t="n">
        <v>0</v>
      </c>
      <c r="Y117" t="n">
        <v>0</v>
      </c>
    </row>
    <row r="118">
      <c r="A118" t="n">
        <v>8710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78.70999999999999</v>
      </c>
      <c r="V118" t="n">
        <v>82.54000000000001</v>
      </c>
      <c r="W118" t="n">
        <v>64.81999999999999</v>
      </c>
      <c r="X118" t="n">
        <v>0</v>
      </c>
      <c r="Y118" t="n">
        <v>0</v>
      </c>
    </row>
    <row r="119">
      <c r="A119" t="n">
        <v>8711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62.66</v>
      </c>
      <c r="V119" t="n">
        <v>52.63</v>
      </c>
      <c r="W119" t="n">
        <v>53.78</v>
      </c>
      <c r="X119" t="n">
        <v>0</v>
      </c>
      <c r="Y119" t="n">
        <v>0</v>
      </c>
    </row>
    <row r="120">
      <c r="A120" t="n">
        <v>8712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61.16</v>
      </c>
      <c r="V120" t="n">
        <v>87.04000000000001</v>
      </c>
      <c r="W120" t="n">
        <v>81.16</v>
      </c>
      <c r="X120" t="n">
        <v>0</v>
      </c>
      <c r="Y120" t="n">
        <v>0</v>
      </c>
    </row>
    <row r="121">
      <c r="A121" t="n">
        <v>8714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45.1</v>
      </c>
      <c r="V121" t="n">
        <v>71.23999999999999</v>
      </c>
      <c r="W121" t="n">
        <v>68.52</v>
      </c>
      <c r="X121" t="n">
        <v>0</v>
      </c>
      <c r="Y121" t="n">
        <v>0</v>
      </c>
    </row>
    <row r="122">
      <c r="A122" t="n">
        <v>8715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39.06</v>
      </c>
      <c r="V122" t="n">
        <v>57.14</v>
      </c>
      <c r="W122" t="n">
        <v>47.65</v>
      </c>
      <c r="X122" t="n">
        <v>0</v>
      </c>
      <c r="Y122" t="n">
        <v>0</v>
      </c>
    </row>
    <row r="123">
      <c r="A123" t="n">
        <v>8716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14.59</v>
      </c>
      <c r="V123" t="n">
        <v>78.76000000000001</v>
      </c>
      <c r="W123" t="n">
        <v>73.51000000000001</v>
      </c>
      <c r="X123" t="n">
        <v>0</v>
      </c>
      <c r="Y123" t="n">
        <v>0</v>
      </c>
    </row>
    <row r="124">
      <c r="A124" t="n">
        <v>8717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28.44</v>
      </c>
      <c r="V124" t="n">
        <v>72.12</v>
      </c>
      <c r="W124" t="n">
        <v>49.98</v>
      </c>
      <c r="X124" t="n">
        <v>0</v>
      </c>
      <c r="Y124" t="n">
        <v>0</v>
      </c>
    </row>
    <row r="125">
      <c r="A125" t="n">
        <v>8718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10.51</v>
      </c>
      <c r="V125" t="n">
        <v>82.43000000000001</v>
      </c>
      <c r="W125" t="n">
        <v>48.26</v>
      </c>
      <c r="X125" t="n">
        <v>0</v>
      </c>
      <c r="Y125" t="n">
        <v>0</v>
      </c>
    </row>
    <row r="126">
      <c r="A126" t="n">
        <v>8719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40.58</v>
      </c>
      <c r="X126" t="n">
        <v>0</v>
      </c>
      <c r="Y126" t="n">
        <v>0</v>
      </c>
    </row>
    <row r="127">
      <c r="A127" t="n">
        <v>8720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47.83</v>
      </c>
      <c r="X127" t="n">
        <v>0</v>
      </c>
      <c r="Y127" t="n">
        <v>0</v>
      </c>
    </row>
    <row r="128">
      <c r="A128" t="n">
        <v>8721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65.18000000000001</v>
      </c>
      <c r="X128" t="n">
        <v>0</v>
      </c>
      <c r="Y128" t="n">
        <v>0</v>
      </c>
    </row>
    <row r="129">
      <c r="A129" t="n">
        <v>8722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66.33</v>
      </c>
      <c r="W129" t="n">
        <v>58.66</v>
      </c>
      <c r="X129" t="n">
        <v>0</v>
      </c>
      <c r="Y129" t="n">
        <v>0</v>
      </c>
    </row>
    <row r="130">
      <c r="A130" t="n">
        <v>8723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77.84999999999999</v>
      </c>
      <c r="W130" t="n">
        <v>104.62</v>
      </c>
      <c r="X130" t="n">
        <v>0</v>
      </c>
      <c r="Y130" t="n">
        <v>0</v>
      </c>
    </row>
    <row r="131">
      <c r="A131" t="n">
        <v>8724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26.05</v>
      </c>
      <c r="X131" t="n">
        <v>0</v>
      </c>
      <c r="Y131" t="n">
        <v>0</v>
      </c>
    </row>
    <row r="132">
      <c r="A132" t="n">
        <v>8725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88.09999999999999</v>
      </c>
      <c r="X132" t="n">
        <v>0</v>
      </c>
      <c r="Y132" t="n">
        <v>0</v>
      </c>
    </row>
    <row r="133">
      <c r="A133" t="n">
        <v>8726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58.7</v>
      </c>
      <c r="X133" t="n">
        <v>0</v>
      </c>
      <c r="Y133" t="n">
        <v>0</v>
      </c>
    </row>
    <row r="134">
      <c r="A134" t="n">
        <v>8727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54.97</v>
      </c>
      <c r="X134" t="n">
        <v>0</v>
      </c>
      <c r="Y134" t="n">
        <v>0</v>
      </c>
    </row>
    <row r="135">
      <c r="A135" t="n">
        <v>8728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33.35</v>
      </c>
      <c r="X135" t="n">
        <v>0</v>
      </c>
      <c r="Y135" t="n">
        <v>0</v>
      </c>
    </row>
    <row r="136">
      <c r="A136" t="n">
        <v>8729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60.42</v>
      </c>
      <c r="X136" t="n">
        <v>0</v>
      </c>
      <c r="Y136" t="n">
        <v>0</v>
      </c>
    </row>
    <row r="137">
      <c r="A137" t="n">
        <v>8730</v>
      </c>
      <c r="B137" t="n">
        <v>0</v>
      </c>
      <c r="C137" t="n">
        <v>0</v>
      </c>
      <c r="D137" t="n">
        <v>0</v>
      </c>
      <c r="E137" t="n">
        <v>0</v>
      </c>
      <c r="F137" t="n">
        <v>480.78</v>
      </c>
      <c r="G137" t="n">
        <v>869.3</v>
      </c>
      <c r="H137" t="n">
        <v>484.66</v>
      </c>
      <c r="I137" t="n">
        <v>499.94</v>
      </c>
      <c r="J137" t="n">
        <v>802.97</v>
      </c>
      <c r="K137" t="n">
        <v>1074.48</v>
      </c>
      <c r="L137" t="n">
        <v>997.35</v>
      </c>
      <c r="M137" t="n">
        <v>1001.22</v>
      </c>
      <c r="N137" t="n">
        <v>1957.85</v>
      </c>
      <c r="O137" t="n">
        <v>79.62</v>
      </c>
      <c r="P137" t="n">
        <v>1019.69</v>
      </c>
      <c r="Q137" t="n">
        <v>699.4</v>
      </c>
      <c r="R137" t="n">
        <v>233.98</v>
      </c>
      <c r="S137" t="n">
        <v>803.7</v>
      </c>
      <c r="T137" t="n">
        <v>716.71</v>
      </c>
      <c r="U137" t="n">
        <v>712.12</v>
      </c>
      <c r="V137" t="n">
        <v>540.74</v>
      </c>
      <c r="W137" t="n">
        <v>624.71</v>
      </c>
      <c r="X137" t="n">
        <v>0</v>
      </c>
      <c r="Y1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2026-06-29T19:59:23Z</dcterms:created>
  <dcterms:modified xmlns:dcterms="http://purl.org/dc/terms/" xmlns:xsi="http://www.w3.org/2001/XMLSchema-instance" xsi:type="dcterms:W3CDTF">2026-06-29T19:59:25Z</dcterms:modified>
</cp:coreProperties>
</file>