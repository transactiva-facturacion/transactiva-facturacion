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27.xml" ContentType="application/vnd.openxmlformats-officedocument.drawingml.chart+xml"/>
  <Override PartName="/xl/charts/chart15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" sheetId="2" state="visible" r:id="rId4"/>
    <sheet name="_seri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<sst xmlns="http://schemas.openxmlformats.org/spreadsheetml/2006/main" count="1314" uniqueCount="382">
  <si>
    <t xml:space="preserve">RESUMEN · 27 facturas 3.0TD · abril 2026 · margen abril vivo (editable) + histórico del CUPS (HOJA TTVA LUZ)</t>
  </si>
  <si>
    <t xml:space="preserve">LEYENDA</t>
  </si>
  <si>
    <t xml:space="preserve">APROBAR ≥30%</t>
  </si>
  <si>
    <t xml:space="preserve">REVISAR 20–30%</t>
  </si>
  <si>
    <t xml:space="preserve">RECHAZAR &lt;20% · margen objetivo editable en Detalle</t>
  </si>
  <si>
    <t xml:space="preserve">Factura</t>
  </si>
  <si>
    <t xml:space="preserve">Cliente</t>
  </si>
  <si>
    <t xml:space="preserve">Nombre</t>
  </si>
  <si>
    <t xml:space="preserve">Prov.</t>
  </si>
  <si>
    <t xml:space="preserve">Margen abril</t>
  </si>
  <si>
    <t xml:space="preserve">Veredicto</t>
  </si>
  <si>
    <t xml:space="preserve">Margen hist.</t>
  </si>
  <si>
    <t xml:space="preserve">Cobrado hist.</t>
  </si>
  <si>
    <t xml:space="preserve">Qué revisar</t>
  </si>
  <si>
    <t xml:space="preserve">8544</t>
  </si>
  <si>
    <t xml:space="preserve">C02330</t>
  </si>
  <si>
    <t xml:space="preserve">ORENCO 2019, S.L.</t>
  </si>
  <si>
    <t xml:space="preserve">Naturgy</t>
  </si>
  <si>
    <t xml:space="preserve">8545</t>
  </si>
  <si>
    <t xml:space="preserve">C01200</t>
  </si>
  <si>
    <t xml:space="preserve">SOLUCIONES GASTRONÓMICAS DE JAVEA 2014, S.L.</t>
  </si>
  <si>
    <t xml:space="preserve">8546</t>
  </si>
  <si>
    <t xml:space="preserve">C03270</t>
  </si>
  <si>
    <t xml:space="preserve">LULU BEACH CLUB JAVEA SL</t>
  </si>
  <si>
    <t xml:space="preserve">8547</t>
  </si>
  <si>
    <t xml:space="preserve">C01770</t>
  </si>
  <si>
    <t xml:space="preserve">CASA LILI JAVEA, S.L.</t>
  </si>
  <si>
    <t xml:space="preserve">?</t>
  </si>
  <si>
    <t xml:space="preserve">8564</t>
  </si>
  <si>
    <t xml:space="preserve">C01930</t>
  </si>
  <si>
    <t xml:space="preserve">FUNDACIÓN FSU PROGRAMAS INTERNACIONALES</t>
  </si>
  <si>
    <t xml:space="preserve">8565</t>
  </si>
  <si>
    <t xml:space="preserve">C01920</t>
  </si>
  <si>
    <t xml:space="preserve">8566</t>
  </si>
  <si>
    <t xml:space="preserve">C01910</t>
  </si>
  <si>
    <t xml:space="preserve">8567</t>
  </si>
  <si>
    <t xml:space="preserve">C00790</t>
  </si>
  <si>
    <t xml:space="preserve">CASA LILI, S.L.</t>
  </si>
  <si>
    <t xml:space="preserve">8578</t>
  </si>
  <si>
    <t xml:space="preserve">C02180</t>
  </si>
  <si>
    <t xml:space="preserve">EDWIN BAUMGARTNER</t>
  </si>
  <si>
    <t xml:space="preserve">8615</t>
  </si>
  <si>
    <t xml:space="preserve">C01220</t>
  </si>
  <si>
    <t xml:space="preserve">VIVES ELECTRODOMÉSTICOS, S.L.</t>
  </si>
  <si>
    <t xml:space="preserve">Repsol</t>
  </si>
  <si>
    <t xml:space="preserve">8629</t>
  </si>
  <si>
    <t xml:space="preserve">C01510</t>
  </si>
  <si>
    <t xml:space="preserve">CAFE ZUR BACKSTUBE, S.L.</t>
  </si>
  <si>
    <t xml:space="preserve">8635</t>
  </si>
  <si>
    <t xml:space="preserve">C01630</t>
  </si>
  <si>
    <t xml:space="preserve">ALEJANDRO BOX CANDELA</t>
  </si>
  <si>
    <t xml:space="preserve">8638</t>
  </si>
  <si>
    <t xml:space="preserve">C01710</t>
  </si>
  <si>
    <t xml:space="preserve">FARMACIA ESPINÓS</t>
  </si>
  <si>
    <t xml:space="preserve">8644</t>
  </si>
  <si>
    <t xml:space="preserve">C01840</t>
  </si>
  <si>
    <t xml:space="preserve">JOSE GUILLERMO CHOLBI SART</t>
  </si>
  <si>
    <t xml:space="preserve">8649</t>
  </si>
  <si>
    <t xml:space="preserve">C01980</t>
  </si>
  <si>
    <t xml:space="preserve">TINTORERÍA LAVANDERÍA COLOMER</t>
  </si>
  <si>
    <t xml:space="preserve">8652</t>
  </si>
  <si>
    <t xml:space="preserve">8669</t>
  </si>
  <si>
    <t xml:space="preserve">C02600</t>
  </si>
  <si>
    <t xml:space="preserve">CRISTIAN FERRARI</t>
  </si>
  <si>
    <t xml:space="preserve">8684</t>
  </si>
  <si>
    <t xml:space="preserve">C02910</t>
  </si>
  <si>
    <t xml:space="preserve">NICHOLAS JAMES RATCLIFFE</t>
  </si>
  <si>
    <t xml:space="preserve">8691</t>
  </si>
  <si>
    <t xml:space="preserve">C03020</t>
  </si>
  <si>
    <t xml:space="preserve">MONTGO SEGURIDAD S.L.</t>
  </si>
  <si>
    <t xml:space="preserve">8705</t>
  </si>
  <si>
    <t xml:space="preserve">C03200</t>
  </si>
  <si>
    <t xml:space="preserve">2 HANDS FULL, S.L</t>
  </si>
  <si>
    <t xml:space="preserve">8731</t>
  </si>
  <si>
    <t xml:space="preserve">C01500</t>
  </si>
  <si>
    <t xml:space="preserve">SANTIAGO JAVIER NUÑEZ JOVER</t>
  </si>
  <si>
    <t xml:space="preserve">8732</t>
  </si>
  <si>
    <t xml:space="preserve">C02430</t>
  </si>
  <si>
    <t xml:space="preserve">CINDY DEPERE</t>
  </si>
  <si>
    <t xml:space="preserve">8733</t>
  </si>
  <si>
    <t xml:space="preserve">C03410</t>
  </si>
  <si>
    <t xml:space="preserve">NORAY PUERTO 2012 S.L.</t>
  </si>
  <si>
    <t xml:space="preserve">8734</t>
  </si>
  <si>
    <t xml:space="preserve">C01820</t>
  </si>
  <si>
    <t xml:space="preserve">PIZZERIA TIGER, S.L.</t>
  </si>
  <si>
    <t xml:space="preserve">8735</t>
  </si>
  <si>
    <t xml:space="preserve">C02700</t>
  </si>
  <si>
    <t xml:space="preserve">TALLERES MARTINEZ JAVEA SL</t>
  </si>
  <si>
    <t xml:space="preserve">8737</t>
  </si>
  <si>
    <t xml:space="preserve">C00740</t>
  </si>
  <si>
    <t xml:space="preserve">PIZZERIA ORBA, S.L.</t>
  </si>
  <si>
    <t xml:space="preserve">8738</t>
  </si>
  <si>
    <t xml:space="preserve">C02620</t>
  </si>
  <si>
    <t xml:space="preserve">JAVEA PADEL &amp; Tenis SL</t>
  </si>
  <si>
    <t xml:space="preserve">Margen abril editable en TODAS (celda amarilla en Detalle). Margen hist., cobrado y mejor/peor mes vienen de HOJA TTVA LUZ por CUPS.</t>
  </si>
  <si>
    <t xml:space="preserve">Factura 8544 · C02330 · ORENCO 2019, S.L.</t>
  </si>
  <si>
    <t xml:space="preserve">ES0021000001197056KH · Naturgy · 01/04/26 a 30/04/26 · PC real leído: 01MAR_31MAR26 (P2/P3/P6) + plan fijo</t>
  </si>
  <si>
    <t xml:space="preserve">HISTÓRICO DEL CUPS · HOJA TTVA LUZ</t>
  </si>
  <si>
    <t xml:space="preserve">Concepto</t>
  </si>
  <si>
    <t xml:space="preserve">PENDIENTE (sin registrar)</t>
  </si>
  <si>
    <t xml:space="preserve">MES ANTERIOR · Fact.6296 (01/03/26 a 31/03/26)</t>
  </si>
  <si>
    <t xml:space="preserve">AÑO ANTERIOR · Fact.4508 (01/04/25 a 30/04/25)</t>
  </si>
  <si>
    <t xml:space="preserve">Cobrado total: 40.716 €</t>
  </si>
  <si>
    <t xml:space="preserve">Cant</t>
  </si>
  <si>
    <t xml:space="preserve">Días</t>
  </si>
  <si>
    <t xml:space="preserve">PC real</t>
  </si>
  <si>
    <t xml:space="preserve">PV</t>
  </si>
  <si>
    <t xml:space="preserve">Importe</t>
  </si>
  <si>
    <t xml:space="preserve">Pagado total: 29.523 €</t>
  </si>
  <si>
    <t xml:space="preserve">P1 Potencia</t>
  </si>
  <si>
    <t xml:space="preserve">DIF: 11.193 €  ·  Margen hist.: 27.5%</t>
  </si>
  <si>
    <t xml:space="preserve">P2 Potencia</t>
  </si>
  <si>
    <t xml:space="preserve">Mejor mes: 2024-06 · 3.014 € · margen 56%</t>
  </si>
  <si>
    <t xml:space="preserve">P3 Potencia</t>
  </si>
  <si>
    <t xml:space="preserve">Peor mes: 2024-11 · 701 € · margen 39%</t>
  </si>
  <si>
    <t xml:space="preserve">P4 Potencia</t>
  </si>
  <si>
    <t xml:space="preserve">⚠ Consumo en P1/P2 (calendario inactivo) → consolidado a P4/P5/P6</t>
  </si>
  <si>
    <t xml:space="preserve">P5 Potencia</t>
  </si>
  <si>
    <t xml:space="preserve">Importe mensual cobrado (€) · últimos 24 meses</t>
  </si>
  <si>
    <t xml:space="preserve">P6 Potencia</t>
  </si>
  <si>
    <t xml:space="preserve">P4 Energía</t>
  </si>
  <si>
    <t xml:space="preserve">Margen objetivo (edita el % aquí) ▶</t>
  </si>
  <si>
    <t xml:space="preserve">P5 Energía</t>
  </si>
  <si>
    <t xml:space="preserve">Cant. P4/P5/P6 suben en proporción</t>
  </si>
  <si>
    <t xml:space="preserve">P6 Energía</t>
  </si>
  <si>
    <t xml:space="preserve">para cumplir ese margen</t>
  </si>
  <si>
    <t xml:space="preserve">Alquiler contador</t>
  </si>
  <si>
    <t xml:space="preserve">Bono social</t>
  </si>
  <si>
    <t xml:space="preserve">Tasa eléctrica</t>
  </si>
  <si>
    <t xml:space="preserve">TOTAL c/IVA</t>
  </si>
  <si>
    <t xml:space="preserve">MARGEN sin registrar</t>
  </si>
  <si>
    <t xml:space="preserve">Factura 8545 · C01200 · SOLUCIONES GASTRONÓMICAS DE JAVEA 2014, S.L.</t>
  </si>
  <si>
    <t xml:space="preserve">ES0021000001209594ZK · Naturgy · 01/04/26 a 30/04/26 · PC maestro (=factura real, verificado)</t>
  </si>
  <si>
    <t xml:space="preserve">MES ANTERIOR · Fact.6297 (01/03/26 a 31/03/26)</t>
  </si>
  <si>
    <t xml:space="preserve">AÑO ANTERIOR · Fact.4514 (01/04/25 a 30/04/25)</t>
  </si>
  <si>
    <t xml:space="preserve">Cobrado total: 53.718 €</t>
  </si>
  <si>
    <t xml:space="preserve">Pagado total: 40.613 €</t>
  </si>
  <si>
    <t xml:space="preserve">DIF: 13.105 €  ·  Margen hist.: 24.4%</t>
  </si>
  <si>
    <t xml:space="preserve">Mejor mes: 2024-08 · 2.606 € · margen 23%</t>
  </si>
  <si>
    <t xml:space="preserve">Peor mes: 2023-01 · 446 € · margen 25%</t>
  </si>
  <si>
    <t xml:space="preserve">Factura 8546 · C03270 · LULU BEACH CLUB JAVEA SL</t>
  </si>
  <si>
    <t xml:space="preserve">ES0021000001205457LR · Naturgy · 01/04/26 a 30/04/26 · PC maestro (=factura real, verificado)</t>
  </si>
  <si>
    <t xml:space="preserve">MES ANTERIOR (s/d)</t>
  </si>
  <si>
    <t xml:space="preserve">AÑO ANTERIOR (s/d)</t>
  </si>
  <si>
    <t xml:space="preserve">Cobrado total: 12.272 €</t>
  </si>
  <si>
    <t xml:space="preserve">Pagado total: 9.764 €</t>
  </si>
  <si>
    <t xml:space="preserve">DIF: 2.509 €  ·  Margen hist.: 20.4%</t>
  </si>
  <si>
    <t xml:space="preserve">Mejor mes: 2026-05 · 3.747 € · margen 22%</t>
  </si>
  <si>
    <t xml:space="preserve">Peor mes: 2026-02 · 1.625 € · margen 27%</t>
  </si>
  <si>
    <t xml:space="preserve">✓ Lecturas 3/3 · productos · periodos OK</t>
  </si>
  <si>
    <t xml:space="preserve">Factura 8547 · C01770 · CASA LILI JAVEA, S.L.</t>
  </si>
  <si>
    <t xml:space="preserve">ES0021000012742166PW · ? · 01/04/26 a 30/04/26 · PC real leído: 01ABR_30ABR26 (real)</t>
  </si>
  <si>
    <t xml:space="preserve">MES ANTERIOR · Fact.6081 (01/03/26 a 31/03/26)</t>
  </si>
  <si>
    <t xml:space="preserve">AÑO ANTERIOR · Fact.4142 (01/04/25 a 30/04/25)</t>
  </si>
  <si>
    <t xml:space="preserve">Cobrado total: 130.569 €</t>
  </si>
  <si>
    <t xml:space="preserve">Pagado total: 74.176 €</t>
  </si>
  <si>
    <t xml:space="preserve">DIF: 56.393 €  ·  Margen hist.: 43.2%</t>
  </si>
  <si>
    <t xml:space="preserve">Mejor mes: 2024-01 · 5.457 € · margen 28%</t>
  </si>
  <si>
    <t xml:space="preserve">Peor mes: 2026-01 · 2.917 € · margen 20%</t>
  </si>
  <si>
    <t xml:space="preserve">Compensación excedentes</t>
  </si>
  <si>
    <t xml:space="preserve">sin venta</t>
  </si>
  <si>
    <t xml:space="preserve">Factura 8564 · C01930 · FUNDACIÓN FSU PROGRAMAS INTERNACIONALES</t>
  </si>
  <si>
    <t xml:space="preserve">ES0021000008997144KR · Naturgy · 01/04/26 a 30/04/26 · PC maestro (=factura real, verificado)</t>
  </si>
  <si>
    <t xml:space="preserve">MES ANTERIOR · Fact.6300 (01/03/26 a 31/03/26)</t>
  </si>
  <si>
    <t xml:space="preserve">AÑO ANTERIOR · Fact.4598 (01/04/25 a 30/04/25)</t>
  </si>
  <si>
    <t xml:space="preserve">Cobrado total: 18.857 €</t>
  </si>
  <si>
    <t xml:space="preserve">Pagado total: 13.790 €</t>
  </si>
  <si>
    <t xml:space="preserve">DIF: 5.067 €  ·  Margen hist.: 26.9%</t>
  </si>
  <si>
    <t xml:space="preserve">Mejor mes: 2025-10 · 816 € · margen 30%</t>
  </si>
  <si>
    <t xml:space="preserve">Peor mes: 2024-02 · 408 € · margen 37%</t>
  </si>
  <si>
    <t xml:space="preserve">Factura 8565 · C01920 · FUNDACIÓN FSU PROGRAMAS INTERNACIONALES</t>
  </si>
  <si>
    <t xml:space="preserve">ES0021000020111643FA · Naturgy · 01/04/26 a 30/04/26 · PC real leído: mismo contrato FSU (precio fijo)</t>
  </si>
  <si>
    <t xml:space="preserve">MES ANTERIOR · Fact.6299 (01/03/26 a 31/03/26)</t>
  </si>
  <si>
    <t xml:space="preserve">AÑO ANTERIOR · Fact.4599 (01/04/25 a 30/04/25)</t>
  </si>
  <si>
    <t xml:space="preserve">Cobrado total: 19.336 €</t>
  </si>
  <si>
    <t xml:space="preserve">Pagado total: 13.069 €</t>
  </si>
  <si>
    <t xml:space="preserve">DIF: 6.267 €  ·  Margen hist.: 32.4%</t>
  </si>
  <si>
    <t xml:space="preserve">Mejor mes: 2026-03 · 1.019 € · margen 57%</t>
  </si>
  <si>
    <t xml:space="preserve">Peor mes: 2024-12 · 207 € · margen -183%</t>
  </si>
  <si>
    <t xml:space="preserve">Factura 8566 · C01910 · FUNDACIÓN FSU PROGRAMAS INTERNACIONALES</t>
  </si>
  <si>
    <t xml:space="preserve">ES0021000020111642FW · Naturgy · 01/04/26 a 30/04/26 · PC real leído: 01ABR_30ABR26 (real)</t>
  </si>
  <si>
    <t xml:space="preserve">MES ANTERIOR · Fact.6302 (01/03/26 a 31/03/26)</t>
  </si>
  <si>
    <t xml:space="preserve">AÑO ANTERIOR · Fact.4600 (01/04/25 a 30/04/25)</t>
  </si>
  <si>
    <t xml:space="preserve">Cobrado total: 10.564 €</t>
  </si>
  <si>
    <t xml:space="preserve">Pagado total: 6.952 €</t>
  </si>
  <si>
    <t xml:space="preserve">DIF: 3.613 €  ·  Margen hist.: 34.2%</t>
  </si>
  <si>
    <t xml:space="preserve">Mejor mes: 2025-07 · 635 € · margen 22%</t>
  </si>
  <si>
    <t xml:space="preserve">Peor mes: 2024-08 · 167 € · margen 23%</t>
  </si>
  <si>
    <t xml:space="preserve">Factura 8567 · C00790 · CASA LILI, S.L.</t>
  </si>
  <si>
    <t xml:space="preserve">ES0021000001498860XQ · Naturgy · 01/04/26 a 30/04/26 · PC maestro (=factura real, verificado)</t>
  </si>
  <si>
    <t xml:space="preserve">MES ANTERIOR · Fact.5896 (01/03/26 a 31/03/26)</t>
  </si>
  <si>
    <t xml:space="preserve">AÑO ANTERIOR · Fact.3975 (01/04/25 a 30/04/25)</t>
  </si>
  <si>
    <t xml:space="preserve">Cobrado total: 151.868 €</t>
  </si>
  <si>
    <t xml:space="preserve">Pagado total: 90.364 €</t>
  </si>
  <si>
    <t xml:space="preserve">DIF: 61.504 €  ·  Margen hist.: 40.5%</t>
  </si>
  <si>
    <t xml:space="preserve">Mejor mes: 2023-06 · 5.345 € · margen 58%</t>
  </si>
  <si>
    <t xml:space="preserve">Peor mes: 2026-05 · 2.640 € · margen 42%</t>
  </si>
  <si>
    <t xml:space="preserve">Factura 8578 · C02180 · EDWIN BAUMGARTNER</t>
  </si>
  <si>
    <t xml:space="preserve">ES0021000010447948XB · Naturgy · 01/04/26 a 30/04/26 · PC maestro (=factura real, verificado)</t>
  </si>
  <si>
    <t xml:space="preserve">MES ANTERIOR · Fact.6391 (01/03/26 a 31/03/26)</t>
  </si>
  <si>
    <t xml:space="preserve">AÑO ANTERIOR · Fact.4581 (01/04/25 a 30/04/25)</t>
  </si>
  <si>
    <t xml:space="preserve">Cobrado total: 2.908 €</t>
  </si>
  <si>
    <t xml:space="preserve">Pagado total: 1.491 €</t>
  </si>
  <si>
    <t xml:space="preserve">DIF: 1.416 €  ·  Margen hist.: 48.7%</t>
  </si>
  <si>
    <t xml:space="preserve">Mejor mes: 2025-07 · 361 € · margen -11%</t>
  </si>
  <si>
    <t xml:space="preserve">Peor mes: 2026-04 · 39 € · margen 45%</t>
  </si>
  <si>
    <t xml:space="preserve">Factura 8615 · C01220 · VIVES ELECTRODOMÉSTICOS, S.L.</t>
  </si>
  <si>
    <t xml:space="preserve">ES0021000016067263EN · Repsol · 01/04/26 a 30/04/26 · PC real leído: 31ENE_28FEB26 plana</t>
  </si>
  <si>
    <t xml:space="preserve">MES ANTERIOR · Fact.6430 (01/03/26 a 31/03/26)</t>
  </si>
  <si>
    <t xml:space="preserve">AÑO ANTERIOR · Fact.4634 (01/04/25 a 30/04/25)</t>
  </si>
  <si>
    <t xml:space="preserve">Cobrado total: 26.925 €</t>
  </si>
  <si>
    <t xml:space="preserve">Pagado total: 18.410 €</t>
  </si>
  <si>
    <t xml:space="preserve">DIF: 8.515 €  ·  Margen hist.: 31.6%</t>
  </si>
  <si>
    <t xml:space="preserve">Mejor mes: 2024-07 · 1.167 € · margen 43%</t>
  </si>
  <si>
    <t xml:space="preserve">Peor mes: 2023-04 · 262 € · margen 61%</t>
  </si>
  <si>
    <t xml:space="preserve">Factura 8629 · C01510 · CAFE ZUR BACKSTUBE, S.L.</t>
  </si>
  <si>
    <t xml:space="preserve">ES0021000001210140SS · Naturgy · 01/04/26 a 30/04/26 · PC maestro (=factura real, verificado)</t>
  </si>
  <si>
    <t xml:space="preserve">MES ANTERIOR · Fact.6414 (01/03/26 a 31/03/26)</t>
  </si>
  <si>
    <t xml:space="preserve">AÑO ANTERIOR · Fact.4618 (01/04/25 a 30/04/25)</t>
  </si>
  <si>
    <t xml:space="preserve">Cobrado total: 6.193 €</t>
  </si>
  <si>
    <t xml:space="preserve">Pagado total: 3.952 €</t>
  </si>
  <si>
    <t xml:space="preserve">DIF: 2.241 €  ·  Margen hist.: 36.2%</t>
  </si>
  <si>
    <t xml:space="preserve">Mejor mes: 2023-06 · 843 € · margen 23%</t>
  </si>
  <si>
    <t xml:space="preserve">Peor mes: 2025-10 · 110 € · margen 32%</t>
  </si>
  <si>
    <t xml:space="preserve">Factura 8635 · C01630 · ALEJANDRO BOX CANDELA</t>
  </si>
  <si>
    <t xml:space="preserve">ES0021000001209877GM · Naturgy · 01/04/26 a 30/04/26 · PC maestro (=factura real, verificado)</t>
  </si>
  <si>
    <t xml:space="preserve">MES ANTERIOR · Fact.6408 (01/03/26 a 31/03/26)</t>
  </si>
  <si>
    <t xml:space="preserve">AÑO ANTERIOR · Fact.4511 (01/04/25 a 30/04/25)</t>
  </si>
  <si>
    <t xml:space="preserve">Cobrado total: 31.335 €</t>
  </si>
  <si>
    <t xml:space="preserve">Pagado total: 22.659 €</t>
  </si>
  <si>
    <t xml:space="preserve">DIF: 8.677 €  ·  Margen hist.: 27.7%</t>
  </si>
  <si>
    <t xml:space="preserve">Mejor mes: 2025-08 · 1.864 € · margen 50%</t>
  </si>
  <si>
    <t xml:space="preserve">Peor mes: 2023-11 · 137 € · margen -34%</t>
  </si>
  <si>
    <t xml:space="preserve">Factura 8638 · C01710 · FARMACIA ESPINÓS</t>
  </si>
  <si>
    <t xml:space="preserve">ES0021000001207126EZ · Repsol · 01/04/26 a 30/04/26 · PC real leído: 30ABR_31MAY26</t>
  </si>
  <si>
    <t xml:space="preserve">MES ANTERIOR · Fact.6405 (01/03/26 a 31/03/26)</t>
  </si>
  <si>
    <t xml:space="preserve">AÑO ANTERIOR · Fact.4610 (01/04/25 a 30/04/25)</t>
  </si>
  <si>
    <t xml:space="preserve">Cobrado total: 14.704 €</t>
  </si>
  <si>
    <t xml:space="preserve">Pagado total: 10.985 €</t>
  </si>
  <si>
    <t xml:space="preserve">DIF: 3.720 €  ·  Margen hist.: 25.3%</t>
  </si>
  <si>
    <t xml:space="preserve">Mejor mes: 2024-07 · 693 € · margen 38%</t>
  </si>
  <si>
    <t xml:space="preserve">Peor mes: 2026-04 · 161 € · margen -36%</t>
  </si>
  <si>
    <t xml:space="preserve">Factura 8644 · C01840 · JOSE GUILLERMO CHOLBI SART</t>
  </si>
  <si>
    <t xml:space="preserve">ES0021000001195518TK · Naturgy · 01/04/26 a 30/04/26 · PC maestro (=factura real, verificado)</t>
  </si>
  <si>
    <t xml:space="preserve">MES ANTERIOR · Fact.5532 (01/10/25 a 31/10/25)</t>
  </si>
  <si>
    <t xml:space="preserve">AÑO ANTERIOR · Fact.4542 (01/04/25 a 30/04/25)</t>
  </si>
  <si>
    <t xml:space="preserve">Cobrado total: 3.368 €</t>
  </si>
  <si>
    <t xml:space="preserve">Pagado total: 2.747 €</t>
  </si>
  <si>
    <t xml:space="preserve">DIF: 621 €  ·  Margen hist.: 18.4%</t>
  </si>
  <si>
    <t xml:space="preserve">Mejor mes: 2025-07 · 241 € · margen 26%</t>
  </si>
  <si>
    <t xml:space="preserve">Peor mes: 2023-11 · 44 € · margen 6%</t>
  </si>
  <si>
    <t xml:space="preserve">Factura 8649 · C01980 · TINTORERÍA LAVANDERÍA COLOMER</t>
  </si>
  <si>
    <t xml:space="preserve">ES0021000001194238ZY · Repsol · 01/04/26 a 30/04/26 · PC real leído: 30SEP_31OCT25 (último archivado)</t>
  </si>
  <si>
    <t xml:space="preserve">MES ANTERIOR · Fact.6394 (01/03/26 a 31/03/26)</t>
  </si>
  <si>
    <t xml:space="preserve">AÑO ANTERIOR · Fact.4509 (01/04/25 a 30/04/25)</t>
  </si>
  <si>
    <t xml:space="preserve">Cobrado total: 15.418 €</t>
  </si>
  <si>
    <t xml:space="preserve">Pagado total: 12.288 €</t>
  </si>
  <si>
    <t xml:space="preserve">DIF: 3.130 €  ·  Margen hist.: 20.3%</t>
  </si>
  <si>
    <t xml:space="preserve">Mejor mes: 2024-05 · 821 € · margen 36%</t>
  </si>
  <si>
    <t xml:space="preserve">Peor mes: 2024-02 · 370 € · margen 52%</t>
  </si>
  <si>
    <t xml:space="preserve">Factura 8652 · C02180 · EDWIN BAUMGARTNER</t>
  </si>
  <si>
    <t xml:space="preserve">Factura 8669 · C02600 · CRISTIAN FERRARI</t>
  </si>
  <si>
    <t xml:space="preserve">ES0021000020674389WP · Naturgy · 01/04/26 a 30/04/26 · PC maestro (=factura real, verificado)</t>
  </si>
  <si>
    <t xml:space="preserve">MES ANTERIOR · Fact.6374 (01/03/26 a 31/03/26)</t>
  </si>
  <si>
    <t xml:space="preserve">AÑO ANTERIOR · Fact.4562 (01/04/25 a 30/04/25)</t>
  </si>
  <si>
    <t xml:space="preserve">Cobrado total: 5.898 €</t>
  </si>
  <si>
    <t xml:space="preserve">Pagado total: 4.174 €</t>
  </si>
  <si>
    <t xml:space="preserve">DIF: 1.724 €  ·  Margen hist.: 29.2%</t>
  </si>
  <si>
    <t xml:space="preserve">Mejor mes: 2025-09 · 403 € · margen 33%</t>
  </si>
  <si>
    <t xml:space="preserve">Peor mes: 2026-04 · 247 € · margen 30%</t>
  </si>
  <si>
    <t xml:space="preserve">Factura 8684 · C02910 · NICHOLAS JAMES RATCLIFFE</t>
  </si>
  <si>
    <t xml:space="preserve">ES0021000015846775GW · Repsol · 01/04/26 a 30/04/26 · PC maestro (=factura real, verificado)</t>
  </si>
  <si>
    <t xml:space="preserve">MES ANTERIOR · Fact.6360 (01/03/26 a 31/03/26)</t>
  </si>
  <si>
    <t xml:space="preserve">Cobrado total: 4.742 €</t>
  </si>
  <si>
    <t xml:space="preserve">Pagado total: 2.732 €</t>
  </si>
  <si>
    <t xml:space="preserve">DIF: 2.009 €  ·  Margen hist.: 42.4%</t>
  </si>
  <si>
    <t xml:space="preserve">Mejor mes: 2025-08 · 757 € · margen 32%</t>
  </si>
  <si>
    <t xml:space="preserve">Peor mes: 2025-03 · 52 € · margen 36%</t>
  </si>
  <si>
    <t xml:space="preserve">Factura 8691 · C03020 · MONTGO SEGURIDAD S.L.</t>
  </si>
  <si>
    <t xml:space="preserve">ES0021000043781374JC · Repsol · 01/04/26 a 30/04/26 · PC maestro (=factura real, verificado)</t>
  </si>
  <si>
    <t xml:space="preserve">MES ANTERIOR · Fact.6351 (01/03/26 a 31/03/26)</t>
  </si>
  <si>
    <t xml:space="preserve">Cobrado total: 2.757 €</t>
  </si>
  <si>
    <t xml:space="preserve">Pagado total: 2.333 €</t>
  </si>
  <si>
    <t xml:space="preserve">DIF: 423 €  ·  Margen hist.: 15.4%</t>
  </si>
  <si>
    <t xml:space="preserve">Mejor mes: 2026-01 · 528 € · margen 26%</t>
  </si>
  <si>
    <t xml:space="preserve">Peor mes: 2026-04 · 257 € · margen 17%</t>
  </si>
  <si>
    <t xml:space="preserve">Factura 8705 · C03200 · 2 HANDS FULL, S.L</t>
  </si>
  <si>
    <t xml:space="preserve">ES0021000001210751LM · Repsol · 01/04/26 a 30/04/26 · PC maestro (=factura real, verificado)</t>
  </si>
  <si>
    <t xml:space="preserve">MES ANTERIOR · Fact.6317 (01/03/26 a 31/03/26)</t>
  </si>
  <si>
    <t xml:space="preserve">Cobrado total: 3.844 €</t>
  </si>
  <si>
    <t xml:space="preserve">Pagado total: 3.280 €</t>
  </si>
  <si>
    <t xml:space="preserve">DIF: 564 €  ·  Margen hist.: 14.7%</t>
  </si>
  <si>
    <t xml:space="preserve">Mejor mes: 2026-05 · 1.224 € · margen 11%</t>
  </si>
  <si>
    <t xml:space="preserve">Peor mes: 2026-02 · 713 € · margen 25%</t>
  </si>
  <si>
    <t xml:space="preserve">Factura 8731 · C01500 · SANTIAGO JAVIER NUÑEZ JOVER</t>
  </si>
  <si>
    <t xml:space="preserve">ES0021000037410824EX · Repsol · 01/04/26 a 30/04/26 · PC real leído: 31ENE_28FEB26 (2026 real)</t>
  </si>
  <si>
    <t xml:space="preserve">MES ANTERIOR · Fact.6415 (01/03/26 a 31/03/26)</t>
  </si>
  <si>
    <t xml:space="preserve">AÑO ANTERIOR · Fact.4513 (01/04/25 a 30/04/25)</t>
  </si>
  <si>
    <t xml:space="preserve">Cobrado total: 43.740 €</t>
  </si>
  <si>
    <t xml:space="preserve">Pagado total: 30.375 €</t>
  </si>
  <si>
    <t xml:space="preserve">DIF: 13.365 €  ·  Margen hist.: 30.6%</t>
  </si>
  <si>
    <t xml:space="preserve">Mejor mes: 2023-08 · 2.624 € · margen 21%</t>
  </si>
  <si>
    <t xml:space="preserve">Peor mes: 2026-01 · 576 € · margen -1%</t>
  </si>
  <si>
    <t xml:space="preserve">Factura 8732 · C02430 · CINDY DEPERE</t>
  </si>
  <si>
    <t xml:space="preserve">ES0021000013419235MC · Naturgy · 01/04/26 a 30/04/26 · PC real leído: 01MAY_31MAY26 (real)</t>
  </si>
  <si>
    <t xml:space="preserve">MES ANTERIOR · Fact.6320 (01/03/26 a 31/03/26)</t>
  </si>
  <si>
    <t xml:space="preserve">AÑO ANTERIOR · Fact.4507 (01/04/25 a 30/04/25)</t>
  </si>
  <si>
    <t xml:space="preserve">Cobrado total: 14.442 €</t>
  </si>
  <si>
    <t xml:space="preserve">Pagado total: 9.963 €</t>
  </si>
  <si>
    <t xml:space="preserve">DIF: 4.479 €  ·  Margen hist.: 31.0%</t>
  </si>
  <si>
    <t xml:space="preserve">Mejor mes: 2024-12 · 932 € · margen 5%</t>
  </si>
  <si>
    <t xml:space="preserve">Peor mes: 2026-05 · 309 € · margen 42%</t>
  </si>
  <si>
    <t xml:space="preserve">Factura 8733 · C03410 · NORAY PUERTO 2012 S.L.</t>
  </si>
  <si>
    <t xml:space="preserve">ES0021000001194487WW · Naturgy · 01/04/26 a 30/04/26 · PC maestro (=factura real, verificado)</t>
  </si>
  <si>
    <t xml:space="preserve">MES ANTERIOR · Fact.6316 (24/03/26 a 31/03/26)</t>
  </si>
  <si>
    <t xml:space="preserve">Cobrado total: 5.855 €</t>
  </si>
  <si>
    <t xml:space="preserve">Pagado total: 3.944 €</t>
  </si>
  <si>
    <t xml:space="preserve">DIF: 1.911 €  ·  Margen hist.: 32.6%</t>
  </si>
  <si>
    <t xml:space="preserve">Mejor mes: 2026-05 · 2.529 € · margen 24%</t>
  </si>
  <si>
    <t xml:space="preserve">Peor mes: 2026-03 · 850 € · margen 54%</t>
  </si>
  <si>
    <t xml:space="preserve">⚠ Consumo en P3 (calendario inactivo) → consolidado a P4/P5/P6</t>
  </si>
  <si>
    <t xml:space="preserve">Factura 8734 · C01820 · PIZZERIA TIGER, S.L.</t>
  </si>
  <si>
    <t xml:space="preserve">ES0021000001502015DC · Naturgy · 01/04/26 a 30/04/26 · PC maestro (=factura real, verificado)</t>
  </si>
  <si>
    <t xml:space="preserve">MES ANTERIOR · Fact.6466 (01/03/26 a 31/03/26)</t>
  </si>
  <si>
    <t xml:space="preserve">AÑO ANTERIOR · Fact.4510 (01/04/25 a 30/04/25)</t>
  </si>
  <si>
    <t xml:space="preserve">Cobrado total: 33.692 €</t>
  </si>
  <si>
    <t xml:space="preserve">Pagado total: 21.997 €</t>
  </si>
  <si>
    <t xml:space="preserve">DIF: 11.696 €  ·  Margen hist.: 34.7%</t>
  </si>
  <si>
    <t xml:space="preserve">Mejor mes: 2024-08 · 2.411 € · margen 30%</t>
  </si>
  <si>
    <t xml:space="preserve">Peor mes: 2024-01 · 134 € · margen 22%</t>
  </si>
  <si>
    <t xml:space="preserve">Factura 8735 · C02700 · TALLERES MARTINEZ JAVEA SL</t>
  </si>
  <si>
    <t xml:space="preserve">ES0021000001198420NW · Repsol · 01/04/26 a 30/04/26 · PC maestro (=factura real, verificado)</t>
  </si>
  <si>
    <t xml:space="preserve">MES ANTERIOR · Fact.6319 (01/03/26 a 31/03/26)</t>
  </si>
  <si>
    <t xml:space="preserve">AÑO ANTERIOR · Fact.4505 (01/04/25 a 30/04/25)</t>
  </si>
  <si>
    <t xml:space="preserve">Cobrado total: 14.833 €</t>
  </si>
  <si>
    <t xml:space="preserve">Pagado total: 12.919 €</t>
  </si>
  <si>
    <t xml:space="preserve">DIF: 1.914 €  ·  Margen hist.: 12.9%</t>
  </si>
  <si>
    <t xml:space="preserve">Mejor mes: 2026-03 · 1.077 € · margen 21%</t>
  </si>
  <si>
    <t xml:space="preserve">Peor mes: 2025-06 · 801 € · margen 11%</t>
  </si>
  <si>
    <t xml:space="preserve">Factura 8737 · C00740 · PIZZERIA ORBA, S.L.</t>
  </si>
  <si>
    <t xml:space="preserve">ES0021000017299736HF · Naturgy · 01/04/26 a 30/04/26 · PC real leído: 01ABR_30ABR26</t>
  </si>
  <si>
    <t xml:space="preserve">MES ANTERIOR · Fact.5925 (01/03/26 a 31/03/26)</t>
  </si>
  <si>
    <t xml:space="preserve">AÑO ANTERIOR · Fact.4516 (01/04/25 a 30/04/25)</t>
  </si>
  <si>
    <t xml:space="preserve">Cobrado total: 82.412 €</t>
  </si>
  <si>
    <t xml:space="preserve">Pagado total: 56.559 €</t>
  </si>
  <si>
    <t xml:space="preserve">DIF: 25.853 €  ·  Margen hist.: 31.4%</t>
  </si>
  <si>
    <t xml:space="preserve">Mejor mes: 2023-08 · 4.242 € · margen 28%</t>
  </si>
  <si>
    <t xml:space="preserve">Peor mes: 2025-02 · 1.147 € · margen 2%</t>
  </si>
  <si>
    <t xml:space="preserve">Factura 8738 · C02620 · JAVEA PADEL &amp; Tenis SL</t>
  </si>
  <si>
    <t xml:space="preserve">ES0021000001197843XT · Naturgy · 01/04/26 a 30/04/26 · PC maestro (=factura real, verificado)</t>
  </si>
  <si>
    <t xml:space="preserve">MES ANTERIOR · Fact.6294 (01/03/26 a 31/03/26)</t>
  </si>
  <si>
    <t xml:space="preserve">AÑO ANTERIOR · Fact.3965 (01/04/25 a 30/04/25)</t>
  </si>
  <si>
    <t xml:space="preserve">Cobrado total: 40.860 €</t>
  </si>
  <si>
    <t xml:space="preserve">Pagado total: 27.625 €</t>
  </si>
  <si>
    <t xml:space="preserve">DIF: 13.235 €  ·  Margen hist.: 32.4%</t>
  </si>
  <si>
    <t xml:space="preserve">Mejor mes: 2025-08 · 3.443 € · margen 43%</t>
  </si>
  <si>
    <t xml:space="preserve">Peor mes: 2024-11 · 1.197 € · margen 4%</t>
  </si>
  <si>
    <t xml:space="preserve">nf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</si>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</sst>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&quot; €&quot;"/>
    <numFmt numFmtId="167" formatCode="#,##0.00"/>
    <numFmt numFmtId="168" formatCode="0.00000"/>
    <numFmt numFmtId="169" formatCode="#,##0.0"/>
    <numFmt numFmtId="170" formatCode="0.000000"/>
    <numFmt numFmtId="171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04040"/>
        <bgColor rgb="FF1F3864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B4B4"/>
      </patternFill>
    </fill>
    <fill>
      <patternFill patternType="solid">
        <fgColor rgb="FF2F5496"/>
        <bgColor rgb="FF1F3864"/>
      </patternFill>
    </fill>
    <fill>
      <patternFill patternType="solid">
        <fgColor rgb="FFF0F0F0"/>
        <bgColor rgb="FFF2F2F2"/>
      </patternFill>
    </fill>
    <fill>
      <patternFill patternType="solid">
        <fgColor rgb="FF7030A0"/>
        <bgColor rgb="FF800080"/>
      </patternFill>
    </fill>
    <fill>
      <patternFill patternType="solid">
        <fgColor rgb="FF8EAADB"/>
        <bgColor rgb="FF878787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E2EFDA"/>
        <bgColor rgb="FFF0F0F0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0F0F0"/>
      </patternFill>
    </fill>
    <fill>
      <patternFill patternType="solid">
        <fgColor rgb="FFFFF2CC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D24D"/>
        <bgColor rgb="FFFFEB9C"/>
      </patternFill>
    </fill>
    <fill>
      <patternFill patternType="solid">
        <fgColor rgb="FFF8B4B4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8EAADB"/>
      <rgbColor rgb="FFBE4B48"/>
      <rgbColor rgb="FFFFF2CC"/>
      <rgbColor rgb="FFE2EFDA"/>
      <rgbColor rgb="FF660066"/>
      <rgbColor rgb="FFFF8080"/>
      <rgbColor rgb="FF0066CC"/>
      <rgbColor rgb="FFD0D0D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F0F0F0"/>
      <rgbColor rgb="FFC6EFCE"/>
      <rgbColor rgb="FFFFEB9C"/>
      <rgbColor rgb="FFD9E1F2"/>
      <rgbColor rgb="FFF8B4B4"/>
      <rgbColor rgb="FFFCE4D6"/>
      <rgbColor rgb="FFFFC7CE"/>
      <rgbColor rgb="FF4472C4"/>
      <rgbColor rgb="FF33CCCC"/>
      <rgbColor rgb="FF99CC00"/>
      <rgbColor rgb="FFFFD24D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7030A0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_series!$B$2:$Y$2</c:f>
              <c:numCache>
                <c:formatCode>General</c:formatCode>
                <c:ptCount val="24"/>
                <c:pt idx="0">
                  <c:v>1823.2</c:v>
                </c:pt>
                <c:pt idx="1">
                  <c:v>2200.79</c:v>
                </c:pt>
                <c:pt idx="2">
                  <c:v>1506.86</c:v>
                </c:pt>
                <c:pt idx="3">
                  <c:v>1294.73</c:v>
                </c:pt>
                <c:pt idx="4">
                  <c:v>701.24</c:v>
                </c:pt>
                <c:pt idx="5">
                  <c:v>2057.58</c:v>
                </c:pt>
                <c:pt idx="6">
                  <c:v>704.65</c:v>
                </c:pt>
                <c:pt idx="7">
                  <c:v>1131.33</c:v>
                </c:pt>
                <c:pt idx="8">
                  <c:v>1195.22</c:v>
                </c:pt>
                <c:pt idx="9">
                  <c:v>1397.39</c:v>
                </c:pt>
                <c:pt idx="10">
                  <c:v>1489.78</c:v>
                </c:pt>
                <c:pt idx="11">
                  <c:v>1604.92</c:v>
                </c:pt>
                <c:pt idx="12">
                  <c:v>2264.68</c:v>
                </c:pt>
                <c:pt idx="13">
                  <c:v>2392.22</c:v>
                </c:pt>
                <c:pt idx="14">
                  <c:v>1906.5</c:v>
                </c:pt>
                <c:pt idx="15">
                  <c:v>1541.7</c:v>
                </c:pt>
                <c:pt idx="16">
                  <c:v>1553.06</c:v>
                </c:pt>
                <c:pt idx="17">
                  <c:v>1623.98</c:v>
                </c:pt>
                <c:pt idx="18">
                  <c:v>1669.87</c:v>
                </c:pt>
                <c:pt idx="19">
                  <c:v>1287.26</c:v>
                </c:pt>
                <c:pt idx="20">
                  <c:v>1560.23</c:v>
                </c:pt>
                <c:pt idx="21">
                  <c:v>1696.52</c:v>
                </c:pt>
                <c:pt idx="22">
                  <c:v>1398.99</c:v>
                </c:pt>
                <c:pt idx="23">
                  <c:v>1699.39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939234"/>
        <c:axId val="20339555"/>
      </c:lineChart>
      <c:catAx>
        <c:axId val="90939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39555"/>
        <c:crosses val="autoZero"/>
        <c:auto val="1"/>
        <c:lblAlgn val="ctr"/>
        <c:lblOffset val="100"/>
        <c:noMultiLvlLbl val="0"/>
      </c:catAx>
      <c:valAx>
        <c:axId val="203395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39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_series!$B$3:$Y$3</c:f>
              <c:numCache>
                <c:formatCode>General</c:formatCode>
                <c:ptCount val="24"/>
                <c:pt idx="0">
                  <c:v>2278.23</c:v>
                </c:pt>
                <c:pt idx="1">
                  <c:v>2606.49</c:v>
                </c:pt>
                <c:pt idx="2">
                  <c:v>1372.78</c:v>
                </c:pt>
                <c:pt idx="3">
                  <c:v>1218.04</c:v>
                </c:pt>
                <c:pt idx="4">
                  <c:v>852.42</c:v>
                </c:pt>
                <c:pt idx="5">
                  <c:v>892.96</c:v>
                </c:pt>
                <c:pt idx="6">
                  <c:v>526.46</c:v>
                </c:pt>
                <c:pt idx="7">
                  <c:v>703.02</c:v>
                </c:pt>
                <c:pt idx="8">
                  <c:v>973.88</c:v>
                </c:pt>
                <c:pt idx="9">
                  <c:v>1071.5</c:v>
                </c:pt>
                <c:pt idx="10">
                  <c:v>1198.45</c:v>
                </c:pt>
                <c:pt idx="11">
                  <c:v>1352.91</c:v>
                </c:pt>
                <c:pt idx="12">
                  <c:v>2137.78</c:v>
                </c:pt>
                <c:pt idx="13">
                  <c:v>2576.37</c:v>
                </c:pt>
                <c:pt idx="14">
                  <c:v>1966.13</c:v>
                </c:pt>
                <c:pt idx="15">
                  <c:v>1508.21</c:v>
                </c:pt>
                <c:pt idx="16">
                  <c:v>982.22</c:v>
                </c:pt>
                <c:pt idx="17">
                  <c:v>980.76</c:v>
                </c:pt>
                <c:pt idx="18">
                  <c:v>639.12</c:v>
                </c:pt>
                <c:pt idx="19">
                  <c:v>1081.39</c:v>
                </c:pt>
                <c:pt idx="20">
                  <c:v>1166.31</c:v>
                </c:pt>
                <c:pt idx="21">
                  <c:v>1408.31</c:v>
                </c:pt>
                <c:pt idx="22">
                  <c:v>1317.52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336732"/>
        <c:axId val="17911978"/>
      </c:lineChart>
      <c:catAx>
        <c:axId val="24336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11978"/>
        <c:crosses val="autoZero"/>
        <c:auto val="1"/>
        <c:lblAlgn val="ctr"/>
        <c:lblOffset val="100"/>
        <c:noMultiLvlLbl val="0"/>
      </c:catAx>
      <c:valAx>
        <c:axId val="179119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367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1625.21</c:v>
                </c:pt>
                <c:pt idx="20">
                  <c:v>3262.26</c:v>
                </c:pt>
                <c:pt idx="21">
                  <c:v>3637.92</c:v>
                </c:pt>
                <c:pt idx="22">
                  <c:v>3747.07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972732"/>
        <c:axId val="34959709"/>
      </c:lineChart>
      <c:catAx>
        <c:axId val="11972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59709"/>
        <c:crosses val="autoZero"/>
        <c:auto val="1"/>
        <c:lblAlgn val="ctr"/>
        <c:lblOffset val="100"/>
        <c:noMultiLvlLbl val="0"/>
      </c:catAx>
      <c:valAx>
        <c:axId val="349597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727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_series!$B$5:$Y$5</c:f>
              <c:numCache>
                <c:formatCode>General</c:formatCode>
                <c:ptCount val="24"/>
                <c:pt idx="0">
                  <c:v>4696.57</c:v>
                </c:pt>
                <c:pt idx="1">
                  <c:v>5119.32</c:v>
                </c:pt>
                <c:pt idx="2">
                  <c:v>3940.09</c:v>
                </c:pt>
                <c:pt idx="3">
                  <c:v>4434.05</c:v>
                </c:pt>
                <c:pt idx="4">
                  <c:v>4230.84</c:v>
                </c:pt>
                <c:pt idx="5">
                  <c:v>4056.83</c:v>
                </c:pt>
                <c:pt idx="6">
                  <c:v>3691.35</c:v>
                </c:pt>
                <c:pt idx="7">
                  <c:v>4434.05</c:v>
                </c:pt>
                <c:pt idx="8">
                  <c:v>4606.23</c:v>
                </c:pt>
                <c:pt idx="9">
                  <c:v>3691.35</c:v>
                </c:pt>
                <c:pt idx="10">
                  <c:v>3472.32</c:v>
                </c:pt>
                <c:pt idx="11">
                  <c:v>3278.22</c:v>
                </c:pt>
                <c:pt idx="12">
                  <c:v>4267.48</c:v>
                </c:pt>
                <c:pt idx="13">
                  <c:v>4424.02</c:v>
                </c:pt>
                <c:pt idx="14">
                  <c:v>3939.03</c:v>
                </c:pt>
                <c:pt idx="15">
                  <c:v>3404.76</c:v>
                </c:pt>
                <c:pt idx="16">
                  <c:v>3733.87</c:v>
                </c:pt>
                <c:pt idx="17">
                  <c:v>3769.58</c:v>
                </c:pt>
                <c:pt idx="18">
                  <c:v>2917.21</c:v>
                </c:pt>
                <c:pt idx="19">
                  <c:v>3522.69</c:v>
                </c:pt>
                <c:pt idx="20">
                  <c:v>3557.98</c:v>
                </c:pt>
                <c:pt idx="21">
                  <c:v>3087.33</c:v>
                </c:pt>
                <c:pt idx="22">
                  <c:v>3133.52</c:v>
                </c:pt>
                <c:pt idx="23">
                  <c:v>3743.04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54497"/>
        <c:axId val="74606146"/>
      </c:lineChart>
      <c:catAx>
        <c:axId val="3254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06146"/>
        <c:crosses val="autoZero"/>
        <c:auto val="1"/>
        <c:lblAlgn val="ctr"/>
        <c:lblOffset val="100"/>
        <c:noMultiLvlLbl val="0"/>
      </c:catAx>
      <c:valAx>
        <c:axId val="746061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4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_series!$B$6:$Y$6</c:f>
              <c:numCache>
                <c:formatCode>General</c:formatCode>
                <c:ptCount val="24"/>
                <c:pt idx="0">
                  <c:v>643.79</c:v>
                </c:pt>
                <c:pt idx="1">
                  <c:v>476.53</c:v>
                </c:pt>
                <c:pt idx="2">
                  <c:v>592.3</c:v>
                </c:pt>
                <c:pt idx="3">
                  <c:v>631.06</c:v>
                </c:pt>
                <c:pt idx="4">
                  <c:v>457.49</c:v>
                </c:pt>
                <c:pt idx="5">
                  <c:v>578.16</c:v>
                </c:pt>
                <c:pt idx="6">
                  <c:v>596.33</c:v>
                </c:pt>
                <c:pt idx="7">
                  <c:v>602.79</c:v>
                </c:pt>
                <c:pt idx="8">
                  <c:v>791.23</c:v>
                </c:pt>
                <c:pt idx="9">
                  <c:v>624.49</c:v>
                </c:pt>
                <c:pt idx="10">
                  <c:v>601.33</c:v>
                </c:pt>
                <c:pt idx="11">
                  <c:v>711.31</c:v>
                </c:pt>
                <c:pt idx="12">
                  <c:v>738.16</c:v>
                </c:pt>
                <c:pt idx="13">
                  <c:v>605.43</c:v>
                </c:pt>
                <c:pt idx="14">
                  <c:v>803.47</c:v>
                </c:pt>
                <c:pt idx="15">
                  <c:v>816.36</c:v>
                </c:pt>
                <c:pt idx="16">
                  <c:v>572.69</c:v>
                </c:pt>
                <c:pt idx="17">
                  <c:v>690.5</c:v>
                </c:pt>
                <c:pt idx="18">
                  <c:v>712.22</c:v>
                </c:pt>
                <c:pt idx="19">
                  <c:v>695.09</c:v>
                </c:pt>
                <c:pt idx="20">
                  <c:v>791.23</c:v>
                </c:pt>
                <c:pt idx="21">
                  <c:v>741.17</c:v>
                </c:pt>
                <c:pt idx="22">
                  <c:v>782.58</c:v>
                </c:pt>
                <c:pt idx="23">
                  <c:v>755.25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584191"/>
        <c:axId val="71862000"/>
      </c:lineChart>
      <c:catAx>
        <c:axId val="215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62000"/>
        <c:crosses val="autoZero"/>
        <c:auto val="1"/>
        <c:lblAlgn val="ctr"/>
        <c:lblOffset val="100"/>
        <c:noMultiLvlLbl val="0"/>
      </c:catAx>
      <c:valAx>
        <c:axId val="7186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841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_series!$B$7:$Y$7</c:f>
              <c:numCache>
                <c:formatCode>General</c:formatCode>
                <c:ptCount val="24"/>
                <c:pt idx="0">
                  <c:v>632.44</c:v>
                </c:pt>
                <c:pt idx="1">
                  <c:v>592.69</c:v>
                </c:pt>
                <c:pt idx="2">
                  <c:v>610.04</c:v>
                </c:pt>
                <c:pt idx="3">
                  <c:v>632.66</c:v>
                </c:pt>
                <c:pt idx="4">
                  <c:v>637.18</c:v>
                </c:pt>
                <c:pt idx="5">
                  <c:v>207.37</c:v>
                </c:pt>
                <c:pt idx="6">
                  <c:v>706.19</c:v>
                </c:pt>
                <c:pt idx="7">
                  <c:v>645.52</c:v>
                </c:pt>
                <c:pt idx="8">
                  <c:v>899.33</c:v>
                </c:pt>
                <c:pt idx="9">
                  <c:v>591.1</c:v>
                </c:pt>
                <c:pt idx="10">
                  <c:v>643.89</c:v>
                </c:pt>
                <c:pt idx="11">
                  <c:v>696.92</c:v>
                </c:pt>
                <c:pt idx="12">
                  <c:v>731.73</c:v>
                </c:pt>
                <c:pt idx="13">
                  <c:v>688.65</c:v>
                </c:pt>
                <c:pt idx="14">
                  <c:v>794.97</c:v>
                </c:pt>
                <c:pt idx="15">
                  <c:v>824.16</c:v>
                </c:pt>
                <c:pt idx="16">
                  <c:v>684.8</c:v>
                </c:pt>
                <c:pt idx="17">
                  <c:v>331.28</c:v>
                </c:pt>
                <c:pt idx="18">
                  <c:v>819.21</c:v>
                </c:pt>
                <c:pt idx="19">
                  <c:v>753.83</c:v>
                </c:pt>
                <c:pt idx="20">
                  <c:v>1018.62</c:v>
                </c:pt>
                <c:pt idx="21">
                  <c:v>685.61</c:v>
                </c:pt>
                <c:pt idx="22">
                  <c:v>741.79</c:v>
                </c:pt>
                <c:pt idx="23">
                  <c:v>789.76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40335"/>
        <c:axId val="54740602"/>
      </c:lineChart>
      <c:catAx>
        <c:axId val="986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40602"/>
        <c:crosses val="autoZero"/>
        <c:auto val="1"/>
        <c:lblAlgn val="ctr"/>
        <c:lblOffset val="100"/>
        <c:noMultiLvlLbl val="0"/>
      </c:catAx>
      <c:valAx>
        <c:axId val="547406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403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_series!$B$8:$Y$8</c:f>
              <c:numCache>
                <c:formatCode>General</c:formatCode>
                <c:ptCount val="24"/>
                <c:pt idx="0">
                  <c:v>524.5</c:v>
                </c:pt>
                <c:pt idx="1">
                  <c:v>166.78</c:v>
                </c:pt>
                <c:pt idx="2">
                  <c:v>444.46</c:v>
                </c:pt>
                <c:pt idx="3">
                  <c:v>345.59</c:v>
                </c:pt>
                <c:pt idx="4">
                  <c:v>0</c:v>
                </c:pt>
                <c:pt idx="5">
                  <c:v>233.91</c:v>
                </c:pt>
                <c:pt idx="6">
                  <c:v>294.11</c:v>
                </c:pt>
                <c:pt idx="7">
                  <c:v>270.48</c:v>
                </c:pt>
                <c:pt idx="8">
                  <c:v>383.23</c:v>
                </c:pt>
                <c:pt idx="9">
                  <c:v>290.33</c:v>
                </c:pt>
                <c:pt idx="10">
                  <c:v>336.88</c:v>
                </c:pt>
                <c:pt idx="11">
                  <c:v>502.61</c:v>
                </c:pt>
                <c:pt idx="12">
                  <c:v>634.9</c:v>
                </c:pt>
                <c:pt idx="13">
                  <c:v>239.55</c:v>
                </c:pt>
                <c:pt idx="14">
                  <c:v>628.5</c:v>
                </c:pt>
                <c:pt idx="15">
                  <c:v>440.92</c:v>
                </c:pt>
                <c:pt idx="16">
                  <c:v>411.49</c:v>
                </c:pt>
                <c:pt idx="17">
                  <c:v>407.39</c:v>
                </c:pt>
                <c:pt idx="18">
                  <c:v>420.96</c:v>
                </c:pt>
                <c:pt idx="19">
                  <c:v>391.83</c:v>
                </c:pt>
                <c:pt idx="20">
                  <c:v>427.24</c:v>
                </c:pt>
                <c:pt idx="21">
                  <c:v>354.48</c:v>
                </c:pt>
                <c:pt idx="22">
                  <c:v>412.63</c:v>
                </c:pt>
                <c:pt idx="23">
                  <c:v>593.22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161153"/>
        <c:axId val="55472253"/>
      </c:lineChart>
      <c:catAx>
        <c:axId val="27161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72253"/>
        <c:crosses val="autoZero"/>
        <c:auto val="1"/>
        <c:lblAlgn val="ctr"/>
        <c:lblOffset val="100"/>
        <c:noMultiLvlLbl val="0"/>
      </c:catAx>
      <c:valAx>
        <c:axId val="554722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61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_series!$B$9:$Y$9</c:f>
              <c:numCache>
                <c:formatCode>General</c:formatCode>
                <c:ptCount val="24"/>
                <c:pt idx="0">
                  <c:v>4475.16</c:v>
                </c:pt>
                <c:pt idx="1">
                  <c:v>4612.54</c:v>
                </c:pt>
                <c:pt idx="2">
                  <c:v>3701.38</c:v>
                </c:pt>
                <c:pt idx="3">
                  <c:v>4561.47</c:v>
                </c:pt>
                <c:pt idx="4">
                  <c:v>3334.09</c:v>
                </c:pt>
                <c:pt idx="5">
                  <c:v>3216.6</c:v>
                </c:pt>
                <c:pt idx="6">
                  <c:v>2924.41</c:v>
                </c:pt>
                <c:pt idx="7">
                  <c:v>2743.54</c:v>
                </c:pt>
                <c:pt idx="8">
                  <c:v>3702.5</c:v>
                </c:pt>
                <c:pt idx="9">
                  <c:v>3817.43</c:v>
                </c:pt>
                <c:pt idx="10">
                  <c:v>3300.04</c:v>
                </c:pt>
                <c:pt idx="11">
                  <c:v>2798.1</c:v>
                </c:pt>
                <c:pt idx="12">
                  <c:v>3784.48</c:v>
                </c:pt>
                <c:pt idx="13">
                  <c:v>3716.14</c:v>
                </c:pt>
                <c:pt idx="14">
                  <c:v>3334.45</c:v>
                </c:pt>
                <c:pt idx="15">
                  <c:v>3275.16</c:v>
                </c:pt>
                <c:pt idx="16">
                  <c:v>3190.07</c:v>
                </c:pt>
                <c:pt idx="17">
                  <c:v>2956.24</c:v>
                </c:pt>
                <c:pt idx="18">
                  <c:v>2736.06</c:v>
                </c:pt>
                <c:pt idx="19">
                  <c:v>2890.35</c:v>
                </c:pt>
                <c:pt idx="20">
                  <c:v>3365.79</c:v>
                </c:pt>
                <c:pt idx="21">
                  <c:v>2721.04</c:v>
                </c:pt>
                <c:pt idx="22">
                  <c:v>2640.22</c:v>
                </c:pt>
                <c:pt idx="23">
                  <c:v>3260.09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248225"/>
        <c:axId val="77969009"/>
      </c:lineChart>
      <c:catAx>
        <c:axId val="54248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69009"/>
        <c:crosses val="autoZero"/>
        <c:auto val="1"/>
        <c:lblAlgn val="ctr"/>
        <c:lblOffset val="100"/>
        <c:noMultiLvlLbl val="0"/>
      </c:catAx>
      <c:valAx>
        <c:axId val="779690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482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_series!$B$10:$Y$10</c:f>
              <c:numCache>
                <c:formatCode>General</c:formatCode>
                <c:ptCount val="24"/>
                <c:pt idx="0">
                  <c:v>151.82</c:v>
                </c:pt>
                <c:pt idx="1">
                  <c:v>199.06</c:v>
                </c:pt>
                <c:pt idx="2">
                  <c:v>183.84</c:v>
                </c:pt>
                <c:pt idx="3">
                  <c:v>178.12</c:v>
                </c:pt>
                <c:pt idx="4">
                  <c:v>184.03</c:v>
                </c:pt>
                <c:pt idx="5">
                  <c:v>163.02</c:v>
                </c:pt>
                <c:pt idx="6">
                  <c:v>136.55</c:v>
                </c:pt>
                <c:pt idx="7">
                  <c:v>104.41</c:v>
                </c:pt>
                <c:pt idx="8">
                  <c:v>98.7</c:v>
                </c:pt>
                <c:pt idx="9">
                  <c:v>40.05</c:v>
                </c:pt>
                <c:pt idx="10">
                  <c:v>67.35</c:v>
                </c:pt>
                <c:pt idx="11">
                  <c:v>65.71</c:v>
                </c:pt>
                <c:pt idx="12">
                  <c:v>361.06</c:v>
                </c:pt>
                <c:pt idx="13">
                  <c:v>201.13</c:v>
                </c:pt>
                <c:pt idx="14">
                  <c:v>85.6</c:v>
                </c:pt>
                <c:pt idx="15">
                  <c:v>63.93</c:v>
                </c:pt>
                <c:pt idx="16">
                  <c:v>60.72</c:v>
                </c:pt>
                <c:pt idx="17">
                  <c:v>51.57</c:v>
                </c:pt>
                <c:pt idx="18">
                  <c:v>43.55</c:v>
                </c:pt>
                <c:pt idx="19">
                  <c:v>40.37</c:v>
                </c:pt>
                <c:pt idx="20">
                  <c:v>82.31</c:v>
                </c:pt>
                <c:pt idx="21">
                  <c:v>38.53</c:v>
                </c:pt>
                <c:pt idx="22">
                  <c:v>39.81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691605"/>
        <c:axId val="46498682"/>
      </c:lineChart>
      <c:catAx>
        <c:axId val="68691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98682"/>
        <c:crosses val="autoZero"/>
        <c:auto val="1"/>
        <c:lblAlgn val="ctr"/>
        <c:lblOffset val="100"/>
        <c:noMultiLvlLbl val="0"/>
      </c:catAx>
      <c:valAx>
        <c:axId val="464986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916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_series!$B$11:$Y$11</c:f>
              <c:numCache>
                <c:formatCode>General</c:formatCode>
                <c:ptCount val="24"/>
                <c:pt idx="0">
                  <c:v>1167.19</c:v>
                </c:pt>
                <c:pt idx="1">
                  <c:v>1131.86</c:v>
                </c:pt>
                <c:pt idx="2">
                  <c:v>610.86</c:v>
                </c:pt>
                <c:pt idx="3">
                  <c:v>553.94</c:v>
                </c:pt>
                <c:pt idx="4">
                  <c:v>544.65</c:v>
                </c:pt>
                <c:pt idx="5">
                  <c:v>727.09</c:v>
                </c:pt>
                <c:pt idx="6">
                  <c:v>952.35</c:v>
                </c:pt>
                <c:pt idx="7">
                  <c:v>581.27</c:v>
                </c:pt>
                <c:pt idx="8">
                  <c:v>746.2</c:v>
                </c:pt>
                <c:pt idx="9">
                  <c:v>543.77</c:v>
                </c:pt>
                <c:pt idx="10">
                  <c:v>442.06</c:v>
                </c:pt>
                <c:pt idx="11">
                  <c:v>643.81</c:v>
                </c:pt>
                <c:pt idx="12">
                  <c:v>881.89</c:v>
                </c:pt>
                <c:pt idx="13">
                  <c:v>963.15</c:v>
                </c:pt>
                <c:pt idx="14">
                  <c:v>800.92</c:v>
                </c:pt>
                <c:pt idx="15">
                  <c:v>588.39</c:v>
                </c:pt>
                <c:pt idx="16">
                  <c:v>478.95</c:v>
                </c:pt>
                <c:pt idx="17">
                  <c:v>812.61</c:v>
                </c:pt>
                <c:pt idx="18">
                  <c:v>783.67</c:v>
                </c:pt>
                <c:pt idx="19">
                  <c:v>595.95</c:v>
                </c:pt>
                <c:pt idx="20">
                  <c:v>634.87</c:v>
                </c:pt>
                <c:pt idx="21">
                  <c:v>433.2</c:v>
                </c:pt>
                <c:pt idx="22">
                  <c:v>544.11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37319"/>
        <c:axId val="44869861"/>
      </c:lineChart>
      <c:catAx>
        <c:axId val="9863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69861"/>
        <c:crosses val="autoZero"/>
        <c:auto val="1"/>
        <c:lblAlgn val="ctr"/>
        <c:lblOffset val="100"/>
        <c:noMultiLvlLbl val="0"/>
      </c:catAx>
      <c:valAx>
        <c:axId val="448698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37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_series!$B$12:$Y$12</c:f>
              <c:numCache>
                <c:formatCode>General</c:formatCode>
                <c:ptCount val="24"/>
                <c:pt idx="0">
                  <c:v>128.85</c:v>
                </c:pt>
                <c:pt idx="1">
                  <c:v>119.74</c:v>
                </c:pt>
                <c:pt idx="2">
                  <c:v>120.37</c:v>
                </c:pt>
                <c:pt idx="3">
                  <c:v>126</c:v>
                </c:pt>
                <c:pt idx="4">
                  <c:v>121.75</c:v>
                </c:pt>
                <c:pt idx="5">
                  <c:v>129.12</c:v>
                </c:pt>
                <c:pt idx="6">
                  <c:v>118.2</c:v>
                </c:pt>
                <c:pt idx="7">
                  <c:v>116.61</c:v>
                </c:pt>
                <c:pt idx="8">
                  <c:v>118.21</c:v>
                </c:pt>
                <c:pt idx="9">
                  <c:v>118.11</c:v>
                </c:pt>
                <c:pt idx="10">
                  <c:v>120.31</c:v>
                </c:pt>
                <c:pt idx="11">
                  <c:v>110.46</c:v>
                </c:pt>
                <c:pt idx="12">
                  <c:v>126.3</c:v>
                </c:pt>
                <c:pt idx="13">
                  <c:v>120.84</c:v>
                </c:pt>
                <c:pt idx="14">
                  <c:v>118.41</c:v>
                </c:pt>
                <c:pt idx="15">
                  <c:v>110.34</c:v>
                </c:pt>
                <c:pt idx="16">
                  <c:v>143.28</c:v>
                </c:pt>
                <c:pt idx="17">
                  <c:v>123.63</c:v>
                </c:pt>
                <c:pt idx="18">
                  <c:v>117.54</c:v>
                </c:pt>
                <c:pt idx="19">
                  <c:v>119.84</c:v>
                </c:pt>
                <c:pt idx="20">
                  <c:v>122.01</c:v>
                </c:pt>
                <c:pt idx="21">
                  <c:v>115.84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049805"/>
        <c:axId val="51818216"/>
      </c:lineChart>
      <c:catAx>
        <c:axId val="21049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18216"/>
        <c:crosses val="autoZero"/>
        <c:auto val="1"/>
        <c:lblAlgn val="ctr"/>
        <c:lblOffset val="100"/>
        <c:noMultiLvlLbl val="0"/>
      </c:catAx>
      <c:valAx>
        <c:axId val="51818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49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_series!$B$13:$Y$13</c:f>
              <c:numCache>
                <c:formatCode>General</c:formatCode>
                <c:ptCount val="24"/>
                <c:pt idx="0">
                  <c:v>1506.8</c:v>
                </c:pt>
                <c:pt idx="1">
                  <c:v>1792.99</c:v>
                </c:pt>
                <c:pt idx="2">
                  <c:v>833.07</c:v>
                </c:pt>
                <c:pt idx="3">
                  <c:v>766.01</c:v>
                </c:pt>
                <c:pt idx="4">
                  <c:v>194.02</c:v>
                </c:pt>
                <c:pt idx="5">
                  <c:v>665.19</c:v>
                </c:pt>
                <c:pt idx="6">
                  <c:v>676.36</c:v>
                </c:pt>
                <c:pt idx="7">
                  <c:v>603.95</c:v>
                </c:pt>
                <c:pt idx="8">
                  <c:v>730.96</c:v>
                </c:pt>
                <c:pt idx="9">
                  <c:v>678.97</c:v>
                </c:pt>
                <c:pt idx="10">
                  <c:v>774.09</c:v>
                </c:pt>
                <c:pt idx="11">
                  <c:v>774.72</c:v>
                </c:pt>
                <c:pt idx="12">
                  <c:v>1594.97</c:v>
                </c:pt>
                <c:pt idx="13">
                  <c:v>1863.52</c:v>
                </c:pt>
                <c:pt idx="14">
                  <c:v>1379.87</c:v>
                </c:pt>
                <c:pt idx="15">
                  <c:v>902.28</c:v>
                </c:pt>
                <c:pt idx="16">
                  <c:v>243.48</c:v>
                </c:pt>
                <c:pt idx="17">
                  <c:v>790.46</c:v>
                </c:pt>
                <c:pt idx="18">
                  <c:v>762.17</c:v>
                </c:pt>
                <c:pt idx="19">
                  <c:v>615.97</c:v>
                </c:pt>
                <c:pt idx="20">
                  <c:v>542.6</c:v>
                </c:pt>
                <c:pt idx="21">
                  <c:v>641.56</c:v>
                </c:pt>
                <c:pt idx="22">
                  <c:v>747.69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864687"/>
        <c:axId val="57424180"/>
      </c:lineChart>
      <c:catAx>
        <c:axId val="178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24180"/>
        <c:crosses val="autoZero"/>
        <c:auto val="1"/>
        <c:lblAlgn val="ctr"/>
        <c:lblOffset val="100"/>
        <c:noMultiLvlLbl val="0"/>
      </c:catAx>
      <c:valAx>
        <c:axId val="574241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646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_series!$B$14:$Y$14</c:f>
              <c:numCache>
                <c:formatCode>General</c:formatCode>
                <c:ptCount val="24"/>
                <c:pt idx="0">
                  <c:v>693.23</c:v>
                </c:pt>
                <c:pt idx="1">
                  <c:v>552.9</c:v>
                </c:pt>
                <c:pt idx="2">
                  <c:v>433.72</c:v>
                </c:pt>
                <c:pt idx="3">
                  <c:v>362.57</c:v>
                </c:pt>
                <c:pt idx="4">
                  <c:v>340.99</c:v>
                </c:pt>
                <c:pt idx="5">
                  <c:v>389.79</c:v>
                </c:pt>
                <c:pt idx="6">
                  <c:v>446.52</c:v>
                </c:pt>
                <c:pt idx="7">
                  <c:v>418.69</c:v>
                </c:pt>
                <c:pt idx="8">
                  <c:v>387.06</c:v>
                </c:pt>
                <c:pt idx="9">
                  <c:v>287.84</c:v>
                </c:pt>
                <c:pt idx="10">
                  <c:v>309.28</c:v>
                </c:pt>
                <c:pt idx="11">
                  <c:v>360.8</c:v>
                </c:pt>
                <c:pt idx="12">
                  <c:v>523.09</c:v>
                </c:pt>
                <c:pt idx="13">
                  <c:v>475.61</c:v>
                </c:pt>
                <c:pt idx="14">
                  <c:v>414.61</c:v>
                </c:pt>
                <c:pt idx="15">
                  <c:v>335.53</c:v>
                </c:pt>
                <c:pt idx="16">
                  <c:v>354.84</c:v>
                </c:pt>
                <c:pt idx="17">
                  <c:v>421.51</c:v>
                </c:pt>
                <c:pt idx="18">
                  <c:v>502.41</c:v>
                </c:pt>
                <c:pt idx="19">
                  <c:v>454.39</c:v>
                </c:pt>
                <c:pt idx="20">
                  <c:v>353.18</c:v>
                </c:pt>
                <c:pt idx="21">
                  <c:v>161.47</c:v>
                </c:pt>
                <c:pt idx="22">
                  <c:v>302.84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574775"/>
        <c:axId val="29609685"/>
      </c:lineChart>
      <c:catAx>
        <c:axId val="54574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09685"/>
        <c:crosses val="autoZero"/>
        <c:auto val="1"/>
        <c:lblAlgn val="ctr"/>
        <c:lblOffset val="100"/>
        <c:noMultiLvlLbl val="0"/>
      </c:catAx>
      <c:valAx>
        <c:axId val="296096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74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_series!$B$15:$Y$15</c:f>
              <c:numCache>
                <c:formatCode>General</c:formatCode>
                <c:ptCount val="24"/>
                <c:pt idx="0">
                  <c:v>153.99</c:v>
                </c:pt>
                <c:pt idx="1">
                  <c:v>163.34</c:v>
                </c:pt>
                <c:pt idx="2">
                  <c:v>87.39</c:v>
                </c:pt>
                <c:pt idx="3">
                  <c:v>84.32</c:v>
                </c:pt>
                <c:pt idx="4">
                  <c:v>56.29</c:v>
                </c:pt>
                <c:pt idx="5">
                  <c:v>72.5</c:v>
                </c:pt>
                <c:pt idx="6">
                  <c:v>86.78</c:v>
                </c:pt>
                <c:pt idx="7">
                  <c:v>75.95</c:v>
                </c:pt>
                <c:pt idx="8">
                  <c:v>62.51</c:v>
                </c:pt>
                <c:pt idx="9">
                  <c:v>89.8</c:v>
                </c:pt>
                <c:pt idx="10">
                  <c:v>102.08</c:v>
                </c:pt>
                <c:pt idx="11">
                  <c:v>160.63</c:v>
                </c:pt>
                <c:pt idx="12">
                  <c:v>240.96</c:v>
                </c:pt>
                <c:pt idx="13">
                  <c:v>176.31</c:v>
                </c:pt>
                <c:pt idx="14">
                  <c:v>154.65</c:v>
                </c:pt>
                <c:pt idx="15">
                  <c:v>105.42</c:v>
                </c:pt>
                <c:pt idx="16">
                  <c:v>106.51</c:v>
                </c:pt>
                <c:pt idx="17">
                  <c:v>147.06</c:v>
                </c:pt>
                <c:pt idx="18">
                  <c:v>201.1</c:v>
                </c:pt>
                <c:pt idx="19">
                  <c:v>180.88</c:v>
                </c:pt>
                <c:pt idx="20">
                  <c:v>134.57</c:v>
                </c:pt>
                <c:pt idx="21">
                  <c:v>119.32</c:v>
                </c:pt>
                <c:pt idx="22">
                  <c:v>107.6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586260"/>
        <c:axId val="61343562"/>
      </c:lineChart>
      <c:catAx>
        <c:axId val="88586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43562"/>
        <c:crosses val="autoZero"/>
        <c:auto val="1"/>
        <c:lblAlgn val="ctr"/>
        <c:lblOffset val="100"/>
        <c:noMultiLvlLbl val="0"/>
      </c:catAx>
      <c:valAx>
        <c:axId val="613435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86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_series!$B$16:$Y$16</c:f>
              <c:numCache>
                <c:formatCode>General</c:formatCode>
                <c:ptCount val="24"/>
                <c:pt idx="0">
                  <c:v>603.54</c:v>
                </c:pt>
                <c:pt idx="1">
                  <c:v>655.43</c:v>
                </c:pt>
                <c:pt idx="2">
                  <c:v>506.31</c:v>
                </c:pt>
                <c:pt idx="3">
                  <c:v>465.23</c:v>
                </c:pt>
                <c:pt idx="4">
                  <c:v>409.29</c:v>
                </c:pt>
                <c:pt idx="5">
                  <c:v>548.46</c:v>
                </c:pt>
                <c:pt idx="6">
                  <c:v>492.1</c:v>
                </c:pt>
                <c:pt idx="7">
                  <c:v>491.6</c:v>
                </c:pt>
                <c:pt idx="8">
                  <c:v>623.9</c:v>
                </c:pt>
                <c:pt idx="9">
                  <c:v>695.32</c:v>
                </c:pt>
                <c:pt idx="10">
                  <c:v>685.39</c:v>
                </c:pt>
                <c:pt idx="11">
                  <c:v>604.64</c:v>
                </c:pt>
                <c:pt idx="12">
                  <c:v>607.41</c:v>
                </c:pt>
                <c:pt idx="13">
                  <c:v>743.97</c:v>
                </c:pt>
                <c:pt idx="14">
                  <c:v>563.07</c:v>
                </c:pt>
                <c:pt idx="15">
                  <c:v>543.73</c:v>
                </c:pt>
                <c:pt idx="16">
                  <c:v>537.26</c:v>
                </c:pt>
                <c:pt idx="17">
                  <c:v>451.19</c:v>
                </c:pt>
                <c:pt idx="18">
                  <c:v>441.06</c:v>
                </c:pt>
                <c:pt idx="19">
                  <c:v>574.27</c:v>
                </c:pt>
                <c:pt idx="20">
                  <c:v>531.25</c:v>
                </c:pt>
                <c:pt idx="21">
                  <c:v>552.85</c:v>
                </c:pt>
                <c:pt idx="22">
                  <c:v>562.65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331807"/>
        <c:axId val="5107430"/>
      </c:lineChart>
      <c:catAx>
        <c:axId val="873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7430"/>
        <c:crosses val="autoZero"/>
        <c:auto val="1"/>
        <c:lblAlgn val="ctr"/>
        <c:lblOffset val="100"/>
        <c:noMultiLvlLbl val="0"/>
      </c:catAx>
      <c:valAx>
        <c:axId val="510743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318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_series!$B$17:$Y$17</c:f>
              <c:numCache>
                <c:formatCode>General</c:formatCode>
                <c:ptCount val="24"/>
                <c:pt idx="0">
                  <c:v>151.82</c:v>
                </c:pt>
                <c:pt idx="1">
                  <c:v>199.06</c:v>
                </c:pt>
                <c:pt idx="2">
                  <c:v>183.84</c:v>
                </c:pt>
                <c:pt idx="3">
                  <c:v>178.12</c:v>
                </c:pt>
                <c:pt idx="4">
                  <c:v>184.03</c:v>
                </c:pt>
                <c:pt idx="5">
                  <c:v>163.02</c:v>
                </c:pt>
                <c:pt idx="6">
                  <c:v>136.55</c:v>
                </c:pt>
                <c:pt idx="7">
                  <c:v>104.41</c:v>
                </c:pt>
                <c:pt idx="8">
                  <c:v>98.7</c:v>
                </c:pt>
                <c:pt idx="9">
                  <c:v>40.05</c:v>
                </c:pt>
                <c:pt idx="10">
                  <c:v>67.35</c:v>
                </c:pt>
                <c:pt idx="11">
                  <c:v>65.71</c:v>
                </c:pt>
                <c:pt idx="12">
                  <c:v>361.06</c:v>
                </c:pt>
                <c:pt idx="13">
                  <c:v>201.13</c:v>
                </c:pt>
                <c:pt idx="14">
                  <c:v>85.6</c:v>
                </c:pt>
                <c:pt idx="15">
                  <c:v>63.93</c:v>
                </c:pt>
                <c:pt idx="16">
                  <c:v>60.72</c:v>
                </c:pt>
                <c:pt idx="17">
                  <c:v>51.57</c:v>
                </c:pt>
                <c:pt idx="18">
                  <c:v>43.55</c:v>
                </c:pt>
                <c:pt idx="19">
                  <c:v>40.37</c:v>
                </c:pt>
                <c:pt idx="20">
                  <c:v>82.31</c:v>
                </c:pt>
                <c:pt idx="21">
                  <c:v>38.53</c:v>
                </c:pt>
                <c:pt idx="22">
                  <c:v>39.81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144070"/>
        <c:axId val="4560856"/>
      </c:lineChart>
      <c:catAx>
        <c:axId val="44144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0856"/>
        <c:crosses val="autoZero"/>
        <c:auto val="1"/>
        <c:lblAlgn val="ctr"/>
        <c:lblOffset val="100"/>
        <c:noMultiLvlLbl val="0"/>
      </c:catAx>
      <c:valAx>
        <c:axId val="456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440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_series!$B$18:$Y$18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262.87</c:v>
                </c:pt>
                <c:pt idx="5">
                  <c:v>272.44</c:v>
                </c:pt>
                <c:pt idx="6">
                  <c:v>322.45</c:v>
                </c:pt>
                <c:pt idx="7">
                  <c:v>279.82</c:v>
                </c:pt>
                <c:pt idx="8">
                  <c:v>300.62</c:v>
                </c:pt>
                <c:pt idx="9">
                  <c:v>288.22</c:v>
                </c:pt>
                <c:pt idx="10">
                  <c:v>286.46</c:v>
                </c:pt>
                <c:pt idx="11">
                  <c:v>299.16</c:v>
                </c:pt>
                <c:pt idx="12">
                  <c:v>319.89</c:v>
                </c:pt>
                <c:pt idx="13">
                  <c:v>367.14</c:v>
                </c:pt>
                <c:pt idx="14">
                  <c:v>403.18</c:v>
                </c:pt>
                <c:pt idx="15">
                  <c:v>340.89</c:v>
                </c:pt>
                <c:pt idx="16">
                  <c:v>356.84</c:v>
                </c:pt>
                <c:pt idx="17">
                  <c:v>348.94</c:v>
                </c:pt>
                <c:pt idx="18">
                  <c:v>345.34</c:v>
                </c:pt>
                <c:pt idx="19">
                  <c:v>292.46</c:v>
                </c:pt>
                <c:pt idx="20">
                  <c:v>297.24</c:v>
                </c:pt>
                <c:pt idx="21">
                  <c:v>246.51</c:v>
                </c:pt>
                <c:pt idx="22">
                  <c:v>267.24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134059"/>
        <c:axId val="41187417"/>
      </c:lineChart>
      <c:catAx>
        <c:axId val="73134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87417"/>
        <c:crosses val="autoZero"/>
        <c:auto val="1"/>
        <c:lblAlgn val="ctr"/>
        <c:lblOffset val="100"/>
        <c:noMultiLvlLbl val="0"/>
      </c:catAx>
      <c:valAx>
        <c:axId val="411874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340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_series!$B$19:$Y$19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52.43</c:v>
                </c:pt>
                <c:pt idx="9">
                  <c:v>0</c:v>
                </c:pt>
                <c:pt idx="10">
                  <c:v>138.43</c:v>
                </c:pt>
                <c:pt idx="11">
                  <c:v>311.64</c:v>
                </c:pt>
                <c:pt idx="12">
                  <c:v>556.61</c:v>
                </c:pt>
                <c:pt idx="13">
                  <c:v>757.4</c:v>
                </c:pt>
                <c:pt idx="14">
                  <c:v>410.48</c:v>
                </c:pt>
                <c:pt idx="15">
                  <c:v>353.17</c:v>
                </c:pt>
                <c:pt idx="16">
                  <c:v>352.08</c:v>
                </c:pt>
                <c:pt idx="17">
                  <c:v>375.43</c:v>
                </c:pt>
                <c:pt idx="18">
                  <c:v>373</c:v>
                </c:pt>
                <c:pt idx="19">
                  <c:v>233.07</c:v>
                </c:pt>
                <c:pt idx="20">
                  <c:v>257.63</c:v>
                </c:pt>
                <c:pt idx="21">
                  <c:v>219.48</c:v>
                </c:pt>
                <c:pt idx="22">
                  <c:v>351.08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538064"/>
        <c:axId val="46971778"/>
      </c:lineChart>
      <c:catAx>
        <c:axId val="575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71778"/>
        <c:crosses val="autoZero"/>
        <c:auto val="1"/>
        <c:lblAlgn val="ctr"/>
        <c:lblOffset val="100"/>
        <c:noMultiLvlLbl val="0"/>
      </c:catAx>
      <c:valAx>
        <c:axId val="469717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38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_series!$B$20:$Y$20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290.76</c:v>
                </c:pt>
                <c:pt idx="16">
                  <c:v>292.51</c:v>
                </c:pt>
                <c:pt idx="17">
                  <c:v>370.75</c:v>
                </c:pt>
                <c:pt idx="18">
                  <c:v>527.61</c:v>
                </c:pt>
                <c:pt idx="19">
                  <c:v>407.96</c:v>
                </c:pt>
                <c:pt idx="20">
                  <c:v>350.57</c:v>
                </c:pt>
                <c:pt idx="21">
                  <c:v>256.73</c:v>
                </c:pt>
                <c:pt idx="22">
                  <c:v>259.84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142702"/>
        <c:axId val="2656597"/>
      </c:lineChart>
      <c:catAx>
        <c:axId val="181427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6597"/>
        <c:crosses val="autoZero"/>
        <c:auto val="1"/>
        <c:lblAlgn val="ctr"/>
        <c:lblOffset val="100"/>
        <c:noMultiLvlLbl val="0"/>
      </c:catAx>
      <c:valAx>
        <c:axId val="265659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2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_series!$B$21:$Y$21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713.4</c:v>
                </c:pt>
                <c:pt idx="20">
                  <c:v>890.51</c:v>
                </c:pt>
                <c:pt idx="21">
                  <c:v>1016.59</c:v>
                </c:pt>
                <c:pt idx="22">
                  <c:v>1223.71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29479"/>
        <c:axId val="23205301"/>
      </c:lineChart>
      <c:catAx>
        <c:axId val="4329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05301"/>
        <c:crosses val="autoZero"/>
        <c:auto val="1"/>
        <c:lblAlgn val="ctr"/>
        <c:lblOffset val="100"/>
        <c:noMultiLvlLbl val="0"/>
      </c:catAx>
      <c:valAx>
        <c:axId val="232053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9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_series!$B$22:$Y$22</c:f>
              <c:numCache>
                <c:formatCode>General</c:formatCode>
                <c:ptCount val="24"/>
                <c:pt idx="0">
                  <c:v>1586.36</c:v>
                </c:pt>
                <c:pt idx="1">
                  <c:v>1774.61</c:v>
                </c:pt>
                <c:pt idx="2">
                  <c:v>1038.58</c:v>
                </c:pt>
                <c:pt idx="3">
                  <c:v>830.95</c:v>
                </c:pt>
                <c:pt idx="4">
                  <c:v>967.97</c:v>
                </c:pt>
                <c:pt idx="5">
                  <c:v>983.43</c:v>
                </c:pt>
                <c:pt idx="6">
                  <c:v>1124.12</c:v>
                </c:pt>
                <c:pt idx="7">
                  <c:v>888.12</c:v>
                </c:pt>
                <c:pt idx="8">
                  <c:v>897.79</c:v>
                </c:pt>
                <c:pt idx="9">
                  <c:v>1150.89</c:v>
                </c:pt>
                <c:pt idx="10">
                  <c:v>1197.48</c:v>
                </c:pt>
                <c:pt idx="11">
                  <c:v>1168.12</c:v>
                </c:pt>
                <c:pt idx="12">
                  <c:v>1373.89</c:v>
                </c:pt>
                <c:pt idx="13">
                  <c:v>1831.06</c:v>
                </c:pt>
                <c:pt idx="14">
                  <c:v>1409.07</c:v>
                </c:pt>
                <c:pt idx="15">
                  <c:v>987.45</c:v>
                </c:pt>
                <c:pt idx="16">
                  <c:v>669.16</c:v>
                </c:pt>
                <c:pt idx="17">
                  <c:v>663.77</c:v>
                </c:pt>
                <c:pt idx="18">
                  <c:v>576.33</c:v>
                </c:pt>
                <c:pt idx="19">
                  <c:v>938.81</c:v>
                </c:pt>
                <c:pt idx="20">
                  <c:v>734.17</c:v>
                </c:pt>
                <c:pt idx="21">
                  <c:v>1087.64</c:v>
                </c:pt>
                <c:pt idx="22">
                  <c:v>1113.9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482960"/>
        <c:axId val="24105005"/>
      </c:lineChart>
      <c:catAx>
        <c:axId val="2548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05005"/>
        <c:crosses val="autoZero"/>
        <c:auto val="1"/>
        <c:lblAlgn val="ctr"/>
        <c:lblOffset val="100"/>
        <c:noMultiLvlLbl val="0"/>
      </c:catAx>
      <c:valAx>
        <c:axId val="241050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829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_series!$B$23:$Y$23</c:f>
              <c:numCache>
                <c:formatCode>General</c:formatCode>
                <c:ptCount val="24"/>
                <c:pt idx="0">
                  <c:v>359</c:v>
                </c:pt>
                <c:pt idx="1">
                  <c:v>684</c:v>
                </c:pt>
                <c:pt idx="2">
                  <c:v>504.63</c:v>
                </c:pt>
                <c:pt idx="3">
                  <c:v>495.2</c:v>
                </c:pt>
                <c:pt idx="4">
                  <c:v>615.4</c:v>
                </c:pt>
                <c:pt idx="5">
                  <c:v>932.48</c:v>
                </c:pt>
                <c:pt idx="6">
                  <c:v>853.3</c:v>
                </c:pt>
                <c:pt idx="7">
                  <c:v>734.18</c:v>
                </c:pt>
                <c:pt idx="8">
                  <c:v>890.6</c:v>
                </c:pt>
                <c:pt idx="9">
                  <c:v>616.77</c:v>
                </c:pt>
                <c:pt idx="10">
                  <c:v>412.22</c:v>
                </c:pt>
                <c:pt idx="11">
                  <c:v>490.79</c:v>
                </c:pt>
                <c:pt idx="12">
                  <c:v>630.26</c:v>
                </c:pt>
                <c:pt idx="13">
                  <c:v>602.2</c:v>
                </c:pt>
                <c:pt idx="14">
                  <c:v>484.8</c:v>
                </c:pt>
                <c:pt idx="15">
                  <c:v>460.05</c:v>
                </c:pt>
                <c:pt idx="16">
                  <c:v>639.86</c:v>
                </c:pt>
                <c:pt idx="17">
                  <c:v>814.18</c:v>
                </c:pt>
                <c:pt idx="18">
                  <c:v>866.3</c:v>
                </c:pt>
                <c:pt idx="19">
                  <c:v>766.65</c:v>
                </c:pt>
                <c:pt idx="20">
                  <c:v>747.83</c:v>
                </c:pt>
                <c:pt idx="21">
                  <c:v>532.64</c:v>
                </c:pt>
                <c:pt idx="22">
                  <c:v>308.79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413325"/>
        <c:axId val="69130828"/>
      </c:lineChart>
      <c:catAx>
        <c:axId val="45413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30828"/>
        <c:crosses val="autoZero"/>
        <c:auto val="1"/>
        <c:lblAlgn val="ctr"/>
        <c:lblOffset val="100"/>
        <c:noMultiLvlLbl val="0"/>
      </c:catAx>
      <c:valAx>
        <c:axId val="691308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133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_series!$B$24:$Y$24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849.63</c:v>
                </c:pt>
                <c:pt idx="21">
                  <c:v>2476.17</c:v>
                </c:pt>
                <c:pt idx="22">
                  <c:v>2528.89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411661"/>
        <c:axId val="96736641"/>
      </c:lineChart>
      <c:catAx>
        <c:axId val="284116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36641"/>
        <c:crosses val="autoZero"/>
        <c:auto val="1"/>
        <c:lblAlgn val="ctr"/>
        <c:lblOffset val="100"/>
        <c:noMultiLvlLbl val="0"/>
      </c:catAx>
      <c:valAx>
        <c:axId val="967366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116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_series!$B$25:$Y$25</c:f>
              <c:numCache>
                <c:formatCode>General</c:formatCode>
                <c:ptCount val="24"/>
                <c:pt idx="0">
                  <c:v>1468.85</c:v>
                </c:pt>
                <c:pt idx="1">
                  <c:v>2411.23</c:v>
                </c:pt>
                <c:pt idx="2">
                  <c:v>1830.72</c:v>
                </c:pt>
                <c:pt idx="3">
                  <c:v>1647.5</c:v>
                </c:pt>
                <c:pt idx="4">
                  <c:v>1116.85</c:v>
                </c:pt>
                <c:pt idx="5">
                  <c:v>299.01</c:v>
                </c:pt>
                <c:pt idx="6">
                  <c:v>279.7</c:v>
                </c:pt>
                <c:pt idx="7">
                  <c:v>556.32</c:v>
                </c:pt>
                <c:pt idx="8">
                  <c:v>1059.32</c:v>
                </c:pt>
                <c:pt idx="9">
                  <c:v>1129.73</c:v>
                </c:pt>
                <c:pt idx="10">
                  <c:v>1346.5</c:v>
                </c:pt>
                <c:pt idx="11">
                  <c:v>1270.52</c:v>
                </c:pt>
                <c:pt idx="12">
                  <c:v>1606.67</c:v>
                </c:pt>
                <c:pt idx="13">
                  <c:v>1821.93</c:v>
                </c:pt>
                <c:pt idx="14">
                  <c:v>1618.31</c:v>
                </c:pt>
                <c:pt idx="15">
                  <c:v>1377.08</c:v>
                </c:pt>
                <c:pt idx="16">
                  <c:v>1116.96</c:v>
                </c:pt>
                <c:pt idx="17">
                  <c:v>333.7</c:v>
                </c:pt>
                <c:pt idx="18">
                  <c:v>348.77</c:v>
                </c:pt>
                <c:pt idx="19">
                  <c:v>555.02</c:v>
                </c:pt>
                <c:pt idx="20">
                  <c:v>979.12</c:v>
                </c:pt>
                <c:pt idx="21">
                  <c:v>1157.14</c:v>
                </c:pt>
                <c:pt idx="22">
                  <c:v>1221.59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821062"/>
        <c:axId val="42955118"/>
      </c:lineChart>
      <c:catAx>
        <c:axId val="54821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55118"/>
        <c:crosses val="autoZero"/>
        <c:auto val="1"/>
        <c:lblAlgn val="ctr"/>
        <c:lblOffset val="100"/>
        <c:noMultiLvlLbl val="0"/>
      </c:catAx>
      <c:valAx>
        <c:axId val="4295511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210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_series!$B$26:$Y$26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913.59</c:v>
                </c:pt>
                <c:pt idx="8">
                  <c:v>934.6</c:v>
                </c:pt>
                <c:pt idx="9">
                  <c:v>820.23</c:v>
                </c:pt>
                <c:pt idx="10">
                  <c:v>902.11</c:v>
                </c:pt>
                <c:pt idx="11">
                  <c:v>800.93</c:v>
                </c:pt>
                <c:pt idx="12">
                  <c:v>979.94</c:v>
                </c:pt>
                <c:pt idx="13">
                  <c:v>942.5</c:v>
                </c:pt>
                <c:pt idx="14">
                  <c:v>836.15</c:v>
                </c:pt>
                <c:pt idx="15">
                  <c:v>893.99</c:v>
                </c:pt>
                <c:pt idx="16">
                  <c:v>853.1</c:v>
                </c:pt>
                <c:pt idx="17">
                  <c:v>916.2</c:v>
                </c:pt>
                <c:pt idx="18">
                  <c:v>839.02</c:v>
                </c:pt>
                <c:pt idx="19">
                  <c:v>989.25</c:v>
                </c:pt>
                <c:pt idx="20">
                  <c:v>1077.25</c:v>
                </c:pt>
                <c:pt idx="21">
                  <c:v>1061.16</c:v>
                </c:pt>
                <c:pt idx="22">
                  <c:v>1072.87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308529"/>
        <c:axId val="95068650"/>
      </c:lineChart>
      <c:catAx>
        <c:axId val="85308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68650"/>
        <c:crosses val="autoZero"/>
        <c:auto val="1"/>
        <c:lblAlgn val="ctr"/>
        <c:lblOffset val="100"/>
        <c:noMultiLvlLbl val="0"/>
      </c:catAx>
      <c:valAx>
        <c:axId val="9506865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085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_series!$B$27:$Y$27</c:f>
              <c:numCache>
                <c:formatCode>General</c:formatCode>
                <c:ptCount val="24"/>
                <c:pt idx="0">
                  <c:v>1935</c:v>
                </c:pt>
                <c:pt idx="1">
                  <c:v>3017.05</c:v>
                </c:pt>
                <c:pt idx="2">
                  <c:v>1800.37</c:v>
                </c:pt>
                <c:pt idx="3">
                  <c:v>1926.12</c:v>
                </c:pt>
                <c:pt idx="4">
                  <c:v>2041.87</c:v>
                </c:pt>
                <c:pt idx="5">
                  <c:v>1259.3</c:v>
                </c:pt>
                <c:pt idx="6">
                  <c:v>2058.91</c:v>
                </c:pt>
                <c:pt idx="7">
                  <c:v>1147.24</c:v>
                </c:pt>
                <c:pt idx="8">
                  <c:v>2067.9</c:v>
                </c:pt>
                <c:pt idx="9">
                  <c:v>1486.46</c:v>
                </c:pt>
                <c:pt idx="10">
                  <c:v>1642.22</c:v>
                </c:pt>
                <c:pt idx="11">
                  <c:v>2912.65</c:v>
                </c:pt>
                <c:pt idx="12">
                  <c:v>2992.54</c:v>
                </c:pt>
                <c:pt idx="13">
                  <c:v>3368.21</c:v>
                </c:pt>
                <c:pt idx="14">
                  <c:v>2212.5</c:v>
                </c:pt>
                <c:pt idx="15">
                  <c:v>1960.19</c:v>
                </c:pt>
                <c:pt idx="16">
                  <c:v>1921.61</c:v>
                </c:pt>
                <c:pt idx="17">
                  <c:v>1263.13</c:v>
                </c:pt>
                <c:pt idx="18">
                  <c:v>1600.1</c:v>
                </c:pt>
                <c:pt idx="19">
                  <c:v>1414.77</c:v>
                </c:pt>
                <c:pt idx="20">
                  <c:v>1990.19</c:v>
                </c:pt>
                <c:pt idx="21">
                  <c:v>1763.94</c:v>
                </c:pt>
                <c:pt idx="22">
                  <c:v>1455.49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058370"/>
        <c:axId val="81816605"/>
      </c:lineChart>
      <c:catAx>
        <c:axId val="26058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16605"/>
        <c:crosses val="autoZero"/>
        <c:auto val="1"/>
        <c:lblAlgn val="ctr"/>
        <c:lblOffset val="100"/>
        <c:noMultiLvlLbl val="0"/>
      </c:catAx>
      <c:valAx>
        <c:axId val="8181660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58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_series!$B$28:$Y$28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1197.18</c:v>
                </c:pt>
                <c:pt idx="5">
                  <c:v>1865.97</c:v>
                </c:pt>
                <c:pt idx="6">
                  <c:v>1723.16</c:v>
                </c:pt>
                <c:pt idx="7">
                  <c:v>1570.31</c:v>
                </c:pt>
                <c:pt idx="8">
                  <c:v>1432.73</c:v>
                </c:pt>
                <c:pt idx="9">
                  <c:v>1817.32</c:v>
                </c:pt>
                <c:pt idx="10">
                  <c:v>1955.83</c:v>
                </c:pt>
                <c:pt idx="11">
                  <c:v>2235.47</c:v>
                </c:pt>
                <c:pt idx="12">
                  <c:v>2825.24</c:v>
                </c:pt>
                <c:pt idx="13">
                  <c:v>3443.22</c:v>
                </c:pt>
                <c:pt idx="14">
                  <c:v>3178.08</c:v>
                </c:pt>
                <c:pt idx="15">
                  <c:v>2134.16</c:v>
                </c:pt>
                <c:pt idx="16">
                  <c:v>1883.16</c:v>
                </c:pt>
                <c:pt idx="17">
                  <c:v>1916.12</c:v>
                </c:pt>
                <c:pt idx="18">
                  <c:v>1372.39</c:v>
                </c:pt>
                <c:pt idx="19">
                  <c:v>2844.42</c:v>
                </c:pt>
                <c:pt idx="20">
                  <c:v>2594.23</c:v>
                </c:pt>
                <c:pt idx="21">
                  <c:v>2436.29</c:v>
                </c:pt>
                <c:pt idx="22">
                  <c:v>2434.85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39523"/>
        <c:axId val="96903275"/>
      </c:lineChart>
      <c:catAx>
        <c:axId val="2539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03275"/>
        <c:crosses val="autoZero"/>
        <c:auto val="1"/>
        <c:lblAlgn val="ctr"/>
        <c:lblOffset val="100"/>
        <c:noMultiLvlLbl val="0"/>
      </c:catAx>
      <c:valAx>
        <c:axId val="969032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95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1</xdr:row>
      <xdr:rowOff>0</xdr:rowOff>
    </xdr:from>
    <xdr:to>
      <xdr:col>27</xdr:col>
      <xdr:colOff>362160</xdr:colOff>
      <xdr:row>7</xdr:row>
      <xdr:rowOff>8640</xdr:rowOff>
    </xdr:to>
    <xdr:graphicFrame>
      <xdr:nvGraphicFramePr>
        <xdr:cNvPr id="0" name="Chart 1"/>
        <xdr:cNvGraphicFramePr/>
      </xdr:nvGraphicFramePr>
      <xdr:xfrm>
        <a:off x="15013440" y="19044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19</xdr:row>
      <xdr:rowOff>0</xdr:rowOff>
    </xdr:from>
    <xdr:to>
      <xdr:col>27</xdr:col>
      <xdr:colOff>362160</xdr:colOff>
      <xdr:row>25</xdr:row>
      <xdr:rowOff>8640</xdr:rowOff>
    </xdr:to>
    <xdr:graphicFrame>
      <xdr:nvGraphicFramePr>
        <xdr:cNvPr id="1" name="Chart 2"/>
        <xdr:cNvGraphicFramePr/>
      </xdr:nvGraphicFramePr>
      <xdr:xfrm>
        <a:off x="15013440" y="361944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37</xdr:row>
      <xdr:rowOff>0</xdr:rowOff>
    </xdr:from>
    <xdr:to>
      <xdr:col>27</xdr:col>
      <xdr:colOff>362160</xdr:colOff>
      <xdr:row>43</xdr:row>
      <xdr:rowOff>8640</xdr:rowOff>
    </xdr:to>
    <xdr:graphicFrame>
      <xdr:nvGraphicFramePr>
        <xdr:cNvPr id="2" name="Chart 3"/>
        <xdr:cNvGraphicFramePr/>
      </xdr:nvGraphicFramePr>
      <xdr:xfrm>
        <a:off x="15013440" y="704844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0</xdr:colOff>
      <xdr:row>55</xdr:row>
      <xdr:rowOff>0</xdr:rowOff>
    </xdr:from>
    <xdr:to>
      <xdr:col>27</xdr:col>
      <xdr:colOff>362160</xdr:colOff>
      <xdr:row>61</xdr:row>
      <xdr:rowOff>8640</xdr:rowOff>
    </xdr:to>
    <xdr:graphicFrame>
      <xdr:nvGraphicFramePr>
        <xdr:cNvPr id="3" name="Chart 4"/>
        <xdr:cNvGraphicFramePr/>
      </xdr:nvGraphicFramePr>
      <xdr:xfrm>
        <a:off x="15013440" y="1047744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22</xdr:col>
      <xdr:colOff>0</xdr:colOff>
      <xdr:row>74</xdr:row>
      <xdr:rowOff>0</xdr:rowOff>
    </xdr:from>
    <xdr:to>
      <xdr:col>27</xdr:col>
      <xdr:colOff>362160</xdr:colOff>
      <xdr:row>80</xdr:row>
      <xdr:rowOff>8640</xdr:rowOff>
    </xdr:to>
    <xdr:graphicFrame>
      <xdr:nvGraphicFramePr>
        <xdr:cNvPr id="4" name="Chart 5"/>
        <xdr:cNvGraphicFramePr/>
      </xdr:nvGraphicFramePr>
      <xdr:xfrm>
        <a:off x="15013440" y="140968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0</xdr:colOff>
      <xdr:row>92</xdr:row>
      <xdr:rowOff>0</xdr:rowOff>
    </xdr:from>
    <xdr:to>
      <xdr:col>27</xdr:col>
      <xdr:colOff>362160</xdr:colOff>
      <xdr:row>98</xdr:row>
      <xdr:rowOff>8640</xdr:rowOff>
    </xdr:to>
    <xdr:graphicFrame>
      <xdr:nvGraphicFramePr>
        <xdr:cNvPr id="5" name="Chart 6"/>
        <xdr:cNvGraphicFramePr/>
      </xdr:nvGraphicFramePr>
      <xdr:xfrm>
        <a:off x="15013440" y="175258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0</xdr:colOff>
      <xdr:row>110</xdr:row>
      <xdr:rowOff>0</xdr:rowOff>
    </xdr:from>
    <xdr:to>
      <xdr:col>27</xdr:col>
      <xdr:colOff>362160</xdr:colOff>
      <xdr:row>116</xdr:row>
      <xdr:rowOff>8640</xdr:rowOff>
    </xdr:to>
    <xdr:graphicFrame>
      <xdr:nvGraphicFramePr>
        <xdr:cNvPr id="6" name="Chart 7"/>
        <xdr:cNvGraphicFramePr/>
      </xdr:nvGraphicFramePr>
      <xdr:xfrm>
        <a:off x="15013440" y="209548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0</xdr:colOff>
      <xdr:row>128</xdr:row>
      <xdr:rowOff>0</xdr:rowOff>
    </xdr:from>
    <xdr:to>
      <xdr:col>27</xdr:col>
      <xdr:colOff>362160</xdr:colOff>
      <xdr:row>134</xdr:row>
      <xdr:rowOff>8640</xdr:rowOff>
    </xdr:to>
    <xdr:graphicFrame>
      <xdr:nvGraphicFramePr>
        <xdr:cNvPr id="7" name="Chart 8"/>
        <xdr:cNvGraphicFramePr/>
      </xdr:nvGraphicFramePr>
      <xdr:xfrm>
        <a:off x="15013440" y="243838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22</xdr:col>
      <xdr:colOff>0</xdr:colOff>
      <xdr:row>147</xdr:row>
      <xdr:rowOff>0</xdr:rowOff>
    </xdr:from>
    <xdr:to>
      <xdr:col>27</xdr:col>
      <xdr:colOff>362160</xdr:colOff>
      <xdr:row>153</xdr:row>
      <xdr:rowOff>8640</xdr:rowOff>
    </xdr:to>
    <xdr:graphicFrame>
      <xdr:nvGraphicFramePr>
        <xdr:cNvPr id="8" name="Chart 9"/>
        <xdr:cNvGraphicFramePr/>
      </xdr:nvGraphicFramePr>
      <xdr:xfrm>
        <a:off x="15013440" y="28003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22</xdr:col>
      <xdr:colOff>0</xdr:colOff>
      <xdr:row>165</xdr:row>
      <xdr:rowOff>0</xdr:rowOff>
    </xdr:from>
    <xdr:to>
      <xdr:col>27</xdr:col>
      <xdr:colOff>362160</xdr:colOff>
      <xdr:row>171</xdr:row>
      <xdr:rowOff>8640</xdr:rowOff>
    </xdr:to>
    <xdr:graphicFrame>
      <xdr:nvGraphicFramePr>
        <xdr:cNvPr id="9" name="Chart 10"/>
        <xdr:cNvGraphicFramePr/>
      </xdr:nvGraphicFramePr>
      <xdr:xfrm>
        <a:off x="15013440" y="31432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22</xdr:col>
      <xdr:colOff>0</xdr:colOff>
      <xdr:row>183</xdr:row>
      <xdr:rowOff>0</xdr:rowOff>
    </xdr:from>
    <xdr:to>
      <xdr:col>27</xdr:col>
      <xdr:colOff>362160</xdr:colOff>
      <xdr:row>189</xdr:row>
      <xdr:rowOff>8640</xdr:rowOff>
    </xdr:to>
    <xdr:graphicFrame>
      <xdr:nvGraphicFramePr>
        <xdr:cNvPr id="10" name="Chart 11"/>
        <xdr:cNvGraphicFramePr/>
      </xdr:nvGraphicFramePr>
      <xdr:xfrm>
        <a:off x="15013440" y="34861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22</xdr:col>
      <xdr:colOff>0</xdr:colOff>
      <xdr:row>201</xdr:row>
      <xdr:rowOff>0</xdr:rowOff>
    </xdr:from>
    <xdr:to>
      <xdr:col>27</xdr:col>
      <xdr:colOff>362160</xdr:colOff>
      <xdr:row>207</xdr:row>
      <xdr:rowOff>8640</xdr:rowOff>
    </xdr:to>
    <xdr:graphicFrame>
      <xdr:nvGraphicFramePr>
        <xdr:cNvPr id="11" name="Chart 12"/>
        <xdr:cNvGraphicFramePr/>
      </xdr:nvGraphicFramePr>
      <xdr:xfrm>
        <a:off x="15013440" y="38290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22</xdr:col>
      <xdr:colOff>0</xdr:colOff>
      <xdr:row>219</xdr:row>
      <xdr:rowOff>0</xdr:rowOff>
    </xdr:from>
    <xdr:to>
      <xdr:col>27</xdr:col>
      <xdr:colOff>362160</xdr:colOff>
      <xdr:row>225</xdr:row>
      <xdr:rowOff>8640</xdr:rowOff>
    </xdr:to>
    <xdr:graphicFrame>
      <xdr:nvGraphicFramePr>
        <xdr:cNvPr id="12" name="Chart 13"/>
        <xdr:cNvGraphicFramePr/>
      </xdr:nvGraphicFramePr>
      <xdr:xfrm>
        <a:off x="15013440" y="41719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22</xdr:col>
      <xdr:colOff>0</xdr:colOff>
      <xdr:row>237</xdr:row>
      <xdr:rowOff>0</xdr:rowOff>
    </xdr:from>
    <xdr:to>
      <xdr:col>27</xdr:col>
      <xdr:colOff>362160</xdr:colOff>
      <xdr:row>243</xdr:row>
      <xdr:rowOff>8640</xdr:rowOff>
    </xdr:to>
    <xdr:graphicFrame>
      <xdr:nvGraphicFramePr>
        <xdr:cNvPr id="13" name="Chart 14"/>
        <xdr:cNvGraphicFramePr/>
      </xdr:nvGraphicFramePr>
      <xdr:xfrm>
        <a:off x="15013440" y="45148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22</xdr:col>
      <xdr:colOff>0</xdr:colOff>
      <xdr:row>255</xdr:row>
      <xdr:rowOff>0</xdr:rowOff>
    </xdr:from>
    <xdr:to>
      <xdr:col>27</xdr:col>
      <xdr:colOff>362160</xdr:colOff>
      <xdr:row>261</xdr:row>
      <xdr:rowOff>8640</xdr:rowOff>
    </xdr:to>
    <xdr:graphicFrame>
      <xdr:nvGraphicFramePr>
        <xdr:cNvPr id="14" name="Chart 15"/>
        <xdr:cNvGraphicFramePr/>
      </xdr:nvGraphicFramePr>
      <xdr:xfrm>
        <a:off x="15013440" y="48577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22</xdr:col>
      <xdr:colOff>0</xdr:colOff>
      <xdr:row>273</xdr:row>
      <xdr:rowOff>0</xdr:rowOff>
    </xdr:from>
    <xdr:to>
      <xdr:col>27</xdr:col>
      <xdr:colOff>362160</xdr:colOff>
      <xdr:row>279</xdr:row>
      <xdr:rowOff>8640</xdr:rowOff>
    </xdr:to>
    <xdr:graphicFrame>
      <xdr:nvGraphicFramePr>
        <xdr:cNvPr id="15" name="Chart 16"/>
        <xdr:cNvGraphicFramePr/>
      </xdr:nvGraphicFramePr>
      <xdr:xfrm>
        <a:off x="15013440" y="52006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22</xdr:col>
      <xdr:colOff>0</xdr:colOff>
      <xdr:row>291</xdr:row>
      <xdr:rowOff>0</xdr:rowOff>
    </xdr:from>
    <xdr:to>
      <xdr:col>27</xdr:col>
      <xdr:colOff>362160</xdr:colOff>
      <xdr:row>297</xdr:row>
      <xdr:rowOff>8640</xdr:rowOff>
    </xdr:to>
    <xdr:graphicFrame>
      <xdr:nvGraphicFramePr>
        <xdr:cNvPr id="16" name="Chart 17"/>
        <xdr:cNvGraphicFramePr/>
      </xdr:nvGraphicFramePr>
      <xdr:xfrm>
        <a:off x="15013440" y="55435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22</xdr:col>
      <xdr:colOff>0</xdr:colOff>
      <xdr:row>309</xdr:row>
      <xdr:rowOff>0</xdr:rowOff>
    </xdr:from>
    <xdr:to>
      <xdr:col>27</xdr:col>
      <xdr:colOff>362160</xdr:colOff>
      <xdr:row>315</xdr:row>
      <xdr:rowOff>8640</xdr:rowOff>
    </xdr:to>
    <xdr:graphicFrame>
      <xdr:nvGraphicFramePr>
        <xdr:cNvPr id="17" name="Chart 18"/>
        <xdr:cNvGraphicFramePr/>
      </xdr:nvGraphicFramePr>
      <xdr:xfrm>
        <a:off x="15013440" y="58864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22</xdr:col>
      <xdr:colOff>0</xdr:colOff>
      <xdr:row>327</xdr:row>
      <xdr:rowOff>0</xdr:rowOff>
    </xdr:from>
    <xdr:to>
      <xdr:col>27</xdr:col>
      <xdr:colOff>362160</xdr:colOff>
      <xdr:row>333</xdr:row>
      <xdr:rowOff>8640</xdr:rowOff>
    </xdr:to>
    <xdr:graphicFrame>
      <xdr:nvGraphicFramePr>
        <xdr:cNvPr id="18" name="Chart 19"/>
        <xdr:cNvGraphicFramePr/>
      </xdr:nvGraphicFramePr>
      <xdr:xfrm>
        <a:off x="15013440" y="62293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22</xdr:col>
      <xdr:colOff>0</xdr:colOff>
      <xdr:row>345</xdr:row>
      <xdr:rowOff>0</xdr:rowOff>
    </xdr:from>
    <xdr:to>
      <xdr:col>27</xdr:col>
      <xdr:colOff>362160</xdr:colOff>
      <xdr:row>351</xdr:row>
      <xdr:rowOff>8640</xdr:rowOff>
    </xdr:to>
    <xdr:graphicFrame>
      <xdr:nvGraphicFramePr>
        <xdr:cNvPr id="19" name="Chart 20"/>
        <xdr:cNvGraphicFramePr/>
      </xdr:nvGraphicFramePr>
      <xdr:xfrm>
        <a:off x="15013440" y="65722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22</xdr:col>
      <xdr:colOff>0</xdr:colOff>
      <xdr:row>363</xdr:row>
      <xdr:rowOff>0</xdr:rowOff>
    </xdr:from>
    <xdr:to>
      <xdr:col>27</xdr:col>
      <xdr:colOff>362160</xdr:colOff>
      <xdr:row>369</xdr:row>
      <xdr:rowOff>8640</xdr:rowOff>
    </xdr:to>
    <xdr:graphicFrame>
      <xdr:nvGraphicFramePr>
        <xdr:cNvPr id="20" name="Chart 21"/>
        <xdr:cNvGraphicFramePr/>
      </xdr:nvGraphicFramePr>
      <xdr:xfrm>
        <a:off x="15013440" y="69151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22</xdr:col>
      <xdr:colOff>0</xdr:colOff>
      <xdr:row>381</xdr:row>
      <xdr:rowOff>0</xdr:rowOff>
    </xdr:from>
    <xdr:to>
      <xdr:col>27</xdr:col>
      <xdr:colOff>362160</xdr:colOff>
      <xdr:row>387</xdr:row>
      <xdr:rowOff>8640</xdr:rowOff>
    </xdr:to>
    <xdr:graphicFrame>
      <xdr:nvGraphicFramePr>
        <xdr:cNvPr id="21" name="Chart 22"/>
        <xdr:cNvGraphicFramePr/>
      </xdr:nvGraphicFramePr>
      <xdr:xfrm>
        <a:off x="15013440" y="7258068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22</xdr:col>
      <xdr:colOff>0</xdr:colOff>
      <xdr:row>400</xdr:row>
      <xdr:rowOff>0</xdr:rowOff>
    </xdr:from>
    <xdr:to>
      <xdr:col>27</xdr:col>
      <xdr:colOff>362160</xdr:colOff>
      <xdr:row>406</xdr:row>
      <xdr:rowOff>8640</xdr:rowOff>
    </xdr:to>
    <xdr:graphicFrame>
      <xdr:nvGraphicFramePr>
        <xdr:cNvPr id="22" name="Chart 23"/>
        <xdr:cNvGraphicFramePr/>
      </xdr:nvGraphicFramePr>
      <xdr:xfrm>
        <a:off x="15013440" y="7620012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22</xdr:col>
      <xdr:colOff>0</xdr:colOff>
      <xdr:row>418</xdr:row>
      <xdr:rowOff>0</xdr:rowOff>
    </xdr:from>
    <xdr:to>
      <xdr:col>27</xdr:col>
      <xdr:colOff>362160</xdr:colOff>
      <xdr:row>424</xdr:row>
      <xdr:rowOff>8640</xdr:rowOff>
    </xdr:to>
    <xdr:graphicFrame>
      <xdr:nvGraphicFramePr>
        <xdr:cNvPr id="23" name="Chart 24"/>
        <xdr:cNvGraphicFramePr/>
      </xdr:nvGraphicFramePr>
      <xdr:xfrm>
        <a:off x="15013440" y="7962912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22</xdr:col>
      <xdr:colOff>0</xdr:colOff>
      <xdr:row>436</xdr:row>
      <xdr:rowOff>0</xdr:rowOff>
    </xdr:from>
    <xdr:to>
      <xdr:col>27</xdr:col>
      <xdr:colOff>362160</xdr:colOff>
      <xdr:row>442</xdr:row>
      <xdr:rowOff>8640</xdr:rowOff>
    </xdr:to>
    <xdr:graphicFrame>
      <xdr:nvGraphicFramePr>
        <xdr:cNvPr id="24" name="Chart 25"/>
        <xdr:cNvGraphicFramePr/>
      </xdr:nvGraphicFramePr>
      <xdr:xfrm>
        <a:off x="15013440" y="8305812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22</xdr:col>
      <xdr:colOff>0</xdr:colOff>
      <xdr:row>454</xdr:row>
      <xdr:rowOff>0</xdr:rowOff>
    </xdr:from>
    <xdr:to>
      <xdr:col>27</xdr:col>
      <xdr:colOff>362160</xdr:colOff>
      <xdr:row>460</xdr:row>
      <xdr:rowOff>8640</xdr:rowOff>
    </xdr:to>
    <xdr:graphicFrame>
      <xdr:nvGraphicFramePr>
        <xdr:cNvPr id="25" name="Chart 26"/>
        <xdr:cNvGraphicFramePr/>
      </xdr:nvGraphicFramePr>
      <xdr:xfrm>
        <a:off x="15013440" y="8648712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22</xdr:col>
      <xdr:colOff>0</xdr:colOff>
      <xdr:row>472</xdr:row>
      <xdr:rowOff>0</xdr:rowOff>
    </xdr:from>
    <xdr:to>
      <xdr:col>27</xdr:col>
      <xdr:colOff>362160</xdr:colOff>
      <xdr:row>478</xdr:row>
      <xdr:rowOff>8640</xdr:rowOff>
    </xdr:to>
    <xdr:graphicFrame>
      <xdr:nvGraphicFramePr>
        <xdr:cNvPr id="26" name="Chart 27"/>
        <xdr:cNvGraphicFramePr/>
      </xdr:nvGraphicFramePr>
      <xdr:xfrm>
        <a:off x="15013440" y="89916120"/>
        <a:ext cx="3419640" cy="11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4" t="s">
        <v>3</v>
      </c>
      <c r="E2" s="4"/>
      <c r="F2" s="5" t="s">
        <v>4</v>
      </c>
      <c r="G2" s="5"/>
      <c r="H2" s="5"/>
      <c r="I2" s="5"/>
    </row>
    <row r="4" customFormat="false" ht="15" hidden="false" customHeight="fals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</row>
    <row r="5" customFormat="false" ht="15" hidden="false" customHeight="false" outlineLevel="0" collapsed="false">
      <c r="A5" s="7" t="s">
        <v>14</v>
      </c>
      <c r="B5" s="7" t="s">
        <v>15</v>
      </c>
      <c r="C5" s="8" t="s">
        <v>16</v>
      </c>
      <c r="D5" s="7" t="s">
        <v>17</v>
      </c>
      <c r="E5" s="9" t="n">
        <f aca="false">Detalle!B17</f>
        <v>0.178987692540018</v>
      </c>
      <c r="F5" s="7" t="str">
        <f aca="false">IF(Detalle!B17&gt;=0.3,"APROBAR",IF(Detalle!B17&gt;=0.2,"REVISAR","RECHAZAR"))</f>
        <v>RECHAZAR</v>
      </c>
      <c r="G5" s="10" t="n">
        <v>0.275</v>
      </c>
      <c r="H5" s="11" t="n">
        <v>40716.44</v>
      </c>
      <c r="I5" s="12" t="str">
        <f aca="false">IF(Detalle!B17&gt;=0.3,"OK · registrar",IF(Detalle!B17&gt;=0.2,"Margen abril &lt;30%","Margen abril &lt;20% · subir objetivo o renegociar"))&amp;""</f>
        <v>Margen abril &lt;20% · subir objetivo o renegociar</v>
      </c>
    </row>
    <row r="6" customFormat="false" ht="15" hidden="false" customHeight="false" outlineLevel="0" collapsed="false">
      <c r="A6" s="7" t="s">
        <v>18</v>
      </c>
      <c r="B6" s="7" t="s">
        <v>19</v>
      </c>
      <c r="C6" s="8" t="s">
        <v>20</v>
      </c>
      <c r="D6" s="7" t="s">
        <v>17</v>
      </c>
      <c r="E6" s="9" t="n">
        <f aca="false">Detalle!B35</f>
        <v>0.209601832553384</v>
      </c>
      <c r="F6" s="7" t="str">
        <f aca="false">IF(Detalle!B35&gt;=0.3,"APROBAR",IF(Detalle!B35&gt;=0.2,"REVISAR","RECHAZAR"))</f>
        <v>REVISAR</v>
      </c>
      <c r="G6" s="10" t="n">
        <v>0.244</v>
      </c>
      <c r="H6" s="11" t="n">
        <v>53718.09</v>
      </c>
      <c r="I6" s="12" t="str">
        <f aca="false">IF(Detalle!B35&gt;=0.3,"OK · registrar",IF(Detalle!B35&gt;=0.2,"Margen abril &lt;30%","Margen abril &lt;20% · subir objetivo o renegociar"))&amp;""</f>
        <v>Margen abril &lt;30%</v>
      </c>
    </row>
    <row r="7" customFormat="false" ht="15" hidden="false" customHeight="false" outlineLevel="0" collapsed="false">
      <c r="A7" s="7" t="s">
        <v>21</v>
      </c>
      <c r="B7" s="7" t="s">
        <v>22</v>
      </c>
      <c r="C7" s="8" t="s">
        <v>23</v>
      </c>
      <c r="D7" s="7" t="s">
        <v>17</v>
      </c>
      <c r="E7" s="9" t="n">
        <f aca="false">Detalle!B53</f>
        <v>0.0336901155380983</v>
      </c>
      <c r="F7" s="7" t="str">
        <f aca="false">IF(Detalle!B53&gt;=0.3,"APROBAR",IF(Detalle!B53&gt;=0.2,"REVISAR","RECHAZAR"))</f>
        <v>RECHAZAR</v>
      </c>
      <c r="G7" s="10" t="n">
        <v>0.204</v>
      </c>
      <c r="H7" s="11" t="n">
        <v>12272.46</v>
      </c>
      <c r="I7" s="12" t="str">
        <f aca="false">IF(Detalle!B53&gt;=0.3,"OK · registrar",IF(Detalle!B53&gt;=0.2,"Margen abril &lt;30%","Margen abril &lt;20% · subir objetivo o renegociar"))&amp;""</f>
        <v>Margen abril &lt;20% · subir objetivo o renegociar</v>
      </c>
    </row>
    <row r="8" customFormat="false" ht="15" hidden="false" customHeight="false" outlineLevel="0" collapsed="false">
      <c r="A8" s="7" t="s">
        <v>24</v>
      </c>
      <c r="B8" s="7" t="s">
        <v>25</v>
      </c>
      <c r="C8" s="8" t="s">
        <v>26</v>
      </c>
      <c r="D8" s="7" t="s">
        <v>27</v>
      </c>
      <c r="E8" s="9" t="n">
        <f aca="false">Detalle!B72</f>
        <v>0.307150883387853</v>
      </c>
      <c r="F8" s="7" t="str">
        <f aca="false">IF(Detalle!B72&gt;=0.3,"APROBAR",IF(Detalle!B72&gt;=0.2,"REVISAR","RECHAZAR"))</f>
        <v>APROBAR</v>
      </c>
      <c r="G8" s="10" t="n">
        <v>0.432</v>
      </c>
      <c r="H8" s="11" t="n">
        <v>130568.72</v>
      </c>
      <c r="I8" s="12" t="str">
        <f aca="false">IF(Detalle!B72&gt;=0.3,"OK · registrar",IF(Detalle!B72&gt;=0.2,"Margen abril &lt;30%","Margen abril &lt;20% · subir objetivo o renegociar"))&amp;" · Es 6.1TD (no 3.0TD)"</f>
        <v>OK · registrar · Es 6.1TD (no 3.0TD)</v>
      </c>
    </row>
    <row r="9" customFormat="false" ht="15" hidden="false" customHeight="false" outlineLevel="0" collapsed="false">
      <c r="A9" s="7" t="s">
        <v>28</v>
      </c>
      <c r="B9" s="7" t="s">
        <v>29</v>
      </c>
      <c r="C9" s="8" t="s">
        <v>30</v>
      </c>
      <c r="D9" s="7" t="s">
        <v>17</v>
      </c>
      <c r="E9" s="9" t="n">
        <f aca="false">Detalle!B90</f>
        <v>0.358582408492452</v>
      </c>
      <c r="F9" s="7" t="str">
        <f aca="false">IF(Detalle!B90&gt;=0.3,"APROBAR",IF(Detalle!B90&gt;=0.2,"REVISAR","RECHAZAR"))</f>
        <v>APROBAR</v>
      </c>
      <c r="G9" s="10" t="n">
        <v>0.269</v>
      </c>
      <c r="H9" s="11" t="n">
        <v>18857.1</v>
      </c>
      <c r="I9" s="12" t="str">
        <f aca="false">IF(Detalle!B90&gt;=0.3,"OK · registrar",IF(Detalle!B90&gt;=0.2,"Margen abril &lt;30%","Margen abril &lt;20% · subir objetivo o renegociar"))&amp;""</f>
        <v>OK · registrar</v>
      </c>
    </row>
    <row r="10" customFormat="false" ht="15" hidden="false" customHeight="false" outlineLevel="0" collapsed="false">
      <c r="A10" s="7" t="s">
        <v>31</v>
      </c>
      <c r="B10" s="7" t="s">
        <v>32</v>
      </c>
      <c r="C10" s="8" t="s">
        <v>30</v>
      </c>
      <c r="D10" s="7" t="s">
        <v>17</v>
      </c>
      <c r="E10" s="9" t="n">
        <f aca="false">Detalle!B108</f>
        <v>0.334360809752824</v>
      </c>
      <c r="F10" s="7" t="str">
        <f aca="false">IF(Detalle!B108&gt;=0.3,"APROBAR",IF(Detalle!B108&gt;=0.2,"REVISAR","RECHAZAR"))</f>
        <v>APROBAR</v>
      </c>
      <c r="G10" s="10" t="n">
        <v>0.324</v>
      </c>
      <c r="H10" s="11" t="n">
        <v>19336.5</v>
      </c>
      <c r="I10" s="12" t="str">
        <f aca="false">IF(Detalle!B108&gt;=0.3,"OK · registrar",IF(Detalle!B108&gt;=0.2,"Margen abril &lt;30%","Margen abril &lt;20% · subir objetivo o renegociar"))&amp;""</f>
        <v>OK · registrar</v>
      </c>
    </row>
    <row r="11" customFormat="false" ht="15" hidden="false" customHeight="false" outlineLevel="0" collapsed="false">
      <c r="A11" s="7" t="s">
        <v>33</v>
      </c>
      <c r="B11" s="7" t="s">
        <v>34</v>
      </c>
      <c r="C11" s="8" t="s">
        <v>30</v>
      </c>
      <c r="D11" s="7" t="s">
        <v>17</v>
      </c>
      <c r="E11" s="9" t="n">
        <f aca="false">Detalle!B126</f>
        <v>0.326615025698976</v>
      </c>
      <c r="F11" s="7" t="str">
        <f aca="false">IF(Detalle!B126&gt;=0.3,"APROBAR",IF(Detalle!B126&gt;=0.2,"REVISAR","RECHAZAR"))</f>
        <v>APROBAR</v>
      </c>
      <c r="G11" s="10" t="n">
        <v>0.342</v>
      </c>
      <c r="H11" s="11" t="n">
        <v>10564.26</v>
      </c>
      <c r="I11" s="12" t="str">
        <f aca="false">IF(Detalle!B126&gt;=0.3,"OK · registrar",IF(Detalle!B126&gt;=0.2,"Margen abril &lt;30%","Margen abril &lt;20% · subir objetivo o renegociar"))&amp;""</f>
        <v>OK · registrar</v>
      </c>
    </row>
    <row r="12" customFormat="false" ht="15" hidden="false" customHeight="false" outlineLevel="0" collapsed="false">
      <c r="A12" s="7" t="s">
        <v>35</v>
      </c>
      <c r="B12" s="7" t="s">
        <v>36</v>
      </c>
      <c r="C12" s="8" t="s">
        <v>37</v>
      </c>
      <c r="D12" s="7" t="s">
        <v>17</v>
      </c>
      <c r="E12" s="9" t="n">
        <f aca="false">Detalle!B145</f>
        <v>0.162899973306234</v>
      </c>
      <c r="F12" s="7" t="str">
        <f aca="false">IF(Detalle!B145&gt;=0.3,"APROBAR",IF(Detalle!B145&gt;=0.2,"REVISAR","RECHAZAR"))</f>
        <v>RECHAZAR</v>
      </c>
      <c r="G12" s="10" t="n">
        <v>0.405</v>
      </c>
      <c r="H12" s="11" t="n">
        <v>151868.44</v>
      </c>
      <c r="I12" s="12" t="str">
        <f aca="false">IF(Detalle!B145&gt;=0.3,"OK · registrar",IF(Detalle!B145&gt;=0.2,"Margen abril &lt;30%","Margen abril &lt;20% · subir objetivo o renegociar"))&amp;""</f>
        <v>Margen abril &lt;20% · subir objetivo o renegociar</v>
      </c>
    </row>
    <row r="13" customFormat="false" ht="15" hidden="false" customHeight="false" outlineLevel="0" collapsed="false">
      <c r="A13" s="7" t="s">
        <v>38</v>
      </c>
      <c r="B13" s="7" t="s">
        <v>39</v>
      </c>
      <c r="C13" s="8" t="s">
        <v>40</v>
      </c>
      <c r="D13" s="7" t="s">
        <v>17</v>
      </c>
      <c r="E13" s="9" t="n">
        <f aca="false">Detalle!B163</f>
        <v>0.308237885462555</v>
      </c>
      <c r="F13" s="7" t="str">
        <f aca="false">IF(Detalle!B163&gt;=0.3,"APROBAR",IF(Detalle!B163&gt;=0.2,"REVISAR","RECHAZAR"))</f>
        <v>APROBAR</v>
      </c>
      <c r="G13" s="10" t="n">
        <v>0.487</v>
      </c>
      <c r="H13" s="11" t="n">
        <v>2907.71</v>
      </c>
      <c r="I13" s="12" t="str">
        <f aca="false">IF(Detalle!B163&gt;=0.3,"OK · registrar",IF(Detalle!B163&gt;=0.2,"Margen abril &lt;30%","Margen abril &lt;20% · subir objetivo o renegociar"))&amp;""</f>
        <v>OK · registrar</v>
      </c>
    </row>
    <row r="14" customFormat="false" ht="19.4" hidden="false" customHeight="false" outlineLevel="0" collapsed="false">
      <c r="A14" s="7" t="s">
        <v>41</v>
      </c>
      <c r="B14" s="7" t="s">
        <v>42</v>
      </c>
      <c r="C14" s="8" t="s">
        <v>43</v>
      </c>
      <c r="D14" s="7" t="s">
        <v>44</v>
      </c>
      <c r="E14" s="9" t="n">
        <f aca="false">Detalle!B181</f>
        <v>0.133072231902423</v>
      </c>
      <c r="F14" s="7" t="str">
        <f aca="false">IF(Detalle!B181&gt;=0.3,"APROBAR",IF(Detalle!B181&gt;=0.2,"REVISAR","RECHAZAR"))</f>
        <v>RECHAZAR</v>
      </c>
      <c r="G14" s="10" t="n">
        <v>0.316</v>
      </c>
      <c r="H14" s="11" t="n">
        <v>26924.82</v>
      </c>
      <c r="I14" s="12" t="str">
        <f aca="false">IF(Detalle!B181&gt;=0.3,"OK · registrar",IF(Detalle!B181&gt;=0.2,"Margen abril &lt;30%","Margen abril &lt;20% · subir objetivo o renegociar"))&amp;" · Repsol margen muy bajo"</f>
        <v>Margen abril &lt;20% · subir objetivo o renegociar · Repsol margen muy bajo</v>
      </c>
    </row>
    <row r="15" customFormat="false" ht="15" hidden="false" customHeight="false" outlineLevel="0" collapsed="false">
      <c r="A15" s="7" t="s">
        <v>45</v>
      </c>
      <c r="B15" s="7" t="s">
        <v>46</v>
      </c>
      <c r="C15" s="8" t="s">
        <v>47</v>
      </c>
      <c r="D15" s="7" t="s">
        <v>17</v>
      </c>
      <c r="E15" s="9" t="n">
        <f aca="false">Detalle!B199</f>
        <v>0.297873825503356</v>
      </c>
      <c r="F15" s="7" t="str">
        <f aca="false">IF(Detalle!B199&gt;=0.3,"APROBAR",IF(Detalle!B199&gt;=0.2,"REVISAR","RECHAZAR"))</f>
        <v>REVISAR</v>
      </c>
      <c r="G15" s="10" t="n">
        <v>0.362</v>
      </c>
      <c r="H15" s="11" t="n">
        <v>6192.61</v>
      </c>
      <c r="I15" s="12" t="str">
        <f aca="false">IF(Detalle!B199&gt;=0.3,"OK · registrar",IF(Detalle!B199&gt;=0.2,"Margen abril &lt;30%","Margen abril &lt;20% · subir objetivo o renegociar"))&amp;""</f>
        <v>Margen abril &lt;30%</v>
      </c>
    </row>
    <row r="16" customFormat="false" ht="15" hidden="false" customHeight="false" outlineLevel="0" collapsed="false">
      <c r="A16" s="7" t="s">
        <v>48</v>
      </c>
      <c r="B16" s="7" t="s">
        <v>49</v>
      </c>
      <c r="C16" s="8" t="s">
        <v>50</v>
      </c>
      <c r="D16" s="7" t="s">
        <v>17</v>
      </c>
      <c r="E16" s="9" t="n">
        <f aca="false">Detalle!B217</f>
        <v>0.168048650967096</v>
      </c>
      <c r="F16" s="7" t="str">
        <f aca="false">IF(Detalle!B217&gt;=0.3,"APROBAR",IF(Detalle!B217&gt;=0.2,"REVISAR","RECHAZAR"))</f>
        <v>RECHAZAR</v>
      </c>
      <c r="G16" s="10" t="n">
        <v>0.277</v>
      </c>
      <c r="H16" s="11" t="n">
        <v>31335.42</v>
      </c>
      <c r="I16" s="12" t="str">
        <f aca="false">IF(Detalle!B217&gt;=0.3,"OK · registrar",IF(Detalle!B217&gt;=0.2,"Margen abril &lt;30%","Margen abril &lt;20% · subir objetivo o renegociar"))&amp;""</f>
        <v>Margen abril &lt;20% · subir objetivo o renegociar</v>
      </c>
    </row>
    <row r="17" customFormat="false" ht="15" hidden="false" customHeight="false" outlineLevel="0" collapsed="false">
      <c r="A17" s="7" t="s">
        <v>51</v>
      </c>
      <c r="B17" s="7" t="s">
        <v>52</v>
      </c>
      <c r="C17" s="8" t="s">
        <v>53</v>
      </c>
      <c r="D17" s="7" t="s">
        <v>44</v>
      </c>
      <c r="E17" s="9" t="n">
        <f aca="false">Detalle!B235</f>
        <v>0.166783860096548</v>
      </c>
      <c r="F17" s="7" t="str">
        <f aca="false">IF(Detalle!B235&gt;=0.3,"APROBAR",IF(Detalle!B235&gt;=0.2,"REVISAR","RECHAZAR"))</f>
        <v>RECHAZAR</v>
      </c>
      <c r="G17" s="10" t="n">
        <v>0.253</v>
      </c>
      <c r="H17" s="11" t="n">
        <v>14704.48</v>
      </c>
      <c r="I17" s="12" t="str">
        <f aca="false">IF(Detalle!B235&gt;=0.3,"OK · registrar",IF(Detalle!B235&gt;=0.2,"Margen abril &lt;30%","Margen abril &lt;20% · subir objetivo o renegociar"))&amp;""</f>
        <v>Margen abril &lt;20% · subir objetivo o renegociar</v>
      </c>
    </row>
    <row r="18" customFormat="false" ht="15" hidden="false" customHeight="false" outlineLevel="0" collapsed="false">
      <c r="A18" s="7" t="s">
        <v>54</v>
      </c>
      <c r="B18" s="7" t="s">
        <v>55</v>
      </c>
      <c r="C18" s="8" t="s">
        <v>56</v>
      </c>
      <c r="D18" s="7" t="s">
        <v>17</v>
      </c>
      <c r="E18" s="9" t="n">
        <f aca="false">Detalle!B253</f>
        <v>0.335096866467299</v>
      </c>
      <c r="F18" s="7" t="str">
        <f aca="false">IF(Detalle!B253&gt;=0.3,"APROBAR",IF(Detalle!B253&gt;=0.2,"REVISAR","RECHAZAR"))</f>
        <v>APROBAR</v>
      </c>
      <c r="G18" s="10" t="n">
        <v>0.184</v>
      </c>
      <c r="H18" s="11" t="n">
        <v>3367.63</v>
      </c>
      <c r="I18" s="12" t="str">
        <f aca="false">IF(Detalle!B253&gt;=0.3,"OK · registrar",IF(Detalle!B253&gt;=0.2,"Margen abril &lt;30%","Margen abril &lt;20% · subir objetivo o renegociar"))&amp;""</f>
        <v>OK · registrar</v>
      </c>
    </row>
    <row r="19" customFormat="false" ht="15" hidden="false" customHeight="false" outlineLevel="0" collapsed="false">
      <c r="A19" s="7" t="s">
        <v>57</v>
      </c>
      <c r="B19" s="7" t="s">
        <v>58</v>
      </c>
      <c r="C19" s="8" t="s">
        <v>59</v>
      </c>
      <c r="D19" s="7" t="s">
        <v>44</v>
      </c>
      <c r="E19" s="9" t="n">
        <f aca="false">Detalle!B271</f>
        <v>0.219491851889399</v>
      </c>
      <c r="F19" s="7" t="str">
        <f aca="false">IF(Detalle!B271&gt;=0.3,"APROBAR",IF(Detalle!B271&gt;=0.2,"REVISAR","RECHAZAR"))</f>
        <v>REVISAR</v>
      </c>
      <c r="G19" s="10" t="n">
        <v>0.203</v>
      </c>
      <c r="H19" s="11" t="n">
        <v>15417.71</v>
      </c>
      <c r="I19" s="12" t="str">
        <f aca="false">IF(Detalle!B271&gt;=0.3,"OK · registrar",IF(Detalle!B271&gt;=0.2,"Margen abril &lt;30%","Margen abril &lt;20% · subir objetivo o renegociar"))&amp;" · P6 a precio doble (real)"</f>
        <v>Margen abril &lt;30% · P6 a precio doble (real)</v>
      </c>
    </row>
    <row r="20" customFormat="false" ht="15" hidden="false" customHeight="false" outlineLevel="0" collapsed="false">
      <c r="A20" s="7" t="s">
        <v>60</v>
      </c>
      <c r="B20" s="7" t="s">
        <v>39</v>
      </c>
      <c r="C20" s="8" t="s">
        <v>40</v>
      </c>
      <c r="D20" s="7" t="s">
        <v>17</v>
      </c>
      <c r="E20" s="9" t="n">
        <f aca="false">Detalle!B289</f>
        <v>0.308237885462555</v>
      </c>
      <c r="F20" s="7" t="str">
        <f aca="false">IF(Detalle!B289&gt;=0.3,"APROBAR",IF(Detalle!B289&gt;=0.2,"REVISAR","RECHAZAR"))</f>
        <v>APROBAR</v>
      </c>
      <c r="G20" s="10" t="n">
        <v>0.487</v>
      </c>
      <c r="H20" s="11" t="n">
        <v>2907.71</v>
      </c>
      <c r="I20" s="12" t="str">
        <f aca="false">IF(Detalle!B289&gt;=0.3,"OK · registrar",IF(Detalle!B289&gt;=0.2,"Margen abril &lt;30%","Margen abril &lt;20% · subir objetivo o renegociar"))&amp;""</f>
        <v>OK · registrar</v>
      </c>
    </row>
    <row r="21" customFormat="false" ht="15" hidden="false" customHeight="false" outlineLevel="0" collapsed="false">
      <c r="A21" s="7" t="s">
        <v>61</v>
      </c>
      <c r="B21" s="7" t="s">
        <v>62</v>
      </c>
      <c r="C21" s="8" t="s">
        <v>63</v>
      </c>
      <c r="D21" s="7" t="s">
        <v>17</v>
      </c>
      <c r="E21" s="9" t="n">
        <f aca="false">Detalle!B307</f>
        <v>0.236035704165486</v>
      </c>
      <c r="F21" s="7" t="str">
        <f aca="false">IF(Detalle!B307&gt;=0.3,"APROBAR",IF(Detalle!B307&gt;=0.2,"REVISAR","RECHAZAR"))</f>
        <v>REVISAR</v>
      </c>
      <c r="G21" s="10" t="n">
        <v>0.292</v>
      </c>
      <c r="H21" s="11" t="n">
        <v>5897.71</v>
      </c>
      <c r="I21" s="12" t="str">
        <f aca="false">IF(Detalle!B307&gt;=0.3,"OK · registrar",IF(Detalle!B307&gt;=0.2,"Margen abril &lt;30%","Margen abril &lt;20% · subir objetivo o renegociar"))&amp;""</f>
        <v>Margen abril &lt;30%</v>
      </c>
    </row>
    <row r="22" customFormat="false" ht="15" hidden="false" customHeight="false" outlineLevel="0" collapsed="false">
      <c r="A22" s="7" t="s">
        <v>64</v>
      </c>
      <c r="B22" s="7" t="s">
        <v>65</v>
      </c>
      <c r="C22" s="8" t="s">
        <v>66</v>
      </c>
      <c r="D22" s="7" t="s">
        <v>44</v>
      </c>
      <c r="E22" s="9" t="n">
        <f aca="false">Detalle!B325</f>
        <v>0.25181785671713</v>
      </c>
      <c r="F22" s="7" t="str">
        <f aca="false">IF(Detalle!B325&gt;=0.3,"APROBAR",IF(Detalle!B325&gt;=0.2,"REVISAR","RECHAZAR"))</f>
        <v>REVISAR</v>
      </c>
      <c r="G22" s="10" t="n">
        <v>0.424</v>
      </c>
      <c r="H22" s="11" t="n">
        <v>4741.93</v>
      </c>
      <c r="I22" s="12" t="str">
        <f aca="false">IF(Detalle!B325&gt;=0.3,"OK · registrar",IF(Detalle!B325&gt;=0.2,"Margen abril &lt;30%","Margen abril &lt;20% · subir objetivo o renegociar"))&amp;""</f>
        <v>Margen abril &lt;30%</v>
      </c>
    </row>
    <row r="23" customFormat="false" ht="15" hidden="false" customHeight="false" outlineLevel="0" collapsed="false">
      <c r="A23" s="7" t="s">
        <v>67</v>
      </c>
      <c r="B23" s="7" t="s">
        <v>68</v>
      </c>
      <c r="C23" s="8" t="s">
        <v>69</v>
      </c>
      <c r="D23" s="7" t="s">
        <v>44</v>
      </c>
      <c r="E23" s="9" t="n">
        <f aca="false">Detalle!B343</f>
        <v>0.0717288597926897</v>
      </c>
      <c r="F23" s="7" t="str">
        <f aca="false">IF(Detalle!B343&gt;=0.3,"APROBAR",IF(Detalle!B343&gt;=0.2,"REVISAR","RECHAZAR"))</f>
        <v>RECHAZAR</v>
      </c>
      <c r="G23" s="10" t="n">
        <v>0.154</v>
      </c>
      <c r="H23" s="11" t="n">
        <v>2756.73</v>
      </c>
      <c r="I23" s="12" t="str">
        <f aca="false">IF(Detalle!B343&gt;=0.3,"OK · registrar",IF(Detalle!B343&gt;=0.2,"Margen abril &lt;30%","Margen abril &lt;20% · subir objetivo o renegociar"))&amp;""</f>
        <v>Margen abril &lt;20% · subir objetivo o renegociar</v>
      </c>
    </row>
    <row r="24" customFormat="false" ht="15" hidden="false" customHeight="false" outlineLevel="0" collapsed="false">
      <c r="A24" s="7" t="s">
        <v>70</v>
      </c>
      <c r="B24" s="7" t="s">
        <v>71</v>
      </c>
      <c r="C24" s="8" t="s">
        <v>72</v>
      </c>
      <c r="D24" s="7" t="s">
        <v>44</v>
      </c>
      <c r="E24" s="9" t="n">
        <f aca="false">Detalle!B361</f>
        <v>0.0690093313777058</v>
      </c>
      <c r="F24" s="7" t="str">
        <f aca="false">IF(Detalle!B361&gt;=0.3,"APROBAR",IF(Detalle!B361&gt;=0.2,"REVISAR","RECHAZAR"))</f>
        <v>RECHAZAR</v>
      </c>
      <c r="G24" s="10" t="n">
        <v>0.147</v>
      </c>
      <c r="H24" s="11" t="n">
        <v>3844.21</v>
      </c>
      <c r="I24" s="12" t="str">
        <f aca="false">IF(Detalle!B361&gt;=0.3,"OK · registrar",IF(Detalle!B361&gt;=0.2,"Margen abril &lt;30%","Margen abril &lt;20% · subir objetivo o renegociar"))&amp;""</f>
        <v>Margen abril &lt;20% · subir objetivo o renegociar</v>
      </c>
    </row>
    <row r="25" customFormat="false" ht="19.4" hidden="false" customHeight="false" outlineLevel="0" collapsed="false">
      <c r="A25" s="7" t="s">
        <v>73</v>
      </c>
      <c r="B25" s="7" t="s">
        <v>74</v>
      </c>
      <c r="C25" s="8" t="s">
        <v>75</v>
      </c>
      <c r="D25" s="7" t="s">
        <v>44</v>
      </c>
      <c r="E25" s="9" t="n">
        <f aca="false">Detalle!B379</f>
        <v>0.163502004244282</v>
      </c>
      <c r="F25" s="7" t="str">
        <f aca="false">IF(Detalle!B379&gt;=0.3,"APROBAR",IF(Detalle!B379&gt;=0.2,"REVISAR","RECHAZAR"))</f>
        <v>RECHAZAR</v>
      </c>
      <c r="G25" s="10" t="n">
        <v>0.306</v>
      </c>
      <c r="H25" s="11" t="n">
        <v>43740</v>
      </c>
      <c r="I25" s="12" t="str">
        <f aca="false">IF(Detalle!B379&gt;=0.3,"OK · registrar",IF(Detalle!B379&gt;=0.2,"Margen abril &lt;30%","Margen abril &lt;20% · subir objetivo o renegociar"))&amp;" · P6 doble (real); abril sin consumo"</f>
        <v>Margen abril &lt;20% · subir objetivo o renegociar · P6 doble (real); abril sin consumo</v>
      </c>
    </row>
    <row r="26" customFormat="false" ht="19.4" hidden="false" customHeight="false" outlineLevel="0" collapsed="false">
      <c r="A26" s="7" t="s">
        <v>76</v>
      </c>
      <c r="B26" s="7" t="s">
        <v>77</v>
      </c>
      <c r="C26" s="8" t="s">
        <v>78</v>
      </c>
      <c r="D26" s="7" t="s">
        <v>17</v>
      </c>
      <c r="E26" s="9" t="n">
        <f aca="false">Detalle!B398</f>
        <v>0.262037706792356</v>
      </c>
      <c r="F26" s="7" t="str">
        <f aca="false">IF(Detalle!B398&gt;=0.3,"APROBAR",IF(Detalle!B398&gt;=0.2,"REVISAR","RECHAZAR"))</f>
        <v>REVISAR</v>
      </c>
      <c r="G26" s="10" t="n">
        <v>0.31</v>
      </c>
      <c r="H26" s="11" t="n">
        <v>14442.13</v>
      </c>
      <c r="I26" s="12" t="str">
        <f aca="false">IF(Detalle!B398&gt;=0.3,"OK · registrar",IF(Detalle!B398&gt;=0.2,"Margen abril &lt;30%","Margen abril &lt;20% · subir objetivo o renegociar"))&amp;" · Excedentes solares NO compensados"</f>
        <v>Margen abril &lt;30% · Excedentes solares NO compensados</v>
      </c>
    </row>
    <row r="27" customFormat="false" ht="15" hidden="false" customHeight="false" outlineLevel="0" collapsed="false">
      <c r="A27" s="7" t="s">
        <v>79</v>
      </c>
      <c r="B27" s="7" t="s">
        <v>80</v>
      </c>
      <c r="C27" s="8" t="s">
        <v>81</v>
      </c>
      <c r="D27" s="7" t="s">
        <v>17</v>
      </c>
      <c r="E27" s="9" t="n">
        <f aca="false">Detalle!B416</f>
        <v>0.180297090824909</v>
      </c>
      <c r="F27" s="7" t="str">
        <f aca="false">IF(Detalle!B416&gt;=0.3,"APROBAR",IF(Detalle!B416&gt;=0.2,"REVISAR","RECHAZAR"))</f>
        <v>RECHAZAR</v>
      </c>
      <c r="G27" s="10" t="n">
        <v>0.326</v>
      </c>
      <c r="H27" s="11" t="n">
        <v>5854.69</v>
      </c>
      <c r="I27" s="12" t="str">
        <f aca="false">IF(Detalle!B416&gt;=0.3,"OK · registrar",IF(Detalle!B416&gt;=0.2,"Margen abril &lt;30%","Margen abril &lt;20% · subir objetivo o renegociar"))&amp;""</f>
        <v>Margen abril &lt;20% · subir objetivo o renegociar</v>
      </c>
    </row>
    <row r="28" customFormat="false" ht="15" hidden="false" customHeight="false" outlineLevel="0" collapsed="false">
      <c r="A28" s="7" t="s">
        <v>82</v>
      </c>
      <c r="B28" s="7" t="s">
        <v>83</v>
      </c>
      <c r="C28" s="8" t="s">
        <v>84</v>
      </c>
      <c r="D28" s="7" t="s">
        <v>17</v>
      </c>
      <c r="E28" s="9" t="n">
        <f aca="false">Detalle!B434</f>
        <v>0.214437774931789</v>
      </c>
      <c r="F28" s="7" t="str">
        <f aca="false">IF(Detalle!B434&gt;=0.3,"APROBAR",IF(Detalle!B434&gt;=0.2,"REVISAR","RECHAZAR"))</f>
        <v>REVISAR</v>
      </c>
      <c r="G28" s="10" t="n">
        <v>0.347</v>
      </c>
      <c r="H28" s="11" t="n">
        <v>33692.13</v>
      </c>
      <c r="I28" s="12" t="str">
        <f aca="false">IF(Detalle!B434&gt;=0.3,"OK · registrar",IF(Detalle!B434&gt;=0.2,"Margen abril &lt;30%","Margen abril &lt;20% · subir objetivo o renegociar"))&amp;""</f>
        <v>Margen abril &lt;30%</v>
      </c>
    </row>
    <row r="29" customFormat="false" ht="15" hidden="false" customHeight="false" outlineLevel="0" collapsed="false">
      <c r="A29" s="7" t="s">
        <v>85</v>
      </c>
      <c r="B29" s="7" t="s">
        <v>86</v>
      </c>
      <c r="C29" s="8" t="s">
        <v>87</v>
      </c>
      <c r="D29" s="7" t="s">
        <v>44</v>
      </c>
      <c r="E29" s="9" t="n">
        <f aca="false">Detalle!B452</f>
        <v>0.0474893458661961</v>
      </c>
      <c r="F29" s="7" t="str">
        <f aca="false">IF(Detalle!B452&gt;=0.3,"APROBAR",IF(Detalle!B452&gt;=0.2,"REVISAR","RECHAZAR"))</f>
        <v>RECHAZAR</v>
      </c>
      <c r="G29" s="10" t="n">
        <v>0.129</v>
      </c>
      <c r="H29" s="11" t="n">
        <v>14832.89</v>
      </c>
      <c r="I29" s="12" t="str">
        <f aca="false">IF(Detalle!B452&gt;=0.3,"OK · registrar",IF(Detalle!B452&gt;=0.2,"Margen abril &lt;30%","Margen abril &lt;20% · subir objetivo o renegociar"))&amp;""</f>
        <v>Margen abril &lt;20% · subir objetivo o renegociar</v>
      </c>
    </row>
    <row r="30" customFormat="false" ht="15" hidden="false" customHeight="false" outlineLevel="0" collapsed="false">
      <c r="A30" s="7" t="s">
        <v>88</v>
      </c>
      <c r="B30" s="7" t="s">
        <v>89</v>
      </c>
      <c r="C30" s="8" t="s">
        <v>90</v>
      </c>
      <c r="D30" s="7" t="s">
        <v>17</v>
      </c>
      <c r="E30" s="9" t="n">
        <f aca="false">Detalle!B470</f>
        <v>0.200185018597007</v>
      </c>
      <c r="F30" s="7" t="str">
        <f aca="false">IF(Detalle!B470&gt;=0.3,"APROBAR",IF(Detalle!B470&gt;=0.2,"REVISAR","RECHAZAR"))</f>
        <v>REVISAR</v>
      </c>
      <c r="G30" s="10" t="n">
        <v>0.314</v>
      </c>
      <c r="H30" s="11" t="n">
        <v>82412.04</v>
      </c>
      <c r="I30" s="12" t="str">
        <f aca="false">IF(Detalle!B470&gt;=0.3,"OK · registrar",IF(Detalle!B470&gt;=0.2,"Margen abril &lt;30%","Margen abril &lt;20% · subir objetivo o renegociar"))&amp;""</f>
        <v>Margen abril &lt;30%</v>
      </c>
    </row>
    <row r="31" customFormat="false" ht="15" hidden="false" customHeight="false" outlineLevel="0" collapsed="false">
      <c r="A31" s="7" t="s">
        <v>91</v>
      </c>
      <c r="B31" s="7" t="s">
        <v>92</v>
      </c>
      <c r="C31" s="8" t="s">
        <v>93</v>
      </c>
      <c r="D31" s="7" t="s">
        <v>17</v>
      </c>
      <c r="E31" s="9" t="n">
        <f aca="false">Detalle!B488</f>
        <v>0.166685952731608</v>
      </c>
      <c r="F31" s="7" t="str">
        <f aca="false">IF(Detalle!B488&gt;=0.3,"APROBAR",IF(Detalle!B488&gt;=0.2,"REVISAR","RECHAZAR"))</f>
        <v>RECHAZAR</v>
      </c>
      <c r="G31" s="10" t="n">
        <v>0.324</v>
      </c>
      <c r="H31" s="11" t="n">
        <v>40860.13</v>
      </c>
      <c r="I31" s="12" t="str">
        <f aca="false">IF(Detalle!B488&gt;=0.3,"OK · registrar",IF(Detalle!B488&gt;=0.2,"Margen abril &lt;30%","Margen abril &lt;20% · subir objetivo o renegociar"))&amp;""</f>
        <v>Margen abril &lt;20% · subir objetivo o renegociar</v>
      </c>
    </row>
    <row r="33" customFormat="false" ht="15" hidden="false" customHeight="false" outlineLevel="0" collapsed="false">
      <c r="A33" s="13" t="s">
        <v>94</v>
      </c>
      <c r="B33" s="13"/>
      <c r="C33" s="13"/>
      <c r="D33" s="13"/>
      <c r="E33" s="13"/>
      <c r="F33" s="13"/>
      <c r="G33" s="13"/>
      <c r="H33" s="13"/>
      <c r="I33" s="13"/>
    </row>
  </sheetData>
  <mergeCells count="5">
    <mergeCell ref="A1:I1"/>
    <mergeCell ref="B2:C2"/>
    <mergeCell ref="D2:E2"/>
    <mergeCell ref="F2:I2"/>
    <mergeCell ref="A33:I33"/>
  </mergeCells>
  <conditionalFormatting sqref="E5:E31">
    <cfRule type="cellIs" priority="2" operator="lessThan" aboveAverage="0" equalAverage="0" bottom="0" percent="0" rank="0" text="" dxfId="0">
      <formula>0.2</formula>
    </cfRule>
    <cfRule type="cellIs" priority="3" operator="between" aboveAverage="0" equalAverage="0" bottom="0" percent="0" rank="0" text="" dxfId="1">
      <formula>0.2</formula>
      <formula>0.29999</formula>
    </cfRule>
    <cfRule type="cellIs" priority="4" operator="greaterThanOrEqual" aboveAverage="0" equalAverage="0" bottom="0" percent="0" rank="0" text="" dxfId="2">
      <formula>0.3</formula>
    </cfRule>
  </conditionalFormatting>
  <conditionalFormatting sqref="F5:F31">
    <cfRule type="expression" priority="5" aboveAverage="0" equalAverage="0" bottom="0" percent="0" rank="0" text="" dxfId="0">
      <formula>$E5&lt;0.2</formula>
    </cfRule>
    <cfRule type="expression" priority="6" aboveAverage="0" equalAverage="0" bottom="0" percent="0" rank="0" text="" dxfId="1">
      <formula>AND($E5&gt;=0.2,$E5&lt;0.3)</formula>
    </cfRule>
    <cfRule type="expression" priority="7" aboveAverage="0" equalAverage="0" bottom="0" percent="0" rank="0" text="" dxfId="2">
      <formula>$E5&gt;=0.3</formula>
    </cfRule>
  </conditionalFormatting>
  <conditionalFormatting sqref="G5:G31">
    <cfRule type="cellIs" priority="8" operator="lessThan" aboveAverage="0" equalAverage="0" bottom="0" percent="0" rank="0" text="" dxfId="0">
      <formula>0.2</formula>
    </cfRule>
    <cfRule type="cellIs" priority="9" operator="greaterThanOrEqual" aboveAverage="0" equalAverage="0" bottom="0" percent="0" rank="0" text="" dxfId="2">
      <formula>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24"/>
    <col collapsed="false" customWidth="true" hidden="false" outlineLevel="0" max="16" min="16" style="0" width="9"/>
    <col collapsed="false" customWidth="true" hidden="false" outlineLevel="0" max="17" min="17" style="0" width="2"/>
    <col collapsed="false" customWidth="true" hidden="false" outlineLevel="0" max="18" min="18" style="0" width="11"/>
    <col collapsed="false" customWidth="true" hidden="false" outlineLevel="0" max="19" min="19" style="0" width="7"/>
    <col collapsed="false" customWidth="true" hidden="false" outlineLevel="0" max="22" min="20" style="0" width="9"/>
  </cols>
  <sheetData>
    <row r="1" customFormat="false" ht="15" hidden="false" customHeight="true" outlineLevel="0" collapsed="false">
      <c r="A1" s="14" t="s">
        <v>95</v>
      </c>
      <c r="B1" s="14"/>
      <c r="C1" s="14"/>
      <c r="D1" s="14"/>
      <c r="E1" s="14"/>
      <c r="F1" s="14"/>
      <c r="G1" s="14"/>
      <c r="H1" s="14"/>
      <c r="I1" s="15" t="s">
        <v>96</v>
      </c>
      <c r="J1" s="15"/>
      <c r="K1" s="15"/>
      <c r="L1" s="15"/>
      <c r="M1" s="15"/>
      <c r="N1" s="15"/>
      <c r="R1" s="16" t="s">
        <v>97</v>
      </c>
      <c r="S1" s="16"/>
      <c r="T1" s="16"/>
      <c r="U1" s="16"/>
      <c r="V1" s="16"/>
    </row>
    <row r="2" customFormat="false" ht="15" hidden="false" customHeight="true" outlineLevel="0" collapsed="false">
      <c r="A2" s="17" t="s">
        <v>98</v>
      </c>
      <c r="B2" s="18" t="s">
        <v>99</v>
      </c>
      <c r="C2" s="18"/>
      <c r="D2" s="18"/>
      <c r="E2" s="18"/>
      <c r="F2" s="18"/>
      <c r="G2" s="19"/>
      <c r="H2" s="20" t="s">
        <v>100</v>
      </c>
      <c r="I2" s="20"/>
      <c r="J2" s="20"/>
      <c r="K2" s="19"/>
      <c r="L2" s="21" t="s">
        <v>101</v>
      </c>
      <c r="M2" s="21"/>
      <c r="N2" s="21"/>
      <c r="R2" s="22" t="s">
        <v>102</v>
      </c>
      <c r="S2" s="22"/>
      <c r="T2" s="22"/>
      <c r="U2" s="22"/>
      <c r="V2" s="22"/>
    </row>
    <row r="3" customFormat="false" ht="15" hidden="false" customHeight="true" outlineLevel="0" collapsed="false">
      <c r="A3" s="19"/>
      <c r="B3" s="23" t="s">
        <v>103</v>
      </c>
      <c r="C3" s="23" t="s">
        <v>104</v>
      </c>
      <c r="D3" s="23" t="s">
        <v>105</v>
      </c>
      <c r="E3" s="23" t="s">
        <v>106</v>
      </c>
      <c r="F3" s="23" t="s">
        <v>107</v>
      </c>
      <c r="G3" s="19"/>
      <c r="H3" s="24" t="s">
        <v>103</v>
      </c>
      <c r="I3" s="24" t="s">
        <v>106</v>
      </c>
      <c r="J3" s="24" t="s">
        <v>107</v>
      </c>
      <c r="K3" s="19"/>
      <c r="L3" s="25" t="s">
        <v>103</v>
      </c>
      <c r="M3" s="25" t="s">
        <v>106</v>
      </c>
      <c r="N3" s="25" t="s">
        <v>107</v>
      </c>
      <c r="R3" s="26" t="s">
        <v>108</v>
      </c>
      <c r="S3" s="26"/>
      <c r="T3" s="26"/>
      <c r="U3" s="26"/>
      <c r="V3" s="26"/>
    </row>
    <row r="4" customFormat="false" ht="15" hidden="false" customHeight="true" outlineLevel="0" collapsed="false">
      <c r="A4" s="8" t="s">
        <v>109</v>
      </c>
      <c r="B4" s="27" t="n">
        <v>30</v>
      </c>
      <c r="C4" s="28" t="n">
        <v>30</v>
      </c>
      <c r="D4" s="29" t="n">
        <v>1.73784</v>
      </c>
      <c r="E4" s="29" t="n">
        <v>2.5542</v>
      </c>
      <c r="F4" s="27" t="n">
        <f aca="false">ROUND(B4*E4,2)</f>
        <v>76.63</v>
      </c>
      <c r="G4" s="30"/>
      <c r="H4" s="31" t="n">
        <v>30</v>
      </c>
      <c r="I4" s="32" t="n">
        <v>2.5542</v>
      </c>
      <c r="J4" s="31" t="n">
        <f aca="false">ROUND(H4*I4,2)</f>
        <v>76.63</v>
      </c>
      <c r="K4" s="30"/>
      <c r="L4" s="33" t="n">
        <v>30</v>
      </c>
      <c r="M4" s="34" t="n">
        <v>2.5542</v>
      </c>
      <c r="N4" s="33" t="n">
        <f aca="false">ROUND(L4*M4,2)</f>
        <v>76.63</v>
      </c>
      <c r="R4" s="35" t="s">
        <v>110</v>
      </c>
      <c r="S4" s="35"/>
      <c r="T4" s="35"/>
      <c r="U4" s="35"/>
      <c r="V4" s="35"/>
    </row>
    <row r="5" customFormat="false" ht="15" hidden="false" customHeight="true" outlineLevel="0" collapsed="false">
      <c r="A5" s="8" t="s">
        <v>111</v>
      </c>
      <c r="B5" s="27" t="n">
        <v>30</v>
      </c>
      <c r="C5" s="28" t="n">
        <v>30</v>
      </c>
      <c r="D5" s="29" t="n">
        <v>0.9357</v>
      </c>
      <c r="E5" s="29" t="n">
        <v>1.37733</v>
      </c>
      <c r="F5" s="27" t="n">
        <f aca="false">ROUND(B5*E5,2)</f>
        <v>41.32</v>
      </c>
      <c r="G5" s="30"/>
      <c r="H5" s="31" t="n">
        <v>30</v>
      </c>
      <c r="I5" s="32" t="n">
        <v>1.37733</v>
      </c>
      <c r="J5" s="31" t="n">
        <f aca="false">ROUND(H5*I5,2)</f>
        <v>41.32</v>
      </c>
      <c r="K5" s="30"/>
      <c r="L5" s="33" t="n">
        <v>30</v>
      </c>
      <c r="M5" s="34" t="n">
        <v>1.37733</v>
      </c>
      <c r="N5" s="33" t="n">
        <f aca="false">ROUND(L5*M5,2)</f>
        <v>41.32</v>
      </c>
      <c r="R5" s="36" t="s">
        <v>112</v>
      </c>
      <c r="S5" s="36"/>
      <c r="T5" s="36"/>
      <c r="U5" s="36"/>
      <c r="V5" s="36"/>
    </row>
    <row r="6" customFormat="false" ht="15" hidden="false" customHeight="true" outlineLevel="0" collapsed="false">
      <c r="A6" s="8" t="s">
        <v>113</v>
      </c>
      <c r="B6" s="27" t="n">
        <v>30</v>
      </c>
      <c r="C6" s="28" t="n">
        <v>30</v>
      </c>
      <c r="D6" s="29" t="n">
        <v>0.43137</v>
      </c>
      <c r="E6" s="29" t="n">
        <v>0.62868</v>
      </c>
      <c r="F6" s="27" t="n">
        <f aca="false">ROUND(B6*E6,2)</f>
        <v>18.86</v>
      </c>
      <c r="G6" s="30"/>
      <c r="H6" s="31" t="n">
        <v>30</v>
      </c>
      <c r="I6" s="32" t="n">
        <v>0.62868</v>
      </c>
      <c r="J6" s="31" t="n">
        <f aca="false">ROUND(H6*I6,2)</f>
        <v>18.86</v>
      </c>
      <c r="K6" s="30"/>
      <c r="L6" s="33" t="n">
        <v>30</v>
      </c>
      <c r="M6" s="34" t="n">
        <v>0.62868</v>
      </c>
      <c r="N6" s="33" t="n">
        <f aca="false">ROUND(L6*M6,2)</f>
        <v>18.86</v>
      </c>
      <c r="R6" s="36" t="s">
        <v>114</v>
      </c>
      <c r="S6" s="36"/>
      <c r="T6" s="36"/>
      <c r="U6" s="36"/>
      <c r="V6" s="36"/>
    </row>
    <row r="7" customFormat="false" ht="15" hidden="false" customHeight="true" outlineLevel="0" collapsed="false">
      <c r="A7" s="8" t="s">
        <v>115</v>
      </c>
      <c r="B7" s="27" t="n">
        <v>30</v>
      </c>
      <c r="C7" s="28" t="n">
        <v>30</v>
      </c>
      <c r="D7" s="29" t="n">
        <v>0.38244</v>
      </c>
      <c r="E7" s="29" t="n">
        <v>0.5561</v>
      </c>
      <c r="F7" s="27" t="n">
        <f aca="false">ROUND(B7*E7,2)</f>
        <v>16.68</v>
      </c>
      <c r="G7" s="30"/>
      <c r="H7" s="31" t="n">
        <v>30</v>
      </c>
      <c r="I7" s="32" t="n">
        <v>0.5561</v>
      </c>
      <c r="J7" s="31" t="n">
        <f aca="false">ROUND(H7*I7,2)</f>
        <v>16.68</v>
      </c>
      <c r="K7" s="30"/>
      <c r="L7" s="33" t="n">
        <v>30</v>
      </c>
      <c r="M7" s="34" t="n">
        <v>0.5561</v>
      </c>
      <c r="N7" s="33" t="n">
        <f aca="false">ROUND(L7*M7,2)</f>
        <v>16.68</v>
      </c>
      <c r="R7" s="37" t="s">
        <v>116</v>
      </c>
      <c r="S7" s="37"/>
      <c r="T7" s="37"/>
      <c r="U7" s="37"/>
      <c r="V7" s="37"/>
    </row>
    <row r="8" customFormat="false" ht="15" hidden="false" customHeight="true" outlineLevel="0" collapsed="false">
      <c r="A8" s="8" t="s">
        <v>117</v>
      </c>
      <c r="B8" s="27" t="n">
        <v>30</v>
      </c>
      <c r="C8" s="28" t="n">
        <v>30</v>
      </c>
      <c r="D8" s="29" t="n">
        <v>0.26964</v>
      </c>
      <c r="E8" s="29" t="n">
        <v>0.3868</v>
      </c>
      <c r="F8" s="27" t="n">
        <f aca="false">ROUND(B8*E8,2)</f>
        <v>11.6</v>
      </c>
      <c r="G8" s="30"/>
      <c r="H8" s="31" t="n">
        <v>30</v>
      </c>
      <c r="I8" s="32" t="n">
        <v>0.3868</v>
      </c>
      <c r="J8" s="31" t="n">
        <f aca="false">ROUND(H8*I8,2)</f>
        <v>11.6</v>
      </c>
      <c r="K8" s="30"/>
      <c r="L8" s="33" t="n">
        <v>30</v>
      </c>
      <c r="M8" s="34" t="n">
        <v>0.3868</v>
      </c>
      <c r="N8" s="33" t="n">
        <f aca="false">ROUND(L8*M8,2)</f>
        <v>11.6</v>
      </c>
      <c r="R8" s="38" t="s">
        <v>118</v>
      </c>
      <c r="S8" s="38"/>
      <c r="T8" s="38"/>
      <c r="U8" s="38"/>
      <c r="V8" s="38"/>
    </row>
    <row r="9" customFormat="false" ht="15" hidden="false" customHeight="false" outlineLevel="0" collapsed="false">
      <c r="A9" s="8" t="s">
        <v>119</v>
      </c>
      <c r="B9" s="27" t="n">
        <v>30</v>
      </c>
      <c r="C9" s="28" t="n">
        <v>30</v>
      </c>
      <c r="D9" s="29" t="n">
        <v>0.18156</v>
      </c>
      <c r="E9" s="29" t="n">
        <v>0.2653</v>
      </c>
      <c r="F9" s="27" t="n">
        <f aca="false">ROUND(B9*E9,2)</f>
        <v>7.96</v>
      </c>
      <c r="G9" s="30"/>
      <c r="H9" s="31" t="n">
        <v>30</v>
      </c>
      <c r="I9" s="32" t="n">
        <v>0.2653</v>
      </c>
      <c r="J9" s="31" t="n">
        <f aca="false">ROUND(H9*I9,2)</f>
        <v>7.96</v>
      </c>
      <c r="K9" s="30"/>
      <c r="L9" s="33" t="n">
        <v>30</v>
      </c>
      <c r="M9" s="34" t="n">
        <v>0.2653</v>
      </c>
      <c r="N9" s="33" t="n">
        <f aca="false">ROUND(L9*M9,2)</f>
        <v>7.96</v>
      </c>
    </row>
    <row r="10" customFormat="false" ht="15" hidden="false" customHeight="false" outlineLevel="0" collapsed="false">
      <c r="A10" s="39" t="s">
        <v>120</v>
      </c>
      <c r="B10" s="40" t="n">
        <f aca="false">IF($P$10="",2517.101,ROUND(2517.101*((1087.3487/(1-$P$10))-173.05)/1151.35,2))</f>
        <v>2517.101</v>
      </c>
      <c r="C10" s="28"/>
      <c r="D10" s="41" t="n">
        <v>0.121236</v>
      </c>
      <c r="E10" s="29" t="n">
        <v>0.139</v>
      </c>
      <c r="F10" s="27" t="n">
        <f aca="false">ROUND(B10*E10,2)</f>
        <v>349.88</v>
      </c>
      <c r="G10" s="30"/>
      <c r="H10" s="42" t="n">
        <v>2317.101</v>
      </c>
      <c r="I10" s="32" t="n">
        <v>0.139</v>
      </c>
      <c r="J10" s="31" t="n">
        <f aca="false">ROUND(H10*I10,2)</f>
        <v>322.08</v>
      </c>
      <c r="K10" s="30"/>
      <c r="L10" s="43" t="n">
        <v>1937.42</v>
      </c>
      <c r="M10" s="34" t="n">
        <v>0.145</v>
      </c>
      <c r="N10" s="33" t="n">
        <f aca="false">ROUND(L10*M10,2)</f>
        <v>280.93</v>
      </c>
      <c r="O10" s="44" t="s">
        <v>121</v>
      </c>
      <c r="P10" s="45"/>
    </row>
    <row r="11" customFormat="false" ht="15" hidden="false" customHeight="false" outlineLevel="0" collapsed="false">
      <c r="A11" s="39" t="s">
        <v>122</v>
      </c>
      <c r="B11" s="40" t="n">
        <f aca="false">IF($P$10="",2364.265,ROUND(2364.265*((1087.3487/(1-$P$10))-173.05)/1151.35,2))</f>
        <v>2364.265</v>
      </c>
      <c r="C11" s="28"/>
      <c r="D11" s="41" t="n">
        <v>0.114444</v>
      </c>
      <c r="E11" s="29" t="n">
        <v>0.138</v>
      </c>
      <c r="F11" s="27" t="n">
        <f aca="false">ROUND(B11*E11,2)</f>
        <v>326.27</v>
      </c>
      <c r="G11" s="30"/>
      <c r="H11" s="42" t="n">
        <v>2064.265</v>
      </c>
      <c r="I11" s="32" t="n">
        <v>0.138</v>
      </c>
      <c r="J11" s="31" t="n">
        <f aca="false">ROUND(H11*I11,2)</f>
        <v>284.87</v>
      </c>
      <c r="K11" s="30"/>
      <c r="L11" s="43" t="n">
        <v>1611.579</v>
      </c>
      <c r="M11" s="34" t="n">
        <v>0.139</v>
      </c>
      <c r="N11" s="33" t="n">
        <f aca="false">ROUND(L11*M11,2)</f>
        <v>224.01</v>
      </c>
      <c r="O11" s="46" t="s">
        <v>123</v>
      </c>
    </row>
    <row r="12" customFormat="false" ht="15" hidden="false" customHeight="false" outlineLevel="0" collapsed="false">
      <c r="A12" s="39" t="s">
        <v>124</v>
      </c>
      <c r="B12" s="40" t="n">
        <f aca="false">IF($P$10="",3683.741,ROUND(3683.741*((1087.3487/(1-$P$10))-173.05)/1151.35,2))</f>
        <v>3683.741</v>
      </c>
      <c r="C12" s="28"/>
      <c r="D12" s="41" t="n">
        <v>0.106808</v>
      </c>
      <c r="E12" s="29" t="n">
        <v>0.129</v>
      </c>
      <c r="F12" s="27" t="n">
        <f aca="false">ROUND(B12*E12,2)</f>
        <v>475.2</v>
      </c>
      <c r="G12" s="30"/>
      <c r="H12" s="42" t="n">
        <v>3383.741</v>
      </c>
      <c r="I12" s="32" t="n">
        <v>0.129</v>
      </c>
      <c r="J12" s="31" t="n">
        <f aca="false">ROUND(H12*I12,2)</f>
        <v>436.5</v>
      </c>
      <c r="K12" s="30"/>
      <c r="L12" s="43" t="n">
        <v>2928.76</v>
      </c>
      <c r="M12" s="34" t="n">
        <v>0.139</v>
      </c>
      <c r="N12" s="33" t="n">
        <f aca="false">ROUND(L12*M12,2)</f>
        <v>407.1</v>
      </c>
      <c r="O12" s="46" t="s">
        <v>125</v>
      </c>
    </row>
    <row r="13" customFormat="false" ht="15" hidden="false" customHeight="false" outlineLevel="0" collapsed="false">
      <c r="A13" s="8" t="s">
        <v>126</v>
      </c>
      <c r="B13" s="27" t="n">
        <v>1</v>
      </c>
      <c r="C13" s="28"/>
      <c r="D13" s="29" t="n">
        <v>17.615</v>
      </c>
      <c r="E13" s="29" t="n">
        <v>17.615</v>
      </c>
      <c r="F13" s="27" t="n">
        <f aca="false">ROUND(B13*E13,2)</f>
        <v>17.62</v>
      </c>
      <c r="G13" s="30"/>
      <c r="H13" s="31" t="n">
        <v>1</v>
      </c>
      <c r="I13" s="32" t="n">
        <v>17.615</v>
      </c>
      <c r="J13" s="31" t="n">
        <f aca="false">ROUND(H13*I13,2)</f>
        <v>17.62</v>
      </c>
      <c r="K13" s="30"/>
      <c r="L13" s="33" t="n">
        <v>1</v>
      </c>
      <c r="M13" s="34" t="n">
        <v>17.615</v>
      </c>
      <c r="N13" s="33" t="n">
        <f aca="false">ROUND(L13*M13,2)</f>
        <v>17.62</v>
      </c>
    </row>
    <row r="14" customFormat="false" ht="15" hidden="false" customHeight="false" outlineLevel="0" collapsed="false">
      <c r="A14" s="8" t="s">
        <v>127</v>
      </c>
      <c r="B14" s="27" t="n">
        <v>30</v>
      </c>
      <c r="C14" s="28"/>
      <c r="D14" s="29" t="n">
        <v>0.01912</v>
      </c>
      <c r="E14" s="29" t="n">
        <v>0.01912</v>
      </c>
      <c r="F14" s="27" t="n">
        <f aca="false">ROUND(B14*E14,2)</f>
        <v>0.57</v>
      </c>
      <c r="G14" s="30"/>
      <c r="H14" s="31" t="n">
        <v>30</v>
      </c>
      <c r="I14" s="32" t="n">
        <v>0.01274</v>
      </c>
      <c r="J14" s="31" t="n">
        <f aca="false">ROUND(H14*I14,2)</f>
        <v>0.38</v>
      </c>
      <c r="K14" s="30"/>
      <c r="L14" s="33" t="n">
        <v>30</v>
      </c>
      <c r="M14" s="34" t="n">
        <v>0.01274</v>
      </c>
      <c r="N14" s="33" t="n">
        <f aca="false">ROUND(L14*M14,2)</f>
        <v>0.38</v>
      </c>
    </row>
    <row r="15" customFormat="false" ht="15" hidden="false" customHeight="false" outlineLevel="0" collapsed="false">
      <c r="A15" s="8" t="s">
        <v>128</v>
      </c>
      <c r="B15" s="27" t="n">
        <v>71.99</v>
      </c>
      <c r="C15" s="28"/>
      <c r="D15" s="29" t="n">
        <v>1</v>
      </c>
      <c r="E15" s="29" t="n">
        <v>1</v>
      </c>
      <c r="F15" s="27" t="n">
        <f aca="false">ROUND(B15*E15,2)</f>
        <v>71.99</v>
      </c>
      <c r="G15" s="30"/>
      <c r="H15" s="31" t="n">
        <v>66.49</v>
      </c>
      <c r="I15" s="32" t="n">
        <v>1</v>
      </c>
      <c r="J15" s="31" t="n">
        <f aca="false">ROUND(H15*I15,2)</f>
        <v>66.49</v>
      </c>
      <c r="K15" s="30"/>
      <c r="L15" s="33" t="n">
        <v>62.66</v>
      </c>
      <c r="M15" s="34" t="n">
        <v>1</v>
      </c>
      <c r="N15" s="33" t="n">
        <f aca="false">ROUND(L15*M15,2)</f>
        <v>62.66</v>
      </c>
    </row>
    <row r="16" customFormat="false" ht="15" hidden="false" customHeight="false" outlineLevel="0" collapsed="false">
      <c r="A16" s="47" t="s">
        <v>129</v>
      </c>
      <c r="B16" s="48"/>
      <c r="C16" s="48"/>
      <c r="D16" s="48"/>
      <c r="E16" s="48"/>
      <c r="F16" s="49" t="n">
        <f aca="false">ROUND((SUM(F4:F15)-F15)*1.21+F15,2)</f>
        <v>1696.52</v>
      </c>
      <c r="G16" s="48"/>
      <c r="H16" s="48"/>
      <c r="I16" s="48"/>
      <c r="J16" s="50" t="n">
        <f aca="false">ROUND((SUM(J4:J15)-J15)*1.21+J15,2)</f>
        <v>1560.24</v>
      </c>
      <c r="K16" s="48"/>
      <c r="L16" s="48"/>
      <c r="M16" s="48"/>
      <c r="N16" s="51" t="n">
        <f aca="false">ROUND((SUM(N4:N15)-N15)*1.21+N15,2)</f>
        <v>1397.4</v>
      </c>
    </row>
    <row r="17" customFormat="false" ht="15" hidden="false" customHeight="false" outlineLevel="0" collapsed="false">
      <c r="A17" s="52" t="s">
        <v>130</v>
      </c>
      <c r="B17" s="53" t="n">
        <f aca="false">(SUM(F4:F12)-1087.3487)/SUM(F4:F12)</f>
        <v>0.178987692540018</v>
      </c>
      <c r="C17" s="53"/>
      <c r="D17" s="53"/>
      <c r="E17" s="53"/>
      <c r="F17" s="53"/>
      <c r="G17" s="54"/>
      <c r="H17" s="54"/>
      <c r="I17" s="54"/>
      <c r="J17" s="54"/>
      <c r="K17" s="54"/>
      <c r="L17" s="55" t="str">
        <f aca="false">IF(B17&gt;=0.3,"APROBAR",IF(B17&gt;=0.2,"REVISAR","RECHAZAR"))</f>
        <v>RECHAZAR</v>
      </c>
      <c r="M17" s="55"/>
      <c r="N17" s="55"/>
    </row>
    <row r="19" customFormat="false" ht="15" hidden="false" customHeight="true" outlineLevel="0" collapsed="false">
      <c r="A19" s="14" t="s">
        <v>131</v>
      </c>
      <c r="B19" s="14"/>
      <c r="C19" s="14"/>
      <c r="D19" s="14"/>
      <c r="E19" s="14"/>
      <c r="F19" s="14"/>
      <c r="G19" s="14"/>
      <c r="H19" s="14"/>
      <c r="I19" s="15" t="s">
        <v>132</v>
      </c>
      <c r="J19" s="15"/>
      <c r="K19" s="15"/>
      <c r="L19" s="15"/>
      <c r="M19" s="15"/>
      <c r="N19" s="15"/>
      <c r="R19" s="16" t="s">
        <v>97</v>
      </c>
      <c r="S19" s="16"/>
      <c r="T19" s="16"/>
      <c r="U19" s="16"/>
      <c r="V19" s="16"/>
    </row>
    <row r="20" customFormat="false" ht="15" hidden="false" customHeight="true" outlineLevel="0" collapsed="false">
      <c r="A20" s="17" t="s">
        <v>98</v>
      </c>
      <c r="B20" s="18" t="s">
        <v>99</v>
      </c>
      <c r="C20" s="18"/>
      <c r="D20" s="18"/>
      <c r="E20" s="18"/>
      <c r="F20" s="18"/>
      <c r="G20" s="19"/>
      <c r="H20" s="20" t="s">
        <v>133</v>
      </c>
      <c r="I20" s="20"/>
      <c r="J20" s="20"/>
      <c r="K20" s="19"/>
      <c r="L20" s="21" t="s">
        <v>134</v>
      </c>
      <c r="M20" s="21"/>
      <c r="N20" s="21"/>
      <c r="R20" s="22" t="s">
        <v>135</v>
      </c>
      <c r="S20" s="22"/>
      <c r="T20" s="22"/>
      <c r="U20" s="22"/>
      <c r="V20" s="22"/>
    </row>
    <row r="21" customFormat="false" ht="15" hidden="false" customHeight="true" outlineLevel="0" collapsed="false">
      <c r="A21" s="19"/>
      <c r="B21" s="23" t="s">
        <v>103</v>
      </c>
      <c r="C21" s="23" t="s">
        <v>104</v>
      </c>
      <c r="D21" s="23" t="s">
        <v>105</v>
      </c>
      <c r="E21" s="23" t="s">
        <v>106</v>
      </c>
      <c r="F21" s="23" t="s">
        <v>107</v>
      </c>
      <c r="G21" s="19"/>
      <c r="H21" s="24" t="s">
        <v>103</v>
      </c>
      <c r="I21" s="24" t="s">
        <v>106</v>
      </c>
      <c r="J21" s="24" t="s">
        <v>107</v>
      </c>
      <c r="K21" s="19"/>
      <c r="L21" s="25" t="s">
        <v>103</v>
      </c>
      <c r="M21" s="25" t="s">
        <v>106</v>
      </c>
      <c r="N21" s="25" t="s">
        <v>107</v>
      </c>
      <c r="R21" s="26" t="s">
        <v>136</v>
      </c>
      <c r="S21" s="26"/>
      <c r="T21" s="26"/>
      <c r="U21" s="26"/>
      <c r="V21" s="26"/>
    </row>
    <row r="22" customFormat="false" ht="15" hidden="false" customHeight="true" outlineLevel="0" collapsed="false">
      <c r="A22" s="8" t="s">
        <v>109</v>
      </c>
      <c r="B22" s="27" t="n">
        <v>17.32</v>
      </c>
      <c r="C22" s="28" t="n">
        <v>30</v>
      </c>
      <c r="D22" s="29" t="n">
        <v>1.73784</v>
      </c>
      <c r="E22" s="29" t="n">
        <v>1.999</v>
      </c>
      <c r="F22" s="27" t="n">
        <f aca="false">ROUND(B22*E22,2)</f>
        <v>34.62</v>
      </c>
      <c r="G22" s="30"/>
      <c r="H22" s="31" t="n">
        <v>17.32</v>
      </c>
      <c r="I22" s="32" t="n">
        <v>1.999</v>
      </c>
      <c r="J22" s="31" t="n">
        <f aca="false">ROUND(H22*I22,2)</f>
        <v>34.62</v>
      </c>
      <c r="K22" s="30"/>
      <c r="L22" s="33" t="n">
        <v>17.32</v>
      </c>
      <c r="M22" s="34" t="n">
        <v>2.5542</v>
      </c>
      <c r="N22" s="33" t="n">
        <f aca="false">ROUND(L22*M22,2)</f>
        <v>44.24</v>
      </c>
      <c r="R22" s="35" t="s">
        <v>137</v>
      </c>
      <c r="S22" s="35"/>
      <c r="T22" s="35"/>
      <c r="U22" s="35"/>
      <c r="V22" s="35"/>
    </row>
    <row r="23" customFormat="false" ht="15" hidden="false" customHeight="true" outlineLevel="0" collapsed="false">
      <c r="A23" s="8" t="s">
        <v>111</v>
      </c>
      <c r="B23" s="27" t="n">
        <v>17.32</v>
      </c>
      <c r="C23" s="28" t="n">
        <v>30</v>
      </c>
      <c r="D23" s="29" t="n">
        <v>0.9357</v>
      </c>
      <c r="E23" s="29" t="n">
        <v>1.811</v>
      </c>
      <c r="F23" s="27" t="n">
        <f aca="false">ROUND(B23*E23,2)</f>
        <v>31.37</v>
      </c>
      <c r="G23" s="30"/>
      <c r="H23" s="31" t="n">
        <v>17.32</v>
      </c>
      <c r="I23" s="32" t="n">
        <v>1.811</v>
      </c>
      <c r="J23" s="31" t="n">
        <f aca="false">ROUND(H23*I23,2)</f>
        <v>31.37</v>
      </c>
      <c r="K23" s="30"/>
      <c r="L23" s="33" t="n">
        <v>17.32</v>
      </c>
      <c r="M23" s="34" t="n">
        <v>1.3773</v>
      </c>
      <c r="N23" s="33" t="n">
        <f aca="false">ROUND(L23*M23,2)</f>
        <v>23.85</v>
      </c>
      <c r="R23" s="36" t="s">
        <v>138</v>
      </c>
      <c r="S23" s="36"/>
      <c r="T23" s="36"/>
      <c r="U23" s="36"/>
      <c r="V23" s="36"/>
    </row>
    <row r="24" customFormat="false" ht="15" hidden="false" customHeight="true" outlineLevel="0" collapsed="false">
      <c r="A24" s="8" t="s">
        <v>113</v>
      </c>
      <c r="B24" s="27" t="n">
        <v>17.32</v>
      </c>
      <c r="C24" s="28" t="n">
        <v>30</v>
      </c>
      <c r="D24" s="29" t="n">
        <v>0.43137</v>
      </c>
      <c r="E24" s="29" t="n">
        <v>0.6161</v>
      </c>
      <c r="F24" s="27" t="n">
        <f aca="false">ROUND(B24*E24,2)</f>
        <v>10.67</v>
      </c>
      <c r="G24" s="30"/>
      <c r="H24" s="31" t="n">
        <v>17.32</v>
      </c>
      <c r="I24" s="32" t="n">
        <v>0.6161</v>
      </c>
      <c r="J24" s="31" t="n">
        <f aca="false">ROUND(H24*I24,2)</f>
        <v>10.67</v>
      </c>
      <c r="K24" s="30"/>
      <c r="L24" s="33" t="n">
        <v>17.32</v>
      </c>
      <c r="M24" s="34" t="n">
        <v>0.6286</v>
      </c>
      <c r="N24" s="33" t="n">
        <f aca="false">ROUND(L24*M24,2)</f>
        <v>10.89</v>
      </c>
      <c r="R24" s="36" t="s">
        <v>139</v>
      </c>
      <c r="S24" s="36"/>
      <c r="T24" s="36"/>
      <c r="U24" s="36"/>
      <c r="V24" s="36"/>
    </row>
    <row r="25" customFormat="false" ht="15" hidden="false" customHeight="true" outlineLevel="0" collapsed="false">
      <c r="A25" s="8" t="s">
        <v>115</v>
      </c>
      <c r="B25" s="27" t="n">
        <v>17.32</v>
      </c>
      <c r="C25" s="28" t="n">
        <v>30</v>
      </c>
      <c r="D25" s="29" t="n">
        <v>0.38244</v>
      </c>
      <c r="E25" s="29" t="n">
        <v>0.5551</v>
      </c>
      <c r="F25" s="27" t="n">
        <f aca="false">ROUND(B25*E25,2)</f>
        <v>9.61</v>
      </c>
      <c r="G25" s="30"/>
      <c r="H25" s="31" t="n">
        <v>17.32</v>
      </c>
      <c r="I25" s="32" t="n">
        <v>0.5551</v>
      </c>
      <c r="J25" s="31" t="n">
        <f aca="false">ROUND(H25*I25,2)</f>
        <v>9.61</v>
      </c>
      <c r="K25" s="30"/>
      <c r="L25" s="33" t="n">
        <v>17.32</v>
      </c>
      <c r="M25" s="34" t="n">
        <v>0.5561</v>
      </c>
      <c r="N25" s="33" t="n">
        <f aca="false">ROUND(L25*M25,2)</f>
        <v>9.63</v>
      </c>
      <c r="R25" s="37" t="s">
        <v>116</v>
      </c>
      <c r="S25" s="37"/>
      <c r="T25" s="37"/>
      <c r="U25" s="37"/>
      <c r="V25" s="37"/>
    </row>
    <row r="26" customFormat="false" ht="15" hidden="false" customHeight="true" outlineLevel="0" collapsed="false">
      <c r="A26" s="8" t="s">
        <v>117</v>
      </c>
      <c r="B26" s="27" t="n">
        <v>17.32</v>
      </c>
      <c r="C26" s="28" t="n">
        <v>30</v>
      </c>
      <c r="D26" s="29" t="n">
        <v>0.26964</v>
      </c>
      <c r="E26" s="29" t="n">
        <v>0.595</v>
      </c>
      <c r="F26" s="27" t="n">
        <f aca="false">ROUND(B26*E26,2)</f>
        <v>10.31</v>
      </c>
      <c r="G26" s="30"/>
      <c r="H26" s="31" t="n">
        <v>17.32</v>
      </c>
      <c r="I26" s="32" t="n">
        <v>0.595</v>
      </c>
      <c r="J26" s="31" t="n">
        <f aca="false">ROUND(H26*I26,2)</f>
        <v>10.31</v>
      </c>
      <c r="K26" s="30"/>
      <c r="L26" s="33" t="n">
        <v>17.32</v>
      </c>
      <c r="M26" s="34" t="n">
        <v>0.3868</v>
      </c>
      <c r="N26" s="33" t="n">
        <f aca="false">ROUND(L26*M26,2)</f>
        <v>6.7</v>
      </c>
      <c r="R26" s="38" t="s">
        <v>118</v>
      </c>
      <c r="S26" s="38"/>
      <c r="T26" s="38"/>
      <c r="U26" s="38"/>
      <c r="V26" s="38"/>
    </row>
    <row r="27" customFormat="false" ht="15" hidden="false" customHeight="false" outlineLevel="0" collapsed="false">
      <c r="A27" s="8" t="s">
        <v>119</v>
      </c>
      <c r="B27" s="27" t="n">
        <v>17.32</v>
      </c>
      <c r="C27" s="28" t="n">
        <v>30</v>
      </c>
      <c r="D27" s="29" t="n">
        <v>0.18156</v>
      </c>
      <c r="E27" s="29" t="n">
        <v>0.4523</v>
      </c>
      <c r="F27" s="27" t="n">
        <f aca="false">ROUND(B27*E27,2)</f>
        <v>7.83</v>
      </c>
      <c r="G27" s="30"/>
      <c r="H27" s="31" t="n">
        <v>17.32</v>
      </c>
      <c r="I27" s="32" t="n">
        <v>0.4523</v>
      </c>
      <c r="J27" s="31" t="n">
        <f aca="false">ROUND(H27*I27,2)</f>
        <v>7.83</v>
      </c>
      <c r="K27" s="30"/>
      <c r="L27" s="33" t="n">
        <v>17.32</v>
      </c>
      <c r="M27" s="34" t="n">
        <v>0.2653</v>
      </c>
      <c r="N27" s="33" t="n">
        <f aca="false">ROUND(L27*M27,2)</f>
        <v>4.59</v>
      </c>
    </row>
    <row r="28" customFormat="false" ht="15" hidden="false" customHeight="false" outlineLevel="0" collapsed="false">
      <c r="A28" s="39" t="s">
        <v>120</v>
      </c>
      <c r="B28" s="40" t="n">
        <f aca="false">IF($P$28="",1691.432,ROUND(1691.432*((803.9614/(1-$P$28))-104.41)/912.75,2))</f>
        <v>1691.432</v>
      </c>
      <c r="C28" s="28"/>
      <c r="D28" s="41" t="n">
        <v>0.121236</v>
      </c>
      <c r="E28" s="29" t="n">
        <v>0.149</v>
      </c>
      <c r="F28" s="27" t="n">
        <f aca="false">ROUND(B28*E28,2)</f>
        <v>252.02</v>
      </c>
      <c r="G28" s="30"/>
      <c r="H28" s="42" t="n">
        <v>1474.716</v>
      </c>
      <c r="I28" s="32" t="n">
        <v>0.15</v>
      </c>
      <c r="J28" s="31" t="n">
        <f aca="false">ROUND(H28*I28,2)</f>
        <v>221.21</v>
      </c>
      <c r="K28" s="30"/>
      <c r="L28" s="43" t="n">
        <v>1570.18</v>
      </c>
      <c r="M28" s="34" t="n">
        <v>0.16</v>
      </c>
      <c r="N28" s="33" t="n">
        <f aca="false">ROUND(L28*M28,2)</f>
        <v>251.23</v>
      </c>
      <c r="O28" s="44" t="s">
        <v>121</v>
      </c>
      <c r="P28" s="45"/>
    </row>
    <row r="29" customFormat="false" ht="15" hidden="false" customHeight="false" outlineLevel="0" collapsed="false">
      <c r="A29" s="39" t="s">
        <v>122</v>
      </c>
      <c r="B29" s="40" t="n">
        <f aca="false">IF($P$28="",2156.035,ROUND(2156.035*((803.9614/(1-$P$28))-104.41)/912.75,2))</f>
        <v>2156.035</v>
      </c>
      <c r="C29" s="28"/>
      <c r="D29" s="41" t="n">
        <v>0.114444</v>
      </c>
      <c r="E29" s="29" t="n">
        <v>0.14</v>
      </c>
      <c r="F29" s="27" t="n">
        <f aca="false">ROUND(B29*E29,2)</f>
        <v>301.84</v>
      </c>
      <c r="G29" s="30"/>
      <c r="H29" s="42" t="n">
        <v>1814.66</v>
      </c>
      <c r="I29" s="32" t="n">
        <v>0.149</v>
      </c>
      <c r="J29" s="31" t="n">
        <f aca="false">ROUND(H29*I29,2)</f>
        <v>270.38</v>
      </c>
      <c r="K29" s="30"/>
      <c r="L29" s="43" t="n">
        <v>1034.274</v>
      </c>
      <c r="M29" s="34" t="n">
        <v>0.155</v>
      </c>
      <c r="N29" s="33" t="n">
        <f aca="false">ROUND(L29*M29,2)</f>
        <v>160.31</v>
      </c>
      <c r="O29" s="46" t="s">
        <v>123</v>
      </c>
    </row>
    <row r="30" customFormat="false" ht="15" hidden="false" customHeight="false" outlineLevel="0" collapsed="false">
      <c r="A30" s="39" t="s">
        <v>124</v>
      </c>
      <c r="B30" s="40" t="n">
        <f aca="false">IF($P$28="",2658.43,ROUND(2658.43*((803.9614/(1-$P$28))-104.41)/912.75,2))</f>
        <v>2658.43</v>
      </c>
      <c r="C30" s="28"/>
      <c r="D30" s="41" t="n">
        <v>0.106808</v>
      </c>
      <c r="E30" s="29" t="n">
        <v>0.135</v>
      </c>
      <c r="F30" s="27" t="n">
        <f aca="false">ROUND(B30*E30,2)</f>
        <v>358.89</v>
      </c>
      <c r="G30" s="30"/>
      <c r="H30" s="42" t="n">
        <v>2225.184</v>
      </c>
      <c r="I30" s="32" t="n">
        <v>0.139</v>
      </c>
      <c r="J30" s="31" t="n">
        <f aca="false">ROUND(H30*I30,2)</f>
        <v>309.3</v>
      </c>
      <c r="K30" s="30"/>
      <c r="L30" s="43" t="n">
        <v>2165.73</v>
      </c>
      <c r="M30" s="34" t="n">
        <v>0.135</v>
      </c>
      <c r="N30" s="33" t="n">
        <f aca="false">ROUND(L30*M30,2)</f>
        <v>292.37</v>
      </c>
      <c r="O30" s="46" t="s">
        <v>125</v>
      </c>
    </row>
    <row r="31" customFormat="false" ht="15" hidden="false" customHeight="false" outlineLevel="0" collapsed="false">
      <c r="A31" s="8" t="s">
        <v>126</v>
      </c>
      <c r="B31" s="27" t="n">
        <v>1</v>
      </c>
      <c r="C31" s="28"/>
      <c r="D31" s="29" t="n">
        <v>17.615</v>
      </c>
      <c r="E31" s="29" t="n">
        <v>17.615</v>
      </c>
      <c r="F31" s="27" t="n">
        <f aca="false">ROUND(B31*E31,2)</f>
        <v>17.62</v>
      </c>
      <c r="G31" s="30"/>
      <c r="H31" s="31" t="n">
        <v>1</v>
      </c>
      <c r="I31" s="32" t="n">
        <v>17.615</v>
      </c>
      <c r="J31" s="31" t="n">
        <f aca="false">ROUND(H31*I31,2)</f>
        <v>17.62</v>
      </c>
      <c r="K31" s="30"/>
      <c r="L31" s="33" t="n">
        <v>1</v>
      </c>
      <c r="M31" s="34" t="n">
        <v>17.615</v>
      </c>
      <c r="N31" s="33" t="n">
        <f aca="false">ROUND(L31*M31,2)</f>
        <v>17.62</v>
      </c>
    </row>
    <row r="32" customFormat="false" ht="15" hidden="false" customHeight="false" outlineLevel="0" collapsed="false">
      <c r="A32" s="8" t="s">
        <v>127</v>
      </c>
      <c r="B32" s="27" t="n">
        <v>5</v>
      </c>
      <c r="C32" s="28"/>
      <c r="D32" s="29" t="n">
        <v>0.01912</v>
      </c>
      <c r="E32" s="29" t="n">
        <v>0.01912</v>
      </c>
      <c r="F32" s="27" t="n">
        <f aca="false">ROUND(B32*E32,2)</f>
        <v>0.1</v>
      </c>
      <c r="G32" s="30"/>
      <c r="H32" s="31" t="n">
        <v>5</v>
      </c>
      <c r="I32" s="32" t="n">
        <v>0.01912</v>
      </c>
      <c r="J32" s="31" t="n">
        <f aca="false">ROUND(H32*I32,2)</f>
        <v>0.1</v>
      </c>
      <c r="K32" s="30"/>
      <c r="L32" s="33" t="n">
        <v>30</v>
      </c>
      <c r="M32" s="34" t="n">
        <v>0.01274</v>
      </c>
      <c r="N32" s="33" t="n">
        <f aca="false">ROUND(L32*M32,2)</f>
        <v>0.38</v>
      </c>
    </row>
    <row r="33" customFormat="false" ht="15" hidden="false" customHeight="false" outlineLevel="0" collapsed="false">
      <c r="A33" s="8" t="s">
        <v>128</v>
      </c>
      <c r="B33" s="27" t="n">
        <v>59.26</v>
      </c>
      <c r="C33" s="28"/>
      <c r="D33" s="29" t="n">
        <v>1</v>
      </c>
      <c r="E33" s="29" t="n">
        <v>1</v>
      </c>
      <c r="F33" s="27" t="n">
        <f aca="false">ROUND(B33*E33,2)</f>
        <v>59.26</v>
      </c>
      <c r="G33" s="30"/>
      <c r="H33" s="31" t="n">
        <v>49.46</v>
      </c>
      <c r="I33" s="32" t="n">
        <v>1</v>
      </c>
      <c r="J33" s="31" t="n">
        <f aca="false">ROUND(H33*I33,2)</f>
        <v>49.46</v>
      </c>
      <c r="K33" s="30"/>
      <c r="L33" s="33" t="n">
        <v>44</v>
      </c>
      <c r="M33" s="34" t="n">
        <v>1</v>
      </c>
      <c r="N33" s="33" t="n">
        <f aca="false">ROUND(L33*M33,2)</f>
        <v>44</v>
      </c>
    </row>
    <row r="34" customFormat="false" ht="15" hidden="false" customHeight="false" outlineLevel="0" collapsed="false">
      <c r="A34" s="47" t="s">
        <v>129</v>
      </c>
      <c r="B34" s="48"/>
      <c r="C34" s="48"/>
      <c r="D34" s="48"/>
      <c r="E34" s="48"/>
      <c r="F34" s="49" t="n">
        <f aca="false">ROUND((SUM(F22:F33)-F33)*1.21+F33,2)</f>
        <v>1311.46</v>
      </c>
      <c r="G34" s="48"/>
      <c r="H34" s="48"/>
      <c r="I34" s="48"/>
      <c r="J34" s="50" t="n">
        <f aca="false">ROUND((SUM(J22:J33)-J33)*1.21+J33,2)</f>
        <v>1166.31</v>
      </c>
      <c r="K34" s="48"/>
      <c r="L34" s="48"/>
      <c r="M34" s="48"/>
      <c r="N34" s="51" t="n">
        <f aca="false">ROUND((SUM(N22:N33)-N33)*1.21+N33,2)</f>
        <v>1038.39</v>
      </c>
    </row>
    <row r="35" customFormat="false" ht="15" hidden="false" customHeight="false" outlineLevel="0" collapsed="false">
      <c r="A35" s="52" t="s">
        <v>130</v>
      </c>
      <c r="B35" s="53" t="n">
        <f aca="false">(SUM(F22:F30)-803.9614)/SUM(F22:F30)</f>
        <v>0.209601832553384</v>
      </c>
      <c r="C35" s="53"/>
      <c r="D35" s="53"/>
      <c r="E35" s="53"/>
      <c r="F35" s="53"/>
      <c r="G35" s="54"/>
      <c r="H35" s="54"/>
      <c r="I35" s="54"/>
      <c r="J35" s="54"/>
      <c r="K35" s="54"/>
      <c r="L35" s="55" t="str">
        <f aca="false">IF(B35&gt;=0.3,"APROBAR",IF(B35&gt;=0.2,"REVISAR","RECHAZAR"))</f>
        <v>REVISAR</v>
      </c>
      <c r="M35" s="55"/>
      <c r="N35" s="55"/>
    </row>
    <row r="37" customFormat="false" ht="15" hidden="false" customHeight="true" outlineLevel="0" collapsed="false">
      <c r="A37" s="14" t="s">
        <v>140</v>
      </c>
      <c r="B37" s="14"/>
      <c r="C37" s="14"/>
      <c r="D37" s="14"/>
      <c r="E37" s="14"/>
      <c r="F37" s="14"/>
      <c r="G37" s="14"/>
      <c r="H37" s="14"/>
      <c r="I37" s="15" t="s">
        <v>141</v>
      </c>
      <c r="J37" s="15"/>
      <c r="K37" s="15"/>
      <c r="L37" s="15"/>
      <c r="M37" s="15"/>
      <c r="N37" s="15"/>
      <c r="R37" s="16" t="s">
        <v>97</v>
      </c>
      <c r="S37" s="16"/>
      <c r="T37" s="16"/>
      <c r="U37" s="16"/>
      <c r="V37" s="16"/>
    </row>
    <row r="38" customFormat="false" ht="15" hidden="false" customHeight="true" outlineLevel="0" collapsed="false">
      <c r="A38" s="17" t="s">
        <v>98</v>
      </c>
      <c r="B38" s="18" t="s">
        <v>99</v>
      </c>
      <c r="C38" s="18"/>
      <c r="D38" s="18"/>
      <c r="E38" s="18"/>
      <c r="F38" s="18"/>
      <c r="G38" s="19"/>
      <c r="H38" s="20" t="s">
        <v>142</v>
      </c>
      <c r="I38" s="20"/>
      <c r="J38" s="20"/>
      <c r="K38" s="19"/>
      <c r="L38" s="21" t="s">
        <v>143</v>
      </c>
      <c r="M38" s="21"/>
      <c r="N38" s="21"/>
      <c r="R38" s="22" t="s">
        <v>144</v>
      </c>
      <c r="S38" s="22"/>
      <c r="T38" s="22"/>
      <c r="U38" s="22"/>
      <c r="V38" s="22"/>
    </row>
    <row r="39" customFormat="false" ht="15" hidden="false" customHeight="true" outlineLevel="0" collapsed="false">
      <c r="A39" s="19"/>
      <c r="B39" s="23" t="s">
        <v>103</v>
      </c>
      <c r="C39" s="23" t="s">
        <v>104</v>
      </c>
      <c r="D39" s="23" t="s">
        <v>105</v>
      </c>
      <c r="E39" s="23" t="s">
        <v>106</v>
      </c>
      <c r="F39" s="23" t="s">
        <v>107</v>
      </c>
      <c r="G39" s="19"/>
      <c r="H39" s="24" t="s">
        <v>103</v>
      </c>
      <c r="I39" s="24" t="s">
        <v>106</v>
      </c>
      <c r="J39" s="24" t="s">
        <v>107</v>
      </c>
      <c r="K39" s="19"/>
      <c r="L39" s="25" t="s">
        <v>103</v>
      </c>
      <c r="M39" s="25" t="s">
        <v>106</v>
      </c>
      <c r="N39" s="25" t="s">
        <v>107</v>
      </c>
      <c r="R39" s="26" t="s">
        <v>145</v>
      </c>
      <c r="S39" s="26"/>
      <c r="T39" s="26"/>
      <c r="U39" s="26"/>
      <c r="V39" s="26"/>
    </row>
    <row r="40" customFormat="false" ht="15" hidden="false" customHeight="true" outlineLevel="0" collapsed="false">
      <c r="A40" s="8" t="s">
        <v>109</v>
      </c>
      <c r="B40" s="27" t="n">
        <v>37</v>
      </c>
      <c r="C40" s="28" t="n">
        <v>30</v>
      </c>
      <c r="D40" s="29" t="n">
        <v>1.73784</v>
      </c>
      <c r="E40" s="29" t="n">
        <v>1.74</v>
      </c>
      <c r="F40" s="27" t="n">
        <f aca="false">ROUND(B40*E40,2)</f>
        <v>64.38</v>
      </c>
      <c r="G40" s="30"/>
      <c r="H40" s="31"/>
      <c r="I40" s="32"/>
      <c r="J40" s="31"/>
      <c r="K40" s="30"/>
      <c r="L40" s="33"/>
      <c r="M40" s="34"/>
      <c r="N40" s="33"/>
      <c r="R40" s="35" t="s">
        <v>146</v>
      </c>
      <c r="S40" s="35"/>
      <c r="T40" s="35"/>
      <c r="U40" s="35"/>
      <c r="V40" s="35"/>
    </row>
    <row r="41" customFormat="false" ht="15" hidden="false" customHeight="true" outlineLevel="0" collapsed="false">
      <c r="A41" s="8" t="s">
        <v>111</v>
      </c>
      <c r="B41" s="27" t="n">
        <v>37</v>
      </c>
      <c r="C41" s="28" t="n">
        <v>30</v>
      </c>
      <c r="D41" s="29" t="n">
        <v>0.9357</v>
      </c>
      <c r="E41" s="29" t="n">
        <v>0.94</v>
      </c>
      <c r="F41" s="27" t="n">
        <f aca="false">ROUND(B41*E41,2)</f>
        <v>34.78</v>
      </c>
      <c r="G41" s="30"/>
      <c r="H41" s="31"/>
      <c r="I41" s="32"/>
      <c r="J41" s="31"/>
      <c r="K41" s="30"/>
      <c r="L41" s="33"/>
      <c r="M41" s="34"/>
      <c r="N41" s="33"/>
      <c r="R41" s="36" t="s">
        <v>147</v>
      </c>
      <c r="S41" s="36"/>
      <c r="T41" s="36"/>
      <c r="U41" s="36"/>
      <c r="V41" s="36"/>
    </row>
    <row r="42" customFormat="false" ht="15" hidden="false" customHeight="true" outlineLevel="0" collapsed="false">
      <c r="A42" s="8" t="s">
        <v>113</v>
      </c>
      <c r="B42" s="27" t="n">
        <v>37</v>
      </c>
      <c r="C42" s="28" t="n">
        <v>30</v>
      </c>
      <c r="D42" s="29" t="n">
        <v>0.43137</v>
      </c>
      <c r="E42" s="29" t="n">
        <v>0.43</v>
      </c>
      <c r="F42" s="27" t="n">
        <f aca="false">ROUND(B42*E42,2)</f>
        <v>15.91</v>
      </c>
      <c r="G42" s="30"/>
      <c r="H42" s="31"/>
      <c r="I42" s="32"/>
      <c r="J42" s="31"/>
      <c r="K42" s="30"/>
      <c r="L42" s="33"/>
      <c r="M42" s="34"/>
      <c r="N42" s="33"/>
      <c r="R42" s="36" t="s">
        <v>148</v>
      </c>
      <c r="S42" s="36"/>
      <c r="T42" s="36"/>
      <c r="U42" s="36"/>
      <c r="V42" s="36"/>
    </row>
    <row r="43" customFormat="false" ht="15" hidden="false" customHeight="true" outlineLevel="0" collapsed="false">
      <c r="A43" s="8" t="s">
        <v>115</v>
      </c>
      <c r="B43" s="27" t="n">
        <v>37</v>
      </c>
      <c r="C43" s="28" t="n">
        <v>30</v>
      </c>
      <c r="D43" s="29" t="n">
        <v>0.38244</v>
      </c>
      <c r="E43" s="29" t="n">
        <v>0.38</v>
      </c>
      <c r="F43" s="27" t="n">
        <f aca="false">ROUND(B43*E43,2)</f>
        <v>14.06</v>
      </c>
      <c r="G43" s="30"/>
      <c r="H43" s="31"/>
      <c r="I43" s="32"/>
      <c r="J43" s="31"/>
      <c r="K43" s="30"/>
      <c r="L43" s="33"/>
      <c r="M43" s="34"/>
      <c r="N43" s="33"/>
      <c r="R43" s="56" t="s">
        <v>149</v>
      </c>
      <c r="S43" s="56"/>
      <c r="T43" s="56"/>
      <c r="U43" s="56"/>
      <c r="V43" s="56"/>
    </row>
    <row r="44" customFormat="false" ht="15" hidden="false" customHeight="true" outlineLevel="0" collapsed="false">
      <c r="A44" s="8" t="s">
        <v>117</v>
      </c>
      <c r="B44" s="27" t="n">
        <v>37</v>
      </c>
      <c r="C44" s="28" t="n">
        <v>30</v>
      </c>
      <c r="D44" s="29" t="n">
        <v>0.26964</v>
      </c>
      <c r="E44" s="29" t="n">
        <v>0.27</v>
      </c>
      <c r="F44" s="27" t="n">
        <f aca="false">ROUND(B44*E44,2)</f>
        <v>9.99</v>
      </c>
      <c r="G44" s="30"/>
      <c r="H44" s="31"/>
      <c r="I44" s="32"/>
      <c r="J44" s="31"/>
      <c r="K44" s="30"/>
      <c r="L44" s="33"/>
      <c r="M44" s="34"/>
      <c r="N44" s="33"/>
      <c r="R44" s="38" t="s">
        <v>118</v>
      </c>
      <c r="S44" s="38"/>
      <c r="T44" s="38"/>
      <c r="U44" s="38"/>
      <c r="V44" s="38"/>
    </row>
    <row r="45" customFormat="false" ht="15" hidden="false" customHeight="false" outlineLevel="0" collapsed="false">
      <c r="A45" s="8" t="s">
        <v>119</v>
      </c>
      <c r="B45" s="27" t="n">
        <v>37</v>
      </c>
      <c r="C45" s="28" t="n">
        <v>30</v>
      </c>
      <c r="D45" s="29" t="n">
        <v>0.18156</v>
      </c>
      <c r="E45" s="29" t="n">
        <v>0.18</v>
      </c>
      <c r="F45" s="27" t="n">
        <f aca="false">ROUND(B45*E45,2)</f>
        <v>6.66</v>
      </c>
      <c r="G45" s="30"/>
      <c r="H45" s="31"/>
      <c r="I45" s="32"/>
      <c r="J45" s="31"/>
      <c r="K45" s="30"/>
      <c r="L45" s="33"/>
      <c r="M45" s="34"/>
      <c r="N45" s="33"/>
    </row>
    <row r="46" customFormat="false" ht="15" hidden="false" customHeight="false" outlineLevel="0" collapsed="false">
      <c r="A46" s="39" t="s">
        <v>120</v>
      </c>
      <c r="B46" s="40" t="n">
        <f aca="false">IF($P$46="",5952.91,ROUND(5952.91*((2775.0294/(1-$P$46))-145.78)/2726,2))</f>
        <v>5952.91</v>
      </c>
      <c r="C46" s="28"/>
      <c r="D46" s="41" t="n">
        <v>0.121236</v>
      </c>
      <c r="E46" s="29" t="n">
        <v>0.142</v>
      </c>
      <c r="F46" s="27" t="n">
        <f aca="false">ROUND(B46*E46,2)</f>
        <v>845.31</v>
      </c>
      <c r="G46" s="30"/>
      <c r="H46" s="42"/>
      <c r="I46" s="32"/>
      <c r="J46" s="31"/>
      <c r="K46" s="30"/>
      <c r="L46" s="43"/>
      <c r="M46" s="34"/>
      <c r="N46" s="33"/>
      <c r="O46" s="44" t="s">
        <v>121</v>
      </c>
      <c r="P46" s="45"/>
    </row>
    <row r="47" customFormat="false" ht="15" hidden="false" customHeight="false" outlineLevel="0" collapsed="false">
      <c r="A47" s="39" t="s">
        <v>122</v>
      </c>
      <c r="B47" s="40" t="n">
        <f aca="false">IF($P$46="",4481.69,ROUND(4481.69*((2775.0294/(1-$P$46))-145.78)/2726,2))</f>
        <v>4481.69</v>
      </c>
      <c r="C47" s="28"/>
      <c r="D47" s="41" t="n">
        <v>0.114444</v>
      </c>
      <c r="E47" s="29" t="n">
        <v>0.114</v>
      </c>
      <c r="F47" s="27" t="n">
        <f aca="false">ROUND(B47*E47,2)</f>
        <v>510.91</v>
      </c>
      <c r="G47" s="30"/>
      <c r="H47" s="42"/>
      <c r="I47" s="32"/>
      <c r="J47" s="31"/>
      <c r="K47" s="30"/>
      <c r="L47" s="43"/>
      <c r="M47" s="34"/>
      <c r="N47" s="33"/>
      <c r="O47" s="46" t="s">
        <v>123</v>
      </c>
    </row>
    <row r="48" customFormat="false" ht="15" hidden="false" customHeight="false" outlineLevel="0" collapsed="false">
      <c r="A48" s="39" t="s">
        <v>124</v>
      </c>
      <c r="B48" s="40" t="n">
        <f aca="false">IF($P$46="",13057.95,ROUND(13057.95*((2775.0294/(1-$P$46))-145.78)/2726,2))</f>
        <v>13057.95</v>
      </c>
      <c r="C48" s="28"/>
      <c r="D48" s="41" t="n">
        <v>0.106808</v>
      </c>
      <c r="E48" s="29" t="n">
        <v>0.1049</v>
      </c>
      <c r="F48" s="27" t="n">
        <f aca="false">ROUND(B48*E48,2)</f>
        <v>1369.78</v>
      </c>
      <c r="G48" s="30"/>
      <c r="H48" s="42"/>
      <c r="I48" s="32"/>
      <c r="J48" s="31"/>
      <c r="K48" s="30"/>
      <c r="L48" s="43"/>
      <c r="M48" s="34"/>
      <c r="N48" s="33"/>
      <c r="O48" s="46" t="s">
        <v>125</v>
      </c>
    </row>
    <row r="49" customFormat="false" ht="15" hidden="false" customHeight="false" outlineLevel="0" collapsed="false">
      <c r="A49" s="8" t="s">
        <v>126</v>
      </c>
      <c r="B49" s="27" t="n">
        <v>1</v>
      </c>
      <c r="C49" s="28"/>
      <c r="D49" s="29" t="n">
        <v>6</v>
      </c>
      <c r="E49" s="29" t="n">
        <v>6</v>
      </c>
      <c r="F49" s="27" t="n">
        <f aca="false">ROUND(B49*E49,2)</f>
        <v>6</v>
      </c>
      <c r="G49" s="30"/>
      <c r="H49" s="31"/>
      <c r="I49" s="32"/>
      <c r="J49" s="31"/>
      <c r="K49" s="30"/>
      <c r="L49" s="33"/>
      <c r="M49" s="34"/>
      <c r="N49" s="33"/>
    </row>
    <row r="50" customFormat="false" ht="15" hidden="false" customHeight="false" outlineLevel="0" collapsed="false">
      <c r="A50" s="8" t="s">
        <v>127</v>
      </c>
      <c r="B50" s="27" t="n">
        <v>30</v>
      </c>
      <c r="C50" s="28"/>
      <c r="D50" s="29" t="n">
        <v>0.01912</v>
      </c>
      <c r="E50" s="29" t="n">
        <v>0.01912</v>
      </c>
      <c r="F50" s="27" t="n">
        <f aca="false">ROUND(B50*E50,2)</f>
        <v>0.57</v>
      </c>
      <c r="G50" s="30"/>
      <c r="H50" s="31"/>
      <c r="I50" s="32"/>
      <c r="J50" s="31"/>
      <c r="K50" s="30"/>
      <c r="L50" s="33"/>
      <c r="M50" s="34"/>
      <c r="N50" s="33"/>
    </row>
    <row r="51" customFormat="false" ht="15" hidden="false" customHeight="false" outlineLevel="0" collapsed="false">
      <c r="A51" s="8" t="s">
        <v>128</v>
      </c>
      <c r="B51" s="27" t="n">
        <v>155.12</v>
      </c>
      <c r="C51" s="28"/>
      <c r="D51" s="29" t="n">
        <v>1</v>
      </c>
      <c r="E51" s="29" t="n">
        <v>1</v>
      </c>
      <c r="F51" s="27" t="n">
        <f aca="false">ROUND(B51*E51,2)</f>
        <v>155.12</v>
      </c>
      <c r="G51" s="30"/>
      <c r="H51" s="31"/>
      <c r="I51" s="32"/>
      <c r="J51" s="31"/>
      <c r="K51" s="30"/>
      <c r="L51" s="33"/>
      <c r="M51" s="34"/>
      <c r="N51" s="33"/>
    </row>
    <row r="52" customFormat="false" ht="15" hidden="false" customHeight="false" outlineLevel="0" collapsed="false">
      <c r="A52" s="47" t="s">
        <v>129</v>
      </c>
      <c r="B52" s="48"/>
      <c r="C52" s="48"/>
      <c r="D52" s="48"/>
      <c r="E52" s="48"/>
      <c r="F52" s="49" t="n">
        <f aca="false">ROUND((SUM(F40:F51)-F51)*1.21+F51,2)</f>
        <v>3637.92</v>
      </c>
      <c r="G52" s="48"/>
      <c r="H52" s="48"/>
      <c r="I52" s="48"/>
      <c r="J52" s="48"/>
      <c r="K52" s="48"/>
      <c r="L52" s="48"/>
      <c r="M52" s="48"/>
      <c r="N52" s="48"/>
    </row>
    <row r="53" customFormat="false" ht="15" hidden="false" customHeight="false" outlineLevel="0" collapsed="false">
      <c r="A53" s="52" t="s">
        <v>130</v>
      </c>
      <c r="B53" s="53" t="n">
        <f aca="false">(SUM(F40:F48)-2775.0294)/SUM(F40:F48)</f>
        <v>0.0336901155380983</v>
      </c>
      <c r="C53" s="53"/>
      <c r="D53" s="53"/>
      <c r="E53" s="53"/>
      <c r="F53" s="53"/>
      <c r="G53" s="54"/>
      <c r="H53" s="54"/>
      <c r="I53" s="54"/>
      <c r="J53" s="54"/>
      <c r="K53" s="54"/>
      <c r="L53" s="55" t="str">
        <f aca="false">IF(B53&gt;=0.3,"APROBAR",IF(B53&gt;=0.2,"REVISAR","RECHAZAR"))</f>
        <v>RECHAZAR</v>
      </c>
      <c r="M53" s="55"/>
      <c r="N53" s="55"/>
    </row>
    <row r="55" customFormat="false" ht="15" hidden="false" customHeight="true" outlineLevel="0" collapsed="false">
      <c r="A55" s="14" t="s">
        <v>150</v>
      </c>
      <c r="B55" s="14"/>
      <c r="C55" s="14"/>
      <c r="D55" s="14"/>
      <c r="E55" s="14"/>
      <c r="F55" s="14"/>
      <c r="G55" s="14"/>
      <c r="H55" s="14"/>
      <c r="I55" s="15" t="s">
        <v>151</v>
      </c>
      <c r="J55" s="15"/>
      <c r="K55" s="15"/>
      <c r="L55" s="15"/>
      <c r="M55" s="15"/>
      <c r="N55" s="15"/>
      <c r="R55" s="16" t="s">
        <v>97</v>
      </c>
      <c r="S55" s="16"/>
      <c r="T55" s="16"/>
      <c r="U55" s="16"/>
      <c r="V55" s="16"/>
    </row>
    <row r="56" customFormat="false" ht="15" hidden="false" customHeight="true" outlineLevel="0" collapsed="false">
      <c r="A56" s="17" t="s">
        <v>98</v>
      </c>
      <c r="B56" s="18" t="s">
        <v>99</v>
      </c>
      <c r="C56" s="18"/>
      <c r="D56" s="18"/>
      <c r="E56" s="18"/>
      <c r="F56" s="18"/>
      <c r="G56" s="19"/>
      <c r="H56" s="20" t="s">
        <v>152</v>
      </c>
      <c r="I56" s="20"/>
      <c r="J56" s="20"/>
      <c r="K56" s="19"/>
      <c r="L56" s="21" t="s">
        <v>153</v>
      </c>
      <c r="M56" s="21"/>
      <c r="N56" s="21"/>
      <c r="R56" s="22" t="s">
        <v>154</v>
      </c>
      <c r="S56" s="22"/>
      <c r="T56" s="22"/>
      <c r="U56" s="22"/>
      <c r="V56" s="22"/>
    </row>
    <row r="57" customFormat="false" ht="15" hidden="false" customHeight="true" outlineLevel="0" collapsed="false">
      <c r="A57" s="19"/>
      <c r="B57" s="23" t="s">
        <v>103</v>
      </c>
      <c r="C57" s="23" t="s">
        <v>104</v>
      </c>
      <c r="D57" s="23" t="s">
        <v>105</v>
      </c>
      <c r="E57" s="23" t="s">
        <v>106</v>
      </c>
      <c r="F57" s="23" t="s">
        <v>107</v>
      </c>
      <c r="G57" s="19"/>
      <c r="H57" s="24" t="s">
        <v>103</v>
      </c>
      <c r="I57" s="24" t="s">
        <v>106</v>
      </c>
      <c r="J57" s="24" t="s">
        <v>107</v>
      </c>
      <c r="K57" s="19"/>
      <c r="L57" s="25" t="s">
        <v>103</v>
      </c>
      <c r="M57" s="25" t="s">
        <v>106</v>
      </c>
      <c r="N57" s="25" t="s">
        <v>107</v>
      </c>
      <c r="R57" s="26" t="s">
        <v>155</v>
      </c>
      <c r="S57" s="26"/>
      <c r="T57" s="26"/>
      <c r="U57" s="26"/>
      <c r="V57" s="26"/>
    </row>
    <row r="58" customFormat="false" ht="15" hidden="false" customHeight="true" outlineLevel="0" collapsed="false">
      <c r="A58" s="8" t="s">
        <v>109</v>
      </c>
      <c r="B58" s="27" t="n">
        <v>40</v>
      </c>
      <c r="C58" s="28" t="n">
        <v>30</v>
      </c>
      <c r="D58" s="29" t="n">
        <v>2.43249</v>
      </c>
      <c r="E58" s="29" t="n">
        <v>3.0517</v>
      </c>
      <c r="F58" s="27" t="n">
        <f aca="false">ROUND(B58*E58,2)</f>
        <v>122.07</v>
      </c>
      <c r="G58" s="30"/>
      <c r="H58" s="31" t="n">
        <v>40</v>
      </c>
      <c r="I58" s="32" t="n">
        <v>2.3922</v>
      </c>
      <c r="J58" s="31" t="n">
        <f aca="false">ROUND(H58*I58,2)</f>
        <v>95.69</v>
      </c>
      <c r="K58" s="30"/>
      <c r="L58" s="33" t="n">
        <v>40</v>
      </c>
      <c r="M58" s="34" t="n">
        <v>3.0517</v>
      </c>
      <c r="N58" s="33" t="n">
        <f aca="false">ROUND(L58*M58,2)</f>
        <v>122.07</v>
      </c>
      <c r="R58" s="35" t="s">
        <v>156</v>
      </c>
      <c r="S58" s="35"/>
      <c r="T58" s="35"/>
      <c r="U58" s="35"/>
      <c r="V58" s="35"/>
    </row>
    <row r="59" customFormat="false" ht="15" hidden="false" customHeight="true" outlineLevel="0" collapsed="false">
      <c r="A59" s="8" t="s">
        <v>111</v>
      </c>
      <c r="B59" s="27" t="n">
        <v>40</v>
      </c>
      <c r="C59" s="28" t="n">
        <v>30</v>
      </c>
      <c r="D59" s="29" t="n">
        <v>1.27518</v>
      </c>
      <c r="E59" s="29" t="n">
        <v>1.8367</v>
      </c>
      <c r="F59" s="27" t="n">
        <f aca="false">ROUND(B59*E59,2)</f>
        <v>73.47</v>
      </c>
      <c r="G59" s="30"/>
      <c r="H59" s="31" t="n">
        <v>40</v>
      </c>
      <c r="I59" s="32" t="n">
        <v>2.0667</v>
      </c>
      <c r="J59" s="31" t="n">
        <f aca="false">ROUND(H59*I59,2)</f>
        <v>82.67</v>
      </c>
      <c r="K59" s="30"/>
      <c r="L59" s="33" t="n">
        <v>40</v>
      </c>
      <c r="M59" s="34" t="n">
        <v>1.8367</v>
      </c>
      <c r="N59" s="33" t="n">
        <f aca="false">ROUND(L59*M59,2)</f>
        <v>73.47</v>
      </c>
      <c r="R59" s="36" t="s">
        <v>157</v>
      </c>
      <c r="S59" s="36"/>
      <c r="T59" s="36"/>
      <c r="U59" s="36"/>
      <c r="V59" s="36"/>
    </row>
    <row r="60" customFormat="false" ht="15" hidden="false" customHeight="true" outlineLevel="0" collapsed="false">
      <c r="A60" s="8" t="s">
        <v>113</v>
      </c>
      <c r="B60" s="27" t="n">
        <v>40</v>
      </c>
      <c r="C60" s="28" t="n">
        <v>30</v>
      </c>
      <c r="D60" s="29" t="n">
        <v>0.55905</v>
      </c>
      <c r="E60" s="29" t="n">
        <v>1.4159</v>
      </c>
      <c r="F60" s="27" t="n">
        <f aca="false">ROUND(B60*E60,2)</f>
        <v>56.64</v>
      </c>
      <c r="G60" s="30"/>
      <c r="H60" s="31" t="n">
        <v>40</v>
      </c>
      <c r="I60" s="32" t="n">
        <v>1.0757</v>
      </c>
      <c r="J60" s="31" t="n">
        <f aca="false">ROUND(H60*I60,2)</f>
        <v>43.03</v>
      </c>
      <c r="K60" s="30"/>
      <c r="L60" s="33" t="n">
        <v>40</v>
      </c>
      <c r="M60" s="34" t="n">
        <v>1.4159</v>
      </c>
      <c r="N60" s="33" t="n">
        <f aca="false">ROUND(L60*M60,2)</f>
        <v>56.64</v>
      </c>
      <c r="R60" s="36" t="s">
        <v>158</v>
      </c>
      <c r="S60" s="36"/>
      <c r="T60" s="36"/>
      <c r="U60" s="36"/>
      <c r="V60" s="36"/>
    </row>
    <row r="61" customFormat="false" ht="15" hidden="false" customHeight="true" outlineLevel="0" collapsed="false">
      <c r="A61" s="8" t="s">
        <v>115</v>
      </c>
      <c r="B61" s="27" t="n">
        <v>40</v>
      </c>
      <c r="C61" s="28" t="n">
        <v>30</v>
      </c>
      <c r="D61" s="29" t="n">
        <v>0.44334</v>
      </c>
      <c r="E61" s="29" t="n">
        <v>1.1559</v>
      </c>
      <c r="F61" s="27" t="n">
        <f aca="false">ROUND(B61*E61,2)</f>
        <v>46.24</v>
      </c>
      <c r="G61" s="30"/>
      <c r="H61" s="31" t="n">
        <v>40</v>
      </c>
      <c r="I61" s="32" t="n">
        <v>0.8917</v>
      </c>
      <c r="J61" s="31" t="n">
        <f aca="false">ROUND(H61*I61,2)</f>
        <v>35.67</v>
      </c>
      <c r="K61" s="30"/>
      <c r="L61" s="33" t="n">
        <v>40</v>
      </c>
      <c r="M61" s="34" t="n">
        <v>1.1559</v>
      </c>
      <c r="N61" s="33" t="n">
        <f aca="false">ROUND(L61*M61,2)</f>
        <v>46.24</v>
      </c>
      <c r="R61" s="56" t="s">
        <v>149</v>
      </c>
      <c r="S61" s="56"/>
      <c r="T61" s="56"/>
      <c r="U61" s="56"/>
      <c r="V61" s="56"/>
    </row>
    <row r="62" customFormat="false" ht="15" hidden="false" customHeight="true" outlineLevel="0" collapsed="false">
      <c r="A62" s="8" t="s">
        <v>117</v>
      </c>
      <c r="B62" s="27" t="n">
        <v>40</v>
      </c>
      <c r="C62" s="28" t="n">
        <v>30</v>
      </c>
      <c r="D62" s="29" t="n">
        <v>0.17466</v>
      </c>
      <c r="E62" s="29" t="n">
        <v>0.2139</v>
      </c>
      <c r="F62" s="27" t="n">
        <f aca="false">ROUND(B62*E62,2)</f>
        <v>8.56</v>
      </c>
      <c r="G62" s="30"/>
      <c r="H62" s="31" t="n">
        <v>40</v>
      </c>
      <c r="I62" s="32" t="n">
        <v>0.2067</v>
      </c>
      <c r="J62" s="31" t="n">
        <f aca="false">ROUND(H62*I62,2)</f>
        <v>8.27</v>
      </c>
      <c r="K62" s="30"/>
      <c r="L62" s="33" t="n">
        <v>40</v>
      </c>
      <c r="M62" s="34" t="n">
        <v>0.2139</v>
      </c>
      <c r="N62" s="33" t="n">
        <f aca="false">ROUND(L62*M62,2)</f>
        <v>8.56</v>
      </c>
      <c r="R62" s="38" t="s">
        <v>118</v>
      </c>
      <c r="S62" s="38"/>
      <c r="T62" s="38"/>
      <c r="U62" s="38"/>
      <c r="V62" s="38"/>
    </row>
    <row r="63" customFormat="false" ht="15" hidden="false" customHeight="false" outlineLevel="0" collapsed="false">
      <c r="A63" s="8" t="s">
        <v>119</v>
      </c>
      <c r="B63" s="27" t="n">
        <v>40</v>
      </c>
      <c r="C63" s="28" t="n">
        <v>30</v>
      </c>
      <c r="D63" s="29" t="n">
        <v>0.08253</v>
      </c>
      <c r="E63" s="29" t="n">
        <v>0.1209</v>
      </c>
      <c r="F63" s="27" t="n">
        <f aca="false">ROUND(B63*E63,2)</f>
        <v>4.84</v>
      </c>
      <c r="G63" s="30"/>
      <c r="H63" s="31" t="n">
        <v>40</v>
      </c>
      <c r="I63" s="32" t="n">
        <v>0.1244</v>
      </c>
      <c r="J63" s="31" t="n">
        <f aca="false">ROUND(H63*I63,2)</f>
        <v>4.98</v>
      </c>
      <c r="K63" s="30"/>
      <c r="L63" s="33" t="n">
        <v>40</v>
      </c>
      <c r="M63" s="34" t="n">
        <v>0.1209</v>
      </c>
      <c r="N63" s="33" t="n">
        <f aca="false">ROUND(L63*M63,2)</f>
        <v>4.84</v>
      </c>
    </row>
    <row r="64" customFormat="false" ht="15" hidden="false" customHeight="false" outlineLevel="0" collapsed="false">
      <c r="A64" s="39" t="s">
        <v>120</v>
      </c>
      <c r="B64" s="40" t="n">
        <f aca="false">IF($P$64="",5772.67,ROUND(5772.67*((1679.5979/(1-$P$64))-311.82)/2112.37,2))</f>
        <v>5772.67</v>
      </c>
      <c r="C64" s="28"/>
      <c r="D64" s="41" t="n">
        <v>0.097753</v>
      </c>
      <c r="E64" s="29" t="n">
        <v>0.13</v>
      </c>
      <c r="F64" s="27" t="n">
        <f aca="false">ROUND(B64*E64,2)</f>
        <v>750.45</v>
      </c>
      <c r="G64" s="30"/>
      <c r="H64" s="42" t="n">
        <v>3991</v>
      </c>
      <c r="I64" s="32" t="n">
        <v>0.13</v>
      </c>
      <c r="J64" s="31" t="n">
        <f aca="false">ROUND(H64*I64,2)</f>
        <v>518.83</v>
      </c>
      <c r="K64" s="30"/>
      <c r="L64" s="43" t="n">
        <v>5772.67</v>
      </c>
      <c r="M64" s="34" t="n">
        <v>0.16</v>
      </c>
      <c r="N64" s="33" t="n">
        <f aca="false">ROUND(L64*M64,2)</f>
        <v>923.63</v>
      </c>
      <c r="O64" s="44" t="s">
        <v>121</v>
      </c>
      <c r="P64" s="45"/>
    </row>
    <row r="65" customFormat="false" ht="15" hidden="false" customHeight="false" outlineLevel="0" collapsed="false">
      <c r="A65" s="39" t="s">
        <v>122</v>
      </c>
      <c r="B65" s="40" t="n">
        <f aca="false">IF($P$64="",4223.96,ROUND(4223.96*((1679.5979/(1-$P$64))-311.82)/2112.37,2))</f>
        <v>4223.96</v>
      </c>
      <c r="C65" s="28"/>
      <c r="D65" s="41" t="n">
        <v>0.091419</v>
      </c>
      <c r="E65" s="29" t="n">
        <v>0.13</v>
      </c>
      <c r="F65" s="27" t="n">
        <f aca="false">ROUND(B65*E65,2)</f>
        <v>549.11</v>
      </c>
      <c r="G65" s="30"/>
      <c r="H65" s="42" t="n">
        <v>6530</v>
      </c>
      <c r="I65" s="32" t="n">
        <v>0.13</v>
      </c>
      <c r="J65" s="31" t="n">
        <f aca="false">ROUND(H65*I65,2)</f>
        <v>848.9</v>
      </c>
      <c r="K65" s="30"/>
      <c r="L65" s="43" t="n">
        <v>4223.96</v>
      </c>
      <c r="M65" s="34" t="n">
        <v>0.16</v>
      </c>
      <c r="N65" s="33" t="n">
        <f aca="false">ROUND(L65*M65,2)</f>
        <v>675.83</v>
      </c>
      <c r="O65" s="46" t="s">
        <v>123</v>
      </c>
    </row>
    <row r="66" customFormat="false" ht="15" hidden="false" customHeight="false" outlineLevel="0" collapsed="false">
      <c r="A66" s="39" t="s">
        <v>124</v>
      </c>
      <c r="B66" s="40" t="n">
        <f aca="false">IF($P$64="",6252.35,ROUND(6252.35*((1679.5979/(1-$P$64))-311.82)/2112.37,2))</f>
        <v>6252.35</v>
      </c>
      <c r="C66" s="28"/>
      <c r="D66" s="41" t="n">
        <v>0.084842</v>
      </c>
      <c r="E66" s="29" t="n">
        <v>0.13</v>
      </c>
      <c r="F66" s="27" t="n">
        <f aca="false">ROUND(B66*E66,2)</f>
        <v>812.81</v>
      </c>
      <c r="G66" s="30"/>
      <c r="H66" s="42" t="n">
        <v>8909</v>
      </c>
      <c r="I66" s="32" t="n">
        <v>0.13</v>
      </c>
      <c r="J66" s="31" t="n">
        <f aca="false">ROUND(H66*I66,2)</f>
        <v>1158.17</v>
      </c>
      <c r="K66" s="30"/>
      <c r="L66" s="43" t="n">
        <v>6252.35</v>
      </c>
      <c r="M66" s="34" t="n">
        <v>0.16</v>
      </c>
      <c r="N66" s="33" t="n">
        <f aca="false">ROUND(L66*M66,2)</f>
        <v>1000.38</v>
      </c>
      <c r="O66" s="46" t="s">
        <v>125</v>
      </c>
    </row>
    <row r="67" customFormat="false" ht="15" hidden="false" customHeight="false" outlineLevel="0" collapsed="false">
      <c r="A67" s="8" t="s">
        <v>126</v>
      </c>
      <c r="B67" s="27" t="n">
        <v>1</v>
      </c>
      <c r="C67" s="28"/>
      <c r="D67" s="29" t="n">
        <v>17.615</v>
      </c>
      <c r="E67" s="29" t="n">
        <v>17.615</v>
      </c>
      <c r="F67" s="27" t="n">
        <f aca="false">ROUND(B67*E67,2)</f>
        <v>17.62</v>
      </c>
      <c r="G67" s="30"/>
      <c r="H67" s="31" t="n">
        <v>1</v>
      </c>
      <c r="I67" s="32" t="n">
        <v>17.615</v>
      </c>
      <c r="J67" s="31" t="n">
        <f aca="false">ROUND(H67*I67,2)</f>
        <v>17.62</v>
      </c>
      <c r="K67" s="30"/>
      <c r="L67" s="33" t="n">
        <v>1</v>
      </c>
      <c r="M67" s="34" t="n">
        <v>17.615</v>
      </c>
      <c r="N67" s="33" t="n">
        <f aca="false">ROUND(L67*M67,2)</f>
        <v>17.62</v>
      </c>
    </row>
    <row r="68" customFormat="false" ht="15" hidden="false" customHeight="false" outlineLevel="0" collapsed="false">
      <c r="A68" s="8" t="s">
        <v>127</v>
      </c>
      <c r="B68" s="27" t="n">
        <v>30</v>
      </c>
      <c r="C68" s="28"/>
      <c r="D68" s="29" t="n">
        <v>0.01274</v>
      </c>
      <c r="E68" s="29" t="n">
        <v>0.01274</v>
      </c>
      <c r="F68" s="27" t="n">
        <f aca="false">ROUND(B68*E68,2)</f>
        <v>0.38</v>
      </c>
      <c r="G68" s="30"/>
      <c r="H68" s="31" t="n">
        <v>30</v>
      </c>
      <c r="I68" s="32" t="n">
        <v>0.01274</v>
      </c>
      <c r="J68" s="31" t="n">
        <f aca="false">ROUND(H68*I68,2)</f>
        <v>0.38</v>
      </c>
      <c r="K68" s="30"/>
      <c r="L68" s="33" t="n">
        <v>30</v>
      </c>
      <c r="M68" s="34" t="n">
        <v>0.00629</v>
      </c>
      <c r="N68" s="33" t="n">
        <f aca="false">ROUND(L68*M68,2)</f>
        <v>0.19</v>
      </c>
    </row>
    <row r="69" customFormat="false" ht="15" hidden="false" customHeight="false" outlineLevel="0" collapsed="false">
      <c r="A69" s="8" t="s">
        <v>128</v>
      </c>
      <c r="B69" s="27" t="n">
        <v>132.29</v>
      </c>
      <c r="C69" s="28"/>
      <c r="D69" s="29" t="n">
        <v>1</v>
      </c>
      <c r="E69" s="29" t="n">
        <v>1</v>
      </c>
      <c r="F69" s="27" t="n">
        <f aca="false">ROUND(B69*E69,2)</f>
        <v>132.29</v>
      </c>
      <c r="G69" s="30"/>
      <c r="H69" s="31" t="n">
        <v>152.79</v>
      </c>
      <c r="I69" s="32" t="n">
        <v>1</v>
      </c>
      <c r="J69" s="31" t="n">
        <f aca="false">ROUND(H69*I69,2)</f>
        <v>152.79</v>
      </c>
      <c r="K69" s="30"/>
      <c r="L69" s="33" t="n">
        <v>146.7</v>
      </c>
      <c r="M69" s="34" t="n">
        <v>1</v>
      </c>
      <c r="N69" s="33" t="n">
        <f aca="false">ROUND(L69*M69,2)</f>
        <v>146.7</v>
      </c>
    </row>
    <row r="70" customFormat="false" ht="15" hidden="false" customHeight="false" outlineLevel="0" collapsed="false">
      <c r="A70" s="39" t="s">
        <v>159</v>
      </c>
      <c r="B70" s="57"/>
      <c r="C70" s="28"/>
      <c r="D70" s="28"/>
      <c r="E70" s="58" t="s">
        <v>160</v>
      </c>
      <c r="F70" s="28"/>
      <c r="G70" s="30"/>
      <c r="H70" s="59"/>
      <c r="I70" s="59"/>
      <c r="J70" s="59"/>
      <c r="K70" s="30"/>
      <c r="L70" s="60"/>
      <c r="M70" s="60"/>
      <c r="N70" s="60"/>
    </row>
    <row r="71" customFormat="false" ht="15" hidden="false" customHeight="false" outlineLevel="0" collapsed="false">
      <c r="A71" s="47" t="s">
        <v>129</v>
      </c>
      <c r="B71" s="48"/>
      <c r="C71" s="48"/>
      <c r="D71" s="48"/>
      <c r="E71" s="48"/>
      <c r="F71" s="49" t="n">
        <f aca="false">ROUND((SUM(F58:F70)-F69)*1.21+F69,2)</f>
        <v>3087.34</v>
      </c>
      <c r="G71" s="48"/>
      <c r="H71" s="48"/>
      <c r="I71" s="48"/>
      <c r="J71" s="50" t="n">
        <f aca="false">ROUND((SUM(J58:J70)-J69)*1.21+J69,2)</f>
        <v>3557.98</v>
      </c>
      <c r="K71" s="48"/>
      <c r="L71" s="48"/>
      <c r="M71" s="48"/>
      <c r="N71" s="51" t="n">
        <f aca="false">ROUND((SUM(N58:N70)-N69)*1.21+N69,2)</f>
        <v>3691.36</v>
      </c>
    </row>
    <row r="72" customFormat="false" ht="15" hidden="false" customHeight="false" outlineLevel="0" collapsed="false">
      <c r="A72" s="52" t="s">
        <v>130</v>
      </c>
      <c r="B72" s="53" t="n">
        <f aca="false">(SUM(F58:F66)-1679.5979)/SUM(F58:F66)</f>
        <v>0.307150883387853</v>
      </c>
      <c r="C72" s="53"/>
      <c r="D72" s="53"/>
      <c r="E72" s="53"/>
      <c r="F72" s="53"/>
      <c r="G72" s="54"/>
      <c r="H72" s="54"/>
      <c r="I72" s="54"/>
      <c r="J72" s="54"/>
      <c r="K72" s="54"/>
      <c r="L72" s="55" t="str">
        <f aca="false">IF(B72&gt;=0.3,"APROBAR",IF(B72&gt;=0.2,"REVISAR","RECHAZAR"))</f>
        <v>APROBAR</v>
      </c>
      <c r="M72" s="55"/>
      <c r="N72" s="55"/>
    </row>
    <row r="74" customFormat="false" ht="15" hidden="false" customHeight="true" outlineLevel="0" collapsed="false">
      <c r="A74" s="14" t="s">
        <v>161</v>
      </c>
      <c r="B74" s="14"/>
      <c r="C74" s="14"/>
      <c r="D74" s="14"/>
      <c r="E74" s="14"/>
      <c r="F74" s="14"/>
      <c r="G74" s="14"/>
      <c r="H74" s="14"/>
      <c r="I74" s="15" t="s">
        <v>162</v>
      </c>
      <c r="J74" s="15"/>
      <c r="K74" s="15"/>
      <c r="L74" s="15"/>
      <c r="M74" s="15"/>
      <c r="N74" s="15"/>
      <c r="R74" s="16" t="s">
        <v>97</v>
      </c>
      <c r="S74" s="16"/>
      <c r="T74" s="16"/>
      <c r="U74" s="16"/>
      <c r="V74" s="16"/>
    </row>
    <row r="75" customFormat="false" ht="15" hidden="false" customHeight="true" outlineLevel="0" collapsed="false">
      <c r="A75" s="17" t="s">
        <v>98</v>
      </c>
      <c r="B75" s="18" t="s">
        <v>99</v>
      </c>
      <c r="C75" s="18"/>
      <c r="D75" s="18"/>
      <c r="E75" s="18"/>
      <c r="F75" s="18"/>
      <c r="G75" s="19"/>
      <c r="H75" s="20" t="s">
        <v>163</v>
      </c>
      <c r="I75" s="20"/>
      <c r="J75" s="20"/>
      <c r="K75" s="19"/>
      <c r="L75" s="21" t="s">
        <v>164</v>
      </c>
      <c r="M75" s="21"/>
      <c r="N75" s="21"/>
      <c r="R75" s="22" t="s">
        <v>165</v>
      </c>
      <c r="S75" s="22"/>
      <c r="T75" s="22"/>
      <c r="U75" s="22"/>
      <c r="V75" s="22"/>
    </row>
    <row r="76" customFormat="false" ht="15" hidden="false" customHeight="true" outlineLevel="0" collapsed="false">
      <c r="A76" s="19"/>
      <c r="B76" s="23" t="s">
        <v>103</v>
      </c>
      <c r="C76" s="23" t="s">
        <v>104</v>
      </c>
      <c r="D76" s="23" t="s">
        <v>105</v>
      </c>
      <c r="E76" s="23" t="s">
        <v>106</v>
      </c>
      <c r="F76" s="23" t="s">
        <v>107</v>
      </c>
      <c r="G76" s="19"/>
      <c r="H76" s="24" t="s">
        <v>103</v>
      </c>
      <c r="I76" s="24" t="s">
        <v>106</v>
      </c>
      <c r="J76" s="24" t="s">
        <v>107</v>
      </c>
      <c r="K76" s="19"/>
      <c r="L76" s="25" t="s">
        <v>103</v>
      </c>
      <c r="M76" s="25" t="s">
        <v>106</v>
      </c>
      <c r="N76" s="25" t="s">
        <v>107</v>
      </c>
      <c r="R76" s="26" t="s">
        <v>166</v>
      </c>
      <c r="S76" s="26"/>
      <c r="T76" s="26"/>
      <c r="U76" s="26"/>
      <c r="V76" s="26"/>
    </row>
    <row r="77" customFormat="false" ht="15" hidden="false" customHeight="true" outlineLevel="0" collapsed="false">
      <c r="A77" s="8" t="s">
        <v>109</v>
      </c>
      <c r="B77" s="27" t="n">
        <v>24.249</v>
      </c>
      <c r="C77" s="28" t="n">
        <v>30</v>
      </c>
      <c r="D77" s="29" t="n">
        <v>1.73784</v>
      </c>
      <c r="E77" s="29" t="n">
        <v>2.5542</v>
      </c>
      <c r="F77" s="27" t="n">
        <f aca="false">ROUND(B77*E77,2)</f>
        <v>61.94</v>
      </c>
      <c r="G77" s="30"/>
      <c r="H77" s="31" t="n">
        <v>24.249</v>
      </c>
      <c r="I77" s="32" t="n">
        <v>2.5542</v>
      </c>
      <c r="J77" s="31" t="n">
        <f aca="false">ROUND(H77*I77,2)</f>
        <v>61.94</v>
      </c>
      <c r="K77" s="30"/>
      <c r="L77" s="33" t="n">
        <v>24.249</v>
      </c>
      <c r="M77" s="34" t="n">
        <v>2.5542</v>
      </c>
      <c r="N77" s="33" t="n">
        <f aca="false">ROUND(L77*M77,2)</f>
        <v>61.94</v>
      </c>
      <c r="R77" s="35" t="s">
        <v>167</v>
      </c>
      <c r="S77" s="35"/>
      <c r="T77" s="35"/>
      <c r="U77" s="35"/>
      <c r="V77" s="35"/>
    </row>
    <row r="78" customFormat="false" ht="15" hidden="false" customHeight="true" outlineLevel="0" collapsed="false">
      <c r="A78" s="8" t="s">
        <v>111</v>
      </c>
      <c r="B78" s="27" t="n">
        <v>24.249</v>
      </c>
      <c r="C78" s="28" t="n">
        <v>30</v>
      </c>
      <c r="D78" s="29" t="n">
        <v>0.9357</v>
      </c>
      <c r="E78" s="29" t="n">
        <v>1.3773</v>
      </c>
      <c r="F78" s="27" t="n">
        <f aca="false">ROUND(B78*E78,2)</f>
        <v>33.4</v>
      </c>
      <c r="G78" s="30"/>
      <c r="H78" s="31" t="n">
        <v>24.249</v>
      </c>
      <c r="I78" s="32" t="n">
        <v>1.3773</v>
      </c>
      <c r="J78" s="31" t="n">
        <f aca="false">ROUND(H78*I78,2)</f>
        <v>33.4</v>
      </c>
      <c r="K78" s="30"/>
      <c r="L78" s="33" t="n">
        <v>24.249</v>
      </c>
      <c r="M78" s="34" t="n">
        <v>1.3773</v>
      </c>
      <c r="N78" s="33" t="n">
        <f aca="false">ROUND(L78*M78,2)</f>
        <v>33.4</v>
      </c>
      <c r="R78" s="36" t="s">
        <v>168</v>
      </c>
      <c r="S78" s="36"/>
      <c r="T78" s="36"/>
      <c r="U78" s="36"/>
      <c r="V78" s="36"/>
    </row>
    <row r="79" customFormat="false" ht="15" hidden="false" customHeight="true" outlineLevel="0" collapsed="false">
      <c r="A79" s="8" t="s">
        <v>113</v>
      </c>
      <c r="B79" s="27" t="n">
        <v>24.249</v>
      </c>
      <c r="C79" s="28" t="n">
        <v>30</v>
      </c>
      <c r="D79" s="29" t="n">
        <v>0.43137</v>
      </c>
      <c r="E79" s="29" t="n">
        <v>0.6286</v>
      </c>
      <c r="F79" s="27" t="n">
        <f aca="false">ROUND(B79*E79,2)</f>
        <v>15.24</v>
      </c>
      <c r="G79" s="30"/>
      <c r="H79" s="31" t="n">
        <v>24.249</v>
      </c>
      <c r="I79" s="32" t="n">
        <v>0.6286</v>
      </c>
      <c r="J79" s="31" t="n">
        <f aca="false">ROUND(H79*I79,2)</f>
        <v>15.24</v>
      </c>
      <c r="K79" s="30"/>
      <c r="L79" s="33" t="n">
        <v>24.249</v>
      </c>
      <c r="M79" s="34" t="n">
        <v>0.6286</v>
      </c>
      <c r="N79" s="33" t="n">
        <f aca="false">ROUND(L79*M79,2)</f>
        <v>15.24</v>
      </c>
      <c r="R79" s="36" t="s">
        <v>169</v>
      </c>
      <c r="S79" s="36"/>
      <c r="T79" s="36"/>
      <c r="U79" s="36"/>
      <c r="V79" s="36"/>
    </row>
    <row r="80" customFormat="false" ht="15" hidden="false" customHeight="true" outlineLevel="0" collapsed="false">
      <c r="A80" s="8" t="s">
        <v>115</v>
      </c>
      <c r="B80" s="27" t="n">
        <v>24.249</v>
      </c>
      <c r="C80" s="28" t="n">
        <v>30</v>
      </c>
      <c r="D80" s="29" t="n">
        <v>0.38244</v>
      </c>
      <c r="E80" s="29" t="n">
        <v>0.5561</v>
      </c>
      <c r="F80" s="27" t="n">
        <f aca="false">ROUND(B80*E80,2)</f>
        <v>13.48</v>
      </c>
      <c r="G80" s="30"/>
      <c r="H80" s="31" t="n">
        <v>24.249</v>
      </c>
      <c r="I80" s="32" t="n">
        <v>0.5561</v>
      </c>
      <c r="J80" s="31" t="n">
        <f aca="false">ROUND(H80*I80,2)</f>
        <v>13.48</v>
      </c>
      <c r="K80" s="30"/>
      <c r="L80" s="33" t="n">
        <v>24.249</v>
      </c>
      <c r="M80" s="34" t="n">
        <v>0.5561</v>
      </c>
      <c r="N80" s="33" t="n">
        <f aca="false">ROUND(L80*M80,2)</f>
        <v>13.48</v>
      </c>
      <c r="R80" s="56" t="s">
        <v>149</v>
      </c>
      <c r="S80" s="56"/>
      <c r="T80" s="56"/>
      <c r="U80" s="56"/>
      <c r="V80" s="56"/>
    </row>
    <row r="81" customFormat="false" ht="15" hidden="false" customHeight="true" outlineLevel="0" collapsed="false">
      <c r="A81" s="8" t="s">
        <v>117</v>
      </c>
      <c r="B81" s="27" t="n">
        <v>24.249</v>
      </c>
      <c r="C81" s="28" t="n">
        <v>30</v>
      </c>
      <c r="D81" s="29" t="n">
        <v>0.26964</v>
      </c>
      <c r="E81" s="29" t="n">
        <v>0.3868</v>
      </c>
      <c r="F81" s="27" t="n">
        <f aca="false">ROUND(B81*E81,2)</f>
        <v>9.38</v>
      </c>
      <c r="G81" s="30"/>
      <c r="H81" s="31" t="n">
        <v>24.249</v>
      </c>
      <c r="I81" s="32" t="n">
        <v>0.3868</v>
      </c>
      <c r="J81" s="31" t="n">
        <f aca="false">ROUND(H81*I81,2)</f>
        <v>9.38</v>
      </c>
      <c r="K81" s="30"/>
      <c r="L81" s="33" t="n">
        <v>24.249</v>
      </c>
      <c r="M81" s="34" t="n">
        <v>0.3868</v>
      </c>
      <c r="N81" s="33" t="n">
        <f aca="false">ROUND(L81*M81,2)</f>
        <v>9.38</v>
      </c>
      <c r="R81" s="38" t="s">
        <v>118</v>
      </c>
      <c r="S81" s="38"/>
      <c r="T81" s="38"/>
      <c r="U81" s="38"/>
      <c r="V81" s="38"/>
    </row>
    <row r="82" customFormat="false" ht="15" hidden="false" customHeight="false" outlineLevel="0" collapsed="false">
      <c r="A82" s="8" t="s">
        <v>119</v>
      </c>
      <c r="B82" s="27" t="n">
        <v>24.249</v>
      </c>
      <c r="C82" s="28" t="n">
        <v>30</v>
      </c>
      <c r="D82" s="29" t="n">
        <v>0.18156</v>
      </c>
      <c r="E82" s="29" t="n">
        <v>0.2653</v>
      </c>
      <c r="F82" s="27" t="n">
        <f aca="false">ROUND(B82*E82,2)</f>
        <v>6.43</v>
      </c>
      <c r="G82" s="30"/>
      <c r="H82" s="31" t="n">
        <v>24.249</v>
      </c>
      <c r="I82" s="32" t="n">
        <v>0.2653</v>
      </c>
      <c r="J82" s="31" t="n">
        <f aca="false">ROUND(H82*I82,2)</f>
        <v>6.43</v>
      </c>
      <c r="K82" s="30"/>
      <c r="L82" s="33" t="n">
        <v>24.249</v>
      </c>
      <c r="M82" s="34" t="n">
        <v>0.2653</v>
      </c>
      <c r="N82" s="33" t="n">
        <f aca="false">ROUND(L82*M82,2)</f>
        <v>6.43</v>
      </c>
    </row>
    <row r="83" customFormat="false" ht="15" hidden="false" customHeight="false" outlineLevel="0" collapsed="false">
      <c r="A83" s="39" t="s">
        <v>120</v>
      </c>
      <c r="B83" s="40" t="n">
        <f aca="false">IF($P$83="",764.02,ROUND(764.02*((372.2018/(1-$P$83))-139.87)/440.41,2))</f>
        <v>764.02</v>
      </c>
      <c r="C83" s="28"/>
      <c r="D83" s="41" t="n">
        <v>0.106808</v>
      </c>
      <c r="E83" s="29" t="n">
        <v>0.17</v>
      </c>
      <c r="F83" s="27" t="n">
        <f aca="false">ROUND(B83*E83,2)</f>
        <v>129.88</v>
      </c>
      <c r="G83" s="30"/>
      <c r="H83" s="42" t="n">
        <v>692.323</v>
      </c>
      <c r="I83" s="32" t="n">
        <v>0.175</v>
      </c>
      <c r="J83" s="31" t="n">
        <f aca="false">ROUND(H83*I83,2)</f>
        <v>121.16</v>
      </c>
      <c r="K83" s="30"/>
      <c r="L83" s="43" t="n">
        <v>564.02</v>
      </c>
      <c r="M83" s="34" t="n">
        <v>0.175</v>
      </c>
      <c r="N83" s="33" t="n">
        <f aca="false">ROUND(L83*M83,2)</f>
        <v>98.7</v>
      </c>
      <c r="O83" s="44" t="s">
        <v>121</v>
      </c>
      <c r="P83" s="45"/>
    </row>
    <row r="84" customFormat="false" ht="15" hidden="false" customHeight="false" outlineLevel="0" collapsed="false">
      <c r="A84" s="39" t="s">
        <v>122</v>
      </c>
      <c r="B84" s="40" t="n">
        <f aca="false">IF($P$83="",566.81,ROUND(566.81*((372.2018/(1-$P$83))-139.87)/440.41,2))</f>
        <v>566.81</v>
      </c>
      <c r="C84" s="28"/>
      <c r="D84" s="41" t="n">
        <v>0.106808</v>
      </c>
      <c r="E84" s="29" t="n">
        <v>0.17</v>
      </c>
      <c r="F84" s="27" t="n">
        <f aca="false">ROUND(B84*E84,2)</f>
        <v>96.36</v>
      </c>
      <c r="G84" s="30"/>
      <c r="H84" s="42" t="n">
        <v>678.691</v>
      </c>
      <c r="I84" s="32" t="n">
        <v>0.175</v>
      </c>
      <c r="J84" s="31" t="n">
        <f aca="false">ROUND(H84*I84,2)</f>
        <v>118.77</v>
      </c>
      <c r="K84" s="30"/>
      <c r="L84" s="43" t="n">
        <v>466.81</v>
      </c>
      <c r="M84" s="34" t="n">
        <v>0.175</v>
      </c>
      <c r="N84" s="33" t="n">
        <f aca="false">ROUND(L84*M84,2)</f>
        <v>81.69</v>
      </c>
      <c r="O84" s="46" t="s">
        <v>123</v>
      </c>
    </row>
    <row r="85" customFormat="false" ht="15" hidden="false" customHeight="false" outlineLevel="0" collapsed="false">
      <c r="A85" s="39" t="s">
        <v>124</v>
      </c>
      <c r="B85" s="40" t="n">
        <f aca="false">IF($P$83="",1259.797,ROUND(1259.797*((372.2018/(1-$P$83))-139.87)/440.41,2))</f>
        <v>1259.797</v>
      </c>
      <c r="C85" s="28"/>
      <c r="D85" s="41" t="n">
        <v>0.106808</v>
      </c>
      <c r="E85" s="29" t="n">
        <v>0.17</v>
      </c>
      <c r="F85" s="27" t="n">
        <f aca="false">ROUND(B85*E85,2)</f>
        <v>214.17</v>
      </c>
      <c r="G85" s="30"/>
      <c r="H85" s="42" t="n">
        <v>1399.94</v>
      </c>
      <c r="I85" s="32" t="n">
        <v>0.175</v>
      </c>
      <c r="J85" s="31" t="n">
        <f aca="false">ROUND(H85*I85,2)</f>
        <v>244.99</v>
      </c>
      <c r="K85" s="30"/>
      <c r="L85" s="43" t="n">
        <v>959.797</v>
      </c>
      <c r="M85" s="34" t="n">
        <v>0.175</v>
      </c>
      <c r="N85" s="33" t="n">
        <f aca="false">ROUND(L85*M85,2)</f>
        <v>167.96</v>
      </c>
      <c r="O85" s="46" t="s">
        <v>125</v>
      </c>
    </row>
    <row r="86" customFormat="false" ht="15" hidden="false" customHeight="false" outlineLevel="0" collapsed="false">
      <c r="A86" s="8" t="s">
        <v>126</v>
      </c>
      <c r="B86" s="27" t="n">
        <v>1</v>
      </c>
      <c r="C86" s="28"/>
      <c r="D86" s="29" t="n">
        <v>6</v>
      </c>
      <c r="E86" s="29" t="n">
        <v>6</v>
      </c>
      <c r="F86" s="27" t="n">
        <f aca="false">ROUND(B86*E86,2)</f>
        <v>6</v>
      </c>
      <c r="G86" s="30"/>
      <c r="H86" s="31" t="n">
        <v>1</v>
      </c>
      <c r="I86" s="32" t="n">
        <v>6</v>
      </c>
      <c r="J86" s="31" t="n">
        <f aca="false">ROUND(H86*I86,2)</f>
        <v>6</v>
      </c>
      <c r="K86" s="30"/>
      <c r="L86" s="33" t="n">
        <v>1</v>
      </c>
      <c r="M86" s="34" t="n">
        <v>6</v>
      </c>
      <c r="N86" s="33" t="n">
        <f aca="false">ROUND(L86*M86,2)</f>
        <v>6</v>
      </c>
    </row>
    <row r="87" customFormat="false" ht="15" hidden="false" customHeight="false" outlineLevel="0" collapsed="false">
      <c r="A87" s="8" t="s">
        <v>127</v>
      </c>
      <c r="B87" s="27" t="n">
        <v>30</v>
      </c>
      <c r="C87" s="28"/>
      <c r="D87" s="29" t="n">
        <v>0.01274</v>
      </c>
      <c r="E87" s="29" t="n">
        <v>0.01274</v>
      </c>
      <c r="F87" s="27" t="n">
        <f aca="false">ROUND(B87*E87,2)</f>
        <v>0.38</v>
      </c>
      <c r="G87" s="30"/>
      <c r="H87" s="31" t="n">
        <v>30</v>
      </c>
      <c r="I87" s="32" t="n">
        <v>0.00629</v>
      </c>
      <c r="J87" s="31" t="n">
        <f aca="false">ROUND(H87*I87,2)</f>
        <v>0.19</v>
      </c>
      <c r="K87" s="30"/>
      <c r="L87" s="33" t="n">
        <v>30</v>
      </c>
      <c r="M87" s="34" t="n">
        <v>0.00629</v>
      </c>
      <c r="N87" s="33" t="n">
        <f aca="false">ROUND(L87*M87,2)</f>
        <v>0.19</v>
      </c>
    </row>
    <row r="88" customFormat="false" ht="15" hidden="false" customHeight="false" outlineLevel="0" collapsed="false">
      <c r="A88" s="8" t="s">
        <v>128</v>
      </c>
      <c r="B88" s="27" t="n">
        <v>31.32</v>
      </c>
      <c r="C88" s="28"/>
      <c r="D88" s="29" t="n">
        <v>1</v>
      </c>
      <c r="E88" s="29" t="n">
        <v>1</v>
      </c>
      <c r="F88" s="27" t="n">
        <f aca="false">ROUND(B88*E88,2)</f>
        <v>31.32</v>
      </c>
      <c r="G88" s="30"/>
      <c r="H88" s="31" t="n">
        <v>27.75</v>
      </c>
      <c r="I88" s="32" t="n">
        <v>1</v>
      </c>
      <c r="J88" s="31" t="n">
        <f aca="false">ROUND(H88*I88,2)</f>
        <v>27.75</v>
      </c>
      <c r="K88" s="30"/>
      <c r="L88" s="33" t="n">
        <v>26.26</v>
      </c>
      <c r="M88" s="34" t="n">
        <v>1</v>
      </c>
      <c r="N88" s="33" t="n">
        <f aca="false">ROUND(L88*M88,2)</f>
        <v>26.26</v>
      </c>
    </row>
    <row r="89" customFormat="false" ht="15" hidden="false" customHeight="false" outlineLevel="0" collapsed="false">
      <c r="A89" s="47" t="s">
        <v>129</v>
      </c>
      <c r="B89" s="48"/>
      <c r="C89" s="48"/>
      <c r="D89" s="48"/>
      <c r="E89" s="48"/>
      <c r="F89" s="49" t="n">
        <f aca="false">ROUND((SUM(F77:F88)-F88)*1.21+F88,2)</f>
        <v>741.18</v>
      </c>
      <c r="G89" s="48"/>
      <c r="H89" s="48"/>
      <c r="I89" s="48"/>
      <c r="J89" s="50" t="n">
        <f aca="false">ROUND((SUM(J77:J88)-J88)*1.21+J88,2)</f>
        <v>791.24</v>
      </c>
      <c r="K89" s="48"/>
      <c r="L89" s="48"/>
      <c r="M89" s="48"/>
      <c r="N89" s="51" t="n">
        <f aca="false">ROUND((SUM(N77:N88)-N88)*1.21+N88,2)</f>
        <v>624.5</v>
      </c>
    </row>
    <row r="90" customFormat="false" ht="15" hidden="false" customHeight="false" outlineLevel="0" collapsed="false">
      <c r="A90" s="52" t="s">
        <v>130</v>
      </c>
      <c r="B90" s="53" t="n">
        <f aca="false">(SUM(F77:F85)-372.2018)/SUM(F77:F85)</f>
        <v>0.358582408492452</v>
      </c>
      <c r="C90" s="53"/>
      <c r="D90" s="53"/>
      <c r="E90" s="53"/>
      <c r="F90" s="53"/>
      <c r="G90" s="54"/>
      <c r="H90" s="54"/>
      <c r="I90" s="54"/>
      <c r="J90" s="54"/>
      <c r="K90" s="54"/>
      <c r="L90" s="55" t="str">
        <f aca="false">IF(B90&gt;=0.3,"APROBAR",IF(B90&gt;=0.2,"REVISAR","RECHAZAR"))</f>
        <v>APROBAR</v>
      </c>
      <c r="M90" s="55"/>
      <c r="N90" s="55"/>
    </row>
    <row r="92" customFormat="false" ht="15" hidden="false" customHeight="true" outlineLevel="0" collapsed="false">
      <c r="A92" s="14" t="s">
        <v>170</v>
      </c>
      <c r="B92" s="14"/>
      <c r="C92" s="14"/>
      <c r="D92" s="14"/>
      <c r="E92" s="14"/>
      <c r="F92" s="14"/>
      <c r="G92" s="14"/>
      <c r="H92" s="14"/>
      <c r="I92" s="15" t="s">
        <v>171</v>
      </c>
      <c r="J92" s="15"/>
      <c r="K92" s="15"/>
      <c r="L92" s="15"/>
      <c r="M92" s="15"/>
      <c r="N92" s="15"/>
      <c r="R92" s="16" t="s">
        <v>97</v>
      </c>
      <c r="S92" s="16"/>
      <c r="T92" s="16"/>
      <c r="U92" s="16"/>
      <c r="V92" s="16"/>
    </row>
    <row r="93" customFormat="false" ht="15" hidden="false" customHeight="true" outlineLevel="0" collapsed="false">
      <c r="A93" s="17" t="s">
        <v>98</v>
      </c>
      <c r="B93" s="18" t="s">
        <v>99</v>
      </c>
      <c r="C93" s="18"/>
      <c r="D93" s="18"/>
      <c r="E93" s="18"/>
      <c r="F93" s="18"/>
      <c r="G93" s="19"/>
      <c r="H93" s="20" t="s">
        <v>172</v>
      </c>
      <c r="I93" s="20"/>
      <c r="J93" s="20"/>
      <c r="K93" s="19"/>
      <c r="L93" s="21" t="s">
        <v>173</v>
      </c>
      <c r="M93" s="21"/>
      <c r="N93" s="21"/>
      <c r="R93" s="22" t="s">
        <v>174</v>
      </c>
      <c r="S93" s="22"/>
      <c r="T93" s="22"/>
      <c r="U93" s="22"/>
      <c r="V93" s="22"/>
    </row>
    <row r="94" customFormat="false" ht="15" hidden="false" customHeight="true" outlineLevel="0" collapsed="false">
      <c r="A94" s="19"/>
      <c r="B94" s="23" t="s">
        <v>103</v>
      </c>
      <c r="C94" s="23" t="s">
        <v>104</v>
      </c>
      <c r="D94" s="23" t="s">
        <v>105</v>
      </c>
      <c r="E94" s="23" t="s">
        <v>106</v>
      </c>
      <c r="F94" s="23" t="s">
        <v>107</v>
      </c>
      <c r="G94" s="19"/>
      <c r="H94" s="24" t="s">
        <v>103</v>
      </c>
      <c r="I94" s="24" t="s">
        <v>106</v>
      </c>
      <c r="J94" s="24" t="s">
        <v>107</v>
      </c>
      <c r="K94" s="19"/>
      <c r="L94" s="25" t="s">
        <v>103</v>
      </c>
      <c r="M94" s="25" t="s">
        <v>106</v>
      </c>
      <c r="N94" s="25" t="s">
        <v>107</v>
      </c>
      <c r="R94" s="26" t="s">
        <v>175</v>
      </c>
      <c r="S94" s="26"/>
      <c r="T94" s="26"/>
      <c r="U94" s="26"/>
      <c r="V94" s="26"/>
    </row>
    <row r="95" customFormat="false" ht="15" hidden="false" customHeight="true" outlineLevel="0" collapsed="false">
      <c r="A95" s="8" t="s">
        <v>109</v>
      </c>
      <c r="B95" s="27" t="n">
        <v>17.32</v>
      </c>
      <c r="C95" s="28" t="n">
        <v>30</v>
      </c>
      <c r="D95" s="29" t="n">
        <v>1.73784</v>
      </c>
      <c r="E95" s="29" t="n">
        <v>2.5542</v>
      </c>
      <c r="F95" s="27" t="n">
        <f aca="false">ROUND(B95*E95,2)</f>
        <v>44.24</v>
      </c>
      <c r="G95" s="30"/>
      <c r="H95" s="31" t="n">
        <v>17.32</v>
      </c>
      <c r="I95" s="32" t="n">
        <v>2.5542</v>
      </c>
      <c r="J95" s="31" t="n">
        <f aca="false">ROUND(H95*I95,2)</f>
        <v>44.24</v>
      </c>
      <c r="K95" s="30"/>
      <c r="L95" s="33" t="n">
        <v>17.32</v>
      </c>
      <c r="M95" s="34" t="n">
        <v>2.5542</v>
      </c>
      <c r="N95" s="33" t="n">
        <f aca="false">ROUND(L95*M95,2)</f>
        <v>44.24</v>
      </c>
      <c r="R95" s="35" t="s">
        <v>176</v>
      </c>
      <c r="S95" s="35"/>
      <c r="T95" s="35"/>
      <c r="U95" s="35"/>
      <c r="V95" s="35"/>
    </row>
    <row r="96" customFormat="false" ht="15" hidden="false" customHeight="true" outlineLevel="0" collapsed="false">
      <c r="A96" s="8" t="s">
        <v>111</v>
      </c>
      <c r="B96" s="27" t="n">
        <v>17.32</v>
      </c>
      <c r="C96" s="28" t="n">
        <v>30</v>
      </c>
      <c r="D96" s="29" t="n">
        <v>0.9357</v>
      </c>
      <c r="E96" s="29" t="n">
        <v>1.3773</v>
      </c>
      <c r="F96" s="27" t="n">
        <f aca="false">ROUND(B96*E96,2)</f>
        <v>23.85</v>
      </c>
      <c r="G96" s="30"/>
      <c r="H96" s="31" t="n">
        <v>17.32</v>
      </c>
      <c r="I96" s="32" t="n">
        <v>1.3773</v>
      </c>
      <c r="J96" s="31" t="n">
        <f aca="false">ROUND(H96*I96,2)</f>
        <v>23.85</v>
      </c>
      <c r="K96" s="30"/>
      <c r="L96" s="33" t="n">
        <v>17.32</v>
      </c>
      <c r="M96" s="34" t="n">
        <v>1.3773</v>
      </c>
      <c r="N96" s="33" t="n">
        <f aca="false">ROUND(L96*M96,2)</f>
        <v>23.85</v>
      </c>
      <c r="R96" s="36" t="s">
        <v>177</v>
      </c>
      <c r="S96" s="36"/>
      <c r="T96" s="36"/>
      <c r="U96" s="36"/>
      <c r="V96" s="36"/>
    </row>
    <row r="97" customFormat="false" ht="15" hidden="false" customHeight="true" outlineLevel="0" collapsed="false">
      <c r="A97" s="8" t="s">
        <v>113</v>
      </c>
      <c r="B97" s="27" t="n">
        <v>17.32</v>
      </c>
      <c r="C97" s="28" t="n">
        <v>30</v>
      </c>
      <c r="D97" s="29" t="n">
        <v>0.43137</v>
      </c>
      <c r="E97" s="29" t="n">
        <v>0.6286</v>
      </c>
      <c r="F97" s="27" t="n">
        <f aca="false">ROUND(B97*E97,2)</f>
        <v>10.89</v>
      </c>
      <c r="G97" s="30"/>
      <c r="H97" s="31" t="n">
        <v>17.32</v>
      </c>
      <c r="I97" s="32" t="n">
        <v>0.6286</v>
      </c>
      <c r="J97" s="31" t="n">
        <f aca="false">ROUND(H97*I97,2)</f>
        <v>10.89</v>
      </c>
      <c r="K97" s="30"/>
      <c r="L97" s="33" t="n">
        <v>17.32</v>
      </c>
      <c r="M97" s="34" t="n">
        <v>0.6286</v>
      </c>
      <c r="N97" s="33" t="n">
        <f aca="false">ROUND(L97*M97,2)</f>
        <v>10.89</v>
      </c>
      <c r="R97" s="36" t="s">
        <v>178</v>
      </c>
      <c r="S97" s="36"/>
      <c r="T97" s="36"/>
      <c r="U97" s="36"/>
      <c r="V97" s="36"/>
    </row>
    <row r="98" customFormat="false" ht="15" hidden="false" customHeight="true" outlineLevel="0" collapsed="false">
      <c r="A98" s="8" t="s">
        <v>115</v>
      </c>
      <c r="B98" s="27" t="n">
        <v>17.32</v>
      </c>
      <c r="C98" s="28" t="n">
        <v>30</v>
      </c>
      <c r="D98" s="29" t="n">
        <v>0.38244</v>
      </c>
      <c r="E98" s="29" t="n">
        <v>0.5561</v>
      </c>
      <c r="F98" s="27" t="n">
        <f aca="false">ROUND(B98*E98,2)</f>
        <v>9.63</v>
      </c>
      <c r="G98" s="30"/>
      <c r="H98" s="31" t="n">
        <v>17.32</v>
      </c>
      <c r="I98" s="32" t="n">
        <v>0.5561</v>
      </c>
      <c r="J98" s="31" t="n">
        <f aca="false">ROUND(H98*I98,2)</f>
        <v>9.63</v>
      </c>
      <c r="K98" s="30"/>
      <c r="L98" s="33" t="n">
        <v>17.32</v>
      </c>
      <c r="M98" s="34" t="n">
        <v>0.5561</v>
      </c>
      <c r="N98" s="33" t="n">
        <f aca="false">ROUND(L98*M98,2)</f>
        <v>9.63</v>
      </c>
      <c r="R98" s="56" t="s">
        <v>149</v>
      </c>
      <c r="S98" s="56"/>
      <c r="T98" s="56"/>
      <c r="U98" s="56"/>
      <c r="V98" s="56"/>
    </row>
    <row r="99" customFormat="false" ht="15" hidden="false" customHeight="true" outlineLevel="0" collapsed="false">
      <c r="A99" s="8" t="s">
        <v>117</v>
      </c>
      <c r="B99" s="27" t="n">
        <v>17.32</v>
      </c>
      <c r="C99" s="28" t="n">
        <v>30</v>
      </c>
      <c r="D99" s="29" t="n">
        <v>0.26964</v>
      </c>
      <c r="E99" s="29" t="n">
        <v>0.3868</v>
      </c>
      <c r="F99" s="27" t="n">
        <f aca="false">ROUND(B99*E99,2)</f>
        <v>6.7</v>
      </c>
      <c r="G99" s="30"/>
      <c r="H99" s="31" t="n">
        <v>17.32</v>
      </c>
      <c r="I99" s="32" t="n">
        <v>0.3868</v>
      </c>
      <c r="J99" s="31" t="n">
        <f aca="false">ROUND(H99*I99,2)</f>
        <v>6.7</v>
      </c>
      <c r="K99" s="30"/>
      <c r="L99" s="33" t="n">
        <v>17.32</v>
      </c>
      <c r="M99" s="34" t="n">
        <v>0.3868</v>
      </c>
      <c r="N99" s="33" t="n">
        <f aca="false">ROUND(L99*M99,2)</f>
        <v>6.7</v>
      </c>
      <c r="R99" s="38" t="s">
        <v>118</v>
      </c>
      <c r="S99" s="38"/>
      <c r="T99" s="38"/>
      <c r="U99" s="38"/>
      <c r="V99" s="38"/>
    </row>
    <row r="100" customFormat="false" ht="15" hidden="false" customHeight="false" outlineLevel="0" collapsed="false">
      <c r="A100" s="8" t="s">
        <v>119</v>
      </c>
      <c r="B100" s="27" t="n">
        <v>17.32</v>
      </c>
      <c r="C100" s="28" t="n">
        <v>30</v>
      </c>
      <c r="D100" s="29" t="n">
        <v>0.18156</v>
      </c>
      <c r="E100" s="29" t="n">
        <v>0.2653</v>
      </c>
      <c r="F100" s="27" t="n">
        <f aca="false">ROUND(B100*E100,2)</f>
        <v>4.59</v>
      </c>
      <c r="G100" s="30"/>
      <c r="H100" s="31" t="n">
        <v>17.32</v>
      </c>
      <c r="I100" s="32" t="n">
        <v>0.2653</v>
      </c>
      <c r="J100" s="31" t="n">
        <f aca="false">ROUND(H100*I100,2)</f>
        <v>4.59</v>
      </c>
      <c r="K100" s="30"/>
      <c r="L100" s="33" t="n">
        <v>17.32</v>
      </c>
      <c r="M100" s="34" t="n">
        <v>0.2653</v>
      </c>
      <c r="N100" s="33" t="n">
        <f aca="false">ROUND(L100*M100,2)</f>
        <v>4.59</v>
      </c>
    </row>
    <row r="101" customFormat="false" ht="15" hidden="false" customHeight="false" outlineLevel="0" collapsed="false">
      <c r="A101" s="39" t="s">
        <v>120</v>
      </c>
      <c r="B101" s="40" t="n">
        <f aca="false">IF($P$101="",678.02,ROUND(678.02*((357.0888/(1-$P$101))-99.9)/436.56,2))</f>
        <v>678.02</v>
      </c>
      <c r="C101" s="28"/>
      <c r="D101" s="41" t="n">
        <v>0.121236</v>
      </c>
      <c r="E101" s="29" t="n">
        <v>0.17</v>
      </c>
      <c r="F101" s="27" t="n">
        <f aca="false">ROUND(B101*E101,2)</f>
        <v>115.26</v>
      </c>
      <c r="G101" s="30"/>
      <c r="H101" s="42" t="n">
        <v>1040.151</v>
      </c>
      <c r="I101" s="32" t="n">
        <v>0.175</v>
      </c>
      <c r="J101" s="31" t="n">
        <f aca="false">ROUND(H101*I101,2)</f>
        <v>182.03</v>
      </c>
      <c r="K101" s="30"/>
      <c r="L101" s="43" t="n">
        <v>578.02</v>
      </c>
      <c r="M101" s="34" t="n">
        <v>0.175</v>
      </c>
      <c r="N101" s="33" t="n">
        <f aca="false">ROUND(L101*M101,2)</f>
        <v>101.15</v>
      </c>
      <c r="O101" s="44" t="s">
        <v>121</v>
      </c>
      <c r="P101" s="45"/>
    </row>
    <row r="102" customFormat="false" ht="15" hidden="false" customHeight="false" outlineLevel="0" collapsed="false">
      <c r="A102" s="39" t="s">
        <v>122</v>
      </c>
      <c r="B102" s="40" t="n">
        <f aca="false">IF($P$101="",629.871,ROUND(629.871*((357.0888/(1-$P$101))-99.9)/436.56,2))</f>
        <v>629.871</v>
      </c>
      <c r="C102" s="28"/>
      <c r="D102" s="41" t="n">
        <v>0.114444</v>
      </c>
      <c r="E102" s="29" t="n">
        <v>0.17</v>
      </c>
      <c r="F102" s="27" t="n">
        <f aca="false">ROUND(B102*E102,2)</f>
        <v>107.08</v>
      </c>
      <c r="G102" s="30"/>
      <c r="H102" s="42" t="n">
        <v>770.551</v>
      </c>
      <c r="I102" s="32" t="n">
        <v>0.175</v>
      </c>
      <c r="J102" s="31" t="n">
        <f aca="false">ROUND(H102*I102,2)</f>
        <v>134.85</v>
      </c>
      <c r="K102" s="30"/>
      <c r="L102" s="43" t="n">
        <v>429.871</v>
      </c>
      <c r="M102" s="34" t="n">
        <v>0.175</v>
      </c>
      <c r="N102" s="33" t="n">
        <f aca="false">ROUND(L102*M102,2)</f>
        <v>75.23</v>
      </c>
      <c r="O102" s="46" t="s">
        <v>123</v>
      </c>
    </row>
    <row r="103" customFormat="false" ht="15" hidden="false" customHeight="false" outlineLevel="0" collapsed="false">
      <c r="A103" s="39" t="s">
        <v>124</v>
      </c>
      <c r="B103" s="40" t="n">
        <f aca="false">IF($P$101="",1260.09,ROUND(1260.09*((357.0888/(1-$P$101))-99.9)/436.56,2))</f>
        <v>1260.09</v>
      </c>
      <c r="C103" s="28"/>
      <c r="D103" s="41" t="n">
        <v>0.106808</v>
      </c>
      <c r="E103" s="29" t="n">
        <v>0.17</v>
      </c>
      <c r="F103" s="27" t="n">
        <f aca="false">ROUND(B103*E103,2)</f>
        <v>214.22</v>
      </c>
      <c r="G103" s="30"/>
      <c r="H103" s="42" t="n">
        <v>2191.12</v>
      </c>
      <c r="I103" s="32" t="n">
        <v>0.175</v>
      </c>
      <c r="J103" s="31" t="n">
        <f aca="false">ROUND(H103*I103,2)</f>
        <v>383.45</v>
      </c>
      <c r="K103" s="30"/>
      <c r="L103" s="43" t="n">
        <v>1060.09</v>
      </c>
      <c r="M103" s="34" t="n">
        <v>0.175</v>
      </c>
      <c r="N103" s="33" t="n">
        <f aca="false">ROUND(L103*M103,2)</f>
        <v>185.52</v>
      </c>
      <c r="O103" s="46" t="s">
        <v>125</v>
      </c>
    </row>
    <row r="104" customFormat="false" ht="15" hidden="false" customHeight="false" outlineLevel="0" collapsed="false">
      <c r="A104" s="8" t="s">
        <v>126</v>
      </c>
      <c r="B104" s="27" t="n">
        <v>1</v>
      </c>
      <c r="C104" s="28"/>
      <c r="D104" s="29" t="n">
        <v>6</v>
      </c>
      <c r="E104" s="29" t="n">
        <v>6</v>
      </c>
      <c r="F104" s="27" t="n">
        <f aca="false">ROUND(B104*E104,2)</f>
        <v>6</v>
      </c>
      <c r="G104" s="30"/>
      <c r="H104" s="31" t="n">
        <v>1</v>
      </c>
      <c r="I104" s="32" t="n">
        <v>6</v>
      </c>
      <c r="J104" s="31" t="n">
        <f aca="false">ROUND(H104*I104,2)</f>
        <v>6</v>
      </c>
      <c r="K104" s="30"/>
      <c r="L104" s="33" t="n">
        <v>1</v>
      </c>
      <c r="M104" s="34" t="n">
        <v>6</v>
      </c>
      <c r="N104" s="33" t="n">
        <f aca="false">ROUND(L104*M104,2)</f>
        <v>6</v>
      </c>
    </row>
    <row r="105" customFormat="false" ht="15" hidden="false" customHeight="false" outlineLevel="0" collapsed="false">
      <c r="A105" s="8" t="s">
        <v>127</v>
      </c>
      <c r="B105" s="27" t="n">
        <v>30</v>
      </c>
      <c r="C105" s="28"/>
      <c r="D105" s="29" t="n">
        <v>0.00629</v>
      </c>
      <c r="E105" s="29" t="n">
        <v>0.00629</v>
      </c>
      <c r="F105" s="27" t="n">
        <f aca="false">ROUND(B105*E105,2)</f>
        <v>0.19</v>
      </c>
      <c r="G105" s="30"/>
      <c r="H105" s="31" t="n">
        <v>30</v>
      </c>
      <c r="I105" s="32" t="n">
        <v>0.01274</v>
      </c>
      <c r="J105" s="31" t="n">
        <f aca="false">ROUND(H105*I105,2)</f>
        <v>0.38</v>
      </c>
      <c r="K105" s="30"/>
      <c r="L105" s="33" t="n">
        <v>30</v>
      </c>
      <c r="M105" s="34" t="n">
        <v>0.00629</v>
      </c>
      <c r="N105" s="33" t="n">
        <f aca="false">ROUND(L105*M105,2)</f>
        <v>0.19</v>
      </c>
    </row>
    <row r="106" customFormat="false" ht="15" hidden="false" customHeight="false" outlineLevel="0" collapsed="false">
      <c r="A106" s="8" t="s">
        <v>128</v>
      </c>
      <c r="B106" s="27" t="n">
        <v>29.01</v>
      </c>
      <c r="C106" s="28"/>
      <c r="D106" s="29" t="n">
        <v>1</v>
      </c>
      <c r="E106" s="29" t="n">
        <v>1</v>
      </c>
      <c r="F106" s="27" t="n">
        <f aca="false">ROUND(B106*E106,2)</f>
        <v>29.01</v>
      </c>
      <c r="G106" s="30"/>
      <c r="H106" s="31" t="n">
        <v>42.63</v>
      </c>
      <c r="I106" s="32" t="n">
        <v>1</v>
      </c>
      <c r="J106" s="31" t="n">
        <f aca="false">ROUND(H106*I106,2)</f>
        <v>42.63</v>
      </c>
      <c r="K106" s="30"/>
      <c r="L106" s="33" t="n">
        <v>24.84</v>
      </c>
      <c r="M106" s="34" t="n">
        <v>1</v>
      </c>
      <c r="N106" s="33" t="n">
        <f aca="false">ROUND(L106*M106,2)</f>
        <v>24.84</v>
      </c>
    </row>
    <row r="107" customFormat="false" ht="15" hidden="false" customHeight="false" outlineLevel="0" collapsed="false">
      <c r="A107" s="47" t="s">
        <v>129</v>
      </c>
      <c r="B107" s="48"/>
      <c r="C107" s="48"/>
      <c r="D107" s="48"/>
      <c r="E107" s="48"/>
      <c r="F107" s="49" t="n">
        <f aca="false">ROUND((SUM(F95:F106)-F106)*1.21+F106,2)</f>
        <v>685.62</v>
      </c>
      <c r="G107" s="48"/>
      <c r="H107" s="48"/>
      <c r="I107" s="48"/>
      <c r="J107" s="50" t="n">
        <f aca="false">ROUND((SUM(J95:J106)-J106)*1.21+J106,2)</f>
        <v>1018.63</v>
      </c>
      <c r="K107" s="48"/>
      <c r="L107" s="48"/>
      <c r="M107" s="48"/>
      <c r="N107" s="51" t="n">
        <f aca="false">ROUND((SUM(N95:N106)-N106)*1.21+N106,2)</f>
        <v>591.11</v>
      </c>
    </row>
    <row r="108" customFormat="false" ht="15" hidden="false" customHeight="false" outlineLevel="0" collapsed="false">
      <c r="A108" s="52" t="s">
        <v>130</v>
      </c>
      <c r="B108" s="53" t="n">
        <f aca="false">(SUM(F95:F103)-357.0888)/SUM(F95:F103)</f>
        <v>0.334360809752824</v>
      </c>
      <c r="C108" s="53"/>
      <c r="D108" s="53"/>
      <c r="E108" s="53"/>
      <c r="F108" s="53"/>
      <c r="G108" s="54"/>
      <c r="H108" s="54"/>
      <c r="I108" s="54"/>
      <c r="J108" s="54"/>
      <c r="K108" s="54"/>
      <c r="L108" s="55" t="str">
        <f aca="false">IF(B108&gt;=0.3,"APROBAR",IF(B108&gt;=0.2,"REVISAR","RECHAZAR"))</f>
        <v>APROBAR</v>
      </c>
      <c r="M108" s="55"/>
      <c r="N108" s="55"/>
    </row>
    <row r="110" customFormat="false" ht="15" hidden="false" customHeight="true" outlineLevel="0" collapsed="false">
      <c r="A110" s="14" t="s">
        <v>179</v>
      </c>
      <c r="B110" s="14"/>
      <c r="C110" s="14"/>
      <c r="D110" s="14"/>
      <c r="E110" s="14"/>
      <c r="F110" s="14"/>
      <c r="G110" s="14"/>
      <c r="H110" s="14"/>
      <c r="I110" s="15" t="s">
        <v>180</v>
      </c>
      <c r="J110" s="15"/>
      <c r="K110" s="15"/>
      <c r="L110" s="15"/>
      <c r="M110" s="15"/>
      <c r="N110" s="15"/>
      <c r="R110" s="16" t="s">
        <v>97</v>
      </c>
      <c r="S110" s="16"/>
      <c r="T110" s="16"/>
      <c r="U110" s="16"/>
      <c r="V110" s="16"/>
    </row>
    <row r="111" customFormat="false" ht="15" hidden="false" customHeight="true" outlineLevel="0" collapsed="false">
      <c r="A111" s="17" t="s">
        <v>98</v>
      </c>
      <c r="B111" s="18" t="s">
        <v>99</v>
      </c>
      <c r="C111" s="18"/>
      <c r="D111" s="18"/>
      <c r="E111" s="18"/>
      <c r="F111" s="18"/>
      <c r="G111" s="19"/>
      <c r="H111" s="20" t="s">
        <v>181</v>
      </c>
      <c r="I111" s="20"/>
      <c r="J111" s="20"/>
      <c r="K111" s="19"/>
      <c r="L111" s="21" t="s">
        <v>182</v>
      </c>
      <c r="M111" s="21"/>
      <c r="N111" s="21"/>
      <c r="R111" s="22" t="s">
        <v>183</v>
      </c>
      <c r="S111" s="22"/>
      <c r="T111" s="22"/>
      <c r="U111" s="22"/>
      <c r="V111" s="22"/>
    </row>
    <row r="112" customFormat="false" ht="15" hidden="false" customHeight="true" outlineLevel="0" collapsed="false">
      <c r="A112" s="19"/>
      <c r="B112" s="23" t="s">
        <v>103</v>
      </c>
      <c r="C112" s="23" t="s">
        <v>104</v>
      </c>
      <c r="D112" s="23" t="s">
        <v>105</v>
      </c>
      <c r="E112" s="23" t="s">
        <v>106</v>
      </c>
      <c r="F112" s="23" t="s">
        <v>107</v>
      </c>
      <c r="G112" s="19"/>
      <c r="H112" s="24" t="s">
        <v>103</v>
      </c>
      <c r="I112" s="24" t="s">
        <v>106</v>
      </c>
      <c r="J112" s="24" t="s">
        <v>107</v>
      </c>
      <c r="K112" s="19"/>
      <c r="L112" s="25" t="s">
        <v>103</v>
      </c>
      <c r="M112" s="25" t="s">
        <v>106</v>
      </c>
      <c r="N112" s="25" t="s">
        <v>107</v>
      </c>
      <c r="R112" s="26" t="s">
        <v>184</v>
      </c>
      <c r="S112" s="26"/>
      <c r="T112" s="26"/>
      <c r="U112" s="26"/>
      <c r="V112" s="26"/>
    </row>
    <row r="113" customFormat="false" ht="15" hidden="false" customHeight="true" outlineLevel="0" collapsed="false">
      <c r="A113" s="8" t="s">
        <v>109</v>
      </c>
      <c r="B113" s="27" t="n">
        <v>17.32</v>
      </c>
      <c r="C113" s="28" t="n">
        <v>30</v>
      </c>
      <c r="D113" s="29" t="n">
        <v>1.73784</v>
      </c>
      <c r="E113" s="29" t="n">
        <v>2.5542</v>
      </c>
      <c r="F113" s="27" t="n">
        <f aca="false">ROUND(B113*E113,2)</f>
        <v>44.24</v>
      </c>
      <c r="G113" s="30"/>
      <c r="H113" s="31" t="n">
        <v>17.32</v>
      </c>
      <c r="I113" s="32" t="n">
        <v>2.5542</v>
      </c>
      <c r="J113" s="31" t="n">
        <f aca="false">ROUND(H113*I113,2)</f>
        <v>44.24</v>
      </c>
      <c r="K113" s="30"/>
      <c r="L113" s="33" t="n">
        <v>17.32</v>
      </c>
      <c r="M113" s="34" t="n">
        <v>2.5542</v>
      </c>
      <c r="N113" s="33" t="n">
        <f aca="false">ROUND(L113*M113,2)</f>
        <v>44.24</v>
      </c>
      <c r="R113" s="35" t="s">
        <v>185</v>
      </c>
      <c r="S113" s="35"/>
      <c r="T113" s="35"/>
      <c r="U113" s="35"/>
      <c r="V113" s="35"/>
    </row>
    <row r="114" customFormat="false" ht="15" hidden="false" customHeight="true" outlineLevel="0" collapsed="false">
      <c r="A114" s="8" t="s">
        <v>111</v>
      </c>
      <c r="B114" s="27" t="n">
        <v>17.32</v>
      </c>
      <c r="C114" s="28" t="n">
        <v>30</v>
      </c>
      <c r="D114" s="29" t="n">
        <v>0.9357</v>
      </c>
      <c r="E114" s="29" t="n">
        <v>1.3773</v>
      </c>
      <c r="F114" s="27" t="n">
        <f aca="false">ROUND(B114*E114,2)</f>
        <v>23.85</v>
      </c>
      <c r="G114" s="30"/>
      <c r="H114" s="31" t="n">
        <v>17.32</v>
      </c>
      <c r="I114" s="32" t="n">
        <v>1.3773</v>
      </c>
      <c r="J114" s="31" t="n">
        <f aca="false">ROUND(H114*I114,2)</f>
        <v>23.85</v>
      </c>
      <c r="K114" s="30"/>
      <c r="L114" s="33" t="n">
        <v>17.32</v>
      </c>
      <c r="M114" s="34" t="n">
        <v>1.3773</v>
      </c>
      <c r="N114" s="33" t="n">
        <f aca="false">ROUND(L114*M114,2)</f>
        <v>23.85</v>
      </c>
      <c r="R114" s="36" t="s">
        <v>186</v>
      </c>
      <c r="S114" s="36"/>
      <c r="T114" s="36"/>
      <c r="U114" s="36"/>
      <c r="V114" s="36"/>
    </row>
    <row r="115" customFormat="false" ht="15" hidden="false" customHeight="true" outlineLevel="0" collapsed="false">
      <c r="A115" s="8" t="s">
        <v>113</v>
      </c>
      <c r="B115" s="27" t="n">
        <v>17.32</v>
      </c>
      <c r="C115" s="28" t="n">
        <v>30</v>
      </c>
      <c r="D115" s="29" t="n">
        <v>0.43137</v>
      </c>
      <c r="E115" s="29" t="n">
        <v>0.6286</v>
      </c>
      <c r="F115" s="27" t="n">
        <f aca="false">ROUND(B115*E115,2)</f>
        <v>10.89</v>
      </c>
      <c r="G115" s="30"/>
      <c r="H115" s="31" t="n">
        <v>17.32</v>
      </c>
      <c r="I115" s="32" t="n">
        <v>0.6286</v>
      </c>
      <c r="J115" s="31" t="n">
        <f aca="false">ROUND(H115*I115,2)</f>
        <v>10.89</v>
      </c>
      <c r="K115" s="30"/>
      <c r="L115" s="33" t="n">
        <v>17.32</v>
      </c>
      <c r="M115" s="34" t="n">
        <v>0.6286</v>
      </c>
      <c r="N115" s="33" t="n">
        <f aca="false">ROUND(L115*M115,2)</f>
        <v>10.89</v>
      </c>
      <c r="R115" s="36" t="s">
        <v>187</v>
      </c>
      <c r="S115" s="36"/>
      <c r="T115" s="36"/>
      <c r="U115" s="36"/>
      <c r="V115" s="36"/>
    </row>
    <row r="116" customFormat="false" ht="15" hidden="false" customHeight="true" outlineLevel="0" collapsed="false">
      <c r="A116" s="8" t="s">
        <v>115</v>
      </c>
      <c r="B116" s="27" t="n">
        <v>17.32</v>
      </c>
      <c r="C116" s="28" t="n">
        <v>30</v>
      </c>
      <c r="D116" s="29" t="n">
        <v>0.38244</v>
      </c>
      <c r="E116" s="29" t="n">
        <v>0.5561</v>
      </c>
      <c r="F116" s="27" t="n">
        <f aca="false">ROUND(B116*E116,2)</f>
        <v>9.63</v>
      </c>
      <c r="G116" s="30"/>
      <c r="H116" s="31" t="n">
        <v>17.32</v>
      </c>
      <c r="I116" s="32" t="n">
        <v>0.5561</v>
      </c>
      <c r="J116" s="31" t="n">
        <f aca="false">ROUND(H116*I116,2)</f>
        <v>9.63</v>
      </c>
      <c r="K116" s="30"/>
      <c r="L116" s="33" t="n">
        <v>17.32</v>
      </c>
      <c r="M116" s="34" t="n">
        <v>0.5561</v>
      </c>
      <c r="N116" s="33" t="n">
        <f aca="false">ROUND(L116*M116,2)</f>
        <v>9.63</v>
      </c>
      <c r="R116" s="56" t="s">
        <v>149</v>
      </c>
      <c r="S116" s="56"/>
      <c r="T116" s="56"/>
      <c r="U116" s="56"/>
      <c r="V116" s="56"/>
    </row>
    <row r="117" customFormat="false" ht="15" hidden="false" customHeight="true" outlineLevel="0" collapsed="false">
      <c r="A117" s="8" t="s">
        <v>117</v>
      </c>
      <c r="B117" s="27" t="n">
        <v>17.32</v>
      </c>
      <c r="C117" s="28" t="n">
        <v>30</v>
      </c>
      <c r="D117" s="29" t="n">
        <v>0.26964</v>
      </c>
      <c r="E117" s="29" t="n">
        <v>0.3868</v>
      </c>
      <c r="F117" s="27" t="n">
        <f aca="false">ROUND(B117*E117,2)</f>
        <v>6.7</v>
      </c>
      <c r="G117" s="30"/>
      <c r="H117" s="31" t="n">
        <v>17.32</v>
      </c>
      <c r="I117" s="32" t="n">
        <v>0.3868</v>
      </c>
      <c r="J117" s="31" t="n">
        <f aca="false">ROUND(H117*I117,2)</f>
        <v>6.7</v>
      </c>
      <c r="K117" s="30"/>
      <c r="L117" s="33" t="n">
        <v>17.32</v>
      </c>
      <c r="M117" s="34" t="n">
        <v>0.3868</v>
      </c>
      <c r="N117" s="33" t="n">
        <f aca="false">ROUND(L117*M117,2)</f>
        <v>6.7</v>
      </c>
      <c r="R117" s="38" t="s">
        <v>118</v>
      </c>
      <c r="S117" s="38"/>
      <c r="T117" s="38"/>
      <c r="U117" s="38"/>
      <c r="V117" s="38"/>
    </row>
    <row r="118" customFormat="false" ht="15" hidden="false" customHeight="false" outlineLevel="0" collapsed="false">
      <c r="A118" s="8" t="s">
        <v>119</v>
      </c>
      <c r="B118" s="27" t="n">
        <v>17.32</v>
      </c>
      <c r="C118" s="28" t="n">
        <v>30</v>
      </c>
      <c r="D118" s="29" t="n">
        <v>0.18156</v>
      </c>
      <c r="E118" s="29" t="n">
        <v>0.2653</v>
      </c>
      <c r="F118" s="27" t="n">
        <f aca="false">ROUND(B118*E118,2)</f>
        <v>4.59</v>
      </c>
      <c r="G118" s="30"/>
      <c r="H118" s="31" t="n">
        <v>17.32</v>
      </c>
      <c r="I118" s="32" t="n">
        <v>0.2653</v>
      </c>
      <c r="J118" s="31" t="n">
        <f aca="false">ROUND(H118*I118,2)</f>
        <v>4.59</v>
      </c>
      <c r="K118" s="30"/>
      <c r="L118" s="33" t="n">
        <v>17.32</v>
      </c>
      <c r="M118" s="34" t="n">
        <v>0.2653</v>
      </c>
      <c r="N118" s="33" t="n">
        <f aca="false">ROUND(L118*M118,2)</f>
        <v>4.59</v>
      </c>
    </row>
    <row r="119" customFormat="false" ht="15" hidden="false" customHeight="false" outlineLevel="0" collapsed="false">
      <c r="A119" s="39" t="s">
        <v>120</v>
      </c>
      <c r="B119" s="40" t="n">
        <f aca="false">IF($P$119="",345.67,ROUND(345.67*((184.7297/(1-$P$119))-99.9)/174.43,2))</f>
        <v>345.67</v>
      </c>
      <c r="C119" s="28"/>
      <c r="D119" s="41" t="n">
        <v>0.121236</v>
      </c>
      <c r="E119" s="29" t="n">
        <v>0.17</v>
      </c>
      <c r="F119" s="27" t="n">
        <f aca="false">ROUND(B119*E119,2)</f>
        <v>58.76</v>
      </c>
      <c r="G119" s="30"/>
      <c r="H119" s="42" t="n">
        <v>245.96</v>
      </c>
      <c r="I119" s="32" t="n">
        <v>0.175</v>
      </c>
      <c r="J119" s="31" t="n">
        <f aca="false">ROUND(H119*I119,2)</f>
        <v>43.04</v>
      </c>
      <c r="K119" s="30"/>
      <c r="L119" s="43" t="n">
        <v>240</v>
      </c>
      <c r="M119" s="34" t="n">
        <v>0.175</v>
      </c>
      <c r="N119" s="33" t="n">
        <f aca="false">ROUND(L119*M119,2)</f>
        <v>42</v>
      </c>
      <c r="O119" s="44" t="s">
        <v>121</v>
      </c>
      <c r="P119" s="45"/>
    </row>
    <row r="120" customFormat="false" ht="15" hidden="false" customHeight="false" outlineLevel="0" collapsed="false">
      <c r="A120" s="39" t="s">
        <v>122</v>
      </c>
      <c r="B120" s="40" t="n">
        <f aca="false">IF($P$119="",252.842,ROUND(252.842*((184.7297/(1-$P$119))-99.9)/174.43,2))</f>
        <v>252.842</v>
      </c>
      <c r="C120" s="28"/>
      <c r="D120" s="41" t="n">
        <v>0.114444</v>
      </c>
      <c r="E120" s="29" t="n">
        <v>0.17</v>
      </c>
      <c r="F120" s="27" t="n">
        <f aca="false">ROUND(B120*E120,2)</f>
        <v>42.98</v>
      </c>
      <c r="G120" s="30"/>
      <c r="H120" s="42" t="n">
        <v>461.617</v>
      </c>
      <c r="I120" s="32" t="n">
        <v>0.175</v>
      </c>
      <c r="J120" s="31" t="n">
        <f aca="false">ROUND(H120*I120,2)</f>
        <v>80.78</v>
      </c>
      <c r="K120" s="30"/>
      <c r="L120" s="43" t="n">
        <v>152.842</v>
      </c>
      <c r="M120" s="34" t="n">
        <v>0.175</v>
      </c>
      <c r="N120" s="33" t="n">
        <f aca="false">ROUND(L120*M120,2)</f>
        <v>26.75</v>
      </c>
      <c r="O120" s="46" t="s">
        <v>123</v>
      </c>
    </row>
    <row r="121" customFormat="false" ht="15" hidden="false" customHeight="false" outlineLevel="0" collapsed="false">
      <c r="A121" s="39" t="s">
        <v>124</v>
      </c>
      <c r="B121" s="40" t="n">
        <f aca="false">IF($P$119="",427.591,ROUND(427.591*((184.7297/(1-$P$119))-99.9)/174.43,2))</f>
        <v>427.591</v>
      </c>
      <c r="C121" s="28"/>
      <c r="D121" s="41" t="n">
        <v>0.106808</v>
      </c>
      <c r="E121" s="29" t="n">
        <v>0.17</v>
      </c>
      <c r="F121" s="27" t="n">
        <f aca="false">ROUND(B121*E121,2)</f>
        <v>72.69</v>
      </c>
      <c r="G121" s="30"/>
      <c r="H121" s="42" t="n">
        <v>618.221</v>
      </c>
      <c r="I121" s="32" t="n">
        <v>0.175</v>
      </c>
      <c r="J121" s="31" t="n">
        <f aca="false">ROUND(H121*I121,2)</f>
        <v>108.19</v>
      </c>
      <c r="K121" s="30"/>
      <c r="L121" s="43" t="n">
        <v>327.591</v>
      </c>
      <c r="M121" s="34" t="n">
        <v>0.175</v>
      </c>
      <c r="N121" s="33" t="n">
        <f aca="false">ROUND(L121*M121,2)</f>
        <v>57.33</v>
      </c>
      <c r="O121" s="46" t="s">
        <v>125</v>
      </c>
    </row>
    <row r="122" customFormat="false" ht="15" hidden="false" customHeight="false" outlineLevel="0" collapsed="false">
      <c r="A122" s="8" t="s">
        <v>126</v>
      </c>
      <c r="B122" s="27" t="n">
        <v>1</v>
      </c>
      <c r="C122" s="28"/>
      <c r="D122" s="29" t="n">
        <v>6</v>
      </c>
      <c r="E122" s="29" t="n">
        <v>6</v>
      </c>
      <c r="F122" s="27" t="n">
        <f aca="false">ROUND(B122*E122,2)</f>
        <v>6</v>
      </c>
      <c r="G122" s="30"/>
      <c r="H122" s="31" t="n">
        <v>1</v>
      </c>
      <c r="I122" s="32" t="n">
        <v>6</v>
      </c>
      <c r="J122" s="31" t="n">
        <f aca="false">ROUND(H122*I122,2)</f>
        <v>6</v>
      </c>
      <c r="K122" s="30"/>
      <c r="L122" s="33" t="n">
        <v>1</v>
      </c>
      <c r="M122" s="34" t="n">
        <v>6</v>
      </c>
      <c r="N122" s="33" t="n">
        <f aca="false">ROUND(L122*M122,2)</f>
        <v>6</v>
      </c>
    </row>
    <row r="123" customFormat="false" ht="15" hidden="false" customHeight="false" outlineLevel="0" collapsed="false">
      <c r="A123" s="8" t="s">
        <v>127</v>
      </c>
      <c r="B123" s="27" t="n">
        <v>30</v>
      </c>
      <c r="C123" s="28"/>
      <c r="D123" s="29" t="n">
        <v>0.01274</v>
      </c>
      <c r="E123" s="29" t="n">
        <v>0.01274</v>
      </c>
      <c r="F123" s="27" t="n">
        <f aca="false">ROUND(B123*E123,2)</f>
        <v>0.38</v>
      </c>
      <c r="G123" s="30"/>
      <c r="H123" s="31" t="n">
        <v>30</v>
      </c>
      <c r="I123" s="32" t="n">
        <v>0.01274</v>
      </c>
      <c r="J123" s="31" t="n">
        <f aca="false">ROUND(H123*I123,2)</f>
        <v>0.38</v>
      </c>
      <c r="K123" s="30"/>
      <c r="L123" s="33" t="n">
        <v>30</v>
      </c>
      <c r="M123" s="34" t="n">
        <v>0.00629</v>
      </c>
      <c r="N123" s="33" t="n">
        <f aca="false">ROUND(L123*M123,2)</f>
        <v>0.19</v>
      </c>
    </row>
    <row r="124" customFormat="false" ht="15" hidden="false" customHeight="false" outlineLevel="0" collapsed="false">
      <c r="A124" s="8" t="s">
        <v>128</v>
      </c>
      <c r="B124" s="27" t="n">
        <v>14.83</v>
      </c>
      <c r="C124" s="28"/>
      <c r="D124" s="29" t="n">
        <v>1</v>
      </c>
      <c r="E124" s="29" t="n">
        <v>1</v>
      </c>
      <c r="F124" s="27" t="n">
        <f aca="false">ROUND(B124*E124,2)</f>
        <v>14.83</v>
      </c>
      <c r="G124" s="30"/>
      <c r="H124" s="31" t="n">
        <v>17.91</v>
      </c>
      <c r="I124" s="32" t="n">
        <v>1</v>
      </c>
      <c r="J124" s="31" t="n">
        <f aca="false">ROUND(H124*I124,2)</f>
        <v>17.91</v>
      </c>
      <c r="K124" s="30"/>
      <c r="L124" s="33" t="n">
        <v>9.41</v>
      </c>
      <c r="M124" s="34" t="n">
        <v>1</v>
      </c>
      <c r="N124" s="33" t="n">
        <f aca="false">ROUND(L124*M124,2)</f>
        <v>9.41</v>
      </c>
    </row>
    <row r="125" customFormat="false" ht="15" hidden="false" customHeight="false" outlineLevel="0" collapsed="false">
      <c r="A125" s="47" t="s">
        <v>129</v>
      </c>
      <c r="B125" s="48"/>
      <c r="C125" s="48"/>
      <c r="D125" s="48"/>
      <c r="E125" s="48"/>
      <c r="F125" s="49" t="n">
        <f aca="false">ROUND((SUM(F113:F124)-F124)*1.21+F124,2)</f>
        <v>354.49</v>
      </c>
      <c r="G125" s="48"/>
      <c r="H125" s="48"/>
      <c r="I125" s="48"/>
      <c r="J125" s="50" t="n">
        <f aca="false">ROUND((SUM(J113:J124)-J124)*1.21+J124,2)</f>
        <v>427.24</v>
      </c>
      <c r="K125" s="48"/>
      <c r="L125" s="48"/>
      <c r="M125" s="48"/>
      <c r="N125" s="51" t="n">
        <f aca="false">ROUND((SUM(N113:N124)-N124)*1.21+N124,2)</f>
        <v>290.34</v>
      </c>
    </row>
    <row r="126" customFormat="false" ht="15" hidden="false" customHeight="false" outlineLevel="0" collapsed="false">
      <c r="A126" s="52" t="s">
        <v>130</v>
      </c>
      <c r="B126" s="53" t="n">
        <f aca="false">(SUM(F113:F121)-184.7297)/SUM(F113:F121)</f>
        <v>0.326615025698976</v>
      </c>
      <c r="C126" s="53"/>
      <c r="D126" s="53"/>
      <c r="E126" s="53"/>
      <c r="F126" s="53"/>
      <c r="G126" s="54"/>
      <c r="H126" s="54"/>
      <c r="I126" s="54"/>
      <c r="J126" s="54"/>
      <c r="K126" s="54"/>
      <c r="L126" s="55" t="str">
        <f aca="false">IF(B126&gt;=0.3,"APROBAR",IF(B126&gt;=0.2,"REVISAR","RECHAZAR"))</f>
        <v>APROBAR</v>
      </c>
      <c r="M126" s="55"/>
      <c r="N126" s="55"/>
    </row>
    <row r="128" customFormat="false" ht="15" hidden="false" customHeight="true" outlineLevel="0" collapsed="false">
      <c r="A128" s="14" t="s">
        <v>188</v>
      </c>
      <c r="B128" s="14"/>
      <c r="C128" s="14"/>
      <c r="D128" s="14"/>
      <c r="E128" s="14"/>
      <c r="F128" s="14"/>
      <c r="G128" s="14"/>
      <c r="H128" s="14"/>
      <c r="I128" s="15" t="s">
        <v>189</v>
      </c>
      <c r="J128" s="15"/>
      <c r="K128" s="15"/>
      <c r="L128" s="15"/>
      <c r="M128" s="15"/>
      <c r="N128" s="15"/>
      <c r="R128" s="16" t="s">
        <v>97</v>
      </c>
      <c r="S128" s="16"/>
      <c r="T128" s="16"/>
      <c r="U128" s="16"/>
      <c r="V128" s="16"/>
    </row>
    <row r="129" customFormat="false" ht="15" hidden="false" customHeight="true" outlineLevel="0" collapsed="false">
      <c r="A129" s="17" t="s">
        <v>98</v>
      </c>
      <c r="B129" s="18" t="s">
        <v>99</v>
      </c>
      <c r="C129" s="18"/>
      <c r="D129" s="18"/>
      <c r="E129" s="18"/>
      <c r="F129" s="18"/>
      <c r="G129" s="19"/>
      <c r="H129" s="20" t="s">
        <v>190</v>
      </c>
      <c r="I129" s="20"/>
      <c r="J129" s="20"/>
      <c r="K129" s="19"/>
      <c r="L129" s="21" t="s">
        <v>191</v>
      </c>
      <c r="M129" s="21"/>
      <c r="N129" s="21"/>
      <c r="R129" s="22" t="s">
        <v>192</v>
      </c>
      <c r="S129" s="22"/>
      <c r="T129" s="22"/>
      <c r="U129" s="22"/>
      <c r="V129" s="22"/>
    </row>
    <row r="130" customFormat="false" ht="15" hidden="false" customHeight="true" outlineLevel="0" collapsed="false">
      <c r="A130" s="19"/>
      <c r="B130" s="23" t="s">
        <v>103</v>
      </c>
      <c r="C130" s="23" t="s">
        <v>104</v>
      </c>
      <c r="D130" s="23" t="s">
        <v>105</v>
      </c>
      <c r="E130" s="23" t="s">
        <v>106</v>
      </c>
      <c r="F130" s="23" t="s">
        <v>107</v>
      </c>
      <c r="G130" s="19"/>
      <c r="H130" s="24" t="s">
        <v>103</v>
      </c>
      <c r="I130" s="24" t="s">
        <v>106</v>
      </c>
      <c r="J130" s="24" t="s">
        <v>107</v>
      </c>
      <c r="K130" s="19"/>
      <c r="L130" s="25" t="s">
        <v>103</v>
      </c>
      <c r="M130" s="25" t="s">
        <v>106</v>
      </c>
      <c r="N130" s="25" t="s">
        <v>107</v>
      </c>
      <c r="R130" s="26" t="s">
        <v>193</v>
      </c>
      <c r="S130" s="26"/>
      <c r="T130" s="26"/>
      <c r="U130" s="26"/>
      <c r="V130" s="26"/>
    </row>
    <row r="131" customFormat="false" ht="15" hidden="false" customHeight="true" outlineLevel="0" collapsed="false">
      <c r="A131" s="8" t="s">
        <v>109</v>
      </c>
      <c r="B131" s="27" t="n">
        <v>30</v>
      </c>
      <c r="C131" s="28" t="n">
        <v>30</v>
      </c>
      <c r="D131" s="29" t="n">
        <v>1.73784</v>
      </c>
      <c r="E131" s="29" t="n">
        <v>2.392</v>
      </c>
      <c r="F131" s="27" t="n">
        <f aca="false">ROUND(B131*E131,2)</f>
        <v>71.76</v>
      </c>
      <c r="G131" s="30"/>
      <c r="H131" s="31" t="n">
        <v>30</v>
      </c>
      <c r="I131" s="32" t="n">
        <v>2.392</v>
      </c>
      <c r="J131" s="31" t="n">
        <f aca="false">ROUND(H131*I131,2)</f>
        <v>71.76</v>
      </c>
      <c r="K131" s="30"/>
      <c r="L131" s="33" t="n">
        <v>30</v>
      </c>
      <c r="M131" s="34" t="n">
        <v>1.999</v>
      </c>
      <c r="N131" s="33" t="n">
        <f aca="false">ROUND(L131*M131,2)</f>
        <v>59.97</v>
      </c>
      <c r="R131" s="35" t="s">
        <v>194</v>
      </c>
      <c r="S131" s="35"/>
      <c r="T131" s="35"/>
      <c r="U131" s="35"/>
      <c r="V131" s="35"/>
    </row>
    <row r="132" customFormat="false" ht="15" hidden="false" customHeight="true" outlineLevel="0" collapsed="false">
      <c r="A132" s="8" t="s">
        <v>111</v>
      </c>
      <c r="B132" s="27" t="n">
        <v>33</v>
      </c>
      <c r="C132" s="28" t="n">
        <v>30</v>
      </c>
      <c r="D132" s="29" t="n">
        <v>0.9357</v>
      </c>
      <c r="E132" s="29" t="n">
        <v>2.067</v>
      </c>
      <c r="F132" s="27" t="n">
        <f aca="false">ROUND(B132*E132,2)</f>
        <v>68.21</v>
      </c>
      <c r="G132" s="30"/>
      <c r="H132" s="31" t="n">
        <v>33</v>
      </c>
      <c r="I132" s="32" t="n">
        <v>2.067</v>
      </c>
      <c r="J132" s="31" t="n">
        <f aca="false">ROUND(H132*I132,2)</f>
        <v>68.21</v>
      </c>
      <c r="K132" s="30"/>
      <c r="L132" s="33" t="n">
        <v>33</v>
      </c>
      <c r="M132" s="34" t="n">
        <v>1.811</v>
      </c>
      <c r="N132" s="33" t="n">
        <f aca="false">ROUND(L132*M132,2)</f>
        <v>59.76</v>
      </c>
      <c r="R132" s="36" t="s">
        <v>195</v>
      </c>
      <c r="S132" s="36"/>
      <c r="T132" s="36"/>
      <c r="U132" s="36"/>
      <c r="V132" s="36"/>
    </row>
    <row r="133" customFormat="false" ht="15" hidden="false" customHeight="true" outlineLevel="0" collapsed="false">
      <c r="A133" s="8" t="s">
        <v>113</v>
      </c>
      <c r="B133" s="27" t="n">
        <v>33</v>
      </c>
      <c r="C133" s="28" t="n">
        <v>30</v>
      </c>
      <c r="D133" s="29" t="n">
        <v>0.43137</v>
      </c>
      <c r="E133" s="29" t="n">
        <v>1.076</v>
      </c>
      <c r="F133" s="27" t="n">
        <f aca="false">ROUND(B133*E133,2)</f>
        <v>35.51</v>
      </c>
      <c r="G133" s="30"/>
      <c r="H133" s="31" t="n">
        <v>33</v>
      </c>
      <c r="I133" s="32" t="n">
        <v>1.076</v>
      </c>
      <c r="J133" s="31" t="n">
        <f aca="false">ROUND(H133*I133,2)</f>
        <v>35.51</v>
      </c>
      <c r="K133" s="30"/>
      <c r="L133" s="33" t="n">
        <v>33</v>
      </c>
      <c r="M133" s="34" t="n">
        <v>0.6161</v>
      </c>
      <c r="N133" s="33" t="n">
        <f aca="false">ROUND(L133*M133,2)</f>
        <v>20.33</v>
      </c>
      <c r="R133" s="36" t="s">
        <v>196</v>
      </c>
      <c r="S133" s="36"/>
      <c r="T133" s="36"/>
      <c r="U133" s="36"/>
      <c r="V133" s="36"/>
    </row>
    <row r="134" customFormat="false" ht="15" hidden="false" customHeight="true" outlineLevel="0" collapsed="false">
      <c r="A134" s="8" t="s">
        <v>115</v>
      </c>
      <c r="B134" s="27" t="n">
        <v>33</v>
      </c>
      <c r="C134" s="28" t="n">
        <v>30</v>
      </c>
      <c r="D134" s="29" t="n">
        <v>0.38244</v>
      </c>
      <c r="E134" s="29" t="n">
        <v>0.892</v>
      </c>
      <c r="F134" s="27" t="n">
        <f aca="false">ROUND(B134*E134,2)</f>
        <v>29.44</v>
      </c>
      <c r="G134" s="30"/>
      <c r="H134" s="31" t="n">
        <v>33</v>
      </c>
      <c r="I134" s="32" t="n">
        <v>0.892</v>
      </c>
      <c r="J134" s="31" t="n">
        <f aca="false">ROUND(H134*I134,2)</f>
        <v>29.44</v>
      </c>
      <c r="K134" s="30"/>
      <c r="L134" s="33" t="n">
        <v>33</v>
      </c>
      <c r="M134" s="34" t="n">
        <v>0.5551</v>
      </c>
      <c r="N134" s="33" t="n">
        <f aca="false">ROUND(L134*M134,2)</f>
        <v>18.32</v>
      </c>
      <c r="R134" s="37" t="s">
        <v>116</v>
      </c>
      <c r="S134" s="37"/>
      <c r="T134" s="37"/>
      <c r="U134" s="37"/>
      <c r="V134" s="37"/>
    </row>
    <row r="135" customFormat="false" ht="15" hidden="false" customHeight="true" outlineLevel="0" collapsed="false">
      <c r="A135" s="8" t="s">
        <v>117</v>
      </c>
      <c r="B135" s="27" t="n">
        <v>33</v>
      </c>
      <c r="C135" s="28" t="n">
        <v>30</v>
      </c>
      <c r="D135" s="29" t="n">
        <v>0.26964</v>
      </c>
      <c r="E135" s="29" t="n">
        <v>0.207</v>
      </c>
      <c r="F135" s="27" t="n">
        <f aca="false">ROUND(B135*E135,2)</f>
        <v>6.83</v>
      </c>
      <c r="G135" s="30"/>
      <c r="H135" s="31" t="n">
        <v>33</v>
      </c>
      <c r="I135" s="32" t="n">
        <v>0.207</v>
      </c>
      <c r="J135" s="31" t="n">
        <f aca="false">ROUND(H135*I135,2)</f>
        <v>6.83</v>
      </c>
      <c r="K135" s="30"/>
      <c r="L135" s="33" t="n">
        <v>33</v>
      </c>
      <c r="M135" s="34" t="n">
        <v>0.595</v>
      </c>
      <c r="N135" s="33" t="n">
        <f aca="false">ROUND(L135*M135,2)</f>
        <v>19.64</v>
      </c>
      <c r="R135" s="38" t="s">
        <v>118</v>
      </c>
      <c r="S135" s="38"/>
      <c r="T135" s="38"/>
      <c r="U135" s="38"/>
      <c r="V135" s="38"/>
    </row>
    <row r="136" customFormat="false" ht="15" hidden="false" customHeight="false" outlineLevel="0" collapsed="false">
      <c r="A136" s="8" t="s">
        <v>119</v>
      </c>
      <c r="B136" s="27" t="n">
        <v>41</v>
      </c>
      <c r="C136" s="28" t="n">
        <v>30</v>
      </c>
      <c r="D136" s="29" t="n">
        <v>0.18156</v>
      </c>
      <c r="E136" s="29" t="n">
        <v>0.124</v>
      </c>
      <c r="F136" s="27" t="n">
        <f aca="false">ROUND(B136*E136,2)</f>
        <v>5.08</v>
      </c>
      <c r="G136" s="30"/>
      <c r="H136" s="31" t="n">
        <v>41</v>
      </c>
      <c r="I136" s="32" t="n">
        <v>0.124</v>
      </c>
      <c r="J136" s="31" t="n">
        <f aca="false">ROUND(H136*I136,2)</f>
        <v>5.08</v>
      </c>
      <c r="K136" s="30"/>
      <c r="L136" s="33" t="n">
        <v>41</v>
      </c>
      <c r="M136" s="34" t="n">
        <v>0.4523</v>
      </c>
      <c r="N136" s="33" t="n">
        <f aca="false">ROUND(L136*M136,2)</f>
        <v>18.54</v>
      </c>
    </row>
    <row r="137" customFormat="false" ht="15" hidden="false" customHeight="false" outlineLevel="0" collapsed="false">
      <c r="A137" s="39" t="s">
        <v>120</v>
      </c>
      <c r="B137" s="40" t="n">
        <f aca="false">IF($P$137="",3714.25,ROUND(3714.25*((1787.4848/(1-$P$137))-216.83)/1918.5,2))</f>
        <v>3714.25</v>
      </c>
      <c r="C137" s="28"/>
      <c r="D137" s="41" t="n">
        <v>0.121236</v>
      </c>
      <c r="E137" s="29" t="n">
        <v>0.13</v>
      </c>
      <c r="F137" s="27" t="n">
        <f aca="false">ROUND(B137*E137,2)</f>
        <v>482.85</v>
      </c>
      <c r="G137" s="30"/>
      <c r="H137" s="42" t="n">
        <v>5994.78</v>
      </c>
      <c r="I137" s="32" t="n">
        <v>0.135</v>
      </c>
      <c r="J137" s="31" t="n">
        <f aca="false">ROUND(H137*I137,2)</f>
        <v>809.3</v>
      </c>
      <c r="K137" s="30"/>
      <c r="L137" s="43" t="n">
        <v>6611.6</v>
      </c>
      <c r="M137" s="34" t="n">
        <v>0.17</v>
      </c>
      <c r="N137" s="33" t="n">
        <f aca="false">ROUND(L137*M137,2)</f>
        <v>1123.97</v>
      </c>
      <c r="O137" s="44" t="s">
        <v>121</v>
      </c>
      <c r="P137" s="45"/>
    </row>
    <row r="138" customFormat="false" ht="15" hidden="false" customHeight="false" outlineLevel="0" collapsed="false">
      <c r="A138" s="39" t="s">
        <v>122</v>
      </c>
      <c r="B138" s="40" t="n">
        <f aca="false">IF($P$137="",4118.82,ROUND(4118.82*((1787.4848/(1-$P$137))-216.83)/1918.5,2))</f>
        <v>4118.82</v>
      </c>
      <c r="C138" s="28"/>
      <c r="D138" s="41" t="n">
        <v>0.114444</v>
      </c>
      <c r="E138" s="29" t="n">
        <v>0.13</v>
      </c>
      <c r="F138" s="27" t="n">
        <f aca="false">ROUND(B138*E138,2)</f>
        <v>535.45</v>
      </c>
      <c r="G138" s="30"/>
      <c r="H138" s="42" t="n">
        <v>4872.64</v>
      </c>
      <c r="I138" s="32" t="n">
        <v>0.135</v>
      </c>
      <c r="J138" s="31" t="n">
        <f aca="false">ROUND(H138*I138,2)</f>
        <v>657.81</v>
      </c>
      <c r="K138" s="30"/>
      <c r="L138" s="43" t="n">
        <v>3710.36</v>
      </c>
      <c r="M138" s="34" t="n">
        <v>0.16</v>
      </c>
      <c r="N138" s="33" t="n">
        <f aca="false">ROUND(L138*M138,2)</f>
        <v>593.66</v>
      </c>
      <c r="O138" s="46" t="s">
        <v>123</v>
      </c>
    </row>
    <row r="139" customFormat="false" ht="15" hidden="false" customHeight="false" outlineLevel="0" collapsed="false">
      <c r="A139" s="39" t="s">
        <v>124</v>
      </c>
      <c r="B139" s="40" t="n">
        <f aca="false">IF($P$137="",6924.61,ROUND(6924.61*((1787.4848/(1-$P$137))-216.83)/1918.5,2))</f>
        <v>6924.61</v>
      </c>
      <c r="C139" s="28"/>
      <c r="D139" s="41" t="n">
        <v>0.106808</v>
      </c>
      <c r="E139" s="29" t="n">
        <v>0.13</v>
      </c>
      <c r="F139" s="27" t="n">
        <f aca="false">ROUND(B139*E139,2)</f>
        <v>900.2</v>
      </c>
      <c r="G139" s="30"/>
      <c r="H139" s="42" t="n">
        <v>7125.45</v>
      </c>
      <c r="I139" s="32" t="n">
        <v>0.135</v>
      </c>
      <c r="J139" s="31" t="n">
        <f aca="false">ROUND(H139*I139,2)</f>
        <v>961.94</v>
      </c>
      <c r="K139" s="30"/>
      <c r="L139" s="43" t="n">
        <v>8406.37</v>
      </c>
      <c r="M139" s="34" t="n">
        <v>0.13</v>
      </c>
      <c r="N139" s="33" t="n">
        <f aca="false">ROUND(L139*M139,2)</f>
        <v>1092.83</v>
      </c>
      <c r="O139" s="46" t="s">
        <v>125</v>
      </c>
    </row>
    <row r="140" customFormat="false" ht="15" hidden="false" customHeight="false" outlineLevel="0" collapsed="false">
      <c r="A140" s="8" t="s">
        <v>126</v>
      </c>
      <c r="B140" s="27" t="n">
        <v>1</v>
      </c>
      <c r="C140" s="28"/>
      <c r="D140" s="29" t="n">
        <v>17.615</v>
      </c>
      <c r="E140" s="29" t="n">
        <v>17.615</v>
      </c>
      <c r="F140" s="27" t="n">
        <f aca="false">ROUND(B140*E140,2)</f>
        <v>17.62</v>
      </c>
      <c r="G140" s="30"/>
      <c r="H140" s="31" t="n">
        <v>1</v>
      </c>
      <c r="I140" s="32" t="n">
        <v>17.615</v>
      </c>
      <c r="J140" s="31" t="n">
        <f aca="false">ROUND(H140*I140,2)</f>
        <v>17.62</v>
      </c>
      <c r="K140" s="30"/>
      <c r="L140" s="33" t="n">
        <v>1</v>
      </c>
      <c r="M140" s="34" t="n">
        <v>17.165</v>
      </c>
      <c r="N140" s="33" t="n">
        <f aca="false">ROUND(L140*M140,2)</f>
        <v>17.17</v>
      </c>
    </row>
    <row r="141" customFormat="false" ht="15" hidden="false" customHeight="false" outlineLevel="0" collapsed="false">
      <c r="A141" s="8" t="s">
        <v>127</v>
      </c>
      <c r="B141" s="27" t="n">
        <v>30</v>
      </c>
      <c r="C141" s="28"/>
      <c r="D141" s="29" t="n">
        <v>0.01274</v>
      </c>
      <c r="E141" s="29" t="n">
        <v>0.01274</v>
      </c>
      <c r="F141" s="27" t="n">
        <f aca="false">ROUND(B141*E141,2)</f>
        <v>0.38</v>
      </c>
      <c r="G141" s="30"/>
      <c r="H141" s="31" t="n">
        <v>28</v>
      </c>
      <c r="I141" s="32" t="n">
        <v>0.01274</v>
      </c>
      <c r="J141" s="31" t="n">
        <f aca="false">ROUND(H141*I141,2)</f>
        <v>0.36</v>
      </c>
      <c r="K141" s="30"/>
      <c r="L141" s="33" t="n">
        <v>30</v>
      </c>
      <c r="M141" s="34" t="n">
        <v>0.00629</v>
      </c>
      <c r="N141" s="33" t="n">
        <f aca="false">ROUND(L141*M141,2)</f>
        <v>0.19</v>
      </c>
    </row>
    <row r="142" customFormat="false" ht="15" hidden="false" customHeight="false" outlineLevel="0" collapsed="false">
      <c r="A142" s="8" t="s">
        <v>128</v>
      </c>
      <c r="B142" s="27" t="n">
        <v>115.52</v>
      </c>
      <c r="C142" s="28"/>
      <c r="D142" s="29" t="n">
        <v>1</v>
      </c>
      <c r="E142" s="29" t="n">
        <v>1</v>
      </c>
      <c r="F142" s="27" t="n">
        <f aca="false">ROUND(B142*E142,2)</f>
        <v>115.52</v>
      </c>
      <c r="G142" s="30"/>
      <c r="H142" s="31" t="n">
        <v>142.52</v>
      </c>
      <c r="I142" s="32" t="n">
        <v>1</v>
      </c>
      <c r="J142" s="31" t="n">
        <f aca="false">ROUND(H142*I142,2)</f>
        <v>142.52</v>
      </c>
      <c r="K142" s="30"/>
      <c r="L142" s="33" t="n">
        <v>162.9</v>
      </c>
      <c r="M142" s="34" t="n">
        <v>1</v>
      </c>
      <c r="N142" s="33" t="n">
        <f aca="false">ROUND(L142*M142,2)</f>
        <v>162.9</v>
      </c>
    </row>
    <row r="143" customFormat="false" ht="15" hidden="false" customHeight="false" outlineLevel="0" collapsed="false">
      <c r="A143" s="39" t="s">
        <v>159</v>
      </c>
      <c r="B143" s="28"/>
      <c r="C143" s="28"/>
      <c r="D143" s="28"/>
      <c r="E143" s="58"/>
      <c r="F143" s="28"/>
      <c r="G143" s="30"/>
      <c r="H143" s="59"/>
      <c r="I143" s="59"/>
      <c r="J143" s="59"/>
      <c r="K143" s="30"/>
      <c r="L143" s="33" t="n">
        <v>-27.356</v>
      </c>
      <c r="M143" s="34" t="n">
        <v>0.15</v>
      </c>
      <c r="N143" s="33" t="n">
        <f aca="false">ROUND(L143*M143,2)</f>
        <v>-4.1</v>
      </c>
    </row>
    <row r="144" customFormat="false" ht="15" hidden="false" customHeight="false" outlineLevel="0" collapsed="false">
      <c r="A144" s="47" t="s">
        <v>129</v>
      </c>
      <c r="B144" s="48"/>
      <c r="C144" s="48"/>
      <c r="D144" s="48"/>
      <c r="E144" s="48"/>
      <c r="F144" s="49" t="n">
        <f aca="false">ROUND((SUM(F131:F143)-F142)*1.21+F142,2)</f>
        <v>2721.05</v>
      </c>
      <c r="G144" s="48"/>
      <c r="H144" s="48"/>
      <c r="I144" s="48"/>
      <c r="J144" s="50" t="n">
        <f aca="false">ROUND((SUM(J131:J143)-J142)*1.21+J142,2)</f>
        <v>3365.79</v>
      </c>
      <c r="K144" s="48"/>
      <c r="L144" s="48"/>
      <c r="M144" s="48"/>
      <c r="N144" s="51" t="n">
        <f aca="false">ROUND((SUM(N131:N143)-N142)*1.21+N142,2)</f>
        <v>3817.44</v>
      </c>
    </row>
    <row r="145" customFormat="false" ht="15" hidden="false" customHeight="false" outlineLevel="0" collapsed="false">
      <c r="A145" s="52" t="s">
        <v>130</v>
      </c>
      <c r="B145" s="53" t="n">
        <f aca="false">(SUM(F131:F139)-1787.4848)/SUM(F131:F139)</f>
        <v>0.162899973306234</v>
      </c>
      <c r="C145" s="53"/>
      <c r="D145" s="53"/>
      <c r="E145" s="53"/>
      <c r="F145" s="53"/>
      <c r="G145" s="54"/>
      <c r="H145" s="54"/>
      <c r="I145" s="54"/>
      <c r="J145" s="54"/>
      <c r="K145" s="54"/>
      <c r="L145" s="55" t="str">
        <f aca="false">IF(B145&gt;=0.3,"APROBAR",IF(B145&gt;=0.2,"REVISAR","RECHAZAR"))</f>
        <v>RECHAZAR</v>
      </c>
      <c r="M145" s="55"/>
      <c r="N145" s="55"/>
    </row>
    <row r="147" customFormat="false" ht="15" hidden="false" customHeight="true" outlineLevel="0" collapsed="false">
      <c r="A147" s="14" t="s">
        <v>197</v>
      </c>
      <c r="B147" s="14"/>
      <c r="C147" s="14"/>
      <c r="D147" s="14"/>
      <c r="E147" s="14"/>
      <c r="F147" s="14"/>
      <c r="G147" s="14"/>
      <c r="H147" s="14"/>
      <c r="I147" s="15" t="s">
        <v>198</v>
      </c>
      <c r="J147" s="15"/>
      <c r="K147" s="15"/>
      <c r="L147" s="15"/>
      <c r="M147" s="15"/>
      <c r="N147" s="15"/>
      <c r="R147" s="16" t="s">
        <v>97</v>
      </c>
      <c r="S147" s="16"/>
      <c r="T147" s="16"/>
      <c r="U147" s="16"/>
      <c r="V147" s="16"/>
    </row>
    <row r="148" customFormat="false" ht="15" hidden="false" customHeight="true" outlineLevel="0" collapsed="false">
      <c r="A148" s="17" t="s">
        <v>98</v>
      </c>
      <c r="B148" s="18" t="s">
        <v>99</v>
      </c>
      <c r="C148" s="18"/>
      <c r="D148" s="18"/>
      <c r="E148" s="18"/>
      <c r="F148" s="18"/>
      <c r="G148" s="19"/>
      <c r="H148" s="20" t="s">
        <v>199</v>
      </c>
      <c r="I148" s="20"/>
      <c r="J148" s="20"/>
      <c r="K148" s="19"/>
      <c r="L148" s="21" t="s">
        <v>200</v>
      </c>
      <c r="M148" s="21"/>
      <c r="N148" s="21"/>
      <c r="R148" s="22" t="s">
        <v>201</v>
      </c>
      <c r="S148" s="22"/>
      <c r="T148" s="22"/>
      <c r="U148" s="22"/>
      <c r="V148" s="22"/>
    </row>
    <row r="149" customFormat="false" ht="15" hidden="false" customHeight="true" outlineLevel="0" collapsed="false">
      <c r="A149" s="19"/>
      <c r="B149" s="23" t="s">
        <v>103</v>
      </c>
      <c r="C149" s="23" t="s">
        <v>104</v>
      </c>
      <c r="D149" s="23" t="s">
        <v>105</v>
      </c>
      <c r="E149" s="23" t="s">
        <v>106</v>
      </c>
      <c r="F149" s="23" t="s">
        <v>107</v>
      </c>
      <c r="G149" s="19"/>
      <c r="H149" s="24" t="s">
        <v>103</v>
      </c>
      <c r="I149" s="24" t="s">
        <v>106</v>
      </c>
      <c r="J149" s="24" t="s">
        <v>107</v>
      </c>
      <c r="K149" s="19"/>
      <c r="L149" s="25" t="s">
        <v>103</v>
      </c>
      <c r="M149" s="25" t="s">
        <v>106</v>
      </c>
      <c r="N149" s="25" t="s">
        <v>107</v>
      </c>
      <c r="R149" s="26" t="s">
        <v>202</v>
      </c>
      <c r="S149" s="26"/>
      <c r="T149" s="26"/>
      <c r="U149" s="26"/>
      <c r="V149" s="26"/>
    </row>
    <row r="150" customFormat="false" ht="15" hidden="false" customHeight="true" outlineLevel="0" collapsed="false">
      <c r="A150" s="8" t="s">
        <v>109</v>
      </c>
      <c r="B150" s="27" t="n">
        <v>2</v>
      </c>
      <c r="C150" s="28" t="n">
        <v>30</v>
      </c>
      <c r="D150" s="29" t="n">
        <v>1.73784</v>
      </c>
      <c r="E150" s="29" t="n">
        <v>2.5542</v>
      </c>
      <c r="F150" s="27" t="n">
        <f aca="false">ROUND(B150*E150,2)</f>
        <v>5.11</v>
      </c>
      <c r="G150" s="30"/>
      <c r="H150" s="31" t="n">
        <v>2</v>
      </c>
      <c r="I150" s="32" t="n">
        <v>2.5542</v>
      </c>
      <c r="J150" s="31" t="n">
        <f aca="false">ROUND(H150*I150,2)</f>
        <v>5.11</v>
      </c>
      <c r="K150" s="30"/>
      <c r="L150" s="33" t="n">
        <v>2</v>
      </c>
      <c r="M150" s="34" t="n">
        <v>2.5542</v>
      </c>
      <c r="N150" s="33" t="n">
        <f aca="false">ROUND(L150*M150,2)</f>
        <v>5.11</v>
      </c>
      <c r="R150" s="35" t="s">
        <v>203</v>
      </c>
      <c r="S150" s="35"/>
      <c r="T150" s="35"/>
      <c r="U150" s="35"/>
      <c r="V150" s="35"/>
    </row>
    <row r="151" customFormat="false" ht="15" hidden="false" customHeight="true" outlineLevel="0" collapsed="false">
      <c r="A151" s="8" t="s">
        <v>111</v>
      </c>
      <c r="B151" s="27" t="n">
        <v>2</v>
      </c>
      <c r="C151" s="28" t="n">
        <v>30</v>
      </c>
      <c r="D151" s="29" t="n">
        <v>0.9357</v>
      </c>
      <c r="E151" s="29" t="n">
        <v>1.3773</v>
      </c>
      <c r="F151" s="27" t="n">
        <f aca="false">ROUND(B151*E151,2)</f>
        <v>2.75</v>
      </c>
      <c r="G151" s="30"/>
      <c r="H151" s="31" t="n">
        <v>2</v>
      </c>
      <c r="I151" s="32" t="n">
        <v>1.3773</v>
      </c>
      <c r="J151" s="31" t="n">
        <f aca="false">ROUND(H151*I151,2)</f>
        <v>2.75</v>
      </c>
      <c r="K151" s="30"/>
      <c r="L151" s="33" t="n">
        <v>2</v>
      </c>
      <c r="M151" s="34" t="n">
        <v>1.3773</v>
      </c>
      <c r="N151" s="33" t="n">
        <f aca="false">ROUND(L151*M151,2)</f>
        <v>2.75</v>
      </c>
      <c r="R151" s="36" t="s">
        <v>204</v>
      </c>
      <c r="S151" s="36"/>
      <c r="T151" s="36"/>
      <c r="U151" s="36"/>
      <c r="V151" s="36"/>
    </row>
    <row r="152" customFormat="false" ht="15" hidden="false" customHeight="true" outlineLevel="0" collapsed="false">
      <c r="A152" s="8" t="s">
        <v>113</v>
      </c>
      <c r="B152" s="27" t="n">
        <v>2</v>
      </c>
      <c r="C152" s="28" t="n">
        <v>30</v>
      </c>
      <c r="D152" s="29" t="n">
        <v>0.43137</v>
      </c>
      <c r="E152" s="29" t="n">
        <v>0.6286</v>
      </c>
      <c r="F152" s="27" t="n">
        <f aca="false">ROUND(B152*E152,2)</f>
        <v>1.26</v>
      </c>
      <c r="G152" s="30"/>
      <c r="H152" s="31" t="n">
        <v>2</v>
      </c>
      <c r="I152" s="32" t="n">
        <v>0.6286</v>
      </c>
      <c r="J152" s="31" t="n">
        <f aca="false">ROUND(H152*I152,2)</f>
        <v>1.26</v>
      </c>
      <c r="K152" s="30"/>
      <c r="L152" s="33" t="n">
        <v>2</v>
      </c>
      <c r="M152" s="34" t="n">
        <v>0.6286</v>
      </c>
      <c r="N152" s="33" t="n">
        <f aca="false">ROUND(L152*M152,2)</f>
        <v>1.26</v>
      </c>
      <c r="R152" s="36" t="s">
        <v>205</v>
      </c>
      <c r="S152" s="36"/>
      <c r="T152" s="36"/>
      <c r="U152" s="36"/>
      <c r="V152" s="36"/>
    </row>
    <row r="153" customFormat="false" ht="15" hidden="false" customHeight="true" outlineLevel="0" collapsed="false">
      <c r="A153" s="8" t="s">
        <v>115</v>
      </c>
      <c r="B153" s="27" t="n">
        <v>2</v>
      </c>
      <c r="C153" s="28" t="n">
        <v>30</v>
      </c>
      <c r="D153" s="29" t="n">
        <v>0.38244</v>
      </c>
      <c r="E153" s="29" t="n">
        <v>0.5561</v>
      </c>
      <c r="F153" s="27" t="n">
        <f aca="false">ROUND(B153*E153,2)</f>
        <v>1.11</v>
      </c>
      <c r="G153" s="30"/>
      <c r="H153" s="31" t="n">
        <v>2</v>
      </c>
      <c r="I153" s="32" t="n">
        <v>0.5561</v>
      </c>
      <c r="J153" s="31" t="n">
        <f aca="false">ROUND(H153*I153,2)</f>
        <v>1.11</v>
      </c>
      <c r="K153" s="30"/>
      <c r="L153" s="33" t="n">
        <v>2</v>
      </c>
      <c r="M153" s="34" t="n">
        <v>0.5561</v>
      </c>
      <c r="N153" s="33" t="n">
        <f aca="false">ROUND(L153*M153,2)</f>
        <v>1.11</v>
      </c>
      <c r="R153" s="56" t="s">
        <v>149</v>
      </c>
      <c r="S153" s="56"/>
      <c r="T153" s="56"/>
      <c r="U153" s="56"/>
      <c r="V153" s="56"/>
    </row>
    <row r="154" customFormat="false" ht="15" hidden="false" customHeight="true" outlineLevel="0" collapsed="false">
      <c r="A154" s="8" t="s">
        <v>117</v>
      </c>
      <c r="B154" s="27" t="n">
        <v>2</v>
      </c>
      <c r="C154" s="28" t="n">
        <v>30</v>
      </c>
      <c r="D154" s="29" t="n">
        <v>0.26964</v>
      </c>
      <c r="E154" s="29" t="n">
        <v>0.3868</v>
      </c>
      <c r="F154" s="27" t="n">
        <f aca="false">ROUND(B154*E154,2)</f>
        <v>0.77</v>
      </c>
      <c r="G154" s="30"/>
      <c r="H154" s="31" t="n">
        <v>2</v>
      </c>
      <c r="I154" s="32" t="n">
        <v>0.3868</v>
      </c>
      <c r="J154" s="31" t="n">
        <f aca="false">ROUND(H154*I154,2)</f>
        <v>0.77</v>
      </c>
      <c r="K154" s="30"/>
      <c r="L154" s="33" t="n">
        <v>2</v>
      </c>
      <c r="M154" s="34" t="n">
        <v>0.3868</v>
      </c>
      <c r="N154" s="33" t="n">
        <f aca="false">ROUND(L154*M154,2)</f>
        <v>0.77</v>
      </c>
      <c r="R154" s="38" t="s">
        <v>118</v>
      </c>
      <c r="S154" s="38"/>
      <c r="T154" s="38"/>
      <c r="U154" s="38"/>
      <c r="V154" s="38"/>
    </row>
    <row r="155" customFormat="false" ht="15" hidden="false" customHeight="false" outlineLevel="0" collapsed="false">
      <c r="A155" s="8" t="s">
        <v>119</v>
      </c>
      <c r="B155" s="27" t="n">
        <v>15.01</v>
      </c>
      <c r="C155" s="28" t="n">
        <v>30</v>
      </c>
      <c r="D155" s="29" t="n">
        <v>0.18156</v>
      </c>
      <c r="E155" s="29" t="n">
        <v>0.2653</v>
      </c>
      <c r="F155" s="27" t="n">
        <f aca="false">ROUND(B155*E155,2)</f>
        <v>3.98</v>
      </c>
      <c r="G155" s="30"/>
      <c r="H155" s="31" t="n">
        <v>15.01</v>
      </c>
      <c r="I155" s="32" t="n">
        <v>0.2653</v>
      </c>
      <c r="J155" s="31" t="n">
        <f aca="false">ROUND(H155*I155,2)</f>
        <v>3.98</v>
      </c>
      <c r="K155" s="30"/>
      <c r="L155" s="33" t="n">
        <v>15.01</v>
      </c>
      <c r="M155" s="34" t="n">
        <v>0.2653</v>
      </c>
      <c r="N155" s="33" t="n">
        <f aca="false">ROUND(L155*M155,2)</f>
        <v>3.98</v>
      </c>
    </row>
    <row r="156" customFormat="false" ht="15" hidden="false" customHeight="false" outlineLevel="0" collapsed="false">
      <c r="A156" s="39" t="s">
        <v>120</v>
      </c>
      <c r="B156" s="40" t="n">
        <f aca="false">IF($P$156="",29.98,ROUND(29.98*((28.2654/(1-$P$156))-14.98)/25.88,2))</f>
        <v>29.98</v>
      </c>
      <c r="C156" s="28"/>
      <c r="D156" s="41" t="n">
        <v>0.128336</v>
      </c>
      <c r="E156" s="29" t="n">
        <v>0.173</v>
      </c>
      <c r="F156" s="27" t="n">
        <f aca="false">ROUND(B156*E156,2)</f>
        <v>5.19</v>
      </c>
      <c r="G156" s="30"/>
      <c r="H156" s="42" t="n">
        <v>70.044</v>
      </c>
      <c r="I156" s="32" t="n">
        <v>0.18804</v>
      </c>
      <c r="J156" s="31" t="n">
        <f aca="false">ROUND(H156*I156,2)</f>
        <v>13.17</v>
      </c>
      <c r="K156" s="30"/>
      <c r="L156" s="43" t="n">
        <v>4.716</v>
      </c>
      <c r="M156" s="34" t="n">
        <v>0.173</v>
      </c>
      <c r="N156" s="33" t="n">
        <f aca="false">ROUND(L156*M156,2)</f>
        <v>0.82</v>
      </c>
      <c r="O156" s="44" t="s">
        <v>121</v>
      </c>
      <c r="P156" s="45"/>
    </row>
    <row r="157" customFormat="false" ht="15" hidden="false" customHeight="false" outlineLevel="0" collapsed="false">
      <c r="A157" s="39" t="s">
        <v>122</v>
      </c>
      <c r="B157" s="40" t="n">
        <f aca="false">IF($P$156="",14.188,ROUND(14.188*((28.2654/(1-$P$156))-14.98)/25.88,2))</f>
        <v>14.188</v>
      </c>
      <c r="C157" s="28"/>
      <c r="D157" s="41" t="n">
        <v>0.121544</v>
      </c>
      <c r="E157" s="29" t="n">
        <v>0.1707</v>
      </c>
      <c r="F157" s="27" t="n">
        <f aca="false">ROUND(B157*E157,2)</f>
        <v>2.42</v>
      </c>
      <c r="G157" s="30"/>
      <c r="H157" s="42" t="n">
        <v>52.462</v>
      </c>
      <c r="I157" s="32" t="n">
        <v>0.17506</v>
      </c>
      <c r="J157" s="31" t="n">
        <f aca="false">ROUND(H157*I157,2)</f>
        <v>9.18</v>
      </c>
      <c r="K157" s="30"/>
      <c r="L157" s="43" t="n">
        <v>2.67</v>
      </c>
      <c r="M157" s="34" t="n">
        <v>0.1707</v>
      </c>
      <c r="N157" s="33" t="n">
        <f aca="false">ROUND(L157*M157,2)</f>
        <v>0.46</v>
      </c>
      <c r="O157" s="46" t="s">
        <v>123</v>
      </c>
    </row>
    <row r="158" customFormat="false" ht="15" hidden="false" customHeight="false" outlineLevel="0" collapsed="false">
      <c r="A158" s="39" t="s">
        <v>124</v>
      </c>
      <c r="B158" s="40" t="n">
        <f aca="false">IF($P$156="",109.481,ROUND(109.481*((28.2654/(1-$P$156))-14.98)/25.88,2))</f>
        <v>109.481</v>
      </c>
      <c r="C158" s="28"/>
      <c r="D158" s="41" t="n">
        <v>0.113808</v>
      </c>
      <c r="E158" s="29" t="n">
        <v>0.1669</v>
      </c>
      <c r="F158" s="27" t="n">
        <f aca="false">ROUND(B158*E158,2)</f>
        <v>18.27</v>
      </c>
      <c r="G158" s="30"/>
      <c r="H158" s="42" t="n">
        <v>168.163</v>
      </c>
      <c r="I158" s="32" t="n">
        <v>0.1669</v>
      </c>
      <c r="J158" s="31" t="n">
        <f aca="false">ROUND(H158*I158,2)</f>
        <v>28.07</v>
      </c>
      <c r="K158" s="30"/>
      <c r="L158" s="43" t="n">
        <v>21.758</v>
      </c>
      <c r="M158" s="34" t="n">
        <v>0.1669</v>
      </c>
      <c r="N158" s="33" t="n">
        <f aca="false">ROUND(L158*M158,2)</f>
        <v>3.63</v>
      </c>
      <c r="O158" s="46" t="s">
        <v>125</v>
      </c>
    </row>
    <row r="159" customFormat="false" ht="15" hidden="false" customHeight="false" outlineLevel="0" collapsed="false">
      <c r="A159" s="8" t="s">
        <v>126</v>
      </c>
      <c r="B159" s="27" t="n">
        <v>1</v>
      </c>
      <c r="C159" s="28"/>
      <c r="D159" s="29" t="n">
        <v>17.615</v>
      </c>
      <c r="E159" s="29" t="n">
        <v>17.615</v>
      </c>
      <c r="F159" s="27" t="n">
        <f aca="false">ROUND(B159*E159,2)</f>
        <v>17.62</v>
      </c>
      <c r="G159" s="30"/>
      <c r="H159" s="31" t="n">
        <v>1</v>
      </c>
      <c r="I159" s="32" t="n">
        <v>17.615</v>
      </c>
      <c r="J159" s="31" t="n">
        <f aca="false">ROUND(H159*I159,2)</f>
        <v>17.62</v>
      </c>
      <c r="K159" s="30"/>
      <c r="L159" s="33" t="n">
        <v>1</v>
      </c>
      <c r="M159" s="34" t="n">
        <v>17.615</v>
      </c>
      <c r="N159" s="33" t="n">
        <f aca="false">ROUND(L159*M159,2)</f>
        <v>17.62</v>
      </c>
    </row>
    <row r="160" customFormat="false" ht="15" hidden="false" customHeight="false" outlineLevel="0" collapsed="false">
      <c r="A160" s="8" t="s">
        <v>127</v>
      </c>
      <c r="B160" s="27" t="n">
        <v>30</v>
      </c>
      <c r="C160" s="28"/>
      <c r="D160" s="29" t="n">
        <v>0.01274</v>
      </c>
      <c r="E160" s="29" t="n">
        <v>0.01274</v>
      </c>
      <c r="F160" s="27" t="n">
        <f aca="false">ROUND(B160*E160,2)</f>
        <v>0.38</v>
      </c>
      <c r="G160" s="30"/>
      <c r="H160" s="31" t="n">
        <v>30</v>
      </c>
      <c r="I160" s="32" t="n">
        <v>0.01274</v>
      </c>
      <c r="J160" s="31" t="n">
        <f aca="false">ROUND(H160*I160,2)</f>
        <v>0.38</v>
      </c>
      <c r="K160" s="30"/>
      <c r="L160" s="33" t="n">
        <v>30</v>
      </c>
      <c r="M160" s="34" t="n">
        <v>0.00629</v>
      </c>
      <c r="N160" s="33" t="n">
        <f aca="false">ROUND(L160*M160,2)</f>
        <v>0.19</v>
      </c>
    </row>
    <row r="161" customFormat="false" ht="15" hidden="false" customHeight="false" outlineLevel="0" collapsed="false">
      <c r="A161" s="8" t="s">
        <v>128</v>
      </c>
      <c r="B161" s="27" t="n">
        <v>0.78</v>
      </c>
      <c r="C161" s="28"/>
      <c r="D161" s="29" t="n">
        <v>1</v>
      </c>
      <c r="E161" s="29" t="n">
        <v>1</v>
      </c>
      <c r="F161" s="27" t="n">
        <f aca="false">ROUND(B161*E161,2)</f>
        <v>0.78</v>
      </c>
      <c r="G161" s="30"/>
      <c r="H161" s="31" t="n">
        <v>2.53</v>
      </c>
      <c r="I161" s="32" t="n">
        <v>1</v>
      </c>
      <c r="J161" s="31" t="n">
        <f aca="false">ROUND(H161*I161,2)</f>
        <v>2.53</v>
      </c>
      <c r="K161" s="30"/>
      <c r="L161" s="33" t="n">
        <v>0.78</v>
      </c>
      <c r="M161" s="34" t="n">
        <v>1</v>
      </c>
      <c r="N161" s="33" t="n">
        <f aca="false">ROUND(L161*M161,2)</f>
        <v>0.78</v>
      </c>
    </row>
    <row r="162" customFormat="false" ht="15" hidden="false" customHeight="false" outlineLevel="0" collapsed="false">
      <c r="A162" s="47" t="s">
        <v>129</v>
      </c>
      <c r="B162" s="48"/>
      <c r="C162" s="48"/>
      <c r="D162" s="48"/>
      <c r="E162" s="48"/>
      <c r="F162" s="49" t="n">
        <f aca="false">ROUND((SUM(F150:F161)-F161)*1.21+F161,2)</f>
        <v>72</v>
      </c>
      <c r="G162" s="48"/>
      <c r="H162" s="48"/>
      <c r="I162" s="48"/>
      <c r="J162" s="50" t="n">
        <f aca="false">ROUND((SUM(J150:J161)-J161)*1.21+J161,2)</f>
        <v>103.44</v>
      </c>
      <c r="K162" s="48"/>
      <c r="L162" s="48"/>
      <c r="M162" s="48"/>
      <c r="N162" s="51" t="n">
        <f aca="false">ROUND((SUM(N150:N161)-N161)*1.21+N161,2)</f>
        <v>46.4</v>
      </c>
    </row>
    <row r="163" customFormat="false" ht="15" hidden="false" customHeight="false" outlineLevel="0" collapsed="false">
      <c r="A163" s="52" t="s">
        <v>130</v>
      </c>
      <c r="B163" s="53" t="n">
        <f aca="false">(SUM(F150:F158)-28.2654)/SUM(F150:F158)</f>
        <v>0.308237885462555</v>
      </c>
      <c r="C163" s="53"/>
      <c r="D163" s="53"/>
      <c r="E163" s="53"/>
      <c r="F163" s="53"/>
      <c r="G163" s="54"/>
      <c r="H163" s="54"/>
      <c r="I163" s="54"/>
      <c r="J163" s="54"/>
      <c r="K163" s="54"/>
      <c r="L163" s="55" t="str">
        <f aca="false">IF(B163&gt;=0.3,"APROBAR",IF(B163&gt;=0.2,"REVISAR","RECHAZAR"))</f>
        <v>APROBAR</v>
      </c>
      <c r="M163" s="55"/>
      <c r="N163" s="55"/>
    </row>
    <row r="165" customFormat="false" ht="15" hidden="false" customHeight="true" outlineLevel="0" collapsed="false">
      <c r="A165" s="14" t="s">
        <v>206</v>
      </c>
      <c r="B165" s="14"/>
      <c r="C165" s="14"/>
      <c r="D165" s="14"/>
      <c r="E165" s="14"/>
      <c r="F165" s="14"/>
      <c r="G165" s="14"/>
      <c r="H165" s="14"/>
      <c r="I165" s="15" t="s">
        <v>207</v>
      </c>
      <c r="J165" s="15"/>
      <c r="K165" s="15"/>
      <c r="L165" s="15"/>
      <c r="M165" s="15"/>
      <c r="N165" s="15"/>
      <c r="R165" s="16" t="s">
        <v>97</v>
      </c>
      <c r="S165" s="16"/>
      <c r="T165" s="16"/>
      <c r="U165" s="16"/>
      <c r="V165" s="16"/>
    </row>
    <row r="166" customFormat="false" ht="15" hidden="false" customHeight="true" outlineLevel="0" collapsed="false">
      <c r="A166" s="17" t="s">
        <v>98</v>
      </c>
      <c r="B166" s="18" t="s">
        <v>99</v>
      </c>
      <c r="C166" s="18"/>
      <c r="D166" s="18"/>
      <c r="E166" s="18"/>
      <c r="F166" s="18"/>
      <c r="G166" s="19"/>
      <c r="H166" s="20" t="s">
        <v>208</v>
      </c>
      <c r="I166" s="20"/>
      <c r="J166" s="20"/>
      <c r="K166" s="19"/>
      <c r="L166" s="21" t="s">
        <v>209</v>
      </c>
      <c r="M166" s="21"/>
      <c r="N166" s="21"/>
      <c r="R166" s="22" t="s">
        <v>210</v>
      </c>
      <c r="S166" s="22"/>
      <c r="T166" s="22"/>
      <c r="U166" s="22"/>
      <c r="V166" s="22"/>
    </row>
    <row r="167" customFormat="false" ht="15" hidden="false" customHeight="true" outlineLevel="0" collapsed="false">
      <c r="A167" s="19"/>
      <c r="B167" s="23" t="s">
        <v>103</v>
      </c>
      <c r="C167" s="23" t="s">
        <v>104</v>
      </c>
      <c r="D167" s="23" t="s">
        <v>105</v>
      </c>
      <c r="E167" s="23" t="s">
        <v>106</v>
      </c>
      <c r="F167" s="23" t="s">
        <v>107</v>
      </c>
      <c r="G167" s="19"/>
      <c r="H167" s="24" t="s">
        <v>103</v>
      </c>
      <c r="I167" s="24" t="s">
        <v>106</v>
      </c>
      <c r="J167" s="24" t="s">
        <v>107</v>
      </c>
      <c r="K167" s="19"/>
      <c r="L167" s="25" t="s">
        <v>103</v>
      </c>
      <c r="M167" s="25" t="s">
        <v>106</v>
      </c>
      <c r="N167" s="25" t="s">
        <v>107</v>
      </c>
      <c r="R167" s="26" t="s">
        <v>211</v>
      </c>
      <c r="S167" s="26"/>
      <c r="T167" s="26"/>
      <c r="U167" s="26"/>
      <c r="V167" s="26"/>
    </row>
    <row r="168" customFormat="false" ht="15" hidden="false" customHeight="true" outlineLevel="0" collapsed="false">
      <c r="A168" s="8" t="s">
        <v>109</v>
      </c>
      <c r="B168" s="27" t="n">
        <v>16.78</v>
      </c>
      <c r="C168" s="28" t="n">
        <v>30</v>
      </c>
      <c r="D168" s="29" t="n">
        <v>1.76631</v>
      </c>
      <c r="E168" s="29" t="n">
        <v>2.1</v>
      </c>
      <c r="F168" s="27" t="n">
        <f aca="false">ROUND(B168*E168,2)</f>
        <v>35.24</v>
      </c>
      <c r="G168" s="30"/>
      <c r="H168" s="31" t="n">
        <v>16.78</v>
      </c>
      <c r="I168" s="32" t="n">
        <v>2.1</v>
      </c>
      <c r="J168" s="31" t="n">
        <f aca="false">ROUND(H168*I168,2)</f>
        <v>35.24</v>
      </c>
      <c r="K168" s="30"/>
      <c r="L168" s="33" t="n">
        <v>16.78</v>
      </c>
      <c r="M168" s="34" t="n">
        <v>2.1</v>
      </c>
      <c r="N168" s="33" t="n">
        <f aca="false">ROUND(L168*M168,2)</f>
        <v>35.24</v>
      </c>
      <c r="R168" s="35" t="s">
        <v>212</v>
      </c>
      <c r="S168" s="35"/>
      <c r="T168" s="35"/>
      <c r="U168" s="35"/>
      <c r="V168" s="35"/>
    </row>
    <row r="169" customFormat="false" ht="15" hidden="false" customHeight="true" outlineLevel="0" collapsed="false">
      <c r="A169" s="8" t="s">
        <v>111</v>
      </c>
      <c r="B169" s="27" t="n">
        <v>16.78</v>
      </c>
      <c r="C169" s="28" t="n">
        <v>30</v>
      </c>
      <c r="D169" s="29" t="n">
        <v>1.08498</v>
      </c>
      <c r="E169" s="29" t="n">
        <v>1.91</v>
      </c>
      <c r="F169" s="27" t="n">
        <f aca="false">ROUND(B169*E169,2)</f>
        <v>32.05</v>
      </c>
      <c r="G169" s="30"/>
      <c r="H169" s="31" t="n">
        <v>16.78</v>
      </c>
      <c r="I169" s="32" t="n">
        <v>1.91</v>
      </c>
      <c r="J169" s="31" t="n">
        <f aca="false">ROUND(H169*I169,2)</f>
        <v>32.05</v>
      </c>
      <c r="K169" s="30"/>
      <c r="L169" s="33" t="n">
        <v>16.78</v>
      </c>
      <c r="M169" s="34" t="n">
        <v>1.91</v>
      </c>
      <c r="N169" s="33" t="n">
        <f aca="false">ROUND(L169*M169,2)</f>
        <v>32.05</v>
      </c>
      <c r="R169" s="36" t="s">
        <v>213</v>
      </c>
      <c r="S169" s="36"/>
      <c r="T169" s="36"/>
      <c r="U169" s="36"/>
      <c r="V169" s="36"/>
    </row>
    <row r="170" customFormat="false" ht="15" hidden="false" customHeight="true" outlineLevel="0" collapsed="false">
      <c r="A170" s="8" t="s">
        <v>113</v>
      </c>
      <c r="B170" s="27" t="n">
        <v>16.78</v>
      </c>
      <c r="C170" s="28" t="n">
        <v>30</v>
      </c>
      <c r="D170" s="29" t="n">
        <v>0.49971</v>
      </c>
      <c r="E170" s="29" t="n">
        <v>0.71</v>
      </c>
      <c r="F170" s="27" t="n">
        <f aca="false">ROUND(B170*E170,2)</f>
        <v>11.91</v>
      </c>
      <c r="G170" s="30"/>
      <c r="H170" s="31" t="n">
        <v>16.78</v>
      </c>
      <c r="I170" s="32" t="n">
        <v>0.71</v>
      </c>
      <c r="J170" s="31" t="n">
        <f aca="false">ROUND(H170*I170,2)</f>
        <v>11.91</v>
      </c>
      <c r="K170" s="30"/>
      <c r="L170" s="33" t="n">
        <v>16.78</v>
      </c>
      <c r="M170" s="34" t="n">
        <v>0.71</v>
      </c>
      <c r="N170" s="33" t="n">
        <f aca="false">ROUND(L170*M170,2)</f>
        <v>11.91</v>
      </c>
      <c r="R170" s="36" t="s">
        <v>214</v>
      </c>
      <c r="S170" s="36"/>
      <c r="T170" s="36"/>
      <c r="U170" s="36"/>
      <c r="V170" s="36"/>
    </row>
    <row r="171" customFormat="false" ht="15" hidden="false" customHeight="true" outlineLevel="0" collapsed="false">
      <c r="A171" s="8" t="s">
        <v>115</v>
      </c>
      <c r="B171" s="27" t="n">
        <v>16.78</v>
      </c>
      <c r="C171" s="28" t="n">
        <v>30</v>
      </c>
      <c r="D171" s="29" t="n">
        <v>0.41658</v>
      </c>
      <c r="E171" s="29" t="n">
        <v>0.57</v>
      </c>
      <c r="F171" s="27" t="n">
        <f aca="false">ROUND(B171*E171,2)</f>
        <v>9.56</v>
      </c>
      <c r="G171" s="30"/>
      <c r="H171" s="31" t="n">
        <v>16.78</v>
      </c>
      <c r="I171" s="32" t="n">
        <v>0.57</v>
      </c>
      <c r="J171" s="31" t="n">
        <f aca="false">ROUND(H171*I171,2)</f>
        <v>9.56</v>
      </c>
      <c r="K171" s="30"/>
      <c r="L171" s="33" t="n">
        <v>16.78</v>
      </c>
      <c r="M171" s="34" t="n">
        <v>0.57</v>
      </c>
      <c r="N171" s="33" t="n">
        <f aca="false">ROUND(L171*M171,2)</f>
        <v>9.56</v>
      </c>
      <c r="R171" s="56" t="s">
        <v>149</v>
      </c>
      <c r="S171" s="56"/>
      <c r="T171" s="56"/>
      <c r="U171" s="56"/>
      <c r="V171" s="56"/>
    </row>
    <row r="172" customFormat="false" ht="15" hidden="false" customHeight="true" outlineLevel="0" collapsed="false">
      <c r="A172" s="8" t="s">
        <v>117</v>
      </c>
      <c r="B172" s="27" t="n">
        <v>16.78</v>
      </c>
      <c r="C172" s="28" t="n">
        <v>30</v>
      </c>
      <c r="D172" s="29" t="n">
        <v>0.33309</v>
      </c>
      <c r="E172" s="29" t="n">
        <v>0.55</v>
      </c>
      <c r="F172" s="27" t="n">
        <f aca="false">ROUND(B172*E172,2)</f>
        <v>9.23</v>
      </c>
      <c r="G172" s="30"/>
      <c r="H172" s="31" t="n">
        <v>16.78</v>
      </c>
      <c r="I172" s="32" t="n">
        <v>0.55</v>
      </c>
      <c r="J172" s="31" t="n">
        <f aca="false">ROUND(H172*I172,2)</f>
        <v>9.23</v>
      </c>
      <c r="K172" s="30"/>
      <c r="L172" s="33" t="n">
        <v>16.78</v>
      </c>
      <c r="M172" s="34" t="n">
        <v>0.55</v>
      </c>
      <c r="N172" s="33" t="n">
        <f aca="false">ROUND(L172*M172,2)</f>
        <v>9.23</v>
      </c>
      <c r="R172" s="38" t="s">
        <v>118</v>
      </c>
      <c r="S172" s="38"/>
      <c r="T172" s="38"/>
      <c r="U172" s="38"/>
      <c r="V172" s="38"/>
    </row>
    <row r="173" customFormat="false" ht="15" hidden="false" customHeight="false" outlineLevel="0" collapsed="false">
      <c r="A173" s="8" t="s">
        <v>119</v>
      </c>
      <c r="B173" s="27" t="n">
        <v>16.78</v>
      </c>
      <c r="C173" s="28" t="n">
        <v>30</v>
      </c>
      <c r="D173" s="29" t="n">
        <v>0.24417</v>
      </c>
      <c r="E173" s="29" t="n">
        <v>0.45</v>
      </c>
      <c r="F173" s="27" t="n">
        <f aca="false">ROUND(B173*E173,2)</f>
        <v>7.55</v>
      </c>
      <c r="G173" s="30"/>
      <c r="H173" s="31" t="n">
        <v>16.78</v>
      </c>
      <c r="I173" s="32" t="n">
        <v>0.45</v>
      </c>
      <c r="J173" s="31" t="n">
        <f aca="false">ROUND(H173*I173,2)</f>
        <v>7.55</v>
      </c>
      <c r="K173" s="30"/>
      <c r="L173" s="33" t="n">
        <v>16.78</v>
      </c>
      <c r="M173" s="34" t="n">
        <v>0.45</v>
      </c>
      <c r="N173" s="33" t="n">
        <f aca="false">ROUND(L173*M173,2)</f>
        <v>7.55</v>
      </c>
    </row>
    <row r="174" customFormat="false" ht="15" hidden="false" customHeight="false" outlineLevel="0" collapsed="false">
      <c r="A174" s="39" t="s">
        <v>120</v>
      </c>
      <c r="B174" s="40" t="n">
        <f aca="false">IF($P$174="",595.877,ROUND(595.877*((328.3749/(1-$P$174))-105.54)/273.24,2))</f>
        <v>595.877</v>
      </c>
      <c r="C174" s="28"/>
      <c r="D174" s="41" t="n">
        <v>0.130768</v>
      </c>
      <c r="E174" s="29" t="n">
        <v>0.141</v>
      </c>
      <c r="F174" s="27" t="n">
        <f aca="false">ROUND(B174*E174,2)</f>
        <v>84.02</v>
      </c>
      <c r="G174" s="30"/>
      <c r="H174" s="42" t="n">
        <v>1076.27</v>
      </c>
      <c r="I174" s="32" t="n">
        <v>0.141</v>
      </c>
      <c r="J174" s="31" t="n">
        <f aca="false">ROUND(H174*I174,2)</f>
        <v>151.75</v>
      </c>
      <c r="K174" s="30"/>
      <c r="L174" s="43" t="n">
        <v>560.74</v>
      </c>
      <c r="M174" s="34" t="n">
        <v>0.15833</v>
      </c>
      <c r="N174" s="33" t="n">
        <f aca="false">ROUND(L174*M174,2)</f>
        <v>88.78</v>
      </c>
      <c r="O174" s="44" t="s">
        <v>121</v>
      </c>
      <c r="P174" s="45"/>
    </row>
    <row r="175" customFormat="false" ht="15" hidden="false" customHeight="false" outlineLevel="0" collapsed="false">
      <c r="A175" s="39" t="s">
        <v>122</v>
      </c>
      <c r="B175" s="40" t="n">
        <f aca="false">IF($P$174="",615.733,ROUND(615.733*((328.3749/(1-$P$174))-105.54)/273.24,2))</f>
        <v>615.733</v>
      </c>
      <c r="C175" s="28"/>
      <c r="D175" s="41" t="n">
        <v>0.130768</v>
      </c>
      <c r="E175" s="29" t="n">
        <v>0.141</v>
      </c>
      <c r="F175" s="27" t="n">
        <f aca="false">ROUND(B175*E175,2)</f>
        <v>86.82</v>
      </c>
      <c r="G175" s="30"/>
      <c r="H175" s="42" t="n">
        <v>802.707</v>
      </c>
      <c r="I175" s="32" t="n">
        <v>0.141</v>
      </c>
      <c r="J175" s="31" t="n">
        <f aca="false">ROUND(H175*I175,2)</f>
        <v>113.18</v>
      </c>
      <c r="K175" s="30"/>
      <c r="L175" s="43" t="n">
        <v>340.706</v>
      </c>
      <c r="M175" s="34" t="n">
        <v>0.1535</v>
      </c>
      <c r="N175" s="33" t="n">
        <f aca="false">ROUND(L175*M175,2)</f>
        <v>52.3</v>
      </c>
      <c r="O175" s="46" t="s">
        <v>123</v>
      </c>
    </row>
    <row r="176" customFormat="false" ht="15" hidden="false" customHeight="false" outlineLevel="0" collapsed="false">
      <c r="A176" s="39" t="s">
        <v>124</v>
      </c>
      <c r="B176" s="40" t="n">
        <f aca="false">IF($P$174="",742.023,ROUND(742.023*((328.3749/(1-$P$174))-105.54)/273.24,2))</f>
        <v>742.023</v>
      </c>
      <c r="C176" s="28"/>
      <c r="D176" s="41" t="n">
        <v>0.130768</v>
      </c>
      <c r="E176" s="29" t="n">
        <v>0.138</v>
      </c>
      <c r="F176" s="27" t="n">
        <f aca="false">ROUND(B176*E176,2)</f>
        <v>102.4</v>
      </c>
      <c r="G176" s="30"/>
      <c r="H176" s="42" t="n">
        <v>583.014</v>
      </c>
      <c r="I176" s="32" t="n">
        <v>0.138</v>
      </c>
      <c r="J176" s="31" t="n">
        <f aca="false">ROUND(H176*I176,2)</f>
        <v>80.46</v>
      </c>
      <c r="K176" s="30"/>
      <c r="L176" s="43" t="n">
        <v>1515.849</v>
      </c>
      <c r="M176" s="34" t="n">
        <v>0.15</v>
      </c>
      <c r="N176" s="33" t="n">
        <f aca="false">ROUND(L176*M176,2)</f>
        <v>227.38</v>
      </c>
      <c r="O176" s="46" t="s">
        <v>125</v>
      </c>
    </row>
    <row r="177" customFormat="false" ht="15" hidden="false" customHeight="false" outlineLevel="0" collapsed="false">
      <c r="A177" s="8" t="s">
        <v>126</v>
      </c>
      <c r="B177" s="27" t="n">
        <v>1</v>
      </c>
      <c r="C177" s="28"/>
      <c r="D177" s="29" t="n">
        <v>4</v>
      </c>
      <c r="E177" s="29" t="n">
        <v>4</v>
      </c>
      <c r="F177" s="27" t="n">
        <f aca="false">ROUND(B177*E177,2)</f>
        <v>4</v>
      </c>
      <c r="G177" s="30"/>
      <c r="H177" s="31" t="n">
        <v>1</v>
      </c>
      <c r="I177" s="32" t="n">
        <v>4</v>
      </c>
      <c r="J177" s="31" t="n">
        <f aca="false">ROUND(H177*I177,2)</f>
        <v>4</v>
      </c>
      <c r="K177" s="30"/>
      <c r="L177" s="33" t="n">
        <v>1</v>
      </c>
      <c r="M177" s="34" t="n">
        <v>1</v>
      </c>
      <c r="N177" s="33" t="n">
        <f aca="false">ROUND(L177*M177,2)</f>
        <v>1</v>
      </c>
    </row>
    <row r="178" customFormat="false" ht="15" hidden="false" customHeight="false" outlineLevel="0" collapsed="false">
      <c r="A178" s="8" t="s">
        <v>127</v>
      </c>
      <c r="B178" s="27" t="n">
        <v>30</v>
      </c>
      <c r="C178" s="28"/>
      <c r="D178" s="29" t="n">
        <v>0.01274</v>
      </c>
      <c r="E178" s="29" t="n">
        <v>0.01274</v>
      </c>
      <c r="F178" s="27" t="n">
        <f aca="false">ROUND(B178*E178,2)</f>
        <v>0.38</v>
      </c>
      <c r="G178" s="30"/>
      <c r="H178" s="31" t="n">
        <v>30</v>
      </c>
      <c r="I178" s="32" t="n">
        <v>0.01274</v>
      </c>
      <c r="J178" s="31" t="n">
        <f aca="false">ROUND(H178*I178,2)</f>
        <v>0.38</v>
      </c>
      <c r="K178" s="30"/>
      <c r="L178" s="33" t="n">
        <v>30</v>
      </c>
      <c r="M178" s="34" t="n">
        <v>0.01274</v>
      </c>
      <c r="N178" s="33" t="n">
        <f aca="false">ROUND(L178*M178,2)</f>
        <v>0.38</v>
      </c>
    </row>
    <row r="179" customFormat="false" ht="15" hidden="false" customHeight="false" outlineLevel="0" collapsed="false">
      <c r="A179" s="8" t="s">
        <v>128</v>
      </c>
      <c r="B179" s="27" t="n">
        <v>16.67</v>
      </c>
      <c r="C179" s="28"/>
      <c r="D179" s="29" t="n">
        <v>1</v>
      </c>
      <c r="E179" s="29" t="n">
        <v>1</v>
      </c>
      <c r="F179" s="27" t="n">
        <f aca="false">ROUND(B179*E179,2)</f>
        <v>16.67</v>
      </c>
      <c r="G179" s="30"/>
      <c r="H179" s="31" t="n">
        <v>26.9</v>
      </c>
      <c r="I179" s="32" t="n">
        <v>1</v>
      </c>
      <c r="J179" s="31" t="n">
        <f aca="false">ROUND(H179*I179,2)</f>
        <v>26.9</v>
      </c>
      <c r="K179" s="30"/>
      <c r="L179" s="33" t="n">
        <v>17.91</v>
      </c>
      <c r="M179" s="34" t="n">
        <v>1</v>
      </c>
      <c r="N179" s="33" t="n">
        <f aca="false">ROUND(L179*M179,2)</f>
        <v>17.91</v>
      </c>
    </row>
    <row r="180" customFormat="false" ht="15" hidden="false" customHeight="false" outlineLevel="0" collapsed="false">
      <c r="A180" s="47" t="s">
        <v>129</v>
      </c>
      <c r="B180" s="48"/>
      <c r="C180" s="48"/>
      <c r="D180" s="48"/>
      <c r="E180" s="48"/>
      <c r="F180" s="49" t="n">
        <f aca="false">ROUND((SUM(F168:F179)-F179)*1.21+F179,2)</f>
        <v>480.29</v>
      </c>
      <c r="G180" s="48"/>
      <c r="H180" s="48"/>
      <c r="I180" s="48"/>
      <c r="J180" s="50" t="n">
        <f aca="false">ROUND((SUM(J168:J179)-J179)*1.21+J179,2)</f>
        <v>577.83</v>
      </c>
      <c r="K180" s="48"/>
      <c r="L180" s="48"/>
      <c r="M180" s="48"/>
      <c r="N180" s="51" t="n">
        <f aca="false">ROUND((SUM(N168:N179)-N179)*1.21+N179,2)</f>
        <v>593.12</v>
      </c>
    </row>
    <row r="181" customFormat="false" ht="15" hidden="false" customHeight="false" outlineLevel="0" collapsed="false">
      <c r="A181" s="52" t="s">
        <v>130</v>
      </c>
      <c r="B181" s="53" t="n">
        <f aca="false">(SUM(F168:F176)-328.3749)/SUM(F168:F176)</f>
        <v>0.133072231902423</v>
      </c>
      <c r="C181" s="53"/>
      <c r="D181" s="53"/>
      <c r="E181" s="53"/>
      <c r="F181" s="53"/>
      <c r="G181" s="54"/>
      <c r="H181" s="54"/>
      <c r="I181" s="54"/>
      <c r="J181" s="54"/>
      <c r="K181" s="54"/>
      <c r="L181" s="55" t="str">
        <f aca="false">IF(B181&gt;=0.3,"APROBAR",IF(B181&gt;=0.2,"REVISAR","RECHAZAR"))</f>
        <v>RECHAZAR</v>
      </c>
      <c r="M181" s="55"/>
      <c r="N181" s="55"/>
    </row>
    <row r="183" customFormat="false" ht="15" hidden="false" customHeight="true" outlineLevel="0" collapsed="false">
      <c r="A183" s="14" t="s">
        <v>215</v>
      </c>
      <c r="B183" s="14"/>
      <c r="C183" s="14"/>
      <c r="D183" s="14"/>
      <c r="E183" s="14"/>
      <c r="F183" s="14"/>
      <c r="G183" s="14"/>
      <c r="H183" s="14"/>
      <c r="I183" s="15" t="s">
        <v>216</v>
      </c>
      <c r="J183" s="15"/>
      <c r="K183" s="15"/>
      <c r="L183" s="15"/>
      <c r="M183" s="15"/>
      <c r="N183" s="15"/>
      <c r="R183" s="16" t="s">
        <v>97</v>
      </c>
      <c r="S183" s="16"/>
      <c r="T183" s="16"/>
      <c r="U183" s="16"/>
      <c r="V183" s="16"/>
    </row>
    <row r="184" customFormat="false" ht="15" hidden="false" customHeight="true" outlineLevel="0" collapsed="false">
      <c r="A184" s="17" t="s">
        <v>98</v>
      </c>
      <c r="B184" s="18" t="s">
        <v>99</v>
      </c>
      <c r="C184" s="18"/>
      <c r="D184" s="18"/>
      <c r="E184" s="18"/>
      <c r="F184" s="18"/>
      <c r="G184" s="19"/>
      <c r="H184" s="20" t="s">
        <v>217</v>
      </c>
      <c r="I184" s="20"/>
      <c r="J184" s="20"/>
      <c r="K184" s="19"/>
      <c r="L184" s="21" t="s">
        <v>218</v>
      </c>
      <c r="M184" s="21"/>
      <c r="N184" s="21"/>
      <c r="R184" s="22" t="s">
        <v>219</v>
      </c>
      <c r="S184" s="22"/>
      <c r="T184" s="22"/>
      <c r="U184" s="22"/>
      <c r="V184" s="22"/>
    </row>
    <row r="185" customFormat="false" ht="15" hidden="false" customHeight="true" outlineLevel="0" collapsed="false">
      <c r="A185" s="19"/>
      <c r="B185" s="23" t="s">
        <v>103</v>
      </c>
      <c r="C185" s="23" t="s">
        <v>104</v>
      </c>
      <c r="D185" s="23" t="s">
        <v>105</v>
      </c>
      <c r="E185" s="23" t="s">
        <v>106</v>
      </c>
      <c r="F185" s="23" t="s">
        <v>107</v>
      </c>
      <c r="G185" s="19"/>
      <c r="H185" s="24" t="s">
        <v>103</v>
      </c>
      <c r="I185" s="24" t="s">
        <v>106</v>
      </c>
      <c r="J185" s="24" t="s">
        <v>107</v>
      </c>
      <c r="K185" s="19"/>
      <c r="L185" s="25" t="s">
        <v>103</v>
      </c>
      <c r="M185" s="25" t="s">
        <v>106</v>
      </c>
      <c r="N185" s="25" t="s">
        <v>107</v>
      </c>
      <c r="R185" s="26" t="s">
        <v>220</v>
      </c>
      <c r="S185" s="26"/>
      <c r="T185" s="26"/>
      <c r="U185" s="26"/>
      <c r="V185" s="26"/>
    </row>
    <row r="186" customFormat="false" ht="15" hidden="false" customHeight="true" outlineLevel="0" collapsed="false">
      <c r="A186" s="8" t="s">
        <v>109</v>
      </c>
      <c r="B186" s="27" t="n">
        <v>12</v>
      </c>
      <c r="C186" s="28" t="n">
        <v>30</v>
      </c>
      <c r="D186" s="29" t="n">
        <v>1.73784</v>
      </c>
      <c r="E186" s="29" t="n">
        <v>2.5542</v>
      </c>
      <c r="F186" s="27" t="n">
        <f aca="false">ROUND(B186*E186,2)</f>
        <v>30.65</v>
      </c>
      <c r="G186" s="30"/>
      <c r="H186" s="31" t="n">
        <v>12</v>
      </c>
      <c r="I186" s="32" t="n">
        <v>2.5542</v>
      </c>
      <c r="J186" s="31" t="n">
        <f aca="false">ROUND(H186*I186,2)</f>
        <v>30.65</v>
      </c>
      <c r="K186" s="30"/>
      <c r="L186" s="33" t="n">
        <v>12</v>
      </c>
      <c r="M186" s="34" t="n">
        <v>2.5542</v>
      </c>
      <c r="N186" s="33" t="n">
        <f aca="false">ROUND(L186*M186,2)</f>
        <v>30.65</v>
      </c>
      <c r="R186" s="35" t="s">
        <v>221</v>
      </c>
      <c r="S186" s="35"/>
      <c r="T186" s="35"/>
      <c r="U186" s="35"/>
      <c r="V186" s="35"/>
    </row>
    <row r="187" customFormat="false" ht="15" hidden="false" customHeight="true" outlineLevel="0" collapsed="false">
      <c r="A187" s="8" t="s">
        <v>111</v>
      </c>
      <c r="B187" s="27" t="n">
        <v>12</v>
      </c>
      <c r="C187" s="28" t="n">
        <v>30</v>
      </c>
      <c r="D187" s="29" t="n">
        <v>0.9357</v>
      </c>
      <c r="E187" s="29" t="n">
        <v>1.3773</v>
      </c>
      <c r="F187" s="27" t="n">
        <f aca="false">ROUND(B187*E187,2)</f>
        <v>16.53</v>
      </c>
      <c r="G187" s="30"/>
      <c r="H187" s="31" t="n">
        <v>12</v>
      </c>
      <c r="I187" s="32" t="n">
        <v>1.3773</v>
      </c>
      <c r="J187" s="31" t="n">
        <f aca="false">ROUND(H187*I187,2)</f>
        <v>16.53</v>
      </c>
      <c r="K187" s="30"/>
      <c r="L187" s="33" t="n">
        <v>12</v>
      </c>
      <c r="M187" s="34" t="n">
        <v>1.3773</v>
      </c>
      <c r="N187" s="33" t="n">
        <f aca="false">ROUND(L187*M187,2)</f>
        <v>16.53</v>
      </c>
      <c r="R187" s="36" t="s">
        <v>222</v>
      </c>
      <c r="S187" s="36"/>
      <c r="T187" s="36"/>
      <c r="U187" s="36"/>
      <c r="V187" s="36"/>
    </row>
    <row r="188" customFormat="false" ht="15" hidden="false" customHeight="true" outlineLevel="0" collapsed="false">
      <c r="A188" s="8" t="s">
        <v>113</v>
      </c>
      <c r="B188" s="27" t="n">
        <v>12</v>
      </c>
      <c r="C188" s="28" t="n">
        <v>30</v>
      </c>
      <c r="D188" s="29" t="n">
        <v>0.43137</v>
      </c>
      <c r="E188" s="29" t="n">
        <v>0.6286</v>
      </c>
      <c r="F188" s="27" t="n">
        <f aca="false">ROUND(B188*E188,2)</f>
        <v>7.54</v>
      </c>
      <c r="G188" s="30"/>
      <c r="H188" s="31" t="n">
        <v>12</v>
      </c>
      <c r="I188" s="32" t="n">
        <v>0.6286</v>
      </c>
      <c r="J188" s="31" t="n">
        <f aca="false">ROUND(H188*I188,2)</f>
        <v>7.54</v>
      </c>
      <c r="K188" s="30"/>
      <c r="L188" s="33" t="n">
        <v>12</v>
      </c>
      <c r="M188" s="34" t="n">
        <v>0.6286</v>
      </c>
      <c r="N188" s="33" t="n">
        <f aca="false">ROUND(L188*M188,2)</f>
        <v>7.54</v>
      </c>
      <c r="R188" s="36" t="s">
        <v>223</v>
      </c>
      <c r="S188" s="36"/>
      <c r="T188" s="36"/>
      <c r="U188" s="36"/>
      <c r="V188" s="36"/>
    </row>
    <row r="189" customFormat="false" ht="15" hidden="false" customHeight="true" outlineLevel="0" collapsed="false">
      <c r="A189" s="8" t="s">
        <v>115</v>
      </c>
      <c r="B189" s="27" t="n">
        <v>12</v>
      </c>
      <c r="C189" s="28" t="n">
        <v>30</v>
      </c>
      <c r="D189" s="29" t="n">
        <v>0.38244</v>
      </c>
      <c r="E189" s="29" t="n">
        <v>0.5561</v>
      </c>
      <c r="F189" s="27" t="n">
        <f aca="false">ROUND(B189*E189,2)</f>
        <v>6.67</v>
      </c>
      <c r="G189" s="30"/>
      <c r="H189" s="31" t="n">
        <v>12</v>
      </c>
      <c r="I189" s="32" t="n">
        <v>0.5561</v>
      </c>
      <c r="J189" s="31" t="n">
        <f aca="false">ROUND(H189*I189,2)</f>
        <v>6.67</v>
      </c>
      <c r="K189" s="30"/>
      <c r="L189" s="33" t="n">
        <v>12</v>
      </c>
      <c r="M189" s="34" t="n">
        <v>0.5561</v>
      </c>
      <c r="N189" s="33" t="n">
        <f aca="false">ROUND(L189*M189,2)</f>
        <v>6.67</v>
      </c>
      <c r="R189" s="56" t="s">
        <v>149</v>
      </c>
      <c r="S189" s="56"/>
      <c r="T189" s="56"/>
      <c r="U189" s="56"/>
      <c r="V189" s="56"/>
    </row>
    <row r="190" customFormat="false" ht="15" hidden="false" customHeight="true" outlineLevel="0" collapsed="false">
      <c r="A190" s="8" t="s">
        <v>117</v>
      </c>
      <c r="B190" s="27" t="n">
        <v>12</v>
      </c>
      <c r="C190" s="28" t="n">
        <v>30</v>
      </c>
      <c r="D190" s="29" t="n">
        <v>0.26964</v>
      </c>
      <c r="E190" s="29" t="n">
        <v>0.3868</v>
      </c>
      <c r="F190" s="27" t="n">
        <f aca="false">ROUND(B190*E190,2)</f>
        <v>4.64</v>
      </c>
      <c r="G190" s="30"/>
      <c r="H190" s="31" t="n">
        <v>12</v>
      </c>
      <c r="I190" s="32" t="n">
        <v>0.3868</v>
      </c>
      <c r="J190" s="31" t="n">
        <f aca="false">ROUND(H190*I190,2)</f>
        <v>4.64</v>
      </c>
      <c r="K190" s="30"/>
      <c r="L190" s="33" t="n">
        <v>12</v>
      </c>
      <c r="M190" s="34" t="n">
        <v>0.3868</v>
      </c>
      <c r="N190" s="33" t="n">
        <f aca="false">ROUND(L190*M190,2)</f>
        <v>4.64</v>
      </c>
      <c r="R190" s="38" t="s">
        <v>118</v>
      </c>
      <c r="S190" s="38"/>
      <c r="T190" s="38"/>
      <c r="U190" s="38"/>
      <c r="V190" s="38"/>
    </row>
    <row r="191" customFormat="false" ht="15" hidden="false" customHeight="false" outlineLevel="0" collapsed="false">
      <c r="A191" s="8" t="s">
        <v>119</v>
      </c>
      <c r="B191" s="27" t="n">
        <v>15.001</v>
      </c>
      <c r="C191" s="28" t="n">
        <v>30</v>
      </c>
      <c r="D191" s="29" t="n">
        <v>0.18156</v>
      </c>
      <c r="E191" s="29" t="n">
        <v>0.2653</v>
      </c>
      <c r="F191" s="27" t="n">
        <f aca="false">ROUND(B191*E191,2)</f>
        <v>3.98</v>
      </c>
      <c r="G191" s="30"/>
      <c r="H191" s="31" t="n">
        <v>15.001</v>
      </c>
      <c r="I191" s="32" t="n">
        <v>0.2653</v>
      </c>
      <c r="J191" s="31" t="n">
        <f aca="false">ROUND(H191*I191,2)</f>
        <v>3.98</v>
      </c>
      <c r="K191" s="30"/>
      <c r="L191" s="33" t="n">
        <v>15.001</v>
      </c>
      <c r="M191" s="34" t="n">
        <v>0.2653</v>
      </c>
      <c r="N191" s="33" t="n">
        <f aca="false">ROUND(L191*M191,2)</f>
        <v>3.98</v>
      </c>
    </row>
    <row r="192" customFormat="false" ht="15" hidden="false" customHeight="false" outlineLevel="0" collapsed="false">
      <c r="A192" s="39" t="s">
        <v>120</v>
      </c>
      <c r="B192" s="40" t="n">
        <f aca="false">IF($P$192="",12.402,ROUND(12.402*((52.3084/(1-$P$192))-70.01)/4.49,2))</f>
        <v>12.402</v>
      </c>
      <c r="C192" s="28"/>
      <c r="D192" s="41" t="n">
        <v>0.130339</v>
      </c>
      <c r="E192" s="29" t="n">
        <v>0.13</v>
      </c>
      <c r="F192" s="27" t="n">
        <f aca="false">ROUND(B192*E192,2)</f>
        <v>1.61</v>
      </c>
      <c r="G192" s="30"/>
      <c r="H192" s="42" t="n">
        <v>19.021</v>
      </c>
      <c r="I192" s="32" t="n">
        <v>0.18804</v>
      </c>
      <c r="J192" s="31" t="n">
        <f aca="false">ROUND(H192*I192,2)</f>
        <v>3.58</v>
      </c>
      <c r="K192" s="30"/>
      <c r="L192" s="43" t="n">
        <v>8.05</v>
      </c>
      <c r="M192" s="34" t="n">
        <v>0.173</v>
      </c>
      <c r="N192" s="33" t="n">
        <f aca="false">ROUND(L192*M192,2)</f>
        <v>1.39</v>
      </c>
      <c r="O192" s="44" t="s">
        <v>121</v>
      </c>
      <c r="P192" s="45"/>
    </row>
    <row r="193" customFormat="false" ht="15" hidden="false" customHeight="false" outlineLevel="0" collapsed="false">
      <c r="A193" s="39" t="s">
        <v>122</v>
      </c>
      <c r="B193" s="40" t="n">
        <f aca="false">IF($P$192="",7.552,ROUND(7.552*((52.3084/(1-$P$192))-70.01)/4.49,2))</f>
        <v>7.552</v>
      </c>
      <c r="C193" s="28"/>
      <c r="D193" s="41" t="n">
        <v>0.130339</v>
      </c>
      <c r="E193" s="29" t="n">
        <v>0.13</v>
      </c>
      <c r="F193" s="27" t="n">
        <f aca="false">ROUND(B193*E193,2)</f>
        <v>0.98</v>
      </c>
      <c r="G193" s="30"/>
      <c r="H193" s="42" t="n">
        <v>6.86</v>
      </c>
      <c r="I193" s="32" t="n">
        <v>0.17506</v>
      </c>
      <c r="J193" s="31" t="n">
        <f aca="false">ROUND(H193*I193,2)</f>
        <v>1.2</v>
      </c>
      <c r="K193" s="30"/>
      <c r="L193" s="43" t="n">
        <v>12.656</v>
      </c>
      <c r="M193" s="34" t="n">
        <v>0.1707</v>
      </c>
      <c r="N193" s="33" t="n">
        <f aca="false">ROUND(L193*M193,2)</f>
        <v>2.16</v>
      </c>
      <c r="O193" s="46" t="s">
        <v>123</v>
      </c>
    </row>
    <row r="194" customFormat="false" ht="15" hidden="false" customHeight="false" outlineLevel="0" collapsed="false">
      <c r="A194" s="39" t="s">
        <v>124</v>
      </c>
      <c r="B194" s="40" t="n">
        <f aca="false">IF($P$192="",14.609,ROUND(14.609*((52.3084/(1-$P$192))-70.01)/4.49,2))</f>
        <v>14.609</v>
      </c>
      <c r="C194" s="28"/>
      <c r="D194" s="41" t="n">
        <v>0.130339</v>
      </c>
      <c r="E194" s="29" t="n">
        <v>0.13</v>
      </c>
      <c r="F194" s="27" t="n">
        <f aca="false">ROUND(B194*E194,2)</f>
        <v>1.9</v>
      </c>
      <c r="G194" s="30"/>
      <c r="H194" s="42" t="n">
        <v>28.042</v>
      </c>
      <c r="I194" s="32" t="n">
        <v>0.1669</v>
      </c>
      <c r="J194" s="31" t="n">
        <f aca="false">ROUND(H194*I194,2)</f>
        <v>4.68</v>
      </c>
      <c r="K194" s="30"/>
      <c r="L194" s="43" t="n">
        <v>17.828</v>
      </c>
      <c r="M194" s="34" t="n">
        <v>0.1669</v>
      </c>
      <c r="N194" s="33" t="n">
        <f aca="false">ROUND(L194*M194,2)</f>
        <v>2.98</v>
      </c>
      <c r="O194" s="46" t="s">
        <v>125</v>
      </c>
    </row>
    <row r="195" customFormat="false" ht="15" hidden="false" customHeight="false" outlineLevel="0" collapsed="false">
      <c r="A195" s="8" t="s">
        <v>126</v>
      </c>
      <c r="B195" s="27" t="n">
        <v>1</v>
      </c>
      <c r="C195" s="28"/>
      <c r="D195" s="29" t="n">
        <v>17.615</v>
      </c>
      <c r="E195" s="29" t="n">
        <v>17.615</v>
      </c>
      <c r="F195" s="27" t="n">
        <f aca="false">ROUND(B195*E195,2)</f>
        <v>17.62</v>
      </c>
      <c r="G195" s="30"/>
      <c r="H195" s="31" t="n">
        <v>1</v>
      </c>
      <c r="I195" s="32" t="n">
        <v>17.615</v>
      </c>
      <c r="J195" s="31" t="n">
        <f aca="false">ROUND(H195*I195,2)</f>
        <v>17.62</v>
      </c>
      <c r="K195" s="30"/>
      <c r="L195" s="33" t="n">
        <v>1</v>
      </c>
      <c r="M195" s="34" t="n">
        <v>17.615</v>
      </c>
      <c r="N195" s="33" t="n">
        <f aca="false">ROUND(L195*M195,2)</f>
        <v>17.62</v>
      </c>
    </row>
    <row r="196" customFormat="false" ht="15" hidden="false" customHeight="false" outlineLevel="0" collapsed="false">
      <c r="A196" s="8" t="s">
        <v>127</v>
      </c>
      <c r="B196" s="27" t="n">
        <v>30</v>
      </c>
      <c r="C196" s="28"/>
      <c r="D196" s="29" t="n">
        <v>0.01274</v>
      </c>
      <c r="E196" s="29" t="n">
        <v>0.01274</v>
      </c>
      <c r="F196" s="27" t="n">
        <f aca="false">ROUND(B196*E196,2)</f>
        <v>0.38</v>
      </c>
      <c r="G196" s="30"/>
      <c r="H196" s="31" t="n">
        <v>30</v>
      </c>
      <c r="I196" s="32" t="n">
        <v>0.01274</v>
      </c>
      <c r="J196" s="31" t="n">
        <f aca="false">ROUND(H196*I196,2)</f>
        <v>0.38</v>
      </c>
      <c r="K196" s="30"/>
      <c r="L196" s="33" t="n">
        <v>30</v>
      </c>
      <c r="M196" s="34" t="n">
        <v>0.00629</v>
      </c>
      <c r="N196" s="33" t="n">
        <f aca="false">ROUND(L196*M196,2)</f>
        <v>0.19</v>
      </c>
    </row>
    <row r="197" customFormat="false" ht="15" hidden="false" customHeight="false" outlineLevel="0" collapsed="false">
      <c r="A197" s="8" t="s">
        <v>128</v>
      </c>
      <c r="B197" s="27" t="n">
        <v>3.92</v>
      </c>
      <c r="C197" s="28"/>
      <c r="D197" s="29" t="n">
        <v>1</v>
      </c>
      <c r="E197" s="29" t="n">
        <v>1</v>
      </c>
      <c r="F197" s="27" t="n">
        <f aca="false">ROUND(B197*E197,2)</f>
        <v>3.92</v>
      </c>
      <c r="G197" s="30"/>
      <c r="H197" s="31" t="n">
        <v>4.08</v>
      </c>
      <c r="I197" s="32" t="n">
        <v>1</v>
      </c>
      <c r="J197" s="31" t="n">
        <f aca="false">ROUND(H197*I197,2)</f>
        <v>4.08</v>
      </c>
      <c r="K197" s="30"/>
      <c r="L197" s="33" t="n">
        <v>3.95</v>
      </c>
      <c r="M197" s="34" t="n">
        <v>1</v>
      </c>
      <c r="N197" s="33" t="n">
        <f aca="false">ROUND(L197*M197,2)</f>
        <v>3.95</v>
      </c>
    </row>
    <row r="198" customFormat="false" ht="15" hidden="false" customHeight="false" outlineLevel="0" collapsed="false">
      <c r="A198" s="47" t="s">
        <v>129</v>
      </c>
      <c r="B198" s="48"/>
      <c r="C198" s="48"/>
      <c r="D198" s="48"/>
      <c r="E198" s="48"/>
      <c r="F198" s="49" t="n">
        <f aca="false">ROUND((SUM(F186:F197)-F197)*1.21+F197,2)</f>
        <v>115.85</v>
      </c>
      <c r="G198" s="48"/>
      <c r="H198" s="48"/>
      <c r="I198" s="48"/>
      <c r="J198" s="50" t="n">
        <f aca="false">ROUND((SUM(J186:J197)-J197)*1.21+J197,2)</f>
        <v>122.02</v>
      </c>
      <c r="K198" s="48"/>
      <c r="L198" s="48"/>
      <c r="M198" s="48"/>
      <c r="N198" s="51" t="n">
        <f aca="false">ROUND((SUM(N186:N197)-N197)*1.21+N197,2)</f>
        <v>118.11</v>
      </c>
    </row>
    <row r="199" customFormat="false" ht="15" hidden="false" customHeight="false" outlineLevel="0" collapsed="false">
      <c r="A199" s="52" t="s">
        <v>130</v>
      </c>
      <c r="B199" s="53" t="n">
        <f aca="false">(SUM(F186:F194)-52.3084)/SUM(F186:F194)</f>
        <v>0.297873825503356</v>
      </c>
      <c r="C199" s="53"/>
      <c r="D199" s="53"/>
      <c r="E199" s="53"/>
      <c r="F199" s="53"/>
      <c r="G199" s="54"/>
      <c r="H199" s="54"/>
      <c r="I199" s="54"/>
      <c r="J199" s="54"/>
      <c r="K199" s="54"/>
      <c r="L199" s="55" t="str">
        <f aca="false">IF(B199&gt;=0.3,"APROBAR",IF(B199&gt;=0.2,"REVISAR","RECHAZAR"))</f>
        <v>REVISAR</v>
      </c>
      <c r="M199" s="55"/>
      <c r="N199" s="55"/>
    </row>
    <row r="201" customFormat="false" ht="15" hidden="false" customHeight="true" outlineLevel="0" collapsed="false">
      <c r="A201" s="14" t="s">
        <v>224</v>
      </c>
      <c r="B201" s="14"/>
      <c r="C201" s="14"/>
      <c r="D201" s="14"/>
      <c r="E201" s="14"/>
      <c r="F201" s="14"/>
      <c r="G201" s="14"/>
      <c r="H201" s="14"/>
      <c r="I201" s="15" t="s">
        <v>225</v>
      </c>
      <c r="J201" s="15"/>
      <c r="K201" s="15"/>
      <c r="L201" s="15"/>
      <c r="M201" s="15"/>
      <c r="N201" s="15"/>
      <c r="R201" s="16" t="s">
        <v>97</v>
      </c>
      <c r="S201" s="16"/>
      <c r="T201" s="16"/>
      <c r="U201" s="16"/>
      <c r="V201" s="16"/>
    </row>
    <row r="202" customFormat="false" ht="15" hidden="false" customHeight="true" outlineLevel="0" collapsed="false">
      <c r="A202" s="17" t="s">
        <v>98</v>
      </c>
      <c r="B202" s="18" t="s">
        <v>99</v>
      </c>
      <c r="C202" s="18"/>
      <c r="D202" s="18"/>
      <c r="E202" s="18"/>
      <c r="F202" s="18"/>
      <c r="G202" s="19"/>
      <c r="H202" s="20" t="s">
        <v>226</v>
      </c>
      <c r="I202" s="20"/>
      <c r="J202" s="20"/>
      <c r="K202" s="19"/>
      <c r="L202" s="21" t="s">
        <v>227</v>
      </c>
      <c r="M202" s="21"/>
      <c r="N202" s="21"/>
      <c r="R202" s="22" t="s">
        <v>228</v>
      </c>
      <c r="S202" s="22"/>
      <c r="T202" s="22"/>
      <c r="U202" s="22"/>
      <c r="V202" s="22"/>
    </row>
    <row r="203" customFormat="false" ht="15" hidden="false" customHeight="true" outlineLevel="0" collapsed="false">
      <c r="A203" s="19"/>
      <c r="B203" s="23" t="s">
        <v>103</v>
      </c>
      <c r="C203" s="23" t="s">
        <v>104</v>
      </c>
      <c r="D203" s="23" t="s">
        <v>105</v>
      </c>
      <c r="E203" s="23" t="s">
        <v>106</v>
      </c>
      <c r="F203" s="23" t="s">
        <v>107</v>
      </c>
      <c r="G203" s="19"/>
      <c r="H203" s="24" t="s">
        <v>103</v>
      </c>
      <c r="I203" s="24" t="s">
        <v>106</v>
      </c>
      <c r="J203" s="24" t="s">
        <v>107</v>
      </c>
      <c r="K203" s="19"/>
      <c r="L203" s="25" t="s">
        <v>103</v>
      </c>
      <c r="M203" s="25" t="s">
        <v>106</v>
      </c>
      <c r="N203" s="25" t="s">
        <v>107</v>
      </c>
      <c r="R203" s="26" t="s">
        <v>229</v>
      </c>
      <c r="S203" s="26"/>
      <c r="T203" s="26"/>
      <c r="U203" s="26"/>
      <c r="V203" s="26"/>
    </row>
    <row r="204" customFormat="false" ht="15" hidden="false" customHeight="true" outlineLevel="0" collapsed="false">
      <c r="A204" s="8" t="s">
        <v>109</v>
      </c>
      <c r="B204" s="27" t="n">
        <v>16.5</v>
      </c>
      <c r="C204" s="28" t="n">
        <v>30</v>
      </c>
      <c r="D204" s="29" t="n">
        <v>1.73784</v>
      </c>
      <c r="E204" s="29" t="n">
        <v>2.5542</v>
      </c>
      <c r="F204" s="27" t="n">
        <f aca="false">ROUND(B204*E204,2)</f>
        <v>42.14</v>
      </c>
      <c r="G204" s="30"/>
      <c r="H204" s="31" t="n">
        <v>16.5</v>
      </c>
      <c r="I204" s="32" t="n">
        <v>2.5542</v>
      </c>
      <c r="J204" s="31" t="n">
        <f aca="false">ROUND(H204*I204,2)</f>
        <v>42.14</v>
      </c>
      <c r="K204" s="30"/>
      <c r="L204" s="33" t="n">
        <v>16.5</v>
      </c>
      <c r="M204" s="34" t="n">
        <v>2.5542</v>
      </c>
      <c r="N204" s="33" t="n">
        <f aca="false">ROUND(L204*M204,2)</f>
        <v>42.14</v>
      </c>
      <c r="R204" s="35" t="s">
        <v>230</v>
      </c>
      <c r="S204" s="35"/>
      <c r="T204" s="35"/>
      <c r="U204" s="35"/>
      <c r="V204" s="35"/>
    </row>
    <row r="205" customFormat="false" ht="15" hidden="false" customHeight="true" outlineLevel="0" collapsed="false">
      <c r="A205" s="8" t="s">
        <v>111</v>
      </c>
      <c r="B205" s="27" t="n">
        <v>16.5</v>
      </c>
      <c r="C205" s="28" t="n">
        <v>30</v>
      </c>
      <c r="D205" s="29" t="n">
        <v>0.9357</v>
      </c>
      <c r="E205" s="29" t="n">
        <v>1.37733</v>
      </c>
      <c r="F205" s="27" t="n">
        <f aca="false">ROUND(B205*E205,2)</f>
        <v>22.73</v>
      </c>
      <c r="G205" s="30"/>
      <c r="H205" s="31" t="n">
        <v>16.5</v>
      </c>
      <c r="I205" s="32" t="n">
        <v>1.37733</v>
      </c>
      <c r="J205" s="31" t="n">
        <f aca="false">ROUND(H205*I205,2)</f>
        <v>22.73</v>
      </c>
      <c r="K205" s="30"/>
      <c r="L205" s="33" t="n">
        <v>16.5</v>
      </c>
      <c r="M205" s="34" t="n">
        <v>1.37733</v>
      </c>
      <c r="N205" s="33" t="n">
        <f aca="false">ROUND(L205*M205,2)</f>
        <v>22.73</v>
      </c>
      <c r="R205" s="36" t="s">
        <v>231</v>
      </c>
      <c r="S205" s="36"/>
      <c r="T205" s="36"/>
      <c r="U205" s="36"/>
      <c r="V205" s="36"/>
    </row>
    <row r="206" customFormat="false" ht="15" hidden="false" customHeight="true" outlineLevel="0" collapsed="false">
      <c r="A206" s="8" t="s">
        <v>113</v>
      </c>
      <c r="B206" s="27" t="n">
        <v>16.5</v>
      </c>
      <c r="C206" s="28" t="n">
        <v>30</v>
      </c>
      <c r="D206" s="29" t="n">
        <v>0.43137</v>
      </c>
      <c r="E206" s="29" t="n">
        <v>0.62868</v>
      </c>
      <c r="F206" s="27" t="n">
        <f aca="false">ROUND(B206*E206,2)</f>
        <v>10.37</v>
      </c>
      <c r="G206" s="30"/>
      <c r="H206" s="31" t="n">
        <v>16.5</v>
      </c>
      <c r="I206" s="32" t="n">
        <v>0.62868</v>
      </c>
      <c r="J206" s="31" t="n">
        <f aca="false">ROUND(H206*I206,2)</f>
        <v>10.37</v>
      </c>
      <c r="K206" s="30"/>
      <c r="L206" s="33" t="n">
        <v>16.5</v>
      </c>
      <c r="M206" s="34" t="n">
        <v>0.62868</v>
      </c>
      <c r="N206" s="33" t="n">
        <f aca="false">ROUND(L206*M206,2)</f>
        <v>10.37</v>
      </c>
      <c r="R206" s="36" t="s">
        <v>232</v>
      </c>
      <c r="S206" s="36"/>
      <c r="T206" s="36"/>
      <c r="U206" s="36"/>
      <c r="V206" s="36"/>
    </row>
    <row r="207" customFormat="false" ht="15" hidden="false" customHeight="true" outlineLevel="0" collapsed="false">
      <c r="A207" s="8" t="s">
        <v>115</v>
      </c>
      <c r="B207" s="27" t="n">
        <v>16.5</v>
      </c>
      <c r="C207" s="28" t="n">
        <v>30</v>
      </c>
      <c r="D207" s="29" t="n">
        <v>0.38244</v>
      </c>
      <c r="E207" s="29" t="n">
        <v>0.5561</v>
      </c>
      <c r="F207" s="27" t="n">
        <f aca="false">ROUND(B207*E207,2)</f>
        <v>9.18</v>
      </c>
      <c r="G207" s="30"/>
      <c r="H207" s="31" t="n">
        <v>16.5</v>
      </c>
      <c r="I207" s="32" t="n">
        <v>0.5561</v>
      </c>
      <c r="J207" s="31" t="n">
        <f aca="false">ROUND(H207*I207,2)</f>
        <v>9.18</v>
      </c>
      <c r="K207" s="30"/>
      <c r="L207" s="33" t="n">
        <v>16.5</v>
      </c>
      <c r="M207" s="34" t="n">
        <v>0.5561</v>
      </c>
      <c r="N207" s="33" t="n">
        <f aca="false">ROUND(L207*M207,2)</f>
        <v>9.18</v>
      </c>
      <c r="R207" s="56" t="s">
        <v>149</v>
      </c>
      <c r="S207" s="56"/>
      <c r="T207" s="56"/>
      <c r="U207" s="56"/>
      <c r="V207" s="56"/>
    </row>
    <row r="208" customFormat="false" ht="15" hidden="false" customHeight="true" outlineLevel="0" collapsed="false">
      <c r="A208" s="8" t="s">
        <v>117</v>
      </c>
      <c r="B208" s="27" t="n">
        <v>16.5</v>
      </c>
      <c r="C208" s="28" t="n">
        <v>30</v>
      </c>
      <c r="D208" s="29" t="n">
        <v>0.26964</v>
      </c>
      <c r="E208" s="29" t="n">
        <v>0.3868</v>
      </c>
      <c r="F208" s="27" t="n">
        <f aca="false">ROUND(B208*E208,2)</f>
        <v>6.38</v>
      </c>
      <c r="G208" s="30"/>
      <c r="H208" s="31" t="n">
        <v>16.5</v>
      </c>
      <c r="I208" s="32" t="n">
        <v>0.3868</v>
      </c>
      <c r="J208" s="31" t="n">
        <f aca="false">ROUND(H208*I208,2)</f>
        <v>6.38</v>
      </c>
      <c r="K208" s="30"/>
      <c r="L208" s="33" t="n">
        <v>16.5</v>
      </c>
      <c r="M208" s="34" t="n">
        <v>0.3868</v>
      </c>
      <c r="N208" s="33" t="n">
        <f aca="false">ROUND(L208*M208,2)</f>
        <v>6.38</v>
      </c>
      <c r="R208" s="38" t="s">
        <v>118</v>
      </c>
      <c r="S208" s="38"/>
      <c r="T208" s="38"/>
      <c r="U208" s="38"/>
      <c r="V208" s="38"/>
    </row>
    <row r="209" customFormat="false" ht="15" hidden="false" customHeight="false" outlineLevel="0" collapsed="false">
      <c r="A209" s="8" t="s">
        <v>119</v>
      </c>
      <c r="B209" s="27" t="n">
        <v>16.5</v>
      </c>
      <c r="C209" s="28" t="n">
        <v>30</v>
      </c>
      <c r="D209" s="29" t="n">
        <v>0.18156</v>
      </c>
      <c r="E209" s="29" t="n">
        <v>0.2653</v>
      </c>
      <c r="F209" s="27" t="n">
        <f aca="false">ROUND(B209*E209,2)</f>
        <v>4.38</v>
      </c>
      <c r="G209" s="30"/>
      <c r="H209" s="31" t="n">
        <v>16.5</v>
      </c>
      <c r="I209" s="32" t="n">
        <v>0.2653</v>
      </c>
      <c r="J209" s="31" t="n">
        <f aca="false">ROUND(H209*I209,2)</f>
        <v>4.38</v>
      </c>
      <c r="K209" s="30"/>
      <c r="L209" s="33" t="n">
        <v>16.5</v>
      </c>
      <c r="M209" s="34" t="n">
        <v>0.2653</v>
      </c>
      <c r="N209" s="33" t="n">
        <f aca="false">ROUND(L209*M209,2)</f>
        <v>4.38</v>
      </c>
    </row>
    <row r="210" customFormat="false" ht="15" hidden="false" customHeight="false" outlineLevel="0" collapsed="false">
      <c r="A210" s="39" t="s">
        <v>120</v>
      </c>
      <c r="B210" s="40" t="n">
        <f aca="false">IF($P$210="",968.977,ROUND(968.977*((407.3317/(1-$P$210))-95.18)/394.43,2))</f>
        <v>968.977</v>
      </c>
      <c r="C210" s="28"/>
      <c r="D210" s="41" t="n">
        <v>0.121236</v>
      </c>
      <c r="E210" s="29" t="n">
        <v>0.13</v>
      </c>
      <c r="F210" s="27" t="n">
        <f aca="false">ROUND(B210*E210,2)</f>
        <v>125.97</v>
      </c>
      <c r="G210" s="30"/>
      <c r="H210" s="42" t="n">
        <v>809.231</v>
      </c>
      <c r="I210" s="32" t="n">
        <v>0.13</v>
      </c>
      <c r="J210" s="31" t="n">
        <f aca="false">ROUND(H210*I210,2)</f>
        <v>105.2</v>
      </c>
      <c r="K210" s="30"/>
      <c r="L210" s="43" t="n">
        <v>893.416</v>
      </c>
      <c r="M210" s="34" t="n">
        <v>0.16</v>
      </c>
      <c r="N210" s="33" t="n">
        <f aca="false">ROUND(L210*M210,2)</f>
        <v>142.95</v>
      </c>
      <c r="O210" s="44" t="s">
        <v>121</v>
      </c>
      <c r="P210" s="45"/>
    </row>
    <row r="211" customFormat="false" ht="15" hidden="false" customHeight="false" outlineLevel="0" collapsed="false">
      <c r="A211" s="39" t="s">
        <v>122</v>
      </c>
      <c r="B211" s="40" t="n">
        <f aca="false">IF($P$210="",563.416,ROUND(563.416*((407.3317/(1-$P$210))-95.18)/394.43,2))</f>
        <v>563.416</v>
      </c>
      <c r="C211" s="28"/>
      <c r="D211" s="41" t="n">
        <v>0.114444</v>
      </c>
      <c r="E211" s="29" t="n">
        <v>0.13</v>
      </c>
      <c r="F211" s="27" t="n">
        <f aca="false">ROUND(B211*E211,2)</f>
        <v>73.24</v>
      </c>
      <c r="G211" s="30"/>
      <c r="H211" s="42" t="n">
        <v>545.075</v>
      </c>
      <c r="I211" s="32" t="n">
        <v>0.13</v>
      </c>
      <c r="J211" s="31" t="n">
        <f aca="false">ROUND(H211*I211,2)</f>
        <v>70.86</v>
      </c>
      <c r="K211" s="30"/>
      <c r="L211" s="43" t="n">
        <v>522.737</v>
      </c>
      <c r="M211" s="34" t="n">
        <v>0.158</v>
      </c>
      <c r="N211" s="33" t="n">
        <f aca="false">ROUND(L211*M211,2)</f>
        <v>82.59</v>
      </c>
      <c r="O211" s="46" t="s">
        <v>123</v>
      </c>
    </row>
    <row r="212" customFormat="false" ht="15" hidden="false" customHeight="false" outlineLevel="0" collapsed="false">
      <c r="A212" s="39" t="s">
        <v>124</v>
      </c>
      <c r="B212" s="40" t="n">
        <f aca="false">IF($P$210="",1501.67,ROUND(1501.67*((407.3317/(1-$P$210))-95.18)/394.43,2))</f>
        <v>1501.67</v>
      </c>
      <c r="C212" s="28"/>
      <c r="D212" s="41" t="n">
        <v>0.106808</v>
      </c>
      <c r="E212" s="29" t="n">
        <v>0.13</v>
      </c>
      <c r="F212" s="27" t="n">
        <f aca="false">ROUND(B212*E212,2)</f>
        <v>195.22</v>
      </c>
      <c r="G212" s="30"/>
      <c r="H212" s="42" t="n">
        <v>1059.201</v>
      </c>
      <c r="I212" s="32" t="n">
        <v>0.13</v>
      </c>
      <c r="J212" s="31" t="n">
        <f aca="false">ROUND(H212*I212,2)</f>
        <v>137.7</v>
      </c>
      <c r="K212" s="30"/>
      <c r="L212" s="43" t="n">
        <v>1211.58</v>
      </c>
      <c r="M212" s="34" t="n">
        <v>0.156</v>
      </c>
      <c r="N212" s="33" t="n">
        <f aca="false">ROUND(L212*M212,2)</f>
        <v>189.01</v>
      </c>
      <c r="O212" s="46" t="s">
        <v>125</v>
      </c>
    </row>
    <row r="213" customFormat="false" ht="15" hidden="false" customHeight="false" outlineLevel="0" collapsed="false">
      <c r="A213" s="8" t="s">
        <v>126</v>
      </c>
      <c r="B213" s="27" t="n">
        <v>1</v>
      </c>
      <c r="C213" s="28"/>
      <c r="D213" s="29" t="n">
        <v>17.615</v>
      </c>
      <c r="E213" s="29" t="n">
        <v>17.615</v>
      </c>
      <c r="F213" s="27" t="n">
        <f aca="false">ROUND(B213*E213,2)</f>
        <v>17.62</v>
      </c>
      <c r="G213" s="30"/>
      <c r="H213" s="31" t="n">
        <v>1</v>
      </c>
      <c r="I213" s="32" t="n">
        <v>17.615</v>
      </c>
      <c r="J213" s="31" t="n">
        <f aca="false">ROUND(H213*I213,2)</f>
        <v>17.62</v>
      </c>
      <c r="K213" s="30"/>
      <c r="L213" s="33" t="n">
        <v>1</v>
      </c>
      <c r="M213" s="34" t="n">
        <v>17.615</v>
      </c>
      <c r="N213" s="33" t="n">
        <f aca="false">ROUND(L213*M213,2)</f>
        <v>17.62</v>
      </c>
    </row>
    <row r="214" customFormat="false" ht="15" hidden="false" customHeight="false" outlineLevel="0" collapsed="false">
      <c r="A214" s="8" t="s">
        <v>127</v>
      </c>
      <c r="B214" s="27" t="n">
        <v>30</v>
      </c>
      <c r="C214" s="28"/>
      <c r="D214" s="29" t="n">
        <v>0.01274</v>
      </c>
      <c r="E214" s="29" t="n">
        <v>0.01274</v>
      </c>
      <c r="F214" s="27" t="n">
        <f aca="false">ROUND(B214*E214,2)</f>
        <v>0.38</v>
      </c>
      <c r="G214" s="30"/>
      <c r="H214" s="31" t="n">
        <v>30</v>
      </c>
      <c r="I214" s="32" t="n">
        <v>0.01912</v>
      </c>
      <c r="J214" s="31" t="n">
        <f aca="false">ROUND(H214*I214,2)</f>
        <v>0.57</v>
      </c>
      <c r="K214" s="30"/>
      <c r="L214" s="33" t="n">
        <v>30</v>
      </c>
      <c r="M214" s="34" t="n">
        <v>0.01274</v>
      </c>
      <c r="N214" s="33" t="n">
        <f aca="false">ROUND(L214*M214,2)</f>
        <v>0.38</v>
      </c>
    </row>
    <row r="215" customFormat="false" ht="15" hidden="false" customHeight="false" outlineLevel="0" collapsed="false">
      <c r="A215" s="8" t="s">
        <v>128</v>
      </c>
      <c r="B215" s="27" t="n">
        <v>27.36</v>
      </c>
      <c r="C215" s="28"/>
      <c r="D215" s="29" t="n">
        <v>1</v>
      </c>
      <c r="E215" s="29" t="n">
        <v>1</v>
      </c>
      <c r="F215" s="27" t="n">
        <f aca="false">ROUND(B215*E215,2)</f>
        <v>27.36</v>
      </c>
      <c r="G215" s="30"/>
      <c r="H215" s="31" t="n">
        <v>25.78</v>
      </c>
      <c r="I215" s="32" t="n">
        <v>1</v>
      </c>
      <c r="J215" s="31" t="n">
        <f aca="false">ROUND(H215*I215,2)</f>
        <v>25.78</v>
      </c>
      <c r="K215" s="30"/>
      <c r="L215" s="33" t="n">
        <v>30.51</v>
      </c>
      <c r="M215" s="34" t="n">
        <v>1</v>
      </c>
      <c r="N215" s="33" t="n">
        <f aca="false">ROUND(L215*M215,2)</f>
        <v>30.51</v>
      </c>
    </row>
    <row r="216" customFormat="false" ht="15" hidden="false" customHeight="false" outlineLevel="0" collapsed="false">
      <c r="A216" s="47" t="s">
        <v>129</v>
      </c>
      <c r="B216" s="48"/>
      <c r="C216" s="48"/>
      <c r="D216" s="48"/>
      <c r="E216" s="48"/>
      <c r="F216" s="49" t="n">
        <f aca="false">ROUND((SUM(F204:F215)-F215)*1.21+F215,2)</f>
        <v>641.57</v>
      </c>
      <c r="G216" s="48"/>
      <c r="H216" s="48"/>
      <c r="I216" s="48"/>
      <c r="J216" s="50" t="n">
        <f aca="false">ROUND((SUM(J204:J215)-J215)*1.21+J215,2)</f>
        <v>542.61</v>
      </c>
      <c r="K216" s="48"/>
      <c r="L216" s="48"/>
      <c r="M216" s="48"/>
      <c r="N216" s="51" t="n">
        <f aca="false">ROUND((SUM(N204:N215)-N215)*1.21+N215,2)</f>
        <v>669.06</v>
      </c>
    </row>
    <row r="217" customFormat="false" ht="15" hidden="false" customHeight="false" outlineLevel="0" collapsed="false">
      <c r="A217" s="52" t="s">
        <v>130</v>
      </c>
      <c r="B217" s="53" t="n">
        <f aca="false">(SUM(F204:F212)-407.3317)/SUM(F204:F212)</f>
        <v>0.168048650967096</v>
      </c>
      <c r="C217" s="53"/>
      <c r="D217" s="53"/>
      <c r="E217" s="53"/>
      <c r="F217" s="53"/>
      <c r="G217" s="54"/>
      <c r="H217" s="54"/>
      <c r="I217" s="54"/>
      <c r="J217" s="54"/>
      <c r="K217" s="54"/>
      <c r="L217" s="55" t="str">
        <f aca="false">IF(B217&gt;=0.3,"APROBAR",IF(B217&gt;=0.2,"REVISAR","RECHAZAR"))</f>
        <v>RECHAZAR</v>
      </c>
      <c r="M217" s="55"/>
      <c r="N217" s="55"/>
    </row>
    <row r="219" customFormat="false" ht="15" hidden="false" customHeight="true" outlineLevel="0" collapsed="false">
      <c r="A219" s="14" t="s">
        <v>233</v>
      </c>
      <c r="B219" s="14"/>
      <c r="C219" s="14"/>
      <c r="D219" s="14"/>
      <c r="E219" s="14"/>
      <c r="F219" s="14"/>
      <c r="G219" s="14"/>
      <c r="H219" s="14"/>
      <c r="I219" s="15" t="s">
        <v>234</v>
      </c>
      <c r="J219" s="15"/>
      <c r="K219" s="15"/>
      <c r="L219" s="15"/>
      <c r="M219" s="15"/>
      <c r="N219" s="15"/>
      <c r="R219" s="16" t="s">
        <v>97</v>
      </c>
      <c r="S219" s="16"/>
      <c r="T219" s="16"/>
      <c r="U219" s="16"/>
      <c r="V219" s="16"/>
    </row>
    <row r="220" customFormat="false" ht="15" hidden="false" customHeight="true" outlineLevel="0" collapsed="false">
      <c r="A220" s="17" t="s">
        <v>98</v>
      </c>
      <c r="B220" s="18" t="s">
        <v>99</v>
      </c>
      <c r="C220" s="18"/>
      <c r="D220" s="18"/>
      <c r="E220" s="18"/>
      <c r="F220" s="18"/>
      <c r="G220" s="19"/>
      <c r="H220" s="20" t="s">
        <v>235</v>
      </c>
      <c r="I220" s="20"/>
      <c r="J220" s="20"/>
      <c r="K220" s="19"/>
      <c r="L220" s="21" t="s">
        <v>236</v>
      </c>
      <c r="M220" s="21"/>
      <c r="N220" s="21"/>
      <c r="R220" s="22" t="s">
        <v>237</v>
      </c>
      <c r="S220" s="22"/>
      <c r="T220" s="22"/>
      <c r="U220" s="22"/>
      <c r="V220" s="22"/>
    </row>
    <row r="221" customFormat="false" ht="15" hidden="false" customHeight="true" outlineLevel="0" collapsed="false">
      <c r="A221" s="19"/>
      <c r="B221" s="23" t="s">
        <v>103</v>
      </c>
      <c r="C221" s="23" t="s">
        <v>104</v>
      </c>
      <c r="D221" s="23" t="s">
        <v>105</v>
      </c>
      <c r="E221" s="23" t="s">
        <v>106</v>
      </c>
      <c r="F221" s="23" t="s">
        <v>107</v>
      </c>
      <c r="G221" s="19"/>
      <c r="H221" s="24" t="s">
        <v>103</v>
      </c>
      <c r="I221" s="24" t="s">
        <v>106</v>
      </c>
      <c r="J221" s="24" t="s">
        <v>107</v>
      </c>
      <c r="K221" s="19"/>
      <c r="L221" s="25" t="s">
        <v>103</v>
      </c>
      <c r="M221" s="25" t="s">
        <v>106</v>
      </c>
      <c r="N221" s="25" t="s">
        <v>107</v>
      </c>
      <c r="R221" s="26" t="s">
        <v>238</v>
      </c>
      <c r="S221" s="26"/>
      <c r="T221" s="26"/>
      <c r="U221" s="26"/>
      <c r="V221" s="26"/>
    </row>
    <row r="222" customFormat="false" ht="15" hidden="false" customHeight="true" outlineLevel="0" collapsed="false">
      <c r="A222" s="8" t="s">
        <v>109</v>
      </c>
      <c r="B222" s="27" t="n">
        <v>9</v>
      </c>
      <c r="C222" s="28" t="n">
        <v>30</v>
      </c>
      <c r="D222" s="29" t="n">
        <v>1.7178</v>
      </c>
      <c r="E222" s="29" t="n">
        <v>2.5542</v>
      </c>
      <c r="F222" s="27" t="n">
        <f aca="false">ROUND(B222*E222,2)</f>
        <v>22.99</v>
      </c>
      <c r="G222" s="30"/>
      <c r="H222" s="31" t="n">
        <v>9</v>
      </c>
      <c r="I222" s="32" t="n">
        <v>2.5542</v>
      </c>
      <c r="J222" s="31" t="n">
        <f aca="false">ROUND(H222*I222,2)</f>
        <v>22.99</v>
      </c>
      <c r="K222" s="30"/>
      <c r="L222" s="33" t="n">
        <v>9</v>
      </c>
      <c r="M222" s="34" t="n">
        <v>2.5542</v>
      </c>
      <c r="N222" s="33" t="n">
        <f aca="false">ROUND(L222*M222,2)</f>
        <v>22.99</v>
      </c>
      <c r="R222" s="35" t="s">
        <v>239</v>
      </c>
      <c r="S222" s="35"/>
      <c r="T222" s="35"/>
      <c r="U222" s="35"/>
      <c r="V222" s="35"/>
    </row>
    <row r="223" customFormat="false" ht="15" hidden="false" customHeight="true" outlineLevel="0" collapsed="false">
      <c r="A223" s="8" t="s">
        <v>111</v>
      </c>
      <c r="B223" s="27" t="n">
        <v>10</v>
      </c>
      <c r="C223" s="28" t="n">
        <v>30</v>
      </c>
      <c r="D223" s="29" t="n">
        <v>1.06026</v>
      </c>
      <c r="E223" s="29" t="n">
        <v>1.37733</v>
      </c>
      <c r="F223" s="27" t="n">
        <f aca="false">ROUND(B223*E223,2)</f>
        <v>13.77</v>
      </c>
      <c r="G223" s="30"/>
      <c r="H223" s="31" t="n">
        <v>10</v>
      </c>
      <c r="I223" s="32" t="n">
        <v>1.37733</v>
      </c>
      <c r="J223" s="31" t="n">
        <f aca="false">ROUND(H223*I223,2)</f>
        <v>13.77</v>
      </c>
      <c r="K223" s="30"/>
      <c r="L223" s="33" t="n">
        <v>10</v>
      </c>
      <c r="M223" s="34" t="n">
        <v>1.37733</v>
      </c>
      <c r="N223" s="33" t="n">
        <f aca="false">ROUND(L223*M223,2)</f>
        <v>13.77</v>
      </c>
      <c r="R223" s="36" t="s">
        <v>240</v>
      </c>
      <c r="S223" s="36"/>
      <c r="T223" s="36"/>
      <c r="U223" s="36"/>
      <c r="V223" s="36"/>
    </row>
    <row r="224" customFormat="false" ht="15" hidden="false" customHeight="true" outlineLevel="0" collapsed="false">
      <c r="A224" s="8" t="s">
        <v>113</v>
      </c>
      <c r="B224" s="27" t="n">
        <v>10</v>
      </c>
      <c r="C224" s="28" t="n">
        <v>30</v>
      </c>
      <c r="D224" s="29" t="n">
        <v>0.48492</v>
      </c>
      <c r="E224" s="29" t="n">
        <v>0.62868</v>
      </c>
      <c r="F224" s="27" t="n">
        <f aca="false">ROUND(B224*E224,2)</f>
        <v>6.29</v>
      </c>
      <c r="G224" s="30"/>
      <c r="H224" s="31" t="n">
        <v>10</v>
      </c>
      <c r="I224" s="32" t="n">
        <v>0.62868</v>
      </c>
      <c r="J224" s="31" t="n">
        <f aca="false">ROUND(H224*I224,2)</f>
        <v>6.29</v>
      </c>
      <c r="K224" s="30"/>
      <c r="L224" s="33" t="n">
        <v>10</v>
      </c>
      <c r="M224" s="34" t="n">
        <v>0.62868</v>
      </c>
      <c r="N224" s="33" t="n">
        <f aca="false">ROUND(L224*M224,2)</f>
        <v>6.29</v>
      </c>
      <c r="R224" s="36" t="s">
        <v>241</v>
      </c>
      <c r="S224" s="36"/>
      <c r="T224" s="36"/>
      <c r="U224" s="36"/>
      <c r="V224" s="36"/>
    </row>
    <row r="225" customFormat="false" ht="15" hidden="false" customHeight="true" outlineLevel="0" collapsed="false">
      <c r="A225" s="8" t="s">
        <v>115</v>
      </c>
      <c r="B225" s="27" t="n">
        <v>10</v>
      </c>
      <c r="C225" s="28" t="n">
        <v>30</v>
      </c>
      <c r="D225" s="29" t="n">
        <v>0.40275</v>
      </c>
      <c r="E225" s="29" t="n">
        <v>0.5561</v>
      </c>
      <c r="F225" s="27" t="n">
        <f aca="false">ROUND(B225*E225,2)</f>
        <v>5.56</v>
      </c>
      <c r="G225" s="30"/>
      <c r="H225" s="31" t="n">
        <v>10</v>
      </c>
      <c r="I225" s="32" t="n">
        <v>0.5561</v>
      </c>
      <c r="J225" s="31" t="n">
        <f aca="false">ROUND(H225*I225,2)</f>
        <v>5.56</v>
      </c>
      <c r="K225" s="30"/>
      <c r="L225" s="33" t="n">
        <v>10</v>
      </c>
      <c r="M225" s="34" t="n">
        <v>0.5561</v>
      </c>
      <c r="N225" s="33" t="n">
        <f aca="false">ROUND(L225*M225,2)</f>
        <v>5.56</v>
      </c>
      <c r="R225" s="56" t="s">
        <v>149</v>
      </c>
      <c r="S225" s="56"/>
      <c r="T225" s="56"/>
      <c r="U225" s="56"/>
      <c r="V225" s="56"/>
    </row>
    <row r="226" customFormat="false" ht="15" hidden="false" customHeight="true" outlineLevel="0" collapsed="false">
      <c r="A226" s="8" t="s">
        <v>117</v>
      </c>
      <c r="B226" s="27" t="n">
        <v>10</v>
      </c>
      <c r="C226" s="28" t="n">
        <v>30</v>
      </c>
      <c r="D226" s="29" t="n">
        <v>0.32055</v>
      </c>
      <c r="E226" s="29" t="n">
        <v>0.3868</v>
      </c>
      <c r="F226" s="27" t="n">
        <f aca="false">ROUND(B226*E226,2)</f>
        <v>3.87</v>
      </c>
      <c r="G226" s="30"/>
      <c r="H226" s="31" t="n">
        <v>10</v>
      </c>
      <c r="I226" s="32" t="n">
        <v>0.3868</v>
      </c>
      <c r="J226" s="31" t="n">
        <f aca="false">ROUND(H226*I226,2)</f>
        <v>3.87</v>
      </c>
      <c r="K226" s="30"/>
      <c r="L226" s="33" t="n">
        <v>10</v>
      </c>
      <c r="M226" s="34" t="n">
        <v>0.3868</v>
      </c>
      <c r="N226" s="33" t="n">
        <f aca="false">ROUND(L226*M226,2)</f>
        <v>3.87</v>
      </c>
      <c r="R226" s="38" t="s">
        <v>118</v>
      </c>
      <c r="S226" s="38"/>
      <c r="T226" s="38"/>
      <c r="U226" s="38"/>
      <c r="V226" s="38"/>
    </row>
    <row r="227" customFormat="false" ht="15" hidden="false" customHeight="false" outlineLevel="0" collapsed="false">
      <c r="A227" s="8" t="s">
        <v>119</v>
      </c>
      <c r="B227" s="27" t="n">
        <v>23.1</v>
      </c>
      <c r="C227" s="28" t="n">
        <v>30</v>
      </c>
      <c r="D227" s="29" t="n">
        <v>0.23835</v>
      </c>
      <c r="E227" s="29" t="n">
        <v>0.2653</v>
      </c>
      <c r="F227" s="27" t="n">
        <f aca="false">ROUND(B227*E227,2)</f>
        <v>6.13</v>
      </c>
      <c r="G227" s="30"/>
      <c r="H227" s="31" t="n">
        <v>23.1</v>
      </c>
      <c r="I227" s="32" t="n">
        <v>0.2653</v>
      </c>
      <c r="J227" s="31" t="n">
        <f aca="false">ROUND(H227*I227,2)</f>
        <v>6.13</v>
      </c>
      <c r="K227" s="30"/>
      <c r="L227" s="33" t="n">
        <v>23.1</v>
      </c>
      <c r="M227" s="34" t="n">
        <v>0.2653</v>
      </c>
      <c r="N227" s="33" t="n">
        <f aca="false">ROUND(L227*M227,2)</f>
        <v>6.13</v>
      </c>
    </row>
    <row r="228" customFormat="false" ht="15" hidden="false" customHeight="false" outlineLevel="0" collapsed="false">
      <c r="A228" s="39" t="s">
        <v>120</v>
      </c>
      <c r="B228" s="40" t="n">
        <f aca="false">IF($P$228="",134.003,ROUND(134.003*((91.4788/(1-$P$228))-58.61)/51.18,2))</f>
        <v>134.003</v>
      </c>
      <c r="C228" s="28"/>
      <c r="D228" s="41" t="n">
        <v>0.1299</v>
      </c>
      <c r="E228" s="29" t="n">
        <v>0.139</v>
      </c>
      <c r="F228" s="27" t="n">
        <f aca="false">ROUND(B228*E228,2)</f>
        <v>18.63</v>
      </c>
      <c r="G228" s="30"/>
      <c r="H228" s="42" t="n">
        <v>615.962</v>
      </c>
      <c r="I228" s="32" t="n">
        <v>0.149</v>
      </c>
      <c r="J228" s="31" t="n">
        <f aca="false">ROUND(H228*I228,2)</f>
        <v>91.78</v>
      </c>
      <c r="K228" s="30"/>
      <c r="L228" s="43" t="n">
        <v>343.867</v>
      </c>
      <c r="M228" s="34" t="n">
        <v>0.1829</v>
      </c>
      <c r="N228" s="33" t="n">
        <f aca="false">ROUND(L228*M228,2)</f>
        <v>62.89</v>
      </c>
      <c r="O228" s="44" t="s">
        <v>121</v>
      </c>
      <c r="P228" s="45"/>
    </row>
    <row r="229" customFormat="false" ht="15" hidden="false" customHeight="false" outlineLevel="0" collapsed="false">
      <c r="A229" s="39" t="s">
        <v>122</v>
      </c>
      <c r="B229" s="40" t="n">
        <f aca="false">IF($P$228="",111.408,ROUND(111.408*((91.4788/(1-$P$228))-58.61)/51.18,2))</f>
        <v>111.408</v>
      </c>
      <c r="C229" s="28"/>
      <c r="D229" s="41" t="n">
        <v>0.1299</v>
      </c>
      <c r="E229" s="29" t="n">
        <v>0.139</v>
      </c>
      <c r="F229" s="27" t="n">
        <f aca="false">ROUND(B229*E229,2)</f>
        <v>15.49</v>
      </c>
      <c r="G229" s="30"/>
      <c r="H229" s="42" t="n">
        <v>425.804</v>
      </c>
      <c r="I229" s="32" t="n">
        <v>0.139</v>
      </c>
      <c r="J229" s="31" t="n">
        <f aca="false">ROUND(H229*I229,2)</f>
        <v>59.19</v>
      </c>
      <c r="K229" s="30"/>
      <c r="L229" s="43" t="n">
        <v>262.574</v>
      </c>
      <c r="M229" s="34" t="n">
        <v>0.1615</v>
      </c>
      <c r="N229" s="33" t="n">
        <f aca="false">ROUND(L229*M229,2)</f>
        <v>42.41</v>
      </c>
      <c r="O229" s="46" t="s">
        <v>123</v>
      </c>
    </row>
    <row r="230" customFormat="false" ht="15" hidden="false" customHeight="false" outlineLevel="0" collapsed="false">
      <c r="A230" s="39" t="s">
        <v>124</v>
      </c>
      <c r="B230" s="40" t="n">
        <f aca="false">IF($P$228="",122.75,ROUND(122.75*((91.4788/(1-$P$228))-58.61)/51.18,2))</f>
        <v>122.75</v>
      </c>
      <c r="C230" s="28"/>
      <c r="D230" s="41" t="n">
        <v>0.1299</v>
      </c>
      <c r="E230" s="29" t="n">
        <v>0.139</v>
      </c>
      <c r="F230" s="27" t="n">
        <f aca="false">ROUND(B230*E230,2)</f>
        <v>17.06</v>
      </c>
      <c r="G230" s="30"/>
      <c r="H230" s="42" t="n">
        <v>372.62</v>
      </c>
      <c r="I230" s="32" t="n">
        <v>0.139</v>
      </c>
      <c r="J230" s="31" t="n">
        <f aca="false">ROUND(H230*I230,2)</f>
        <v>51.79</v>
      </c>
      <c r="K230" s="30"/>
      <c r="L230" s="43" t="n">
        <v>294.225</v>
      </c>
      <c r="M230" s="34" t="n">
        <v>0.156</v>
      </c>
      <c r="N230" s="33" t="n">
        <f aca="false">ROUND(L230*M230,2)</f>
        <v>45.9</v>
      </c>
      <c r="O230" s="46" t="s">
        <v>125</v>
      </c>
    </row>
    <row r="231" customFormat="false" ht="15" hidden="false" customHeight="false" outlineLevel="0" collapsed="false">
      <c r="A231" s="8" t="s">
        <v>126</v>
      </c>
      <c r="B231" s="27" t="n">
        <v>1</v>
      </c>
      <c r="C231" s="28"/>
      <c r="D231" s="29" t="n">
        <v>17.615</v>
      </c>
      <c r="E231" s="29" t="n">
        <v>17.615</v>
      </c>
      <c r="F231" s="27" t="n">
        <f aca="false">ROUND(B231*E231,2)</f>
        <v>17.62</v>
      </c>
      <c r="G231" s="30"/>
      <c r="H231" s="31" t="n">
        <v>1</v>
      </c>
      <c r="I231" s="32" t="n">
        <v>17.615</v>
      </c>
      <c r="J231" s="31" t="n">
        <f aca="false">ROUND(H231*I231,2)</f>
        <v>17.62</v>
      </c>
      <c r="K231" s="30"/>
      <c r="L231" s="33" t="n">
        <v>1</v>
      </c>
      <c r="M231" s="34" t="n">
        <v>17.615</v>
      </c>
      <c r="N231" s="33" t="n">
        <f aca="false">ROUND(L231*M231,2)</f>
        <v>17.62</v>
      </c>
    </row>
    <row r="232" customFormat="false" ht="15" hidden="false" customHeight="false" outlineLevel="0" collapsed="false">
      <c r="A232" s="8" t="s">
        <v>127</v>
      </c>
      <c r="B232" s="27" t="n">
        <v>30</v>
      </c>
      <c r="C232" s="28"/>
      <c r="D232" s="29" t="n">
        <v>0.01274</v>
      </c>
      <c r="E232" s="29" t="n">
        <v>0.01274</v>
      </c>
      <c r="F232" s="27" t="n">
        <f aca="false">ROUND(B232*E232,2)</f>
        <v>0.38</v>
      </c>
      <c r="G232" s="30"/>
      <c r="H232" s="31" t="n">
        <v>30</v>
      </c>
      <c r="I232" s="32" t="n">
        <v>0.01274</v>
      </c>
      <c r="J232" s="31" t="n">
        <f aca="false">ROUND(H232*I232,2)</f>
        <v>0.38</v>
      </c>
      <c r="K232" s="30"/>
      <c r="L232" s="33" t="n">
        <v>30</v>
      </c>
      <c r="M232" s="34" t="n">
        <v>0.00629</v>
      </c>
      <c r="N232" s="33" t="n">
        <f aca="false">ROUND(L232*M232,2)</f>
        <v>0.19</v>
      </c>
    </row>
    <row r="233" customFormat="false" ht="15" hidden="false" customHeight="false" outlineLevel="0" collapsed="false">
      <c r="A233" s="8" t="s">
        <v>128</v>
      </c>
      <c r="B233" s="27" t="n">
        <v>6.85</v>
      </c>
      <c r="C233" s="28"/>
      <c r="D233" s="29" t="n">
        <v>1</v>
      </c>
      <c r="E233" s="29" t="n">
        <v>1</v>
      </c>
      <c r="F233" s="27" t="n">
        <f aca="false">ROUND(B233*E233,2)</f>
        <v>6.85</v>
      </c>
      <c r="G233" s="30"/>
      <c r="H233" s="31" t="n">
        <v>15.15</v>
      </c>
      <c r="I233" s="32" t="n">
        <v>1</v>
      </c>
      <c r="J233" s="31" t="n">
        <f aca="false">ROUND(H233*I233,2)</f>
        <v>15.15</v>
      </c>
      <c r="K233" s="30"/>
      <c r="L233" s="33" t="n">
        <v>12.42</v>
      </c>
      <c r="M233" s="34" t="n">
        <v>1</v>
      </c>
      <c r="N233" s="33" t="n">
        <f aca="false">ROUND(L233*M233,2)</f>
        <v>12.42</v>
      </c>
    </row>
    <row r="234" customFormat="false" ht="15" hidden="false" customHeight="false" outlineLevel="0" collapsed="false">
      <c r="A234" s="47" t="s">
        <v>129</v>
      </c>
      <c r="B234" s="48"/>
      <c r="C234" s="48"/>
      <c r="D234" s="48"/>
      <c r="E234" s="48"/>
      <c r="F234" s="49" t="n">
        <f aca="false">ROUND((SUM(F222:F233)-F233)*1.21+F233,2)</f>
        <v>161.48</v>
      </c>
      <c r="G234" s="48"/>
      <c r="H234" s="48"/>
      <c r="I234" s="48"/>
      <c r="J234" s="50" t="n">
        <f aca="false">ROUND((SUM(J222:J233)-J233)*1.21+J233,2)</f>
        <v>353.19</v>
      </c>
      <c r="K234" s="48"/>
      <c r="L234" s="48"/>
      <c r="M234" s="48"/>
      <c r="N234" s="51" t="n">
        <f aca="false">ROUND((SUM(N222:N233)-N233)*1.21+N233,2)</f>
        <v>287.84</v>
      </c>
    </row>
    <row r="235" customFormat="false" ht="15" hidden="false" customHeight="false" outlineLevel="0" collapsed="false">
      <c r="A235" s="52" t="s">
        <v>130</v>
      </c>
      <c r="B235" s="53" t="n">
        <f aca="false">(SUM(F222:F230)-91.4788)/SUM(F222:F230)</f>
        <v>0.166783860096548</v>
      </c>
      <c r="C235" s="53"/>
      <c r="D235" s="53"/>
      <c r="E235" s="53"/>
      <c r="F235" s="53"/>
      <c r="G235" s="54"/>
      <c r="H235" s="54"/>
      <c r="I235" s="54"/>
      <c r="J235" s="54"/>
      <c r="K235" s="54"/>
      <c r="L235" s="55" t="str">
        <f aca="false">IF(B235&gt;=0.3,"APROBAR",IF(B235&gt;=0.2,"REVISAR","RECHAZAR"))</f>
        <v>RECHAZAR</v>
      </c>
      <c r="M235" s="55"/>
      <c r="N235" s="55"/>
    </row>
    <row r="237" customFormat="false" ht="15" hidden="false" customHeight="true" outlineLevel="0" collapsed="false">
      <c r="A237" s="14" t="s">
        <v>242</v>
      </c>
      <c r="B237" s="14"/>
      <c r="C237" s="14"/>
      <c r="D237" s="14"/>
      <c r="E237" s="14"/>
      <c r="F237" s="14"/>
      <c r="G237" s="14"/>
      <c r="H237" s="14"/>
      <c r="I237" s="15" t="s">
        <v>243</v>
      </c>
      <c r="J237" s="15"/>
      <c r="K237" s="15"/>
      <c r="L237" s="15"/>
      <c r="M237" s="15"/>
      <c r="N237" s="15"/>
      <c r="R237" s="16" t="s">
        <v>97</v>
      </c>
      <c r="S237" s="16"/>
      <c r="T237" s="16"/>
      <c r="U237" s="16"/>
      <c r="V237" s="16"/>
    </row>
    <row r="238" customFormat="false" ht="15" hidden="false" customHeight="true" outlineLevel="0" collapsed="false">
      <c r="A238" s="17" t="s">
        <v>98</v>
      </c>
      <c r="B238" s="18" t="s">
        <v>99</v>
      </c>
      <c r="C238" s="18"/>
      <c r="D238" s="18"/>
      <c r="E238" s="18"/>
      <c r="F238" s="18"/>
      <c r="G238" s="19"/>
      <c r="H238" s="20" t="s">
        <v>244</v>
      </c>
      <c r="I238" s="20"/>
      <c r="J238" s="20"/>
      <c r="K238" s="19"/>
      <c r="L238" s="21" t="s">
        <v>245</v>
      </c>
      <c r="M238" s="21"/>
      <c r="N238" s="21"/>
      <c r="R238" s="22" t="s">
        <v>246</v>
      </c>
      <c r="S238" s="22"/>
      <c r="T238" s="22"/>
      <c r="U238" s="22"/>
      <c r="V238" s="22"/>
    </row>
    <row r="239" customFormat="false" ht="15" hidden="false" customHeight="true" outlineLevel="0" collapsed="false">
      <c r="A239" s="19"/>
      <c r="B239" s="23" t="s">
        <v>103</v>
      </c>
      <c r="C239" s="23" t="s">
        <v>104</v>
      </c>
      <c r="D239" s="23" t="s">
        <v>105</v>
      </c>
      <c r="E239" s="23" t="s">
        <v>106</v>
      </c>
      <c r="F239" s="23" t="s">
        <v>107</v>
      </c>
      <c r="G239" s="19"/>
      <c r="H239" s="24" t="s">
        <v>103</v>
      </c>
      <c r="I239" s="24" t="s">
        <v>106</v>
      </c>
      <c r="J239" s="24" t="s">
        <v>107</v>
      </c>
      <c r="K239" s="19"/>
      <c r="L239" s="25" t="s">
        <v>103</v>
      </c>
      <c r="M239" s="25" t="s">
        <v>106</v>
      </c>
      <c r="N239" s="25" t="s">
        <v>107</v>
      </c>
      <c r="R239" s="26" t="s">
        <v>247</v>
      </c>
      <c r="S239" s="26"/>
      <c r="T239" s="26"/>
      <c r="U239" s="26"/>
      <c r="V239" s="26"/>
    </row>
    <row r="240" customFormat="false" ht="15" hidden="false" customHeight="true" outlineLevel="0" collapsed="false">
      <c r="A240" s="8" t="s">
        <v>109</v>
      </c>
      <c r="B240" s="27" t="n">
        <v>4.2</v>
      </c>
      <c r="C240" s="28" t="n">
        <v>30</v>
      </c>
      <c r="D240" s="29" t="n">
        <v>1.73784</v>
      </c>
      <c r="E240" s="29" t="n">
        <v>2.5542</v>
      </c>
      <c r="F240" s="27" t="n">
        <f aca="false">ROUND(B240*E240,2)</f>
        <v>10.73</v>
      </c>
      <c r="G240" s="30"/>
      <c r="H240" s="31" t="n">
        <v>4.2</v>
      </c>
      <c r="I240" s="32" t="n">
        <v>2.5542</v>
      </c>
      <c r="J240" s="31" t="n">
        <f aca="false">ROUND(H240*I240,2)</f>
        <v>10.73</v>
      </c>
      <c r="K240" s="30"/>
      <c r="L240" s="33" t="n">
        <v>4.2</v>
      </c>
      <c r="M240" s="34" t="n">
        <v>2.5542</v>
      </c>
      <c r="N240" s="33" t="n">
        <f aca="false">ROUND(L240*M240,2)</f>
        <v>10.73</v>
      </c>
      <c r="R240" s="35" t="s">
        <v>248</v>
      </c>
      <c r="S240" s="35"/>
      <c r="T240" s="35"/>
      <c r="U240" s="35"/>
      <c r="V240" s="35"/>
    </row>
    <row r="241" customFormat="false" ht="15" hidden="false" customHeight="true" outlineLevel="0" collapsed="false">
      <c r="A241" s="8" t="s">
        <v>111</v>
      </c>
      <c r="B241" s="27" t="n">
        <v>4.2</v>
      </c>
      <c r="C241" s="28" t="n">
        <v>30</v>
      </c>
      <c r="D241" s="29" t="n">
        <v>0.9357</v>
      </c>
      <c r="E241" s="29" t="n">
        <v>1.37733</v>
      </c>
      <c r="F241" s="27" t="n">
        <f aca="false">ROUND(B241*E241,2)</f>
        <v>5.78</v>
      </c>
      <c r="G241" s="30"/>
      <c r="H241" s="31" t="n">
        <v>4.2</v>
      </c>
      <c r="I241" s="32" t="n">
        <v>1.37733</v>
      </c>
      <c r="J241" s="31" t="n">
        <f aca="false">ROUND(H241*I241,2)</f>
        <v>5.78</v>
      </c>
      <c r="K241" s="30"/>
      <c r="L241" s="33" t="n">
        <v>4.2</v>
      </c>
      <c r="M241" s="34" t="n">
        <v>1.37733</v>
      </c>
      <c r="N241" s="33" t="n">
        <f aca="false">ROUND(L241*M241,2)</f>
        <v>5.78</v>
      </c>
      <c r="R241" s="36" t="s">
        <v>249</v>
      </c>
      <c r="S241" s="36"/>
      <c r="T241" s="36"/>
      <c r="U241" s="36"/>
      <c r="V241" s="36"/>
    </row>
    <row r="242" customFormat="false" ht="15" hidden="false" customHeight="true" outlineLevel="0" collapsed="false">
      <c r="A242" s="8" t="s">
        <v>113</v>
      </c>
      <c r="B242" s="27" t="n">
        <v>4.2</v>
      </c>
      <c r="C242" s="28" t="n">
        <v>30</v>
      </c>
      <c r="D242" s="29" t="n">
        <v>0.43137</v>
      </c>
      <c r="E242" s="29" t="n">
        <v>0.62868</v>
      </c>
      <c r="F242" s="27" t="n">
        <f aca="false">ROUND(B242*E242,2)</f>
        <v>2.64</v>
      </c>
      <c r="G242" s="30"/>
      <c r="H242" s="31" t="n">
        <v>4.2</v>
      </c>
      <c r="I242" s="32" t="n">
        <v>0.62868</v>
      </c>
      <c r="J242" s="31" t="n">
        <f aca="false">ROUND(H242*I242,2)</f>
        <v>2.64</v>
      </c>
      <c r="K242" s="30"/>
      <c r="L242" s="33" t="n">
        <v>4.2</v>
      </c>
      <c r="M242" s="34" t="n">
        <v>0.62868</v>
      </c>
      <c r="N242" s="33" t="n">
        <f aca="false">ROUND(L242*M242,2)</f>
        <v>2.64</v>
      </c>
      <c r="R242" s="36" t="s">
        <v>250</v>
      </c>
      <c r="S242" s="36"/>
      <c r="T242" s="36"/>
      <c r="U242" s="36"/>
      <c r="V242" s="36"/>
    </row>
    <row r="243" customFormat="false" ht="15" hidden="false" customHeight="true" outlineLevel="0" collapsed="false">
      <c r="A243" s="8" t="s">
        <v>115</v>
      </c>
      <c r="B243" s="27" t="n">
        <v>4.2</v>
      </c>
      <c r="C243" s="28" t="n">
        <v>30</v>
      </c>
      <c r="D243" s="29" t="n">
        <v>0.38244</v>
      </c>
      <c r="E243" s="29" t="n">
        <v>0.5561</v>
      </c>
      <c r="F243" s="27" t="n">
        <f aca="false">ROUND(B243*E243,2)</f>
        <v>2.34</v>
      </c>
      <c r="G243" s="30"/>
      <c r="H243" s="31" t="n">
        <v>4.2</v>
      </c>
      <c r="I243" s="32" t="n">
        <v>0.5561</v>
      </c>
      <c r="J243" s="31" t="n">
        <f aca="false">ROUND(H243*I243,2)</f>
        <v>2.34</v>
      </c>
      <c r="K243" s="30"/>
      <c r="L243" s="33" t="n">
        <v>4.2</v>
      </c>
      <c r="M243" s="34" t="n">
        <v>0.5561</v>
      </c>
      <c r="N243" s="33" t="n">
        <f aca="false">ROUND(L243*M243,2)</f>
        <v>2.34</v>
      </c>
      <c r="R243" s="56" t="s">
        <v>149</v>
      </c>
      <c r="S243" s="56"/>
      <c r="T243" s="56"/>
      <c r="U243" s="56"/>
      <c r="V243" s="56"/>
    </row>
    <row r="244" customFormat="false" ht="15" hidden="false" customHeight="true" outlineLevel="0" collapsed="false">
      <c r="A244" s="8" t="s">
        <v>117</v>
      </c>
      <c r="B244" s="27" t="n">
        <v>4.2</v>
      </c>
      <c r="C244" s="28" t="n">
        <v>30</v>
      </c>
      <c r="D244" s="29" t="n">
        <v>0.26964</v>
      </c>
      <c r="E244" s="29" t="n">
        <v>0.3868</v>
      </c>
      <c r="F244" s="27" t="n">
        <f aca="false">ROUND(B244*E244,2)</f>
        <v>1.62</v>
      </c>
      <c r="G244" s="30"/>
      <c r="H244" s="31" t="n">
        <v>4.2</v>
      </c>
      <c r="I244" s="32" t="n">
        <v>0.3868</v>
      </c>
      <c r="J244" s="31" t="n">
        <f aca="false">ROUND(H244*I244,2)</f>
        <v>1.62</v>
      </c>
      <c r="K244" s="30"/>
      <c r="L244" s="33" t="n">
        <v>4.2</v>
      </c>
      <c r="M244" s="34" t="n">
        <v>0.3868</v>
      </c>
      <c r="N244" s="33" t="n">
        <f aca="false">ROUND(L244*M244,2)</f>
        <v>1.62</v>
      </c>
      <c r="R244" s="38" t="s">
        <v>118</v>
      </c>
      <c r="S244" s="38"/>
      <c r="T244" s="38"/>
      <c r="U244" s="38"/>
      <c r="V244" s="38"/>
    </row>
    <row r="245" customFormat="false" ht="15" hidden="false" customHeight="false" outlineLevel="0" collapsed="false">
      <c r="A245" s="8" t="s">
        <v>119</v>
      </c>
      <c r="B245" s="27" t="n">
        <v>16.5</v>
      </c>
      <c r="C245" s="28" t="n">
        <v>30</v>
      </c>
      <c r="D245" s="29" t="n">
        <v>0.18156</v>
      </c>
      <c r="E245" s="29" t="n">
        <v>0.2653</v>
      </c>
      <c r="F245" s="27" t="n">
        <f aca="false">ROUND(B245*E245,2)</f>
        <v>4.38</v>
      </c>
      <c r="G245" s="30"/>
      <c r="H245" s="31" t="n">
        <v>16.5</v>
      </c>
      <c r="I245" s="32" t="n">
        <v>0.2653</v>
      </c>
      <c r="J245" s="31" t="n">
        <f aca="false">ROUND(H245*I245,2)</f>
        <v>4.38</v>
      </c>
      <c r="K245" s="30"/>
      <c r="L245" s="33" t="n">
        <v>16.5</v>
      </c>
      <c r="M245" s="34" t="n">
        <v>0.2653</v>
      </c>
      <c r="N245" s="33" t="n">
        <f aca="false">ROUND(L245*M245,2)</f>
        <v>4.38</v>
      </c>
    </row>
    <row r="246" customFormat="false" ht="15" hidden="false" customHeight="false" outlineLevel="0" collapsed="false">
      <c r="A246" s="39" t="s">
        <v>120</v>
      </c>
      <c r="B246" s="40" t="n">
        <f aca="false">IF($P$246="",129.089,ROUND(129.089*((51.1377/(1-$P$246))-27.49)/49.42,2))</f>
        <v>129.089</v>
      </c>
      <c r="C246" s="28"/>
      <c r="D246" s="41" t="n">
        <v>0.117193</v>
      </c>
      <c r="E246" s="29" t="n">
        <v>0.1829</v>
      </c>
      <c r="F246" s="27" t="n">
        <f aca="false">ROUND(B246*E246,2)</f>
        <v>23.61</v>
      </c>
      <c r="G246" s="30"/>
      <c r="H246" s="42" t="n">
        <v>110.489</v>
      </c>
      <c r="I246" s="32" t="n">
        <v>0.1829</v>
      </c>
      <c r="J246" s="31" t="n">
        <f aca="false">ROUND(H246*I246,2)</f>
        <v>20.21</v>
      </c>
      <c r="K246" s="30"/>
      <c r="L246" s="43" t="n">
        <v>75.415</v>
      </c>
      <c r="M246" s="34" t="n">
        <v>0.1829</v>
      </c>
      <c r="N246" s="33" t="n">
        <f aca="false">ROUND(L246*M246,2)</f>
        <v>13.79</v>
      </c>
      <c r="O246" s="44" t="s">
        <v>121</v>
      </c>
      <c r="P246" s="45"/>
    </row>
    <row r="247" customFormat="false" ht="15" hidden="false" customHeight="false" outlineLevel="0" collapsed="false">
      <c r="A247" s="39" t="s">
        <v>122</v>
      </c>
      <c r="B247" s="40" t="n">
        <f aca="false">IF($P$246="",62.671,ROUND(62.671*((51.1377/(1-$P$246))-27.49)/49.42,2))</f>
        <v>62.671</v>
      </c>
      <c r="C247" s="28"/>
      <c r="D247" s="41" t="n">
        <v>0.110433</v>
      </c>
      <c r="E247" s="29" t="n">
        <v>0.1615</v>
      </c>
      <c r="F247" s="27" t="n">
        <f aca="false">ROUND(B247*E247,2)</f>
        <v>10.12</v>
      </c>
      <c r="G247" s="30"/>
      <c r="H247" s="42" t="n">
        <v>51.751</v>
      </c>
      <c r="I247" s="32" t="n">
        <v>0.1615</v>
      </c>
      <c r="J247" s="31" t="n">
        <f aca="false">ROUND(H247*I247,2)</f>
        <v>8.36</v>
      </c>
      <c r="K247" s="30"/>
      <c r="L247" s="43" t="n">
        <v>31.988</v>
      </c>
      <c r="M247" s="34" t="n">
        <v>0.1615</v>
      </c>
      <c r="N247" s="33" t="n">
        <f aca="false">ROUND(L247*M247,2)</f>
        <v>5.17</v>
      </c>
      <c r="O247" s="46" t="s">
        <v>123</v>
      </c>
    </row>
    <row r="248" customFormat="false" ht="15" hidden="false" customHeight="false" outlineLevel="0" collapsed="false">
      <c r="A248" s="39" t="s">
        <v>124</v>
      </c>
      <c r="B248" s="40" t="n">
        <f aca="false">IF($P$246="",100.583,ROUND(100.583*((51.1377/(1-$P$246))-27.49)/49.42,2))</f>
        <v>100.583</v>
      </c>
      <c r="C248" s="28"/>
      <c r="D248" s="41" t="n">
        <v>0.102539</v>
      </c>
      <c r="E248" s="29" t="n">
        <v>0.156</v>
      </c>
      <c r="F248" s="27" t="n">
        <f aca="false">ROUND(B248*E248,2)</f>
        <v>15.69</v>
      </c>
      <c r="G248" s="30"/>
      <c r="H248" s="42" t="n">
        <v>63.628</v>
      </c>
      <c r="I248" s="32" t="n">
        <v>0.156</v>
      </c>
      <c r="J248" s="31" t="n">
        <f aca="false">ROUND(H248*I248,2)</f>
        <v>9.93</v>
      </c>
      <c r="K248" s="30"/>
      <c r="L248" s="43" t="n">
        <v>51.979</v>
      </c>
      <c r="M248" s="34" t="n">
        <v>0.156</v>
      </c>
      <c r="N248" s="33" t="n">
        <f aca="false">ROUND(L248*M248,2)</f>
        <v>8.11</v>
      </c>
      <c r="O248" s="46" t="s">
        <v>125</v>
      </c>
    </row>
    <row r="249" customFormat="false" ht="15" hidden="false" customHeight="false" outlineLevel="0" collapsed="false">
      <c r="A249" s="8" t="s">
        <v>126</v>
      </c>
      <c r="B249" s="27" t="n">
        <v>1</v>
      </c>
      <c r="C249" s="28"/>
      <c r="D249" s="29" t="n">
        <v>17.615</v>
      </c>
      <c r="E249" s="29" t="n">
        <v>17.615</v>
      </c>
      <c r="F249" s="27" t="n">
        <f aca="false">ROUND(B249*E249,2)</f>
        <v>17.62</v>
      </c>
      <c r="G249" s="30"/>
      <c r="H249" s="31" t="n">
        <v>1</v>
      </c>
      <c r="I249" s="32" t="n">
        <v>17.615</v>
      </c>
      <c r="J249" s="31" t="n">
        <f aca="false">ROUND(H249*I249,2)</f>
        <v>17.62</v>
      </c>
      <c r="K249" s="30"/>
      <c r="L249" s="33" t="n">
        <v>1</v>
      </c>
      <c r="M249" s="34" t="n">
        <v>17.615</v>
      </c>
      <c r="N249" s="33" t="n">
        <f aca="false">ROUND(L249*M249,2)</f>
        <v>17.62</v>
      </c>
    </row>
    <row r="250" customFormat="false" ht="15" hidden="false" customHeight="false" outlineLevel="0" collapsed="false">
      <c r="A250" s="8" t="s">
        <v>127</v>
      </c>
      <c r="B250" s="27" t="n">
        <v>30</v>
      </c>
      <c r="C250" s="28"/>
      <c r="D250" s="29" t="n">
        <v>0.01274</v>
      </c>
      <c r="E250" s="29" t="n">
        <v>0.01274</v>
      </c>
      <c r="F250" s="27" t="n">
        <f aca="false">ROUND(B250*E250,2)</f>
        <v>0.38</v>
      </c>
      <c r="G250" s="30"/>
      <c r="H250" s="31" t="n">
        <v>30</v>
      </c>
      <c r="I250" s="32" t="n">
        <v>0.01274</v>
      </c>
      <c r="J250" s="31" t="n">
        <f aca="false">ROUND(H250*I250,2)</f>
        <v>0.38</v>
      </c>
      <c r="K250" s="30"/>
      <c r="L250" s="33" t="n">
        <v>30</v>
      </c>
      <c r="M250" s="34" t="n">
        <v>0.00629</v>
      </c>
      <c r="N250" s="33" t="n">
        <f aca="false">ROUND(L250*M250,2)</f>
        <v>0.19</v>
      </c>
    </row>
    <row r="251" customFormat="false" ht="15" hidden="false" customHeight="false" outlineLevel="0" collapsed="false">
      <c r="A251" s="8" t="s">
        <v>128</v>
      </c>
      <c r="B251" s="27" t="n">
        <v>4.48</v>
      </c>
      <c r="C251" s="28"/>
      <c r="D251" s="29" t="n">
        <v>1</v>
      </c>
      <c r="E251" s="29" t="n">
        <v>1</v>
      </c>
      <c r="F251" s="27" t="n">
        <f aca="false">ROUND(B251*E251,2)</f>
        <v>4.48</v>
      </c>
      <c r="G251" s="30"/>
      <c r="H251" s="31" t="n">
        <v>3.8</v>
      </c>
      <c r="I251" s="32" t="n">
        <v>1</v>
      </c>
      <c r="J251" s="31" t="n">
        <f aca="false">ROUND(H251*I251,2)</f>
        <v>3.8</v>
      </c>
      <c r="K251" s="30"/>
      <c r="L251" s="33" t="n">
        <v>2.24</v>
      </c>
      <c r="M251" s="34" t="n">
        <v>1</v>
      </c>
      <c r="N251" s="33" t="n">
        <f aca="false">ROUND(L251*M251,2)</f>
        <v>2.24</v>
      </c>
    </row>
    <row r="252" customFormat="false" ht="15" hidden="false" customHeight="false" outlineLevel="0" collapsed="false">
      <c r="A252" s="47" t="s">
        <v>129</v>
      </c>
      <c r="B252" s="48"/>
      <c r="C252" s="48"/>
      <c r="D252" s="48"/>
      <c r="E252" s="48"/>
      <c r="F252" s="49" t="n">
        <f aca="false">ROUND((SUM(F240:F251)-F251)*1.21+F251,2)</f>
        <v>119.32</v>
      </c>
      <c r="G252" s="48"/>
      <c r="H252" s="48"/>
      <c r="I252" s="48"/>
      <c r="J252" s="50" t="n">
        <f aca="false">ROUND((SUM(J240:J251)-J251)*1.21+J251,2)</f>
        <v>105.43</v>
      </c>
      <c r="K252" s="48"/>
      <c r="L252" s="48"/>
      <c r="M252" s="48"/>
      <c r="N252" s="51" t="n">
        <f aca="false">ROUND((SUM(N240:N251)-N251)*1.21+N251,2)</f>
        <v>89.81</v>
      </c>
    </row>
    <row r="253" customFormat="false" ht="15" hidden="false" customHeight="false" outlineLevel="0" collapsed="false">
      <c r="A253" s="52" t="s">
        <v>130</v>
      </c>
      <c r="B253" s="53" t="n">
        <f aca="false">(SUM(F240:F248)-51.1377)/SUM(F240:F248)</f>
        <v>0.335096866467299</v>
      </c>
      <c r="C253" s="53"/>
      <c r="D253" s="53"/>
      <c r="E253" s="53"/>
      <c r="F253" s="53"/>
      <c r="G253" s="54"/>
      <c r="H253" s="54"/>
      <c r="I253" s="54"/>
      <c r="J253" s="54"/>
      <c r="K253" s="54"/>
      <c r="L253" s="55" t="str">
        <f aca="false">IF(B253&gt;=0.3,"APROBAR",IF(B253&gt;=0.2,"REVISAR","RECHAZAR"))</f>
        <v>APROBAR</v>
      </c>
      <c r="M253" s="55"/>
      <c r="N253" s="55"/>
    </row>
    <row r="255" customFormat="false" ht="15" hidden="false" customHeight="true" outlineLevel="0" collapsed="false">
      <c r="A255" s="14" t="s">
        <v>251</v>
      </c>
      <c r="B255" s="14"/>
      <c r="C255" s="14"/>
      <c r="D255" s="14"/>
      <c r="E255" s="14"/>
      <c r="F255" s="14"/>
      <c r="G255" s="14"/>
      <c r="H255" s="14"/>
      <c r="I255" s="15" t="s">
        <v>252</v>
      </c>
      <c r="J255" s="15"/>
      <c r="K255" s="15"/>
      <c r="L255" s="15"/>
      <c r="M255" s="15"/>
      <c r="N255" s="15"/>
      <c r="R255" s="16" t="s">
        <v>97</v>
      </c>
      <c r="S255" s="16"/>
      <c r="T255" s="16"/>
      <c r="U255" s="16"/>
      <c r="V255" s="16"/>
    </row>
    <row r="256" customFormat="false" ht="15" hidden="false" customHeight="true" outlineLevel="0" collapsed="false">
      <c r="A256" s="17" t="s">
        <v>98</v>
      </c>
      <c r="B256" s="18" t="s">
        <v>99</v>
      </c>
      <c r="C256" s="18"/>
      <c r="D256" s="18"/>
      <c r="E256" s="18"/>
      <c r="F256" s="18"/>
      <c r="G256" s="19"/>
      <c r="H256" s="20" t="s">
        <v>253</v>
      </c>
      <c r="I256" s="20"/>
      <c r="J256" s="20"/>
      <c r="K256" s="19"/>
      <c r="L256" s="21" t="s">
        <v>254</v>
      </c>
      <c r="M256" s="21"/>
      <c r="N256" s="21"/>
      <c r="R256" s="22" t="s">
        <v>255</v>
      </c>
      <c r="S256" s="22"/>
      <c r="T256" s="22"/>
      <c r="U256" s="22"/>
      <c r="V256" s="22"/>
    </row>
    <row r="257" customFormat="false" ht="15" hidden="false" customHeight="true" outlineLevel="0" collapsed="false">
      <c r="A257" s="19"/>
      <c r="B257" s="23" t="s">
        <v>103</v>
      </c>
      <c r="C257" s="23" t="s">
        <v>104</v>
      </c>
      <c r="D257" s="23" t="s">
        <v>105</v>
      </c>
      <c r="E257" s="23" t="s">
        <v>106</v>
      </c>
      <c r="F257" s="23" t="s">
        <v>107</v>
      </c>
      <c r="G257" s="19"/>
      <c r="H257" s="24" t="s">
        <v>103</v>
      </c>
      <c r="I257" s="24" t="s">
        <v>106</v>
      </c>
      <c r="J257" s="24" t="s">
        <v>107</v>
      </c>
      <c r="K257" s="19"/>
      <c r="L257" s="25" t="s">
        <v>103</v>
      </c>
      <c r="M257" s="25" t="s">
        <v>106</v>
      </c>
      <c r="N257" s="25" t="s">
        <v>107</v>
      </c>
      <c r="R257" s="26" t="s">
        <v>256</v>
      </c>
      <c r="S257" s="26"/>
      <c r="T257" s="26"/>
      <c r="U257" s="26"/>
      <c r="V257" s="26"/>
    </row>
    <row r="258" customFormat="false" ht="15" hidden="false" customHeight="true" outlineLevel="0" collapsed="false">
      <c r="A258" s="8" t="s">
        <v>109</v>
      </c>
      <c r="B258" s="27" t="n">
        <v>22</v>
      </c>
      <c r="C258" s="28" t="n">
        <v>30</v>
      </c>
      <c r="D258" s="29" t="n">
        <v>1.77687</v>
      </c>
      <c r="E258" s="29" t="n">
        <v>2.5542</v>
      </c>
      <c r="F258" s="27" t="n">
        <f aca="false">ROUND(B258*E258,2)</f>
        <v>56.19</v>
      </c>
      <c r="G258" s="30"/>
      <c r="H258" s="31" t="n">
        <v>22</v>
      </c>
      <c r="I258" s="32" t="n">
        <v>2.5542</v>
      </c>
      <c r="J258" s="31" t="n">
        <f aca="false">ROUND(H258*I258,2)</f>
        <v>56.19</v>
      </c>
      <c r="K258" s="30"/>
      <c r="L258" s="33" t="n">
        <v>22</v>
      </c>
      <c r="M258" s="34" t="n">
        <v>2.5542</v>
      </c>
      <c r="N258" s="33" t="n">
        <f aca="false">ROUND(L258*M258,2)</f>
        <v>56.19</v>
      </c>
      <c r="R258" s="35" t="s">
        <v>257</v>
      </c>
      <c r="S258" s="35"/>
      <c r="T258" s="35"/>
      <c r="U258" s="35"/>
      <c r="V258" s="35"/>
    </row>
    <row r="259" customFormat="false" ht="15" hidden="false" customHeight="true" outlineLevel="0" collapsed="false">
      <c r="A259" s="8" t="s">
        <v>111</v>
      </c>
      <c r="B259" s="27" t="n">
        <v>25</v>
      </c>
      <c r="C259" s="28" t="n">
        <v>30</v>
      </c>
      <c r="D259" s="29" t="n">
        <v>1.09035</v>
      </c>
      <c r="E259" s="29" t="n">
        <v>1.3773</v>
      </c>
      <c r="F259" s="27" t="n">
        <f aca="false">ROUND(B259*E259,2)</f>
        <v>34.43</v>
      </c>
      <c r="G259" s="30"/>
      <c r="H259" s="31" t="n">
        <v>25</v>
      </c>
      <c r="I259" s="32" t="n">
        <v>1.3773</v>
      </c>
      <c r="J259" s="31" t="n">
        <f aca="false">ROUND(H259*I259,2)</f>
        <v>34.43</v>
      </c>
      <c r="K259" s="30"/>
      <c r="L259" s="33" t="n">
        <v>25</v>
      </c>
      <c r="M259" s="34" t="n">
        <v>1.3773</v>
      </c>
      <c r="N259" s="33" t="n">
        <f aca="false">ROUND(L259*M259,2)</f>
        <v>34.43</v>
      </c>
      <c r="R259" s="36" t="s">
        <v>258</v>
      </c>
      <c r="S259" s="36"/>
      <c r="T259" s="36"/>
      <c r="U259" s="36"/>
      <c r="V259" s="36"/>
    </row>
    <row r="260" customFormat="false" ht="15" hidden="false" customHeight="true" outlineLevel="0" collapsed="false">
      <c r="A260" s="8" t="s">
        <v>113</v>
      </c>
      <c r="B260" s="27" t="n">
        <v>25</v>
      </c>
      <c r="C260" s="28" t="n">
        <v>30</v>
      </c>
      <c r="D260" s="29" t="n">
        <v>0.50292</v>
      </c>
      <c r="E260" s="29" t="n">
        <v>0.6286</v>
      </c>
      <c r="F260" s="27" t="n">
        <f aca="false">ROUND(B260*E260,2)</f>
        <v>15.72</v>
      </c>
      <c r="G260" s="30"/>
      <c r="H260" s="31" t="n">
        <v>25</v>
      </c>
      <c r="I260" s="32" t="n">
        <v>0.6286</v>
      </c>
      <c r="J260" s="31" t="n">
        <f aca="false">ROUND(H260*I260,2)</f>
        <v>15.72</v>
      </c>
      <c r="K260" s="30"/>
      <c r="L260" s="33" t="n">
        <v>25</v>
      </c>
      <c r="M260" s="34" t="n">
        <v>0.6286</v>
      </c>
      <c r="N260" s="33" t="n">
        <f aca="false">ROUND(L260*M260,2)</f>
        <v>15.72</v>
      </c>
      <c r="R260" s="36" t="s">
        <v>259</v>
      </c>
      <c r="S260" s="36"/>
      <c r="T260" s="36"/>
      <c r="U260" s="36"/>
      <c r="V260" s="36"/>
    </row>
    <row r="261" customFormat="false" ht="15" hidden="false" customHeight="true" outlineLevel="0" collapsed="false">
      <c r="A261" s="8" t="s">
        <v>115</v>
      </c>
      <c r="B261" s="27" t="n">
        <v>25</v>
      </c>
      <c r="C261" s="28" t="n">
        <v>30</v>
      </c>
      <c r="D261" s="29" t="n">
        <v>0.41958</v>
      </c>
      <c r="E261" s="29" t="n">
        <v>0.5561</v>
      </c>
      <c r="F261" s="27" t="n">
        <f aca="false">ROUND(B261*E261,2)</f>
        <v>13.9</v>
      </c>
      <c r="G261" s="30"/>
      <c r="H261" s="31" t="n">
        <v>25</v>
      </c>
      <c r="I261" s="32" t="n">
        <v>0.5561</v>
      </c>
      <c r="J261" s="31" t="n">
        <f aca="false">ROUND(H261*I261,2)</f>
        <v>13.9</v>
      </c>
      <c r="K261" s="30"/>
      <c r="L261" s="33" t="n">
        <v>25</v>
      </c>
      <c r="M261" s="34" t="n">
        <v>0.5561</v>
      </c>
      <c r="N261" s="33" t="n">
        <f aca="false">ROUND(L261*M261,2)</f>
        <v>13.9</v>
      </c>
      <c r="R261" s="56" t="s">
        <v>149</v>
      </c>
      <c r="S261" s="56"/>
      <c r="T261" s="56"/>
      <c r="U261" s="56"/>
      <c r="V261" s="56"/>
    </row>
    <row r="262" customFormat="false" ht="15" hidden="false" customHeight="true" outlineLevel="0" collapsed="false">
      <c r="A262" s="8" t="s">
        <v>117</v>
      </c>
      <c r="B262" s="27" t="n">
        <v>25</v>
      </c>
      <c r="C262" s="28" t="n">
        <v>30</v>
      </c>
      <c r="D262" s="29" t="n">
        <v>0.33582</v>
      </c>
      <c r="E262" s="29" t="n">
        <v>0.3868</v>
      </c>
      <c r="F262" s="27" t="n">
        <f aca="false">ROUND(B262*E262,2)</f>
        <v>9.67</v>
      </c>
      <c r="G262" s="30"/>
      <c r="H262" s="31" t="n">
        <v>25</v>
      </c>
      <c r="I262" s="32" t="n">
        <v>0.3868</v>
      </c>
      <c r="J262" s="31" t="n">
        <f aca="false">ROUND(H262*I262,2)</f>
        <v>9.67</v>
      </c>
      <c r="K262" s="30"/>
      <c r="L262" s="33" t="n">
        <v>25</v>
      </c>
      <c r="M262" s="34" t="n">
        <v>0.3868</v>
      </c>
      <c r="N262" s="33" t="n">
        <f aca="false">ROUND(L262*M262,2)</f>
        <v>9.67</v>
      </c>
      <c r="R262" s="38" t="s">
        <v>118</v>
      </c>
      <c r="S262" s="38"/>
      <c r="T262" s="38"/>
      <c r="U262" s="38"/>
      <c r="V262" s="38"/>
    </row>
    <row r="263" customFormat="false" ht="15" hidden="false" customHeight="false" outlineLevel="0" collapsed="false">
      <c r="A263" s="8" t="s">
        <v>119</v>
      </c>
      <c r="B263" s="27" t="n">
        <v>25</v>
      </c>
      <c r="C263" s="28" t="n">
        <v>30</v>
      </c>
      <c r="D263" s="29" t="n">
        <v>0.24543</v>
      </c>
      <c r="E263" s="29" t="n">
        <v>0.2653</v>
      </c>
      <c r="F263" s="27" t="n">
        <f aca="false">ROUND(B263*E263,2)</f>
        <v>6.63</v>
      </c>
      <c r="G263" s="30"/>
      <c r="H263" s="31" t="n">
        <v>25</v>
      </c>
      <c r="I263" s="32" t="n">
        <v>0.2653</v>
      </c>
      <c r="J263" s="31" t="n">
        <f aca="false">ROUND(H263*I263,2)</f>
        <v>6.63</v>
      </c>
      <c r="K263" s="30"/>
      <c r="L263" s="33" t="n">
        <v>25</v>
      </c>
      <c r="M263" s="34" t="n">
        <v>0.2653</v>
      </c>
      <c r="N263" s="33" t="n">
        <f aca="false">ROUND(L263*M263,2)</f>
        <v>6.63</v>
      </c>
    </row>
    <row r="264" customFormat="false" ht="15" hidden="false" customHeight="false" outlineLevel="0" collapsed="false">
      <c r="A264" s="39" t="s">
        <v>120</v>
      </c>
      <c r="B264" s="40" t="n">
        <f aca="false">IF($P$264="",1093.799,ROUND(1093.799*((307.9651/(1-$P$264))-136.54)/258.03,2))</f>
        <v>1093.799</v>
      </c>
      <c r="C264" s="28"/>
      <c r="D264" s="41" t="n">
        <v>0.10995</v>
      </c>
      <c r="E264" s="29" t="n">
        <v>0.15</v>
      </c>
      <c r="F264" s="27" t="n">
        <f aca="false">ROUND(B264*E264,2)</f>
        <v>164.07</v>
      </c>
      <c r="G264" s="30"/>
      <c r="H264" s="42" t="n">
        <v>919.727</v>
      </c>
      <c r="I264" s="32" t="n">
        <v>0.15</v>
      </c>
      <c r="J264" s="31" t="n">
        <f aca="false">ROUND(H264*I264,2)</f>
        <v>137.96</v>
      </c>
      <c r="K264" s="30"/>
      <c r="L264" s="43" t="n">
        <v>1000.922</v>
      </c>
      <c r="M264" s="34" t="n">
        <v>0.16</v>
      </c>
      <c r="N264" s="33" t="n">
        <f aca="false">ROUND(L264*M264,2)</f>
        <v>160.15</v>
      </c>
      <c r="O264" s="44" t="s">
        <v>121</v>
      </c>
      <c r="P264" s="45"/>
    </row>
    <row r="265" customFormat="false" ht="15" hidden="false" customHeight="false" outlineLevel="0" collapsed="false">
      <c r="A265" s="39" t="s">
        <v>122</v>
      </c>
      <c r="B265" s="40" t="n">
        <f aca="false">IF($P$264="",517.466,ROUND(517.466*((307.9651/(1-$P$264))-136.54)/258.03,2))</f>
        <v>517.466</v>
      </c>
      <c r="C265" s="28"/>
      <c r="D265" s="41" t="n">
        <v>0.10995</v>
      </c>
      <c r="E265" s="29" t="n">
        <v>0.149</v>
      </c>
      <c r="F265" s="27" t="n">
        <f aca="false">ROUND(B265*E265,2)</f>
        <v>77.1</v>
      </c>
      <c r="G265" s="30"/>
      <c r="H265" s="42" t="n">
        <v>547.792</v>
      </c>
      <c r="I265" s="32" t="n">
        <v>0.149</v>
      </c>
      <c r="J265" s="31" t="n">
        <f aca="false">ROUND(H265*I265,2)</f>
        <v>81.62</v>
      </c>
      <c r="K265" s="30"/>
      <c r="L265" s="43" t="n">
        <v>741.434</v>
      </c>
      <c r="M265" s="34" t="n">
        <v>0.16</v>
      </c>
      <c r="N265" s="33" t="n">
        <f aca="false">ROUND(L265*M265,2)</f>
        <v>118.63</v>
      </c>
      <c r="O265" s="46" t="s">
        <v>123</v>
      </c>
    </row>
    <row r="266" customFormat="false" ht="15" hidden="false" customHeight="false" outlineLevel="0" collapsed="false">
      <c r="A266" s="39" t="s">
        <v>124</v>
      </c>
      <c r="B266" s="40" t="n">
        <f aca="false">IF($P$264="",122.177,ROUND(122.177*((307.9651/(1-$P$264))-136.54)/258.03,2))</f>
        <v>122.177</v>
      </c>
      <c r="C266" s="28"/>
      <c r="D266" s="41" t="n">
        <v>0.2199</v>
      </c>
      <c r="E266" s="29" t="n">
        <v>0.138</v>
      </c>
      <c r="F266" s="27" t="n">
        <f aca="false">ROUND(B266*E266,2)</f>
        <v>16.86</v>
      </c>
      <c r="G266" s="30"/>
      <c r="H266" s="42" t="n">
        <v>70.849</v>
      </c>
      <c r="I266" s="32" t="n">
        <v>0.138</v>
      </c>
      <c r="J266" s="31" t="n">
        <f aca="false">ROUND(H266*I266,2)</f>
        <v>9.78</v>
      </c>
      <c r="K266" s="30"/>
      <c r="L266" s="43" t="n">
        <v>165.189</v>
      </c>
      <c r="M266" s="34" t="n">
        <v>0.15</v>
      </c>
      <c r="N266" s="33" t="n">
        <f aca="false">ROUND(L266*M266,2)</f>
        <v>24.78</v>
      </c>
      <c r="O266" s="46" t="s">
        <v>125</v>
      </c>
    </row>
    <row r="267" customFormat="false" ht="15" hidden="false" customHeight="false" outlineLevel="0" collapsed="false">
      <c r="A267" s="8" t="s">
        <v>126</v>
      </c>
      <c r="B267" s="27" t="n">
        <v>1</v>
      </c>
      <c r="C267" s="28"/>
      <c r="D267" s="29" t="n">
        <v>17.615</v>
      </c>
      <c r="E267" s="29" t="n">
        <v>17.615</v>
      </c>
      <c r="F267" s="27" t="n">
        <f aca="false">ROUND(B267*E267,2)</f>
        <v>17.62</v>
      </c>
      <c r="G267" s="30"/>
      <c r="H267" s="31" t="n">
        <v>1</v>
      </c>
      <c r="I267" s="32" t="n">
        <v>17.615</v>
      </c>
      <c r="J267" s="31" t="n">
        <f aca="false">ROUND(H267*I267,2)</f>
        <v>17.62</v>
      </c>
      <c r="K267" s="30"/>
      <c r="L267" s="33" t="n">
        <v>1</v>
      </c>
      <c r="M267" s="34" t="n">
        <v>17.615</v>
      </c>
      <c r="N267" s="33" t="n">
        <f aca="false">ROUND(L267*M267,2)</f>
        <v>17.62</v>
      </c>
    </row>
    <row r="268" customFormat="false" ht="15" hidden="false" customHeight="false" outlineLevel="0" collapsed="false">
      <c r="A268" s="8" t="s">
        <v>127</v>
      </c>
      <c r="B268" s="27" t="n">
        <v>30</v>
      </c>
      <c r="C268" s="28"/>
      <c r="D268" s="29" t="n">
        <v>0.01912</v>
      </c>
      <c r="E268" s="29" t="n">
        <v>0.01912</v>
      </c>
      <c r="F268" s="27" t="n">
        <f aca="false">ROUND(B268*E268,2)</f>
        <v>0.57</v>
      </c>
      <c r="G268" s="30"/>
      <c r="H268" s="31" t="n">
        <v>30</v>
      </c>
      <c r="I268" s="32" t="n">
        <v>0.01912</v>
      </c>
      <c r="J268" s="31" t="n">
        <f aca="false">ROUND(H268*I268,2)</f>
        <v>0.57</v>
      </c>
      <c r="K268" s="30"/>
      <c r="L268" s="33" t="n">
        <v>30</v>
      </c>
      <c r="M268" s="34" t="n">
        <v>0.00629</v>
      </c>
      <c r="N268" s="33" t="n">
        <f aca="false">ROUND(L268*M268,2)</f>
        <v>0.19</v>
      </c>
    </row>
    <row r="269" customFormat="false" ht="15" hidden="false" customHeight="false" outlineLevel="0" collapsed="false">
      <c r="A269" s="8" t="s">
        <v>128</v>
      </c>
      <c r="B269" s="27" t="n">
        <v>23.53</v>
      </c>
      <c r="C269" s="28"/>
      <c r="D269" s="29" t="n">
        <v>1</v>
      </c>
      <c r="E269" s="29" t="n">
        <v>1</v>
      </c>
      <c r="F269" s="27" t="n">
        <f aca="false">ROUND(B269*E269,2)</f>
        <v>23.53</v>
      </c>
      <c r="G269" s="30"/>
      <c r="H269" s="31" t="n">
        <v>22.64</v>
      </c>
      <c r="I269" s="32" t="n">
        <v>1</v>
      </c>
      <c r="J269" s="31" t="n">
        <f aca="false">ROUND(H269*I269,2)</f>
        <v>22.64</v>
      </c>
      <c r="K269" s="30"/>
      <c r="L269" s="33" t="n">
        <v>25.82</v>
      </c>
      <c r="M269" s="34" t="n">
        <v>1</v>
      </c>
      <c r="N269" s="33" t="n">
        <f aca="false">ROUND(L269*M269,2)</f>
        <v>25.82</v>
      </c>
    </row>
    <row r="270" customFormat="false" ht="15" hidden="false" customHeight="false" outlineLevel="0" collapsed="false">
      <c r="A270" s="47" t="s">
        <v>129</v>
      </c>
      <c r="B270" s="48"/>
      <c r="C270" s="48"/>
      <c r="D270" s="48"/>
      <c r="E270" s="48"/>
      <c r="F270" s="49" t="n">
        <f aca="false">ROUND((SUM(F258:F269)-F269)*1.21+F269,2)</f>
        <v>522.97</v>
      </c>
      <c r="G270" s="48"/>
      <c r="H270" s="48"/>
      <c r="I270" s="48"/>
      <c r="J270" s="50" t="n">
        <f aca="false">ROUND((SUM(J258:J269)-J269)*1.21+J269,2)</f>
        <v>487.39</v>
      </c>
      <c r="K270" s="48"/>
      <c r="L270" s="48"/>
      <c r="M270" s="48"/>
      <c r="N270" s="51" t="n">
        <f aca="false">ROUND((SUM(N258:N269)-N269)*1.21+N269,2)</f>
        <v>579.89</v>
      </c>
    </row>
    <row r="271" customFormat="false" ht="15" hidden="false" customHeight="false" outlineLevel="0" collapsed="false">
      <c r="A271" s="52" t="s">
        <v>130</v>
      </c>
      <c r="B271" s="53" t="n">
        <f aca="false">(SUM(F258:F266)-307.9651)/SUM(F258:F266)</f>
        <v>0.219491851889399</v>
      </c>
      <c r="C271" s="53"/>
      <c r="D271" s="53"/>
      <c r="E271" s="53"/>
      <c r="F271" s="53"/>
      <c r="G271" s="54"/>
      <c r="H271" s="54"/>
      <c r="I271" s="54"/>
      <c r="J271" s="54"/>
      <c r="K271" s="54"/>
      <c r="L271" s="55" t="str">
        <f aca="false">IF(B271&gt;=0.3,"APROBAR",IF(B271&gt;=0.2,"REVISAR","RECHAZAR"))</f>
        <v>REVISAR</v>
      </c>
      <c r="M271" s="55"/>
      <c r="N271" s="55"/>
    </row>
    <row r="273" customFormat="false" ht="15" hidden="false" customHeight="true" outlineLevel="0" collapsed="false">
      <c r="A273" s="14" t="s">
        <v>260</v>
      </c>
      <c r="B273" s="14"/>
      <c r="C273" s="14"/>
      <c r="D273" s="14"/>
      <c r="E273" s="14"/>
      <c r="F273" s="14"/>
      <c r="G273" s="14"/>
      <c r="H273" s="14"/>
      <c r="I273" s="15" t="s">
        <v>198</v>
      </c>
      <c r="J273" s="15"/>
      <c r="K273" s="15"/>
      <c r="L273" s="15"/>
      <c r="M273" s="15"/>
      <c r="N273" s="15"/>
      <c r="R273" s="16" t="s">
        <v>97</v>
      </c>
      <c r="S273" s="16"/>
      <c r="T273" s="16"/>
      <c r="U273" s="16"/>
      <c r="V273" s="16"/>
    </row>
    <row r="274" customFormat="false" ht="15" hidden="false" customHeight="true" outlineLevel="0" collapsed="false">
      <c r="A274" s="17" t="s">
        <v>98</v>
      </c>
      <c r="B274" s="18" t="s">
        <v>99</v>
      </c>
      <c r="C274" s="18"/>
      <c r="D274" s="18"/>
      <c r="E274" s="18"/>
      <c r="F274" s="18"/>
      <c r="G274" s="19"/>
      <c r="H274" s="20" t="s">
        <v>199</v>
      </c>
      <c r="I274" s="20"/>
      <c r="J274" s="20"/>
      <c r="K274" s="19"/>
      <c r="L274" s="21" t="s">
        <v>200</v>
      </c>
      <c r="M274" s="21"/>
      <c r="N274" s="21"/>
      <c r="R274" s="22" t="s">
        <v>201</v>
      </c>
      <c r="S274" s="22"/>
      <c r="T274" s="22"/>
      <c r="U274" s="22"/>
      <c r="V274" s="22"/>
    </row>
    <row r="275" customFormat="false" ht="15" hidden="false" customHeight="true" outlineLevel="0" collapsed="false">
      <c r="A275" s="19"/>
      <c r="B275" s="23" t="s">
        <v>103</v>
      </c>
      <c r="C275" s="23" t="s">
        <v>104</v>
      </c>
      <c r="D275" s="23" t="s">
        <v>105</v>
      </c>
      <c r="E275" s="23" t="s">
        <v>106</v>
      </c>
      <c r="F275" s="23" t="s">
        <v>107</v>
      </c>
      <c r="G275" s="19"/>
      <c r="H275" s="24" t="s">
        <v>103</v>
      </c>
      <c r="I275" s="24" t="s">
        <v>106</v>
      </c>
      <c r="J275" s="24" t="s">
        <v>107</v>
      </c>
      <c r="K275" s="19"/>
      <c r="L275" s="25" t="s">
        <v>103</v>
      </c>
      <c r="M275" s="25" t="s">
        <v>106</v>
      </c>
      <c r="N275" s="25" t="s">
        <v>107</v>
      </c>
      <c r="R275" s="26" t="s">
        <v>202</v>
      </c>
      <c r="S275" s="26"/>
      <c r="T275" s="26"/>
      <c r="U275" s="26"/>
      <c r="V275" s="26"/>
    </row>
    <row r="276" customFormat="false" ht="15" hidden="false" customHeight="true" outlineLevel="0" collapsed="false">
      <c r="A276" s="8" t="s">
        <v>109</v>
      </c>
      <c r="B276" s="27" t="n">
        <v>2</v>
      </c>
      <c r="C276" s="28" t="n">
        <v>30</v>
      </c>
      <c r="D276" s="29" t="n">
        <v>1.73784</v>
      </c>
      <c r="E276" s="29" t="n">
        <v>2.5542</v>
      </c>
      <c r="F276" s="27" t="n">
        <f aca="false">ROUND(B276*E276,2)</f>
        <v>5.11</v>
      </c>
      <c r="G276" s="30"/>
      <c r="H276" s="31" t="n">
        <v>2</v>
      </c>
      <c r="I276" s="32" t="n">
        <v>2.5542</v>
      </c>
      <c r="J276" s="31" t="n">
        <f aca="false">ROUND(H276*I276,2)</f>
        <v>5.11</v>
      </c>
      <c r="K276" s="30"/>
      <c r="L276" s="33" t="n">
        <v>2</v>
      </c>
      <c r="M276" s="34" t="n">
        <v>2.5542</v>
      </c>
      <c r="N276" s="33" t="n">
        <f aca="false">ROUND(L276*M276,2)</f>
        <v>5.11</v>
      </c>
      <c r="R276" s="35" t="s">
        <v>203</v>
      </c>
      <c r="S276" s="35"/>
      <c r="T276" s="35"/>
      <c r="U276" s="35"/>
      <c r="V276" s="35"/>
    </row>
    <row r="277" customFormat="false" ht="15" hidden="false" customHeight="true" outlineLevel="0" collapsed="false">
      <c r="A277" s="8" t="s">
        <v>111</v>
      </c>
      <c r="B277" s="27" t="n">
        <v>2</v>
      </c>
      <c r="C277" s="28" t="n">
        <v>30</v>
      </c>
      <c r="D277" s="29" t="n">
        <v>0.9357</v>
      </c>
      <c r="E277" s="29" t="n">
        <v>1.3773</v>
      </c>
      <c r="F277" s="27" t="n">
        <f aca="false">ROUND(B277*E277,2)</f>
        <v>2.75</v>
      </c>
      <c r="G277" s="30"/>
      <c r="H277" s="31" t="n">
        <v>2</v>
      </c>
      <c r="I277" s="32" t="n">
        <v>1.3773</v>
      </c>
      <c r="J277" s="31" t="n">
        <f aca="false">ROUND(H277*I277,2)</f>
        <v>2.75</v>
      </c>
      <c r="K277" s="30"/>
      <c r="L277" s="33" t="n">
        <v>2</v>
      </c>
      <c r="M277" s="34" t="n">
        <v>1.3773</v>
      </c>
      <c r="N277" s="33" t="n">
        <f aca="false">ROUND(L277*M277,2)</f>
        <v>2.75</v>
      </c>
      <c r="R277" s="36" t="s">
        <v>204</v>
      </c>
      <c r="S277" s="36"/>
      <c r="T277" s="36"/>
      <c r="U277" s="36"/>
      <c r="V277" s="36"/>
    </row>
    <row r="278" customFormat="false" ht="15" hidden="false" customHeight="true" outlineLevel="0" collapsed="false">
      <c r="A278" s="8" t="s">
        <v>113</v>
      </c>
      <c r="B278" s="27" t="n">
        <v>2</v>
      </c>
      <c r="C278" s="28" t="n">
        <v>30</v>
      </c>
      <c r="D278" s="29" t="n">
        <v>0.43137</v>
      </c>
      <c r="E278" s="29" t="n">
        <v>0.6286</v>
      </c>
      <c r="F278" s="27" t="n">
        <f aca="false">ROUND(B278*E278,2)</f>
        <v>1.26</v>
      </c>
      <c r="G278" s="30"/>
      <c r="H278" s="31" t="n">
        <v>2</v>
      </c>
      <c r="I278" s="32" t="n">
        <v>0.6286</v>
      </c>
      <c r="J278" s="31" t="n">
        <f aca="false">ROUND(H278*I278,2)</f>
        <v>1.26</v>
      </c>
      <c r="K278" s="30"/>
      <c r="L278" s="33" t="n">
        <v>2</v>
      </c>
      <c r="M278" s="34" t="n">
        <v>0.6286</v>
      </c>
      <c r="N278" s="33" t="n">
        <f aca="false">ROUND(L278*M278,2)</f>
        <v>1.26</v>
      </c>
      <c r="R278" s="36" t="s">
        <v>205</v>
      </c>
      <c r="S278" s="36"/>
      <c r="T278" s="36"/>
      <c r="U278" s="36"/>
      <c r="V278" s="36"/>
    </row>
    <row r="279" customFormat="false" ht="15" hidden="false" customHeight="true" outlineLevel="0" collapsed="false">
      <c r="A279" s="8" t="s">
        <v>115</v>
      </c>
      <c r="B279" s="27" t="n">
        <v>2</v>
      </c>
      <c r="C279" s="28" t="n">
        <v>30</v>
      </c>
      <c r="D279" s="29" t="n">
        <v>0.38244</v>
      </c>
      <c r="E279" s="29" t="n">
        <v>0.5561</v>
      </c>
      <c r="F279" s="27" t="n">
        <f aca="false">ROUND(B279*E279,2)</f>
        <v>1.11</v>
      </c>
      <c r="G279" s="30"/>
      <c r="H279" s="31" t="n">
        <v>2</v>
      </c>
      <c r="I279" s="32" t="n">
        <v>0.5561</v>
      </c>
      <c r="J279" s="31" t="n">
        <f aca="false">ROUND(H279*I279,2)</f>
        <v>1.11</v>
      </c>
      <c r="K279" s="30"/>
      <c r="L279" s="33" t="n">
        <v>2</v>
      </c>
      <c r="M279" s="34" t="n">
        <v>0.5561</v>
      </c>
      <c r="N279" s="33" t="n">
        <f aca="false">ROUND(L279*M279,2)</f>
        <v>1.11</v>
      </c>
      <c r="R279" s="56" t="s">
        <v>149</v>
      </c>
      <c r="S279" s="56"/>
      <c r="T279" s="56"/>
      <c r="U279" s="56"/>
      <c r="V279" s="56"/>
    </row>
    <row r="280" customFormat="false" ht="15" hidden="false" customHeight="true" outlineLevel="0" collapsed="false">
      <c r="A280" s="8" t="s">
        <v>117</v>
      </c>
      <c r="B280" s="27" t="n">
        <v>2</v>
      </c>
      <c r="C280" s="28" t="n">
        <v>30</v>
      </c>
      <c r="D280" s="29" t="n">
        <v>0.26964</v>
      </c>
      <c r="E280" s="29" t="n">
        <v>0.3868</v>
      </c>
      <c r="F280" s="27" t="n">
        <f aca="false">ROUND(B280*E280,2)</f>
        <v>0.77</v>
      </c>
      <c r="G280" s="30"/>
      <c r="H280" s="31" t="n">
        <v>2</v>
      </c>
      <c r="I280" s="32" t="n">
        <v>0.3868</v>
      </c>
      <c r="J280" s="31" t="n">
        <f aca="false">ROUND(H280*I280,2)</f>
        <v>0.77</v>
      </c>
      <c r="K280" s="30"/>
      <c r="L280" s="33" t="n">
        <v>2</v>
      </c>
      <c r="M280" s="34" t="n">
        <v>0.3868</v>
      </c>
      <c r="N280" s="33" t="n">
        <f aca="false">ROUND(L280*M280,2)</f>
        <v>0.77</v>
      </c>
      <c r="R280" s="38" t="s">
        <v>118</v>
      </c>
      <c r="S280" s="38"/>
      <c r="T280" s="38"/>
      <c r="U280" s="38"/>
      <c r="V280" s="38"/>
    </row>
    <row r="281" customFormat="false" ht="15" hidden="false" customHeight="false" outlineLevel="0" collapsed="false">
      <c r="A281" s="8" t="s">
        <v>119</v>
      </c>
      <c r="B281" s="27" t="n">
        <v>15.01</v>
      </c>
      <c r="C281" s="28" t="n">
        <v>30</v>
      </c>
      <c r="D281" s="29" t="n">
        <v>0.18156</v>
      </c>
      <c r="E281" s="29" t="n">
        <v>0.2653</v>
      </c>
      <c r="F281" s="27" t="n">
        <f aca="false">ROUND(B281*E281,2)</f>
        <v>3.98</v>
      </c>
      <c r="G281" s="30"/>
      <c r="H281" s="31" t="n">
        <v>15.01</v>
      </c>
      <c r="I281" s="32" t="n">
        <v>0.2653</v>
      </c>
      <c r="J281" s="31" t="n">
        <f aca="false">ROUND(H281*I281,2)</f>
        <v>3.98</v>
      </c>
      <c r="K281" s="30"/>
      <c r="L281" s="33" t="n">
        <v>15.01</v>
      </c>
      <c r="M281" s="34" t="n">
        <v>0.2653</v>
      </c>
      <c r="N281" s="33" t="n">
        <f aca="false">ROUND(L281*M281,2)</f>
        <v>3.98</v>
      </c>
    </row>
    <row r="282" customFormat="false" ht="15" hidden="false" customHeight="false" outlineLevel="0" collapsed="false">
      <c r="A282" s="39" t="s">
        <v>120</v>
      </c>
      <c r="B282" s="40" t="n">
        <f aca="false">IF($P$282="",29.98,ROUND(29.98*((28.2654/(1-$P$282))-14.98)/25.88,2))</f>
        <v>29.98</v>
      </c>
      <c r="C282" s="28"/>
      <c r="D282" s="41" t="n">
        <v>0.128336</v>
      </c>
      <c r="E282" s="29" t="n">
        <v>0.173</v>
      </c>
      <c r="F282" s="27" t="n">
        <f aca="false">ROUND(B282*E282,2)</f>
        <v>5.19</v>
      </c>
      <c r="G282" s="30"/>
      <c r="H282" s="42" t="n">
        <v>70.044</v>
      </c>
      <c r="I282" s="32" t="n">
        <v>0.18804</v>
      </c>
      <c r="J282" s="31" t="n">
        <f aca="false">ROUND(H282*I282,2)</f>
        <v>13.17</v>
      </c>
      <c r="K282" s="30"/>
      <c r="L282" s="43" t="n">
        <v>4.716</v>
      </c>
      <c r="M282" s="34" t="n">
        <v>0.173</v>
      </c>
      <c r="N282" s="33" t="n">
        <f aca="false">ROUND(L282*M282,2)</f>
        <v>0.82</v>
      </c>
      <c r="O282" s="44" t="s">
        <v>121</v>
      </c>
      <c r="P282" s="45"/>
    </row>
    <row r="283" customFormat="false" ht="15" hidden="false" customHeight="false" outlineLevel="0" collapsed="false">
      <c r="A283" s="39" t="s">
        <v>122</v>
      </c>
      <c r="B283" s="40" t="n">
        <f aca="false">IF($P$282="",14.188,ROUND(14.188*((28.2654/(1-$P$282))-14.98)/25.88,2))</f>
        <v>14.188</v>
      </c>
      <c r="C283" s="28"/>
      <c r="D283" s="41" t="n">
        <v>0.121544</v>
      </c>
      <c r="E283" s="29" t="n">
        <v>0.1707</v>
      </c>
      <c r="F283" s="27" t="n">
        <f aca="false">ROUND(B283*E283,2)</f>
        <v>2.42</v>
      </c>
      <c r="G283" s="30"/>
      <c r="H283" s="42" t="n">
        <v>52.462</v>
      </c>
      <c r="I283" s="32" t="n">
        <v>0.17506</v>
      </c>
      <c r="J283" s="31" t="n">
        <f aca="false">ROUND(H283*I283,2)</f>
        <v>9.18</v>
      </c>
      <c r="K283" s="30"/>
      <c r="L283" s="43" t="n">
        <v>2.67</v>
      </c>
      <c r="M283" s="34" t="n">
        <v>0.1707</v>
      </c>
      <c r="N283" s="33" t="n">
        <f aca="false">ROUND(L283*M283,2)</f>
        <v>0.46</v>
      </c>
      <c r="O283" s="46" t="s">
        <v>123</v>
      </c>
    </row>
    <row r="284" customFormat="false" ht="15" hidden="false" customHeight="false" outlineLevel="0" collapsed="false">
      <c r="A284" s="39" t="s">
        <v>124</v>
      </c>
      <c r="B284" s="40" t="n">
        <f aca="false">IF($P$282="",109.481,ROUND(109.481*((28.2654/(1-$P$282))-14.98)/25.88,2))</f>
        <v>109.481</v>
      </c>
      <c r="C284" s="28"/>
      <c r="D284" s="41" t="n">
        <v>0.113808</v>
      </c>
      <c r="E284" s="29" t="n">
        <v>0.1669</v>
      </c>
      <c r="F284" s="27" t="n">
        <f aca="false">ROUND(B284*E284,2)</f>
        <v>18.27</v>
      </c>
      <c r="G284" s="30"/>
      <c r="H284" s="42" t="n">
        <v>168.163</v>
      </c>
      <c r="I284" s="32" t="n">
        <v>0.1669</v>
      </c>
      <c r="J284" s="31" t="n">
        <f aca="false">ROUND(H284*I284,2)</f>
        <v>28.07</v>
      </c>
      <c r="K284" s="30"/>
      <c r="L284" s="43" t="n">
        <v>21.758</v>
      </c>
      <c r="M284" s="34" t="n">
        <v>0.1669</v>
      </c>
      <c r="N284" s="33" t="n">
        <f aca="false">ROUND(L284*M284,2)</f>
        <v>3.63</v>
      </c>
      <c r="O284" s="46" t="s">
        <v>125</v>
      </c>
    </row>
    <row r="285" customFormat="false" ht="15" hidden="false" customHeight="false" outlineLevel="0" collapsed="false">
      <c r="A285" s="8" t="s">
        <v>126</v>
      </c>
      <c r="B285" s="27" t="n">
        <v>1</v>
      </c>
      <c r="C285" s="28"/>
      <c r="D285" s="29" t="n">
        <v>17.615</v>
      </c>
      <c r="E285" s="29" t="n">
        <v>17.615</v>
      </c>
      <c r="F285" s="27" t="n">
        <f aca="false">ROUND(B285*E285,2)</f>
        <v>17.62</v>
      </c>
      <c r="G285" s="30"/>
      <c r="H285" s="31" t="n">
        <v>1</v>
      </c>
      <c r="I285" s="32" t="n">
        <v>17.615</v>
      </c>
      <c r="J285" s="31" t="n">
        <f aca="false">ROUND(H285*I285,2)</f>
        <v>17.62</v>
      </c>
      <c r="K285" s="30"/>
      <c r="L285" s="33" t="n">
        <v>1</v>
      </c>
      <c r="M285" s="34" t="n">
        <v>17.615</v>
      </c>
      <c r="N285" s="33" t="n">
        <f aca="false">ROUND(L285*M285,2)</f>
        <v>17.62</v>
      </c>
    </row>
    <row r="286" customFormat="false" ht="15" hidden="false" customHeight="false" outlineLevel="0" collapsed="false">
      <c r="A286" s="8" t="s">
        <v>127</v>
      </c>
      <c r="B286" s="27" t="n">
        <v>30</v>
      </c>
      <c r="C286" s="28"/>
      <c r="D286" s="29" t="n">
        <v>0.01274</v>
      </c>
      <c r="E286" s="29" t="n">
        <v>0.01274</v>
      </c>
      <c r="F286" s="27" t="n">
        <f aca="false">ROUND(B286*E286,2)</f>
        <v>0.38</v>
      </c>
      <c r="G286" s="30"/>
      <c r="H286" s="31" t="n">
        <v>30</v>
      </c>
      <c r="I286" s="32" t="n">
        <v>0.01274</v>
      </c>
      <c r="J286" s="31" t="n">
        <f aca="false">ROUND(H286*I286,2)</f>
        <v>0.38</v>
      </c>
      <c r="K286" s="30"/>
      <c r="L286" s="33" t="n">
        <v>30</v>
      </c>
      <c r="M286" s="34" t="n">
        <v>0.00629</v>
      </c>
      <c r="N286" s="33" t="n">
        <f aca="false">ROUND(L286*M286,2)</f>
        <v>0.19</v>
      </c>
    </row>
    <row r="287" customFormat="false" ht="15" hidden="false" customHeight="false" outlineLevel="0" collapsed="false">
      <c r="A287" s="8" t="s">
        <v>128</v>
      </c>
      <c r="B287" s="27" t="n">
        <v>0.78</v>
      </c>
      <c r="C287" s="28"/>
      <c r="D287" s="29" t="n">
        <v>1</v>
      </c>
      <c r="E287" s="29" t="n">
        <v>1</v>
      </c>
      <c r="F287" s="27" t="n">
        <f aca="false">ROUND(B287*E287,2)</f>
        <v>0.78</v>
      </c>
      <c r="G287" s="30"/>
      <c r="H287" s="31" t="n">
        <v>2.53</v>
      </c>
      <c r="I287" s="32" t="n">
        <v>1</v>
      </c>
      <c r="J287" s="31" t="n">
        <f aca="false">ROUND(H287*I287,2)</f>
        <v>2.53</v>
      </c>
      <c r="K287" s="30"/>
      <c r="L287" s="33" t="n">
        <v>0.78</v>
      </c>
      <c r="M287" s="34" t="n">
        <v>1</v>
      </c>
      <c r="N287" s="33" t="n">
        <f aca="false">ROUND(L287*M287,2)</f>
        <v>0.78</v>
      </c>
    </row>
    <row r="288" customFormat="false" ht="15" hidden="false" customHeight="false" outlineLevel="0" collapsed="false">
      <c r="A288" s="47" t="s">
        <v>129</v>
      </c>
      <c r="B288" s="48"/>
      <c r="C288" s="48"/>
      <c r="D288" s="48"/>
      <c r="E288" s="48"/>
      <c r="F288" s="49" t="n">
        <f aca="false">ROUND((SUM(F276:F287)-F287)*1.21+F287,2)</f>
        <v>72</v>
      </c>
      <c r="G288" s="48"/>
      <c r="H288" s="48"/>
      <c r="I288" s="48"/>
      <c r="J288" s="50" t="n">
        <f aca="false">ROUND((SUM(J276:J287)-J287)*1.21+J287,2)</f>
        <v>103.44</v>
      </c>
      <c r="K288" s="48"/>
      <c r="L288" s="48"/>
      <c r="M288" s="48"/>
      <c r="N288" s="51" t="n">
        <f aca="false">ROUND((SUM(N276:N287)-N287)*1.21+N287,2)</f>
        <v>46.4</v>
      </c>
    </row>
    <row r="289" customFormat="false" ht="15" hidden="false" customHeight="false" outlineLevel="0" collapsed="false">
      <c r="A289" s="52" t="s">
        <v>130</v>
      </c>
      <c r="B289" s="53" t="n">
        <f aca="false">(SUM(F276:F284)-28.2654)/SUM(F276:F284)</f>
        <v>0.308237885462555</v>
      </c>
      <c r="C289" s="53"/>
      <c r="D289" s="53"/>
      <c r="E289" s="53"/>
      <c r="F289" s="53"/>
      <c r="G289" s="54"/>
      <c r="H289" s="54"/>
      <c r="I289" s="54"/>
      <c r="J289" s="54"/>
      <c r="K289" s="54"/>
      <c r="L289" s="55" t="str">
        <f aca="false">IF(B289&gt;=0.3,"APROBAR",IF(B289&gt;=0.2,"REVISAR","RECHAZAR"))</f>
        <v>APROBAR</v>
      </c>
      <c r="M289" s="55"/>
      <c r="N289" s="55"/>
    </row>
    <row r="291" customFormat="false" ht="15" hidden="false" customHeight="true" outlineLevel="0" collapsed="false">
      <c r="A291" s="14" t="s">
        <v>261</v>
      </c>
      <c r="B291" s="14"/>
      <c r="C291" s="14"/>
      <c r="D291" s="14"/>
      <c r="E291" s="14"/>
      <c r="F291" s="14"/>
      <c r="G291" s="14"/>
      <c r="H291" s="14"/>
      <c r="I291" s="15" t="s">
        <v>262</v>
      </c>
      <c r="J291" s="15"/>
      <c r="K291" s="15"/>
      <c r="L291" s="15"/>
      <c r="M291" s="15"/>
      <c r="N291" s="15"/>
      <c r="R291" s="16" t="s">
        <v>97</v>
      </c>
      <c r="S291" s="16"/>
      <c r="T291" s="16"/>
      <c r="U291" s="16"/>
      <c r="V291" s="16"/>
    </row>
    <row r="292" customFormat="false" ht="15" hidden="false" customHeight="true" outlineLevel="0" collapsed="false">
      <c r="A292" s="17" t="s">
        <v>98</v>
      </c>
      <c r="B292" s="18" t="s">
        <v>99</v>
      </c>
      <c r="C292" s="18"/>
      <c r="D292" s="18"/>
      <c r="E292" s="18"/>
      <c r="F292" s="18"/>
      <c r="G292" s="19"/>
      <c r="H292" s="20" t="s">
        <v>263</v>
      </c>
      <c r="I292" s="20"/>
      <c r="J292" s="20"/>
      <c r="K292" s="19"/>
      <c r="L292" s="21" t="s">
        <v>264</v>
      </c>
      <c r="M292" s="21"/>
      <c r="N292" s="21"/>
      <c r="R292" s="22" t="s">
        <v>265</v>
      </c>
      <c r="S292" s="22"/>
      <c r="T292" s="22"/>
      <c r="U292" s="22"/>
      <c r="V292" s="22"/>
    </row>
    <row r="293" customFormat="false" ht="15" hidden="false" customHeight="true" outlineLevel="0" collapsed="false">
      <c r="A293" s="19"/>
      <c r="B293" s="23" t="s">
        <v>103</v>
      </c>
      <c r="C293" s="23" t="s">
        <v>104</v>
      </c>
      <c r="D293" s="23" t="s">
        <v>105</v>
      </c>
      <c r="E293" s="23" t="s">
        <v>106</v>
      </c>
      <c r="F293" s="23" t="s">
        <v>107</v>
      </c>
      <c r="G293" s="19"/>
      <c r="H293" s="24" t="s">
        <v>103</v>
      </c>
      <c r="I293" s="24" t="s">
        <v>106</v>
      </c>
      <c r="J293" s="24" t="s">
        <v>107</v>
      </c>
      <c r="K293" s="19"/>
      <c r="L293" s="25" t="s">
        <v>103</v>
      </c>
      <c r="M293" s="25" t="s">
        <v>106</v>
      </c>
      <c r="N293" s="25" t="s">
        <v>107</v>
      </c>
      <c r="R293" s="26" t="s">
        <v>266</v>
      </c>
      <c r="S293" s="26"/>
      <c r="T293" s="26"/>
      <c r="U293" s="26"/>
      <c r="V293" s="26"/>
    </row>
    <row r="294" customFormat="false" ht="15" hidden="false" customHeight="true" outlineLevel="0" collapsed="false">
      <c r="A294" s="8" t="s">
        <v>109</v>
      </c>
      <c r="B294" s="27" t="n">
        <v>15.1</v>
      </c>
      <c r="C294" s="28" t="n">
        <v>30</v>
      </c>
      <c r="D294" s="29" t="n">
        <v>1.73784</v>
      </c>
      <c r="E294" s="29" t="n">
        <v>2.5542</v>
      </c>
      <c r="F294" s="27" t="n">
        <f aca="false">ROUND(B294*E294,2)</f>
        <v>38.57</v>
      </c>
      <c r="G294" s="30"/>
      <c r="H294" s="31" t="n">
        <v>15.1</v>
      </c>
      <c r="I294" s="32" t="n">
        <v>2.5542</v>
      </c>
      <c r="J294" s="31" t="n">
        <f aca="false">ROUND(H294*I294,2)</f>
        <v>38.57</v>
      </c>
      <c r="K294" s="30"/>
      <c r="L294" s="33" t="n">
        <v>15.1</v>
      </c>
      <c r="M294" s="34" t="n">
        <v>2.5542</v>
      </c>
      <c r="N294" s="33" t="n">
        <f aca="false">ROUND(L294*M294,2)</f>
        <v>38.57</v>
      </c>
      <c r="R294" s="35" t="s">
        <v>267</v>
      </c>
      <c r="S294" s="35"/>
      <c r="T294" s="35"/>
      <c r="U294" s="35"/>
      <c r="V294" s="35"/>
    </row>
    <row r="295" customFormat="false" ht="15" hidden="false" customHeight="true" outlineLevel="0" collapsed="false">
      <c r="A295" s="8" t="s">
        <v>111</v>
      </c>
      <c r="B295" s="27" t="n">
        <v>15.1</v>
      </c>
      <c r="C295" s="28" t="n">
        <v>30</v>
      </c>
      <c r="D295" s="29" t="n">
        <v>0.9357</v>
      </c>
      <c r="E295" s="29" t="n">
        <v>1.37733</v>
      </c>
      <c r="F295" s="27" t="n">
        <f aca="false">ROUND(B295*E295,2)</f>
        <v>20.8</v>
      </c>
      <c r="G295" s="30"/>
      <c r="H295" s="31" t="n">
        <v>15.1</v>
      </c>
      <c r="I295" s="32" t="n">
        <v>1.37733</v>
      </c>
      <c r="J295" s="31" t="n">
        <f aca="false">ROUND(H295*I295,2)</f>
        <v>20.8</v>
      </c>
      <c r="K295" s="30"/>
      <c r="L295" s="33" t="n">
        <v>15.1</v>
      </c>
      <c r="M295" s="34" t="n">
        <v>1.37733</v>
      </c>
      <c r="N295" s="33" t="n">
        <f aca="false">ROUND(L295*M295,2)</f>
        <v>20.8</v>
      </c>
      <c r="R295" s="36" t="s">
        <v>268</v>
      </c>
      <c r="S295" s="36"/>
      <c r="T295" s="36"/>
      <c r="U295" s="36"/>
      <c r="V295" s="36"/>
    </row>
    <row r="296" customFormat="false" ht="15" hidden="false" customHeight="true" outlineLevel="0" collapsed="false">
      <c r="A296" s="8" t="s">
        <v>113</v>
      </c>
      <c r="B296" s="27" t="n">
        <v>15.1</v>
      </c>
      <c r="C296" s="28" t="n">
        <v>30</v>
      </c>
      <c r="D296" s="29" t="n">
        <v>0.43137</v>
      </c>
      <c r="E296" s="29" t="n">
        <v>0.62868</v>
      </c>
      <c r="F296" s="27" t="n">
        <f aca="false">ROUND(B296*E296,2)</f>
        <v>9.49</v>
      </c>
      <c r="G296" s="30"/>
      <c r="H296" s="31" t="n">
        <v>15.1</v>
      </c>
      <c r="I296" s="32" t="n">
        <v>0.62868</v>
      </c>
      <c r="J296" s="31" t="n">
        <f aca="false">ROUND(H296*I296,2)</f>
        <v>9.49</v>
      </c>
      <c r="K296" s="30"/>
      <c r="L296" s="33" t="n">
        <v>15.1</v>
      </c>
      <c r="M296" s="34" t="n">
        <v>0.62868</v>
      </c>
      <c r="N296" s="33" t="n">
        <f aca="false">ROUND(L296*M296,2)</f>
        <v>9.49</v>
      </c>
      <c r="R296" s="36" t="s">
        <v>269</v>
      </c>
      <c r="S296" s="36"/>
      <c r="T296" s="36"/>
      <c r="U296" s="36"/>
      <c r="V296" s="36"/>
    </row>
    <row r="297" customFormat="false" ht="15" hidden="false" customHeight="true" outlineLevel="0" collapsed="false">
      <c r="A297" s="8" t="s">
        <v>115</v>
      </c>
      <c r="B297" s="27" t="n">
        <v>15.1</v>
      </c>
      <c r="C297" s="28" t="n">
        <v>30</v>
      </c>
      <c r="D297" s="29" t="n">
        <v>0.38244</v>
      </c>
      <c r="E297" s="29" t="n">
        <v>0.5561</v>
      </c>
      <c r="F297" s="27" t="n">
        <f aca="false">ROUND(B297*E297,2)</f>
        <v>8.4</v>
      </c>
      <c r="G297" s="30"/>
      <c r="H297" s="31" t="n">
        <v>15.1</v>
      </c>
      <c r="I297" s="32" t="n">
        <v>0.5561</v>
      </c>
      <c r="J297" s="31" t="n">
        <f aca="false">ROUND(H297*I297,2)</f>
        <v>8.4</v>
      </c>
      <c r="K297" s="30"/>
      <c r="L297" s="33" t="n">
        <v>15.1</v>
      </c>
      <c r="M297" s="34" t="n">
        <v>0.5561</v>
      </c>
      <c r="N297" s="33" t="n">
        <f aca="false">ROUND(L297*M297,2)</f>
        <v>8.4</v>
      </c>
      <c r="R297" s="56" t="s">
        <v>149</v>
      </c>
      <c r="S297" s="56"/>
      <c r="T297" s="56"/>
      <c r="U297" s="56"/>
      <c r="V297" s="56"/>
    </row>
    <row r="298" customFormat="false" ht="15" hidden="false" customHeight="true" outlineLevel="0" collapsed="false">
      <c r="A298" s="8" t="s">
        <v>117</v>
      </c>
      <c r="B298" s="27" t="n">
        <v>15.1</v>
      </c>
      <c r="C298" s="28" t="n">
        <v>30</v>
      </c>
      <c r="D298" s="29" t="n">
        <v>0.26964</v>
      </c>
      <c r="E298" s="29" t="n">
        <v>0.3868</v>
      </c>
      <c r="F298" s="27" t="n">
        <f aca="false">ROUND(B298*E298,2)</f>
        <v>5.84</v>
      </c>
      <c r="G298" s="30"/>
      <c r="H298" s="31" t="n">
        <v>15.1</v>
      </c>
      <c r="I298" s="32" t="n">
        <v>0.3868</v>
      </c>
      <c r="J298" s="31" t="n">
        <f aca="false">ROUND(H298*I298,2)</f>
        <v>5.84</v>
      </c>
      <c r="K298" s="30"/>
      <c r="L298" s="33" t="n">
        <v>15.1</v>
      </c>
      <c r="M298" s="34" t="n">
        <v>0.3868</v>
      </c>
      <c r="N298" s="33" t="n">
        <f aca="false">ROUND(L298*M298,2)</f>
        <v>5.84</v>
      </c>
      <c r="R298" s="38" t="s">
        <v>118</v>
      </c>
      <c r="S298" s="38"/>
      <c r="T298" s="38"/>
      <c r="U298" s="38"/>
      <c r="V298" s="38"/>
    </row>
    <row r="299" customFormat="false" ht="15" hidden="false" customHeight="false" outlineLevel="0" collapsed="false">
      <c r="A299" s="8" t="s">
        <v>119</v>
      </c>
      <c r="B299" s="27" t="n">
        <v>15.1</v>
      </c>
      <c r="C299" s="28" t="n">
        <v>30</v>
      </c>
      <c r="D299" s="29" t="n">
        <v>0.18156</v>
      </c>
      <c r="E299" s="29" t="n">
        <v>0.2653</v>
      </c>
      <c r="F299" s="27" t="n">
        <f aca="false">ROUND(B299*E299,2)</f>
        <v>4.01</v>
      </c>
      <c r="G299" s="30"/>
      <c r="H299" s="31" t="n">
        <v>15.1</v>
      </c>
      <c r="I299" s="32" t="n">
        <v>0.2653</v>
      </c>
      <c r="J299" s="31" t="n">
        <f aca="false">ROUND(H299*I299,2)</f>
        <v>4.01</v>
      </c>
      <c r="K299" s="30"/>
      <c r="L299" s="33" t="n">
        <v>15.1</v>
      </c>
      <c r="M299" s="34" t="n">
        <v>0.2653</v>
      </c>
      <c r="N299" s="33" t="n">
        <f aca="false">ROUND(L299*M299,2)</f>
        <v>4.01</v>
      </c>
    </row>
    <row r="300" customFormat="false" ht="15" hidden="false" customHeight="false" outlineLevel="0" collapsed="false">
      <c r="A300" s="39" t="s">
        <v>120</v>
      </c>
      <c r="B300" s="40" t="n">
        <f aca="false">IF($P$300="",276.865,ROUND(276.865*((134.8015/(1-$P$300))-87.11)/89.34,2))</f>
        <v>276.865</v>
      </c>
      <c r="C300" s="28"/>
      <c r="D300" s="41" t="n">
        <v>0.123193</v>
      </c>
      <c r="E300" s="29" t="n">
        <v>0.139</v>
      </c>
      <c r="F300" s="27" t="n">
        <f aca="false">ROUND(B300*E300,2)</f>
        <v>38.48</v>
      </c>
      <c r="G300" s="30"/>
      <c r="H300" s="42" t="n">
        <v>302.591</v>
      </c>
      <c r="I300" s="32" t="n">
        <v>0.2037</v>
      </c>
      <c r="J300" s="31" t="n">
        <f aca="false">ROUND(H300*I300,2)</f>
        <v>61.64</v>
      </c>
      <c r="K300" s="30"/>
      <c r="L300" s="43" t="n">
        <v>297.343</v>
      </c>
      <c r="M300" s="34" t="n">
        <v>0.1829</v>
      </c>
      <c r="N300" s="33" t="n">
        <f aca="false">ROUND(L300*M300,2)</f>
        <v>54.38</v>
      </c>
      <c r="O300" s="44" t="s">
        <v>121</v>
      </c>
      <c r="P300" s="45"/>
    </row>
    <row r="301" customFormat="false" ht="15" hidden="false" customHeight="false" outlineLevel="0" collapsed="false">
      <c r="A301" s="39" t="s">
        <v>122</v>
      </c>
      <c r="B301" s="40" t="n">
        <f aca="false">IF($P$300="",194.477,ROUND(194.477*((134.8015/(1-$P$300))-87.11)/89.34,2))</f>
        <v>194.477</v>
      </c>
      <c r="C301" s="28"/>
      <c r="D301" s="41" t="n">
        <v>0.116431</v>
      </c>
      <c r="E301" s="29" t="n">
        <v>0.139</v>
      </c>
      <c r="F301" s="27" t="n">
        <f aca="false">ROUND(B301*E301,2)</f>
        <v>27.03</v>
      </c>
      <c r="G301" s="30"/>
      <c r="H301" s="42" t="n">
        <v>233.412</v>
      </c>
      <c r="I301" s="32" t="n">
        <v>0.1885</v>
      </c>
      <c r="J301" s="31" t="n">
        <f aca="false">ROUND(H301*I301,2)</f>
        <v>44</v>
      </c>
      <c r="K301" s="30"/>
      <c r="L301" s="43" t="n">
        <v>266.092</v>
      </c>
      <c r="M301" s="34" t="n">
        <v>0.1615</v>
      </c>
      <c r="N301" s="33" t="n">
        <f aca="false">ROUND(L301*M301,2)</f>
        <v>42.97</v>
      </c>
      <c r="O301" s="46" t="s">
        <v>123</v>
      </c>
    </row>
    <row r="302" customFormat="false" ht="15" hidden="false" customHeight="false" outlineLevel="0" collapsed="false">
      <c r="A302" s="39" t="s">
        <v>124</v>
      </c>
      <c r="B302" s="40" t="n">
        <f aca="false">IF($P$300="",171.442,ROUND(171.442*((134.8015/(1-$P$300))-87.11)/89.34,2))</f>
        <v>171.442</v>
      </c>
      <c r="C302" s="28"/>
      <c r="D302" s="41" t="n">
        <v>0.108338</v>
      </c>
      <c r="E302" s="29" t="n">
        <v>0.139</v>
      </c>
      <c r="F302" s="27" t="n">
        <f aca="false">ROUND(B302*E302,2)</f>
        <v>23.83</v>
      </c>
      <c r="G302" s="30"/>
      <c r="H302" s="42" t="n">
        <v>163.174</v>
      </c>
      <c r="I302" s="32" t="n">
        <v>0.156</v>
      </c>
      <c r="J302" s="31" t="n">
        <f aca="false">ROUND(H302*I302,2)</f>
        <v>25.46</v>
      </c>
      <c r="K302" s="30"/>
      <c r="L302" s="43" t="n">
        <v>168.558</v>
      </c>
      <c r="M302" s="34" t="n">
        <v>0.156</v>
      </c>
      <c r="N302" s="33" t="n">
        <f aca="false">ROUND(L302*M302,2)</f>
        <v>26.3</v>
      </c>
      <c r="O302" s="46" t="s">
        <v>125</v>
      </c>
    </row>
    <row r="303" customFormat="false" ht="15" hidden="false" customHeight="false" outlineLevel="0" collapsed="false">
      <c r="A303" s="8" t="s">
        <v>126</v>
      </c>
      <c r="B303" s="27" t="n">
        <v>1</v>
      </c>
      <c r="C303" s="28"/>
      <c r="D303" s="29" t="n">
        <v>17.615</v>
      </c>
      <c r="E303" s="29" t="n">
        <v>17.615</v>
      </c>
      <c r="F303" s="27" t="n">
        <f aca="false">ROUND(B303*E303,2)</f>
        <v>17.62</v>
      </c>
      <c r="G303" s="30"/>
      <c r="H303" s="31" t="n">
        <v>1</v>
      </c>
      <c r="I303" s="32" t="n">
        <v>17.615</v>
      </c>
      <c r="J303" s="31" t="n">
        <f aca="false">ROUND(H303*I303,2)</f>
        <v>17.62</v>
      </c>
      <c r="K303" s="30"/>
      <c r="L303" s="33" t="n">
        <v>1</v>
      </c>
      <c r="M303" s="34" t="n">
        <v>17.615</v>
      </c>
      <c r="N303" s="33" t="n">
        <f aca="false">ROUND(L303*M303,2)</f>
        <v>17.62</v>
      </c>
    </row>
    <row r="304" customFormat="false" ht="15" hidden="false" customHeight="false" outlineLevel="0" collapsed="false">
      <c r="A304" s="8" t="s">
        <v>127</v>
      </c>
      <c r="B304" s="27" t="n">
        <v>30</v>
      </c>
      <c r="C304" s="28"/>
      <c r="D304" s="29" t="n">
        <v>0.01274</v>
      </c>
      <c r="E304" s="29" t="n">
        <v>0.01274</v>
      </c>
      <c r="F304" s="27" t="n">
        <f aca="false">ROUND(B304*E304,2)</f>
        <v>0.38</v>
      </c>
      <c r="G304" s="30"/>
      <c r="H304" s="31" t="n">
        <v>30</v>
      </c>
      <c r="I304" s="32" t="n">
        <v>0.01274</v>
      </c>
      <c r="J304" s="31" t="n">
        <f aca="false">ROUND(H304*I304,2)</f>
        <v>0.38</v>
      </c>
      <c r="K304" s="30"/>
      <c r="L304" s="33" t="n">
        <v>30</v>
      </c>
      <c r="M304" s="34" t="n">
        <v>0.00629</v>
      </c>
      <c r="N304" s="33" t="n">
        <f aca="false">ROUND(L304*M304,2)</f>
        <v>0.19</v>
      </c>
    </row>
    <row r="305" customFormat="false" ht="15" hidden="false" customHeight="false" outlineLevel="0" collapsed="false">
      <c r="A305" s="8" t="s">
        <v>128</v>
      </c>
      <c r="B305" s="27" t="n">
        <v>11.23</v>
      </c>
      <c r="C305" s="28"/>
      <c r="D305" s="29" t="n">
        <v>1</v>
      </c>
      <c r="E305" s="29" t="n">
        <v>1</v>
      </c>
      <c r="F305" s="27" t="n">
        <f aca="false">ROUND(B305*E305,2)</f>
        <v>11.23</v>
      </c>
      <c r="G305" s="30"/>
      <c r="H305" s="31" t="n">
        <v>11.43</v>
      </c>
      <c r="I305" s="32" t="n">
        <v>1</v>
      </c>
      <c r="J305" s="31" t="n">
        <f aca="false">ROUND(H305*I305,2)</f>
        <v>11.43</v>
      </c>
      <c r="K305" s="30"/>
      <c r="L305" s="33" t="n">
        <v>11.66</v>
      </c>
      <c r="M305" s="34" t="n">
        <v>1</v>
      </c>
      <c r="N305" s="33" t="n">
        <f aca="false">ROUND(L305*M305,2)</f>
        <v>11.66</v>
      </c>
    </row>
    <row r="306" customFormat="false" ht="15" hidden="false" customHeight="false" outlineLevel="0" collapsed="false">
      <c r="A306" s="47" t="s">
        <v>129</v>
      </c>
      <c r="B306" s="48"/>
      <c r="C306" s="48"/>
      <c r="D306" s="48"/>
      <c r="E306" s="48"/>
      <c r="F306" s="49" t="n">
        <f aca="false">ROUND((SUM(F294:F305)-F305)*1.21+F305,2)</f>
        <v>246.51</v>
      </c>
      <c r="G306" s="48"/>
      <c r="H306" s="48"/>
      <c r="I306" s="48"/>
      <c r="J306" s="50" t="n">
        <f aca="false">ROUND((SUM(J294:J305)-J305)*1.21+J305,2)</f>
        <v>297.24</v>
      </c>
      <c r="K306" s="48"/>
      <c r="L306" s="48"/>
      <c r="M306" s="48"/>
      <c r="N306" s="51" t="n">
        <f aca="false">ROUND((SUM(N294:N305)-N305)*1.21+N305,2)</f>
        <v>288.23</v>
      </c>
    </row>
    <row r="307" customFormat="false" ht="15" hidden="false" customHeight="false" outlineLevel="0" collapsed="false">
      <c r="A307" s="52" t="s">
        <v>130</v>
      </c>
      <c r="B307" s="53" t="n">
        <f aca="false">(SUM(F294:F302)-134.8015)/SUM(F294:F302)</f>
        <v>0.236035704165486</v>
      </c>
      <c r="C307" s="53"/>
      <c r="D307" s="53"/>
      <c r="E307" s="53"/>
      <c r="F307" s="53"/>
      <c r="G307" s="54"/>
      <c r="H307" s="54"/>
      <c r="I307" s="54"/>
      <c r="J307" s="54"/>
      <c r="K307" s="54"/>
      <c r="L307" s="55" t="str">
        <f aca="false">IF(B307&gt;=0.3,"APROBAR",IF(B307&gt;=0.2,"REVISAR","RECHAZAR"))</f>
        <v>REVISAR</v>
      </c>
      <c r="M307" s="55"/>
      <c r="N307" s="55"/>
    </row>
    <row r="309" customFormat="false" ht="15" hidden="false" customHeight="true" outlineLevel="0" collapsed="false">
      <c r="A309" s="14" t="s">
        <v>270</v>
      </c>
      <c r="B309" s="14"/>
      <c r="C309" s="14"/>
      <c r="D309" s="14"/>
      <c r="E309" s="14"/>
      <c r="F309" s="14"/>
      <c r="G309" s="14"/>
      <c r="H309" s="14"/>
      <c r="I309" s="15" t="s">
        <v>271</v>
      </c>
      <c r="J309" s="15"/>
      <c r="K309" s="15"/>
      <c r="L309" s="15"/>
      <c r="M309" s="15"/>
      <c r="N309" s="15"/>
      <c r="R309" s="16" t="s">
        <v>97</v>
      </c>
      <c r="S309" s="16"/>
      <c r="T309" s="16"/>
      <c r="U309" s="16"/>
      <c r="V309" s="16"/>
    </row>
    <row r="310" customFormat="false" ht="15" hidden="false" customHeight="true" outlineLevel="0" collapsed="false">
      <c r="A310" s="17" t="s">
        <v>98</v>
      </c>
      <c r="B310" s="18" t="s">
        <v>99</v>
      </c>
      <c r="C310" s="18"/>
      <c r="D310" s="18"/>
      <c r="E310" s="18"/>
      <c r="F310" s="18"/>
      <c r="G310" s="19"/>
      <c r="H310" s="20" t="s">
        <v>272</v>
      </c>
      <c r="I310" s="20"/>
      <c r="J310" s="20"/>
      <c r="K310" s="19"/>
      <c r="L310" s="21" t="s">
        <v>143</v>
      </c>
      <c r="M310" s="21"/>
      <c r="N310" s="21"/>
      <c r="R310" s="22" t="s">
        <v>273</v>
      </c>
      <c r="S310" s="22"/>
      <c r="T310" s="22"/>
      <c r="U310" s="22"/>
      <c r="V310" s="22"/>
    </row>
    <row r="311" customFormat="false" ht="15" hidden="false" customHeight="true" outlineLevel="0" collapsed="false">
      <c r="A311" s="19"/>
      <c r="B311" s="23" t="s">
        <v>103</v>
      </c>
      <c r="C311" s="23" t="s">
        <v>104</v>
      </c>
      <c r="D311" s="23" t="s">
        <v>105</v>
      </c>
      <c r="E311" s="23" t="s">
        <v>106</v>
      </c>
      <c r="F311" s="23" t="s">
        <v>107</v>
      </c>
      <c r="G311" s="19"/>
      <c r="H311" s="24" t="s">
        <v>103</v>
      </c>
      <c r="I311" s="24" t="s">
        <v>106</v>
      </c>
      <c r="J311" s="24" t="s">
        <v>107</v>
      </c>
      <c r="K311" s="19"/>
      <c r="L311" s="25" t="s">
        <v>103</v>
      </c>
      <c r="M311" s="25" t="s">
        <v>106</v>
      </c>
      <c r="N311" s="25" t="s">
        <v>107</v>
      </c>
      <c r="R311" s="26" t="s">
        <v>274</v>
      </c>
      <c r="S311" s="26"/>
      <c r="T311" s="26"/>
      <c r="U311" s="26"/>
      <c r="V311" s="26"/>
    </row>
    <row r="312" customFormat="false" ht="15" hidden="false" customHeight="true" outlineLevel="0" collapsed="false">
      <c r="A312" s="8" t="s">
        <v>109</v>
      </c>
      <c r="B312" s="27" t="n">
        <v>17.32</v>
      </c>
      <c r="C312" s="28" t="n">
        <v>30</v>
      </c>
      <c r="D312" s="29" t="n">
        <v>1.52838</v>
      </c>
      <c r="E312" s="29" t="n">
        <v>2.5542</v>
      </c>
      <c r="F312" s="27" t="n">
        <f aca="false">ROUND(B312*E312,2)</f>
        <v>44.24</v>
      </c>
      <c r="G312" s="30"/>
      <c r="H312" s="31" t="n">
        <v>17.32</v>
      </c>
      <c r="I312" s="32" t="n">
        <v>2.5542</v>
      </c>
      <c r="J312" s="31" t="n">
        <f aca="false">ROUND(H312*I312,2)</f>
        <v>44.24</v>
      </c>
      <c r="K312" s="30"/>
      <c r="L312" s="33"/>
      <c r="M312" s="34"/>
      <c r="N312" s="33"/>
      <c r="R312" s="35" t="s">
        <v>275</v>
      </c>
      <c r="S312" s="35"/>
      <c r="T312" s="35"/>
      <c r="U312" s="35"/>
      <c r="V312" s="35"/>
    </row>
    <row r="313" customFormat="false" ht="15" hidden="false" customHeight="true" outlineLevel="0" collapsed="false">
      <c r="A313" s="8" t="s">
        <v>111</v>
      </c>
      <c r="B313" s="27" t="n">
        <v>17.32</v>
      </c>
      <c r="C313" s="28" t="n">
        <v>30</v>
      </c>
      <c r="D313" s="29" t="n">
        <v>1.01328</v>
      </c>
      <c r="E313" s="29" t="n">
        <v>1.3773</v>
      </c>
      <c r="F313" s="27" t="n">
        <f aca="false">ROUND(B313*E313,2)</f>
        <v>23.85</v>
      </c>
      <c r="G313" s="30"/>
      <c r="H313" s="31" t="n">
        <v>17.32</v>
      </c>
      <c r="I313" s="32" t="n">
        <v>1.3773</v>
      </c>
      <c r="J313" s="31" t="n">
        <f aca="false">ROUND(H313*I313,2)</f>
        <v>23.85</v>
      </c>
      <c r="K313" s="30"/>
      <c r="L313" s="33"/>
      <c r="M313" s="34"/>
      <c r="N313" s="33"/>
      <c r="R313" s="36" t="s">
        <v>276</v>
      </c>
      <c r="S313" s="36"/>
      <c r="T313" s="36"/>
      <c r="U313" s="36"/>
      <c r="V313" s="36"/>
    </row>
    <row r="314" customFormat="false" ht="15" hidden="false" customHeight="true" outlineLevel="0" collapsed="false">
      <c r="A314" s="8" t="s">
        <v>113</v>
      </c>
      <c r="B314" s="27" t="n">
        <v>17.32</v>
      </c>
      <c r="C314" s="28" t="n">
        <v>30</v>
      </c>
      <c r="D314" s="29" t="n">
        <v>0.71964</v>
      </c>
      <c r="E314" s="29" t="n">
        <v>0.6286</v>
      </c>
      <c r="F314" s="27" t="n">
        <f aca="false">ROUND(B314*E314,2)</f>
        <v>10.89</v>
      </c>
      <c r="G314" s="30"/>
      <c r="H314" s="31" t="n">
        <v>17.32</v>
      </c>
      <c r="I314" s="32" t="n">
        <v>0.6286</v>
      </c>
      <c r="J314" s="31" t="n">
        <f aca="false">ROUND(H314*I314,2)</f>
        <v>10.89</v>
      </c>
      <c r="K314" s="30"/>
      <c r="L314" s="33"/>
      <c r="M314" s="34"/>
      <c r="N314" s="33"/>
      <c r="R314" s="36" t="s">
        <v>277</v>
      </c>
      <c r="S314" s="36"/>
      <c r="T314" s="36"/>
      <c r="U314" s="36"/>
      <c r="V314" s="36"/>
    </row>
    <row r="315" customFormat="false" ht="15" hidden="false" customHeight="true" outlineLevel="0" collapsed="false">
      <c r="A315" s="8" t="s">
        <v>115</v>
      </c>
      <c r="B315" s="27" t="n">
        <v>17.32</v>
      </c>
      <c r="C315" s="28" t="n">
        <v>30</v>
      </c>
      <c r="D315" s="29" t="n">
        <v>0.50346</v>
      </c>
      <c r="E315" s="29" t="n">
        <v>0.5561</v>
      </c>
      <c r="F315" s="27" t="n">
        <f aca="false">ROUND(B315*E315,2)</f>
        <v>9.63</v>
      </c>
      <c r="G315" s="30"/>
      <c r="H315" s="31" t="n">
        <v>17.32</v>
      </c>
      <c r="I315" s="32" t="n">
        <v>0.5561</v>
      </c>
      <c r="J315" s="31" t="n">
        <f aca="false">ROUND(H315*I315,2)</f>
        <v>9.63</v>
      </c>
      <c r="K315" s="30"/>
      <c r="L315" s="33"/>
      <c r="M315" s="34"/>
      <c r="N315" s="33"/>
      <c r="R315" s="56" t="s">
        <v>149</v>
      </c>
      <c r="S315" s="56"/>
      <c r="T315" s="56"/>
      <c r="U315" s="56"/>
      <c r="V315" s="56"/>
    </row>
    <row r="316" customFormat="false" ht="15" hidden="false" customHeight="true" outlineLevel="0" collapsed="false">
      <c r="A316" s="8" t="s">
        <v>117</v>
      </c>
      <c r="B316" s="27" t="n">
        <v>17.32</v>
      </c>
      <c r="C316" s="28" t="n">
        <v>30</v>
      </c>
      <c r="D316" s="29" t="n">
        <v>0.31041</v>
      </c>
      <c r="E316" s="29" t="n">
        <v>0.3868</v>
      </c>
      <c r="F316" s="27" t="n">
        <f aca="false">ROUND(B316*E316,2)</f>
        <v>6.7</v>
      </c>
      <c r="G316" s="30"/>
      <c r="H316" s="31" t="n">
        <v>17.32</v>
      </c>
      <c r="I316" s="32" t="n">
        <v>0.3868</v>
      </c>
      <c r="J316" s="31" t="n">
        <f aca="false">ROUND(H316*I316,2)</f>
        <v>6.7</v>
      </c>
      <c r="K316" s="30"/>
      <c r="L316" s="33"/>
      <c r="M316" s="34"/>
      <c r="N316" s="33"/>
      <c r="R316" s="38" t="s">
        <v>118</v>
      </c>
      <c r="S316" s="38"/>
      <c r="T316" s="38"/>
      <c r="U316" s="38"/>
      <c r="V316" s="38"/>
    </row>
    <row r="317" customFormat="false" ht="15" hidden="false" customHeight="false" outlineLevel="0" collapsed="false">
      <c r="A317" s="8" t="s">
        <v>119</v>
      </c>
      <c r="B317" s="27" t="n">
        <v>17.32</v>
      </c>
      <c r="C317" s="28" t="n">
        <v>30</v>
      </c>
      <c r="D317" s="29" t="n">
        <v>0.2511</v>
      </c>
      <c r="E317" s="29" t="n">
        <v>0.2653</v>
      </c>
      <c r="F317" s="27" t="n">
        <f aca="false">ROUND(B317*E317,2)</f>
        <v>4.59</v>
      </c>
      <c r="G317" s="30"/>
      <c r="H317" s="31" t="n">
        <v>17.32</v>
      </c>
      <c r="I317" s="32" t="n">
        <v>0.2653</v>
      </c>
      <c r="J317" s="31" t="n">
        <f aca="false">ROUND(H317*I317,2)</f>
        <v>4.59</v>
      </c>
      <c r="K317" s="30"/>
      <c r="L317" s="33"/>
      <c r="M317" s="34"/>
      <c r="N317" s="33"/>
    </row>
    <row r="318" customFormat="false" ht="15" hidden="false" customHeight="false" outlineLevel="0" collapsed="false">
      <c r="A318" s="39" t="s">
        <v>120</v>
      </c>
      <c r="B318" s="40" t="n">
        <f aca="false">IF($P$318="",74.431,ROUND(74.431*((125.53/(1-$P$318))-99.9)/67.88,2))</f>
        <v>74.431</v>
      </c>
      <c r="C318" s="28"/>
      <c r="D318" s="41" t="n">
        <v>0.130429</v>
      </c>
      <c r="E318" s="29" t="n">
        <v>0.175</v>
      </c>
      <c r="F318" s="27" t="n">
        <f aca="false">ROUND(B318*E318,2)</f>
        <v>13.03</v>
      </c>
      <c r="G318" s="30"/>
      <c r="H318" s="42" t="n">
        <v>132.918</v>
      </c>
      <c r="I318" s="32" t="n">
        <v>0.175</v>
      </c>
      <c r="J318" s="31" t="n">
        <f aca="false">ROUND(H318*I318,2)</f>
        <v>23.26</v>
      </c>
      <c r="K318" s="30"/>
      <c r="L318" s="43"/>
      <c r="M318" s="34"/>
      <c r="N318" s="33"/>
      <c r="O318" s="44" t="s">
        <v>121</v>
      </c>
      <c r="P318" s="45"/>
    </row>
    <row r="319" customFormat="false" ht="15" hidden="false" customHeight="false" outlineLevel="0" collapsed="false">
      <c r="A319" s="39" t="s">
        <v>122</v>
      </c>
      <c r="B319" s="40" t="n">
        <f aca="false">IF($P$318="",47.079,ROUND(47.079*((125.53/(1-$P$318))-99.9)/67.88,2))</f>
        <v>47.079</v>
      </c>
      <c r="C319" s="28"/>
      <c r="D319" s="41" t="n">
        <v>0.130429</v>
      </c>
      <c r="E319" s="29" t="n">
        <v>0.175</v>
      </c>
      <c r="F319" s="27" t="n">
        <f aca="false">ROUND(B319*E319,2)</f>
        <v>8.24</v>
      </c>
      <c r="G319" s="30"/>
      <c r="H319" s="42" t="n">
        <v>85.324</v>
      </c>
      <c r="I319" s="32" t="n">
        <v>0.175</v>
      </c>
      <c r="J319" s="31" t="n">
        <f aca="false">ROUND(H319*I319,2)</f>
        <v>14.93</v>
      </c>
      <c r="K319" s="30"/>
      <c r="L319" s="43"/>
      <c r="M319" s="34"/>
      <c r="N319" s="33"/>
      <c r="O319" s="46" t="s">
        <v>123</v>
      </c>
    </row>
    <row r="320" customFormat="false" ht="15" hidden="false" customHeight="false" outlineLevel="0" collapsed="false">
      <c r="A320" s="39" t="s">
        <v>124</v>
      </c>
      <c r="B320" s="40" t="n">
        <f aca="false">IF($P$318="",266.322,ROUND(266.322*((125.53/(1-$P$318))-99.9)/67.88,2))</f>
        <v>266.322</v>
      </c>
      <c r="C320" s="28"/>
      <c r="D320" s="41" t="n">
        <v>0.130504</v>
      </c>
      <c r="E320" s="29" t="n">
        <v>0.175</v>
      </c>
      <c r="F320" s="27" t="n">
        <f aca="false">ROUND(B320*E320,2)</f>
        <v>46.61</v>
      </c>
      <c r="G320" s="30"/>
      <c r="H320" s="42" t="n">
        <v>342.529</v>
      </c>
      <c r="I320" s="32" t="n">
        <v>0.175</v>
      </c>
      <c r="J320" s="31" t="n">
        <f aca="false">ROUND(H320*I320,2)</f>
        <v>59.94</v>
      </c>
      <c r="K320" s="30"/>
      <c r="L320" s="43"/>
      <c r="M320" s="34"/>
      <c r="N320" s="33"/>
      <c r="O320" s="46" t="s">
        <v>125</v>
      </c>
    </row>
    <row r="321" customFormat="false" ht="15" hidden="false" customHeight="false" outlineLevel="0" collapsed="false">
      <c r="A321" s="8" t="s">
        <v>126</v>
      </c>
      <c r="B321" s="27" t="n">
        <v>1</v>
      </c>
      <c r="C321" s="28"/>
      <c r="D321" s="29" t="n">
        <v>6</v>
      </c>
      <c r="E321" s="29" t="n">
        <v>6</v>
      </c>
      <c r="F321" s="27" t="n">
        <f aca="false">ROUND(B321*E321,2)</f>
        <v>6</v>
      </c>
      <c r="G321" s="30"/>
      <c r="H321" s="31" t="n">
        <v>1</v>
      </c>
      <c r="I321" s="32" t="n">
        <v>6</v>
      </c>
      <c r="J321" s="31" t="n">
        <f aca="false">ROUND(H321*I321,2)</f>
        <v>6</v>
      </c>
      <c r="K321" s="30"/>
      <c r="L321" s="33"/>
      <c r="M321" s="34"/>
      <c r="N321" s="33"/>
    </row>
    <row r="322" customFormat="false" ht="15" hidden="false" customHeight="false" outlineLevel="0" collapsed="false">
      <c r="A322" s="8" t="s">
        <v>127</v>
      </c>
      <c r="B322" s="27" t="n">
        <v>30</v>
      </c>
      <c r="C322" s="28"/>
      <c r="D322" s="29" t="n">
        <v>0.01724</v>
      </c>
      <c r="E322" s="29" t="n">
        <v>0.01724</v>
      </c>
      <c r="F322" s="27" t="n">
        <f aca="false">ROUND(B322*E322,2)</f>
        <v>0.52</v>
      </c>
      <c r="G322" s="30"/>
      <c r="H322" s="31" t="n">
        <v>30</v>
      </c>
      <c r="I322" s="32" t="n">
        <v>0.01724</v>
      </c>
      <c r="J322" s="31" t="n">
        <f aca="false">ROUND(H322*I322,2)</f>
        <v>0.52</v>
      </c>
      <c r="K322" s="30"/>
      <c r="L322" s="33"/>
      <c r="M322" s="34"/>
      <c r="N322" s="33"/>
    </row>
    <row r="323" customFormat="false" ht="15" hidden="false" customHeight="false" outlineLevel="0" collapsed="false">
      <c r="A323" s="8" t="s">
        <v>128</v>
      </c>
      <c r="B323" s="27" t="n">
        <v>8.58</v>
      </c>
      <c r="C323" s="28"/>
      <c r="D323" s="29" t="n">
        <v>1</v>
      </c>
      <c r="E323" s="29" t="n">
        <v>1</v>
      </c>
      <c r="F323" s="27" t="n">
        <f aca="false">ROUND(B323*E323,2)</f>
        <v>8.58</v>
      </c>
      <c r="G323" s="30"/>
      <c r="H323" s="31" t="n">
        <v>10.13</v>
      </c>
      <c r="I323" s="32" t="n">
        <v>1</v>
      </c>
      <c r="J323" s="31" t="n">
        <f aca="false">ROUND(H323*I323,2)</f>
        <v>10.13</v>
      </c>
      <c r="K323" s="30"/>
      <c r="L323" s="33"/>
      <c r="M323" s="34"/>
      <c r="N323" s="33"/>
    </row>
    <row r="324" customFormat="false" ht="15" hidden="false" customHeight="false" outlineLevel="0" collapsed="false">
      <c r="A324" s="47" t="s">
        <v>129</v>
      </c>
      <c r="B324" s="48"/>
      <c r="C324" s="48"/>
      <c r="D324" s="48"/>
      <c r="E324" s="48"/>
      <c r="F324" s="49" t="n">
        <f aca="false">ROUND((SUM(F312:F323)-F323)*1.21+F323,2)</f>
        <v>219.48</v>
      </c>
      <c r="G324" s="48"/>
      <c r="H324" s="48"/>
      <c r="I324" s="48"/>
      <c r="J324" s="50" t="n">
        <f aca="false">ROUND((SUM(J312:J323)-J323)*1.21+J323,2)</f>
        <v>257.64</v>
      </c>
      <c r="K324" s="48"/>
      <c r="L324" s="48"/>
      <c r="M324" s="48"/>
      <c r="N324" s="48"/>
    </row>
    <row r="325" customFormat="false" ht="15" hidden="false" customHeight="false" outlineLevel="0" collapsed="false">
      <c r="A325" s="52" t="s">
        <v>130</v>
      </c>
      <c r="B325" s="53" t="n">
        <f aca="false">(SUM(F312:F320)-125.53)/SUM(F312:F320)</f>
        <v>0.25181785671713</v>
      </c>
      <c r="C325" s="53"/>
      <c r="D325" s="53"/>
      <c r="E325" s="53"/>
      <c r="F325" s="53"/>
      <c r="G325" s="54"/>
      <c r="H325" s="54"/>
      <c r="I325" s="54"/>
      <c r="J325" s="54"/>
      <c r="K325" s="54"/>
      <c r="L325" s="55" t="str">
        <f aca="false">IF(B325&gt;=0.3,"APROBAR",IF(B325&gt;=0.2,"REVISAR","RECHAZAR"))</f>
        <v>REVISAR</v>
      </c>
      <c r="M325" s="55"/>
      <c r="N325" s="55"/>
    </row>
    <row r="327" customFormat="false" ht="15" hidden="false" customHeight="true" outlineLevel="0" collapsed="false">
      <c r="A327" s="14" t="s">
        <v>278</v>
      </c>
      <c r="B327" s="14"/>
      <c r="C327" s="14"/>
      <c r="D327" s="14"/>
      <c r="E327" s="14"/>
      <c r="F327" s="14"/>
      <c r="G327" s="14"/>
      <c r="H327" s="14"/>
      <c r="I327" s="15" t="s">
        <v>279</v>
      </c>
      <c r="J327" s="15"/>
      <c r="K327" s="15"/>
      <c r="L327" s="15"/>
      <c r="M327" s="15"/>
      <c r="N327" s="15"/>
      <c r="R327" s="16" t="s">
        <v>97</v>
      </c>
      <c r="S327" s="16"/>
      <c r="T327" s="16"/>
      <c r="U327" s="16"/>
      <c r="V327" s="16"/>
    </row>
    <row r="328" customFormat="false" ht="15" hidden="false" customHeight="true" outlineLevel="0" collapsed="false">
      <c r="A328" s="17" t="s">
        <v>98</v>
      </c>
      <c r="B328" s="18" t="s">
        <v>99</v>
      </c>
      <c r="C328" s="18"/>
      <c r="D328" s="18"/>
      <c r="E328" s="18"/>
      <c r="F328" s="18"/>
      <c r="G328" s="19"/>
      <c r="H328" s="20" t="s">
        <v>280</v>
      </c>
      <c r="I328" s="20"/>
      <c r="J328" s="20"/>
      <c r="K328" s="19"/>
      <c r="L328" s="21" t="s">
        <v>143</v>
      </c>
      <c r="M328" s="21"/>
      <c r="N328" s="21"/>
      <c r="R328" s="22" t="s">
        <v>281</v>
      </c>
      <c r="S328" s="22"/>
      <c r="T328" s="22"/>
      <c r="U328" s="22"/>
      <c r="V328" s="22"/>
    </row>
    <row r="329" customFormat="false" ht="15" hidden="false" customHeight="true" outlineLevel="0" collapsed="false">
      <c r="A329" s="19"/>
      <c r="B329" s="23" t="s">
        <v>103</v>
      </c>
      <c r="C329" s="23" t="s">
        <v>104</v>
      </c>
      <c r="D329" s="23" t="s">
        <v>105</v>
      </c>
      <c r="E329" s="23" t="s">
        <v>106</v>
      </c>
      <c r="F329" s="23" t="s">
        <v>107</v>
      </c>
      <c r="G329" s="19"/>
      <c r="H329" s="24" t="s">
        <v>103</v>
      </c>
      <c r="I329" s="24" t="s">
        <v>106</v>
      </c>
      <c r="J329" s="24" t="s">
        <v>107</v>
      </c>
      <c r="K329" s="19"/>
      <c r="L329" s="25" t="s">
        <v>103</v>
      </c>
      <c r="M329" s="25" t="s">
        <v>106</v>
      </c>
      <c r="N329" s="25" t="s">
        <v>107</v>
      </c>
      <c r="R329" s="26" t="s">
        <v>282</v>
      </c>
      <c r="S329" s="26"/>
      <c r="T329" s="26"/>
      <c r="U329" s="26"/>
      <c r="V329" s="26"/>
    </row>
    <row r="330" customFormat="false" ht="15" hidden="false" customHeight="true" outlineLevel="0" collapsed="false">
      <c r="A330" s="8" t="s">
        <v>109</v>
      </c>
      <c r="B330" s="27" t="n">
        <v>9.6</v>
      </c>
      <c r="C330" s="28" t="n">
        <v>30</v>
      </c>
      <c r="D330" s="29" t="n">
        <v>1.76841</v>
      </c>
      <c r="E330" s="29" t="n">
        <v>2.5542</v>
      </c>
      <c r="F330" s="27" t="n">
        <f aca="false">ROUND(B330*E330,2)</f>
        <v>24.52</v>
      </c>
      <c r="G330" s="30"/>
      <c r="H330" s="31" t="n">
        <v>9.6</v>
      </c>
      <c r="I330" s="32" t="n">
        <v>2.5542</v>
      </c>
      <c r="J330" s="31" t="n">
        <f aca="false">ROUND(H330*I330,2)</f>
        <v>24.52</v>
      </c>
      <c r="K330" s="30"/>
      <c r="L330" s="33"/>
      <c r="M330" s="34"/>
      <c r="N330" s="33"/>
      <c r="R330" s="35" t="s">
        <v>283</v>
      </c>
      <c r="S330" s="35"/>
      <c r="T330" s="35"/>
      <c r="U330" s="35"/>
      <c r="V330" s="35"/>
    </row>
    <row r="331" customFormat="false" ht="15" hidden="false" customHeight="true" outlineLevel="0" collapsed="false">
      <c r="A331" s="8" t="s">
        <v>111</v>
      </c>
      <c r="B331" s="27" t="n">
        <v>9.6</v>
      </c>
      <c r="C331" s="28" t="n">
        <v>30</v>
      </c>
      <c r="D331" s="29" t="n">
        <v>1.08606</v>
      </c>
      <c r="E331" s="29" t="n">
        <v>1.37733</v>
      </c>
      <c r="F331" s="27" t="n">
        <f aca="false">ROUND(B331*E331,2)</f>
        <v>13.22</v>
      </c>
      <c r="G331" s="30"/>
      <c r="H331" s="31" t="n">
        <v>9.6</v>
      </c>
      <c r="I331" s="32" t="n">
        <v>1.37733</v>
      </c>
      <c r="J331" s="31" t="n">
        <f aca="false">ROUND(H331*I331,2)</f>
        <v>13.22</v>
      </c>
      <c r="K331" s="30"/>
      <c r="L331" s="33"/>
      <c r="M331" s="34"/>
      <c r="N331" s="33"/>
      <c r="R331" s="36" t="s">
        <v>284</v>
      </c>
      <c r="S331" s="36"/>
      <c r="T331" s="36"/>
      <c r="U331" s="36"/>
      <c r="V331" s="36"/>
    </row>
    <row r="332" customFormat="false" ht="15" hidden="false" customHeight="true" outlineLevel="0" collapsed="false">
      <c r="A332" s="8" t="s">
        <v>113</v>
      </c>
      <c r="B332" s="27" t="n">
        <v>9.6</v>
      </c>
      <c r="C332" s="28" t="n">
        <v>30</v>
      </c>
      <c r="D332" s="29" t="n">
        <v>0.50037</v>
      </c>
      <c r="E332" s="29" t="n">
        <v>0.62868</v>
      </c>
      <c r="F332" s="27" t="n">
        <f aca="false">ROUND(B332*E332,2)</f>
        <v>6.04</v>
      </c>
      <c r="G332" s="30"/>
      <c r="H332" s="31" t="n">
        <v>9.6</v>
      </c>
      <c r="I332" s="32" t="n">
        <v>0.62868</v>
      </c>
      <c r="J332" s="31" t="n">
        <f aca="false">ROUND(H332*I332,2)</f>
        <v>6.04</v>
      </c>
      <c r="K332" s="30"/>
      <c r="L332" s="33"/>
      <c r="M332" s="34"/>
      <c r="N332" s="33"/>
      <c r="R332" s="36" t="s">
        <v>285</v>
      </c>
      <c r="S332" s="36"/>
      <c r="T332" s="36"/>
      <c r="U332" s="36"/>
      <c r="V332" s="36"/>
    </row>
    <row r="333" customFormat="false" ht="15" hidden="false" customHeight="true" outlineLevel="0" collapsed="false">
      <c r="A333" s="8" t="s">
        <v>115</v>
      </c>
      <c r="B333" s="27" t="n">
        <v>9.6</v>
      </c>
      <c r="C333" s="28" t="n">
        <v>30</v>
      </c>
      <c r="D333" s="29" t="n">
        <v>0.41718</v>
      </c>
      <c r="E333" s="29" t="n">
        <v>0.5561</v>
      </c>
      <c r="F333" s="27" t="n">
        <f aca="false">ROUND(B333*E333,2)</f>
        <v>5.34</v>
      </c>
      <c r="G333" s="30"/>
      <c r="H333" s="31" t="n">
        <v>9.6</v>
      </c>
      <c r="I333" s="32" t="n">
        <v>0.5561</v>
      </c>
      <c r="J333" s="31" t="n">
        <f aca="false">ROUND(H333*I333,2)</f>
        <v>5.34</v>
      </c>
      <c r="K333" s="30"/>
      <c r="L333" s="33"/>
      <c r="M333" s="34"/>
      <c r="N333" s="33"/>
      <c r="R333" s="56" t="s">
        <v>149</v>
      </c>
      <c r="S333" s="56"/>
      <c r="T333" s="56"/>
      <c r="U333" s="56"/>
      <c r="V333" s="56"/>
    </row>
    <row r="334" customFormat="false" ht="15" hidden="false" customHeight="true" outlineLevel="0" collapsed="false">
      <c r="A334" s="8" t="s">
        <v>117</v>
      </c>
      <c r="B334" s="27" t="n">
        <v>9.6</v>
      </c>
      <c r="C334" s="28" t="n">
        <v>30</v>
      </c>
      <c r="D334" s="29" t="n">
        <v>0.33363</v>
      </c>
      <c r="E334" s="29" t="n">
        <v>0.3868</v>
      </c>
      <c r="F334" s="27" t="n">
        <f aca="false">ROUND(B334*E334,2)</f>
        <v>3.71</v>
      </c>
      <c r="G334" s="30"/>
      <c r="H334" s="31" t="n">
        <v>9.6</v>
      </c>
      <c r="I334" s="32" t="n">
        <v>0.3868</v>
      </c>
      <c r="J334" s="31" t="n">
        <f aca="false">ROUND(H334*I334,2)</f>
        <v>3.71</v>
      </c>
      <c r="K334" s="30"/>
      <c r="L334" s="33"/>
      <c r="M334" s="34"/>
      <c r="N334" s="33"/>
      <c r="R334" s="38" t="s">
        <v>118</v>
      </c>
      <c r="S334" s="38"/>
      <c r="T334" s="38"/>
      <c r="U334" s="38"/>
      <c r="V334" s="38"/>
    </row>
    <row r="335" customFormat="false" ht="15" hidden="false" customHeight="false" outlineLevel="0" collapsed="false">
      <c r="A335" s="8" t="s">
        <v>119</v>
      </c>
      <c r="B335" s="27" t="n">
        <v>15.1</v>
      </c>
      <c r="C335" s="28" t="n">
        <v>30</v>
      </c>
      <c r="D335" s="29" t="n">
        <v>0.24441</v>
      </c>
      <c r="E335" s="29" t="n">
        <v>0.2653</v>
      </c>
      <c r="F335" s="27" t="n">
        <f aca="false">ROUND(B335*E335,2)</f>
        <v>4.01</v>
      </c>
      <c r="G335" s="30"/>
      <c r="H335" s="31" t="n">
        <v>15.1</v>
      </c>
      <c r="I335" s="32" t="n">
        <v>0.2653</v>
      </c>
      <c r="J335" s="31" t="n">
        <f aca="false">ROUND(H335*I335,2)</f>
        <v>4.01</v>
      </c>
      <c r="K335" s="30"/>
      <c r="L335" s="33"/>
      <c r="M335" s="34"/>
      <c r="N335" s="33"/>
    </row>
    <row r="336" customFormat="false" ht="15" hidden="false" customHeight="false" outlineLevel="0" collapsed="false">
      <c r="A336" s="39" t="s">
        <v>120</v>
      </c>
      <c r="B336" s="40" t="n">
        <f aca="false">IF($P$336="",293.973,ROUND(293.973*((170.1521/(1-$P$336))-56.84)/126.46,2))</f>
        <v>293.973</v>
      </c>
      <c r="C336" s="28"/>
      <c r="D336" s="41" t="n">
        <v>0.130429</v>
      </c>
      <c r="E336" s="29" t="n">
        <v>0.13</v>
      </c>
      <c r="F336" s="27" t="n">
        <f aca="false">ROUND(B336*E336,2)</f>
        <v>38.22</v>
      </c>
      <c r="G336" s="30"/>
      <c r="H336" s="42" t="n">
        <v>424.103</v>
      </c>
      <c r="I336" s="32" t="n">
        <v>0.13</v>
      </c>
      <c r="J336" s="31" t="n">
        <f aca="false">ROUND(H336*I336,2)</f>
        <v>55.13</v>
      </c>
      <c r="K336" s="30"/>
      <c r="L336" s="43"/>
      <c r="M336" s="34"/>
      <c r="N336" s="33"/>
      <c r="O336" s="44" t="s">
        <v>121</v>
      </c>
      <c r="P336" s="45"/>
    </row>
    <row r="337" customFormat="false" ht="15" hidden="false" customHeight="false" outlineLevel="0" collapsed="false">
      <c r="A337" s="39" t="s">
        <v>122</v>
      </c>
      <c r="B337" s="40" t="n">
        <f aca="false">IF($P$336="",236.685,ROUND(236.685*((170.1521/(1-$P$336))-56.84)/126.46,2))</f>
        <v>236.685</v>
      </c>
      <c r="C337" s="28"/>
      <c r="D337" s="41" t="n">
        <v>0.130429</v>
      </c>
      <c r="E337" s="29" t="n">
        <v>0.13</v>
      </c>
      <c r="F337" s="27" t="n">
        <f aca="false">ROUND(B337*E337,2)</f>
        <v>30.77</v>
      </c>
      <c r="G337" s="30"/>
      <c r="H337" s="42" t="n">
        <v>365.305</v>
      </c>
      <c r="I337" s="32" t="n">
        <v>0.13</v>
      </c>
      <c r="J337" s="31" t="n">
        <f aca="false">ROUND(H337*I337,2)</f>
        <v>47.49</v>
      </c>
      <c r="K337" s="30"/>
      <c r="L337" s="43"/>
      <c r="M337" s="34"/>
      <c r="N337" s="33"/>
      <c r="O337" s="46" t="s">
        <v>123</v>
      </c>
    </row>
    <row r="338" customFormat="false" ht="15" hidden="false" customHeight="false" outlineLevel="0" collapsed="false">
      <c r="A338" s="39" t="s">
        <v>124</v>
      </c>
      <c r="B338" s="40" t="n">
        <f aca="false">IF($P$336="",442.109,ROUND(442.109*((170.1521/(1-$P$336))-56.84)/126.46,2))</f>
        <v>442.109</v>
      </c>
      <c r="C338" s="28"/>
      <c r="D338" s="41" t="n">
        <v>0.130806</v>
      </c>
      <c r="E338" s="29" t="n">
        <v>0.13</v>
      </c>
      <c r="F338" s="27" t="n">
        <f aca="false">ROUND(B338*E338,2)</f>
        <v>57.47</v>
      </c>
      <c r="G338" s="30"/>
      <c r="H338" s="42" t="n">
        <v>766.232</v>
      </c>
      <c r="I338" s="32" t="n">
        <v>0.13</v>
      </c>
      <c r="J338" s="31" t="n">
        <f aca="false">ROUND(H338*I338,2)</f>
        <v>99.61</v>
      </c>
      <c r="K338" s="30"/>
      <c r="L338" s="43"/>
      <c r="M338" s="34"/>
      <c r="N338" s="33"/>
      <c r="O338" s="46" t="s">
        <v>125</v>
      </c>
    </row>
    <row r="339" customFormat="false" ht="15" hidden="false" customHeight="false" outlineLevel="0" collapsed="false">
      <c r="A339" s="8" t="s">
        <v>126</v>
      </c>
      <c r="B339" s="27" t="n">
        <v>1</v>
      </c>
      <c r="C339" s="28"/>
      <c r="D339" s="29" t="n">
        <v>17.615</v>
      </c>
      <c r="E339" s="29" t="n">
        <v>17.615</v>
      </c>
      <c r="F339" s="27" t="n">
        <f aca="false">ROUND(B339*E339,2)</f>
        <v>17.62</v>
      </c>
      <c r="G339" s="30"/>
      <c r="H339" s="31" t="n">
        <v>1</v>
      </c>
      <c r="I339" s="32" t="n">
        <v>17.615</v>
      </c>
      <c r="J339" s="31" t="n">
        <f aca="false">ROUND(H339*I339,2)</f>
        <v>17.62</v>
      </c>
      <c r="K339" s="30"/>
      <c r="L339" s="33"/>
      <c r="M339" s="34"/>
      <c r="N339" s="33"/>
    </row>
    <row r="340" customFormat="false" ht="15" hidden="false" customHeight="false" outlineLevel="0" collapsed="false">
      <c r="A340" s="8" t="s">
        <v>127</v>
      </c>
      <c r="B340" s="27" t="n">
        <v>30</v>
      </c>
      <c r="C340" s="28"/>
      <c r="D340" s="29" t="n">
        <v>0.01912</v>
      </c>
      <c r="E340" s="29" t="n">
        <v>0.01912</v>
      </c>
      <c r="F340" s="27" t="n">
        <f aca="false">ROUND(B340*E340,2)</f>
        <v>0.57</v>
      </c>
      <c r="G340" s="30"/>
      <c r="H340" s="31" t="n">
        <v>30</v>
      </c>
      <c r="I340" s="32" t="n">
        <v>0.01912</v>
      </c>
      <c r="J340" s="31" t="n">
        <f aca="false">ROUND(H340*I340,2)</f>
        <v>0.57</v>
      </c>
      <c r="K340" s="30"/>
      <c r="L340" s="33"/>
      <c r="M340" s="34"/>
      <c r="N340" s="33"/>
    </row>
    <row r="341" customFormat="false" ht="15" hidden="false" customHeight="false" outlineLevel="0" collapsed="false">
      <c r="A341" s="8" t="s">
        <v>128</v>
      </c>
      <c r="B341" s="27" t="n">
        <v>12.93</v>
      </c>
      <c r="C341" s="28"/>
      <c r="D341" s="29" t="n">
        <v>1</v>
      </c>
      <c r="E341" s="29" t="n">
        <v>1</v>
      </c>
      <c r="F341" s="27" t="n">
        <f aca="false">ROUND(B341*E341,2)</f>
        <v>12.93</v>
      </c>
      <c r="G341" s="30"/>
      <c r="H341" s="31" t="n">
        <v>15.09</v>
      </c>
      <c r="I341" s="32" t="n">
        <v>1</v>
      </c>
      <c r="J341" s="31" t="n">
        <f aca="false">ROUND(H341*I341,2)</f>
        <v>15.09</v>
      </c>
      <c r="K341" s="30"/>
      <c r="L341" s="33"/>
      <c r="M341" s="34"/>
      <c r="N341" s="33"/>
    </row>
    <row r="342" customFormat="false" ht="15" hidden="false" customHeight="false" outlineLevel="0" collapsed="false">
      <c r="A342" s="47" t="s">
        <v>129</v>
      </c>
      <c r="B342" s="48"/>
      <c r="C342" s="48"/>
      <c r="D342" s="48"/>
      <c r="E342" s="48"/>
      <c r="F342" s="49" t="n">
        <f aca="false">ROUND((SUM(F330:F341)-F341)*1.21+F341,2)</f>
        <v>256.73</v>
      </c>
      <c r="G342" s="48"/>
      <c r="H342" s="48"/>
      <c r="I342" s="48"/>
      <c r="J342" s="50" t="n">
        <f aca="false">ROUND((SUM(J330:J341)-J341)*1.21+J341,2)</f>
        <v>350.57</v>
      </c>
      <c r="K342" s="48"/>
      <c r="L342" s="48"/>
      <c r="M342" s="48"/>
      <c r="N342" s="48"/>
    </row>
    <row r="343" customFormat="false" ht="15" hidden="false" customHeight="false" outlineLevel="0" collapsed="false">
      <c r="A343" s="52" t="s">
        <v>130</v>
      </c>
      <c r="B343" s="53" t="n">
        <f aca="false">(SUM(F330:F338)-170.1521)/SUM(F330:F338)</f>
        <v>0.0717288597926897</v>
      </c>
      <c r="C343" s="53"/>
      <c r="D343" s="53"/>
      <c r="E343" s="53"/>
      <c r="F343" s="53"/>
      <c r="G343" s="54"/>
      <c r="H343" s="54"/>
      <c r="I343" s="54"/>
      <c r="J343" s="54"/>
      <c r="K343" s="54"/>
      <c r="L343" s="55" t="str">
        <f aca="false">IF(B343&gt;=0.3,"APROBAR",IF(B343&gt;=0.2,"REVISAR","RECHAZAR"))</f>
        <v>RECHAZAR</v>
      </c>
      <c r="M343" s="55"/>
      <c r="N343" s="55"/>
    </row>
    <row r="345" customFormat="false" ht="15" hidden="false" customHeight="true" outlineLevel="0" collapsed="false">
      <c r="A345" s="14" t="s">
        <v>286</v>
      </c>
      <c r="B345" s="14"/>
      <c r="C345" s="14"/>
      <c r="D345" s="14"/>
      <c r="E345" s="14"/>
      <c r="F345" s="14"/>
      <c r="G345" s="14"/>
      <c r="H345" s="14"/>
      <c r="I345" s="15" t="s">
        <v>287</v>
      </c>
      <c r="J345" s="15"/>
      <c r="K345" s="15"/>
      <c r="L345" s="15"/>
      <c r="M345" s="15"/>
      <c r="N345" s="15"/>
      <c r="R345" s="16" t="s">
        <v>97</v>
      </c>
      <c r="S345" s="16"/>
      <c r="T345" s="16"/>
      <c r="U345" s="16"/>
      <c r="V345" s="16"/>
    </row>
    <row r="346" customFormat="false" ht="15" hidden="false" customHeight="true" outlineLevel="0" collapsed="false">
      <c r="A346" s="17" t="s">
        <v>98</v>
      </c>
      <c r="B346" s="18" t="s">
        <v>99</v>
      </c>
      <c r="C346" s="18"/>
      <c r="D346" s="18"/>
      <c r="E346" s="18"/>
      <c r="F346" s="18"/>
      <c r="G346" s="19"/>
      <c r="H346" s="20" t="s">
        <v>288</v>
      </c>
      <c r="I346" s="20"/>
      <c r="J346" s="20"/>
      <c r="K346" s="19"/>
      <c r="L346" s="21" t="s">
        <v>143</v>
      </c>
      <c r="M346" s="21"/>
      <c r="N346" s="21"/>
      <c r="R346" s="22" t="s">
        <v>289</v>
      </c>
      <c r="S346" s="22"/>
      <c r="T346" s="22"/>
      <c r="U346" s="22"/>
      <c r="V346" s="22"/>
    </row>
    <row r="347" customFormat="false" ht="15" hidden="false" customHeight="true" outlineLevel="0" collapsed="false">
      <c r="A347" s="19"/>
      <c r="B347" s="23" t="s">
        <v>103</v>
      </c>
      <c r="C347" s="23" t="s">
        <v>104</v>
      </c>
      <c r="D347" s="23" t="s">
        <v>105</v>
      </c>
      <c r="E347" s="23" t="s">
        <v>106</v>
      </c>
      <c r="F347" s="23" t="s">
        <v>107</v>
      </c>
      <c r="G347" s="19"/>
      <c r="H347" s="24" t="s">
        <v>103</v>
      </c>
      <c r="I347" s="24" t="s">
        <v>106</v>
      </c>
      <c r="J347" s="24" t="s">
        <v>107</v>
      </c>
      <c r="K347" s="19"/>
      <c r="L347" s="25" t="s">
        <v>103</v>
      </c>
      <c r="M347" s="25" t="s">
        <v>106</v>
      </c>
      <c r="N347" s="25" t="s">
        <v>107</v>
      </c>
      <c r="R347" s="26" t="s">
        <v>290</v>
      </c>
      <c r="S347" s="26"/>
      <c r="T347" s="26"/>
      <c r="U347" s="26"/>
      <c r="V347" s="26"/>
    </row>
    <row r="348" customFormat="false" ht="15" hidden="false" customHeight="true" outlineLevel="0" collapsed="false">
      <c r="A348" s="8" t="s">
        <v>109</v>
      </c>
      <c r="B348" s="27" t="n">
        <v>25</v>
      </c>
      <c r="C348" s="28" t="n">
        <v>30</v>
      </c>
      <c r="D348" s="29" t="n">
        <v>1.7178</v>
      </c>
      <c r="E348" s="29" t="n">
        <v>2.6099</v>
      </c>
      <c r="F348" s="27" t="n">
        <f aca="false">ROUND(B348*E348,2)</f>
        <v>65.25</v>
      </c>
      <c r="G348" s="30"/>
      <c r="H348" s="31" t="n">
        <v>25</v>
      </c>
      <c r="I348" s="32" t="n">
        <v>2.6099</v>
      </c>
      <c r="J348" s="31" t="n">
        <f aca="false">ROUND(H348*I348,2)</f>
        <v>65.25</v>
      </c>
      <c r="K348" s="30"/>
      <c r="L348" s="33"/>
      <c r="M348" s="34"/>
      <c r="N348" s="33"/>
      <c r="R348" s="35" t="s">
        <v>291</v>
      </c>
      <c r="S348" s="35"/>
      <c r="T348" s="35"/>
      <c r="U348" s="35"/>
      <c r="V348" s="35"/>
    </row>
    <row r="349" customFormat="false" ht="15" hidden="false" customHeight="true" outlineLevel="0" collapsed="false">
      <c r="A349" s="8" t="s">
        <v>111</v>
      </c>
      <c r="B349" s="27" t="n">
        <v>25</v>
      </c>
      <c r="C349" s="28" t="n">
        <v>30</v>
      </c>
      <c r="D349" s="29" t="n">
        <v>1.06026</v>
      </c>
      <c r="E349" s="29" t="n">
        <v>1.3899</v>
      </c>
      <c r="F349" s="27" t="n">
        <f aca="false">ROUND(B349*E349,2)</f>
        <v>34.75</v>
      </c>
      <c r="G349" s="30"/>
      <c r="H349" s="31" t="n">
        <v>25</v>
      </c>
      <c r="I349" s="32" t="n">
        <v>1.3899</v>
      </c>
      <c r="J349" s="31" t="n">
        <f aca="false">ROUND(H349*I349,2)</f>
        <v>34.75</v>
      </c>
      <c r="K349" s="30"/>
      <c r="L349" s="33"/>
      <c r="M349" s="34"/>
      <c r="N349" s="33"/>
      <c r="R349" s="36" t="s">
        <v>292</v>
      </c>
      <c r="S349" s="36"/>
      <c r="T349" s="36"/>
      <c r="U349" s="36"/>
      <c r="V349" s="36"/>
    </row>
    <row r="350" customFormat="false" ht="15" hidden="false" customHeight="true" outlineLevel="0" collapsed="false">
      <c r="A350" s="8" t="s">
        <v>113</v>
      </c>
      <c r="B350" s="27" t="n">
        <v>25</v>
      </c>
      <c r="C350" s="28" t="n">
        <v>30</v>
      </c>
      <c r="D350" s="29" t="n">
        <v>0.48492</v>
      </c>
      <c r="E350" s="29" t="n">
        <v>0.7099</v>
      </c>
      <c r="F350" s="27" t="n">
        <f aca="false">ROUND(B350*E350,2)</f>
        <v>17.75</v>
      </c>
      <c r="G350" s="30"/>
      <c r="H350" s="31" t="n">
        <v>25</v>
      </c>
      <c r="I350" s="32" t="n">
        <v>0.7099</v>
      </c>
      <c r="J350" s="31" t="n">
        <f aca="false">ROUND(H350*I350,2)</f>
        <v>17.75</v>
      </c>
      <c r="K350" s="30"/>
      <c r="L350" s="33"/>
      <c r="M350" s="34"/>
      <c r="N350" s="33"/>
      <c r="R350" s="36" t="s">
        <v>293</v>
      </c>
      <c r="S350" s="36"/>
      <c r="T350" s="36"/>
      <c r="U350" s="36"/>
      <c r="V350" s="36"/>
    </row>
    <row r="351" customFormat="false" ht="15" hidden="false" customHeight="true" outlineLevel="0" collapsed="false">
      <c r="A351" s="8" t="s">
        <v>115</v>
      </c>
      <c r="B351" s="27" t="n">
        <v>25</v>
      </c>
      <c r="C351" s="28" t="n">
        <v>30</v>
      </c>
      <c r="D351" s="29" t="n">
        <v>0.40275</v>
      </c>
      <c r="E351" s="29" t="n">
        <v>0.6099</v>
      </c>
      <c r="F351" s="27" t="n">
        <f aca="false">ROUND(B351*E351,2)</f>
        <v>15.25</v>
      </c>
      <c r="G351" s="30"/>
      <c r="H351" s="31" t="n">
        <v>25</v>
      </c>
      <c r="I351" s="32" t="n">
        <v>0.6099</v>
      </c>
      <c r="J351" s="31" t="n">
        <f aca="false">ROUND(H351*I351,2)</f>
        <v>15.25</v>
      </c>
      <c r="K351" s="30"/>
      <c r="L351" s="33"/>
      <c r="M351" s="34"/>
      <c r="N351" s="33"/>
      <c r="R351" s="56" t="s">
        <v>149</v>
      </c>
      <c r="S351" s="56"/>
      <c r="T351" s="56"/>
      <c r="U351" s="56"/>
      <c r="V351" s="56"/>
    </row>
    <row r="352" customFormat="false" ht="15" hidden="false" customHeight="true" outlineLevel="0" collapsed="false">
      <c r="A352" s="8" t="s">
        <v>117</v>
      </c>
      <c r="B352" s="27" t="n">
        <v>25</v>
      </c>
      <c r="C352" s="28" t="n">
        <v>30</v>
      </c>
      <c r="D352" s="29" t="n">
        <v>0.32055</v>
      </c>
      <c r="E352" s="29" t="n">
        <v>0.4999</v>
      </c>
      <c r="F352" s="27" t="n">
        <f aca="false">ROUND(B352*E352,2)</f>
        <v>12.5</v>
      </c>
      <c r="G352" s="30"/>
      <c r="H352" s="31" t="n">
        <v>25</v>
      </c>
      <c r="I352" s="32" t="n">
        <v>0.4999</v>
      </c>
      <c r="J352" s="31" t="n">
        <f aca="false">ROUND(H352*I352,2)</f>
        <v>12.5</v>
      </c>
      <c r="K352" s="30"/>
      <c r="L352" s="33"/>
      <c r="M352" s="34"/>
      <c r="N352" s="33"/>
      <c r="R352" s="38" t="s">
        <v>118</v>
      </c>
      <c r="S352" s="38"/>
      <c r="T352" s="38"/>
      <c r="U352" s="38"/>
      <c r="V352" s="38"/>
    </row>
    <row r="353" customFormat="false" ht="15" hidden="false" customHeight="false" outlineLevel="0" collapsed="false">
      <c r="A353" s="8" t="s">
        <v>119</v>
      </c>
      <c r="B353" s="27" t="n">
        <v>25</v>
      </c>
      <c r="C353" s="28" t="n">
        <v>30</v>
      </c>
      <c r="D353" s="29" t="n">
        <v>0.23835</v>
      </c>
      <c r="E353" s="29" t="n">
        <v>0.3999</v>
      </c>
      <c r="F353" s="27" t="n">
        <f aca="false">ROUND(B353*E353,2)</f>
        <v>10</v>
      </c>
      <c r="G353" s="30"/>
      <c r="H353" s="31" t="n">
        <v>25</v>
      </c>
      <c r="I353" s="32" t="n">
        <v>0.3999</v>
      </c>
      <c r="J353" s="31" t="n">
        <f aca="false">ROUND(H353*I353,2)</f>
        <v>10</v>
      </c>
      <c r="K353" s="30"/>
      <c r="L353" s="33"/>
      <c r="M353" s="34"/>
      <c r="N353" s="33"/>
    </row>
    <row r="354" customFormat="false" ht="15" hidden="false" customHeight="false" outlineLevel="0" collapsed="false">
      <c r="A354" s="39" t="s">
        <v>120</v>
      </c>
      <c r="B354" s="40" t="n">
        <f aca="false">IF($P$354="",1575.25,ROUND(1575.25*((736.3019/(1-$P$354))-155.5)/635.38,2))</f>
        <v>1575.25</v>
      </c>
      <c r="C354" s="28"/>
      <c r="D354" s="41" t="n">
        <v>0.1299</v>
      </c>
      <c r="E354" s="29" t="n">
        <v>0.15</v>
      </c>
      <c r="F354" s="27" t="n">
        <f aca="false">ROUND(B354*E354,2)</f>
        <v>236.29</v>
      </c>
      <c r="G354" s="30"/>
      <c r="H354" s="42" t="n">
        <v>1135.53</v>
      </c>
      <c r="I354" s="32" t="n">
        <v>0.16</v>
      </c>
      <c r="J354" s="31" t="n">
        <f aca="false">ROUND(H354*I354,2)</f>
        <v>181.68</v>
      </c>
      <c r="K354" s="30"/>
      <c r="L354" s="43"/>
      <c r="M354" s="34"/>
      <c r="N354" s="33"/>
      <c r="O354" s="44" t="s">
        <v>121</v>
      </c>
      <c r="P354" s="45"/>
    </row>
    <row r="355" customFormat="false" ht="15" hidden="false" customHeight="false" outlineLevel="0" collapsed="false">
      <c r="A355" s="39" t="s">
        <v>122</v>
      </c>
      <c r="B355" s="40" t="n">
        <f aca="false">IF($P$354="",1054.3,ROUND(1054.3*((736.3019/(1-$P$354))-155.5)/635.38,2))</f>
        <v>1054.3</v>
      </c>
      <c r="C355" s="28"/>
      <c r="D355" s="41" t="n">
        <v>0.1299</v>
      </c>
      <c r="E355" s="29" t="n">
        <v>0.14</v>
      </c>
      <c r="F355" s="27" t="n">
        <f aca="false">ROUND(B355*E355,2)</f>
        <v>147.6</v>
      </c>
      <c r="G355" s="30"/>
      <c r="H355" s="42" t="n">
        <v>771.988</v>
      </c>
      <c r="I355" s="32" t="n">
        <v>0.15</v>
      </c>
      <c r="J355" s="31" t="n">
        <f aca="false">ROUND(H355*I355,2)</f>
        <v>115.8</v>
      </c>
      <c r="K355" s="30"/>
      <c r="L355" s="43"/>
      <c r="M355" s="34"/>
      <c r="N355" s="33"/>
      <c r="O355" s="46" t="s">
        <v>123</v>
      </c>
    </row>
    <row r="356" customFormat="false" ht="15" hidden="false" customHeight="false" outlineLevel="0" collapsed="false">
      <c r="A356" s="39" t="s">
        <v>124</v>
      </c>
      <c r="B356" s="40" t="n">
        <f aca="false">IF($P$354="",2225.54,ROUND(2225.54*((736.3019/(1-$P$354))-155.5)/635.38,2))</f>
        <v>2225.54</v>
      </c>
      <c r="C356" s="28"/>
      <c r="D356" s="41" t="n">
        <v>0.1299</v>
      </c>
      <c r="E356" s="29" t="n">
        <v>0.113</v>
      </c>
      <c r="F356" s="27" t="n">
        <f aca="false">ROUND(B356*E356,2)</f>
        <v>251.49</v>
      </c>
      <c r="G356" s="30"/>
      <c r="H356" s="42" t="n">
        <v>2170.53</v>
      </c>
      <c r="I356" s="32" t="n">
        <v>0.113</v>
      </c>
      <c r="J356" s="31" t="n">
        <f aca="false">ROUND(H356*I356,2)</f>
        <v>245.27</v>
      </c>
      <c r="K356" s="30"/>
      <c r="L356" s="43"/>
      <c r="M356" s="34"/>
      <c r="N356" s="33"/>
      <c r="O356" s="46" t="s">
        <v>125</v>
      </c>
    </row>
    <row r="357" customFormat="false" ht="15" hidden="false" customHeight="false" outlineLevel="0" collapsed="false">
      <c r="A357" s="8" t="s">
        <v>126</v>
      </c>
      <c r="B357" s="27" t="n">
        <v>1</v>
      </c>
      <c r="C357" s="28"/>
      <c r="D357" s="29" t="n">
        <v>5.8</v>
      </c>
      <c r="E357" s="29" t="n">
        <v>5.8</v>
      </c>
      <c r="F357" s="27" t="n">
        <f aca="false">ROUND(B357*E357,2)</f>
        <v>5.8</v>
      </c>
      <c r="G357" s="30"/>
      <c r="H357" s="31" t="n">
        <v>1</v>
      </c>
      <c r="I357" s="32" t="n">
        <v>5.8</v>
      </c>
      <c r="J357" s="31" t="n">
        <f aca="false">ROUND(H357*I357,2)</f>
        <v>5.8</v>
      </c>
      <c r="K357" s="30"/>
      <c r="L357" s="33"/>
      <c r="M357" s="34"/>
      <c r="N357" s="33"/>
    </row>
    <row r="358" customFormat="false" ht="15" hidden="false" customHeight="false" outlineLevel="0" collapsed="false">
      <c r="A358" s="8" t="s">
        <v>127</v>
      </c>
      <c r="B358" s="27" t="n">
        <v>30</v>
      </c>
      <c r="C358" s="28"/>
      <c r="D358" s="29" t="n">
        <v>0.01274</v>
      </c>
      <c r="E358" s="29" t="n">
        <v>0.01274</v>
      </c>
      <c r="F358" s="27" t="n">
        <f aca="false">ROUND(B358*E358,2)</f>
        <v>0.38</v>
      </c>
      <c r="G358" s="30"/>
      <c r="H358" s="31" t="n">
        <v>30</v>
      </c>
      <c r="I358" s="32" t="n">
        <v>0.01274</v>
      </c>
      <c r="J358" s="31" t="n">
        <f aca="false">ROUND(H358*I358,2)</f>
        <v>0.38</v>
      </c>
      <c r="K358" s="30"/>
      <c r="L358" s="33"/>
      <c r="M358" s="34"/>
      <c r="N358" s="33"/>
    </row>
    <row r="359" customFormat="false" ht="15" hidden="false" customHeight="false" outlineLevel="0" collapsed="false">
      <c r="A359" s="8" t="s">
        <v>128</v>
      </c>
      <c r="B359" s="27" t="n">
        <v>52.15</v>
      </c>
      <c r="C359" s="28"/>
      <c r="D359" s="29" t="n">
        <v>1</v>
      </c>
      <c r="E359" s="29" t="n">
        <v>1</v>
      </c>
      <c r="F359" s="27" t="n">
        <f aca="false">ROUND(B359*E359,2)</f>
        <v>52.15</v>
      </c>
      <c r="G359" s="30"/>
      <c r="H359" s="31" t="n">
        <v>38.15</v>
      </c>
      <c r="I359" s="32" t="n">
        <v>1</v>
      </c>
      <c r="J359" s="31" t="n">
        <f aca="false">ROUND(H359*I359,2)</f>
        <v>38.15</v>
      </c>
      <c r="K359" s="30"/>
      <c r="L359" s="33"/>
      <c r="M359" s="34"/>
      <c r="N359" s="33"/>
    </row>
    <row r="360" customFormat="false" ht="15" hidden="false" customHeight="false" outlineLevel="0" collapsed="false">
      <c r="A360" s="47" t="s">
        <v>129</v>
      </c>
      <c r="B360" s="48"/>
      <c r="C360" s="48"/>
      <c r="D360" s="48"/>
      <c r="E360" s="48"/>
      <c r="F360" s="49" t="n">
        <f aca="false">ROUND((SUM(F348:F359)-F359)*1.21+F359,2)</f>
        <v>1016.59</v>
      </c>
      <c r="G360" s="48"/>
      <c r="H360" s="48"/>
      <c r="I360" s="48"/>
      <c r="J360" s="50" t="n">
        <f aca="false">ROUND((SUM(J348:J359)-J359)*1.21+J359,2)</f>
        <v>890.51</v>
      </c>
      <c r="K360" s="48"/>
      <c r="L360" s="48"/>
      <c r="M360" s="48"/>
      <c r="N360" s="48"/>
    </row>
    <row r="361" customFormat="false" ht="15" hidden="false" customHeight="false" outlineLevel="0" collapsed="false">
      <c r="A361" s="52" t="s">
        <v>130</v>
      </c>
      <c r="B361" s="53" t="n">
        <f aca="false">(SUM(F348:F356)-736.3019)/SUM(F348:F356)</f>
        <v>0.0690093313777058</v>
      </c>
      <c r="C361" s="53"/>
      <c r="D361" s="53"/>
      <c r="E361" s="53"/>
      <c r="F361" s="53"/>
      <c r="G361" s="54"/>
      <c r="H361" s="54"/>
      <c r="I361" s="54"/>
      <c r="J361" s="54"/>
      <c r="K361" s="54"/>
      <c r="L361" s="55" t="str">
        <f aca="false">IF(B361&gt;=0.3,"APROBAR",IF(B361&gt;=0.2,"REVISAR","RECHAZAR"))</f>
        <v>RECHAZAR</v>
      </c>
      <c r="M361" s="55"/>
      <c r="N361" s="55"/>
    </row>
    <row r="363" customFormat="false" ht="15" hidden="false" customHeight="true" outlineLevel="0" collapsed="false">
      <c r="A363" s="14" t="s">
        <v>294</v>
      </c>
      <c r="B363" s="14"/>
      <c r="C363" s="14"/>
      <c r="D363" s="14"/>
      <c r="E363" s="14"/>
      <c r="F363" s="14"/>
      <c r="G363" s="14"/>
      <c r="H363" s="14"/>
      <c r="I363" s="15" t="s">
        <v>295</v>
      </c>
      <c r="J363" s="15"/>
      <c r="K363" s="15"/>
      <c r="L363" s="15"/>
      <c r="M363" s="15"/>
      <c r="N363" s="15"/>
      <c r="R363" s="16" t="s">
        <v>97</v>
      </c>
      <c r="S363" s="16"/>
      <c r="T363" s="16"/>
      <c r="U363" s="16"/>
      <c r="V363" s="16"/>
    </row>
    <row r="364" customFormat="false" ht="15" hidden="false" customHeight="true" outlineLevel="0" collapsed="false">
      <c r="A364" s="17" t="s">
        <v>98</v>
      </c>
      <c r="B364" s="18" t="s">
        <v>99</v>
      </c>
      <c r="C364" s="18"/>
      <c r="D364" s="18"/>
      <c r="E364" s="18"/>
      <c r="F364" s="18"/>
      <c r="G364" s="19"/>
      <c r="H364" s="20" t="s">
        <v>296</v>
      </c>
      <c r="I364" s="20"/>
      <c r="J364" s="20"/>
      <c r="K364" s="19"/>
      <c r="L364" s="21" t="s">
        <v>297</v>
      </c>
      <c r="M364" s="21"/>
      <c r="N364" s="21"/>
      <c r="R364" s="22" t="s">
        <v>298</v>
      </c>
      <c r="S364" s="22"/>
      <c r="T364" s="22"/>
      <c r="U364" s="22"/>
      <c r="V364" s="22"/>
    </row>
    <row r="365" customFormat="false" ht="15" hidden="false" customHeight="true" outlineLevel="0" collapsed="false">
      <c r="A365" s="19"/>
      <c r="B365" s="23" t="s">
        <v>103</v>
      </c>
      <c r="C365" s="23" t="s">
        <v>104</v>
      </c>
      <c r="D365" s="23" t="s">
        <v>105</v>
      </c>
      <c r="E365" s="23" t="s">
        <v>106</v>
      </c>
      <c r="F365" s="23" t="s">
        <v>107</v>
      </c>
      <c r="G365" s="19"/>
      <c r="H365" s="24" t="s">
        <v>103</v>
      </c>
      <c r="I365" s="24" t="s">
        <v>106</v>
      </c>
      <c r="J365" s="24" t="s">
        <v>107</v>
      </c>
      <c r="K365" s="19"/>
      <c r="L365" s="25" t="s">
        <v>103</v>
      </c>
      <c r="M365" s="25" t="s">
        <v>106</v>
      </c>
      <c r="N365" s="25" t="s">
        <v>107</v>
      </c>
      <c r="R365" s="26" t="s">
        <v>299</v>
      </c>
      <c r="S365" s="26"/>
      <c r="T365" s="26"/>
      <c r="U365" s="26"/>
      <c r="V365" s="26"/>
    </row>
    <row r="366" customFormat="false" ht="15" hidden="false" customHeight="true" outlineLevel="0" collapsed="false">
      <c r="A366" s="8" t="s">
        <v>109</v>
      </c>
      <c r="B366" s="27" t="n">
        <v>20</v>
      </c>
      <c r="C366" s="28" t="n">
        <v>30</v>
      </c>
      <c r="D366" s="29" t="n">
        <v>1.7178</v>
      </c>
      <c r="E366" s="29" t="n">
        <v>2.5542</v>
      </c>
      <c r="F366" s="27" t="n">
        <f aca="false">ROUND(B366*E366,2)</f>
        <v>51.08</v>
      </c>
      <c r="G366" s="30"/>
      <c r="H366" s="31" t="n">
        <v>20</v>
      </c>
      <c r="I366" s="32" t="n">
        <v>2.5542</v>
      </c>
      <c r="J366" s="31" t="n">
        <f aca="false">ROUND(H366*I366,2)</f>
        <v>51.08</v>
      </c>
      <c r="K366" s="30"/>
      <c r="L366" s="33" t="n">
        <v>20</v>
      </c>
      <c r="M366" s="34" t="n">
        <v>2.5542</v>
      </c>
      <c r="N366" s="33" t="n">
        <f aca="false">ROUND(L366*M366,2)</f>
        <v>51.08</v>
      </c>
      <c r="R366" s="35" t="s">
        <v>300</v>
      </c>
      <c r="S366" s="35"/>
      <c r="T366" s="35"/>
      <c r="U366" s="35"/>
      <c r="V366" s="35"/>
    </row>
    <row r="367" customFormat="false" ht="15" hidden="false" customHeight="true" outlineLevel="0" collapsed="false">
      <c r="A367" s="8" t="s">
        <v>111</v>
      </c>
      <c r="B367" s="27" t="n">
        <v>20</v>
      </c>
      <c r="C367" s="28" t="n">
        <v>30</v>
      </c>
      <c r="D367" s="29" t="n">
        <v>1.06026</v>
      </c>
      <c r="E367" s="29" t="n">
        <v>1.3773</v>
      </c>
      <c r="F367" s="27" t="n">
        <f aca="false">ROUND(B367*E367,2)</f>
        <v>27.55</v>
      </c>
      <c r="G367" s="30"/>
      <c r="H367" s="31" t="n">
        <v>20</v>
      </c>
      <c r="I367" s="32" t="n">
        <v>1.3773</v>
      </c>
      <c r="J367" s="31" t="n">
        <f aca="false">ROUND(H367*I367,2)</f>
        <v>27.55</v>
      </c>
      <c r="K367" s="30"/>
      <c r="L367" s="33" t="n">
        <v>20</v>
      </c>
      <c r="M367" s="34" t="n">
        <v>1.3773</v>
      </c>
      <c r="N367" s="33" t="n">
        <f aca="false">ROUND(L367*M367,2)</f>
        <v>27.55</v>
      </c>
      <c r="R367" s="36" t="s">
        <v>301</v>
      </c>
      <c r="S367" s="36"/>
      <c r="T367" s="36"/>
      <c r="U367" s="36"/>
      <c r="V367" s="36"/>
    </row>
    <row r="368" customFormat="false" ht="15" hidden="false" customHeight="true" outlineLevel="0" collapsed="false">
      <c r="A368" s="8" t="s">
        <v>113</v>
      </c>
      <c r="B368" s="27" t="n">
        <v>20</v>
      </c>
      <c r="C368" s="28" t="n">
        <v>30</v>
      </c>
      <c r="D368" s="29" t="n">
        <v>0.48492</v>
      </c>
      <c r="E368" s="29" t="n">
        <v>0.6286</v>
      </c>
      <c r="F368" s="27" t="n">
        <f aca="false">ROUND(B368*E368,2)</f>
        <v>12.57</v>
      </c>
      <c r="G368" s="30"/>
      <c r="H368" s="31" t="n">
        <v>20</v>
      </c>
      <c r="I368" s="32" t="n">
        <v>0.6286</v>
      </c>
      <c r="J368" s="31" t="n">
        <f aca="false">ROUND(H368*I368,2)</f>
        <v>12.57</v>
      </c>
      <c r="K368" s="30"/>
      <c r="L368" s="33" t="n">
        <v>20</v>
      </c>
      <c r="M368" s="34" t="n">
        <v>0.6286</v>
      </c>
      <c r="N368" s="33" t="n">
        <f aca="false">ROUND(L368*M368,2)</f>
        <v>12.57</v>
      </c>
      <c r="R368" s="36" t="s">
        <v>302</v>
      </c>
      <c r="S368" s="36"/>
      <c r="T368" s="36"/>
      <c r="U368" s="36"/>
      <c r="V368" s="36"/>
    </row>
    <row r="369" customFormat="false" ht="15" hidden="false" customHeight="true" outlineLevel="0" collapsed="false">
      <c r="A369" s="8" t="s">
        <v>115</v>
      </c>
      <c r="B369" s="27" t="n">
        <v>20</v>
      </c>
      <c r="C369" s="28" t="n">
        <v>30</v>
      </c>
      <c r="D369" s="29" t="n">
        <v>0.40275</v>
      </c>
      <c r="E369" s="29" t="n">
        <v>0.5561</v>
      </c>
      <c r="F369" s="27" t="n">
        <f aca="false">ROUND(B369*E369,2)</f>
        <v>11.12</v>
      </c>
      <c r="G369" s="30"/>
      <c r="H369" s="31" t="n">
        <v>20</v>
      </c>
      <c r="I369" s="32" t="n">
        <v>0.5561</v>
      </c>
      <c r="J369" s="31" t="n">
        <f aca="false">ROUND(H369*I369,2)</f>
        <v>11.12</v>
      </c>
      <c r="K369" s="30"/>
      <c r="L369" s="33" t="n">
        <v>20</v>
      </c>
      <c r="M369" s="34" t="n">
        <v>0.5561</v>
      </c>
      <c r="N369" s="33" t="n">
        <f aca="false">ROUND(L369*M369,2)</f>
        <v>11.12</v>
      </c>
      <c r="R369" s="56" t="s">
        <v>149</v>
      </c>
      <c r="S369" s="56"/>
      <c r="T369" s="56"/>
      <c r="U369" s="56"/>
      <c r="V369" s="56"/>
    </row>
    <row r="370" customFormat="false" ht="15" hidden="false" customHeight="true" outlineLevel="0" collapsed="false">
      <c r="A370" s="8" t="s">
        <v>117</v>
      </c>
      <c r="B370" s="27" t="n">
        <v>20</v>
      </c>
      <c r="C370" s="28" t="n">
        <v>30</v>
      </c>
      <c r="D370" s="29" t="n">
        <v>0.32055</v>
      </c>
      <c r="E370" s="29" t="n">
        <v>0.3868</v>
      </c>
      <c r="F370" s="27" t="n">
        <f aca="false">ROUND(B370*E370,2)</f>
        <v>7.74</v>
      </c>
      <c r="G370" s="30"/>
      <c r="H370" s="31" t="n">
        <v>20</v>
      </c>
      <c r="I370" s="32" t="n">
        <v>0.3868</v>
      </c>
      <c r="J370" s="31" t="n">
        <f aca="false">ROUND(H370*I370,2)</f>
        <v>7.74</v>
      </c>
      <c r="K370" s="30"/>
      <c r="L370" s="33" t="n">
        <v>20</v>
      </c>
      <c r="M370" s="34" t="n">
        <v>0.3868</v>
      </c>
      <c r="N370" s="33" t="n">
        <f aca="false">ROUND(L370*M370,2)</f>
        <v>7.74</v>
      </c>
      <c r="R370" s="38" t="s">
        <v>118</v>
      </c>
      <c r="S370" s="38"/>
      <c r="T370" s="38"/>
      <c r="U370" s="38"/>
      <c r="V370" s="38"/>
    </row>
    <row r="371" customFormat="false" ht="15" hidden="false" customHeight="false" outlineLevel="0" collapsed="false">
      <c r="A371" s="8" t="s">
        <v>119</v>
      </c>
      <c r="B371" s="27" t="n">
        <v>20</v>
      </c>
      <c r="C371" s="28" t="n">
        <v>30</v>
      </c>
      <c r="D371" s="29" t="n">
        <v>0.23835</v>
      </c>
      <c r="E371" s="29" t="n">
        <v>0.2653</v>
      </c>
      <c r="F371" s="27" t="n">
        <f aca="false">ROUND(B371*E371,2)</f>
        <v>5.31</v>
      </c>
      <c r="G371" s="30"/>
      <c r="H371" s="31" t="n">
        <v>20</v>
      </c>
      <c r="I371" s="32" t="n">
        <v>0.2653</v>
      </c>
      <c r="J371" s="31" t="n">
        <f aca="false">ROUND(H371*I371,2)</f>
        <v>5.31</v>
      </c>
      <c r="K371" s="30"/>
      <c r="L371" s="33" t="n">
        <v>20</v>
      </c>
      <c r="M371" s="34" t="n">
        <v>0.2653</v>
      </c>
      <c r="N371" s="33" t="n">
        <f aca="false">ROUND(L371*M371,2)</f>
        <v>5.31</v>
      </c>
    </row>
    <row r="372" customFormat="false" ht="15" hidden="false" customHeight="false" outlineLevel="0" collapsed="false">
      <c r="A372" s="39" t="s">
        <v>120</v>
      </c>
      <c r="B372" s="40" t="n">
        <f aca="false">IF($P$372="",1734.94,ROUND(1734.94*((532.1382/(1-$P$372))-115.37)/520.78,2))</f>
        <v>1734.94</v>
      </c>
      <c r="C372" s="28"/>
      <c r="D372" s="41" t="n">
        <v>0.110688</v>
      </c>
      <c r="E372" s="29" t="n">
        <v>0.135</v>
      </c>
      <c r="F372" s="27" t="n">
        <f aca="false">ROUND(B372*E372,2)</f>
        <v>234.22</v>
      </c>
      <c r="G372" s="30"/>
      <c r="H372" s="42" t="n">
        <v>1534.94</v>
      </c>
      <c r="I372" s="32" t="n">
        <v>0.13</v>
      </c>
      <c r="J372" s="31" t="n">
        <f aca="false">ROUND(H372*I372,2)</f>
        <v>199.54</v>
      </c>
      <c r="K372" s="30"/>
      <c r="L372" s="43" t="n">
        <v>254.865</v>
      </c>
      <c r="M372" s="34" t="n">
        <v>0.14</v>
      </c>
      <c r="N372" s="33" t="n">
        <f aca="false">ROUND(L372*M372,2)</f>
        <v>35.68</v>
      </c>
      <c r="O372" s="44" t="s">
        <v>121</v>
      </c>
      <c r="P372" s="45"/>
    </row>
    <row r="373" customFormat="false" ht="15" hidden="false" customHeight="false" outlineLevel="0" collapsed="false">
      <c r="A373" s="39" t="s">
        <v>122</v>
      </c>
      <c r="B373" s="40" t="n">
        <f aca="false">IF($P$372="",1936.058,ROUND(1936.058*((532.1382/(1-$P$372))-115.37)/520.78,2))</f>
        <v>1936.058</v>
      </c>
      <c r="C373" s="28"/>
      <c r="D373" s="41" t="n">
        <v>0.110688</v>
      </c>
      <c r="E373" s="29" t="n">
        <v>0.135</v>
      </c>
      <c r="F373" s="27" t="n">
        <f aca="false">ROUND(B373*E373,2)</f>
        <v>261.37</v>
      </c>
      <c r="G373" s="30"/>
      <c r="H373" s="42" t="n">
        <v>836.058</v>
      </c>
      <c r="I373" s="32" t="n">
        <v>0.13</v>
      </c>
      <c r="J373" s="31" t="n">
        <f aca="false">ROUND(H373*I373,2)</f>
        <v>108.69</v>
      </c>
      <c r="K373" s="30"/>
      <c r="L373" s="43" t="n">
        <v>1488.69</v>
      </c>
      <c r="M373" s="34" t="n">
        <v>0.135</v>
      </c>
      <c r="N373" s="33" t="n">
        <f aca="false">ROUND(L373*M373,2)</f>
        <v>200.97</v>
      </c>
      <c r="O373" s="46" t="s">
        <v>123</v>
      </c>
    </row>
    <row r="374" customFormat="false" ht="15" hidden="false" customHeight="false" outlineLevel="0" collapsed="false">
      <c r="A374" s="39" t="s">
        <v>124</v>
      </c>
      <c r="B374" s="40" t="n">
        <f aca="false">IF($P$372="",186.587,ROUND(186.587*((532.1382/(1-$P$372))-115.37)/520.78,2))</f>
        <v>186.587</v>
      </c>
      <c r="C374" s="28"/>
      <c r="D374" s="41" t="n">
        <v>0.221376</v>
      </c>
      <c r="E374" s="29" t="n">
        <v>0.135</v>
      </c>
      <c r="F374" s="27" t="n">
        <f aca="false">ROUND(B374*E374,2)</f>
        <v>25.19</v>
      </c>
      <c r="G374" s="30"/>
      <c r="H374" s="42" t="n">
        <v>86.587</v>
      </c>
      <c r="I374" s="32" t="n">
        <v>0.13</v>
      </c>
      <c r="J374" s="31" t="n">
        <f aca="false">ROUND(H374*I374,2)</f>
        <v>11.26</v>
      </c>
      <c r="K374" s="30"/>
      <c r="L374" s="43" t="n">
        <v>894.693</v>
      </c>
      <c r="M374" s="34" t="n">
        <v>0.135</v>
      </c>
      <c r="N374" s="33" t="n">
        <f aca="false">ROUND(L374*M374,2)</f>
        <v>120.78</v>
      </c>
      <c r="O374" s="46" t="s">
        <v>125</v>
      </c>
    </row>
    <row r="375" customFormat="false" ht="15" hidden="false" customHeight="false" outlineLevel="0" collapsed="false">
      <c r="A375" s="8" t="s">
        <v>126</v>
      </c>
      <c r="B375" s="27" t="n">
        <v>1</v>
      </c>
      <c r="C375" s="28"/>
      <c r="D375" s="29" t="n">
        <v>17.615</v>
      </c>
      <c r="E375" s="29" t="n">
        <v>17.615</v>
      </c>
      <c r="F375" s="27" t="n">
        <f aca="false">ROUND(B375*E375,2)</f>
        <v>17.62</v>
      </c>
      <c r="G375" s="30"/>
      <c r="H375" s="31" t="n">
        <v>1</v>
      </c>
      <c r="I375" s="32" t="n">
        <v>17.615</v>
      </c>
      <c r="J375" s="31" t="n">
        <f aca="false">ROUND(H375*I375,2)</f>
        <v>17.62</v>
      </c>
      <c r="K375" s="30"/>
      <c r="L375" s="33" t="n">
        <v>1</v>
      </c>
      <c r="M375" s="34" t="n">
        <v>17.615</v>
      </c>
      <c r="N375" s="33" t="n">
        <f aca="false">ROUND(L375*M375,2)</f>
        <v>17.62</v>
      </c>
    </row>
    <row r="376" customFormat="false" ht="15" hidden="false" customHeight="false" outlineLevel="0" collapsed="false">
      <c r="A376" s="8" t="s">
        <v>127</v>
      </c>
      <c r="B376" s="27" t="n">
        <v>30</v>
      </c>
      <c r="C376" s="28"/>
      <c r="D376" s="29" t="n">
        <v>0.01912</v>
      </c>
      <c r="E376" s="29" t="n">
        <v>0.01912</v>
      </c>
      <c r="F376" s="27" t="n">
        <f aca="false">ROUND(B376*E376,2)</f>
        <v>0.57</v>
      </c>
      <c r="G376" s="30"/>
      <c r="H376" s="31" t="n">
        <v>30</v>
      </c>
      <c r="I376" s="32" t="n">
        <v>0.01912</v>
      </c>
      <c r="J376" s="31" t="n">
        <f aca="false">ROUND(H376*I376,2)</f>
        <v>0.57</v>
      </c>
      <c r="K376" s="30"/>
      <c r="L376" s="33" t="n">
        <v>30</v>
      </c>
      <c r="M376" s="34" t="n">
        <v>0.00629</v>
      </c>
      <c r="N376" s="33" t="n">
        <f aca="false">ROUND(L376*M376,2)</f>
        <v>0.19</v>
      </c>
    </row>
    <row r="377" customFormat="false" ht="15" hidden="false" customHeight="false" outlineLevel="0" collapsed="false">
      <c r="A377" s="8" t="s">
        <v>128</v>
      </c>
      <c r="B377" s="27" t="n">
        <v>45.06</v>
      </c>
      <c r="C377" s="28"/>
      <c r="D377" s="29" t="n">
        <v>1</v>
      </c>
      <c r="E377" s="29" t="n">
        <v>1</v>
      </c>
      <c r="F377" s="27" t="n">
        <f aca="false">ROUND(B377*E377,2)</f>
        <v>45.06</v>
      </c>
      <c r="G377" s="30"/>
      <c r="H377" s="31" t="n">
        <v>30.8</v>
      </c>
      <c r="I377" s="32" t="n">
        <v>1</v>
      </c>
      <c r="J377" s="31" t="n">
        <f aca="false">ROUND(H377*I377,2)</f>
        <v>30.8</v>
      </c>
      <c r="K377" s="30"/>
      <c r="L377" s="33" t="n">
        <v>46.1</v>
      </c>
      <c r="M377" s="34" t="n">
        <v>1</v>
      </c>
      <c r="N377" s="33" t="n">
        <f aca="false">ROUND(L377*M377,2)</f>
        <v>46.1</v>
      </c>
    </row>
    <row r="378" customFormat="false" ht="15" hidden="false" customHeight="false" outlineLevel="0" collapsed="false">
      <c r="A378" s="47" t="s">
        <v>129</v>
      </c>
      <c r="B378" s="48"/>
      <c r="C378" s="48"/>
      <c r="D378" s="48"/>
      <c r="E378" s="48"/>
      <c r="F378" s="49" t="n">
        <f aca="false">ROUND((SUM(F366:F377)-F377)*1.21+F377,2)</f>
        <v>836.81</v>
      </c>
      <c r="G378" s="48"/>
      <c r="H378" s="48"/>
      <c r="I378" s="48"/>
      <c r="J378" s="50" t="n">
        <f aca="false">ROUND((SUM(J366:J377)-J377)*1.21+J377,2)</f>
        <v>578.99</v>
      </c>
      <c r="K378" s="48"/>
      <c r="L378" s="48"/>
      <c r="M378" s="48"/>
      <c r="N378" s="51" t="n">
        <f aca="false">ROUND((SUM(N366:N377)-N377)*1.21+N377,2)</f>
        <v>639.74</v>
      </c>
    </row>
    <row r="379" customFormat="false" ht="15" hidden="false" customHeight="false" outlineLevel="0" collapsed="false">
      <c r="A379" s="52" t="s">
        <v>130</v>
      </c>
      <c r="B379" s="53" t="n">
        <f aca="false">(SUM(F366:F374)-532.1382)/SUM(F366:F374)</f>
        <v>0.163502004244282</v>
      </c>
      <c r="C379" s="53"/>
      <c r="D379" s="53"/>
      <c r="E379" s="53"/>
      <c r="F379" s="53"/>
      <c r="G379" s="54"/>
      <c r="H379" s="54"/>
      <c r="I379" s="54"/>
      <c r="J379" s="54"/>
      <c r="K379" s="54"/>
      <c r="L379" s="55" t="str">
        <f aca="false">IF(B379&gt;=0.3,"APROBAR",IF(B379&gt;=0.2,"REVISAR","RECHAZAR"))</f>
        <v>RECHAZAR</v>
      </c>
      <c r="M379" s="55"/>
      <c r="N379" s="55"/>
    </row>
    <row r="381" customFormat="false" ht="15" hidden="false" customHeight="true" outlineLevel="0" collapsed="false">
      <c r="A381" s="14" t="s">
        <v>303</v>
      </c>
      <c r="B381" s="14"/>
      <c r="C381" s="14"/>
      <c r="D381" s="14"/>
      <c r="E381" s="14"/>
      <c r="F381" s="14"/>
      <c r="G381" s="14"/>
      <c r="H381" s="14"/>
      <c r="I381" s="15" t="s">
        <v>304</v>
      </c>
      <c r="J381" s="15"/>
      <c r="K381" s="15"/>
      <c r="L381" s="15"/>
      <c r="M381" s="15"/>
      <c r="N381" s="15"/>
      <c r="R381" s="16" t="s">
        <v>97</v>
      </c>
      <c r="S381" s="16"/>
      <c r="T381" s="16"/>
      <c r="U381" s="16"/>
      <c r="V381" s="16"/>
    </row>
    <row r="382" customFormat="false" ht="15" hidden="false" customHeight="true" outlineLevel="0" collapsed="false">
      <c r="A382" s="17" t="s">
        <v>98</v>
      </c>
      <c r="B382" s="18" t="s">
        <v>99</v>
      </c>
      <c r="C382" s="18"/>
      <c r="D382" s="18"/>
      <c r="E382" s="18"/>
      <c r="F382" s="18"/>
      <c r="G382" s="19"/>
      <c r="H382" s="20" t="s">
        <v>305</v>
      </c>
      <c r="I382" s="20"/>
      <c r="J382" s="20"/>
      <c r="K382" s="19"/>
      <c r="L382" s="21" t="s">
        <v>306</v>
      </c>
      <c r="M382" s="21"/>
      <c r="N382" s="21"/>
      <c r="R382" s="22" t="s">
        <v>307</v>
      </c>
      <c r="S382" s="22"/>
      <c r="T382" s="22"/>
      <c r="U382" s="22"/>
      <c r="V382" s="22"/>
    </row>
    <row r="383" customFormat="false" ht="15" hidden="false" customHeight="true" outlineLevel="0" collapsed="false">
      <c r="A383" s="19"/>
      <c r="B383" s="23" t="s">
        <v>103</v>
      </c>
      <c r="C383" s="23" t="s">
        <v>104</v>
      </c>
      <c r="D383" s="23" t="s">
        <v>105</v>
      </c>
      <c r="E383" s="23" t="s">
        <v>106</v>
      </c>
      <c r="F383" s="23" t="s">
        <v>107</v>
      </c>
      <c r="G383" s="19"/>
      <c r="H383" s="24" t="s">
        <v>103</v>
      </c>
      <c r="I383" s="24" t="s">
        <v>106</v>
      </c>
      <c r="J383" s="24" t="s">
        <v>107</v>
      </c>
      <c r="K383" s="19"/>
      <c r="L383" s="25" t="s">
        <v>103</v>
      </c>
      <c r="M383" s="25" t="s">
        <v>106</v>
      </c>
      <c r="N383" s="25" t="s">
        <v>107</v>
      </c>
      <c r="R383" s="26" t="s">
        <v>308</v>
      </c>
      <c r="S383" s="26"/>
      <c r="T383" s="26"/>
      <c r="U383" s="26"/>
      <c r="V383" s="26"/>
    </row>
    <row r="384" customFormat="false" ht="15" hidden="false" customHeight="true" outlineLevel="0" collapsed="false">
      <c r="A384" s="8" t="s">
        <v>109</v>
      </c>
      <c r="B384" s="27" t="n">
        <v>27.71</v>
      </c>
      <c r="C384" s="28" t="n">
        <v>30</v>
      </c>
      <c r="D384" s="29" t="n">
        <v>1.73784</v>
      </c>
      <c r="E384" s="29" t="n">
        <v>2.5542</v>
      </c>
      <c r="F384" s="27" t="n">
        <f aca="false">ROUND(B384*E384,2)</f>
        <v>70.78</v>
      </c>
      <c r="G384" s="30"/>
      <c r="H384" s="31" t="n">
        <v>27.71</v>
      </c>
      <c r="I384" s="32" t="n">
        <v>2.5542</v>
      </c>
      <c r="J384" s="31" t="n">
        <f aca="false">ROUND(H384*I384,2)</f>
        <v>70.78</v>
      </c>
      <c r="K384" s="30"/>
      <c r="L384" s="33" t="n">
        <v>27.71</v>
      </c>
      <c r="M384" s="34" t="n">
        <v>2.5542</v>
      </c>
      <c r="N384" s="33" t="n">
        <f aca="false">ROUND(L384*M384,2)</f>
        <v>70.78</v>
      </c>
      <c r="R384" s="35" t="s">
        <v>309</v>
      </c>
      <c r="S384" s="35"/>
      <c r="T384" s="35"/>
      <c r="U384" s="35"/>
      <c r="V384" s="35"/>
    </row>
    <row r="385" customFormat="false" ht="15" hidden="false" customHeight="true" outlineLevel="0" collapsed="false">
      <c r="A385" s="8" t="s">
        <v>111</v>
      </c>
      <c r="B385" s="27" t="n">
        <v>27.71</v>
      </c>
      <c r="C385" s="28" t="n">
        <v>30</v>
      </c>
      <c r="D385" s="29" t="n">
        <v>0.9357</v>
      </c>
      <c r="E385" s="29" t="n">
        <v>1.3773</v>
      </c>
      <c r="F385" s="27" t="n">
        <f aca="false">ROUND(B385*E385,2)</f>
        <v>38.16</v>
      </c>
      <c r="G385" s="30"/>
      <c r="H385" s="31" t="n">
        <v>27.71</v>
      </c>
      <c r="I385" s="32" t="n">
        <v>1.3773</v>
      </c>
      <c r="J385" s="31" t="n">
        <f aca="false">ROUND(H385*I385,2)</f>
        <v>38.16</v>
      </c>
      <c r="K385" s="30"/>
      <c r="L385" s="33" t="n">
        <v>27.71</v>
      </c>
      <c r="M385" s="34" t="n">
        <v>1.3773</v>
      </c>
      <c r="N385" s="33" t="n">
        <f aca="false">ROUND(L385*M385,2)</f>
        <v>38.16</v>
      </c>
      <c r="R385" s="36" t="s">
        <v>310</v>
      </c>
      <c r="S385" s="36"/>
      <c r="T385" s="36"/>
      <c r="U385" s="36"/>
      <c r="V385" s="36"/>
    </row>
    <row r="386" customFormat="false" ht="15" hidden="false" customHeight="true" outlineLevel="0" collapsed="false">
      <c r="A386" s="8" t="s">
        <v>113</v>
      </c>
      <c r="B386" s="27" t="n">
        <v>27.71</v>
      </c>
      <c r="C386" s="28" t="n">
        <v>30</v>
      </c>
      <c r="D386" s="29" t="n">
        <v>0.43137</v>
      </c>
      <c r="E386" s="29" t="n">
        <v>0.6286</v>
      </c>
      <c r="F386" s="27" t="n">
        <f aca="false">ROUND(B386*E386,2)</f>
        <v>17.42</v>
      </c>
      <c r="G386" s="30"/>
      <c r="H386" s="31" t="n">
        <v>27.71</v>
      </c>
      <c r="I386" s="32" t="n">
        <v>0.6286</v>
      </c>
      <c r="J386" s="31" t="n">
        <f aca="false">ROUND(H386*I386,2)</f>
        <v>17.42</v>
      </c>
      <c r="K386" s="30"/>
      <c r="L386" s="33" t="n">
        <v>27.71</v>
      </c>
      <c r="M386" s="34" t="n">
        <v>0.6286</v>
      </c>
      <c r="N386" s="33" t="n">
        <f aca="false">ROUND(L386*M386,2)</f>
        <v>17.42</v>
      </c>
      <c r="R386" s="36" t="s">
        <v>311</v>
      </c>
      <c r="S386" s="36"/>
      <c r="T386" s="36"/>
      <c r="U386" s="36"/>
      <c r="V386" s="36"/>
    </row>
    <row r="387" customFormat="false" ht="15" hidden="false" customHeight="true" outlineLevel="0" collapsed="false">
      <c r="A387" s="8" t="s">
        <v>115</v>
      </c>
      <c r="B387" s="27" t="n">
        <v>27.71</v>
      </c>
      <c r="C387" s="28" t="n">
        <v>30</v>
      </c>
      <c r="D387" s="29" t="n">
        <v>0.38244</v>
      </c>
      <c r="E387" s="29" t="n">
        <v>0.5561</v>
      </c>
      <c r="F387" s="27" t="n">
        <f aca="false">ROUND(B387*E387,2)</f>
        <v>15.41</v>
      </c>
      <c r="G387" s="30"/>
      <c r="H387" s="31" t="n">
        <v>27.71</v>
      </c>
      <c r="I387" s="32" t="n">
        <v>0.5561</v>
      </c>
      <c r="J387" s="31" t="n">
        <f aca="false">ROUND(H387*I387,2)</f>
        <v>15.41</v>
      </c>
      <c r="K387" s="30"/>
      <c r="L387" s="33" t="n">
        <v>27.71</v>
      </c>
      <c r="M387" s="34" t="n">
        <v>0.5561</v>
      </c>
      <c r="N387" s="33" t="n">
        <f aca="false">ROUND(L387*M387,2)</f>
        <v>15.41</v>
      </c>
      <c r="R387" s="56" t="s">
        <v>149</v>
      </c>
      <c r="S387" s="56"/>
      <c r="T387" s="56"/>
      <c r="U387" s="56"/>
      <c r="V387" s="56"/>
    </row>
    <row r="388" customFormat="false" ht="15" hidden="false" customHeight="true" outlineLevel="0" collapsed="false">
      <c r="A388" s="8" t="s">
        <v>117</v>
      </c>
      <c r="B388" s="27" t="n">
        <v>27.71</v>
      </c>
      <c r="C388" s="28" t="n">
        <v>30</v>
      </c>
      <c r="D388" s="29" t="n">
        <v>0.26964</v>
      </c>
      <c r="E388" s="29" t="n">
        <v>0.3868</v>
      </c>
      <c r="F388" s="27" t="n">
        <f aca="false">ROUND(B388*E388,2)</f>
        <v>10.72</v>
      </c>
      <c r="G388" s="30"/>
      <c r="H388" s="31" t="n">
        <v>27.71</v>
      </c>
      <c r="I388" s="32" t="n">
        <v>0.3868</v>
      </c>
      <c r="J388" s="31" t="n">
        <f aca="false">ROUND(H388*I388,2)</f>
        <v>10.72</v>
      </c>
      <c r="K388" s="30"/>
      <c r="L388" s="33" t="n">
        <v>27.71</v>
      </c>
      <c r="M388" s="34" t="n">
        <v>0.3868</v>
      </c>
      <c r="N388" s="33" t="n">
        <f aca="false">ROUND(L388*M388,2)</f>
        <v>10.72</v>
      </c>
      <c r="R388" s="38" t="s">
        <v>118</v>
      </c>
      <c r="S388" s="38"/>
      <c r="T388" s="38"/>
      <c r="U388" s="38"/>
      <c r="V388" s="38"/>
    </row>
    <row r="389" customFormat="false" ht="15" hidden="false" customHeight="false" outlineLevel="0" collapsed="false">
      <c r="A389" s="8" t="s">
        <v>119</v>
      </c>
      <c r="B389" s="27" t="n">
        <v>27.71</v>
      </c>
      <c r="C389" s="28" t="n">
        <v>30</v>
      </c>
      <c r="D389" s="29" t="n">
        <v>0.18156</v>
      </c>
      <c r="E389" s="29" t="n">
        <v>0.2653</v>
      </c>
      <c r="F389" s="27" t="n">
        <f aca="false">ROUND(B389*E389,2)</f>
        <v>7.35</v>
      </c>
      <c r="G389" s="30"/>
      <c r="H389" s="31" t="n">
        <v>27.71</v>
      </c>
      <c r="I389" s="32" t="n">
        <v>0.2653</v>
      </c>
      <c r="J389" s="31" t="n">
        <f aca="false">ROUND(H389*I389,2)</f>
        <v>7.35</v>
      </c>
      <c r="K389" s="30"/>
      <c r="L389" s="33" t="n">
        <v>27.71</v>
      </c>
      <c r="M389" s="34" t="n">
        <v>0.2653</v>
      </c>
      <c r="N389" s="33" t="n">
        <f aca="false">ROUND(L389*M389,2)</f>
        <v>7.35</v>
      </c>
    </row>
    <row r="390" customFormat="false" ht="15" hidden="false" customHeight="false" outlineLevel="0" collapsed="false">
      <c r="A390" s="39" t="s">
        <v>120</v>
      </c>
      <c r="B390" s="40" t="n">
        <f aca="false">IF($P$390="",418.33,ROUND(418.33*((316.2685/(1-$P$390))-159.84)/268.73,2))</f>
        <v>418.33</v>
      </c>
      <c r="C390" s="28"/>
      <c r="D390" s="41" t="n">
        <v>0.121236</v>
      </c>
      <c r="E390" s="29" t="n">
        <v>0.145</v>
      </c>
      <c r="F390" s="27" t="n">
        <f aca="false">ROUND(B390*E390,2)</f>
        <v>60.66</v>
      </c>
      <c r="G390" s="30"/>
      <c r="H390" s="42" t="n">
        <v>789.33</v>
      </c>
      <c r="I390" s="32" t="n">
        <v>0.15</v>
      </c>
      <c r="J390" s="31" t="n">
        <f aca="false">ROUND(H390*I390,2)</f>
        <v>118.4</v>
      </c>
      <c r="K390" s="30"/>
      <c r="L390" s="43" t="n">
        <v>618.398</v>
      </c>
      <c r="M390" s="34" t="n">
        <v>0.1768</v>
      </c>
      <c r="N390" s="33" t="n">
        <f aca="false">ROUND(L390*M390,2)</f>
        <v>109.33</v>
      </c>
      <c r="O390" s="44" t="s">
        <v>121</v>
      </c>
      <c r="P390" s="45"/>
    </row>
    <row r="391" customFormat="false" ht="15" hidden="false" customHeight="false" outlineLevel="0" collapsed="false">
      <c r="A391" s="39" t="s">
        <v>122</v>
      </c>
      <c r="B391" s="40" t="n">
        <f aca="false">IF($P$390="",412.3,ROUND(412.3*((316.2685/(1-$P$390))-159.84)/268.73,2))</f>
        <v>412.3</v>
      </c>
      <c r="C391" s="28"/>
      <c r="D391" s="41" t="n">
        <v>0.114444</v>
      </c>
      <c r="E391" s="29" t="n">
        <v>0.145</v>
      </c>
      <c r="F391" s="27" t="n">
        <f aca="false">ROUND(B391*E391,2)</f>
        <v>59.78</v>
      </c>
      <c r="G391" s="30"/>
      <c r="H391" s="42" t="n">
        <v>684.112</v>
      </c>
      <c r="I391" s="32" t="n">
        <v>0.15</v>
      </c>
      <c r="J391" s="31" t="n">
        <f aca="false">ROUND(H391*I391,2)</f>
        <v>102.62</v>
      </c>
      <c r="K391" s="30"/>
      <c r="L391" s="43" t="n">
        <v>517.452</v>
      </c>
      <c r="M391" s="34" t="n">
        <v>0.16731</v>
      </c>
      <c r="N391" s="33" t="n">
        <f aca="false">ROUND(L391*M391,2)</f>
        <v>86.57</v>
      </c>
      <c r="O391" s="46" t="s">
        <v>123</v>
      </c>
    </row>
    <row r="392" customFormat="false" ht="15" hidden="false" customHeight="false" outlineLevel="0" collapsed="false">
      <c r="A392" s="39" t="s">
        <v>124</v>
      </c>
      <c r="B392" s="40" t="n">
        <f aca="false">IF($P$390="",1022.67,ROUND(1022.67*((316.2685/(1-$P$390))-159.84)/268.73,2))</f>
        <v>1022.67</v>
      </c>
      <c r="C392" s="28"/>
      <c r="D392" s="41" t="n">
        <v>0.106808</v>
      </c>
      <c r="E392" s="29" t="n">
        <v>0.145</v>
      </c>
      <c r="F392" s="27" t="n">
        <f aca="false">ROUND(B392*E392,2)</f>
        <v>148.29</v>
      </c>
      <c r="G392" s="30"/>
      <c r="H392" s="42" t="n">
        <v>1456.79</v>
      </c>
      <c r="I392" s="32" t="n">
        <v>0.15</v>
      </c>
      <c r="J392" s="31" t="n">
        <f aca="false">ROUND(H392*I392,2)</f>
        <v>218.52</v>
      </c>
      <c r="K392" s="30"/>
      <c r="L392" s="43" t="n">
        <v>935.339</v>
      </c>
      <c r="M392" s="34" t="n">
        <v>0.16483</v>
      </c>
      <c r="N392" s="33" t="n">
        <f aca="false">ROUND(L392*M392,2)</f>
        <v>154.17</v>
      </c>
      <c r="O392" s="46" t="s">
        <v>125</v>
      </c>
    </row>
    <row r="393" customFormat="false" ht="15" hidden="false" customHeight="false" outlineLevel="0" collapsed="false">
      <c r="A393" s="8" t="s">
        <v>126</v>
      </c>
      <c r="B393" s="27" t="n">
        <v>1</v>
      </c>
      <c r="C393" s="28"/>
      <c r="D393" s="29" t="n">
        <v>17.615</v>
      </c>
      <c r="E393" s="29" t="n">
        <v>17.615</v>
      </c>
      <c r="F393" s="27" t="n">
        <f aca="false">ROUND(B393*E393,2)</f>
        <v>17.62</v>
      </c>
      <c r="G393" s="30"/>
      <c r="H393" s="31" t="n">
        <v>1</v>
      </c>
      <c r="I393" s="32" t="n">
        <v>17.615</v>
      </c>
      <c r="J393" s="31" t="n">
        <f aca="false">ROUND(H393*I393,2)</f>
        <v>17.62</v>
      </c>
      <c r="K393" s="30"/>
      <c r="L393" s="33" t="n">
        <v>1</v>
      </c>
      <c r="M393" s="34" t="n">
        <v>17.615</v>
      </c>
      <c r="N393" s="33" t="n">
        <f aca="false">ROUND(L393*M393,2)</f>
        <v>17.62</v>
      </c>
    </row>
    <row r="394" customFormat="false" ht="15" hidden="false" customHeight="false" outlineLevel="0" collapsed="false">
      <c r="A394" s="8" t="s">
        <v>127</v>
      </c>
      <c r="B394" s="27" t="n">
        <v>30</v>
      </c>
      <c r="C394" s="28"/>
      <c r="D394" s="29" t="n">
        <v>0.01912</v>
      </c>
      <c r="E394" s="29" t="n">
        <v>0.01912</v>
      </c>
      <c r="F394" s="27" t="n">
        <f aca="false">ROUND(B394*E394,2)</f>
        <v>0.57</v>
      </c>
      <c r="G394" s="30"/>
      <c r="H394" s="31" t="n">
        <v>30</v>
      </c>
      <c r="I394" s="32" t="n">
        <v>0.01912</v>
      </c>
      <c r="J394" s="31" t="n">
        <f aca="false">ROUND(H394*I394,2)</f>
        <v>0.57</v>
      </c>
      <c r="K394" s="30"/>
      <c r="L394" s="33" t="n">
        <v>30</v>
      </c>
      <c r="M394" s="34" t="n">
        <v>0.00629</v>
      </c>
      <c r="N394" s="33" t="n">
        <f aca="false">ROUND(L394*M394,2)</f>
        <v>0.19</v>
      </c>
    </row>
    <row r="395" customFormat="false" ht="15" hidden="false" customHeight="false" outlineLevel="0" collapsed="false">
      <c r="A395" s="8" t="s">
        <v>128</v>
      </c>
      <c r="B395" s="27" t="n">
        <v>23.13</v>
      </c>
      <c r="C395" s="28"/>
      <c r="D395" s="29" t="n">
        <v>1</v>
      </c>
      <c r="E395" s="29" t="n">
        <v>1</v>
      </c>
      <c r="F395" s="27" t="n">
        <f aca="false">ROUND(B395*E395,2)</f>
        <v>23.13</v>
      </c>
      <c r="G395" s="30"/>
      <c r="H395" s="31" t="n">
        <v>31.64</v>
      </c>
      <c r="I395" s="32" t="n">
        <v>1</v>
      </c>
      <c r="J395" s="31" t="n">
        <f aca="false">ROUND(H395*I395,2)</f>
        <v>31.64</v>
      </c>
      <c r="K395" s="30"/>
      <c r="L395" s="33" t="n">
        <v>26</v>
      </c>
      <c r="M395" s="34" t="n">
        <v>1</v>
      </c>
      <c r="N395" s="33" t="n">
        <f aca="false">ROUND(L395*M395,2)</f>
        <v>26</v>
      </c>
    </row>
    <row r="396" customFormat="false" ht="15" hidden="false" customHeight="false" outlineLevel="0" collapsed="false">
      <c r="A396" s="39" t="s">
        <v>159</v>
      </c>
      <c r="B396" s="57"/>
      <c r="C396" s="28"/>
      <c r="D396" s="29" t="n">
        <v>0.06</v>
      </c>
      <c r="E396" s="58" t="s">
        <v>160</v>
      </c>
      <c r="F396" s="28"/>
      <c r="G396" s="30"/>
      <c r="H396" s="59"/>
      <c r="I396" s="59"/>
      <c r="J396" s="59"/>
      <c r="K396" s="30"/>
      <c r="L396" s="60"/>
      <c r="M396" s="60"/>
      <c r="N396" s="60"/>
    </row>
    <row r="397" customFormat="false" ht="15" hidden="false" customHeight="false" outlineLevel="0" collapsed="false">
      <c r="A397" s="47" t="s">
        <v>129</v>
      </c>
      <c r="B397" s="48"/>
      <c r="C397" s="48"/>
      <c r="D397" s="48"/>
      <c r="E397" s="48"/>
      <c r="F397" s="49" t="n">
        <f aca="false">ROUND((SUM(F384:F396)-F395)*1.21+F395,2)</f>
        <v>563.71</v>
      </c>
      <c r="G397" s="48"/>
      <c r="H397" s="48"/>
      <c r="I397" s="48"/>
      <c r="J397" s="50" t="n">
        <f aca="false">ROUND((SUM(J384:J396)-J395)*1.21+J395,2)</f>
        <v>778.9</v>
      </c>
      <c r="K397" s="48"/>
      <c r="L397" s="48"/>
      <c r="M397" s="48"/>
      <c r="N397" s="51" t="n">
        <f aca="false">ROUND((SUM(N384:N396)-N395)*1.21+N395,2)</f>
        <v>664.54</v>
      </c>
    </row>
    <row r="398" customFormat="false" ht="15" hidden="false" customHeight="false" outlineLevel="0" collapsed="false">
      <c r="A398" s="52" t="s">
        <v>130</v>
      </c>
      <c r="B398" s="53" t="n">
        <f aca="false">(SUM(F384:F392)-316.2685)/SUM(F384:F392)</f>
        <v>0.262037706792356</v>
      </c>
      <c r="C398" s="53"/>
      <c r="D398" s="53"/>
      <c r="E398" s="53"/>
      <c r="F398" s="53"/>
      <c r="G398" s="54"/>
      <c r="H398" s="54"/>
      <c r="I398" s="54"/>
      <c r="J398" s="54"/>
      <c r="K398" s="54"/>
      <c r="L398" s="55" t="str">
        <f aca="false">IF(B398&gt;=0.3,"APROBAR",IF(B398&gt;=0.2,"REVISAR","RECHAZAR"))</f>
        <v>REVISAR</v>
      </c>
      <c r="M398" s="55"/>
      <c r="N398" s="55"/>
    </row>
    <row r="400" customFormat="false" ht="15" hidden="false" customHeight="true" outlineLevel="0" collapsed="false">
      <c r="A400" s="14" t="s">
        <v>312</v>
      </c>
      <c r="B400" s="14"/>
      <c r="C400" s="14"/>
      <c r="D400" s="14"/>
      <c r="E400" s="14"/>
      <c r="F400" s="14"/>
      <c r="G400" s="14"/>
      <c r="H400" s="14"/>
      <c r="I400" s="15" t="s">
        <v>313</v>
      </c>
      <c r="J400" s="15"/>
      <c r="K400" s="15"/>
      <c r="L400" s="15"/>
      <c r="M400" s="15"/>
      <c r="N400" s="15"/>
      <c r="R400" s="16" t="s">
        <v>97</v>
      </c>
      <c r="S400" s="16"/>
      <c r="T400" s="16"/>
      <c r="U400" s="16"/>
      <c r="V400" s="16"/>
    </row>
    <row r="401" customFormat="false" ht="15" hidden="false" customHeight="true" outlineLevel="0" collapsed="false">
      <c r="A401" s="17" t="s">
        <v>98</v>
      </c>
      <c r="B401" s="18" t="s">
        <v>99</v>
      </c>
      <c r="C401" s="18"/>
      <c r="D401" s="18"/>
      <c r="E401" s="18"/>
      <c r="F401" s="18"/>
      <c r="G401" s="19"/>
      <c r="H401" s="20" t="s">
        <v>314</v>
      </c>
      <c r="I401" s="20"/>
      <c r="J401" s="20"/>
      <c r="K401" s="19"/>
      <c r="L401" s="21" t="s">
        <v>143</v>
      </c>
      <c r="M401" s="21"/>
      <c r="N401" s="21"/>
      <c r="R401" s="22" t="s">
        <v>315</v>
      </c>
      <c r="S401" s="22"/>
      <c r="T401" s="22"/>
      <c r="U401" s="22"/>
      <c r="V401" s="22"/>
    </row>
    <row r="402" customFormat="false" ht="15" hidden="false" customHeight="true" outlineLevel="0" collapsed="false">
      <c r="A402" s="19"/>
      <c r="B402" s="23" t="s">
        <v>103</v>
      </c>
      <c r="C402" s="23" t="s">
        <v>104</v>
      </c>
      <c r="D402" s="23" t="s">
        <v>105</v>
      </c>
      <c r="E402" s="23" t="s">
        <v>106</v>
      </c>
      <c r="F402" s="23" t="s">
        <v>107</v>
      </c>
      <c r="G402" s="19"/>
      <c r="H402" s="24" t="s">
        <v>103</v>
      </c>
      <c r="I402" s="24" t="s">
        <v>106</v>
      </c>
      <c r="J402" s="24" t="s">
        <v>107</v>
      </c>
      <c r="K402" s="19"/>
      <c r="L402" s="25" t="s">
        <v>103</v>
      </c>
      <c r="M402" s="25" t="s">
        <v>106</v>
      </c>
      <c r="N402" s="25" t="s">
        <v>107</v>
      </c>
      <c r="R402" s="26" t="s">
        <v>316</v>
      </c>
      <c r="S402" s="26"/>
      <c r="T402" s="26"/>
      <c r="U402" s="26"/>
      <c r="V402" s="26"/>
    </row>
    <row r="403" customFormat="false" ht="15" hidden="false" customHeight="true" outlineLevel="0" collapsed="false">
      <c r="A403" s="8" t="s">
        <v>109</v>
      </c>
      <c r="B403" s="27" t="n">
        <v>45.4</v>
      </c>
      <c r="C403" s="28" t="n">
        <v>30</v>
      </c>
      <c r="D403" s="29" t="n">
        <v>1.73784</v>
      </c>
      <c r="E403" s="29" t="n">
        <v>2.5542</v>
      </c>
      <c r="F403" s="27" t="n">
        <f aca="false">ROUND(B403*E403,2)</f>
        <v>115.96</v>
      </c>
      <c r="G403" s="30"/>
      <c r="H403" s="31" t="n">
        <v>45.4</v>
      </c>
      <c r="I403" s="32" t="n">
        <v>2.5542</v>
      </c>
      <c r="J403" s="31" t="n">
        <f aca="false">ROUND(H403*I403,2)</f>
        <v>115.96</v>
      </c>
      <c r="K403" s="30"/>
      <c r="L403" s="33"/>
      <c r="M403" s="34"/>
      <c r="N403" s="33"/>
      <c r="R403" s="35" t="s">
        <v>317</v>
      </c>
      <c r="S403" s="35"/>
      <c r="T403" s="35"/>
      <c r="U403" s="35"/>
      <c r="V403" s="35"/>
    </row>
    <row r="404" customFormat="false" ht="15" hidden="false" customHeight="true" outlineLevel="0" collapsed="false">
      <c r="A404" s="8" t="s">
        <v>111</v>
      </c>
      <c r="B404" s="27" t="n">
        <v>46.68</v>
      </c>
      <c r="C404" s="28" t="n">
        <v>30</v>
      </c>
      <c r="D404" s="29" t="n">
        <v>0.9357</v>
      </c>
      <c r="E404" s="29" t="n">
        <v>1.37733</v>
      </c>
      <c r="F404" s="27" t="n">
        <f aca="false">ROUND(B404*E404,2)</f>
        <v>64.29</v>
      </c>
      <c r="G404" s="30"/>
      <c r="H404" s="31" t="n">
        <v>46.68</v>
      </c>
      <c r="I404" s="32" t="n">
        <v>1.37733</v>
      </c>
      <c r="J404" s="31" t="n">
        <f aca="false">ROUND(H404*I404,2)</f>
        <v>64.29</v>
      </c>
      <c r="K404" s="30"/>
      <c r="L404" s="33"/>
      <c r="M404" s="34"/>
      <c r="N404" s="33"/>
      <c r="R404" s="36" t="s">
        <v>318</v>
      </c>
      <c r="S404" s="36"/>
      <c r="T404" s="36"/>
      <c r="U404" s="36"/>
      <c r="V404" s="36"/>
    </row>
    <row r="405" customFormat="false" ht="15" hidden="false" customHeight="true" outlineLevel="0" collapsed="false">
      <c r="A405" s="8" t="s">
        <v>113</v>
      </c>
      <c r="B405" s="27" t="n">
        <v>46.6</v>
      </c>
      <c r="C405" s="28" t="n">
        <v>30</v>
      </c>
      <c r="D405" s="29" t="n">
        <v>0.43137</v>
      </c>
      <c r="E405" s="29" t="n">
        <v>0.62868</v>
      </c>
      <c r="F405" s="27" t="n">
        <f aca="false">ROUND(B405*E405,2)</f>
        <v>29.3</v>
      </c>
      <c r="G405" s="30"/>
      <c r="H405" s="31" t="n">
        <v>46.6</v>
      </c>
      <c r="I405" s="32" t="n">
        <v>0.62868</v>
      </c>
      <c r="J405" s="31" t="n">
        <f aca="false">ROUND(H405*I405,2)</f>
        <v>29.3</v>
      </c>
      <c r="K405" s="30"/>
      <c r="L405" s="33"/>
      <c r="M405" s="34"/>
      <c r="N405" s="33"/>
      <c r="R405" s="36" t="s">
        <v>319</v>
      </c>
      <c r="S405" s="36"/>
      <c r="T405" s="36"/>
      <c r="U405" s="36"/>
      <c r="V405" s="36"/>
    </row>
    <row r="406" customFormat="false" ht="15" hidden="false" customHeight="true" outlineLevel="0" collapsed="false">
      <c r="A406" s="8" t="s">
        <v>115</v>
      </c>
      <c r="B406" s="27" t="n">
        <v>46.6</v>
      </c>
      <c r="C406" s="28" t="n">
        <v>30</v>
      </c>
      <c r="D406" s="29" t="n">
        <v>0.38244</v>
      </c>
      <c r="E406" s="29" t="n">
        <v>0.5561</v>
      </c>
      <c r="F406" s="27" t="n">
        <f aca="false">ROUND(B406*E406,2)</f>
        <v>25.91</v>
      </c>
      <c r="G406" s="30"/>
      <c r="H406" s="31" t="n">
        <v>46.6</v>
      </c>
      <c r="I406" s="32" t="n">
        <v>0.5561</v>
      </c>
      <c r="J406" s="31" t="n">
        <f aca="false">ROUND(H406*I406,2)</f>
        <v>25.91</v>
      </c>
      <c r="K406" s="30"/>
      <c r="L406" s="33"/>
      <c r="M406" s="34"/>
      <c r="N406" s="33"/>
      <c r="R406" s="37" t="s">
        <v>320</v>
      </c>
      <c r="S406" s="37"/>
      <c r="T406" s="37"/>
      <c r="U406" s="37"/>
      <c r="V406" s="37"/>
    </row>
    <row r="407" customFormat="false" ht="15" hidden="false" customHeight="true" outlineLevel="0" collapsed="false">
      <c r="A407" s="8" t="s">
        <v>117</v>
      </c>
      <c r="B407" s="27" t="n">
        <v>46.6</v>
      </c>
      <c r="C407" s="28" t="n">
        <v>30</v>
      </c>
      <c r="D407" s="29" t="n">
        <v>0.26964</v>
      </c>
      <c r="E407" s="29" t="n">
        <v>0.3868</v>
      </c>
      <c r="F407" s="27" t="n">
        <f aca="false">ROUND(B407*E407,2)</f>
        <v>18.02</v>
      </c>
      <c r="G407" s="30"/>
      <c r="H407" s="31" t="n">
        <v>46.6</v>
      </c>
      <c r="I407" s="32" t="n">
        <v>0.3868</v>
      </c>
      <c r="J407" s="31" t="n">
        <f aca="false">ROUND(H407*I407,2)</f>
        <v>18.02</v>
      </c>
      <c r="K407" s="30"/>
      <c r="L407" s="33"/>
      <c r="M407" s="34"/>
      <c r="N407" s="33"/>
      <c r="R407" s="38" t="s">
        <v>118</v>
      </c>
      <c r="S407" s="38"/>
      <c r="T407" s="38"/>
      <c r="U407" s="38"/>
      <c r="V407" s="38"/>
    </row>
    <row r="408" customFormat="false" ht="15" hidden="false" customHeight="false" outlineLevel="0" collapsed="false">
      <c r="A408" s="8" t="s">
        <v>119</v>
      </c>
      <c r="B408" s="27" t="n">
        <v>46.6</v>
      </c>
      <c r="C408" s="28" t="n">
        <v>30</v>
      </c>
      <c r="D408" s="29" t="n">
        <v>0.18156</v>
      </c>
      <c r="E408" s="29" t="n">
        <v>0.2653</v>
      </c>
      <c r="F408" s="27" t="n">
        <f aca="false">ROUND(B408*E408,2)</f>
        <v>12.36</v>
      </c>
      <c r="G408" s="30"/>
      <c r="H408" s="31" t="n">
        <v>46.6</v>
      </c>
      <c r="I408" s="32" t="n">
        <v>0.2653</v>
      </c>
      <c r="J408" s="31" t="n">
        <f aca="false">ROUND(H408*I408,2)</f>
        <v>12.36</v>
      </c>
      <c r="K408" s="30"/>
      <c r="L408" s="33"/>
      <c r="M408" s="34"/>
      <c r="N408" s="33"/>
    </row>
    <row r="409" customFormat="false" ht="15" hidden="false" customHeight="false" outlineLevel="0" collapsed="false">
      <c r="A409" s="39" t="s">
        <v>120</v>
      </c>
      <c r="B409" s="40" t="n">
        <f aca="false">IF($P$409="",3561.5,ROUND(3561.5*((1593.3795/(1-$P$409))-265.84)/1678.01,2))</f>
        <v>3561.5</v>
      </c>
      <c r="C409" s="28"/>
      <c r="D409" s="41" t="n">
        <v>0.121236</v>
      </c>
      <c r="E409" s="29" t="n">
        <v>0.139</v>
      </c>
      <c r="F409" s="27" t="n">
        <f aca="false">ROUND(B409*E409,2)</f>
        <v>495.05</v>
      </c>
      <c r="G409" s="30"/>
      <c r="H409" s="42" t="n">
        <v>911.017</v>
      </c>
      <c r="I409" s="32" t="n">
        <v>0.139</v>
      </c>
      <c r="J409" s="31" t="n">
        <f aca="false">ROUND(H409*I409,2)</f>
        <v>126.63</v>
      </c>
      <c r="K409" s="30"/>
      <c r="L409" s="43"/>
      <c r="M409" s="34"/>
      <c r="N409" s="33"/>
      <c r="O409" s="44" t="s">
        <v>121</v>
      </c>
      <c r="P409" s="45"/>
    </row>
    <row r="410" customFormat="false" ht="15" hidden="false" customHeight="false" outlineLevel="0" collapsed="false">
      <c r="A410" s="39" t="s">
        <v>122</v>
      </c>
      <c r="B410" s="40" t="n">
        <f aca="false">IF($P$409="",3410.65,ROUND(3410.65*((1593.3795/(1-$P$409))-265.84)/1678.01,2))</f>
        <v>3410.65</v>
      </c>
      <c r="C410" s="28"/>
      <c r="D410" s="41" t="n">
        <v>0.114444</v>
      </c>
      <c r="E410" s="29" t="n">
        <v>0.138</v>
      </c>
      <c r="F410" s="27" t="n">
        <f aca="false">ROUND(B410*E410,2)</f>
        <v>470.67</v>
      </c>
      <c r="G410" s="30"/>
      <c r="H410" s="42" t="n">
        <v>763.662</v>
      </c>
      <c r="I410" s="32" t="n">
        <v>0.138</v>
      </c>
      <c r="J410" s="31" t="n">
        <f aca="false">ROUND(H410*I410,2)</f>
        <v>105.39</v>
      </c>
      <c r="K410" s="30"/>
      <c r="L410" s="43"/>
      <c r="M410" s="34"/>
      <c r="N410" s="33"/>
      <c r="O410" s="46" t="s">
        <v>123</v>
      </c>
    </row>
    <row r="411" customFormat="false" ht="15" hidden="false" customHeight="false" outlineLevel="0" collapsed="false">
      <c r="A411" s="39" t="s">
        <v>124</v>
      </c>
      <c r="B411" s="40" t="n">
        <f aca="false">IF($P$409="",5521.61,ROUND(5521.61*((1593.3795/(1-$P$409))-265.84)/1678.01,2))</f>
        <v>5521.61</v>
      </c>
      <c r="C411" s="28"/>
      <c r="D411" s="41" t="n">
        <v>0.106808</v>
      </c>
      <c r="E411" s="29" t="n">
        <v>0.129</v>
      </c>
      <c r="F411" s="27" t="n">
        <f aca="false">ROUND(B411*E411,2)</f>
        <v>712.29</v>
      </c>
      <c r="G411" s="30"/>
      <c r="H411" s="42" t="n">
        <v>1210.72</v>
      </c>
      <c r="I411" s="32" t="n">
        <v>0.129</v>
      </c>
      <c r="J411" s="31" t="n">
        <f aca="false">ROUND(H411*I411,2)</f>
        <v>156.18</v>
      </c>
      <c r="K411" s="30"/>
      <c r="L411" s="43"/>
      <c r="M411" s="34"/>
      <c r="N411" s="33"/>
      <c r="O411" s="46" t="s">
        <v>125</v>
      </c>
    </row>
    <row r="412" customFormat="false" ht="15" hidden="false" customHeight="false" outlineLevel="0" collapsed="false">
      <c r="A412" s="8" t="s">
        <v>126</v>
      </c>
      <c r="B412" s="27" t="n">
        <v>1</v>
      </c>
      <c r="C412" s="28"/>
      <c r="D412" s="29" t="n">
        <v>17.615</v>
      </c>
      <c r="E412" s="29" t="n">
        <v>17.615</v>
      </c>
      <c r="F412" s="27" t="n">
        <f aca="false">ROUND(B412*E412,2)</f>
        <v>17.62</v>
      </c>
      <c r="G412" s="30"/>
      <c r="H412" s="31" t="n">
        <v>1</v>
      </c>
      <c r="I412" s="32" t="n">
        <v>17.615</v>
      </c>
      <c r="J412" s="31" t="n">
        <f aca="false">ROUND(H412*I412,2)</f>
        <v>17.62</v>
      </c>
      <c r="K412" s="30"/>
      <c r="L412" s="33"/>
      <c r="M412" s="34"/>
      <c r="N412" s="33"/>
    </row>
    <row r="413" customFormat="false" ht="15" hidden="false" customHeight="false" outlineLevel="0" collapsed="false">
      <c r="A413" s="8" t="s">
        <v>127</v>
      </c>
      <c r="B413" s="27" t="n">
        <v>30</v>
      </c>
      <c r="C413" s="28"/>
      <c r="D413" s="29" t="n">
        <v>0.01912</v>
      </c>
      <c r="E413" s="29" t="n">
        <v>0.01912</v>
      </c>
      <c r="F413" s="27" t="n">
        <f aca="false">ROUND(B413*E413,2)</f>
        <v>0.57</v>
      </c>
      <c r="G413" s="30"/>
      <c r="H413" s="31" t="n">
        <v>30</v>
      </c>
      <c r="I413" s="32" t="n">
        <v>0.01912</v>
      </c>
      <c r="J413" s="31" t="n">
        <f aca="false">ROUND(H413*I413,2)</f>
        <v>0.57</v>
      </c>
      <c r="K413" s="30"/>
      <c r="L413" s="33"/>
      <c r="M413" s="34"/>
      <c r="N413" s="33"/>
    </row>
    <row r="414" customFormat="false" ht="15" hidden="false" customHeight="false" outlineLevel="0" collapsed="false">
      <c r="A414" s="8" t="s">
        <v>128</v>
      </c>
      <c r="B414" s="27" t="n">
        <v>102.11</v>
      </c>
      <c r="C414" s="28"/>
      <c r="D414" s="29" t="n">
        <v>1</v>
      </c>
      <c r="E414" s="29" t="n">
        <v>1</v>
      </c>
      <c r="F414" s="27" t="n">
        <f aca="false">ROUND(B414*E414,2)</f>
        <v>102.11</v>
      </c>
      <c r="G414" s="30"/>
      <c r="H414" s="31" t="n">
        <v>36.24</v>
      </c>
      <c r="I414" s="32" t="n">
        <v>1</v>
      </c>
      <c r="J414" s="31" t="n">
        <f aca="false">ROUND(H414*I414,2)</f>
        <v>36.24</v>
      </c>
      <c r="K414" s="30"/>
      <c r="L414" s="33"/>
      <c r="M414" s="34"/>
      <c r="N414" s="33"/>
    </row>
    <row r="415" customFormat="false" ht="15" hidden="false" customHeight="false" outlineLevel="0" collapsed="false">
      <c r="A415" s="47" t="s">
        <v>129</v>
      </c>
      <c r="B415" s="48"/>
      <c r="C415" s="48"/>
      <c r="D415" s="48"/>
      <c r="E415" s="48"/>
      <c r="F415" s="49" t="n">
        <f aca="false">ROUND((SUM(F403:F414)-F414)*1.21+F414,2)</f>
        <v>2476.18</v>
      </c>
      <c r="G415" s="48"/>
      <c r="H415" s="48"/>
      <c r="I415" s="48"/>
      <c r="J415" s="50" t="n">
        <f aca="false">ROUND((SUM(J403:J414)-J414)*1.21+J414,2)</f>
        <v>849.64</v>
      </c>
      <c r="K415" s="48"/>
      <c r="L415" s="48"/>
      <c r="M415" s="48"/>
      <c r="N415" s="48"/>
    </row>
    <row r="416" customFormat="false" ht="15" hidden="false" customHeight="false" outlineLevel="0" collapsed="false">
      <c r="A416" s="52" t="s">
        <v>130</v>
      </c>
      <c r="B416" s="53" t="n">
        <f aca="false">(SUM(F403:F411)-1593.3795)/SUM(F403:F411)</f>
        <v>0.180297090824909</v>
      </c>
      <c r="C416" s="53"/>
      <c r="D416" s="53"/>
      <c r="E416" s="53"/>
      <c r="F416" s="53"/>
      <c r="G416" s="54"/>
      <c r="H416" s="54"/>
      <c r="I416" s="54"/>
      <c r="J416" s="54"/>
      <c r="K416" s="54"/>
      <c r="L416" s="55" t="str">
        <f aca="false">IF(B416&gt;=0.3,"APROBAR",IF(B416&gt;=0.2,"REVISAR","RECHAZAR"))</f>
        <v>RECHAZAR</v>
      </c>
      <c r="M416" s="55"/>
      <c r="N416" s="55"/>
    </row>
    <row r="418" customFormat="false" ht="15" hidden="false" customHeight="true" outlineLevel="0" collapsed="false">
      <c r="A418" s="14" t="s">
        <v>321</v>
      </c>
      <c r="B418" s="14"/>
      <c r="C418" s="14"/>
      <c r="D418" s="14"/>
      <c r="E418" s="14"/>
      <c r="F418" s="14"/>
      <c r="G418" s="14"/>
      <c r="H418" s="14"/>
      <c r="I418" s="15" t="s">
        <v>322</v>
      </c>
      <c r="J418" s="15"/>
      <c r="K418" s="15"/>
      <c r="L418" s="15"/>
      <c r="M418" s="15"/>
      <c r="N418" s="15"/>
      <c r="R418" s="16" t="s">
        <v>97</v>
      </c>
      <c r="S418" s="16"/>
      <c r="T418" s="16"/>
      <c r="U418" s="16"/>
      <c r="V418" s="16"/>
    </row>
    <row r="419" customFormat="false" ht="15" hidden="false" customHeight="true" outlineLevel="0" collapsed="false">
      <c r="A419" s="17" t="s">
        <v>98</v>
      </c>
      <c r="B419" s="18" t="s">
        <v>99</v>
      </c>
      <c r="C419" s="18"/>
      <c r="D419" s="18"/>
      <c r="E419" s="18"/>
      <c r="F419" s="18"/>
      <c r="G419" s="19"/>
      <c r="H419" s="20" t="s">
        <v>323</v>
      </c>
      <c r="I419" s="20"/>
      <c r="J419" s="20"/>
      <c r="K419" s="19"/>
      <c r="L419" s="21" t="s">
        <v>324</v>
      </c>
      <c r="M419" s="21"/>
      <c r="N419" s="21"/>
      <c r="R419" s="22" t="s">
        <v>325</v>
      </c>
      <c r="S419" s="22"/>
      <c r="T419" s="22"/>
      <c r="U419" s="22"/>
      <c r="V419" s="22"/>
    </row>
    <row r="420" customFormat="false" ht="15" hidden="false" customHeight="true" outlineLevel="0" collapsed="false">
      <c r="A420" s="19"/>
      <c r="B420" s="23" t="s">
        <v>103</v>
      </c>
      <c r="C420" s="23" t="s">
        <v>104</v>
      </c>
      <c r="D420" s="23" t="s">
        <v>105</v>
      </c>
      <c r="E420" s="23" t="s">
        <v>106</v>
      </c>
      <c r="F420" s="23" t="s">
        <v>107</v>
      </c>
      <c r="G420" s="19"/>
      <c r="H420" s="24" t="s">
        <v>103</v>
      </c>
      <c r="I420" s="24" t="s">
        <v>106</v>
      </c>
      <c r="J420" s="24" t="s">
        <v>107</v>
      </c>
      <c r="K420" s="19"/>
      <c r="L420" s="25" t="s">
        <v>103</v>
      </c>
      <c r="M420" s="25" t="s">
        <v>106</v>
      </c>
      <c r="N420" s="25" t="s">
        <v>107</v>
      </c>
      <c r="R420" s="26" t="s">
        <v>326</v>
      </c>
      <c r="S420" s="26"/>
      <c r="T420" s="26"/>
      <c r="U420" s="26"/>
      <c r="V420" s="26"/>
    </row>
    <row r="421" customFormat="false" ht="15" hidden="false" customHeight="true" outlineLevel="0" collapsed="false">
      <c r="A421" s="8" t="s">
        <v>109</v>
      </c>
      <c r="B421" s="27" t="n">
        <v>29.7</v>
      </c>
      <c r="C421" s="28" t="n">
        <v>30</v>
      </c>
      <c r="D421" s="29" t="n">
        <v>1.73784</v>
      </c>
      <c r="E421" s="29" t="n">
        <v>2.5542</v>
      </c>
      <c r="F421" s="27" t="n">
        <f aca="false">ROUND(B421*E421,2)</f>
        <v>75.86</v>
      </c>
      <c r="G421" s="30"/>
      <c r="H421" s="31" t="n">
        <v>29.7</v>
      </c>
      <c r="I421" s="32" t="n">
        <v>2.5542</v>
      </c>
      <c r="J421" s="31" t="n">
        <f aca="false">ROUND(H421*I421,2)</f>
        <v>75.86</v>
      </c>
      <c r="K421" s="30"/>
      <c r="L421" s="33" t="n">
        <v>29.7</v>
      </c>
      <c r="M421" s="34" t="n">
        <v>2.5542</v>
      </c>
      <c r="N421" s="33" t="n">
        <f aca="false">ROUND(L421*M421,2)</f>
        <v>75.86</v>
      </c>
      <c r="R421" s="35" t="s">
        <v>327</v>
      </c>
      <c r="S421" s="35"/>
      <c r="T421" s="35"/>
      <c r="U421" s="35"/>
      <c r="V421" s="35"/>
    </row>
    <row r="422" customFormat="false" ht="15" hidden="false" customHeight="true" outlineLevel="0" collapsed="false">
      <c r="A422" s="8" t="s">
        <v>111</v>
      </c>
      <c r="B422" s="27" t="n">
        <v>29.7</v>
      </c>
      <c r="C422" s="28" t="n">
        <v>30</v>
      </c>
      <c r="D422" s="29" t="n">
        <v>0.93572</v>
      </c>
      <c r="E422" s="29" t="n">
        <v>1.37733</v>
      </c>
      <c r="F422" s="27" t="n">
        <f aca="false">ROUND(B422*E422,2)</f>
        <v>40.91</v>
      </c>
      <c r="G422" s="30"/>
      <c r="H422" s="31" t="n">
        <v>29.7</v>
      </c>
      <c r="I422" s="32" t="n">
        <v>1.37733</v>
      </c>
      <c r="J422" s="31" t="n">
        <f aca="false">ROUND(H422*I422,2)</f>
        <v>40.91</v>
      </c>
      <c r="K422" s="30"/>
      <c r="L422" s="33" t="n">
        <v>29.7</v>
      </c>
      <c r="M422" s="34" t="n">
        <v>1.37733</v>
      </c>
      <c r="N422" s="33" t="n">
        <f aca="false">ROUND(L422*M422,2)</f>
        <v>40.91</v>
      </c>
      <c r="R422" s="36" t="s">
        <v>328</v>
      </c>
      <c r="S422" s="36"/>
      <c r="T422" s="36"/>
      <c r="U422" s="36"/>
      <c r="V422" s="36"/>
    </row>
    <row r="423" customFormat="false" ht="15" hidden="false" customHeight="true" outlineLevel="0" collapsed="false">
      <c r="A423" s="8" t="s">
        <v>113</v>
      </c>
      <c r="B423" s="27" t="n">
        <v>29.7</v>
      </c>
      <c r="C423" s="28" t="n">
        <v>30</v>
      </c>
      <c r="D423" s="29" t="n">
        <v>0.43142</v>
      </c>
      <c r="E423" s="29" t="n">
        <v>0.62868</v>
      </c>
      <c r="F423" s="27" t="n">
        <f aca="false">ROUND(B423*E423,2)</f>
        <v>18.67</v>
      </c>
      <c r="G423" s="30"/>
      <c r="H423" s="31" t="n">
        <v>29.7</v>
      </c>
      <c r="I423" s="32" t="n">
        <v>0.62868</v>
      </c>
      <c r="J423" s="31" t="n">
        <f aca="false">ROUND(H423*I423,2)</f>
        <v>18.67</v>
      </c>
      <c r="K423" s="30"/>
      <c r="L423" s="33" t="n">
        <v>29.7</v>
      </c>
      <c r="M423" s="34" t="n">
        <v>0.62868</v>
      </c>
      <c r="N423" s="33" t="n">
        <f aca="false">ROUND(L423*M423,2)</f>
        <v>18.67</v>
      </c>
      <c r="R423" s="36" t="s">
        <v>329</v>
      </c>
      <c r="S423" s="36"/>
      <c r="T423" s="36"/>
      <c r="U423" s="36"/>
      <c r="V423" s="36"/>
    </row>
    <row r="424" customFormat="false" ht="15" hidden="false" customHeight="true" outlineLevel="0" collapsed="false">
      <c r="A424" s="8" t="s">
        <v>115</v>
      </c>
      <c r="B424" s="27" t="n">
        <v>29.7</v>
      </c>
      <c r="C424" s="28" t="n">
        <v>30</v>
      </c>
      <c r="D424" s="29" t="n">
        <v>0.38244</v>
      </c>
      <c r="E424" s="29" t="n">
        <v>0.5561</v>
      </c>
      <c r="F424" s="27" t="n">
        <f aca="false">ROUND(B424*E424,2)</f>
        <v>16.52</v>
      </c>
      <c r="G424" s="30"/>
      <c r="H424" s="31" t="n">
        <v>29.7</v>
      </c>
      <c r="I424" s="32" t="n">
        <v>0.5561</v>
      </c>
      <c r="J424" s="31" t="n">
        <f aca="false">ROUND(H424*I424,2)</f>
        <v>16.52</v>
      </c>
      <c r="K424" s="30"/>
      <c r="L424" s="33" t="n">
        <v>29.7</v>
      </c>
      <c r="M424" s="34" t="n">
        <v>0.5561</v>
      </c>
      <c r="N424" s="33" t="n">
        <f aca="false">ROUND(L424*M424,2)</f>
        <v>16.52</v>
      </c>
      <c r="R424" s="56" t="s">
        <v>149</v>
      </c>
      <c r="S424" s="56"/>
      <c r="T424" s="56"/>
      <c r="U424" s="56"/>
      <c r="V424" s="56"/>
    </row>
    <row r="425" customFormat="false" ht="15" hidden="false" customHeight="true" outlineLevel="0" collapsed="false">
      <c r="A425" s="8" t="s">
        <v>117</v>
      </c>
      <c r="B425" s="27" t="n">
        <v>29.7</v>
      </c>
      <c r="C425" s="28" t="n">
        <v>30</v>
      </c>
      <c r="D425" s="29" t="n">
        <v>0.26964</v>
      </c>
      <c r="E425" s="29" t="n">
        <v>0.3868</v>
      </c>
      <c r="F425" s="27" t="n">
        <f aca="false">ROUND(B425*E425,2)</f>
        <v>11.49</v>
      </c>
      <c r="G425" s="30"/>
      <c r="H425" s="31" t="n">
        <v>29.7</v>
      </c>
      <c r="I425" s="32" t="n">
        <v>0.3868</v>
      </c>
      <c r="J425" s="31" t="n">
        <f aca="false">ROUND(H425*I425,2)</f>
        <v>11.49</v>
      </c>
      <c r="K425" s="30"/>
      <c r="L425" s="33" t="n">
        <v>29.7</v>
      </c>
      <c r="M425" s="34" t="n">
        <v>0.3868</v>
      </c>
      <c r="N425" s="33" t="n">
        <f aca="false">ROUND(L425*M425,2)</f>
        <v>11.49</v>
      </c>
      <c r="R425" s="38" t="s">
        <v>118</v>
      </c>
      <c r="S425" s="38"/>
      <c r="T425" s="38"/>
      <c r="U425" s="38"/>
      <c r="V425" s="38"/>
    </row>
    <row r="426" customFormat="false" ht="15" hidden="false" customHeight="false" outlineLevel="0" collapsed="false">
      <c r="A426" s="8" t="s">
        <v>119</v>
      </c>
      <c r="B426" s="27" t="n">
        <v>29.7</v>
      </c>
      <c r="C426" s="28" t="n">
        <v>30</v>
      </c>
      <c r="D426" s="29" t="n">
        <v>0.18156</v>
      </c>
      <c r="E426" s="29" t="n">
        <v>0.2653</v>
      </c>
      <c r="F426" s="27" t="n">
        <f aca="false">ROUND(B426*E426,2)</f>
        <v>7.88</v>
      </c>
      <c r="G426" s="30"/>
      <c r="H426" s="31" t="n">
        <v>29.7</v>
      </c>
      <c r="I426" s="32" t="n">
        <v>0.2653</v>
      </c>
      <c r="J426" s="31" t="n">
        <f aca="false">ROUND(H426*I426,2)</f>
        <v>7.88</v>
      </c>
      <c r="K426" s="30"/>
      <c r="L426" s="33" t="n">
        <v>29.7</v>
      </c>
      <c r="M426" s="34" t="n">
        <v>0.2653</v>
      </c>
      <c r="N426" s="33" t="n">
        <f aca="false">ROUND(L426*M426,2)</f>
        <v>7.88</v>
      </c>
    </row>
    <row r="427" customFormat="false" ht="15" hidden="false" customHeight="false" outlineLevel="0" collapsed="false">
      <c r="A427" s="39" t="s">
        <v>120</v>
      </c>
      <c r="B427" s="40" t="n">
        <f aca="false">IF($P$427="",1256.57,ROUND(1256.57*((705.3956/(1-$P$427))-171.33)/726.62,2))</f>
        <v>1256.57</v>
      </c>
      <c r="C427" s="28"/>
      <c r="D427" s="41" t="n">
        <v>0.106808</v>
      </c>
      <c r="E427" s="29" t="n">
        <v>0.135</v>
      </c>
      <c r="F427" s="27" t="n">
        <f aca="false">ROUND(B427*E427,2)</f>
        <v>169.64</v>
      </c>
      <c r="G427" s="30"/>
      <c r="H427" s="42" t="n">
        <v>1280.77</v>
      </c>
      <c r="I427" s="32" t="n">
        <v>0.16</v>
      </c>
      <c r="J427" s="31" t="n">
        <f aca="false">ROUND(H427*I427,2)</f>
        <v>204.92</v>
      </c>
      <c r="K427" s="30"/>
      <c r="L427" s="43" t="n">
        <v>1556.652</v>
      </c>
      <c r="M427" s="34" t="n">
        <v>0.17</v>
      </c>
      <c r="N427" s="33" t="n">
        <f aca="false">ROUND(L427*M427,2)</f>
        <v>264.63</v>
      </c>
      <c r="O427" s="44" t="s">
        <v>121</v>
      </c>
      <c r="P427" s="45"/>
    </row>
    <row r="428" customFormat="false" ht="15" hidden="false" customHeight="false" outlineLevel="0" collapsed="false">
      <c r="A428" s="39" t="s">
        <v>122</v>
      </c>
      <c r="B428" s="40" t="n">
        <f aca="false">IF($P$427="",1401.3,ROUND(1401.3*((705.3956/(1-$P$427))-171.33)/726.62,2))</f>
        <v>1401.3</v>
      </c>
      <c r="C428" s="28"/>
      <c r="D428" s="41" t="n">
        <v>0.106808</v>
      </c>
      <c r="E428" s="29" t="n">
        <v>0.135</v>
      </c>
      <c r="F428" s="27" t="n">
        <f aca="false">ROUND(B428*E428,2)</f>
        <v>189.18</v>
      </c>
      <c r="G428" s="30"/>
      <c r="H428" s="42" t="n">
        <v>1101.34</v>
      </c>
      <c r="I428" s="32" t="n">
        <v>0.15</v>
      </c>
      <c r="J428" s="31" t="n">
        <f aca="false">ROUND(H428*I428,2)</f>
        <v>165.2</v>
      </c>
      <c r="K428" s="30"/>
      <c r="L428" s="43" t="n">
        <v>1297.021</v>
      </c>
      <c r="M428" s="34" t="n">
        <v>0.16</v>
      </c>
      <c r="N428" s="33" t="n">
        <f aca="false">ROUND(L428*M428,2)</f>
        <v>207.52</v>
      </c>
      <c r="O428" s="46" t="s">
        <v>123</v>
      </c>
    </row>
    <row r="429" customFormat="false" ht="15" hidden="false" customHeight="false" outlineLevel="0" collapsed="false">
      <c r="A429" s="39" t="s">
        <v>124</v>
      </c>
      <c r="B429" s="40" t="n">
        <f aca="false">IF($P$427="",2851.2,ROUND(2851.2*((705.3956/(1-$P$427))-171.33)/726.62,2))</f>
        <v>2851.2</v>
      </c>
      <c r="C429" s="28"/>
      <c r="D429" s="41" t="n">
        <v>0.106808</v>
      </c>
      <c r="E429" s="29" t="n">
        <v>0.129</v>
      </c>
      <c r="F429" s="27" t="n">
        <f aca="false">ROUND(B429*E429,2)</f>
        <v>367.8</v>
      </c>
      <c r="G429" s="30"/>
      <c r="H429" s="42" t="n">
        <v>1558.3</v>
      </c>
      <c r="I429" s="32" t="n">
        <v>0.139</v>
      </c>
      <c r="J429" s="31" t="n">
        <f aca="false">ROUND(H429*I429,2)</f>
        <v>216.6</v>
      </c>
      <c r="K429" s="30"/>
      <c r="L429" s="43" t="n">
        <v>1708.53</v>
      </c>
      <c r="M429" s="34" t="n">
        <v>0.135</v>
      </c>
      <c r="N429" s="33" t="n">
        <f aca="false">ROUND(L429*M429,2)</f>
        <v>230.65</v>
      </c>
      <c r="O429" s="46" t="s">
        <v>125</v>
      </c>
    </row>
    <row r="430" customFormat="false" ht="15" hidden="false" customHeight="false" outlineLevel="0" collapsed="false">
      <c r="A430" s="8" t="s">
        <v>126</v>
      </c>
      <c r="B430" s="27" t="n">
        <v>1</v>
      </c>
      <c r="C430" s="28"/>
      <c r="D430" s="29" t="n">
        <v>17.615</v>
      </c>
      <c r="E430" s="29" t="n">
        <v>17.615</v>
      </c>
      <c r="F430" s="27" t="n">
        <f aca="false">ROUND(B430*E430,2)</f>
        <v>17.62</v>
      </c>
      <c r="G430" s="30"/>
      <c r="H430" s="31" t="n">
        <v>1</v>
      </c>
      <c r="I430" s="32" t="n">
        <v>17.615</v>
      </c>
      <c r="J430" s="31" t="n">
        <f aca="false">ROUND(H430*I430,2)</f>
        <v>17.62</v>
      </c>
      <c r="K430" s="30"/>
      <c r="L430" s="33" t="n">
        <v>1</v>
      </c>
      <c r="M430" s="34" t="n">
        <v>17.615</v>
      </c>
      <c r="N430" s="33" t="n">
        <f aca="false">ROUND(L430*M430,2)</f>
        <v>17.62</v>
      </c>
    </row>
    <row r="431" customFormat="false" ht="15" hidden="false" customHeight="false" outlineLevel="0" collapsed="false">
      <c r="A431" s="8" t="s">
        <v>127</v>
      </c>
      <c r="B431" s="27" t="n">
        <v>30</v>
      </c>
      <c r="C431" s="28"/>
      <c r="D431" s="29" t="n">
        <v>0.01274</v>
      </c>
      <c r="E431" s="29" t="n">
        <v>0.01274</v>
      </c>
      <c r="F431" s="27" t="n">
        <f aca="false">ROUND(B431*E431,2)</f>
        <v>0.38</v>
      </c>
      <c r="G431" s="30"/>
      <c r="H431" s="31" t="n">
        <v>30</v>
      </c>
      <c r="I431" s="32" t="n">
        <v>0.01274</v>
      </c>
      <c r="J431" s="31" t="n">
        <f aca="false">ROUND(H431*I431,2)</f>
        <v>0.38</v>
      </c>
      <c r="K431" s="30"/>
      <c r="L431" s="33" t="n">
        <v>30</v>
      </c>
      <c r="M431" s="34" t="n">
        <v>0.01274</v>
      </c>
      <c r="N431" s="33" t="n">
        <f aca="false">ROUND(L431*M431,2)</f>
        <v>0.38</v>
      </c>
    </row>
    <row r="432" customFormat="false" ht="15" hidden="false" customHeight="false" outlineLevel="0" collapsed="false">
      <c r="A432" s="8" t="s">
        <v>128</v>
      </c>
      <c r="B432" s="27" t="n">
        <v>48.85</v>
      </c>
      <c r="C432" s="28"/>
      <c r="D432" s="29" t="n">
        <v>1</v>
      </c>
      <c r="E432" s="29" t="n">
        <v>1</v>
      </c>
      <c r="F432" s="27" t="n">
        <f aca="false">ROUND(B432*E432,2)</f>
        <v>48.85</v>
      </c>
      <c r="G432" s="30"/>
      <c r="H432" s="31" t="n">
        <v>40.1</v>
      </c>
      <c r="I432" s="32" t="n">
        <v>1</v>
      </c>
      <c r="J432" s="31" t="n">
        <f aca="false">ROUND(H432*I432,2)</f>
        <v>40.1</v>
      </c>
      <c r="K432" s="30"/>
      <c r="L432" s="33" t="n">
        <v>50.26</v>
      </c>
      <c r="M432" s="34" t="n">
        <v>1</v>
      </c>
      <c r="N432" s="33" t="n">
        <f aca="false">ROUND(L432*M432,2)</f>
        <v>50.26</v>
      </c>
    </row>
    <row r="433" customFormat="false" ht="15" hidden="false" customHeight="false" outlineLevel="0" collapsed="false">
      <c r="A433" s="47" t="s">
        <v>129</v>
      </c>
      <c r="B433" s="48"/>
      <c r="C433" s="48"/>
      <c r="D433" s="48"/>
      <c r="E433" s="48"/>
      <c r="F433" s="49" t="n">
        <f aca="false">ROUND((SUM(F421:F432)-F432)*1.21+F432,2)</f>
        <v>1157.15</v>
      </c>
      <c r="G433" s="48"/>
      <c r="H433" s="48"/>
      <c r="I433" s="48"/>
      <c r="J433" s="50" t="n">
        <f aca="false">ROUND((SUM(J421:J432)-J432)*1.21+J432,2)</f>
        <v>979.12</v>
      </c>
      <c r="K433" s="48"/>
      <c r="L433" s="48"/>
      <c r="M433" s="48"/>
      <c r="N433" s="51" t="n">
        <f aca="false">ROUND((SUM(N421:N432)-N432)*1.21+N432,2)</f>
        <v>1129.74</v>
      </c>
    </row>
    <row r="434" customFormat="false" ht="15" hidden="false" customHeight="false" outlineLevel="0" collapsed="false">
      <c r="A434" s="52" t="s">
        <v>130</v>
      </c>
      <c r="B434" s="53" t="n">
        <f aca="false">(SUM(F421:F429)-705.3956)/SUM(F421:F429)</f>
        <v>0.214437774931789</v>
      </c>
      <c r="C434" s="53"/>
      <c r="D434" s="53"/>
      <c r="E434" s="53"/>
      <c r="F434" s="53"/>
      <c r="G434" s="54"/>
      <c r="H434" s="54"/>
      <c r="I434" s="54"/>
      <c r="J434" s="54"/>
      <c r="K434" s="54"/>
      <c r="L434" s="55" t="str">
        <f aca="false">IF(B434&gt;=0.3,"APROBAR",IF(B434&gt;=0.2,"REVISAR","RECHAZAR"))</f>
        <v>REVISAR</v>
      </c>
      <c r="M434" s="55"/>
      <c r="N434" s="55"/>
    </row>
    <row r="436" customFormat="false" ht="15" hidden="false" customHeight="true" outlineLevel="0" collapsed="false">
      <c r="A436" s="14" t="s">
        <v>330</v>
      </c>
      <c r="B436" s="14"/>
      <c r="C436" s="14"/>
      <c r="D436" s="14"/>
      <c r="E436" s="14"/>
      <c r="F436" s="14"/>
      <c r="G436" s="14"/>
      <c r="H436" s="14"/>
      <c r="I436" s="15" t="s">
        <v>331</v>
      </c>
      <c r="J436" s="15"/>
      <c r="K436" s="15"/>
      <c r="L436" s="15"/>
      <c r="M436" s="15"/>
      <c r="N436" s="15"/>
      <c r="R436" s="16" t="s">
        <v>97</v>
      </c>
      <c r="S436" s="16"/>
      <c r="T436" s="16"/>
      <c r="U436" s="16"/>
      <c r="V436" s="16"/>
    </row>
    <row r="437" customFormat="false" ht="15" hidden="false" customHeight="true" outlineLevel="0" collapsed="false">
      <c r="A437" s="17" t="s">
        <v>98</v>
      </c>
      <c r="B437" s="18" t="s">
        <v>99</v>
      </c>
      <c r="C437" s="18"/>
      <c r="D437" s="18"/>
      <c r="E437" s="18"/>
      <c r="F437" s="18"/>
      <c r="G437" s="19"/>
      <c r="H437" s="20" t="s">
        <v>332</v>
      </c>
      <c r="I437" s="20"/>
      <c r="J437" s="20"/>
      <c r="K437" s="19"/>
      <c r="L437" s="21" t="s">
        <v>333</v>
      </c>
      <c r="M437" s="21"/>
      <c r="N437" s="21"/>
      <c r="R437" s="22" t="s">
        <v>334</v>
      </c>
      <c r="S437" s="22"/>
      <c r="T437" s="22"/>
      <c r="U437" s="22"/>
      <c r="V437" s="22"/>
    </row>
    <row r="438" customFormat="false" ht="15" hidden="false" customHeight="true" outlineLevel="0" collapsed="false">
      <c r="A438" s="19"/>
      <c r="B438" s="23" t="s">
        <v>103</v>
      </c>
      <c r="C438" s="23" t="s">
        <v>104</v>
      </c>
      <c r="D438" s="23" t="s">
        <v>105</v>
      </c>
      <c r="E438" s="23" t="s">
        <v>106</v>
      </c>
      <c r="F438" s="23" t="s">
        <v>107</v>
      </c>
      <c r="G438" s="19"/>
      <c r="H438" s="24" t="s">
        <v>103</v>
      </c>
      <c r="I438" s="24" t="s">
        <v>106</v>
      </c>
      <c r="J438" s="24" t="s">
        <v>107</v>
      </c>
      <c r="K438" s="19"/>
      <c r="L438" s="25" t="s">
        <v>103</v>
      </c>
      <c r="M438" s="25" t="s">
        <v>106</v>
      </c>
      <c r="N438" s="25" t="s">
        <v>107</v>
      </c>
      <c r="R438" s="26" t="s">
        <v>335</v>
      </c>
      <c r="S438" s="26"/>
      <c r="T438" s="26"/>
      <c r="U438" s="26"/>
      <c r="V438" s="26"/>
    </row>
    <row r="439" customFormat="false" ht="15" hidden="false" customHeight="true" outlineLevel="0" collapsed="false">
      <c r="A439" s="8" t="s">
        <v>109</v>
      </c>
      <c r="B439" s="27" t="n">
        <v>36</v>
      </c>
      <c r="C439" s="28" t="n">
        <v>30</v>
      </c>
      <c r="D439" s="29" t="n">
        <v>1.44549</v>
      </c>
      <c r="E439" s="29" t="n">
        <v>1.7</v>
      </c>
      <c r="F439" s="27" t="n">
        <f aca="false">ROUND(B439*E439,2)</f>
        <v>61.2</v>
      </c>
      <c r="G439" s="30"/>
      <c r="H439" s="31" t="n">
        <v>36</v>
      </c>
      <c r="I439" s="32" t="n">
        <v>1.7</v>
      </c>
      <c r="J439" s="31" t="n">
        <f aca="false">ROUND(H439*I439,2)</f>
        <v>61.2</v>
      </c>
      <c r="K439" s="30"/>
      <c r="L439" s="33" t="n">
        <v>36</v>
      </c>
      <c r="M439" s="34" t="n">
        <v>1.7</v>
      </c>
      <c r="N439" s="33" t="n">
        <f aca="false">ROUND(L439*M439,2)</f>
        <v>61.2</v>
      </c>
      <c r="R439" s="35" t="s">
        <v>336</v>
      </c>
      <c r="S439" s="35"/>
      <c r="T439" s="35"/>
      <c r="U439" s="35"/>
      <c r="V439" s="35"/>
    </row>
    <row r="440" customFormat="false" ht="15" hidden="false" customHeight="true" outlineLevel="0" collapsed="false">
      <c r="A440" s="8" t="s">
        <v>111</v>
      </c>
      <c r="B440" s="27" t="n">
        <v>37</v>
      </c>
      <c r="C440" s="28" t="n">
        <v>30</v>
      </c>
      <c r="D440" s="29" t="n">
        <v>0.9927</v>
      </c>
      <c r="E440" s="29" t="n">
        <v>1.3733</v>
      </c>
      <c r="F440" s="27" t="n">
        <f aca="false">ROUND(B440*E440,2)</f>
        <v>50.81</v>
      </c>
      <c r="G440" s="30"/>
      <c r="H440" s="31" t="n">
        <v>37</v>
      </c>
      <c r="I440" s="32" t="n">
        <v>1.3733</v>
      </c>
      <c r="J440" s="31" t="n">
        <f aca="false">ROUND(H440*I440,2)</f>
        <v>50.81</v>
      </c>
      <c r="K440" s="30"/>
      <c r="L440" s="33" t="n">
        <v>37</v>
      </c>
      <c r="M440" s="34" t="n">
        <v>1.3733</v>
      </c>
      <c r="N440" s="33" t="n">
        <f aca="false">ROUND(L440*M440,2)</f>
        <v>50.81</v>
      </c>
      <c r="R440" s="36" t="s">
        <v>337</v>
      </c>
      <c r="S440" s="36"/>
      <c r="T440" s="36"/>
      <c r="U440" s="36"/>
      <c r="V440" s="36"/>
    </row>
    <row r="441" customFormat="false" ht="15" hidden="false" customHeight="true" outlineLevel="0" collapsed="false">
      <c r="A441" s="8" t="s">
        <v>113</v>
      </c>
      <c r="B441" s="27" t="n">
        <v>37</v>
      </c>
      <c r="C441" s="28" t="n">
        <v>30</v>
      </c>
      <c r="D441" s="29" t="n">
        <v>0.82233</v>
      </c>
      <c r="E441" s="29" t="n">
        <v>0.4</v>
      </c>
      <c r="F441" s="27" t="n">
        <f aca="false">ROUND(B441*E441,2)</f>
        <v>14.8</v>
      </c>
      <c r="G441" s="30"/>
      <c r="H441" s="31" t="n">
        <v>37</v>
      </c>
      <c r="I441" s="32" t="n">
        <v>0.4</v>
      </c>
      <c r="J441" s="31" t="n">
        <f aca="false">ROUND(H441*I441,2)</f>
        <v>14.8</v>
      </c>
      <c r="K441" s="30"/>
      <c r="L441" s="33" t="n">
        <v>37</v>
      </c>
      <c r="M441" s="34" t="n">
        <v>0.4</v>
      </c>
      <c r="N441" s="33" t="n">
        <f aca="false">ROUND(L441*M441,2)</f>
        <v>14.8</v>
      </c>
      <c r="R441" s="36" t="s">
        <v>338</v>
      </c>
      <c r="S441" s="36"/>
      <c r="T441" s="36"/>
      <c r="U441" s="36"/>
      <c r="V441" s="36"/>
    </row>
    <row r="442" customFormat="false" ht="15" hidden="false" customHeight="true" outlineLevel="0" collapsed="false">
      <c r="A442" s="8" t="s">
        <v>115</v>
      </c>
      <c r="B442" s="27" t="n">
        <v>37</v>
      </c>
      <c r="C442" s="28" t="n">
        <v>30</v>
      </c>
      <c r="D442" s="29" t="n">
        <v>0.54753</v>
      </c>
      <c r="E442" s="29" t="n">
        <v>0.36</v>
      </c>
      <c r="F442" s="27" t="n">
        <f aca="false">ROUND(B442*E442,2)</f>
        <v>13.32</v>
      </c>
      <c r="G442" s="30"/>
      <c r="H442" s="31" t="n">
        <v>37</v>
      </c>
      <c r="I442" s="32" t="n">
        <v>0.36</v>
      </c>
      <c r="J442" s="31" t="n">
        <f aca="false">ROUND(H442*I442,2)</f>
        <v>13.32</v>
      </c>
      <c r="K442" s="30"/>
      <c r="L442" s="33" t="n">
        <v>37</v>
      </c>
      <c r="M442" s="34" t="n">
        <v>0.36</v>
      </c>
      <c r="N442" s="33" t="n">
        <f aca="false">ROUND(L442*M442,2)</f>
        <v>13.32</v>
      </c>
      <c r="R442" s="56" t="s">
        <v>149</v>
      </c>
      <c r="S442" s="56"/>
      <c r="T442" s="56"/>
      <c r="U442" s="56"/>
      <c r="V442" s="56"/>
    </row>
    <row r="443" customFormat="false" ht="15" hidden="false" customHeight="true" outlineLevel="0" collapsed="false">
      <c r="A443" s="8" t="s">
        <v>117</v>
      </c>
      <c r="B443" s="27" t="n">
        <v>37</v>
      </c>
      <c r="C443" s="28" t="n">
        <v>30</v>
      </c>
      <c r="D443" s="29" t="n">
        <v>0.30594</v>
      </c>
      <c r="E443" s="29" t="n">
        <v>0.22</v>
      </c>
      <c r="F443" s="27" t="n">
        <f aca="false">ROUND(B443*E443,2)</f>
        <v>8.14</v>
      </c>
      <c r="G443" s="30"/>
      <c r="H443" s="31" t="n">
        <v>37</v>
      </c>
      <c r="I443" s="32" t="n">
        <v>0.22</v>
      </c>
      <c r="J443" s="31" t="n">
        <f aca="false">ROUND(H443*I443,2)</f>
        <v>8.14</v>
      </c>
      <c r="K443" s="30"/>
      <c r="L443" s="33" t="n">
        <v>37</v>
      </c>
      <c r="M443" s="34" t="n">
        <v>0.22</v>
      </c>
      <c r="N443" s="33" t="n">
        <f aca="false">ROUND(L443*M443,2)</f>
        <v>8.14</v>
      </c>
      <c r="R443" s="38" t="s">
        <v>118</v>
      </c>
      <c r="S443" s="38"/>
      <c r="T443" s="38"/>
      <c r="U443" s="38"/>
      <c r="V443" s="38"/>
    </row>
    <row r="444" customFormat="false" ht="15" hidden="false" customHeight="false" outlineLevel="0" collapsed="false">
      <c r="A444" s="8" t="s">
        <v>119</v>
      </c>
      <c r="B444" s="27" t="n">
        <v>37</v>
      </c>
      <c r="C444" s="28" t="n">
        <v>30</v>
      </c>
      <c r="D444" s="29" t="n">
        <v>0.25668</v>
      </c>
      <c r="E444" s="29" t="n">
        <v>0.18</v>
      </c>
      <c r="F444" s="27" t="n">
        <f aca="false">ROUND(B444*E444,2)</f>
        <v>6.66</v>
      </c>
      <c r="G444" s="30"/>
      <c r="H444" s="31" t="n">
        <v>37</v>
      </c>
      <c r="I444" s="32" t="n">
        <v>0.18</v>
      </c>
      <c r="J444" s="31" t="n">
        <f aca="false">ROUND(H444*I444,2)</f>
        <v>6.66</v>
      </c>
      <c r="K444" s="30"/>
      <c r="L444" s="33" t="n">
        <v>37</v>
      </c>
      <c r="M444" s="34" t="n">
        <v>0.18</v>
      </c>
      <c r="N444" s="33" t="n">
        <f aca="false">ROUND(L444*M444,2)</f>
        <v>6.66</v>
      </c>
    </row>
    <row r="445" customFormat="false" ht="15" hidden="false" customHeight="false" outlineLevel="0" collapsed="false">
      <c r="A445" s="39" t="s">
        <v>120</v>
      </c>
      <c r="B445" s="40" t="n">
        <f aca="false">IF($P$445="",2261.11,ROUND(2261.11*((793.4509/(1-$P$445))-154.93)/678.08,2))</f>
        <v>2261.11</v>
      </c>
      <c r="C445" s="28"/>
      <c r="D445" s="41" t="n">
        <v>0.130429</v>
      </c>
      <c r="E445" s="29" t="n">
        <v>0.14</v>
      </c>
      <c r="F445" s="27" t="n">
        <f aca="false">ROUND(B445*E445,2)</f>
        <v>316.56</v>
      </c>
      <c r="G445" s="30"/>
      <c r="H445" s="42" t="n">
        <v>2167.11</v>
      </c>
      <c r="I445" s="32" t="n">
        <v>0.149</v>
      </c>
      <c r="J445" s="31" t="n">
        <f aca="false">ROUND(H445*I445,2)</f>
        <v>322.9</v>
      </c>
      <c r="K445" s="30"/>
      <c r="L445" s="43" t="n">
        <v>1389.72</v>
      </c>
      <c r="M445" s="34" t="n">
        <v>0.15</v>
      </c>
      <c r="N445" s="33" t="n">
        <f aca="false">ROUND(L445*M445,2)</f>
        <v>208.46</v>
      </c>
      <c r="O445" s="44" t="s">
        <v>121</v>
      </c>
      <c r="P445" s="45"/>
    </row>
    <row r="446" customFormat="false" ht="15" hidden="false" customHeight="false" outlineLevel="0" collapsed="false">
      <c r="A446" s="39" t="s">
        <v>122</v>
      </c>
      <c r="B446" s="40" t="n">
        <f aca="false">IF($P$445="",1435.19,ROUND(1435.19*((793.4509/(1-$P$445))-154.93)/678.08,2))</f>
        <v>1435.19</v>
      </c>
      <c r="C446" s="28"/>
      <c r="D446" s="41" t="n">
        <v>0.130429</v>
      </c>
      <c r="E446" s="29" t="n">
        <v>0.14</v>
      </c>
      <c r="F446" s="27" t="n">
        <f aca="false">ROUND(B446*E446,2)</f>
        <v>200.93</v>
      </c>
      <c r="G446" s="30"/>
      <c r="H446" s="42" t="n">
        <v>1456.19</v>
      </c>
      <c r="I446" s="32" t="n">
        <v>0.149</v>
      </c>
      <c r="J446" s="31" t="n">
        <f aca="false">ROUND(H446*I446,2)</f>
        <v>216.97</v>
      </c>
      <c r="K446" s="30"/>
      <c r="L446" s="43" t="n">
        <v>995.207</v>
      </c>
      <c r="M446" s="34" t="n">
        <v>0.15</v>
      </c>
      <c r="N446" s="33" t="n">
        <f aca="false">ROUND(L446*M446,2)</f>
        <v>149.28</v>
      </c>
      <c r="O446" s="46" t="s">
        <v>123</v>
      </c>
    </row>
    <row r="447" customFormat="false" ht="15" hidden="false" customHeight="false" outlineLevel="0" collapsed="false">
      <c r="A447" s="39" t="s">
        <v>124</v>
      </c>
      <c r="B447" s="40" t="n">
        <f aca="false">IF($P$445="",1155.316,ROUND(1155.316*((793.4509/(1-$P$445))-154.93)/678.08,2))</f>
        <v>1155.316</v>
      </c>
      <c r="C447" s="28"/>
      <c r="D447" s="41" t="n">
        <v>0.130768</v>
      </c>
      <c r="E447" s="29" t="n">
        <v>0.139</v>
      </c>
      <c r="F447" s="27" t="n">
        <f aca="false">ROUND(B447*E447,2)</f>
        <v>160.59</v>
      </c>
      <c r="G447" s="30"/>
      <c r="H447" s="42" t="n">
        <v>1117.316</v>
      </c>
      <c r="I447" s="32" t="n">
        <v>0.135</v>
      </c>
      <c r="J447" s="31" t="n">
        <f aca="false">ROUND(H447*I447,2)</f>
        <v>150.84</v>
      </c>
      <c r="K447" s="30"/>
      <c r="L447" s="43" t="n">
        <v>881.134</v>
      </c>
      <c r="M447" s="34" t="n">
        <v>0.14</v>
      </c>
      <c r="N447" s="33" t="n">
        <f aca="false">ROUND(L447*M447,2)</f>
        <v>123.36</v>
      </c>
      <c r="O447" s="46" t="s">
        <v>125</v>
      </c>
    </row>
    <row r="448" customFormat="false" ht="15" hidden="false" customHeight="false" outlineLevel="0" collapsed="false">
      <c r="A448" s="8" t="s">
        <v>126</v>
      </c>
      <c r="B448" s="27" t="n">
        <v>1</v>
      </c>
      <c r="C448" s="28"/>
      <c r="D448" s="29" t="n">
        <v>6</v>
      </c>
      <c r="E448" s="29" t="n">
        <v>6</v>
      </c>
      <c r="F448" s="27" t="n">
        <f aca="false">ROUND(B448*E448,2)</f>
        <v>6</v>
      </c>
      <c r="G448" s="30"/>
      <c r="H448" s="31" t="n">
        <v>1</v>
      </c>
      <c r="I448" s="32" t="n">
        <v>6</v>
      </c>
      <c r="J448" s="31" t="n">
        <f aca="false">ROUND(H448*I448,2)</f>
        <v>6</v>
      </c>
      <c r="K448" s="30"/>
      <c r="L448" s="33" t="n">
        <v>1</v>
      </c>
      <c r="M448" s="34" t="n">
        <v>6</v>
      </c>
      <c r="N448" s="33" t="n">
        <f aca="false">ROUND(L448*M448,2)</f>
        <v>6</v>
      </c>
    </row>
    <row r="449" customFormat="false" ht="15" hidden="false" customHeight="false" outlineLevel="0" collapsed="false">
      <c r="A449" s="8" t="s">
        <v>127</v>
      </c>
      <c r="B449" s="27" t="n">
        <v>30</v>
      </c>
      <c r="C449" s="28"/>
      <c r="D449" s="29" t="n">
        <v>0.01912</v>
      </c>
      <c r="E449" s="29" t="n">
        <v>0.01912</v>
      </c>
      <c r="F449" s="27" t="n">
        <f aca="false">ROUND(B449*E449,2)</f>
        <v>0.57</v>
      </c>
      <c r="G449" s="30"/>
      <c r="H449" s="31" t="n">
        <v>30</v>
      </c>
      <c r="I449" s="32" t="n">
        <v>0.01912</v>
      </c>
      <c r="J449" s="31" t="n">
        <f aca="false">ROUND(H449*I449,2)</f>
        <v>0.57</v>
      </c>
      <c r="K449" s="30"/>
      <c r="L449" s="33" t="n">
        <v>30</v>
      </c>
      <c r="M449" s="34" t="n">
        <v>0.01274</v>
      </c>
      <c r="N449" s="33" t="n">
        <f aca="false">ROUND(L449*M449,2)</f>
        <v>0.38</v>
      </c>
    </row>
    <row r="450" customFormat="false" ht="15" hidden="false" customHeight="false" outlineLevel="0" collapsed="false">
      <c r="A450" s="8" t="s">
        <v>128</v>
      </c>
      <c r="B450" s="27" t="n">
        <v>45.27</v>
      </c>
      <c r="C450" s="28"/>
      <c r="D450" s="29" t="n">
        <v>1</v>
      </c>
      <c r="E450" s="29" t="n">
        <v>1</v>
      </c>
      <c r="F450" s="27" t="n">
        <f aca="false">ROUND(B450*E450,2)</f>
        <v>45.27</v>
      </c>
      <c r="G450" s="30"/>
      <c r="H450" s="31" t="n">
        <v>46.08</v>
      </c>
      <c r="I450" s="32" t="n">
        <v>1</v>
      </c>
      <c r="J450" s="31" t="n">
        <f aca="false">ROUND(H450*I450,2)</f>
        <v>46.08</v>
      </c>
      <c r="K450" s="30"/>
      <c r="L450" s="33" t="n">
        <v>42.92</v>
      </c>
      <c r="M450" s="34" t="n">
        <v>1</v>
      </c>
      <c r="N450" s="33" t="n">
        <f aca="false">ROUND(L450*M450,2)</f>
        <v>42.92</v>
      </c>
    </row>
    <row r="451" customFormat="false" ht="15" hidden="false" customHeight="false" outlineLevel="0" collapsed="false">
      <c r="A451" s="47" t="s">
        <v>129</v>
      </c>
      <c r="B451" s="48"/>
      <c r="C451" s="48"/>
      <c r="D451" s="48"/>
      <c r="E451" s="48"/>
      <c r="F451" s="49" t="n">
        <f aca="false">ROUND((SUM(F439:F450)-F450)*1.21+F450,2)</f>
        <v>1061.16</v>
      </c>
      <c r="G451" s="48"/>
      <c r="H451" s="48"/>
      <c r="I451" s="48"/>
      <c r="J451" s="50" t="n">
        <f aca="false">ROUND((SUM(J439:J450)-J450)*1.21+J450,2)</f>
        <v>1077.25</v>
      </c>
      <c r="K451" s="48"/>
      <c r="L451" s="48"/>
      <c r="M451" s="48"/>
      <c r="N451" s="51" t="n">
        <f aca="false">ROUND((SUM(N439:N450)-N450)*1.21+N450,2)</f>
        <v>820.24</v>
      </c>
    </row>
    <row r="452" customFormat="false" ht="15" hidden="false" customHeight="false" outlineLevel="0" collapsed="false">
      <c r="A452" s="52" t="s">
        <v>130</v>
      </c>
      <c r="B452" s="53" t="n">
        <f aca="false">(SUM(F439:F447)-793.4509)/SUM(F439:F447)</f>
        <v>0.0474893458661961</v>
      </c>
      <c r="C452" s="53"/>
      <c r="D452" s="53"/>
      <c r="E452" s="53"/>
      <c r="F452" s="53"/>
      <c r="G452" s="54"/>
      <c r="H452" s="54"/>
      <c r="I452" s="54"/>
      <c r="J452" s="54"/>
      <c r="K452" s="54"/>
      <c r="L452" s="55" t="str">
        <f aca="false">IF(B452&gt;=0.3,"APROBAR",IF(B452&gt;=0.2,"REVISAR","RECHAZAR"))</f>
        <v>RECHAZAR</v>
      </c>
      <c r="M452" s="55"/>
      <c r="N452" s="55"/>
    </row>
    <row r="454" customFormat="false" ht="15" hidden="false" customHeight="true" outlineLevel="0" collapsed="false">
      <c r="A454" s="14" t="s">
        <v>339</v>
      </c>
      <c r="B454" s="14"/>
      <c r="C454" s="14"/>
      <c r="D454" s="14"/>
      <c r="E454" s="14"/>
      <c r="F454" s="14"/>
      <c r="G454" s="14"/>
      <c r="H454" s="14"/>
      <c r="I454" s="15" t="s">
        <v>340</v>
      </c>
      <c r="J454" s="15"/>
      <c r="K454" s="15"/>
      <c r="L454" s="15"/>
      <c r="M454" s="15"/>
      <c r="N454" s="15"/>
      <c r="R454" s="16" t="s">
        <v>97</v>
      </c>
      <c r="S454" s="16"/>
      <c r="T454" s="16"/>
      <c r="U454" s="16"/>
      <c r="V454" s="16"/>
    </row>
    <row r="455" customFormat="false" ht="15" hidden="false" customHeight="true" outlineLevel="0" collapsed="false">
      <c r="A455" s="17" t="s">
        <v>98</v>
      </c>
      <c r="B455" s="18" t="s">
        <v>99</v>
      </c>
      <c r="C455" s="18"/>
      <c r="D455" s="18"/>
      <c r="E455" s="18"/>
      <c r="F455" s="18"/>
      <c r="G455" s="19"/>
      <c r="H455" s="20" t="s">
        <v>341</v>
      </c>
      <c r="I455" s="20"/>
      <c r="J455" s="20"/>
      <c r="K455" s="19"/>
      <c r="L455" s="21" t="s">
        <v>342</v>
      </c>
      <c r="M455" s="21"/>
      <c r="N455" s="21"/>
      <c r="R455" s="22" t="s">
        <v>343</v>
      </c>
      <c r="S455" s="22"/>
      <c r="T455" s="22"/>
      <c r="U455" s="22"/>
      <c r="V455" s="22"/>
    </row>
    <row r="456" customFormat="false" ht="15" hidden="false" customHeight="true" outlineLevel="0" collapsed="false">
      <c r="A456" s="19"/>
      <c r="B456" s="23" t="s">
        <v>103</v>
      </c>
      <c r="C456" s="23" t="s">
        <v>104</v>
      </c>
      <c r="D456" s="23" t="s">
        <v>105</v>
      </c>
      <c r="E456" s="23" t="s">
        <v>106</v>
      </c>
      <c r="F456" s="23" t="s">
        <v>107</v>
      </c>
      <c r="G456" s="19"/>
      <c r="H456" s="24" t="s">
        <v>103</v>
      </c>
      <c r="I456" s="24" t="s">
        <v>106</v>
      </c>
      <c r="J456" s="24" t="s">
        <v>107</v>
      </c>
      <c r="K456" s="19"/>
      <c r="L456" s="25" t="s">
        <v>103</v>
      </c>
      <c r="M456" s="25" t="s">
        <v>106</v>
      </c>
      <c r="N456" s="25" t="s">
        <v>107</v>
      </c>
      <c r="R456" s="26" t="s">
        <v>344</v>
      </c>
      <c r="S456" s="26"/>
      <c r="T456" s="26"/>
      <c r="U456" s="26"/>
      <c r="V456" s="26"/>
    </row>
    <row r="457" customFormat="false" ht="15" hidden="false" customHeight="true" outlineLevel="0" collapsed="false">
      <c r="A457" s="8" t="s">
        <v>109</v>
      </c>
      <c r="B457" s="27" t="n">
        <v>27</v>
      </c>
      <c r="C457" s="28" t="n">
        <v>30</v>
      </c>
      <c r="D457" s="29" t="n">
        <v>1.73784</v>
      </c>
      <c r="E457" s="29" t="n">
        <v>2.5542</v>
      </c>
      <c r="F457" s="27" t="n">
        <f aca="false">ROUND(B457*E457,2)</f>
        <v>68.96</v>
      </c>
      <c r="G457" s="30"/>
      <c r="H457" s="31" t="n">
        <v>27</v>
      </c>
      <c r="I457" s="32" t="n">
        <v>2.5542</v>
      </c>
      <c r="J457" s="31" t="n">
        <f aca="false">ROUND(H457*I457,2)</f>
        <v>68.96</v>
      </c>
      <c r="K457" s="30"/>
      <c r="L457" s="33" t="n">
        <v>27</v>
      </c>
      <c r="M457" s="34" t="n">
        <v>2.5542</v>
      </c>
      <c r="N457" s="33" t="n">
        <f aca="false">ROUND(L457*M457,2)</f>
        <v>68.96</v>
      </c>
      <c r="R457" s="35" t="s">
        <v>345</v>
      </c>
      <c r="S457" s="35"/>
      <c r="T457" s="35"/>
      <c r="U457" s="35"/>
      <c r="V457" s="35"/>
    </row>
    <row r="458" customFormat="false" ht="15" hidden="false" customHeight="true" outlineLevel="0" collapsed="false">
      <c r="A458" s="8" t="s">
        <v>111</v>
      </c>
      <c r="B458" s="27" t="n">
        <v>27</v>
      </c>
      <c r="C458" s="28" t="n">
        <v>30</v>
      </c>
      <c r="D458" s="29" t="n">
        <v>0.9357</v>
      </c>
      <c r="E458" s="29" t="n">
        <v>1.37733</v>
      </c>
      <c r="F458" s="27" t="n">
        <f aca="false">ROUND(B458*E458,2)</f>
        <v>37.19</v>
      </c>
      <c r="G458" s="30"/>
      <c r="H458" s="31" t="n">
        <v>27</v>
      </c>
      <c r="I458" s="32" t="n">
        <v>1.37733</v>
      </c>
      <c r="J458" s="31" t="n">
        <f aca="false">ROUND(H458*I458,2)</f>
        <v>37.19</v>
      </c>
      <c r="K458" s="30"/>
      <c r="L458" s="33" t="n">
        <v>27</v>
      </c>
      <c r="M458" s="34" t="n">
        <v>1.37733</v>
      </c>
      <c r="N458" s="33" t="n">
        <f aca="false">ROUND(L458*M458,2)</f>
        <v>37.19</v>
      </c>
      <c r="R458" s="36" t="s">
        <v>346</v>
      </c>
      <c r="S458" s="36"/>
      <c r="T458" s="36"/>
      <c r="U458" s="36"/>
      <c r="V458" s="36"/>
    </row>
    <row r="459" customFormat="false" ht="15" hidden="false" customHeight="true" outlineLevel="0" collapsed="false">
      <c r="A459" s="8" t="s">
        <v>113</v>
      </c>
      <c r="B459" s="27" t="n">
        <v>27</v>
      </c>
      <c r="C459" s="28" t="n">
        <v>30</v>
      </c>
      <c r="D459" s="29" t="n">
        <v>0.43137</v>
      </c>
      <c r="E459" s="29" t="n">
        <v>0.62868</v>
      </c>
      <c r="F459" s="27" t="n">
        <f aca="false">ROUND(B459*E459,2)</f>
        <v>16.97</v>
      </c>
      <c r="G459" s="30"/>
      <c r="H459" s="31" t="n">
        <v>27</v>
      </c>
      <c r="I459" s="32" t="n">
        <v>0.62868</v>
      </c>
      <c r="J459" s="31" t="n">
        <f aca="false">ROUND(H459*I459,2)</f>
        <v>16.97</v>
      </c>
      <c r="K459" s="30"/>
      <c r="L459" s="33" t="n">
        <v>27</v>
      </c>
      <c r="M459" s="34" t="n">
        <v>0.62868</v>
      </c>
      <c r="N459" s="33" t="n">
        <f aca="false">ROUND(L459*M459,2)</f>
        <v>16.97</v>
      </c>
      <c r="R459" s="36" t="s">
        <v>347</v>
      </c>
      <c r="S459" s="36"/>
      <c r="T459" s="36"/>
      <c r="U459" s="36"/>
      <c r="V459" s="36"/>
    </row>
    <row r="460" customFormat="false" ht="15" hidden="false" customHeight="true" outlineLevel="0" collapsed="false">
      <c r="A460" s="8" t="s">
        <v>115</v>
      </c>
      <c r="B460" s="27" t="n">
        <v>27</v>
      </c>
      <c r="C460" s="28" t="n">
        <v>30</v>
      </c>
      <c r="D460" s="29" t="n">
        <v>0.38244</v>
      </c>
      <c r="E460" s="29" t="n">
        <v>0.5561</v>
      </c>
      <c r="F460" s="27" t="n">
        <f aca="false">ROUND(B460*E460,2)</f>
        <v>15.01</v>
      </c>
      <c r="G460" s="30"/>
      <c r="H460" s="31" t="n">
        <v>27</v>
      </c>
      <c r="I460" s="32" t="n">
        <v>0.5561</v>
      </c>
      <c r="J460" s="31" t="n">
        <f aca="false">ROUND(H460*I460,2)</f>
        <v>15.01</v>
      </c>
      <c r="K460" s="30"/>
      <c r="L460" s="33" t="n">
        <v>27</v>
      </c>
      <c r="M460" s="34" t="n">
        <v>0.5561</v>
      </c>
      <c r="N460" s="33" t="n">
        <f aca="false">ROUND(L460*M460,2)</f>
        <v>15.01</v>
      </c>
      <c r="R460" s="56" t="s">
        <v>149</v>
      </c>
      <c r="S460" s="56"/>
      <c r="T460" s="56"/>
      <c r="U460" s="56"/>
      <c r="V460" s="56"/>
    </row>
    <row r="461" customFormat="false" ht="15" hidden="false" customHeight="true" outlineLevel="0" collapsed="false">
      <c r="A461" s="8" t="s">
        <v>117</v>
      </c>
      <c r="B461" s="27" t="n">
        <v>27</v>
      </c>
      <c r="C461" s="28" t="n">
        <v>30</v>
      </c>
      <c r="D461" s="29" t="n">
        <v>0.26964</v>
      </c>
      <c r="E461" s="29" t="n">
        <v>0.3868</v>
      </c>
      <c r="F461" s="27" t="n">
        <f aca="false">ROUND(B461*E461,2)</f>
        <v>10.44</v>
      </c>
      <c r="G461" s="30"/>
      <c r="H461" s="31" t="n">
        <v>27</v>
      </c>
      <c r="I461" s="32" t="n">
        <v>0.3868</v>
      </c>
      <c r="J461" s="31" t="n">
        <f aca="false">ROUND(H461*I461,2)</f>
        <v>10.44</v>
      </c>
      <c r="K461" s="30"/>
      <c r="L461" s="33" t="n">
        <v>27</v>
      </c>
      <c r="M461" s="34" t="n">
        <v>0.3868</v>
      </c>
      <c r="N461" s="33" t="n">
        <f aca="false">ROUND(L461*M461,2)</f>
        <v>10.44</v>
      </c>
      <c r="R461" s="38" t="s">
        <v>118</v>
      </c>
      <c r="S461" s="38"/>
      <c r="T461" s="38"/>
      <c r="U461" s="38"/>
      <c r="V461" s="38"/>
    </row>
    <row r="462" customFormat="false" ht="15" hidden="false" customHeight="false" outlineLevel="0" collapsed="false">
      <c r="A462" s="8" t="s">
        <v>119</v>
      </c>
      <c r="B462" s="27" t="n">
        <v>27</v>
      </c>
      <c r="C462" s="28" t="n">
        <v>30</v>
      </c>
      <c r="D462" s="29" t="n">
        <v>0.18156</v>
      </c>
      <c r="E462" s="29" t="n">
        <v>0.2653</v>
      </c>
      <c r="F462" s="27" t="n">
        <f aca="false">ROUND(B462*E462,2)</f>
        <v>7.16</v>
      </c>
      <c r="G462" s="30"/>
      <c r="H462" s="31" t="n">
        <v>27</v>
      </c>
      <c r="I462" s="32" t="n">
        <v>0.2653</v>
      </c>
      <c r="J462" s="31" t="n">
        <f aca="false">ROUND(H462*I462,2)</f>
        <v>7.16</v>
      </c>
      <c r="K462" s="30"/>
      <c r="L462" s="33" t="n">
        <v>27</v>
      </c>
      <c r="M462" s="34" t="n">
        <v>0.2653</v>
      </c>
      <c r="N462" s="33" t="n">
        <f aca="false">ROUND(L462*M462,2)</f>
        <v>7.16</v>
      </c>
    </row>
    <row r="463" customFormat="false" ht="15" hidden="false" customHeight="false" outlineLevel="0" collapsed="false">
      <c r="A463" s="39" t="s">
        <v>120</v>
      </c>
      <c r="B463" s="40" t="n">
        <f aca="false">IF($P$463="",1816.22,ROUND(1816.22*((924.6661/(1-$P$463))-155.73)/1000.37,2))</f>
        <v>1816.22</v>
      </c>
      <c r="C463" s="28"/>
      <c r="D463" s="41" t="n">
        <v>0.121236</v>
      </c>
      <c r="E463" s="29" t="n">
        <v>0.14</v>
      </c>
      <c r="F463" s="27" t="n">
        <f aca="false">ROUND(B463*E463,2)</f>
        <v>254.27</v>
      </c>
      <c r="G463" s="30"/>
      <c r="H463" s="42" t="n">
        <v>1590.15</v>
      </c>
      <c r="I463" s="32" t="n">
        <v>0.147</v>
      </c>
      <c r="J463" s="31" t="n">
        <f aca="false">ROUND(H463*I463,2)</f>
        <v>233.75</v>
      </c>
      <c r="K463" s="30"/>
      <c r="L463" s="43" t="n">
        <v>1140.96</v>
      </c>
      <c r="M463" s="34" t="n">
        <v>0.16</v>
      </c>
      <c r="N463" s="33" t="n">
        <f aca="false">ROUND(L463*M463,2)</f>
        <v>182.55</v>
      </c>
      <c r="O463" s="44" t="s">
        <v>121</v>
      </c>
      <c r="P463" s="45"/>
    </row>
    <row r="464" customFormat="false" ht="15" hidden="false" customHeight="false" outlineLevel="0" collapsed="false">
      <c r="A464" s="39" t="s">
        <v>122</v>
      </c>
      <c r="B464" s="40" t="n">
        <f aca="false">IF($P$463="",1757.47,ROUND(1757.47*((924.6661/(1-$P$463))-155.73)/1000.37,2))</f>
        <v>1757.47</v>
      </c>
      <c r="C464" s="28"/>
      <c r="D464" s="41" t="n">
        <v>0.114444</v>
      </c>
      <c r="E464" s="29" t="n">
        <v>0.139</v>
      </c>
      <c r="F464" s="27" t="n">
        <f aca="false">ROUND(B464*E464,2)</f>
        <v>244.29</v>
      </c>
      <c r="G464" s="30"/>
      <c r="H464" s="42" t="n">
        <v>2221.94</v>
      </c>
      <c r="I464" s="32" t="n">
        <v>0.145</v>
      </c>
      <c r="J464" s="31" t="n">
        <f aca="false">ROUND(H464*I464,2)</f>
        <v>322.18</v>
      </c>
      <c r="K464" s="30"/>
      <c r="L464" s="43" t="n">
        <v>1673.727</v>
      </c>
      <c r="M464" s="34" t="n">
        <v>0.15</v>
      </c>
      <c r="N464" s="33" t="n">
        <f aca="false">ROUND(L464*M464,2)</f>
        <v>251.06</v>
      </c>
      <c r="O464" s="46" t="s">
        <v>123</v>
      </c>
    </row>
    <row r="465" customFormat="false" ht="15" hidden="false" customHeight="false" outlineLevel="0" collapsed="false">
      <c r="A465" s="39" t="s">
        <v>124</v>
      </c>
      <c r="B465" s="40" t="n">
        <f aca="false">IF($P$463="",3717.08,ROUND(3717.08*((924.6661/(1-$P$463))-155.73)/1000.37,2))</f>
        <v>3717.08</v>
      </c>
      <c r="C465" s="28"/>
      <c r="D465" s="41" t="n">
        <v>0.106808</v>
      </c>
      <c r="E465" s="29" t="n">
        <v>0.135</v>
      </c>
      <c r="F465" s="27" t="n">
        <f aca="false">ROUND(B465*E465,2)</f>
        <v>501.81</v>
      </c>
      <c r="G465" s="30"/>
      <c r="H465" s="42" t="n">
        <v>4621.51</v>
      </c>
      <c r="I465" s="32" t="n">
        <v>0.135</v>
      </c>
      <c r="J465" s="31" t="n">
        <f aca="false">ROUND(H465*I465,2)</f>
        <v>623.9</v>
      </c>
      <c r="K465" s="30"/>
      <c r="L465" s="43" t="n">
        <v>2990.97</v>
      </c>
      <c r="M465" s="34" t="n">
        <v>0.135</v>
      </c>
      <c r="N465" s="33" t="n">
        <f aca="false">ROUND(L465*M465,2)</f>
        <v>403.78</v>
      </c>
      <c r="O465" s="46" t="s">
        <v>125</v>
      </c>
    </row>
    <row r="466" customFormat="false" ht="15" hidden="false" customHeight="false" outlineLevel="0" collapsed="false">
      <c r="A466" s="8" t="s">
        <v>126</v>
      </c>
      <c r="B466" s="27" t="n">
        <v>1</v>
      </c>
      <c r="C466" s="28"/>
      <c r="D466" s="29" t="n">
        <v>17.615</v>
      </c>
      <c r="E466" s="29" t="n">
        <v>17.615</v>
      </c>
      <c r="F466" s="27" t="n">
        <f aca="false">ROUND(B466*E466,2)</f>
        <v>17.62</v>
      </c>
      <c r="G466" s="30"/>
      <c r="H466" s="31" t="n">
        <v>1</v>
      </c>
      <c r="I466" s="32" t="n">
        <v>17.615</v>
      </c>
      <c r="J466" s="31" t="n">
        <f aca="false">ROUND(H466*I466,2)</f>
        <v>17.62</v>
      </c>
      <c r="K466" s="30"/>
      <c r="L466" s="33" t="n">
        <v>1</v>
      </c>
      <c r="M466" s="34" t="n">
        <v>17.615</v>
      </c>
      <c r="N466" s="33" t="n">
        <f aca="false">ROUND(L466*M466,2)</f>
        <v>17.62</v>
      </c>
    </row>
    <row r="467" customFormat="false" ht="15" hidden="false" customHeight="false" outlineLevel="0" collapsed="false">
      <c r="A467" s="8" t="s">
        <v>127</v>
      </c>
      <c r="B467" s="27" t="n">
        <v>30</v>
      </c>
      <c r="C467" s="28"/>
      <c r="D467" s="29" t="n">
        <v>0.01274</v>
      </c>
      <c r="E467" s="29" t="n">
        <v>0.01274</v>
      </c>
      <c r="F467" s="27" t="n">
        <f aca="false">ROUND(B467*E467,2)</f>
        <v>0.38</v>
      </c>
      <c r="G467" s="30"/>
      <c r="H467" s="31" t="n">
        <v>30</v>
      </c>
      <c r="I467" s="32" t="n">
        <v>0.01274</v>
      </c>
      <c r="J467" s="31" t="n">
        <f aca="false">ROUND(H467*I467,2)</f>
        <v>0.38</v>
      </c>
      <c r="K467" s="30"/>
      <c r="L467" s="33" t="n">
        <v>30</v>
      </c>
      <c r="M467" s="34" t="n">
        <v>0.01274</v>
      </c>
      <c r="N467" s="33" t="n">
        <f aca="false">ROUND(L467*M467,2)</f>
        <v>0.38</v>
      </c>
    </row>
    <row r="468" customFormat="false" ht="15" hidden="false" customHeight="false" outlineLevel="0" collapsed="false">
      <c r="A468" s="8" t="s">
        <v>128</v>
      </c>
      <c r="B468" s="27" t="n">
        <v>75.63</v>
      </c>
      <c r="C468" s="28"/>
      <c r="D468" s="29" t="n">
        <v>1</v>
      </c>
      <c r="E468" s="29" t="n">
        <v>1</v>
      </c>
      <c r="F468" s="27" t="n">
        <f aca="false">ROUND(B468*E468,2)</f>
        <v>75.63</v>
      </c>
      <c r="G468" s="30"/>
      <c r="H468" s="31" t="n">
        <v>84.74</v>
      </c>
      <c r="I468" s="32" t="n">
        <v>1</v>
      </c>
      <c r="J468" s="31" t="n">
        <f aca="false">ROUND(H468*I468,2)</f>
        <v>84.74</v>
      </c>
      <c r="K468" s="30"/>
      <c r="L468" s="33" t="n">
        <v>63</v>
      </c>
      <c r="M468" s="34" t="n">
        <v>1</v>
      </c>
      <c r="N468" s="33" t="n">
        <f aca="false">ROUND(L468*M468,2)</f>
        <v>63</v>
      </c>
    </row>
    <row r="469" customFormat="false" ht="15" hidden="false" customHeight="false" outlineLevel="0" collapsed="false">
      <c r="A469" s="47" t="s">
        <v>129</v>
      </c>
      <c r="B469" s="48"/>
      <c r="C469" s="48"/>
      <c r="D469" s="48"/>
      <c r="E469" s="48"/>
      <c r="F469" s="49" t="n">
        <f aca="false">ROUND((SUM(F457:F468)-F468)*1.21+F468,2)</f>
        <v>1496.29</v>
      </c>
      <c r="G469" s="48"/>
      <c r="H469" s="48"/>
      <c r="I469" s="48"/>
      <c r="J469" s="50" t="n">
        <f aca="false">ROUND((SUM(J457:J468)-J468)*1.21+J468,2)</f>
        <v>1722.55</v>
      </c>
      <c r="K469" s="48"/>
      <c r="L469" s="48"/>
      <c r="M469" s="48"/>
      <c r="N469" s="51" t="n">
        <f aca="false">ROUND((SUM(N457:N468)-N468)*1.21+N468,2)</f>
        <v>1286.46</v>
      </c>
    </row>
    <row r="470" customFormat="false" ht="15" hidden="false" customHeight="false" outlineLevel="0" collapsed="false">
      <c r="A470" s="52" t="s">
        <v>130</v>
      </c>
      <c r="B470" s="53" t="n">
        <f aca="false">(SUM(F457:F465)-924.6661)/SUM(F457:F465)</f>
        <v>0.200185018597007</v>
      </c>
      <c r="C470" s="53"/>
      <c r="D470" s="53"/>
      <c r="E470" s="53"/>
      <c r="F470" s="53"/>
      <c r="G470" s="54"/>
      <c r="H470" s="54"/>
      <c r="I470" s="54"/>
      <c r="J470" s="54"/>
      <c r="K470" s="54"/>
      <c r="L470" s="55" t="str">
        <f aca="false">IF(B470&gt;=0.3,"APROBAR",IF(B470&gt;=0.2,"REVISAR","RECHAZAR"))</f>
        <v>REVISAR</v>
      </c>
      <c r="M470" s="55"/>
      <c r="N470" s="55"/>
    </row>
    <row r="472" customFormat="false" ht="15" hidden="false" customHeight="true" outlineLevel="0" collapsed="false">
      <c r="A472" s="14" t="s">
        <v>348</v>
      </c>
      <c r="B472" s="14"/>
      <c r="C472" s="14"/>
      <c r="D472" s="14"/>
      <c r="E472" s="14"/>
      <c r="F472" s="14"/>
      <c r="G472" s="14"/>
      <c r="H472" s="14"/>
      <c r="I472" s="15" t="s">
        <v>349</v>
      </c>
      <c r="J472" s="15"/>
      <c r="K472" s="15"/>
      <c r="L472" s="15"/>
      <c r="M472" s="15"/>
      <c r="N472" s="15"/>
      <c r="R472" s="16" t="s">
        <v>97</v>
      </c>
      <c r="S472" s="16"/>
      <c r="T472" s="16"/>
      <c r="U472" s="16"/>
      <c r="V472" s="16"/>
    </row>
    <row r="473" customFormat="false" ht="15" hidden="false" customHeight="true" outlineLevel="0" collapsed="false">
      <c r="A473" s="17" t="s">
        <v>98</v>
      </c>
      <c r="B473" s="18" t="s">
        <v>99</v>
      </c>
      <c r="C473" s="18"/>
      <c r="D473" s="18"/>
      <c r="E473" s="18"/>
      <c r="F473" s="18"/>
      <c r="G473" s="19"/>
      <c r="H473" s="20" t="s">
        <v>350</v>
      </c>
      <c r="I473" s="20"/>
      <c r="J473" s="20"/>
      <c r="K473" s="19"/>
      <c r="L473" s="21" t="s">
        <v>351</v>
      </c>
      <c r="M473" s="21"/>
      <c r="N473" s="21"/>
      <c r="R473" s="22" t="s">
        <v>352</v>
      </c>
      <c r="S473" s="22"/>
      <c r="T473" s="22"/>
      <c r="U473" s="22"/>
      <c r="V473" s="22"/>
    </row>
    <row r="474" customFormat="false" ht="15" hidden="false" customHeight="true" outlineLevel="0" collapsed="false">
      <c r="A474" s="19"/>
      <c r="B474" s="23" t="s">
        <v>103</v>
      </c>
      <c r="C474" s="23" t="s">
        <v>104</v>
      </c>
      <c r="D474" s="23" t="s">
        <v>105</v>
      </c>
      <c r="E474" s="23" t="s">
        <v>106</v>
      </c>
      <c r="F474" s="23" t="s">
        <v>107</v>
      </c>
      <c r="G474" s="19"/>
      <c r="H474" s="24" t="s">
        <v>103</v>
      </c>
      <c r="I474" s="24" t="s">
        <v>106</v>
      </c>
      <c r="J474" s="24" t="s">
        <v>107</v>
      </c>
      <c r="K474" s="19"/>
      <c r="L474" s="25" t="s">
        <v>103</v>
      </c>
      <c r="M474" s="25" t="s">
        <v>106</v>
      </c>
      <c r="N474" s="25" t="s">
        <v>107</v>
      </c>
      <c r="R474" s="26" t="s">
        <v>353</v>
      </c>
      <c r="S474" s="26"/>
      <c r="T474" s="26"/>
      <c r="U474" s="26"/>
      <c r="V474" s="26"/>
    </row>
    <row r="475" customFormat="false" ht="15" hidden="false" customHeight="true" outlineLevel="0" collapsed="false">
      <c r="A475" s="8" t="s">
        <v>109</v>
      </c>
      <c r="B475" s="27" t="n">
        <v>20</v>
      </c>
      <c r="C475" s="28" t="n">
        <v>30</v>
      </c>
      <c r="D475" s="29" t="n">
        <v>1.73784</v>
      </c>
      <c r="E475" s="29" t="n">
        <v>2.5542</v>
      </c>
      <c r="F475" s="27" t="n">
        <f aca="false">ROUND(B475*E475,2)</f>
        <v>51.08</v>
      </c>
      <c r="G475" s="30"/>
      <c r="H475" s="31" t="n">
        <v>20</v>
      </c>
      <c r="I475" s="32" t="n">
        <v>2.5542</v>
      </c>
      <c r="J475" s="31" t="n">
        <f aca="false">ROUND(H475*I475,2)</f>
        <v>51.08</v>
      </c>
      <c r="K475" s="30"/>
      <c r="L475" s="33" t="n">
        <v>20</v>
      </c>
      <c r="M475" s="34" t="n">
        <v>1.999</v>
      </c>
      <c r="N475" s="33" t="n">
        <f aca="false">ROUND(L475*M475,2)</f>
        <v>39.98</v>
      </c>
      <c r="R475" s="35" t="s">
        <v>354</v>
      </c>
      <c r="S475" s="35"/>
      <c r="T475" s="35"/>
      <c r="U475" s="35"/>
      <c r="V475" s="35"/>
    </row>
    <row r="476" customFormat="false" ht="15" hidden="false" customHeight="true" outlineLevel="0" collapsed="false">
      <c r="A476" s="8" t="s">
        <v>111</v>
      </c>
      <c r="B476" s="27" t="n">
        <v>20</v>
      </c>
      <c r="C476" s="28" t="n">
        <v>30</v>
      </c>
      <c r="D476" s="29" t="n">
        <v>0.9357</v>
      </c>
      <c r="E476" s="29" t="n">
        <v>1.3773</v>
      </c>
      <c r="F476" s="27" t="n">
        <f aca="false">ROUND(B476*E476,2)</f>
        <v>27.55</v>
      </c>
      <c r="G476" s="30"/>
      <c r="H476" s="31" t="n">
        <v>20</v>
      </c>
      <c r="I476" s="32" t="n">
        <v>1.3773</v>
      </c>
      <c r="J476" s="31" t="n">
        <f aca="false">ROUND(H476*I476,2)</f>
        <v>27.55</v>
      </c>
      <c r="K476" s="30"/>
      <c r="L476" s="33" t="n">
        <v>20</v>
      </c>
      <c r="M476" s="34" t="n">
        <v>1.811</v>
      </c>
      <c r="N476" s="33" t="n">
        <f aca="false">ROUND(L476*M476,2)</f>
        <v>36.22</v>
      </c>
      <c r="R476" s="36" t="s">
        <v>355</v>
      </c>
      <c r="S476" s="36"/>
      <c r="T476" s="36"/>
      <c r="U476" s="36"/>
      <c r="V476" s="36"/>
    </row>
    <row r="477" customFormat="false" ht="15" hidden="false" customHeight="true" outlineLevel="0" collapsed="false">
      <c r="A477" s="8" t="s">
        <v>113</v>
      </c>
      <c r="B477" s="27" t="n">
        <v>20</v>
      </c>
      <c r="C477" s="28" t="n">
        <v>30</v>
      </c>
      <c r="D477" s="29" t="n">
        <v>0.43137</v>
      </c>
      <c r="E477" s="29" t="n">
        <v>0.6286</v>
      </c>
      <c r="F477" s="27" t="n">
        <f aca="false">ROUND(B477*E477,2)</f>
        <v>12.57</v>
      </c>
      <c r="G477" s="30"/>
      <c r="H477" s="31" t="n">
        <v>20</v>
      </c>
      <c r="I477" s="32" t="n">
        <v>0.6286</v>
      </c>
      <c r="J477" s="31" t="n">
        <f aca="false">ROUND(H477*I477,2)</f>
        <v>12.57</v>
      </c>
      <c r="K477" s="30"/>
      <c r="L477" s="33" t="n">
        <v>20</v>
      </c>
      <c r="M477" s="34" t="n">
        <v>0.6161</v>
      </c>
      <c r="N477" s="33" t="n">
        <f aca="false">ROUND(L477*M477,2)</f>
        <v>12.32</v>
      </c>
      <c r="R477" s="36" t="s">
        <v>356</v>
      </c>
      <c r="S477" s="36"/>
      <c r="T477" s="36"/>
      <c r="U477" s="36"/>
      <c r="V477" s="36"/>
    </row>
    <row r="478" customFormat="false" ht="15" hidden="false" customHeight="true" outlineLevel="0" collapsed="false">
      <c r="A478" s="8" t="s">
        <v>115</v>
      </c>
      <c r="B478" s="27" t="n">
        <v>20</v>
      </c>
      <c r="C478" s="28" t="n">
        <v>30</v>
      </c>
      <c r="D478" s="29" t="n">
        <v>0.38244</v>
      </c>
      <c r="E478" s="29" t="n">
        <v>0.5561</v>
      </c>
      <c r="F478" s="27" t="n">
        <f aca="false">ROUND(B478*E478,2)</f>
        <v>11.12</v>
      </c>
      <c r="G478" s="30"/>
      <c r="H478" s="31" t="n">
        <v>20</v>
      </c>
      <c r="I478" s="32" t="n">
        <v>0.5561</v>
      </c>
      <c r="J478" s="31" t="n">
        <f aca="false">ROUND(H478*I478,2)</f>
        <v>11.12</v>
      </c>
      <c r="K478" s="30"/>
      <c r="L478" s="33" t="n">
        <v>20</v>
      </c>
      <c r="M478" s="34" t="n">
        <v>0.5551</v>
      </c>
      <c r="N478" s="33" t="n">
        <f aca="false">ROUND(L478*M478,2)</f>
        <v>11.1</v>
      </c>
      <c r="R478" s="56" t="s">
        <v>149</v>
      </c>
      <c r="S478" s="56"/>
      <c r="T478" s="56"/>
      <c r="U478" s="56"/>
      <c r="V478" s="56"/>
    </row>
    <row r="479" customFormat="false" ht="15" hidden="false" customHeight="true" outlineLevel="0" collapsed="false">
      <c r="A479" s="8" t="s">
        <v>117</v>
      </c>
      <c r="B479" s="27" t="n">
        <v>20</v>
      </c>
      <c r="C479" s="28" t="n">
        <v>30</v>
      </c>
      <c r="D479" s="29" t="n">
        <v>0.26964</v>
      </c>
      <c r="E479" s="29" t="n">
        <v>0.3868</v>
      </c>
      <c r="F479" s="27" t="n">
        <f aca="false">ROUND(B479*E479,2)</f>
        <v>7.74</v>
      </c>
      <c r="G479" s="30"/>
      <c r="H479" s="31" t="n">
        <v>20</v>
      </c>
      <c r="I479" s="32" t="n">
        <v>0.3868</v>
      </c>
      <c r="J479" s="31" t="n">
        <f aca="false">ROUND(H479*I479,2)</f>
        <v>7.74</v>
      </c>
      <c r="K479" s="30"/>
      <c r="L479" s="33" t="n">
        <v>20</v>
      </c>
      <c r="M479" s="34" t="n">
        <v>0.595</v>
      </c>
      <c r="N479" s="33" t="n">
        <f aca="false">ROUND(L479*M479,2)</f>
        <v>11.9</v>
      </c>
      <c r="R479" s="38" t="s">
        <v>118</v>
      </c>
      <c r="S479" s="38"/>
      <c r="T479" s="38"/>
      <c r="U479" s="38"/>
      <c r="V479" s="38"/>
    </row>
    <row r="480" customFormat="false" ht="15" hidden="false" customHeight="false" outlineLevel="0" collapsed="false">
      <c r="A480" s="8" t="s">
        <v>119</v>
      </c>
      <c r="B480" s="27" t="n">
        <v>20</v>
      </c>
      <c r="C480" s="28" t="n">
        <v>30</v>
      </c>
      <c r="D480" s="29" t="n">
        <v>0.18156</v>
      </c>
      <c r="E480" s="29" t="n">
        <v>0.2653</v>
      </c>
      <c r="F480" s="27" t="n">
        <f aca="false">ROUND(B480*E480,2)</f>
        <v>5.31</v>
      </c>
      <c r="G480" s="30"/>
      <c r="H480" s="31" t="n">
        <v>20</v>
      </c>
      <c r="I480" s="32" t="n">
        <v>0.2653</v>
      </c>
      <c r="J480" s="31" t="n">
        <f aca="false">ROUND(H480*I480,2)</f>
        <v>5.31</v>
      </c>
      <c r="K480" s="30"/>
      <c r="L480" s="33" t="n">
        <v>20</v>
      </c>
      <c r="M480" s="34" t="n">
        <v>0.4523</v>
      </c>
      <c r="N480" s="33" t="n">
        <f aca="false">ROUND(L480*M480,2)</f>
        <v>9.05</v>
      </c>
    </row>
    <row r="481" customFormat="false" ht="15" hidden="false" customHeight="false" outlineLevel="0" collapsed="false">
      <c r="A481" s="39" t="s">
        <v>120</v>
      </c>
      <c r="B481" s="40" t="n">
        <f aca="false">IF($P$481="",3873.35,ROUND(3873.35*((1425.867/(1-$P$481))-115.37)/1595.71,2))</f>
        <v>3873.35</v>
      </c>
      <c r="C481" s="28"/>
      <c r="D481" s="41" t="n">
        <v>0.121236</v>
      </c>
      <c r="E481" s="29" t="n">
        <v>0.135</v>
      </c>
      <c r="F481" s="27" t="n">
        <f aca="false">ROUND(B481*E481,2)</f>
        <v>522.9</v>
      </c>
      <c r="G481" s="30"/>
      <c r="H481" s="42" t="n">
        <v>3152.18</v>
      </c>
      <c r="I481" s="32" t="n">
        <v>0.139</v>
      </c>
      <c r="J481" s="31" t="n">
        <f aca="false">ROUND(H481*I481,2)</f>
        <v>438.15</v>
      </c>
      <c r="K481" s="30"/>
      <c r="L481" s="43" t="n">
        <v>2934.71</v>
      </c>
      <c r="M481" s="34" t="n">
        <v>0.18</v>
      </c>
      <c r="N481" s="33" t="n">
        <f aca="false">ROUND(L481*M481,2)</f>
        <v>528.25</v>
      </c>
      <c r="O481" s="44" t="s">
        <v>121</v>
      </c>
      <c r="P481" s="45"/>
    </row>
    <row r="482" customFormat="false" ht="15" hidden="false" customHeight="false" outlineLevel="0" collapsed="false">
      <c r="A482" s="39" t="s">
        <v>122</v>
      </c>
      <c r="B482" s="40" t="n">
        <f aca="false">IF($P$481="",3762.22,ROUND(3762.22*((1425.867/(1-$P$481))-115.37)/1595.71,2))</f>
        <v>3762.22</v>
      </c>
      <c r="C482" s="28"/>
      <c r="D482" s="41" t="n">
        <v>0.114444</v>
      </c>
      <c r="E482" s="29" t="n">
        <v>0.135</v>
      </c>
      <c r="F482" s="27" t="n">
        <f aca="false">ROUND(B482*E482,2)</f>
        <v>507.9</v>
      </c>
      <c r="G482" s="30"/>
      <c r="H482" s="42" t="n">
        <v>3262.35</v>
      </c>
      <c r="I482" s="32" t="n">
        <v>0.139</v>
      </c>
      <c r="J482" s="31" t="n">
        <f aca="false">ROUND(H482*I482,2)</f>
        <v>453.47</v>
      </c>
      <c r="K482" s="30"/>
      <c r="L482" s="43" t="n">
        <v>2049.53</v>
      </c>
      <c r="M482" s="34" t="n">
        <v>0.18</v>
      </c>
      <c r="N482" s="33" t="n">
        <f aca="false">ROUND(L482*M482,2)</f>
        <v>368.92</v>
      </c>
      <c r="O482" s="46" t="s">
        <v>123</v>
      </c>
    </row>
    <row r="483" customFormat="false" ht="15" hidden="false" customHeight="false" outlineLevel="0" collapsed="false">
      <c r="A483" s="39" t="s">
        <v>124</v>
      </c>
      <c r="B483" s="40" t="n">
        <f aca="false">IF($P$481="",4184.52,ROUND(4184.52*((1425.867/(1-$P$481))-115.37)/1595.71,2))</f>
        <v>4184.52</v>
      </c>
      <c r="C483" s="28"/>
      <c r="D483" s="41" t="n">
        <v>0.106808</v>
      </c>
      <c r="E483" s="29" t="n">
        <v>0.135</v>
      </c>
      <c r="F483" s="27" t="n">
        <f aca="false">ROUND(B483*E483,2)</f>
        <v>564.91</v>
      </c>
      <c r="G483" s="30"/>
      <c r="H483" s="42" t="n">
        <v>4288.73</v>
      </c>
      <c r="I483" s="32" t="n">
        <v>0.135</v>
      </c>
      <c r="J483" s="31" t="n">
        <f aca="false">ROUND(H483*I483,2)</f>
        <v>578.98</v>
      </c>
      <c r="K483" s="30"/>
      <c r="L483" s="43" t="n">
        <v>2240.37</v>
      </c>
      <c r="M483" s="34" t="n">
        <v>0.18</v>
      </c>
      <c r="N483" s="33" t="n">
        <f aca="false">ROUND(L483*M483,2)</f>
        <v>403.27</v>
      </c>
      <c r="O483" s="46" t="s">
        <v>125</v>
      </c>
    </row>
    <row r="484" customFormat="false" ht="15" hidden="false" customHeight="false" outlineLevel="0" collapsed="false">
      <c r="A484" s="8" t="s">
        <v>126</v>
      </c>
      <c r="B484" s="27" t="n">
        <v>1</v>
      </c>
      <c r="C484" s="28"/>
      <c r="D484" s="29" t="n">
        <v>17.615</v>
      </c>
      <c r="E484" s="29" t="n">
        <v>17.615</v>
      </c>
      <c r="F484" s="27" t="n">
        <f aca="false">ROUND(B484*E484,2)</f>
        <v>17.62</v>
      </c>
      <c r="G484" s="30"/>
      <c r="H484" s="31" t="n">
        <v>1</v>
      </c>
      <c r="I484" s="32" t="n">
        <v>17.615</v>
      </c>
      <c r="J484" s="31" t="n">
        <f aca="false">ROUND(H484*I484,2)</f>
        <v>17.62</v>
      </c>
      <c r="K484" s="30"/>
      <c r="L484" s="33" t="n">
        <v>1</v>
      </c>
      <c r="M484" s="34" t="n">
        <v>17.6715</v>
      </c>
      <c r="N484" s="33" t="n">
        <f aca="false">ROUND(L484*M484,2)</f>
        <v>17.67</v>
      </c>
    </row>
    <row r="485" customFormat="false" ht="15" hidden="false" customHeight="false" outlineLevel="0" collapsed="false">
      <c r="A485" s="8" t="s">
        <v>127</v>
      </c>
      <c r="B485" s="27" t="n">
        <v>30</v>
      </c>
      <c r="C485" s="28"/>
      <c r="D485" s="29" t="n">
        <v>0.01274</v>
      </c>
      <c r="E485" s="29" t="n">
        <v>0.01274</v>
      </c>
      <c r="F485" s="27" t="n">
        <f aca="false">ROUND(B485*E485,2)</f>
        <v>0.38</v>
      </c>
      <c r="G485" s="30"/>
      <c r="H485" s="31" t="n">
        <v>29</v>
      </c>
      <c r="I485" s="32" t="n">
        <v>0.01912</v>
      </c>
      <c r="J485" s="31" t="n">
        <f aca="false">ROUND(H485*I485,2)</f>
        <v>0.55</v>
      </c>
      <c r="K485" s="30"/>
      <c r="L485" s="33" t="n">
        <v>30</v>
      </c>
      <c r="M485" s="34" t="n">
        <v>0.00629</v>
      </c>
      <c r="N485" s="33" t="n">
        <f aca="false">ROUND(L485*M485,2)</f>
        <v>0.19</v>
      </c>
    </row>
    <row r="486" customFormat="false" ht="15" hidden="false" customHeight="false" outlineLevel="0" collapsed="false">
      <c r="A486" s="8" t="s">
        <v>128</v>
      </c>
      <c r="B486" s="27" t="n">
        <v>104.53</v>
      </c>
      <c r="C486" s="28"/>
      <c r="D486" s="29" t="n">
        <v>1</v>
      </c>
      <c r="E486" s="29" t="n">
        <v>1</v>
      </c>
      <c r="F486" s="27" t="n">
        <f aca="false">ROUND(B486*E486,2)</f>
        <v>104.53</v>
      </c>
      <c r="G486" s="30"/>
      <c r="H486" s="31" t="n">
        <v>110.54</v>
      </c>
      <c r="I486" s="32" t="n">
        <v>1</v>
      </c>
      <c r="J486" s="31" t="n">
        <f aca="false">ROUND(H486*I486,2)</f>
        <v>110.54</v>
      </c>
      <c r="K486" s="30"/>
      <c r="L486" s="33" t="n">
        <v>76.29</v>
      </c>
      <c r="M486" s="34" t="n">
        <v>1</v>
      </c>
      <c r="N486" s="33" t="n">
        <f aca="false">ROUND(L486*M486,2)</f>
        <v>76.29</v>
      </c>
    </row>
    <row r="487" customFormat="false" ht="15" hidden="false" customHeight="false" outlineLevel="0" collapsed="false">
      <c r="A487" s="47" t="s">
        <v>129</v>
      </c>
      <c r="B487" s="48"/>
      <c r="C487" s="48"/>
      <c r="D487" s="48"/>
      <c r="E487" s="48"/>
      <c r="F487" s="49" t="n">
        <f aca="false">ROUND((SUM(F475:F486)-F486)*1.21+F486,2)</f>
        <v>2196.72</v>
      </c>
      <c r="G487" s="48"/>
      <c r="H487" s="48"/>
      <c r="I487" s="48"/>
      <c r="J487" s="50" t="n">
        <f aca="false">ROUND((SUM(J475:J486)-J486)*1.21+J486,2)</f>
        <v>2051.55</v>
      </c>
      <c r="K487" s="48"/>
      <c r="L487" s="48"/>
      <c r="M487" s="48"/>
      <c r="N487" s="51" t="n">
        <f aca="false">ROUND((SUM(N475:N486)-N486)*1.21+N486,2)</f>
        <v>1817.32</v>
      </c>
    </row>
    <row r="488" customFormat="false" ht="15" hidden="false" customHeight="false" outlineLevel="0" collapsed="false">
      <c r="A488" s="52" t="s">
        <v>130</v>
      </c>
      <c r="B488" s="53" t="n">
        <f aca="false">(SUM(F475:F483)-1425.867)/SUM(F475:F483)</f>
        <v>0.166685952731608</v>
      </c>
      <c r="C488" s="53"/>
      <c r="D488" s="53"/>
      <c r="E488" s="53"/>
      <c r="F488" s="53"/>
      <c r="G488" s="54"/>
      <c r="H488" s="54"/>
      <c r="I488" s="54"/>
      <c r="J488" s="54"/>
      <c r="K488" s="54"/>
      <c r="L488" s="55" t="str">
        <f aca="false">IF(B488&gt;=0.3,"APROBAR",IF(B488&gt;=0.2,"REVISAR","RECHAZAR"))</f>
        <v>RECHAZAR</v>
      </c>
      <c r="M488" s="55"/>
      <c r="N488" s="55"/>
    </row>
  </sheetData>
  <mergeCells count="432">
    <mergeCell ref="A1:H1"/>
    <mergeCell ref="I1:N1"/>
    <mergeCell ref="R1:V1"/>
    <mergeCell ref="B2:F2"/>
    <mergeCell ref="H2:J2"/>
    <mergeCell ref="L2:N2"/>
    <mergeCell ref="R2:V2"/>
    <mergeCell ref="R3:V3"/>
    <mergeCell ref="R4:V4"/>
    <mergeCell ref="R5:V5"/>
    <mergeCell ref="R6:V6"/>
    <mergeCell ref="R7:V7"/>
    <mergeCell ref="R8:V8"/>
    <mergeCell ref="B17:F17"/>
    <mergeCell ref="H17:J17"/>
    <mergeCell ref="L17:N17"/>
    <mergeCell ref="A19:H19"/>
    <mergeCell ref="I19:N19"/>
    <mergeCell ref="R19:V19"/>
    <mergeCell ref="B20:F20"/>
    <mergeCell ref="H20:J20"/>
    <mergeCell ref="L20:N20"/>
    <mergeCell ref="R20:V20"/>
    <mergeCell ref="R21:V21"/>
    <mergeCell ref="R22:V22"/>
    <mergeCell ref="R23:V23"/>
    <mergeCell ref="R24:V24"/>
    <mergeCell ref="R25:V25"/>
    <mergeCell ref="R26:V26"/>
    <mergeCell ref="B35:F35"/>
    <mergeCell ref="H35:J35"/>
    <mergeCell ref="L35:N35"/>
    <mergeCell ref="A37:H37"/>
    <mergeCell ref="I37:N37"/>
    <mergeCell ref="R37:V37"/>
    <mergeCell ref="B38:F38"/>
    <mergeCell ref="H38:J38"/>
    <mergeCell ref="L38:N38"/>
    <mergeCell ref="R38:V38"/>
    <mergeCell ref="R39:V39"/>
    <mergeCell ref="R40:V40"/>
    <mergeCell ref="R41:V41"/>
    <mergeCell ref="R42:V42"/>
    <mergeCell ref="R43:V43"/>
    <mergeCell ref="R44:V44"/>
    <mergeCell ref="B53:F53"/>
    <mergeCell ref="H53:J53"/>
    <mergeCell ref="L53:N53"/>
    <mergeCell ref="A55:H55"/>
    <mergeCell ref="I55:N55"/>
    <mergeCell ref="R55:V55"/>
    <mergeCell ref="B56:F56"/>
    <mergeCell ref="H56:J56"/>
    <mergeCell ref="L56:N56"/>
    <mergeCell ref="R56:V56"/>
    <mergeCell ref="R57:V57"/>
    <mergeCell ref="R58:V58"/>
    <mergeCell ref="R59:V59"/>
    <mergeCell ref="R60:V60"/>
    <mergeCell ref="R61:V61"/>
    <mergeCell ref="R62:V62"/>
    <mergeCell ref="B72:F72"/>
    <mergeCell ref="H72:J72"/>
    <mergeCell ref="L72:N72"/>
    <mergeCell ref="A74:H74"/>
    <mergeCell ref="I74:N74"/>
    <mergeCell ref="R74:V74"/>
    <mergeCell ref="B75:F75"/>
    <mergeCell ref="H75:J75"/>
    <mergeCell ref="L75:N75"/>
    <mergeCell ref="R75:V75"/>
    <mergeCell ref="R76:V76"/>
    <mergeCell ref="R77:V77"/>
    <mergeCell ref="R78:V78"/>
    <mergeCell ref="R79:V79"/>
    <mergeCell ref="R80:V80"/>
    <mergeCell ref="R81:V81"/>
    <mergeCell ref="B90:F90"/>
    <mergeCell ref="H90:J90"/>
    <mergeCell ref="L90:N90"/>
    <mergeCell ref="A92:H92"/>
    <mergeCell ref="I92:N92"/>
    <mergeCell ref="R92:V92"/>
    <mergeCell ref="B93:F93"/>
    <mergeCell ref="H93:J93"/>
    <mergeCell ref="L93:N93"/>
    <mergeCell ref="R93:V93"/>
    <mergeCell ref="R94:V94"/>
    <mergeCell ref="R95:V95"/>
    <mergeCell ref="R96:V96"/>
    <mergeCell ref="R97:V97"/>
    <mergeCell ref="R98:V98"/>
    <mergeCell ref="R99:V99"/>
    <mergeCell ref="B108:F108"/>
    <mergeCell ref="H108:J108"/>
    <mergeCell ref="L108:N108"/>
    <mergeCell ref="A110:H110"/>
    <mergeCell ref="I110:N110"/>
    <mergeCell ref="R110:V110"/>
    <mergeCell ref="B111:F111"/>
    <mergeCell ref="H111:J111"/>
    <mergeCell ref="L111:N111"/>
    <mergeCell ref="R111:V111"/>
    <mergeCell ref="R112:V112"/>
    <mergeCell ref="R113:V113"/>
    <mergeCell ref="R114:V114"/>
    <mergeCell ref="R115:V115"/>
    <mergeCell ref="R116:V116"/>
    <mergeCell ref="R117:V117"/>
    <mergeCell ref="B126:F126"/>
    <mergeCell ref="H126:J126"/>
    <mergeCell ref="L126:N126"/>
    <mergeCell ref="A128:H128"/>
    <mergeCell ref="I128:N128"/>
    <mergeCell ref="R128:V128"/>
    <mergeCell ref="B129:F129"/>
    <mergeCell ref="H129:J129"/>
    <mergeCell ref="L129:N129"/>
    <mergeCell ref="R129:V129"/>
    <mergeCell ref="R130:V130"/>
    <mergeCell ref="R131:V131"/>
    <mergeCell ref="R132:V132"/>
    <mergeCell ref="R133:V133"/>
    <mergeCell ref="R134:V134"/>
    <mergeCell ref="R135:V135"/>
    <mergeCell ref="B145:F145"/>
    <mergeCell ref="H145:J145"/>
    <mergeCell ref="L145:N145"/>
    <mergeCell ref="A147:H147"/>
    <mergeCell ref="I147:N147"/>
    <mergeCell ref="R147:V147"/>
    <mergeCell ref="B148:F148"/>
    <mergeCell ref="H148:J148"/>
    <mergeCell ref="L148:N148"/>
    <mergeCell ref="R148:V148"/>
    <mergeCell ref="R149:V149"/>
    <mergeCell ref="R150:V150"/>
    <mergeCell ref="R151:V151"/>
    <mergeCell ref="R152:V152"/>
    <mergeCell ref="R153:V153"/>
    <mergeCell ref="R154:V154"/>
    <mergeCell ref="B163:F163"/>
    <mergeCell ref="H163:J163"/>
    <mergeCell ref="L163:N163"/>
    <mergeCell ref="A165:H165"/>
    <mergeCell ref="I165:N165"/>
    <mergeCell ref="R165:V165"/>
    <mergeCell ref="B166:F166"/>
    <mergeCell ref="H166:J166"/>
    <mergeCell ref="L166:N166"/>
    <mergeCell ref="R166:V166"/>
    <mergeCell ref="R167:V167"/>
    <mergeCell ref="R168:V168"/>
    <mergeCell ref="R169:V169"/>
    <mergeCell ref="R170:V170"/>
    <mergeCell ref="R171:V171"/>
    <mergeCell ref="R172:V172"/>
    <mergeCell ref="B181:F181"/>
    <mergeCell ref="H181:J181"/>
    <mergeCell ref="L181:N181"/>
    <mergeCell ref="A183:H183"/>
    <mergeCell ref="I183:N183"/>
    <mergeCell ref="R183:V183"/>
    <mergeCell ref="B184:F184"/>
    <mergeCell ref="H184:J184"/>
    <mergeCell ref="L184:N184"/>
    <mergeCell ref="R184:V184"/>
    <mergeCell ref="R185:V185"/>
    <mergeCell ref="R186:V186"/>
    <mergeCell ref="R187:V187"/>
    <mergeCell ref="R188:V188"/>
    <mergeCell ref="R189:V189"/>
    <mergeCell ref="R190:V190"/>
    <mergeCell ref="B199:F199"/>
    <mergeCell ref="H199:J199"/>
    <mergeCell ref="L199:N199"/>
    <mergeCell ref="A201:H201"/>
    <mergeCell ref="I201:N201"/>
    <mergeCell ref="R201:V201"/>
    <mergeCell ref="B202:F202"/>
    <mergeCell ref="H202:J202"/>
    <mergeCell ref="L202:N202"/>
    <mergeCell ref="R202:V202"/>
    <mergeCell ref="R203:V203"/>
    <mergeCell ref="R204:V204"/>
    <mergeCell ref="R205:V205"/>
    <mergeCell ref="R206:V206"/>
    <mergeCell ref="R207:V207"/>
    <mergeCell ref="R208:V208"/>
    <mergeCell ref="B217:F217"/>
    <mergeCell ref="H217:J217"/>
    <mergeCell ref="L217:N217"/>
    <mergeCell ref="A219:H219"/>
    <mergeCell ref="I219:N219"/>
    <mergeCell ref="R219:V219"/>
    <mergeCell ref="B220:F220"/>
    <mergeCell ref="H220:J220"/>
    <mergeCell ref="L220:N220"/>
    <mergeCell ref="R220:V220"/>
    <mergeCell ref="R221:V221"/>
    <mergeCell ref="R222:V222"/>
    <mergeCell ref="R223:V223"/>
    <mergeCell ref="R224:V224"/>
    <mergeCell ref="R225:V225"/>
    <mergeCell ref="R226:V226"/>
    <mergeCell ref="B235:F235"/>
    <mergeCell ref="H235:J235"/>
    <mergeCell ref="L235:N235"/>
    <mergeCell ref="A237:H237"/>
    <mergeCell ref="I237:N237"/>
    <mergeCell ref="R237:V237"/>
    <mergeCell ref="B238:F238"/>
    <mergeCell ref="H238:J238"/>
    <mergeCell ref="L238:N238"/>
    <mergeCell ref="R238:V238"/>
    <mergeCell ref="R239:V239"/>
    <mergeCell ref="R240:V240"/>
    <mergeCell ref="R241:V241"/>
    <mergeCell ref="R242:V242"/>
    <mergeCell ref="R243:V243"/>
    <mergeCell ref="R244:V244"/>
    <mergeCell ref="B253:F253"/>
    <mergeCell ref="H253:J253"/>
    <mergeCell ref="L253:N253"/>
    <mergeCell ref="A255:H255"/>
    <mergeCell ref="I255:N255"/>
    <mergeCell ref="R255:V255"/>
    <mergeCell ref="B256:F256"/>
    <mergeCell ref="H256:J256"/>
    <mergeCell ref="L256:N256"/>
    <mergeCell ref="R256:V256"/>
    <mergeCell ref="R257:V257"/>
    <mergeCell ref="R258:V258"/>
    <mergeCell ref="R259:V259"/>
    <mergeCell ref="R260:V260"/>
    <mergeCell ref="R261:V261"/>
    <mergeCell ref="R262:V262"/>
    <mergeCell ref="B271:F271"/>
    <mergeCell ref="H271:J271"/>
    <mergeCell ref="L271:N271"/>
    <mergeCell ref="A273:H273"/>
    <mergeCell ref="I273:N273"/>
    <mergeCell ref="R273:V273"/>
    <mergeCell ref="B274:F274"/>
    <mergeCell ref="H274:J274"/>
    <mergeCell ref="L274:N274"/>
    <mergeCell ref="R274:V274"/>
    <mergeCell ref="R275:V275"/>
    <mergeCell ref="R276:V276"/>
    <mergeCell ref="R277:V277"/>
    <mergeCell ref="R278:V278"/>
    <mergeCell ref="R279:V279"/>
    <mergeCell ref="R280:V280"/>
    <mergeCell ref="B289:F289"/>
    <mergeCell ref="H289:J289"/>
    <mergeCell ref="L289:N289"/>
    <mergeCell ref="A291:H291"/>
    <mergeCell ref="I291:N291"/>
    <mergeCell ref="R291:V291"/>
    <mergeCell ref="B292:F292"/>
    <mergeCell ref="H292:J292"/>
    <mergeCell ref="L292:N292"/>
    <mergeCell ref="R292:V292"/>
    <mergeCell ref="R293:V293"/>
    <mergeCell ref="R294:V294"/>
    <mergeCell ref="R295:V295"/>
    <mergeCell ref="R296:V296"/>
    <mergeCell ref="R297:V297"/>
    <mergeCell ref="R298:V298"/>
    <mergeCell ref="B307:F307"/>
    <mergeCell ref="H307:J307"/>
    <mergeCell ref="L307:N307"/>
    <mergeCell ref="A309:H309"/>
    <mergeCell ref="I309:N309"/>
    <mergeCell ref="R309:V309"/>
    <mergeCell ref="B310:F310"/>
    <mergeCell ref="H310:J310"/>
    <mergeCell ref="L310:N310"/>
    <mergeCell ref="R310:V310"/>
    <mergeCell ref="R311:V311"/>
    <mergeCell ref="R312:V312"/>
    <mergeCell ref="R313:V313"/>
    <mergeCell ref="R314:V314"/>
    <mergeCell ref="R315:V315"/>
    <mergeCell ref="R316:V316"/>
    <mergeCell ref="B325:F325"/>
    <mergeCell ref="H325:J325"/>
    <mergeCell ref="L325:N325"/>
    <mergeCell ref="A327:H327"/>
    <mergeCell ref="I327:N327"/>
    <mergeCell ref="R327:V327"/>
    <mergeCell ref="B328:F328"/>
    <mergeCell ref="H328:J328"/>
    <mergeCell ref="L328:N328"/>
    <mergeCell ref="R328:V328"/>
    <mergeCell ref="R329:V329"/>
    <mergeCell ref="R330:V330"/>
    <mergeCell ref="R331:V331"/>
    <mergeCell ref="R332:V332"/>
    <mergeCell ref="R333:V333"/>
    <mergeCell ref="R334:V334"/>
    <mergeCell ref="B343:F343"/>
    <mergeCell ref="H343:J343"/>
    <mergeCell ref="L343:N343"/>
    <mergeCell ref="A345:H345"/>
    <mergeCell ref="I345:N345"/>
    <mergeCell ref="R345:V345"/>
    <mergeCell ref="B346:F346"/>
    <mergeCell ref="H346:J346"/>
    <mergeCell ref="L346:N346"/>
    <mergeCell ref="R346:V346"/>
    <mergeCell ref="R347:V347"/>
    <mergeCell ref="R348:V348"/>
    <mergeCell ref="R349:V349"/>
    <mergeCell ref="R350:V350"/>
    <mergeCell ref="R351:V351"/>
    <mergeCell ref="R352:V352"/>
    <mergeCell ref="B361:F361"/>
    <mergeCell ref="H361:J361"/>
    <mergeCell ref="L361:N361"/>
    <mergeCell ref="A363:H363"/>
    <mergeCell ref="I363:N363"/>
    <mergeCell ref="R363:V363"/>
    <mergeCell ref="B364:F364"/>
    <mergeCell ref="H364:J364"/>
    <mergeCell ref="L364:N364"/>
    <mergeCell ref="R364:V364"/>
    <mergeCell ref="R365:V365"/>
    <mergeCell ref="R366:V366"/>
    <mergeCell ref="R367:V367"/>
    <mergeCell ref="R368:V368"/>
    <mergeCell ref="R369:V369"/>
    <mergeCell ref="R370:V370"/>
    <mergeCell ref="B379:F379"/>
    <mergeCell ref="H379:J379"/>
    <mergeCell ref="L379:N379"/>
    <mergeCell ref="A381:H381"/>
    <mergeCell ref="I381:N381"/>
    <mergeCell ref="R381:V381"/>
    <mergeCell ref="B382:F382"/>
    <mergeCell ref="H382:J382"/>
    <mergeCell ref="L382:N382"/>
    <mergeCell ref="R382:V382"/>
    <mergeCell ref="R383:V383"/>
    <mergeCell ref="R384:V384"/>
    <mergeCell ref="R385:V385"/>
    <mergeCell ref="R386:V386"/>
    <mergeCell ref="R387:V387"/>
    <mergeCell ref="R388:V388"/>
    <mergeCell ref="B398:F398"/>
    <mergeCell ref="H398:J398"/>
    <mergeCell ref="L398:N398"/>
    <mergeCell ref="A400:H400"/>
    <mergeCell ref="I400:N400"/>
    <mergeCell ref="R400:V400"/>
    <mergeCell ref="B401:F401"/>
    <mergeCell ref="H401:J401"/>
    <mergeCell ref="L401:N401"/>
    <mergeCell ref="R401:V401"/>
    <mergeCell ref="R402:V402"/>
    <mergeCell ref="R403:V403"/>
    <mergeCell ref="R404:V404"/>
    <mergeCell ref="R405:V405"/>
    <mergeCell ref="R406:V406"/>
    <mergeCell ref="R407:V407"/>
    <mergeCell ref="B416:F416"/>
    <mergeCell ref="H416:J416"/>
    <mergeCell ref="L416:N416"/>
    <mergeCell ref="A418:H418"/>
    <mergeCell ref="I418:N418"/>
    <mergeCell ref="R418:V418"/>
    <mergeCell ref="B419:F419"/>
    <mergeCell ref="H419:J419"/>
    <mergeCell ref="L419:N419"/>
    <mergeCell ref="R419:V419"/>
    <mergeCell ref="R420:V420"/>
    <mergeCell ref="R421:V421"/>
    <mergeCell ref="R422:V422"/>
    <mergeCell ref="R423:V423"/>
    <mergeCell ref="R424:V424"/>
    <mergeCell ref="R425:V425"/>
    <mergeCell ref="B434:F434"/>
    <mergeCell ref="H434:J434"/>
    <mergeCell ref="L434:N434"/>
    <mergeCell ref="A436:H436"/>
    <mergeCell ref="I436:N436"/>
    <mergeCell ref="R436:V436"/>
    <mergeCell ref="B437:F437"/>
    <mergeCell ref="H437:J437"/>
    <mergeCell ref="L437:N437"/>
    <mergeCell ref="R437:V437"/>
    <mergeCell ref="R438:V438"/>
    <mergeCell ref="R439:V439"/>
    <mergeCell ref="R440:V440"/>
    <mergeCell ref="R441:V441"/>
    <mergeCell ref="R442:V442"/>
    <mergeCell ref="R443:V443"/>
    <mergeCell ref="B452:F452"/>
    <mergeCell ref="H452:J452"/>
    <mergeCell ref="L452:N452"/>
    <mergeCell ref="A454:H454"/>
    <mergeCell ref="I454:N454"/>
    <mergeCell ref="R454:V454"/>
    <mergeCell ref="B455:F455"/>
    <mergeCell ref="H455:J455"/>
    <mergeCell ref="L455:N455"/>
    <mergeCell ref="R455:V455"/>
    <mergeCell ref="R456:V456"/>
    <mergeCell ref="R457:V457"/>
    <mergeCell ref="R458:V458"/>
    <mergeCell ref="R459:V459"/>
    <mergeCell ref="R460:V460"/>
    <mergeCell ref="R461:V461"/>
    <mergeCell ref="B470:F470"/>
    <mergeCell ref="H470:J470"/>
    <mergeCell ref="L470:N470"/>
    <mergeCell ref="A472:H472"/>
    <mergeCell ref="I472:N472"/>
    <mergeCell ref="R472:V472"/>
    <mergeCell ref="B473:F473"/>
    <mergeCell ref="H473:J473"/>
    <mergeCell ref="L473:N473"/>
    <mergeCell ref="R473:V473"/>
    <mergeCell ref="R474:V474"/>
    <mergeCell ref="R475:V475"/>
    <mergeCell ref="R476:V476"/>
    <mergeCell ref="R477:V477"/>
    <mergeCell ref="R478:V478"/>
    <mergeCell ref="R479:V479"/>
    <mergeCell ref="B488:F488"/>
    <mergeCell ref="H488:J488"/>
    <mergeCell ref="L488:N488"/>
  </mergeCells>
  <conditionalFormatting sqref="B17">
    <cfRule type="cellIs" priority="2" operator="lessThan" aboveAverage="0" equalAverage="0" bottom="0" percent="0" rank="0" text="" dxfId="0">
      <formula>0.2</formula>
    </cfRule>
    <cfRule type="cellIs" priority="3" operator="between" aboveAverage="0" equalAverage="0" bottom="0" percent="0" rank="0" text="" dxfId="1">
      <formula>0.2</formula>
      <formula>0.29999</formula>
    </cfRule>
    <cfRule type="cellIs" priority="4" operator="greaterThanOrEqual" aboveAverage="0" equalAverage="0" bottom="0" percent="0" rank="0" text="" dxfId="2">
      <formula>0.3</formula>
    </cfRule>
  </conditionalFormatting>
  <conditionalFormatting sqref="L17">
    <cfRule type="expression" priority="5" aboveAverage="0" equalAverage="0" bottom="0" percent="0" rank="0" text="" dxfId="0">
      <formula>$B$17&lt;0.2</formula>
    </cfRule>
    <cfRule type="expression" priority="6" aboveAverage="0" equalAverage="0" bottom="0" percent="0" rank="0" text="" dxfId="1">
      <formula>AND($B$17&gt;=0.2,$B$17&lt;0.3)</formula>
    </cfRule>
    <cfRule type="expression" priority="7" aboveAverage="0" equalAverage="0" bottom="0" percent="0" rank="0" text="" dxfId="2">
      <formula>$B$17&gt;=0.3</formula>
    </cfRule>
  </conditionalFormatting>
  <conditionalFormatting sqref="B35">
    <cfRule type="cellIs" priority="8" operator="lessThan" aboveAverage="0" equalAverage="0" bottom="0" percent="0" rank="0" text="" dxfId="0">
      <formula>0.2</formula>
    </cfRule>
    <cfRule type="cellIs" priority="9" operator="between" aboveAverage="0" equalAverage="0" bottom="0" percent="0" rank="0" text="" dxfId="1">
      <formula>0.2</formula>
      <formula>0.29999</formula>
    </cfRule>
    <cfRule type="cellIs" priority="10" operator="greaterThanOrEqual" aboveAverage="0" equalAverage="0" bottom="0" percent="0" rank="0" text="" dxfId="2">
      <formula>0.3</formula>
    </cfRule>
  </conditionalFormatting>
  <conditionalFormatting sqref="L35">
    <cfRule type="expression" priority="11" aboveAverage="0" equalAverage="0" bottom="0" percent="0" rank="0" text="" dxfId="0">
      <formula>$B$35&lt;0.2</formula>
    </cfRule>
    <cfRule type="expression" priority="12" aboveAverage="0" equalAverage="0" bottom="0" percent="0" rank="0" text="" dxfId="1">
      <formula>AND($B$35&gt;=0.2,$B$35&lt;0.3)</formula>
    </cfRule>
    <cfRule type="expression" priority="13" aboveAverage="0" equalAverage="0" bottom="0" percent="0" rank="0" text="" dxfId="2">
      <formula>$B$35&gt;=0.3</formula>
    </cfRule>
  </conditionalFormatting>
  <conditionalFormatting sqref="B53">
    <cfRule type="cellIs" priority="14" operator="lessThan" aboveAverage="0" equalAverage="0" bottom="0" percent="0" rank="0" text="" dxfId="0">
      <formula>0.2</formula>
    </cfRule>
    <cfRule type="cellIs" priority="15" operator="between" aboveAverage="0" equalAverage="0" bottom="0" percent="0" rank="0" text="" dxfId="1">
      <formula>0.2</formula>
      <formula>0.29999</formula>
    </cfRule>
    <cfRule type="cellIs" priority="16" operator="greaterThanOrEqual" aboveAverage="0" equalAverage="0" bottom="0" percent="0" rank="0" text="" dxfId="2">
      <formula>0.3</formula>
    </cfRule>
  </conditionalFormatting>
  <conditionalFormatting sqref="L53">
    <cfRule type="expression" priority="17" aboveAverage="0" equalAverage="0" bottom="0" percent="0" rank="0" text="" dxfId="0">
      <formula>$B$53&lt;0.2</formula>
    </cfRule>
    <cfRule type="expression" priority="18" aboveAverage="0" equalAverage="0" bottom="0" percent="0" rank="0" text="" dxfId="1">
      <formula>AND($B$53&gt;=0.2,$B$53&lt;0.3)</formula>
    </cfRule>
    <cfRule type="expression" priority="19" aboveAverage="0" equalAverage="0" bottom="0" percent="0" rank="0" text="" dxfId="2">
      <formula>$B$53&gt;=0.3</formula>
    </cfRule>
  </conditionalFormatting>
  <conditionalFormatting sqref="B72">
    <cfRule type="cellIs" priority="20" operator="lessThan" aboveAverage="0" equalAverage="0" bottom="0" percent="0" rank="0" text="" dxfId="0">
      <formula>0.2</formula>
    </cfRule>
    <cfRule type="cellIs" priority="21" operator="between" aboveAverage="0" equalAverage="0" bottom="0" percent="0" rank="0" text="" dxfId="1">
      <formula>0.2</formula>
      <formula>0.29999</formula>
    </cfRule>
    <cfRule type="cellIs" priority="22" operator="greaterThanOrEqual" aboveAverage="0" equalAverage="0" bottom="0" percent="0" rank="0" text="" dxfId="2">
      <formula>0.3</formula>
    </cfRule>
  </conditionalFormatting>
  <conditionalFormatting sqref="L72">
    <cfRule type="expression" priority="23" aboveAverage="0" equalAverage="0" bottom="0" percent="0" rank="0" text="" dxfId="0">
      <formula>$B$72&lt;0.2</formula>
    </cfRule>
    <cfRule type="expression" priority="24" aboveAverage="0" equalAverage="0" bottom="0" percent="0" rank="0" text="" dxfId="1">
      <formula>AND($B$72&gt;=0.2,$B$72&lt;0.3)</formula>
    </cfRule>
    <cfRule type="expression" priority="25" aboveAverage="0" equalAverage="0" bottom="0" percent="0" rank="0" text="" dxfId="2">
      <formula>$B$72&gt;=0.3</formula>
    </cfRule>
  </conditionalFormatting>
  <conditionalFormatting sqref="B90">
    <cfRule type="cellIs" priority="26" operator="lessThan" aboveAverage="0" equalAverage="0" bottom="0" percent="0" rank="0" text="" dxfId="0">
      <formula>0.2</formula>
    </cfRule>
    <cfRule type="cellIs" priority="27" operator="between" aboveAverage="0" equalAverage="0" bottom="0" percent="0" rank="0" text="" dxfId="1">
      <formula>0.2</formula>
      <formula>0.29999</formula>
    </cfRule>
    <cfRule type="cellIs" priority="28" operator="greaterThanOrEqual" aboveAverage="0" equalAverage="0" bottom="0" percent="0" rank="0" text="" dxfId="2">
      <formula>0.3</formula>
    </cfRule>
  </conditionalFormatting>
  <conditionalFormatting sqref="L90">
    <cfRule type="expression" priority="29" aboveAverage="0" equalAverage="0" bottom="0" percent="0" rank="0" text="" dxfId="0">
      <formula>$B$90&lt;0.2</formula>
    </cfRule>
    <cfRule type="expression" priority="30" aboveAverage="0" equalAverage="0" bottom="0" percent="0" rank="0" text="" dxfId="1">
      <formula>AND($B$90&gt;=0.2,$B$90&lt;0.3)</formula>
    </cfRule>
    <cfRule type="expression" priority="31" aboveAverage="0" equalAverage="0" bottom="0" percent="0" rank="0" text="" dxfId="2">
      <formula>$B$90&gt;=0.3</formula>
    </cfRule>
  </conditionalFormatting>
  <conditionalFormatting sqref="B108">
    <cfRule type="cellIs" priority="32" operator="lessThan" aboveAverage="0" equalAverage="0" bottom="0" percent="0" rank="0" text="" dxfId="0">
      <formula>0.2</formula>
    </cfRule>
    <cfRule type="cellIs" priority="33" operator="between" aboveAverage="0" equalAverage="0" bottom="0" percent="0" rank="0" text="" dxfId="1">
      <formula>0.2</formula>
      <formula>0.29999</formula>
    </cfRule>
    <cfRule type="cellIs" priority="34" operator="greaterThanOrEqual" aboveAverage="0" equalAverage="0" bottom="0" percent="0" rank="0" text="" dxfId="2">
      <formula>0.3</formula>
    </cfRule>
  </conditionalFormatting>
  <conditionalFormatting sqref="L108">
    <cfRule type="expression" priority="35" aboveAverage="0" equalAverage="0" bottom="0" percent="0" rank="0" text="" dxfId="0">
      <formula>$B$108&lt;0.2</formula>
    </cfRule>
    <cfRule type="expression" priority="36" aboveAverage="0" equalAverage="0" bottom="0" percent="0" rank="0" text="" dxfId="1">
      <formula>AND($B$108&gt;=0.2,$B$108&lt;0.3)</formula>
    </cfRule>
    <cfRule type="expression" priority="37" aboveAverage="0" equalAverage="0" bottom="0" percent="0" rank="0" text="" dxfId="2">
      <formula>$B$108&gt;=0.3</formula>
    </cfRule>
  </conditionalFormatting>
  <conditionalFormatting sqref="B126">
    <cfRule type="cellIs" priority="38" operator="lessThan" aboveAverage="0" equalAverage="0" bottom="0" percent="0" rank="0" text="" dxfId="0">
      <formula>0.2</formula>
    </cfRule>
    <cfRule type="cellIs" priority="39" operator="between" aboveAverage="0" equalAverage="0" bottom="0" percent="0" rank="0" text="" dxfId="1">
      <formula>0.2</formula>
      <formula>0.29999</formula>
    </cfRule>
    <cfRule type="cellIs" priority="40" operator="greaterThanOrEqual" aboveAverage="0" equalAverage="0" bottom="0" percent="0" rank="0" text="" dxfId="2">
      <formula>0.3</formula>
    </cfRule>
  </conditionalFormatting>
  <conditionalFormatting sqref="L126">
    <cfRule type="expression" priority="41" aboveAverage="0" equalAverage="0" bottom="0" percent="0" rank="0" text="" dxfId="0">
      <formula>$B$126&lt;0.2</formula>
    </cfRule>
    <cfRule type="expression" priority="42" aboveAverage="0" equalAverage="0" bottom="0" percent="0" rank="0" text="" dxfId="1">
      <formula>AND($B$126&gt;=0.2,$B$126&lt;0.3)</formula>
    </cfRule>
    <cfRule type="expression" priority="43" aboveAverage="0" equalAverage="0" bottom="0" percent="0" rank="0" text="" dxfId="2">
      <formula>$B$126&gt;=0.3</formula>
    </cfRule>
  </conditionalFormatting>
  <conditionalFormatting sqref="B145">
    <cfRule type="cellIs" priority="44" operator="lessThan" aboveAverage="0" equalAverage="0" bottom="0" percent="0" rank="0" text="" dxfId="0">
      <formula>0.2</formula>
    </cfRule>
    <cfRule type="cellIs" priority="45" operator="between" aboveAverage="0" equalAverage="0" bottom="0" percent="0" rank="0" text="" dxfId="1">
      <formula>0.2</formula>
      <formula>0.29999</formula>
    </cfRule>
    <cfRule type="cellIs" priority="46" operator="greaterThanOrEqual" aboveAverage="0" equalAverage="0" bottom="0" percent="0" rank="0" text="" dxfId="2">
      <formula>0.3</formula>
    </cfRule>
  </conditionalFormatting>
  <conditionalFormatting sqref="L145">
    <cfRule type="expression" priority="47" aboveAverage="0" equalAverage="0" bottom="0" percent="0" rank="0" text="" dxfId="0">
      <formula>$B$145&lt;0.2</formula>
    </cfRule>
    <cfRule type="expression" priority="48" aboveAverage="0" equalAverage="0" bottom="0" percent="0" rank="0" text="" dxfId="1">
      <formula>AND($B$145&gt;=0.2,$B$145&lt;0.3)</formula>
    </cfRule>
    <cfRule type="expression" priority="49" aboveAverage="0" equalAverage="0" bottom="0" percent="0" rank="0" text="" dxfId="2">
      <formula>$B$145&gt;=0.3</formula>
    </cfRule>
  </conditionalFormatting>
  <conditionalFormatting sqref="B163">
    <cfRule type="cellIs" priority="50" operator="lessThan" aboveAverage="0" equalAverage="0" bottom="0" percent="0" rank="0" text="" dxfId="0">
      <formula>0.2</formula>
    </cfRule>
    <cfRule type="cellIs" priority="51" operator="between" aboveAverage="0" equalAverage="0" bottom="0" percent="0" rank="0" text="" dxfId="1">
      <formula>0.2</formula>
      <formula>0.29999</formula>
    </cfRule>
    <cfRule type="cellIs" priority="52" operator="greaterThanOrEqual" aboveAverage="0" equalAverage="0" bottom="0" percent="0" rank="0" text="" dxfId="2">
      <formula>0.3</formula>
    </cfRule>
  </conditionalFormatting>
  <conditionalFormatting sqref="L163">
    <cfRule type="expression" priority="53" aboveAverage="0" equalAverage="0" bottom="0" percent="0" rank="0" text="" dxfId="0">
      <formula>$B$163&lt;0.2</formula>
    </cfRule>
    <cfRule type="expression" priority="54" aboveAverage="0" equalAverage="0" bottom="0" percent="0" rank="0" text="" dxfId="1">
      <formula>AND($B$163&gt;=0.2,$B$163&lt;0.3)</formula>
    </cfRule>
    <cfRule type="expression" priority="55" aboveAverage="0" equalAverage="0" bottom="0" percent="0" rank="0" text="" dxfId="2">
      <formula>$B$163&gt;=0.3</formula>
    </cfRule>
  </conditionalFormatting>
  <conditionalFormatting sqref="B181">
    <cfRule type="cellIs" priority="56" operator="lessThan" aboveAverage="0" equalAverage="0" bottom="0" percent="0" rank="0" text="" dxfId="0">
      <formula>0.2</formula>
    </cfRule>
    <cfRule type="cellIs" priority="57" operator="between" aboveAverage="0" equalAverage="0" bottom="0" percent="0" rank="0" text="" dxfId="1">
      <formula>0.2</formula>
      <formula>0.29999</formula>
    </cfRule>
    <cfRule type="cellIs" priority="58" operator="greaterThanOrEqual" aboveAverage="0" equalAverage="0" bottom="0" percent="0" rank="0" text="" dxfId="2">
      <formula>0.3</formula>
    </cfRule>
  </conditionalFormatting>
  <conditionalFormatting sqref="L181">
    <cfRule type="expression" priority="59" aboveAverage="0" equalAverage="0" bottom="0" percent="0" rank="0" text="" dxfId="0">
      <formula>$B$181&lt;0.2</formula>
    </cfRule>
    <cfRule type="expression" priority="60" aboveAverage="0" equalAverage="0" bottom="0" percent="0" rank="0" text="" dxfId="1">
      <formula>AND($B$181&gt;=0.2,$B$181&lt;0.3)</formula>
    </cfRule>
    <cfRule type="expression" priority="61" aboveAverage="0" equalAverage="0" bottom="0" percent="0" rank="0" text="" dxfId="2">
      <formula>$B$181&gt;=0.3</formula>
    </cfRule>
  </conditionalFormatting>
  <conditionalFormatting sqref="B199">
    <cfRule type="cellIs" priority="62" operator="lessThan" aboveAverage="0" equalAverage="0" bottom="0" percent="0" rank="0" text="" dxfId="0">
      <formula>0.2</formula>
    </cfRule>
    <cfRule type="cellIs" priority="63" operator="between" aboveAverage="0" equalAverage="0" bottom="0" percent="0" rank="0" text="" dxfId="1">
      <formula>0.2</formula>
      <formula>0.29999</formula>
    </cfRule>
    <cfRule type="cellIs" priority="64" operator="greaterThanOrEqual" aboveAverage="0" equalAverage="0" bottom="0" percent="0" rank="0" text="" dxfId="2">
      <formula>0.3</formula>
    </cfRule>
  </conditionalFormatting>
  <conditionalFormatting sqref="L199">
    <cfRule type="expression" priority="65" aboveAverage="0" equalAverage="0" bottom="0" percent="0" rank="0" text="" dxfId="0">
      <formula>$B$199&lt;0.2</formula>
    </cfRule>
    <cfRule type="expression" priority="66" aboveAverage="0" equalAverage="0" bottom="0" percent="0" rank="0" text="" dxfId="1">
      <formula>AND($B$199&gt;=0.2,$B$199&lt;0.3)</formula>
    </cfRule>
    <cfRule type="expression" priority="67" aboveAverage="0" equalAverage="0" bottom="0" percent="0" rank="0" text="" dxfId="2">
      <formula>$B$199&gt;=0.3</formula>
    </cfRule>
  </conditionalFormatting>
  <conditionalFormatting sqref="B217">
    <cfRule type="cellIs" priority="68" operator="lessThan" aboveAverage="0" equalAverage="0" bottom="0" percent="0" rank="0" text="" dxfId="0">
      <formula>0.2</formula>
    </cfRule>
    <cfRule type="cellIs" priority="69" operator="between" aboveAverage="0" equalAverage="0" bottom="0" percent="0" rank="0" text="" dxfId="1">
      <formula>0.2</formula>
      <formula>0.29999</formula>
    </cfRule>
    <cfRule type="cellIs" priority="70" operator="greaterThanOrEqual" aboveAverage="0" equalAverage="0" bottom="0" percent="0" rank="0" text="" dxfId="2">
      <formula>0.3</formula>
    </cfRule>
  </conditionalFormatting>
  <conditionalFormatting sqref="L217">
    <cfRule type="expression" priority="71" aboveAverage="0" equalAverage="0" bottom="0" percent="0" rank="0" text="" dxfId="0">
      <formula>$B$217&lt;0.2</formula>
    </cfRule>
    <cfRule type="expression" priority="72" aboveAverage="0" equalAverage="0" bottom="0" percent="0" rank="0" text="" dxfId="1">
      <formula>AND($B$217&gt;=0.2,$B$217&lt;0.3)</formula>
    </cfRule>
    <cfRule type="expression" priority="73" aboveAverage="0" equalAverage="0" bottom="0" percent="0" rank="0" text="" dxfId="2">
      <formula>$B$217&gt;=0.3</formula>
    </cfRule>
  </conditionalFormatting>
  <conditionalFormatting sqref="B235">
    <cfRule type="cellIs" priority="74" operator="lessThan" aboveAverage="0" equalAverage="0" bottom="0" percent="0" rank="0" text="" dxfId="0">
      <formula>0.2</formula>
    </cfRule>
    <cfRule type="cellIs" priority="75" operator="between" aboveAverage="0" equalAverage="0" bottom="0" percent="0" rank="0" text="" dxfId="1">
      <formula>0.2</formula>
      <formula>0.29999</formula>
    </cfRule>
    <cfRule type="cellIs" priority="76" operator="greaterThanOrEqual" aboveAverage="0" equalAverage="0" bottom="0" percent="0" rank="0" text="" dxfId="2">
      <formula>0.3</formula>
    </cfRule>
  </conditionalFormatting>
  <conditionalFormatting sqref="L235">
    <cfRule type="expression" priority="77" aboveAverage="0" equalAverage="0" bottom="0" percent="0" rank="0" text="" dxfId="0">
      <formula>$B$235&lt;0.2</formula>
    </cfRule>
    <cfRule type="expression" priority="78" aboveAverage="0" equalAverage="0" bottom="0" percent="0" rank="0" text="" dxfId="1">
      <formula>AND($B$235&gt;=0.2,$B$235&lt;0.3)</formula>
    </cfRule>
    <cfRule type="expression" priority="79" aboveAverage="0" equalAverage="0" bottom="0" percent="0" rank="0" text="" dxfId="2">
      <formula>$B$235&gt;=0.3</formula>
    </cfRule>
  </conditionalFormatting>
  <conditionalFormatting sqref="B253">
    <cfRule type="cellIs" priority="80" operator="lessThan" aboveAverage="0" equalAverage="0" bottom="0" percent="0" rank="0" text="" dxfId="0">
      <formula>0.2</formula>
    </cfRule>
    <cfRule type="cellIs" priority="81" operator="between" aboveAverage="0" equalAverage="0" bottom="0" percent="0" rank="0" text="" dxfId="1">
      <formula>0.2</formula>
      <formula>0.29999</formula>
    </cfRule>
    <cfRule type="cellIs" priority="82" operator="greaterThanOrEqual" aboveAverage="0" equalAverage="0" bottom="0" percent="0" rank="0" text="" dxfId="2">
      <formula>0.3</formula>
    </cfRule>
  </conditionalFormatting>
  <conditionalFormatting sqref="L253">
    <cfRule type="expression" priority="83" aboveAverage="0" equalAverage="0" bottom="0" percent="0" rank="0" text="" dxfId="0">
      <formula>$B$253&lt;0.2</formula>
    </cfRule>
    <cfRule type="expression" priority="84" aboveAverage="0" equalAverage="0" bottom="0" percent="0" rank="0" text="" dxfId="1">
      <formula>AND($B$253&gt;=0.2,$B$253&lt;0.3)</formula>
    </cfRule>
    <cfRule type="expression" priority="85" aboveAverage="0" equalAverage="0" bottom="0" percent="0" rank="0" text="" dxfId="2">
      <formula>$B$253&gt;=0.3</formula>
    </cfRule>
  </conditionalFormatting>
  <conditionalFormatting sqref="B271">
    <cfRule type="cellIs" priority="86" operator="lessThan" aboveAverage="0" equalAverage="0" bottom="0" percent="0" rank="0" text="" dxfId="0">
      <formula>0.2</formula>
    </cfRule>
    <cfRule type="cellIs" priority="87" operator="between" aboveAverage="0" equalAverage="0" bottom="0" percent="0" rank="0" text="" dxfId="1">
      <formula>0.2</formula>
      <formula>0.29999</formula>
    </cfRule>
    <cfRule type="cellIs" priority="88" operator="greaterThanOrEqual" aboveAverage="0" equalAverage="0" bottom="0" percent="0" rank="0" text="" dxfId="2">
      <formula>0.3</formula>
    </cfRule>
  </conditionalFormatting>
  <conditionalFormatting sqref="L271">
    <cfRule type="expression" priority="89" aboveAverage="0" equalAverage="0" bottom="0" percent="0" rank="0" text="" dxfId="0">
      <formula>$B$271&lt;0.2</formula>
    </cfRule>
    <cfRule type="expression" priority="90" aboveAverage="0" equalAverage="0" bottom="0" percent="0" rank="0" text="" dxfId="1">
      <formula>AND($B$271&gt;=0.2,$B$271&lt;0.3)</formula>
    </cfRule>
    <cfRule type="expression" priority="91" aboveAverage="0" equalAverage="0" bottom="0" percent="0" rank="0" text="" dxfId="2">
      <formula>$B$271&gt;=0.3</formula>
    </cfRule>
  </conditionalFormatting>
  <conditionalFormatting sqref="B289">
    <cfRule type="cellIs" priority="92" operator="lessThan" aboveAverage="0" equalAverage="0" bottom="0" percent="0" rank="0" text="" dxfId="0">
      <formula>0.2</formula>
    </cfRule>
    <cfRule type="cellIs" priority="93" operator="between" aboveAverage="0" equalAverage="0" bottom="0" percent="0" rank="0" text="" dxfId="1">
      <formula>0.2</formula>
      <formula>0.29999</formula>
    </cfRule>
    <cfRule type="cellIs" priority="94" operator="greaterThanOrEqual" aboveAverage="0" equalAverage="0" bottom="0" percent="0" rank="0" text="" dxfId="2">
      <formula>0.3</formula>
    </cfRule>
  </conditionalFormatting>
  <conditionalFormatting sqref="L289">
    <cfRule type="expression" priority="95" aboveAverage="0" equalAverage="0" bottom="0" percent="0" rank="0" text="" dxfId="0">
      <formula>$B$289&lt;0.2</formula>
    </cfRule>
    <cfRule type="expression" priority="96" aboveAverage="0" equalAverage="0" bottom="0" percent="0" rank="0" text="" dxfId="1">
      <formula>AND($B$289&gt;=0.2,$B$289&lt;0.3)</formula>
    </cfRule>
    <cfRule type="expression" priority="97" aboveAverage="0" equalAverage="0" bottom="0" percent="0" rank="0" text="" dxfId="2">
      <formula>$B$289&gt;=0.3</formula>
    </cfRule>
  </conditionalFormatting>
  <conditionalFormatting sqref="B307">
    <cfRule type="cellIs" priority="98" operator="lessThan" aboveAverage="0" equalAverage="0" bottom="0" percent="0" rank="0" text="" dxfId="0">
      <formula>0.2</formula>
    </cfRule>
    <cfRule type="cellIs" priority="99" operator="between" aboveAverage="0" equalAverage="0" bottom="0" percent="0" rank="0" text="" dxfId="1">
      <formula>0.2</formula>
      <formula>0.29999</formula>
    </cfRule>
    <cfRule type="cellIs" priority="100" operator="greaterThanOrEqual" aboveAverage="0" equalAverage="0" bottom="0" percent="0" rank="0" text="" dxfId="2">
      <formula>0.3</formula>
    </cfRule>
  </conditionalFormatting>
  <conditionalFormatting sqref="L307">
    <cfRule type="expression" priority="101" aboveAverage="0" equalAverage="0" bottom="0" percent="0" rank="0" text="" dxfId="0">
      <formula>$B$307&lt;0.2</formula>
    </cfRule>
    <cfRule type="expression" priority="102" aboveAverage="0" equalAverage="0" bottom="0" percent="0" rank="0" text="" dxfId="1">
      <formula>AND($B$307&gt;=0.2,$B$307&lt;0.3)</formula>
    </cfRule>
    <cfRule type="expression" priority="103" aboveAverage="0" equalAverage="0" bottom="0" percent="0" rank="0" text="" dxfId="2">
      <formula>$B$307&gt;=0.3</formula>
    </cfRule>
  </conditionalFormatting>
  <conditionalFormatting sqref="B325">
    <cfRule type="cellIs" priority="104" operator="lessThan" aboveAverage="0" equalAverage="0" bottom="0" percent="0" rank="0" text="" dxfId="0">
      <formula>0.2</formula>
    </cfRule>
    <cfRule type="cellIs" priority="105" operator="between" aboveAverage="0" equalAverage="0" bottom="0" percent="0" rank="0" text="" dxfId="1">
      <formula>0.2</formula>
      <formula>0.29999</formula>
    </cfRule>
    <cfRule type="cellIs" priority="106" operator="greaterThanOrEqual" aboveAverage="0" equalAverage="0" bottom="0" percent="0" rank="0" text="" dxfId="2">
      <formula>0.3</formula>
    </cfRule>
  </conditionalFormatting>
  <conditionalFormatting sqref="L325">
    <cfRule type="expression" priority="107" aboveAverage="0" equalAverage="0" bottom="0" percent="0" rank="0" text="" dxfId="0">
      <formula>$B$325&lt;0.2</formula>
    </cfRule>
    <cfRule type="expression" priority="108" aboveAverage="0" equalAverage="0" bottom="0" percent="0" rank="0" text="" dxfId="1">
      <formula>AND($B$325&gt;=0.2,$B$325&lt;0.3)</formula>
    </cfRule>
    <cfRule type="expression" priority="109" aboveAverage="0" equalAverage="0" bottom="0" percent="0" rank="0" text="" dxfId="2">
      <formula>$B$325&gt;=0.3</formula>
    </cfRule>
  </conditionalFormatting>
  <conditionalFormatting sqref="B343">
    <cfRule type="cellIs" priority="110" operator="lessThan" aboveAverage="0" equalAverage="0" bottom="0" percent="0" rank="0" text="" dxfId="0">
      <formula>0.2</formula>
    </cfRule>
    <cfRule type="cellIs" priority="111" operator="between" aboveAverage="0" equalAverage="0" bottom="0" percent="0" rank="0" text="" dxfId="1">
      <formula>0.2</formula>
      <formula>0.29999</formula>
    </cfRule>
    <cfRule type="cellIs" priority="112" operator="greaterThanOrEqual" aboveAverage="0" equalAverage="0" bottom="0" percent="0" rank="0" text="" dxfId="2">
      <formula>0.3</formula>
    </cfRule>
  </conditionalFormatting>
  <conditionalFormatting sqref="L343">
    <cfRule type="expression" priority="113" aboveAverage="0" equalAverage="0" bottom="0" percent="0" rank="0" text="" dxfId="0">
      <formula>$B$343&lt;0.2</formula>
    </cfRule>
    <cfRule type="expression" priority="114" aboveAverage="0" equalAverage="0" bottom="0" percent="0" rank="0" text="" dxfId="1">
      <formula>AND($B$343&gt;=0.2,$B$343&lt;0.3)</formula>
    </cfRule>
    <cfRule type="expression" priority="115" aboveAverage="0" equalAverage="0" bottom="0" percent="0" rank="0" text="" dxfId="2">
      <formula>$B$343&gt;=0.3</formula>
    </cfRule>
  </conditionalFormatting>
  <conditionalFormatting sqref="B361">
    <cfRule type="cellIs" priority="116" operator="lessThan" aboveAverage="0" equalAverage="0" bottom="0" percent="0" rank="0" text="" dxfId="0">
      <formula>0.2</formula>
    </cfRule>
    <cfRule type="cellIs" priority="117" operator="between" aboveAverage="0" equalAverage="0" bottom="0" percent="0" rank="0" text="" dxfId="1">
      <formula>0.2</formula>
      <formula>0.29999</formula>
    </cfRule>
    <cfRule type="cellIs" priority="118" operator="greaterThanOrEqual" aboveAverage="0" equalAverage="0" bottom="0" percent="0" rank="0" text="" dxfId="2">
      <formula>0.3</formula>
    </cfRule>
  </conditionalFormatting>
  <conditionalFormatting sqref="L361">
    <cfRule type="expression" priority="119" aboveAverage="0" equalAverage="0" bottom="0" percent="0" rank="0" text="" dxfId="0">
      <formula>$B$361&lt;0.2</formula>
    </cfRule>
    <cfRule type="expression" priority="120" aboveAverage="0" equalAverage="0" bottom="0" percent="0" rank="0" text="" dxfId="1">
      <formula>AND($B$361&gt;=0.2,$B$361&lt;0.3)</formula>
    </cfRule>
    <cfRule type="expression" priority="121" aboveAverage="0" equalAverage="0" bottom="0" percent="0" rank="0" text="" dxfId="2">
      <formula>$B$361&gt;=0.3</formula>
    </cfRule>
  </conditionalFormatting>
  <conditionalFormatting sqref="B379">
    <cfRule type="cellIs" priority="122" operator="lessThan" aboveAverage="0" equalAverage="0" bottom="0" percent="0" rank="0" text="" dxfId="0">
      <formula>0.2</formula>
    </cfRule>
    <cfRule type="cellIs" priority="123" operator="between" aboveAverage="0" equalAverage="0" bottom="0" percent="0" rank="0" text="" dxfId="1">
      <formula>0.2</formula>
      <formula>0.29999</formula>
    </cfRule>
    <cfRule type="cellIs" priority="124" operator="greaterThanOrEqual" aboveAverage="0" equalAverage="0" bottom="0" percent="0" rank="0" text="" dxfId="2">
      <formula>0.3</formula>
    </cfRule>
  </conditionalFormatting>
  <conditionalFormatting sqref="L379">
    <cfRule type="expression" priority="125" aboveAverage="0" equalAverage="0" bottom="0" percent="0" rank="0" text="" dxfId="0">
      <formula>$B$379&lt;0.2</formula>
    </cfRule>
    <cfRule type="expression" priority="126" aboveAverage="0" equalAverage="0" bottom="0" percent="0" rank="0" text="" dxfId="1">
      <formula>AND($B$379&gt;=0.2,$B$379&lt;0.3)</formula>
    </cfRule>
    <cfRule type="expression" priority="127" aboveAverage="0" equalAverage="0" bottom="0" percent="0" rank="0" text="" dxfId="2">
      <formula>$B$379&gt;=0.3</formula>
    </cfRule>
  </conditionalFormatting>
  <conditionalFormatting sqref="B398">
    <cfRule type="cellIs" priority="128" operator="lessThan" aboveAverage="0" equalAverage="0" bottom="0" percent="0" rank="0" text="" dxfId="0">
      <formula>0.2</formula>
    </cfRule>
    <cfRule type="cellIs" priority="129" operator="between" aboveAverage="0" equalAverage="0" bottom="0" percent="0" rank="0" text="" dxfId="1">
      <formula>0.2</formula>
      <formula>0.29999</formula>
    </cfRule>
    <cfRule type="cellIs" priority="130" operator="greaterThanOrEqual" aboveAverage="0" equalAverage="0" bottom="0" percent="0" rank="0" text="" dxfId="2">
      <formula>0.3</formula>
    </cfRule>
  </conditionalFormatting>
  <conditionalFormatting sqref="L398">
    <cfRule type="expression" priority="131" aboveAverage="0" equalAverage="0" bottom="0" percent="0" rank="0" text="" dxfId="0">
      <formula>$B$398&lt;0.2</formula>
    </cfRule>
    <cfRule type="expression" priority="132" aboveAverage="0" equalAverage="0" bottom="0" percent="0" rank="0" text="" dxfId="1">
      <formula>AND($B$398&gt;=0.2,$B$398&lt;0.3)</formula>
    </cfRule>
    <cfRule type="expression" priority="133" aboveAverage="0" equalAverage="0" bottom="0" percent="0" rank="0" text="" dxfId="2">
      <formula>$B$398&gt;=0.3</formula>
    </cfRule>
  </conditionalFormatting>
  <conditionalFormatting sqref="B416">
    <cfRule type="cellIs" priority="134" operator="lessThan" aboveAverage="0" equalAverage="0" bottom="0" percent="0" rank="0" text="" dxfId="0">
      <formula>0.2</formula>
    </cfRule>
    <cfRule type="cellIs" priority="135" operator="between" aboveAverage="0" equalAverage="0" bottom="0" percent="0" rank="0" text="" dxfId="1">
      <formula>0.2</formula>
      <formula>0.29999</formula>
    </cfRule>
    <cfRule type="cellIs" priority="136" operator="greaterThanOrEqual" aboveAverage="0" equalAverage="0" bottom="0" percent="0" rank="0" text="" dxfId="2">
      <formula>0.3</formula>
    </cfRule>
  </conditionalFormatting>
  <conditionalFormatting sqref="L416">
    <cfRule type="expression" priority="137" aboveAverage="0" equalAverage="0" bottom="0" percent="0" rank="0" text="" dxfId="0">
      <formula>$B$416&lt;0.2</formula>
    </cfRule>
    <cfRule type="expression" priority="138" aboveAverage="0" equalAverage="0" bottom="0" percent="0" rank="0" text="" dxfId="1">
      <formula>AND($B$416&gt;=0.2,$B$416&lt;0.3)</formula>
    </cfRule>
    <cfRule type="expression" priority="139" aboveAverage="0" equalAverage="0" bottom="0" percent="0" rank="0" text="" dxfId="2">
      <formula>$B$416&gt;=0.3</formula>
    </cfRule>
  </conditionalFormatting>
  <conditionalFormatting sqref="B434">
    <cfRule type="cellIs" priority="140" operator="lessThan" aboveAverage="0" equalAverage="0" bottom="0" percent="0" rank="0" text="" dxfId="0">
      <formula>0.2</formula>
    </cfRule>
    <cfRule type="cellIs" priority="141" operator="between" aboveAverage="0" equalAverage="0" bottom="0" percent="0" rank="0" text="" dxfId="1">
      <formula>0.2</formula>
      <formula>0.29999</formula>
    </cfRule>
    <cfRule type="cellIs" priority="142" operator="greaterThanOrEqual" aboveAverage="0" equalAverage="0" bottom="0" percent="0" rank="0" text="" dxfId="2">
      <formula>0.3</formula>
    </cfRule>
  </conditionalFormatting>
  <conditionalFormatting sqref="L434">
    <cfRule type="expression" priority="143" aboveAverage="0" equalAverage="0" bottom="0" percent="0" rank="0" text="" dxfId="0">
      <formula>$B$434&lt;0.2</formula>
    </cfRule>
    <cfRule type="expression" priority="144" aboveAverage="0" equalAverage="0" bottom="0" percent="0" rank="0" text="" dxfId="1">
      <formula>AND($B$434&gt;=0.2,$B$434&lt;0.3)</formula>
    </cfRule>
    <cfRule type="expression" priority="145" aboveAverage="0" equalAverage="0" bottom="0" percent="0" rank="0" text="" dxfId="2">
      <formula>$B$434&gt;=0.3</formula>
    </cfRule>
  </conditionalFormatting>
  <conditionalFormatting sqref="B452">
    <cfRule type="cellIs" priority="146" operator="lessThan" aboveAverage="0" equalAverage="0" bottom="0" percent="0" rank="0" text="" dxfId="0">
      <formula>0.2</formula>
    </cfRule>
    <cfRule type="cellIs" priority="147" operator="between" aboveAverage="0" equalAverage="0" bottom="0" percent="0" rank="0" text="" dxfId="1">
      <formula>0.2</formula>
      <formula>0.29999</formula>
    </cfRule>
    <cfRule type="cellIs" priority="148" operator="greaterThanOrEqual" aboveAverage="0" equalAverage="0" bottom="0" percent="0" rank="0" text="" dxfId="2">
      <formula>0.3</formula>
    </cfRule>
  </conditionalFormatting>
  <conditionalFormatting sqref="L452">
    <cfRule type="expression" priority="149" aboveAverage="0" equalAverage="0" bottom="0" percent="0" rank="0" text="" dxfId="0">
      <formula>$B$452&lt;0.2</formula>
    </cfRule>
    <cfRule type="expression" priority="150" aboveAverage="0" equalAverage="0" bottom="0" percent="0" rank="0" text="" dxfId="1">
      <formula>AND($B$452&gt;=0.2,$B$452&lt;0.3)</formula>
    </cfRule>
    <cfRule type="expression" priority="151" aboveAverage="0" equalAverage="0" bottom="0" percent="0" rank="0" text="" dxfId="2">
      <formula>$B$452&gt;=0.3</formula>
    </cfRule>
  </conditionalFormatting>
  <conditionalFormatting sqref="B470">
    <cfRule type="cellIs" priority="152" operator="lessThan" aboveAverage="0" equalAverage="0" bottom="0" percent="0" rank="0" text="" dxfId="0">
      <formula>0.2</formula>
    </cfRule>
    <cfRule type="cellIs" priority="153" operator="between" aboveAverage="0" equalAverage="0" bottom="0" percent="0" rank="0" text="" dxfId="1">
      <formula>0.2</formula>
      <formula>0.29999</formula>
    </cfRule>
    <cfRule type="cellIs" priority="154" operator="greaterThanOrEqual" aboveAverage="0" equalAverage="0" bottom="0" percent="0" rank="0" text="" dxfId="2">
      <formula>0.3</formula>
    </cfRule>
  </conditionalFormatting>
  <conditionalFormatting sqref="L470">
    <cfRule type="expression" priority="155" aboveAverage="0" equalAverage="0" bottom="0" percent="0" rank="0" text="" dxfId="0">
      <formula>$B$470&lt;0.2</formula>
    </cfRule>
    <cfRule type="expression" priority="156" aboveAverage="0" equalAverage="0" bottom="0" percent="0" rank="0" text="" dxfId="1">
      <formula>AND($B$470&gt;=0.2,$B$470&lt;0.3)</formula>
    </cfRule>
    <cfRule type="expression" priority="157" aboveAverage="0" equalAverage="0" bottom="0" percent="0" rank="0" text="" dxfId="2">
      <formula>$B$470&gt;=0.3</formula>
    </cfRule>
  </conditionalFormatting>
  <conditionalFormatting sqref="B488">
    <cfRule type="cellIs" priority="158" operator="lessThan" aboveAverage="0" equalAverage="0" bottom="0" percent="0" rank="0" text="" dxfId="0">
      <formula>0.2</formula>
    </cfRule>
    <cfRule type="cellIs" priority="159" operator="between" aboveAverage="0" equalAverage="0" bottom="0" percent="0" rank="0" text="" dxfId="1">
      <formula>0.2</formula>
      <formula>0.29999</formula>
    </cfRule>
    <cfRule type="cellIs" priority="160" operator="greaterThanOrEqual" aboveAverage="0" equalAverage="0" bottom="0" percent="0" rank="0" text="" dxfId="2">
      <formula>0.3</formula>
    </cfRule>
  </conditionalFormatting>
  <conditionalFormatting sqref="L488">
    <cfRule type="expression" priority="161" aboveAverage="0" equalAverage="0" bottom="0" percent="0" rank="0" text="" dxfId="0">
      <formula>$B$488&lt;0.2</formula>
    </cfRule>
    <cfRule type="expression" priority="162" aboveAverage="0" equalAverage="0" bottom="0" percent="0" rank="0" text="" dxfId="1">
      <formula>AND($B$488&gt;=0.2,$B$488&lt;0.3)</formula>
    </cfRule>
    <cfRule type="expression" priority="163" aboveAverage="0" equalAverage="0" bottom="0" percent="0" rank="0" text="" dxfId="2">
      <formula>$B$488&gt;=0.3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357</v>
      </c>
      <c r="B1" s="0" t="s">
        <v>358</v>
      </c>
      <c r="C1" s="0" t="s">
        <v>359</v>
      </c>
      <c r="D1" s="0" t="s">
        <v>360</v>
      </c>
      <c r="E1" s="0" t="s">
        <v>361</v>
      </c>
      <c r="F1" s="0" t="s">
        <v>362</v>
      </c>
      <c r="G1" s="0" t="s">
        <v>363</v>
      </c>
      <c r="H1" s="0" t="s">
        <v>364</v>
      </c>
      <c r="I1" s="0" t="s">
        <v>365</v>
      </c>
      <c r="J1" s="0" t="s">
        <v>366</v>
      </c>
      <c r="K1" s="0" t="s">
        <v>367</v>
      </c>
      <c r="L1" s="0" t="s">
        <v>368</v>
      </c>
      <c r="M1" s="0" t="s">
        <v>369</v>
      </c>
      <c r="N1" s="0" t="s">
        <v>370</v>
      </c>
      <c r="O1" s="0" t="s">
        <v>371</v>
      </c>
      <c r="P1" s="0" t="s">
        <v>372</v>
      </c>
      <c r="Q1" s="0" t="s">
        <v>373</v>
      </c>
      <c r="R1" s="0" t="s">
        <v>374</v>
      </c>
      <c r="S1" s="0" t="s">
        <v>375</v>
      </c>
      <c r="T1" s="0" t="s">
        <v>376</v>
      </c>
      <c r="U1" s="0" t="s">
        <v>377</v>
      </c>
      <c r="V1" s="0" t="s">
        <v>378</v>
      </c>
      <c r="W1" s="0" t="s">
        <v>379</v>
      </c>
      <c r="X1" s="0" t="s">
        <v>380</v>
      </c>
      <c r="Y1" s="0" t="s">
        <v>381</v>
      </c>
    </row>
    <row r="2" customFormat="false" ht="15" hidden="false" customHeight="false" outlineLevel="0" collapsed="false">
      <c r="A2" s="0" t="s">
        <v>14</v>
      </c>
      <c r="B2" s="0" t="n">
        <v>1823.2</v>
      </c>
      <c r="C2" s="0" t="n">
        <v>2200.79</v>
      </c>
      <c r="D2" s="0" t="n">
        <v>1506.86</v>
      </c>
      <c r="E2" s="0" t="n">
        <v>1294.73</v>
      </c>
      <c r="F2" s="0" t="n">
        <v>701.24</v>
      </c>
      <c r="G2" s="0" t="n">
        <v>2057.58</v>
      </c>
      <c r="H2" s="0" t="n">
        <v>704.65</v>
      </c>
      <c r="I2" s="0" t="n">
        <v>1131.33</v>
      </c>
      <c r="J2" s="0" t="n">
        <v>1195.22</v>
      </c>
      <c r="K2" s="0" t="n">
        <v>1397.39</v>
      </c>
      <c r="L2" s="0" t="n">
        <v>1489.78</v>
      </c>
      <c r="M2" s="0" t="n">
        <v>1604.92</v>
      </c>
      <c r="N2" s="0" t="n">
        <v>2264.68</v>
      </c>
      <c r="O2" s="0" t="n">
        <v>2392.22</v>
      </c>
      <c r="P2" s="0" t="n">
        <v>1906.5</v>
      </c>
      <c r="Q2" s="0" t="n">
        <v>1541.7</v>
      </c>
      <c r="R2" s="0" t="n">
        <v>1553.06</v>
      </c>
      <c r="S2" s="0" t="n">
        <v>1623.98</v>
      </c>
      <c r="T2" s="0" t="n">
        <v>1669.87</v>
      </c>
      <c r="U2" s="0" t="n">
        <v>1287.26</v>
      </c>
      <c r="V2" s="0" t="n">
        <v>1560.23</v>
      </c>
      <c r="W2" s="0" t="n">
        <v>1696.52</v>
      </c>
      <c r="X2" s="0" t="n">
        <v>1398.99</v>
      </c>
      <c r="Y2" s="0" t="n">
        <v>1699.39</v>
      </c>
    </row>
    <row r="3" customFormat="false" ht="15" hidden="false" customHeight="false" outlineLevel="0" collapsed="false">
      <c r="A3" s="0" t="s">
        <v>18</v>
      </c>
      <c r="B3" s="0" t="n">
        <v>2278.23</v>
      </c>
      <c r="C3" s="0" t="n">
        <v>2606.49</v>
      </c>
      <c r="D3" s="0" t="n">
        <v>1372.78</v>
      </c>
      <c r="E3" s="0" t="n">
        <v>1218.04</v>
      </c>
      <c r="F3" s="0" t="n">
        <v>852.42</v>
      </c>
      <c r="G3" s="0" t="n">
        <v>892.96</v>
      </c>
      <c r="H3" s="0" t="n">
        <v>526.46</v>
      </c>
      <c r="I3" s="0" t="n">
        <v>703.02</v>
      </c>
      <c r="J3" s="0" t="n">
        <v>973.88</v>
      </c>
      <c r="K3" s="0" t="n">
        <v>1071.5</v>
      </c>
      <c r="L3" s="0" t="n">
        <v>1198.45</v>
      </c>
      <c r="M3" s="0" t="n">
        <v>1352.91</v>
      </c>
      <c r="N3" s="0" t="n">
        <v>2137.78</v>
      </c>
      <c r="O3" s="0" t="n">
        <v>2576.37</v>
      </c>
      <c r="P3" s="0" t="n">
        <v>1966.13</v>
      </c>
      <c r="Q3" s="0" t="n">
        <v>1508.21</v>
      </c>
      <c r="R3" s="0" t="n">
        <v>982.22</v>
      </c>
      <c r="S3" s="0" t="n">
        <v>980.76</v>
      </c>
      <c r="T3" s="0" t="n">
        <v>639.12</v>
      </c>
      <c r="U3" s="0" t="n">
        <v>1081.39</v>
      </c>
      <c r="V3" s="0" t="n">
        <v>1166.31</v>
      </c>
      <c r="W3" s="0" t="n">
        <v>1408.31</v>
      </c>
      <c r="X3" s="0" t="n">
        <v>1317.52</v>
      </c>
      <c r="Y3" s="0" t="n">
        <v>0</v>
      </c>
    </row>
    <row r="4" customFormat="false" ht="15" hidden="false" customHeight="false" outlineLevel="0" collapsed="false">
      <c r="A4" s="0" t="s">
        <v>21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1625.21</v>
      </c>
      <c r="V4" s="0" t="n">
        <v>3262.26</v>
      </c>
      <c r="W4" s="0" t="n">
        <v>3637.92</v>
      </c>
      <c r="X4" s="0" t="n">
        <v>3747.07</v>
      </c>
      <c r="Y4" s="0" t="n">
        <v>0</v>
      </c>
    </row>
    <row r="5" customFormat="false" ht="15" hidden="false" customHeight="false" outlineLevel="0" collapsed="false">
      <c r="A5" s="0" t="s">
        <v>24</v>
      </c>
      <c r="B5" s="0" t="n">
        <v>4696.57</v>
      </c>
      <c r="C5" s="0" t="n">
        <v>5119.32</v>
      </c>
      <c r="D5" s="0" t="n">
        <v>3940.09</v>
      </c>
      <c r="E5" s="0" t="n">
        <v>4434.05</v>
      </c>
      <c r="F5" s="0" t="n">
        <v>4230.84</v>
      </c>
      <c r="G5" s="0" t="n">
        <v>4056.83</v>
      </c>
      <c r="H5" s="0" t="n">
        <v>3691.35</v>
      </c>
      <c r="I5" s="0" t="n">
        <v>4434.05</v>
      </c>
      <c r="J5" s="0" t="n">
        <v>4606.23</v>
      </c>
      <c r="K5" s="0" t="n">
        <v>3691.35</v>
      </c>
      <c r="L5" s="0" t="n">
        <v>3472.32</v>
      </c>
      <c r="M5" s="0" t="n">
        <v>3278.22</v>
      </c>
      <c r="N5" s="0" t="n">
        <v>4267.48</v>
      </c>
      <c r="O5" s="0" t="n">
        <v>4424.02</v>
      </c>
      <c r="P5" s="0" t="n">
        <v>3939.03</v>
      </c>
      <c r="Q5" s="0" t="n">
        <v>3404.76</v>
      </c>
      <c r="R5" s="0" t="n">
        <v>3733.87</v>
      </c>
      <c r="S5" s="0" t="n">
        <v>3769.58</v>
      </c>
      <c r="T5" s="0" t="n">
        <v>2917.21</v>
      </c>
      <c r="U5" s="0" t="n">
        <v>3522.69</v>
      </c>
      <c r="V5" s="0" t="n">
        <v>3557.98</v>
      </c>
      <c r="W5" s="0" t="n">
        <v>3087.33</v>
      </c>
      <c r="X5" s="0" t="n">
        <v>3133.52</v>
      </c>
      <c r="Y5" s="0" t="n">
        <v>3743.04</v>
      </c>
    </row>
    <row r="6" customFormat="false" ht="15" hidden="false" customHeight="false" outlineLevel="0" collapsed="false">
      <c r="A6" s="0" t="s">
        <v>28</v>
      </c>
      <c r="B6" s="0" t="n">
        <v>643.79</v>
      </c>
      <c r="C6" s="0" t="n">
        <v>476.53</v>
      </c>
      <c r="D6" s="0" t="n">
        <v>592.3</v>
      </c>
      <c r="E6" s="0" t="n">
        <v>631.06</v>
      </c>
      <c r="F6" s="0" t="n">
        <v>457.49</v>
      </c>
      <c r="G6" s="0" t="n">
        <v>578.16</v>
      </c>
      <c r="H6" s="0" t="n">
        <v>596.33</v>
      </c>
      <c r="I6" s="0" t="n">
        <v>602.79</v>
      </c>
      <c r="J6" s="0" t="n">
        <v>791.23</v>
      </c>
      <c r="K6" s="0" t="n">
        <v>624.49</v>
      </c>
      <c r="L6" s="0" t="n">
        <v>601.33</v>
      </c>
      <c r="M6" s="0" t="n">
        <v>711.31</v>
      </c>
      <c r="N6" s="0" t="n">
        <v>738.16</v>
      </c>
      <c r="O6" s="0" t="n">
        <v>605.43</v>
      </c>
      <c r="P6" s="0" t="n">
        <v>803.47</v>
      </c>
      <c r="Q6" s="0" t="n">
        <v>816.36</v>
      </c>
      <c r="R6" s="0" t="n">
        <v>572.69</v>
      </c>
      <c r="S6" s="0" t="n">
        <v>690.5</v>
      </c>
      <c r="T6" s="0" t="n">
        <v>712.22</v>
      </c>
      <c r="U6" s="0" t="n">
        <v>695.09</v>
      </c>
      <c r="V6" s="0" t="n">
        <v>791.23</v>
      </c>
      <c r="W6" s="0" t="n">
        <v>741.17</v>
      </c>
      <c r="X6" s="0" t="n">
        <v>782.58</v>
      </c>
      <c r="Y6" s="0" t="n">
        <v>755.25</v>
      </c>
    </row>
    <row r="7" customFormat="false" ht="15" hidden="false" customHeight="false" outlineLevel="0" collapsed="false">
      <c r="A7" s="0" t="s">
        <v>31</v>
      </c>
      <c r="B7" s="0" t="n">
        <v>632.44</v>
      </c>
      <c r="C7" s="0" t="n">
        <v>592.69</v>
      </c>
      <c r="D7" s="0" t="n">
        <v>610.04</v>
      </c>
      <c r="E7" s="0" t="n">
        <v>632.66</v>
      </c>
      <c r="F7" s="0" t="n">
        <v>637.18</v>
      </c>
      <c r="G7" s="0" t="n">
        <v>207.37</v>
      </c>
      <c r="H7" s="0" t="n">
        <v>706.19</v>
      </c>
      <c r="I7" s="0" t="n">
        <v>645.52</v>
      </c>
      <c r="J7" s="0" t="n">
        <v>899.33</v>
      </c>
      <c r="K7" s="0" t="n">
        <v>591.1</v>
      </c>
      <c r="L7" s="0" t="n">
        <v>643.89</v>
      </c>
      <c r="M7" s="0" t="n">
        <v>696.92</v>
      </c>
      <c r="N7" s="0" t="n">
        <v>731.73</v>
      </c>
      <c r="O7" s="0" t="n">
        <v>688.65</v>
      </c>
      <c r="P7" s="0" t="n">
        <v>794.97</v>
      </c>
      <c r="Q7" s="0" t="n">
        <v>824.16</v>
      </c>
      <c r="R7" s="0" t="n">
        <v>684.8</v>
      </c>
      <c r="S7" s="0" t="n">
        <v>331.28</v>
      </c>
      <c r="T7" s="0" t="n">
        <v>819.21</v>
      </c>
      <c r="U7" s="0" t="n">
        <v>753.83</v>
      </c>
      <c r="V7" s="0" t="n">
        <v>1018.62</v>
      </c>
      <c r="W7" s="0" t="n">
        <v>685.61</v>
      </c>
      <c r="X7" s="0" t="n">
        <v>741.79</v>
      </c>
      <c r="Y7" s="0" t="n">
        <v>789.76</v>
      </c>
    </row>
    <row r="8" customFormat="false" ht="15" hidden="false" customHeight="false" outlineLevel="0" collapsed="false">
      <c r="A8" s="0" t="s">
        <v>33</v>
      </c>
      <c r="B8" s="0" t="n">
        <v>524.5</v>
      </c>
      <c r="C8" s="0" t="n">
        <v>166.78</v>
      </c>
      <c r="D8" s="0" t="n">
        <v>444.46</v>
      </c>
      <c r="E8" s="0" t="n">
        <v>345.59</v>
      </c>
      <c r="F8" s="0" t="n">
        <v>0</v>
      </c>
      <c r="G8" s="0" t="n">
        <v>233.91</v>
      </c>
      <c r="H8" s="0" t="n">
        <v>294.11</v>
      </c>
      <c r="I8" s="0" t="n">
        <v>270.48</v>
      </c>
      <c r="J8" s="0" t="n">
        <v>383.23</v>
      </c>
      <c r="K8" s="0" t="n">
        <v>290.33</v>
      </c>
      <c r="L8" s="0" t="n">
        <v>336.88</v>
      </c>
      <c r="M8" s="0" t="n">
        <v>502.61</v>
      </c>
      <c r="N8" s="0" t="n">
        <v>634.9</v>
      </c>
      <c r="O8" s="0" t="n">
        <v>239.55</v>
      </c>
      <c r="P8" s="0" t="n">
        <v>628.5</v>
      </c>
      <c r="Q8" s="0" t="n">
        <v>440.92</v>
      </c>
      <c r="R8" s="0" t="n">
        <v>411.49</v>
      </c>
      <c r="S8" s="0" t="n">
        <v>407.39</v>
      </c>
      <c r="T8" s="0" t="n">
        <v>420.96</v>
      </c>
      <c r="U8" s="0" t="n">
        <v>391.83</v>
      </c>
      <c r="V8" s="0" t="n">
        <v>427.24</v>
      </c>
      <c r="W8" s="0" t="n">
        <v>354.48</v>
      </c>
      <c r="X8" s="0" t="n">
        <v>412.63</v>
      </c>
      <c r="Y8" s="0" t="n">
        <v>593.22</v>
      </c>
    </row>
    <row r="9" customFormat="false" ht="15" hidden="false" customHeight="false" outlineLevel="0" collapsed="false">
      <c r="A9" s="0" t="s">
        <v>35</v>
      </c>
      <c r="B9" s="0" t="n">
        <v>4475.16</v>
      </c>
      <c r="C9" s="0" t="n">
        <v>4612.54</v>
      </c>
      <c r="D9" s="0" t="n">
        <v>3701.38</v>
      </c>
      <c r="E9" s="0" t="n">
        <v>4561.47</v>
      </c>
      <c r="F9" s="0" t="n">
        <v>3334.09</v>
      </c>
      <c r="G9" s="0" t="n">
        <v>3216.6</v>
      </c>
      <c r="H9" s="0" t="n">
        <v>2924.41</v>
      </c>
      <c r="I9" s="0" t="n">
        <v>2743.54</v>
      </c>
      <c r="J9" s="0" t="n">
        <v>3702.5</v>
      </c>
      <c r="K9" s="0" t="n">
        <v>3817.43</v>
      </c>
      <c r="L9" s="0" t="n">
        <v>3300.04</v>
      </c>
      <c r="M9" s="0" t="n">
        <v>2798.1</v>
      </c>
      <c r="N9" s="0" t="n">
        <v>3784.48</v>
      </c>
      <c r="O9" s="0" t="n">
        <v>3716.14</v>
      </c>
      <c r="P9" s="0" t="n">
        <v>3334.45</v>
      </c>
      <c r="Q9" s="0" t="n">
        <v>3275.16</v>
      </c>
      <c r="R9" s="0" t="n">
        <v>3190.07</v>
      </c>
      <c r="S9" s="0" t="n">
        <v>2956.24</v>
      </c>
      <c r="T9" s="0" t="n">
        <v>2736.06</v>
      </c>
      <c r="U9" s="0" t="n">
        <v>2890.35</v>
      </c>
      <c r="V9" s="0" t="n">
        <v>3365.79</v>
      </c>
      <c r="W9" s="0" t="n">
        <v>2721.04</v>
      </c>
      <c r="X9" s="0" t="n">
        <v>2640.22</v>
      </c>
      <c r="Y9" s="0" t="n">
        <v>3260.09</v>
      </c>
    </row>
    <row r="10" customFormat="false" ht="15" hidden="false" customHeight="false" outlineLevel="0" collapsed="false">
      <c r="A10" s="0" t="s">
        <v>38</v>
      </c>
      <c r="B10" s="0" t="n">
        <v>151.82</v>
      </c>
      <c r="C10" s="0" t="n">
        <v>199.06</v>
      </c>
      <c r="D10" s="0" t="n">
        <v>183.84</v>
      </c>
      <c r="E10" s="0" t="n">
        <v>178.12</v>
      </c>
      <c r="F10" s="0" t="n">
        <v>184.03</v>
      </c>
      <c r="G10" s="0" t="n">
        <v>163.02</v>
      </c>
      <c r="H10" s="0" t="n">
        <v>136.55</v>
      </c>
      <c r="I10" s="0" t="n">
        <v>104.41</v>
      </c>
      <c r="J10" s="0" t="n">
        <v>98.7</v>
      </c>
      <c r="K10" s="0" t="n">
        <v>40.05</v>
      </c>
      <c r="L10" s="0" t="n">
        <v>67.35</v>
      </c>
      <c r="M10" s="0" t="n">
        <v>65.71</v>
      </c>
      <c r="N10" s="0" t="n">
        <v>361.06</v>
      </c>
      <c r="O10" s="0" t="n">
        <v>201.13</v>
      </c>
      <c r="P10" s="0" t="n">
        <v>85.6</v>
      </c>
      <c r="Q10" s="0" t="n">
        <v>63.93</v>
      </c>
      <c r="R10" s="0" t="n">
        <v>60.72</v>
      </c>
      <c r="S10" s="0" t="n">
        <v>51.57</v>
      </c>
      <c r="T10" s="0" t="n">
        <v>43.55</v>
      </c>
      <c r="U10" s="0" t="n">
        <v>40.37</v>
      </c>
      <c r="V10" s="0" t="n">
        <v>82.31</v>
      </c>
      <c r="W10" s="0" t="n">
        <v>38.53</v>
      </c>
      <c r="X10" s="0" t="n">
        <v>39.81</v>
      </c>
      <c r="Y10" s="0" t="n">
        <v>0</v>
      </c>
    </row>
    <row r="11" customFormat="false" ht="15" hidden="false" customHeight="false" outlineLevel="0" collapsed="false">
      <c r="A11" s="0" t="s">
        <v>41</v>
      </c>
      <c r="B11" s="0" t="n">
        <v>1167.19</v>
      </c>
      <c r="C11" s="0" t="n">
        <v>1131.86</v>
      </c>
      <c r="D11" s="0" t="n">
        <v>610.86</v>
      </c>
      <c r="E11" s="0" t="n">
        <v>553.94</v>
      </c>
      <c r="F11" s="0" t="n">
        <v>544.65</v>
      </c>
      <c r="G11" s="0" t="n">
        <v>727.09</v>
      </c>
      <c r="H11" s="0" t="n">
        <v>952.35</v>
      </c>
      <c r="I11" s="0" t="n">
        <v>581.27</v>
      </c>
      <c r="J11" s="0" t="n">
        <v>746.2</v>
      </c>
      <c r="K11" s="0" t="n">
        <v>543.77</v>
      </c>
      <c r="L11" s="0" t="n">
        <v>442.06</v>
      </c>
      <c r="M11" s="0" t="n">
        <v>643.81</v>
      </c>
      <c r="N11" s="0" t="n">
        <v>881.89</v>
      </c>
      <c r="O11" s="0" t="n">
        <v>963.15</v>
      </c>
      <c r="P11" s="0" t="n">
        <v>800.92</v>
      </c>
      <c r="Q11" s="0" t="n">
        <v>588.39</v>
      </c>
      <c r="R11" s="0" t="n">
        <v>478.95</v>
      </c>
      <c r="S11" s="0" t="n">
        <v>812.61</v>
      </c>
      <c r="T11" s="0" t="n">
        <v>783.67</v>
      </c>
      <c r="U11" s="0" t="n">
        <v>595.95</v>
      </c>
      <c r="V11" s="0" t="n">
        <v>634.87</v>
      </c>
      <c r="W11" s="0" t="n">
        <v>433.2</v>
      </c>
      <c r="X11" s="0" t="n">
        <v>544.11</v>
      </c>
      <c r="Y11" s="0" t="n">
        <v>0</v>
      </c>
    </row>
    <row r="12" customFormat="false" ht="15" hidden="false" customHeight="false" outlineLevel="0" collapsed="false">
      <c r="A12" s="0" t="s">
        <v>45</v>
      </c>
      <c r="B12" s="0" t="n">
        <v>128.85</v>
      </c>
      <c r="C12" s="0" t="n">
        <v>119.74</v>
      </c>
      <c r="D12" s="0" t="n">
        <v>120.37</v>
      </c>
      <c r="E12" s="0" t="n">
        <v>126</v>
      </c>
      <c r="F12" s="0" t="n">
        <v>121.75</v>
      </c>
      <c r="G12" s="0" t="n">
        <v>129.12</v>
      </c>
      <c r="H12" s="0" t="n">
        <v>118.2</v>
      </c>
      <c r="I12" s="0" t="n">
        <v>116.61</v>
      </c>
      <c r="J12" s="0" t="n">
        <v>118.21</v>
      </c>
      <c r="K12" s="0" t="n">
        <v>118.11</v>
      </c>
      <c r="L12" s="0" t="n">
        <v>120.31</v>
      </c>
      <c r="M12" s="0" t="n">
        <v>110.46</v>
      </c>
      <c r="N12" s="0" t="n">
        <v>126.3</v>
      </c>
      <c r="O12" s="0" t="n">
        <v>120.84</v>
      </c>
      <c r="P12" s="0" t="n">
        <v>118.41</v>
      </c>
      <c r="Q12" s="0" t="n">
        <v>110.34</v>
      </c>
      <c r="R12" s="0" t="n">
        <v>143.28</v>
      </c>
      <c r="S12" s="0" t="n">
        <v>123.63</v>
      </c>
      <c r="T12" s="0" t="n">
        <v>117.54</v>
      </c>
      <c r="U12" s="0" t="n">
        <v>119.84</v>
      </c>
      <c r="V12" s="0" t="n">
        <v>122.01</v>
      </c>
      <c r="W12" s="0" t="n">
        <v>115.84</v>
      </c>
      <c r="X12" s="0" t="n">
        <v>0</v>
      </c>
      <c r="Y12" s="0" t="n">
        <v>0</v>
      </c>
    </row>
    <row r="13" customFormat="false" ht="15" hidden="false" customHeight="false" outlineLevel="0" collapsed="false">
      <c r="A13" s="0" t="s">
        <v>48</v>
      </c>
      <c r="B13" s="0" t="n">
        <v>1506.8</v>
      </c>
      <c r="C13" s="0" t="n">
        <v>1792.99</v>
      </c>
      <c r="D13" s="0" t="n">
        <v>833.07</v>
      </c>
      <c r="E13" s="0" t="n">
        <v>766.01</v>
      </c>
      <c r="F13" s="0" t="n">
        <v>194.02</v>
      </c>
      <c r="G13" s="0" t="n">
        <v>665.19</v>
      </c>
      <c r="H13" s="0" t="n">
        <v>676.36</v>
      </c>
      <c r="I13" s="0" t="n">
        <v>603.95</v>
      </c>
      <c r="J13" s="0" t="n">
        <v>730.96</v>
      </c>
      <c r="K13" s="0" t="n">
        <v>678.97</v>
      </c>
      <c r="L13" s="0" t="n">
        <v>774.09</v>
      </c>
      <c r="M13" s="0" t="n">
        <v>774.72</v>
      </c>
      <c r="N13" s="0" t="n">
        <v>1594.97</v>
      </c>
      <c r="O13" s="0" t="n">
        <v>1863.52</v>
      </c>
      <c r="P13" s="0" t="n">
        <v>1379.87</v>
      </c>
      <c r="Q13" s="0" t="n">
        <v>902.28</v>
      </c>
      <c r="R13" s="0" t="n">
        <v>243.48</v>
      </c>
      <c r="S13" s="0" t="n">
        <v>790.46</v>
      </c>
      <c r="T13" s="0" t="n">
        <v>762.17</v>
      </c>
      <c r="U13" s="0" t="n">
        <v>615.97</v>
      </c>
      <c r="V13" s="0" t="n">
        <v>542.6</v>
      </c>
      <c r="W13" s="0" t="n">
        <v>641.56</v>
      </c>
      <c r="X13" s="0" t="n">
        <v>747.69</v>
      </c>
      <c r="Y13" s="0" t="n">
        <v>0</v>
      </c>
    </row>
    <row r="14" customFormat="false" ht="15" hidden="false" customHeight="false" outlineLevel="0" collapsed="false">
      <c r="A14" s="0" t="s">
        <v>51</v>
      </c>
      <c r="B14" s="0" t="n">
        <v>693.23</v>
      </c>
      <c r="C14" s="0" t="n">
        <v>552.9</v>
      </c>
      <c r="D14" s="0" t="n">
        <v>433.72</v>
      </c>
      <c r="E14" s="0" t="n">
        <v>362.57</v>
      </c>
      <c r="F14" s="0" t="n">
        <v>340.99</v>
      </c>
      <c r="G14" s="0" t="n">
        <v>389.79</v>
      </c>
      <c r="H14" s="0" t="n">
        <v>446.52</v>
      </c>
      <c r="I14" s="0" t="n">
        <v>418.69</v>
      </c>
      <c r="J14" s="0" t="n">
        <v>387.06</v>
      </c>
      <c r="K14" s="0" t="n">
        <v>287.84</v>
      </c>
      <c r="L14" s="0" t="n">
        <v>309.28</v>
      </c>
      <c r="M14" s="0" t="n">
        <v>360.8</v>
      </c>
      <c r="N14" s="0" t="n">
        <v>523.09</v>
      </c>
      <c r="O14" s="0" t="n">
        <v>475.61</v>
      </c>
      <c r="P14" s="0" t="n">
        <v>414.61</v>
      </c>
      <c r="Q14" s="0" t="n">
        <v>335.53</v>
      </c>
      <c r="R14" s="0" t="n">
        <v>354.84</v>
      </c>
      <c r="S14" s="0" t="n">
        <v>421.51</v>
      </c>
      <c r="T14" s="0" t="n">
        <v>502.41</v>
      </c>
      <c r="U14" s="0" t="n">
        <v>454.39</v>
      </c>
      <c r="V14" s="0" t="n">
        <v>353.18</v>
      </c>
      <c r="W14" s="0" t="n">
        <v>161.47</v>
      </c>
      <c r="X14" s="0" t="n">
        <v>302.84</v>
      </c>
      <c r="Y14" s="0" t="n">
        <v>0</v>
      </c>
    </row>
    <row r="15" customFormat="false" ht="15" hidden="false" customHeight="false" outlineLevel="0" collapsed="false">
      <c r="A15" s="0" t="s">
        <v>54</v>
      </c>
      <c r="B15" s="0" t="n">
        <v>153.99</v>
      </c>
      <c r="C15" s="0" t="n">
        <v>163.34</v>
      </c>
      <c r="D15" s="0" t="n">
        <v>87.39</v>
      </c>
      <c r="E15" s="0" t="n">
        <v>84.32</v>
      </c>
      <c r="F15" s="0" t="n">
        <v>56.29</v>
      </c>
      <c r="G15" s="0" t="n">
        <v>72.5</v>
      </c>
      <c r="H15" s="0" t="n">
        <v>86.78</v>
      </c>
      <c r="I15" s="0" t="n">
        <v>75.95</v>
      </c>
      <c r="J15" s="0" t="n">
        <v>62.51</v>
      </c>
      <c r="K15" s="0" t="n">
        <v>89.8</v>
      </c>
      <c r="L15" s="0" t="n">
        <v>102.08</v>
      </c>
      <c r="M15" s="0" t="n">
        <v>160.63</v>
      </c>
      <c r="N15" s="0" t="n">
        <v>240.96</v>
      </c>
      <c r="O15" s="0" t="n">
        <v>176.31</v>
      </c>
      <c r="P15" s="0" t="n">
        <v>154.65</v>
      </c>
      <c r="Q15" s="0" t="n">
        <v>105.42</v>
      </c>
      <c r="R15" s="0" t="n">
        <v>106.51</v>
      </c>
      <c r="S15" s="0" t="n">
        <v>147.06</v>
      </c>
      <c r="T15" s="0" t="n">
        <v>201.1</v>
      </c>
      <c r="U15" s="0" t="n">
        <v>180.88</v>
      </c>
      <c r="V15" s="0" t="n">
        <v>134.57</v>
      </c>
      <c r="W15" s="0" t="n">
        <v>119.32</v>
      </c>
      <c r="X15" s="0" t="n">
        <v>107.6</v>
      </c>
      <c r="Y15" s="0" t="n">
        <v>0</v>
      </c>
    </row>
    <row r="16" customFormat="false" ht="15" hidden="false" customHeight="false" outlineLevel="0" collapsed="false">
      <c r="A16" s="0" t="s">
        <v>57</v>
      </c>
      <c r="B16" s="0" t="n">
        <v>603.54</v>
      </c>
      <c r="C16" s="0" t="n">
        <v>655.43</v>
      </c>
      <c r="D16" s="0" t="n">
        <v>506.31</v>
      </c>
      <c r="E16" s="0" t="n">
        <v>465.23</v>
      </c>
      <c r="F16" s="0" t="n">
        <v>409.29</v>
      </c>
      <c r="G16" s="0" t="n">
        <v>548.46</v>
      </c>
      <c r="H16" s="0" t="n">
        <v>492.1</v>
      </c>
      <c r="I16" s="0" t="n">
        <v>491.6</v>
      </c>
      <c r="J16" s="0" t="n">
        <v>623.9</v>
      </c>
      <c r="K16" s="0" t="n">
        <v>695.32</v>
      </c>
      <c r="L16" s="0" t="n">
        <v>685.39</v>
      </c>
      <c r="M16" s="0" t="n">
        <v>604.64</v>
      </c>
      <c r="N16" s="0" t="n">
        <v>607.41</v>
      </c>
      <c r="O16" s="0" t="n">
        <v>743.97</v>
      </c>
      <c r="P16" s="0" t="n">
        <v>563.07</v>
      </c>
      <c r="Q16" s="0" t="n">
        <v>543.73</v>
      </c>
      <c r="R16" s="0" t="n">
        <v>537.26</v>
      </c>
      <c r="S16" s="0" t="n">
        <v>451.19</v>
      </c>
      <c r="T16" s="0" t="n">
        <v>441.06</v>
      </c>
      <c r="U16" s="0" t="n">
        <v>574.27</v>
      </c>
      <c r="V16" s="0" t="n">
        <v>531.25</v>
      </c>
      <c r="W16" s="0" t="n">
        <v>552.85</v>
      </c>
      <c r="X16" s="0" t="n">
        <v>562.65</v>
      </c>
      <c r="Y16" s="0" t="n">
        <v>0</v>
      </c>
    </row>
    <row r="17" customFormat="false" ht="15" hidden="false" customHeight="false" outlineLevel="0" collapsed="false">
      <c r="A17" s="0" t="s">
        <v>60</v>
      </c>
      <c r="B17" s="0" t="n">
        <v>151.82</v>
      </c>
      <c r="C17" s="0" t="n">
        <v>199.06</v>
      </c>
      <c r="D17" s="0" t="n">
        <v>183.84</v>
      </c>
      <c r="E17" s="0" t="n">
        <v>178.12</v>
      </c>
      <c r="F17" s="0" t="n">
        <v>184.03</v>
      </c>
      <c r="G17" s="0" t="n">
        <v>163.02</v>
      </c>
      <c r="H17" s="0" t="n">
        <v>136.55</v>
      </c>
      <c r="I17" s="0" t="n">
        <v>104.41</v>
      </c>
      <c r="J17" s="0" t="n">
        <v>98.7</v>
      </c>
      <c r="K17" s="0" t="n">
        <v>40.05</v>
      </c>
      <c r="L17" s="0" t="n">
        <v>67.35</v>
      </c>
      <c r="M17" s="0" t="n">
        <v>65.71</v>
      </c>
      <c r="N17" s="0" t="n">
        <v>361.06</v>
      </c>
      <c r="O17" s="0" t="n">
        <v>201.13</v>
      </c>
      <c r="P17" s="0" t="n">
        <v>85.6</v>
      </c>
      <c r="Q17" s="0" t="n">
        <v>63.93</v>
      </c>
      <c r="R17" s="0" t="n">
        <v>60.72</v>
      </c>
      <c r="S17" s="0" t="n">
        <v>51.57</v>
      </c>
      <c r="T17" s="0" t="n">
        <v>43.55</v>
      </c>
      <c r="U17" s="0" t="n">
        <v>40.37</v>
      </c>
      <c r="V17" s="0" t="n">
        <v>82.31</v>
      </c>
      <c r="W17" s="0" t="n">
        <v>38.53</v>
      </c>
      <c r="X17" s="0" t="n">
        <v>39.81</v>
      </c>
      <c r="Y17" s="0" t="n">
        <v>0</v>
      </c>
    </row>
    <row r="18" customFormat="false" ht="15" hidden="false" customHeight="false" outlineLevel="0" collapsed="false">
      <c r="A18" s="0" t="s">
        <v>61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262.87</v>
      </c>
      <c r="G18" s="0" t="n">
        <v>272.44</v>
      </c>
      <c r="H18" s="0" t="n">
        <v>322.45</v>
      </c>
      <c r="I18" s="0" t="n">
        <v>279.82</v>
      </c>
      <c r="J18" s="0" t="n">
        <v>300.62</v>
      </c>
      <c r="K18" s="0" t="n">
        <v>288.22</v>
      </c>
      <c r="L18" s="0" t="n">
        <v>286.46</v>
      </c>
      <c r="M18" s="0" t="n">
        <v>299.16</v>
      </c>
      <c r="N18" s="0" t="n">
        <v>319.89</v>
      </c>
      <c r="O18" s="0" t="n">
        <v>367.14</v>
      </c>
      <c r="P18" s="0" t="n">
        <v>403.18</v>
      </c>
      <c r="Q18" s="0" t="n">
        <v>340.89</v>
      </c>
      <c r="R18" s="0" t="n">
        <v>356.84</v>
      </c>
      <c r="S18" s="0" t="n">
        <v>348.94</v>
      </c>
      <c r="T18" s="0" t="n">
        <v>345.34</v>
      </c>
      <c r="U18" s="0" t="n">
        <v>292.46</v>
      </c>
      <c r="V18" s="0" t="n">
        <v>297.24</v>
      </c>
      <c r="W18" s="0" t="n">
        <v>246.51</v>
      </c>
      <c r="X18" s="0" t="n">
        <v>267.24</v>
      </c>
      <c r="Y18" s="0" t="n">
        <v>0</v>
      </c>
    </row>
    <row r="19" customFormat="false" ht="15" hidden="false" customHeight="false" outlineLevel="0" collapsed="false">
      <c r="A19" s="0" t="s">
        <v>64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52.43</v>
      </c>
      <c r="K19" s="0" t="n">
        <v>0</v>
      </c>
      <c r="L19" s="0" t="n">
        <v>138.43</v>
      </c>
      <c r="M19" s="0" t="n">
        <v>311.64</v>
      </c>
      <c r="N19" s="0" t="n">
        <v>556.61</v>
      </c>
      <c r="O19" s="0" t="n">
        <v>757.4</v>
      </c>
      <c r="P19" s="0" t="n">
        <v>410.48</v>
      </c>
      <c r="Q19" s="0" t="n">
        <v>353.17</v>
      </c>
      <c r="R19" s="0" t="n">
        <v>352.08</v>
      </c>
      <c r="S19" s="0" t="n">
        <v>375.43</v>
      </c>
      <c r="T19" s="0" t="n">
        <v>373</v>
      </c>
      <c r="U19" s="0" t="n">
        <v>233.07</v>
      </c>
      <c r="V19" s="0" t="n">
        <v>257.63</v>
      </c>
      <c r="W19" s="0" t="n">
        <v>219.48</v>
      </c>
      <c r="X19" s="0" t="n">
        <v>351.08</v>
      </c>
      <c r="Y19" s="0" t="n">
        <v>0</v>
      </c>
    </row>
    <row r="20" customFormat="false" ht="15" hidden="false" customHeight="false" outlineLevel="0" collapsed="false">
      <c r="A20" s="0" t="s">
        <v>67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290.76</v>
      </c>
      <c r="R20" s="0" t="n">
        <v>292.51</v>
      </c>
      <c r="S20" s="0" t="n">
        <v>370.75</v>
      </c>
      <c r="T20" s="0" t="n">
        <v>527.61</v>
      </c>
      <c r="U20" s="0" t="n">
        <v>407.96</v>
      </c>
      <c r="V20" s="0" t="n">
        <v>350.57</v>
      </c>
      <c r="W20" s="0" t="n">
        <v>256.73</v>
      </c>
      <c r="X20" s="0" t="n">
        <v>259.84</v>
      </c>
      <c r="Y20" s="0" t="n">
        <v>0</v>
      </c>
    </row>
    <row r="21" customFormat="false" ht="15" hidden="false" customHeight="false" outlineLevel="0" collapsed="false">
      <c r="A21" s="0" t="s">
        <v>70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713.4</v>
      </c>
      <c r="V21" s="0" t="n">
        <v>890.51</v>
      </c>
      <c r="W21" s="0" t="n">
        <v>1016.59</v>
      </c>
      <c r="X21" s="0" t="n">
        <v>1223.71</v>
      </c>
      <c r="Y21" s="0" t="n">
        <v>0</v>
      </c>
    </row>
    <row r="22" customFormat="false" ht="15" hidden="false" customHeight="false" outlineLevel="0" collapsed="false">
      <c r="A22" s="0" t="s">
        <v>73</v>
      </c>
      <c r="B22" s="0" t="n">
        <v>1586.36</v>
      </c>
      <c r="C22" s="0" t="n">
        <v>1774.61</v>
      </c>
      <c r="D22" s="0" t="n">
        <v>1038.58</v>
      </c>
      <c r="E22" s="0" t="n">
        <v>830.95</v>
      </c>
      <c r="F22" s="0" t="n">
        <v>967.97</v>
      </c>
      <c r="G22" s="0" t="n">
        <v>983.43</v>
      </c>
      <c r="H22" s="0" t="n">
        <v>1124.12</v>
      </c>
      <c r="I22" s="0" t="n">
        <v>888.12</v>
      </c>
      <c r="J22" s="0" t="n">
        <v>897.79</v>
      </c>
      <c r="K22" s="0" t="n">
        <v>1150.89</v>
      </c>
      <c r="L22" s="0" t="n">
        <v>1197.48</v>
      </c>
      <c r="M22" s="0" t="n">
        <v>1168.12</v>
      </c>
      <c r="N22" s="0" t="n">
        <v>1373.89</v>
      </c>
      <c r="O22" s="0" t="n">
        <v>1831.06</v>
      </c>
      <c r="P22" s="0" t="n">
        <v>1409.07</v>
      </c>
      <c r="Q22" s="0" t="n">
        <v>987.45</v>
      </c>
      <c r="R22" s="0" t="n">
        <v>669.16</v>
      </c>
      <c r="S22" s="0" t="n">
        <v>663.77</v>
      </c>
      <c r="T22" s="0" t="n">
        <v>576.33</v>
      </c>
      <c r="U22" s="0" t="n">
        <v>938.81</v>
      </c>
      <c r="V22" s="0" t="n">
        <v>734.17</v>
      </c>
      <c r="W22" s="0" t="n">
        <v>1087.64</v>
      </c>
      <c r="X22" s="0" t="n">
        <v>1113.9</v>
      </c>
      <c r="Y22" s="0" t="n">
        <v>0</v>
      </c>
    </row>
    <row r="23" customFormat="false" ht="15" hidden="false" customHeight="false" outlineLevel="0" collapsed="false">
      <c r="A23" s="0" t="s">
        <v>76</v>
      </c>
      <c r="B23" s="0" t="n">
        <v>359</v>
      </c>
      <c r="C23" s="0" t="n">
        <v>684</v>
      </c>
      <c r="D23" s="0" t="n">
        <v>504.63</v>
      </c>
      <c r="E23" s="0" t="n">
        <v>495.2</v>
      </c>
      <c r="F23" s="0" t="n">
        <v>615.4</v>
      </c>
      <c r="G23" s="0" t="n">
        <v>932.48</v>
      </c>
      <c r="H23" s="0" t="n">
        <v>853.3</v>
      </c>
      <c r="I23" s="0" t="n">
        <v>734.18</v>
      </c>
      <c r="J23" s="0" t="n">
        <v>890.6</v>
      </c>
      <c r="K23" s="0" t="n">
        <v>616.77</v>
      </c>
      <c r="L23" s="0" t="n">
        <v>412.22</v>
      </c>
      <c r="M23" s="0" t="n">
        <v>490.79</v>
      </c>
      <c r="N23" s="0" t="n">
        <v>630.26</v>
      </c>
      <c r="O23" s="0" t="n">
        <v>602.2</v>
      </c>
      <c r="P23" s="0" t="n">
        <v>484.8</v>
      </c>
      <c r="Q23" s="0" t="n">
        <v>460.05</v>
      </c>
      <c r="R23" s="0" t="n">
        <v>639.86</v>
      </c>
      <c r="S23" s="0" t="n">
        <v>814.18</v>
      </c>
      <c r="T23" s="0" t="n">
        <v>866.3</v>
      </c>
      <c r="U23" s="0" t="n">
        <v>766.65</v>
      </c>
      <c r="V23" s="0" t="n">
        <v>747.83</v>
      </c>
      <c r="W23" s="0" t="n">
        <v>532.64</v>
      </c>
      <c r="X23" s="0" t="n">
        <v>308.79</v>
      </c>
      <c r="Y23" s="0" t="n">
        <v>0</v>
      </c>
    </row>
    <row r="24" customFormat="false" ht="15" hidden="false" customHeight="false" outlineLevel="0" collapsed="false">
      <c r="A24" s="0" t="s">
        <v>79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849.63</v>
      </c>
      <c r="W24" s="0" t="n">
        <v>2476.17</v>
      </c>
      <c r="X24" s="0" t="n">
        <v>2528.89</v>
      </c>
      <c r="Y24" s="0" t="n">
        <v>0</v>
      </c>
    </row>
    <row r="25" customFormat="false" ht="15" hidden="false" customHeight="false" outlineLevel="0" collapsed="false">
      <c r="A25" s="0" t="s">
        <v>82</v>
      </c>
      <c r="B25" s="0" t="n">
        <v>1468.85</v>
      </c>
      <c r="C25" s="0" t="n">
        <v>2411.23</v>
      </c>
      <c r="D25" s="0" t="n">
        <v>1830.72</v>
      </c>
      <c r="E25" s="0" t="n">
        <v>1647.5</v>
      </c>
      <c r="F25" s="0" t="n">
        <v>1116.85</v>
      </c>
      <c r="G25" s="0" t="n">
        <v>299.01</v>
      </c>
      <c r="H25" s="0" t="n">
        <v>279.7</v>
      </c>
      <c r="I25" s="0" t="n">
        <v>556.32</v>
      </c>
      <c r="J25" s="0" t="n">
        <v>1059.32</v>
      </c>
      <c r="K25" s="0" t="n">
        <v>1129.73</v>
      </c>
      <c r="L25" s="0" t="n">
        <v>1346.5</v>
      </c>
      <c r="M25" s="0" t="n">
        <v>1270.52</v>
      </c>
      <c r="N25" s="0" t="n">
        <v>1606.67</v>
      </c>
      <c r="O25" s="0" t="n">
        <v>1821.93</v>
      </c>
      <c r="P25" s="0" t="n">
        <v>1618.31</v>
      </c>
      <c r="Q25" s="0" t="n">
        <v>1377.08</v>
      </c>
      <c r="R25" s="0" t="n">
        <v>1116.96</v>
      </c>
      <c r="S25" s="0" t="n">
        <v>333.7</v>
      </c>
      <c r="T25" s="0" t="n">
        <v>348.77</v>
      </c>
      <c r="U25" s="0" t="n">
        <v>555.02</v>
      </c>
      <c r="V25" s="0" t="n">
        <v>979.12</v>
      </c>
      <c r="W25" s="0" t="n">
        <v>1157.14</v>
      </c>
      <c r="X25" s="0" t="n">
        <v>1221.59</v>
      </c>
      <c r="Y25" s="0" t="n">
        <v>0</v>
      </c>
    </row>
    <row r="26" customFormat="false" ht="15" hidden="false" customHeight="false" outlineLevel="0" collapsed="false">
      <c r="A26" s="0" t="s">
        <v>85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913.59</v>
      </c>
      <c r="J26" s="0" t="n">
        <v>934.6</v>
      </c>
      <c r="K26" s="0" t="n">
        <v>820.23</v>
      </c>
      <c r="L26" s="0" t="n">
        <v>902.11</v>
      </c>
      <c r="M26" s="0" t="n">
        <v>800.93</v>
      </c>
      <c r="N26" s="0" t="n">
        <v>979.94</v>
      </c>
      <c r="O26" s="0" t="n">
        <v>942.5</v>
      </c>
      <c r="P26" s="0" t="n">
        <v>836.15</v>
      </c>
      <c r="Q26" s="0" t="n">
        <v>893.99</v>
      </c>
      <c r="R26" s="0" t="n">
        <v>853.1</v>
      </c>
      <c r="S26" s="0" t="n">
        <v>916.2</v>
      </c>
      <c r="T26" s="0" t="n">
        <v>839.02</v>
      </c>
      <c r="U26" s="0" t="n">
        <v>989.25</v>
      </c>
      <c r="V26" s="0" t="n">
        <v>1077.25</v>
      </c>
      <c r="W26" s="0" t="n">
        <v>1061.16</v>
      </c>
      <c r="X26" s="0" t="n">
        <v>1072.87</v>
      </c>
      <c r="Y26" s="0" t="n">
        <v>0</v>
      </c>
    </row>
    <row r="27" customFormat="false" ht="15" hidden="false" customHeight="false" outlineLevel="0" collapsed="false">
      <c r="A27" s="0" t="s">
        <v>88</v>
      </c>
      <c r="B27" s="0" t="n">
        <v>1935</v>
      </c>
      <c r="C27" s="0" t="n">
        <v>3017.05</v>
      </c>
      <c r="D27" s="0" t="n">
        <v>1800.37</v>
      </c>
      <c r="E27" s="0" t="n">
        <v>1926.12</v>
      </c>
      <c r="F27" s="0" t="n">
        <v>2041.87</v>
      </c>
      <c r="G27" s="0" t="n">
        <v>1259.3</v>
      </c>
      <c r="H27" s="0" t="n">
        <v>2058.91</v>
      </c>
      <c r="I27" s="0" t="n">
        <v>1147.24</v>
      </c>
      <c r="J27" s="0" t="n">
        <v>2067.9</v>
      </c>
      <c r="K27" s="0" t="n">
        <v>1486.46</v>
      </c>
      <c r="L27" s="0" t="n">
        <v>1642.22</v>
      </c>
      <c r="M27" s="0" t="n">
        <v>2912.65</v>
      </c>
      <c r="N27" s="0" t="n">
        <v>2992.54</v>
      </c>
      <c r="O27" s="0" t="n">
        <v>3368.21</v>
      </c>
      <c r="P27" s="0" t="n">
        <v>2212.5</v>
      </c>
      <c r="Q27" s="0" t="n">
        <v>1960.19</v>
      </c>
      <c r="R27" s="0" t="n">
        <v>1921.61</v>
      </c>
      <c r="S27" s="0" t="n">
        <v>1263.13</v>
      </c>
      <c r="T27" s="0" t="n">
        <v>1600.1</v>
      </c>
      <c r="U27" s="0" t="n">
        <v>1414.77</v>
      </c>
      <c r="V27" s="0" t="n">
        <v>1990.19</v>
      </c>
      <c r="W27" s="0" t="n">
        <v>1763.94</v>
      </c>
      <c r="X27" s="0" t="n">
        <v>1455.49</v>
      </c>
      <c r="Y27" s="0" t="n">
        <v>0</v>
      </c>
    </row>
    <row r="28" customFormat="false" ht="15" hidden="false" customHeight="false" outlineLevel="0" collapsed="false">
      <c r="A28" s="0" t="s">
        <v>91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1197.18</v>
      </c>
      <c r="G28" s="0" t="n">
        <v>1865.97</v>
      </c>
      <c r="H28" s="0" t="n">
        <v>1723.16</v>
      </c>
      <c r="I28" s="0" t="n">
        <v>1570.31</v>
      </c>
      <c r="J28" s="0" t="n">
        <v>1432.73</v>
      </c>
      <c r="K28" s="0" t="n">
        <v>1817.32</v>
      </c>
      <c r="L28" s="0" t="n">
        <v>1955.83</v>
      </c>
      <c r="M28" s="0" t="n">
        <v>2235.47</v>
      </c>
      <c r="N28" s="0" t="n">
        <v>2825.24</v>
      </c>
      <c r="O28" s="0" t="n">
        <v>3443.22</v>
      </c>
      <c r="P28" s="0" t="n">
        <v>3178.08</v>
      </c>
      <c r="Q28" s="0" t="n">
        <v>2134.16</v>
      </c>
      <c r="R28" s="0" t="n">
        <v>1883.16</v>
      </c>
      <c r="S28" s="0" t="n">
        <v>1916.12</v>
      </c>
      <c r="T28" s="0" t="n">
        <v>1372.39</v>
      </c>
      <c r="U28" s="0" t="n">
        <v>2844.42</v>
      </c>
      <c r="V28" s="0" t="n">
        <v>2594.23</v>
      </c>
      <c r="W28" s="0" t="n">
        <v>2436.29</v>
      </c>
      <c r="X28" s="0" t="n">
        <v>2434.85</v>
      </c>
      <c r="Y2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2026-06-28T19:45:25Z</dcterms:created>
  <dc:creator>openpyxl</dc:creator>
  <dc:description/>
  <dc:language>en-US</dc:language>
  <cp:lastModifiedBy/>
  <dcterms:modified xsi:type="dcterms:W3CDTF">2026-06-28T19:45:30Z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