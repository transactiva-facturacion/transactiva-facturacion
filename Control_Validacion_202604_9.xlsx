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99.xml" ContentType="application/vnd.openxmlformats-officedocument.drawingml.chart+xml"/>
  <Override PartName="/xl/charts/chart98.xml" ContentType="application/vnd.openxmlformats-officedocument.drawingml.chart+xml"/>
  <Override PartName="/xl/charts/chart127.xml" ContentType="application/vnd.openxmlformats-officedocument.drawingml.chart+xml"/>
  <Override PartName="/xl/charts/chart97.xml" ContentType="application/vnd.openxmlformats-officedocument.drawingml.chart+xml"/>
  <Override PartName="/xl/charts/chart29.xml" ContentType="application/vnd.openxmlformats-officedocument.drawingml.chart+xml"/>
  <Override PartName="/xl/charts/chart126.xml" ContentType="application/vnd.openxmlformats-officedocument.drawingml.chart+xml"/>
  <Override PartName="/xl/charts/chart96.xml" ContentType="application/vnd.openxmlformats-officedocument.drawingml.chart+xml"/>
  <Override PartName="/xl/charts/chart28.xml" ContentType="application/vnd.openxmlformats-officedocument.drawingml.chart+xml"/>
  <Override PartName="/xl/charts/chart125.xml" ContentType="application/vnd.openxmlformats-officedocument.drawingml.chart+xml"/>
  <Override PartName="/xl/charts/chart95.xml" ContentType="application/vnd.openxmlformats-officedocument.drawingml.chart+xml"/>
  <Override PartName="/xl/charts/chart27.xml" ContentType="application/vnd.openxmlformats-officedocument.drawingml.chart+xml"/>
  <Override PartName="/xl/charts/chart119.xml" ContentType="application/vnd.openxmlformats-officedocument.drawingml.chart+xml"/>
  <Override PartName="/xl/charts/chart89.xml" ContentType="application/vnd.openxmlformats-officedocument.drawingml.chart+xml"/>
  <Override PartName="/xl/charts/chart118.xml" ContentType="application/vnd.openxmlformats-officedocument.drawingml.chart+xml"/>
  <Override PartName="/xl/charts/chart88.xml" ContentType="application/vnd.openxmlformats-officedocument.drawingml.chart+xml"/>
  <Override PartName="/xl/charts/chart117.xml" ContentType="application/vnd.openxmlformats-officedocument.drawingml.chart+xml"/>
  <Override PartName="/xl/charts/chart87.xml" ContentType="application/vnd.openxmlformats-officedocument.drawingml.chart+xml"/>
  <Override PartName="/xl/charts/chart19.xml" ContentType="application/vnd.openxmlformats-officedocument.drawingml.chart+xml"/>
  <Override PartName="/xl/charts/chart116.xml" ContentType="application/vnd.openxmlformats-officedocument.drawingml.chart+xml"/>
  <Override PartName="/xl/charts/chart86.xml" ContentType="application/vnd.openxmlformats-officedocument.drawingml.chart+xml"/>
  <Override PartName="/xl/charts/chart18.xml" ContentType="application/vnd.openxmlformats-officedocument.drawingml.chart+xml"/>
  <Override PartName="/xl/charts/chart115.xml" ContentType="application/vnd.openxmlformats-officedocument.drawingml.chart+xml"/>
  <Override PartName="/xl/charts/chart85.xml" ContentType="application/vnd.openxmlformats-officedocument.drawingml.chart+xml"/>
  <Override PartName="/xl/charts/chart17.xml" ContentType="application/vnd.openxmlformats-officedocument.drawingml.chart+xml"/>
  <Override PartName="/xl/charts/chart109.xml" ContentType="application/vnd.openxmlformats-officedocument.drawingml.chart+xml"/>
  <Override PartName="/xl/charts/chart79.xml" ContentType="application/vnd.openxmlformats-officedocument.drawingml.chart+xml"/>
  <Override PartName="/xl/charts/chart108.xml" ContentType="application/vnd.openxmlformats-officedocument.drawingml.chart+xml"/>
  <Override PartName="/xl/charts/chart78.xml" ContentType="application/vnd.openxmlformats-officedocument.drawingml.chart+xml"/>
  <Override PartName="/xl/charts/chart107.xml" ContentType="application/vnd.openxmlformats-officedocument.drawingml.chart+xml"/>
  <Override PartName="/xl/charts/chart77.xml" ContentType="application/vnd.openxmlformats-officedocument.drawingml.chart+xml"/>
  <Override PartName="/xl/charts/chart106.xml" ContentType="application/vnd.openxmlformats-officedocument.drawingml.chart+xml"/>
  <Override PartName="/xl/charts/chart76.xml" ContentType="application/vnd.openxmlformats-officedocument.drawingml.chart+xml"/>
  <Override PartName="/xl/charts/chart105.xml" ContentType="application/vnd.openxmlformats-officedocument.drawingml.chart+xml"/>
  <Override PartName="/xl/charts/chart75.xml" ContentType="application/vnd.openxmlformats-officedocument.drawingml.chart+xml"/>
  <Override PartName="/xl/charts/chart104.xml" ContentType="application/vnd.openxmlformats-officedocument.drawingml.chart+xml"/>
  <Override PartName="/xl/charts/chart74.xml" ContentType="application/vnd.openxmlformats-officedocument.drawingml.chart+xml"/>
  <Override PartName="/xl/charts/chart48.xml" ContentType="application/vnd.openxmlformats-officedocument.drawingml.chart+xml"/>
  <Override PartName="/xl/charts/chart143.xml" ContentType="application/vnd.openxmlformats-officedocument.drawingml.chart+xml"/>
  <Override PartName="/xl/charts/chart39.xml" ContentType="application/vnd.openxmlformats-officedocument.drawingml.chart+xml"/>
  <Override PartName="/xl/charts/chart134.xml" ContentType="application/vnd.openxmlformats-officedocument.drawingml.chart+xml"/>
  <Override PartName="/xl/charts/chart49.xml" ContentType="application/vnd.openxmlformats-officedocument.drawingml.chart+xml"/>
  <Override PartName="/xl/charts/chart144.xml" ContentType="application/vnd.openxmlformats-officedocument.drawingml.chart+xml"/>
  <Override PartName="/xl/charts/chart1.xml" ContentType="application/vnd.openxmlformats-officedocument.drawingml.chart+xml"/>
  <Override PartName="/xl/charts/chart33.xml" ContentType="application/vnd.openxmlformats-officedocument.drawingml.chart+xml"/>
  <Override PartName="/xl/charts/chart45.xml" ContentType="application/vnd.openxmlformats-officedocument.drawingml.chart+xml"/>
  <Override PartName="/xl/charts/chart140.xml" ContentType="application/vnd.openxmlformats-officedocument.drawingml.chart+xml"/>
  <Override PartName="/xl/charts/chart46.xml" ContentType="application/vnd.openxmlformats-officedocument.drawingml.chart+xml"/>
  <Override PartName="/xl/charts/chart141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52.xml" ContentType="application/vnd.openxmlformats-officedocument.drawingml.chart+xml"/>
  <Override PartName="/xl/charts/chart130.xml" ContentType="application/vnd.openxmlformats-officedocument.drawingml.chart+xml"/>
  <Override PartName="/xl/charts/chart35.xml" ContentType="application/vnd.openxmlformats-officedocument.drawingml.chart+xml"/>
  <Override PartName="/xl/charts/chart53.xml" ContentType="application/vnd.openxmlformats-officedocument.drawingml.chart+xml"/>
  <Override PartName="/xl/charts/chart131.xml" ContentType="application/vnd.openxmlformats-officedocument.drawingml.chart+xml"/>
  <Override PartName="/xl/charts/chart36.xml" ContentType="application/vnd.openxmlformats-officedocument.drawingml.chart+xml"/>
  <Override PartName="/xl/charts/chart54.xml" ContentType="application/vnd.openxmlformats-officedocument.drawingml.chart+xml"/>
  <Override PartName="/xl/charts/chart132.xml" ContentType="application/vnd.openxmlformats-officedocument.drawingml.chart+xml"/>
  <Override PartName="/xl/charts/chart37.xml" ContentType="application/vnd.openxmlformats-officedocument.drawingml.chart+xml"/>
  <Override PartName="/xl/charts/chart55.xml" ContentType="application/vnd.openxmlformats-officedocument.drawingml.chart+xml"/>
  <Override PartName="/xl/charts/chart150.xml" ContentType="application/vnd.openxmlformats-officedocument.drawingml.chart+xml"/>
  <Override PartName="/xl/charts/chart133.xml" ContentType="application/vnd.openxmlformats-officedocument.drawingml.chart+xml"/>
  <Override PartName="/xl/charts/chart38.xml" ContentType="application/vnd.openxmlformats-officedocument.drawingml.chart+xml"/>
  <Override PartName="/xl/charts/chart56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57.xml" ContentType="application/vnd.openxmlformats-officedocument.drawingml.chart+xml"/>
  <Override PartName="/xl/charts/chart153.xml" ContentType="application/vnd.openxmlformats-officedocument.drawingml.chart+xml"/>
  <Override PartName="/xl/charts/chart58.xml" ContentType="application/vnd.openxmlformats-officedocument.drawingml.chart+xml"/>
  <Override PartName="/xl/charts/chart154.xml" ContentType="application/vnd.openxmlformats-officedocument.drawingml.chart+xml"/>
  <Override PartName="/xl/charts/chart59.xml" ContentType="application/vnd.openxmlformats-officedocument.drawingml.chart+xml"/>
  <Override PartName="/xl/charts/chart40.xml" ContentType="application/vnd.openxmlformats-officedocument.drawingml.chart+xml"/>
  <Override PartName="/xl/charts/chart155.xml" ContentType="application/vnd.openxmlformats-officedocument.drawingml.chart+xml"/>
  <Override PartName="/xl/charts/chart41.xml" ContentType="application/vnd.openxmlformats-officedocument.drawingml.chart+xml"/>
  <Override PartName="/xl/charts/chart156.xml" ContentType="application/vnd.openxmlformats-officedocument.drawingml.chart+xml"/>
  <Override PartName="/xl/charts/chart42.xml" ContentType="application/vnd.openxmlformats-officedocument.drawingml.chart+xml"/>
  <Override PartName="/xl/charts/chart157.xml" ContentType="application/vnd.openxmlformats-officedocument.drawingml.chart+xml"/>
  <Override PartName="/xl/charts/chart43.xml" ContentType="application/vnd.openxmlformats-officedocument.drawingml.chart+xml"/>
  <Override PartName="/xl/charts/chart158.xml" ContentType="application/vnd.openxmlformats-officedocument.drawingml.chart+xml"/>
  <Override PartName="/xl/charts/chart160.xml" ContentType="application/vnd.openxmlformats-officedocument.drawingml.chart+xml"/>
  <Override PartName="/xl/charts/chart7.xml" ContentType="application/vnd.openxmlformats-officedocument.drawingml.chart+xml"/>
  <Override PartName="/xl/charts/chart65.xml" ContentType="application/vnd.openxmlformats-officedocument.drawingml.chart+xml"/>
  <Override PartName="/xl/charts/chart44.xml" ContentType="application/vnd.openxmlformats-officedocument.drawingml.chart+xml"/>
  <Override PartName="/xl/charts/chart159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34.xml" ContentType="application/vnd.openxmlformats-officedocument.drawingml.chart+xml"/>
  <Override PartName="/xl/charts/chart149.xml" ContentType="application/vnd.openxmlformats-officedocument.drawingml.chart+xml"/>
  <Override PartName="/xl/charts/chart163.xml" ContentType="application/vnd.openxmlformats-officedocument.drawingml.chart+xml"/>
  <Override PartName="/xl/charts/chart68.xml" ContentType="application/vnd.openxmlformats-officedocument.drawingml.chart+xml"/>
  <Override PartName="/xl/charts/chart148.xml" ContentType="application/vnd.openxmlformats-officedocument.drawingml.chart+xml"/>
  <Override PartName="/xl/charts/chart32.xml" ContentType="application/vnd.openxmlformats-officedocument.drawingml.chart+xml"/>
  <Override PartName="/xl/charts/chart147.xml" ContentType="application/vnd.openxmlformats-officedocument.drawingml.chart+xml"/>
  <Override PartName="/xl/charts/chart31.xml" ContentType="application/vnd.openxmlformats-officedocument.drawingml.chart+xml"/>
  <Override PartName="/xl/charts/chart146.xml" ContentType="application/vnd.openxmlformats-officedocument.drawingml.chart+xml"/>
  <Override PartName="/xl/charts/chart30.xml" ContentType="application/vnd.openxmlformats-officedocument.drawingml.chart+xml"/>
  <Override PartName="/xl/charts/chart145.xml" ContentType="application/vnd.openxmlformats-officedocument.drawingml.chart+xml"/>
  <Override PartName="/xl/charts/chart142.xml" ContentType="application/vnd.openxmlformats-officedocument.drawingml.chart+xml"/>
  <Override PartName="/xl/charts/chart47.xml" ContentType="application/vnd.openxmlformats-officedocument.drawingml.chart+xml"/>
  <Override PartName="/xl/charts/chart139.xml" ContentType="application/vnd.openxmlformats-officedocument.drawingml.chart+xml"/>
  <Override PartName="/xl/charts/chart138.xml" ContentType="application/vnd.openxmlformats-officedocument.drawingml.chart+xml"/>
  <Override PartName="/xl/charts/chart137.xml" ContentType="application/vnd.openxmlformats-officedocument.drawingml.chart+xml"/>
  <Override PartName="/xl/charts/chart136.xml" ContentType="application/vnd.openxmlformats-officedocument.drawingml.chart+xml"/>
  <Override PartName="/xl/charts/chart67.xml" ContentType="application/vnd.openxmlformats-officedocument.drawingml.chart+xml"/>
  <Override PartName="/xl/charts/chart9.xml" ContentType="application/vnd.openxmlformats-officedocument.drawingml.chart+xml"/>
  <Override PartName="/xl/charts/chart135.xml" ContentType="application/vnd.openxmlformats-officedocument.drawingml.chart+xml"/>
  <Override PartName="/xl/charts/chart66.xml" ContentType="application/vnd.openxmlformats-officedocument.drawingml.char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10.xml" ContentType="application/vnd.openxmlformats-officedocument.drawingml.chart+xml"/>
  <Override PartName="/xl/charts/chart12.xml" ContentType="application/vnd.openxmlformats-officedocument.drawingml.chart+xml"/>
  <Override PartName="/xl/charts/chart80.xml" ContentType="application/vnd.openxmlformats-officedocument.drawingml.chart+xml"/>
  <Override PartName="/xl/charts/chart110.xml" ContentType="application/vnd.openxmlformats-officedocument.drawingml.chart+xml"/>
  <Override PartName="/xl/charts/chart13.xml" ContentType="application/vnd.openxmlformats-officedocument.drawingml.chart+xml"/>
  <Override PartName="/xl/charts/chart81.xml" ContentType="application/vnd.openxmlformats-officedocument.drawingml.chart+xml"/>
  <Override PartName="/xl/charts/chart111.xml" ContentType="application/vnd.openxmlformats-officedocument.drawingml.chart+xml"/>
  <Override PartName="/xl/charts/chart14.xml" ContentType="application/vnd.openxmlformats-officedocument.drawingml.chart+xml"/>
  <Override PartName="/xl/charts/chart82.xml" ContentType="application/vnd.openxmlformats-officedocument.drawingml.chart+xml"/>
  <Override PartName="/xl/charts/chart112.xml" ContentType="application/vnd.openxmlformats-officedocument.drawingml.chart+xml"/>
  <Override PartName="/xl/charts/chart15.xml" ContentType="application/vnd.openxmlformats-officedocument.drawingml.chart+xml"/>
  <Override PartName="/xl/charts/chart83.xml" ContentType="application/vnd.openxmlformats-officedocument.drawingml.chart+xml"/>
  <Override PartName="/xl/charts/chart113.xml" ContentType="application/vnd.openxmlformats-officedocument.drawingml.chart+xml"/>
  <Override PartName="/xl/charts/chart20.xml" ContentType="application/vnd.openxmlformats-officedocument.drawingml.chart+xml"/>
  <Override PartName="/xl/charts/chart16.xml" ContentType="application/vnd.openxmlformats-officedocument.drawingml.chart+xml"/>
  <Override PartName="/xl/charts/chart84.xml" ContentType="application/vnd.openxmlformats-officedocument.drawingml.chart+xml"/>
  <Override PartName="/xl/charts/chart114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90.xml" ContentType="application/vnd.openxmlformats-officedocument.drawingml.chart+xml"/>
  <Override PartName="/xl/charts/chart120.xml" ContentType="application/vnd.openxmlformats-officedocument.drawingml.chart+xml"/>
  <Override PartName="/xl/charts/chart23.xml" ContentType="application/vnd.openxmlformats-officedocument.drawingml.chart+xml"/>
  <Override PartName="/xl/charts/chart91.xml" ContentType="application/vnd.openxmlformats-officedocument.drawingml.chart+xml"/>
  <Override PartName="/xl/charts/chart121.xml" ContentType="application/vnd.openxmlformats-officedocument.drawingml.chart+xml"/>
  <Override PartName="/xl/charts/chart24.xml" ContentType="application/vnd.openxmlformats-officedocument.drawingml.chart+xml"/>
  <Override PartName="/xl/charts/chart92.xml" ContentType="application/vnd.openxmlformats-officedocument.drawingml.chart+xml"/>
  <Override PartName="/xl/charts/chart122.xml" ContentType="application/vnd.openxmlformats-officedocument.drawingml.chart+xml"/>
  <Override PartName="/xl/charts/chart25.xml" ContentType="application/vnd.openxmlformats-officedocument.drawingml.chart+xml"/>
  <Override PartName="/xl/charts/chart93.xml" ContentType="application/vnd.openxmlformats-officedocument.drawingml.chart+xml"/>
  <Override PartName="/xl/charts/chart123.xml" ContentType="application/vnd.openxmlformats-officedocument.drawingml.chart+xml"/>
  <Override PartName="/xl/charts/chart26.xml" ContentType="application/vnd.openxmlformats-officedocument.drawingml.chart+xml"/>
  <Override PartName="/xl/charts/chart94.xml" ContentType="application/vnd.openxmlformats-officedocument.drawingml.chart+xml"/>
  <Override PartName="/xl/charts/chart124.xml" ContentType="application/vnd.openxmlformats-officedocument.drawingml.chart+xml"/>
  <Override PartName="/xl/charts/chart2.xml" ContentType="application/vnd.openxmlformats-officedocument.drawingml.chart+xml"/>
  <Override PartName="/xl/charts/chart60.xml" ContentType="application/vnd.openxmlformats-officedocument.drawingml.chart+xml"/>
  <Override PartName="/xl/charts/chart3.xml" ContentType="application/vnd.openxmlformats-officedocument.drawingml.chart+xml"/>
  <Override PartName="/xl/charts/chart61.xml" ContentType="application/vnd.openxmlformats-officedocument.drawingml.chart+xml"/>
  <Override PartName="/xl/charts/chart4.xml" ContentType="application/vnd.openxmlformats-officedocument.drawingml.chart+xml"/>
  <Override PartName="/xl/charts/chart62.xml" ContentType="application/vnd.openxmlformats-officedocument.drawingml.chart+xml"/>
  <Override PartName="/xl/charts/chart5.xml" ContentType="application/vnd.openxmlformats-officedocument.drawingml.chart+xml"/>
  <Override PartName="/xl/charts/chart63.xml" ContentType="application/vnd.openxmlformats-officedocument.drawingml.chart+xml"/>
  <Override PartName="/xl/charts/chart6.xml" ContentType="application/vnd.openxmlformats-officedocument.drawingml.chart+xml"/>
  <Override PartName="/xl/charts/chart64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100.xml" ContentType="application/vnd.openxmlformats-officedocument.drawingml.chart+xml"/>
  <Override PartName="/xl/charts/chart71.xml" ContentType="application/vnd.openxmlformats-officedocument.drawingml.chart+xml"/>
  <Override PartName="/xl/charts/chart101.xml" ContentType="application/vnd.openxmlformats-officedocument.drawingml.chart+xml"/>
  <Override PartName="/xl/charts/chart72.xml" ContentType="application/vnd.openxmlformats-officedocument.drawingml.chart+xml"/>
  <Override PartName="/xl/charts/chart102.xml" ContentType="application/vnd.openxmlformats-officedocument.drawingml.chart+xml"/>
  <Override PartName="/xl/charts/chart73.xml" ContentType="application/vnd.openxmlformats-officedocument.drawingml.chart+xml"/>
  <Override PartName="/xl/charts/chart10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Global" sheetId="1" state="visible" r:id="rId3"/>
    <sheet name="Resumen 3.0TD" sheetId="2" state="visible" r:id="rId4"/>
    <sheet name="Detalle 3.0TD" sheetId="3" state="visible" r:id="rId5"/>
    <sheet name="Resumen 2.0TD" sheetId="4" state="visible" r:id="rId6"/>
    <sheet name="Detalle 2.0TD" sheetId="5" state="visible" r:id="rId7"/>
    <sheet name="_series_3" sheetId="6" state="hidden" r:id="rId8"/>
    <sheet name="_series_2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<sst xmlns="http://schemas.openxmlformats.org/spreadsheetml/2006/main" count="7201" uniqueCount="1509">
  <si>
    <t xml:space="preserve">CONTROL DE VALIDACIÓN · abril 2026 · Transactiva 2000 S.L.</t>
  </si>
  <si>
    <t xml:space="preserve">Fusión de validaciones 3.0TD + 2.0TD. APROBAR ≥30% · REVISAR 20–30% · RECHAZAR &lt;20%. Detalle de cada factura en sus pestañas.</t>
  </si>
  <si>
    <t xml:space="preserve">Tarifa</t>
  </si>
  <si>
    <t xml:space="preserve">Nº facturas</t>
  </si>
  <si>
    <t xml:space="preserve">APROBAR</t>
  </si>
  <si>
    <t xml:space="preserve">REVISAR</t>
  </si>
  <si>
    <t xml:space="preserve">RECHAZAR</t>
  </si>
  <si>
    <t xml:space="preserve">Pestaña detalle</t>
  </si>
  <si>
    <t xml:space="preserve">3.0TD</t>
  </si>
  <si>
    <t xml:space="preserve">Detalle 3.0TD</t>
  </si>
  <si>
    <t xml:space="preserve">2.0TD</t>
  </si>
  <si>
    <t xml:space="preserve">Detalle 2.0TD</t>
  </si>
  <si>
    <t xml:space="preserve">TOTAL</t>
  </si>
  <si>
    <t xml:space="preserve">RESUMEN · 27 facturas 3.0TD · abril 2026 · margen abril vivo (editable) + histórico del CUPS (HOJA TTVA LUZ)</t>
  </si>
  <si>
    <t xml:space="preserve">LEYENDA</t>
  </si>
  <si>
    <t xml:space="preserve">APROBAR ≥30%</t>
  </si>
  <si>
    <t xml:space="preserve">REVISAR 20–30%</t>
  </si>
  <si>
    <t xml:space="preserve">RECHAZAR &lt;20% · margen objetivo editable en Detalle</t>
  </si>
  <si>
    <t xml:space="preserve">Factura</t>
  </si>
  <si>
    <t xml:space="preserve">Cliente</t>
  </si>
  <si>
    <t xml:space="preserve">Nombre</t>
  </si>
  <si>
    <t xml:space="preserve">Prov.</t>
  </si>
  <si>
    <t xml:space="preserve">Margen abril</t>
  </si>
  <si>
    <t xml:space="preserve">Veredicto</t>
  </si>
  <si>
    <t xml:space="preserve">Margen hist.</t>
  </si>
  <si>
    <t xml:space="preserve">Cobrado hist.</t>
  </si>
  <si>
    <t xml:space="preserve">Qué revisar</t>
  </si>
  <si>
    <t xml:space="preserve">8544</t>
  </si>
  <si>
    <t xml:space="preserve">C02330</t>
  </si>
  <si>
    <t xml:space="preserve">ORENCO 2019, S.L.</t>
  </si>
  <si>
    <t xml:space="preserve">Naturgy</t>
  </si>
  <si>
    <t xml:space="preserve">8545</t>
  </si>
  <si>
    <t xml:space="preserve">C01200</t>
  </si>
  <si>
    <t xml:space="preserve">SOLUCIONES GASTRONÓMICAS DE JAVEA 2014, S.L.</t>
  </si>
  <si>
    <t xml:space="preserve">8546</t>
  </si>
  <si>
    <t xml:space="preserve">C03270</t>
  </si>
  <si>
    <t xml:space="preserve">LULU BEACH CLUB JAVEA SL</t>
  </si>
  <si>
    <t xml:space="preserve">8547</t>
  </si>
  <si>
    <t xml:space="preserve">C01770</t>
  </si>
  <si>
    <t xml:space="preserve">CASA LILI JAVEA, S.L.</t>
  </si>
  <si>
    <t xml:space="preserve">?</t>
  </si>
  <si>
    <t xml:space="preserve">8564</t>
  </si>
  <si>
    <t xml:space="preserve">C01930</t>
  </si>
  <si>
    <t xml:space="preserve">FUNDACIÓN FSU PROGRAMAS INTERNACIONALES</t>
  </si>
  <si>
    <t xml:space="preserve">8565</t>
  </si>
  <si>
    <t xml:space="preserve">C01920</t>
  </si>
  <si>
    <t xml:space="preserve">8566</t>
  </si>
  <si>
    <t xml:space="preserve">C01910</t>
  </si>
  <si>
    <t xml:space="preserve">8567</t>
  </si>
  <si>
    <t xml:space="preserve">C00790</t>
  </si>
  <si>
    <t xml:space="preserve">CASA LILI, S.L.</t>
  </si>
  <si>
    <t xml:space="preserve">8578</t>
  </si>
  <si>
    <t xml:space="preserve">C02180</t>
  </si>
  <si>
    <t xml:space="preserve">EDWIN BAUMGARTNER</t>
  </si>
  <si>
    <t xml:space="preserve">8615</t>
  </si>
  <si>
    <t xml:space="preserve">C01220</t>
  </si>
  <si>
    <t xml:space="preserve">VIVES ELECTRODOMÉSTICOS, S.L.</t>
  </si>
  <si>
    <t xml:space="preserve">Repsol</t>
  </si>
  <si>
    <t xml:space="preserve">8629</t>
  </si>
  <si>
    <t xml:space="preserve">C01510</t>
  </si>
  <si>
    <t xml:space="preserve">CAFE ZUR BACKSTUBE, S.L.</t>
  </si>
  <si>
    <t xml:space="preserve">8635</t>
  </si>
  <si>
    <t xml:space="preserve">C01630</t>
  </si>
  <si>
    <t xml:space="preserve">ALEJANDRO BOX CANDELA</t>
  </si>
  <si>
    <t xml:space="preserve">8638</t>
  </si>
  <si>
    <t xml:space="preserve">C01710</t>
  </si>
  <si>
    <t xml:space="preserve">FARMACIA ESPINÓS</t>
  </si>
  <si>
    <t xml:space="preserve">8644</t>
  </si>
  <si>
    <t xml:space="preserve">C01840</t>
  </si>
  <si>
    <t xml:space="preserve">JOSE GUILLERMO CHOLBI SART</t>
  </si>
  <si>
    <t xml:space="preserve">8649</t>
  </si>
  <si>
    <t xml:space="preserve">C01980</t>
  </si>
  <si>
    <t xml:space="preserve">TINTORERÍA LAVANDERÍA COLOMER</t>
  </si>
  <si>
    <t xml:space="preserve">8652</t>
  </si>
  <si>
    <t xml:space="preserve">8669</t>
  </si>
  <si>
    <t xml:space="preserve">C02600</t>
  </si>
  <si>
    <t xml:space="preserve">CRISTIAN FERRARI</t>
  </si>
  <si>
    <t xml:space="preserve">8684</t>
  </si>
  <si>
    <t xml:space="preserve">C02910</t>
  </si>
  <si>
    <t xml:space="preserve">NICHOLAS JAMES RATCLIFFE</t>
  </si>
  <si>
    <t xml:space="preserve">8691</t>
  </si>
  <si>
    <t xml:space="preserve">C03020</t>
  </si>
  <si>
    <t xml:space="preserve">MONTGO SEGURIDAD S.L.</t>
  </si>
  <si>
    <t xml:space="preserve">8705</t>
  </si>
  <si>
    <t xml:space="preserve">C03200</t>
  </si>
  <si>
    <t xml:space="preserve">2 HANDS FULL, S.L</t>
  </si>
  <si>
    <t xml:space="preserve">8731</t>
  </si>
  <si>
    <t xml:space="preserve">C01500</t>
  </si>
  <si>
    <t xml:space="preserve">SANTIAGO JAVIER NUÑEZ JOVER</t>
  </si>
  <si>
    <t xml:space="preserve">8732</t>
  </si>
  <si>
    <t xml:space="preserve">C02430</t>
  </si>
  <si>
    <t xml:space="preserve">CINDY DEPERE</t>
  </si>
  <si>
    <t xml:space="preserve">8733</t>
  </si>
  <si>
    <t xml:space="preserve">C03410</t>
  </si>
  <si>
    <t xml:space="preserve">NORAY PUERTO 2012 S.L.</t>
  </si>
  <si>
    <t xml:space="preserve">8734</t>
  </si>
  <si>
    <t xml:space="preserve">C01820</t>
  </si>
  <si>
    <t xml:space="preserve">PIZZERIA TIGER, S.L.</t>
  </si>
  <si>
    <t xml:space="preserve">8735</t>
  </si>
  <si>
    <t xml:space="preserve">C02700</t>
  </si>
  <si>
    <t xml:space="preserve">TALLERES MARTINEZ JAVEA SL</t>
  </si>
  <si>
    <t xml:space="preserve">8737</t>
  </si>
  <si>
    <t xml:space="preserve">C00740</t>
  </si>
  <si>
    <t xml:space="preserve">PIZZERIA ORBA, S.L.</t>
  </si>
  <si>
    <t xml:space="preserve">8738</t>
  </si>
  <si>
    <t xml:space="preserve">C02620</t>
  </si>
  <si>
    <t xml:space="preserve">JAVEA PADEL &amp; Tenis SL</t>
  </si>
  <si>
    <t xml:space="preserve">Margen abril editable en TODAS (celda amarilla en Detalle). Margen hist., cobrado y mejor/peor mes vienen de HOJA TTVA LUZ por CUPS.</t>
  </si>
  <si>
    <t xml:space="preserve">Factura 8544 · C02330 · ORENCO 2019, S.L.</t>
  </si>
  <si>
    <t xml:space="preserve">ES0021000001197056KH · Naturgy · 01/04/26 a 30/04/26 · PC real leído: 01MAR_31MAR26 (P2/P3/P6) + plan fijo</t>
  </si>
  <si>
    <t xml:space="preserve">HISTÓRICO DEL CUPS · HOJA TTVA LUZ</t>
  </si>
  <si>
    <t xml:space="preserve">Concepto</t>
  </si>
  <si>
    <t xml:space="preserve">PENDIENTE (sin registrar)</t>
  </si>
  <si>
    <t xml:space="preserve">MES ANTERIOR · Fact.6296 (01/03/26 a 31/03/26)</t>
  </si>
  <si>
    <t xml:space="preserve">AÑO ANTERIOR · Fact.4508 (01/04/25 a 30/04/25)</t>
  </si>
  <si>
    <t xml:space="preserve">Cobrado total: 40.716 €</t>
  </si>
  <si>
    <t xml:space="preserve">Cant</t>
  </si>
  <si>
    <t xml:space="preserve">Días</t>
  </si>
  <si>
    <t xml:space="preserve">PC real</t>
  </si>
  <si>
    <t xml:space="preserve">PV</t>
  </si>
  <si>
    <t xml:space="preserve">Importe</t>
  </si>
  <si>
    <t xml:space="preserve">Pagado total: 29.523 €</t>
  </si>
  <si>
    <t xml:space="preserve">P1 Potencia</t>
  </si>
  <si>
    <t xml:space="preserve">DIF: 11.193 €  ·  Margen hist.: 27.5%</t>
  </si>
  <si>
    <t xml:space="preserve">P2 Potencia</t>
  </si>
  <si>
    <t xml:space="preserve">Mejor mes: 2024-06 · 3.014 € · margen 56%</t>
  </si>
  <si>
    <t xml:space="preserve">P3 Potencia</t>
  </si>
  <si>
    <t xml:space="preserve">Peor mes: 2024-11 · 701 € · margen 39%</t>
  </si>
  <si>
    <t xml:space="preserve">P4 Potencia</t>
  </si>
  <si>
    <t xml:space="preserve">⚠ Consumo en P1/P2 (calendario inactivo) → consolidado a P4/P5/P6</t>
  </si>
  <si>
    <t xml:space="preserve">P5 Potencia</t>
  </si>
  <si>
    <t xml:space="preserve">Importe mensual cobrado (€) · últimos 24 meses</t>
  </si>
  <si>
    <t xml:space="preserve">P6 Potencia</t>
  </si>
  <si>
    <t xml:space="preserve">P4 Energía</t>
  </si>
  <si>
    <t xml:space="preserve">Margen objetivo (edita el % aquí) ▶</t>
  </si>
  <si>
    <t xml:space="preserve">P5 Energía</t>
  </si>
  <si>
    <t xml:space="preserve">Cant. P4/P5/P6 suben en proporción</t>
  </si>
  <si>
    <t xml:space="preserve">P6 Energía</t>
  </si>
  <si>
    <t xml:space="preserve">para cumplir ese margen</t>
  </si>
  <si>
    <t xml:space="preserve">Alquiler contador</t>
  </si>
  <si>
    <t xml:space="preserve">Bono social</t>
  </si>
  <si>
    <t xml:space="preserve">Tasa eléctrica</t>
  </si>
  <si>
    <t xml:space="preserve">TOTAL c/IVA</t>
  </si>
  <si>
    <t xml:space="preserve">MARGEN sin registrar</t>
  </si>
  <si>
    <t xml:space="preserve">Factura 8545 · C01200 · SOLUCIONES GASTRONÓMICAS DE JAVEA 2014, S.L.</t>
  </si>
  <si>
    <t xml:space="preserve">ES0021000001209594ZK · Naturgy · 01/04/26 a 30/04/26 · PC maestro (=factura real, verificado)</t>
  </si>
  <si>
    <t xml:space="preserve">MES ANTERIOR · Fact.6297 (01/03/26 a 31/03/26)</t>
  </si>
  <si>
    <t xml:space="preserve">AÑO ANTERIOR · Fact.4514 (01/04/25 a 30/04/25)</t>
  </si>
  <si>
    <t xml:space="preserve">Cobrado total: 53.718 €</t>
  </si>
  <si>
    <t xml:space="preserve">Pagado total: 40.613 €</t>
  </si>
  <si>
    <t xml:space="preserve">DIF: 13.105 €  ·  Margen hist.: 24.4%</t>
  </si>
  <si>
    <t xml:space="preserve">Mejor mes: 2024-08 · 2.606 € · margen 23%</t>
  </si>
  <si>
    <t xml:space="preserve">Peor mes: 2023-01 · 446 € · margen 25%</t>
  </si>
  <si>
    <t xml:space="preserve">Factura 8546 · C03270 · LULU BEACH CLUB JAVEA SL</t>
  </si>
  <si>
    <t xml:space="preserve">ES0021000001205457LR · Naturgy · 01/04/26 a 30/04/26 · PC maestro (=factura real, verificado)</t>
  </si>
  <si>
    <t xml:space="preserve">MES ANTERIOR (s/d)</t>
  </si>
  <si>
    <t xml:space="preserve">AÑO ANTERIOR (s/d)</t>
  </si>
  <si>
    <t xml:space="preserve">Cobrado total: 12.272 €</t>
  </si>
  <si>
    <t xml:space="preserve">Pagado total: 9.764 €</t>
  </si>
  <si>
    <t xml:space="preserve">DIF: 2.509 €  ·  Margen hist.: 20.4%</t>
  </si>
  <si>
    <t xml:space="preserve">Mejor mes: 2026-05 · 3.747 € · margen 22%</t>
  </si>
  <si>
    <t xml:space="preserve">Peor mes: 2026-02 · 1.625 € · margen 27%</t>
  </si>
  <si>
    <t xml:space="preserve">✓ Lecturas 3/3 · productos · periodos OK</t>
  </si>
  <si>
    <t xml:space="preserve">Factura 8547 · C01770 · CASA LILI JAVEA, S.L.</t>
  </si>
  <si>
    <t xml:space="preserve">ES0021000012742166PW · ? · 01/04/26 a 30/04/26 · PC real leído: 01ABR_30ABR26 (real)</t>
  </si>
  <si>
    <t xml:space="preserve">MES ANTERIOR · Fact.6081 (01/03/26 a 31/03/26)</t>
  </si>
  <si>
    <t xml:space="preserve">AÑO ANTERIOR · Fact.4142 (01/04/25 a 30/04/25)</t>
  </si>
  <si>
    <t xml:space="preserve">Cobrado total: 130.569 €</t>
  </si>
  <si>
    <t xml:space="preserve">Pagado total: 74.176 €</t>
  </si>
  <si>
    <t xml:space="preserve">DIF: 56.393 €  ·  Margen hist.: 43.2%</t>
  </si>
  <si>
    <t xml:space="preserve">Mejor mes: 2024-01 · 5.457 € · margen 28%</t>
  </si>
  <si>
    <t xml:space="preserve">Peor mes: 2026-01 · 2.917 € · margen 20%</t>
  </si>
  <si>
    <t xml:space="preserve">Compensación excedentes</t>
  </si>
  <si>
    <t xml:space="preserve">sin venta</t>
  </si>
  <si>
    <t xml:space="preserve">Factura 8564 · C01930 · FUNDACIÓN FSU PROGRAMAS INTERNACIONALES</t>
  </si>
  <si>
    <t xml:space="preserve">ES0021000008997144KR · Naturgy · 01/04/26 a 30/04/26 · PC maestro (=factura real, verificado)</t>
  </si>
  <si>
    <t xml:space="preserve">MES ANTERIOR · Fact.6300 (01/03/26 a 31/03/26)</t>
  </si>
  <si>
    <t xml:space="preserve">AÑO ANTERIOR · Fact.4598 (01/04/25 a 30/04/25)</t>
  </si>
  <si>
    <t xml:space="preserve">Cobrado total: 18.857 €</t>
  </si>
  <si>
    <t xml:space="preserve">Pagado total: 13.790 €</t>
  </si>
  <si>
    <t xml:space="preserve">DIF: 5.067 €  ·  Margen hist.: 26.9%</t>
  </si>
  <si>
    <t xml:space="preserve">Mejor mes: 2025-10 · 816 € · margen 30%</t>
  </si>
  <si>
    <t xml:space="preserve">Peor mes: 2024-02 · 408 € · margen 37%</t>
  </si>
  <si>
    <t xml:space="preserve">Factura 8565 · C01920 · FUNDACIÓN FSU PROGRAMAS INTERNACIONALES</t>
  </si>
  <si>
    <t xml:space="preserve">ES0021000020111643FA · Naturgy · 01/04/26 a 30/04/26 · PC real leído: mismo contrato FSU (precio fijo)</t>
  </si>
  <si>
    <t xml:space="preserve">MES ANTERIOR · Fact.6299 (01/03/26 a 31/03/26)</t>
  </si>
  <si>
    <t xml:space="preserve">AÑO ANTERIOR · Fact.4599 (01/04/25 a 30/04/25)</t>
  </si>
  <si>
    <t xml:space="preserve">Cobrado total: 19.336 €</t>
  </si>
  <si>
    <t xml:space="preserve">Pagado total: 13.069 €</t>
  </si>
  <si>
    <t xml:space="preserve">DIF: 6.267 €  ·  Margen hist.: 32.4%</t>
  </si>
  <si>
    <t xml:space="preserve">Mejor mes: 2026-03 · 1.019 € · margen 57%</t>
  </si>
  <si>
    <t xml:space="preserve">Peor mes: 2024-12 · 207 € · margen -183%</t>
  </si>
  <si>
    <t xml:space="preserve">Factura 8566 · C01910 · FUNDACIÓN FSU PROGRAMAS INTERNACIONALES</t>
  </si>
  <si>
    <t xml:space="preserve">ES0021000020111642FW · Naturgy · 01/04/26 a 30/04/26 · PC real leído: 01ABR_30ABR26 (real)</t>
  </si>
  <si>
    <t xml:space="preserve">MES ANTERIOR · Fact.6302 (01/03/26 a 31/03/26)</t>
  </si>
  <si>
    <t xml:space="preserve">AÑO ANTERIOR · Fact.4600 (01/04/25 a 30/04/25)</t>
  </si>
  <si>
    <t xml:space="preserve">Cobrado total: 10.564 €</t>
  </si>
  <si>
    <t xml:space="preserve">Pagado total: 6.952 €</t>
  </si>
  <si>
    <t xml:space="preserve">DIF: 3.613 €  ·  Margen hist.: 34.2%</t>
  </si>
  <si>
    <t xml:space="preserve">Mejor mes: 2025-07 · 635 € · margen 22%</t>
  </si>
  <si>
    <t xml:space="preserve">Peor mes: 2024-08 · 167 € · margen 23%</t>
  </si>
  <si>
    <t xml:space="preserve">Factura 8567 · C00790 · CASA LILI, S.L.</t>
  </si>
  <si>
    <t xml:space="preserve">ES0021000001498860XQ · Naturgy · 01/04/26 a 30/04/26 · PC maestro (=factura real, verificado)</t>
  </si>
  <si>
    <t xml:space="preserve">MES ANTERIOR · Fact.5896 (01/03/26 a 31/03/26)</t>
  </si>
  <si>
    <t xml:space="preserve">AÑO ANTERIOR · Fact.3975 (01/04/25 a 30/04/25)</t>
  </si>
  <si>
    <t xml:space="preserve">Cobrado total: 151.868 €</t>
  </si>
  <si>
    <t xml:space="preserve">Pagado total: 90.364 €</t>
  </si>
  <si>
    <t xml:space="preserve">DIF: 61.504 €  ·  Margen hist.: 40.5%</t>
  </si>
  <si>
    <t xml:space="preserve">Mejor mes: 2023-06 · 5.345 € · margen 58%</t>
  </si>
  <si>
    <t xml:space="preserve">Peor mes: 2026-05 · 2.640 € · margen 42%</t>
  </si>
  <si>
    <t xml:space="preserve">Factura 8578 · C02180 · EDWIN BAUMGARTNER</t>
  </si>
  <si>
    <t xml:space="preserve">ES0021000010447948XB · Naturgy · 01/04/26 a 30/04/26 · PC maestro (=factura real, verificado)</t>
  </si>
  <si>
    <t xml:space="preserve">MES ANTERIOR · Fact.6391 (01/03/26 a 31/03/26)</t>
  </si>
  <si>
    <t xml:space="preserve">AÑO ANTERIOR · Fact.4581 (01/04/25 a 30/04/25)</t>
  </si>
  <si>
    <t xml:space="preserve">Cobrado total: 2.908 €</t>
  </si>
  <si>
    <t xml:space="preserve">Pagado total: 1.491 €</t>
  </si>
  <si>
    <t xml:space="preserve">DIF: 1.416 €  ·  Margen hist.: 48.7%</t>
  </si>
  <si>
    <t xml:space="preserve">Mejor mes: 2025-07 · 361 € · margen -11%</t>
  </si>
  <si>
    <t xml:space="preserve">Peor mes: 2026-04 · 39 € · margen 45%</t>
  </si>
  <si>
    <t xml:space="preserve">Factura 8615 · C01220 · VIVES ELECTRODOMÉSTICOS, S.L.</t>
  </si>
  <si>
    <t xml:space="preserve">ES0021000016067263EN · Repsol · 01/04/26 a 30/04/26 · PC real leído: 31ENE_28FEB26 plana</t>
  </si>
  <si>
    <t xml:space="preserve">MES ANTERIOR · Fact.6430 (01/03/26 a 31/03/26)</t>
  </si>
  <si>
    <t xml:space="preserve">AÑO ANTERIOR · Fact.4634 (01/04/25 a 30/04/25)</t>
  </si>
  <si>
    <t xml:space="preserve">Cobrado total: 26.925 €</t>
  </si>
  <si>
    <t xml:space="preserve">Pagado total: 18.410 €</t>
  </si>
  <si>
    <t xml:space="preserve">DIF: 8.515 €  ·  Margen hist.: 31.6%</t>
  </si>
  <si>
    <t xml:space="preserve">Mejor mes: 2024-07 · 1.167 € · margen 43%</t>
  </si>
  <si>
    <t xml:space="preserve">Peor mes: 2023-04 · 262 € · margen 61%</t>
  </si>
  <si>
    <t xml:space="preserve">Factura 8629 · C01510 · CAFE ZUR BACKSTUBE, S.L.</t>
  </si>
  <si>
    <t xml:space="preserve">ES0021000001210140SS · Naturgy · 01/04/26 a 30/04/26 · PC maestro (=factura real, verificado)</t>
  </si>
  <si>
    <t xml:space="preserve">MES ANTERIOR · Fact.6414 (01/03/26 a 31/03/26)</t>
  </si>
  <si>
    <t xml:space="preserve">AÑO ANTERIOR · Fact.4618 (01/04/25 a 30/04/25)</t>
  </si>
  <si>
    <t xml:space="preserve">Cobrado total: 6.193 €</t>
  </si>
  <si>
    <t xml:space="preserve">Pagado total: 3.952 €</t>
  </si>
  <si>
    <t xml:space="preserve">DIF: 2.241 €  ·  Margen hist.: 36.2%</t>
  </si>
  <si>
    <t xml:space="preserve">Mejor mes: 2023-06 · 843 € · margen 23%</t>
  </si>
  <si>
    <t xml:space="preserve">Peor mes: 2025-10 · 110 € · margen 32%</t>
  </si>
  <si>
    <t xml:space="preserve">Factura 8635 · C01630 · ALEJANDRO BOX CANDELA</t>
  </si>
  <si>
    <t xml:space="preserve">ES0021000001209877GM · Naturgy · 01/04/26 a 30/04/26 · PC maestro (=factura real, verificado)</t>
  </si>
  <si>
    <t xml:space="preserve">MES ANTERIOR · Fact.6408 (01/03/26 a 31/03/26)</t>
  </si>
  <si>
    <t xml:space="preserve">AÑO ANTERIOR · Fact.4511 (01/04/25 a 30/04/25)</t>
  </si>
  <si>
    <t xml:space="preserve">Cobrado total: 31.335 €</t>
  </si>
  <si>
    <t xml:space="preserve">Pagado total: 22.659 €</t>
  </si>
  <si>
    <t xml:space="preserve">DIF: 8.677 €  ·  Margen hist.: 27.7%</t>
  </si>
  <si>
    <t xml:space="preserve">Mejor mes: 2025-08 · 1.864 € · margen 50%</t>
  </si>
  <si>
    <t xml:space="preserve">Peor mes: 2023-11 · 137 € · margen -34%</t>
  </si>
  <si>
    <t xml:space="preserve">Factura 8638 · C01710 · FARMACIA ESPINÓS</t>
  </si>
  <si>
    <t xml:space="preserve">ES0021000001207126EZ · Repsol · 01/04/26 a 30/04/26 · PC real leído: 30ABR_31MAY26</t>
  </si>
  <si>
    <t xml:space="preserve">MES ANTERIOR · Fact.6405 (01/03/26 a 31/03/26)</t>
  </si>
  <si>
    <t xml:space="preserve">AÑO ANTERIOR · Fact.4610 (01/04/25 a 30/04/25)</t>
  </si>
  <si>
    <t xml:space="preserve">Cobrado total: 14.704 €</t>
  </si>
  <si>
    <t xml:space="preserve">Pagado total: 10.985 €</t>
  </si>
  <si>
    <t xml:space="preserve">DIF: 3.720 €  ·  Margen hist.: 25.3%</t>
  </si>
  <si>
    <t xml:space="preserve">Mejor mes: 2024-07 · 693 € · margen 38%</t>
  </si>
  <si>
    <t xml:space="preserve">Peor mes: 2026-04 · 161 € · margen -36%</t>
  </si>
  <si>
    <t xml:space="preserve">Factura 8644 · C01840 · JOSE GUILLERMO CHOLBI SART</t>
  </si>
  <si>
    <t xml:space="preserve">ES0021000001195518TK · Naturgy · 01/04/26 a 30/04/26 · PC maestro (=factura real, verificado)</t>
  </si>
  <si>
    <t xml:space="preserve">MES ANTERIOR · Fact.5532 (01/10/25 a 31/10/25)</t>
  </si>
  <si>
    <t xml:space="preserve">AÑO ANTERIOR · Fact.4542 (01/04/25 a 30/04/25)</t>
  </si>
  <si>
    <t xml:space="preserve">Cobrado total: 3.368 €</t>
  </si>
  <si>
    <t xml:space="preserve">Pagado total: 2.747 €</t>
  </si>
  <si>
    <t xml:space="preserve">DIF: 621 €  ·  Margen hist.: 18.4%</t>
  </si>
  <si>
    <t xml:space="preserve">Mejor mes: 2025-07 · 241 € · margen 26%</t>
  </si>
  <si>
    <t xml:space="preserve">Peor mes: 2023-11 · 44 € · margen 6%</t>
  </si>
  <si>
    <t xml:space="preserve">Factura 8649 · C01980 · TINTORERÍA LAVANDERÍA COLOMER</t>
  </si>
  <si>
    <t xml:space="preserve">ES0021000001194238ZY · Repsol · 01/04/26 a 30/04/26 · PC real leído: 30SEP_31OCT25 (último archivado)</t>
  </si>
  <si>
    <t xml:space="preserve">MES ANTERIOR · Fact.6394 (01/03/26 a 31/03/26)</t>
  </si>
  <si>
    <t xml:space="preserve">AÑO ANTERIOR · Fact.4509 (01/04/25 a 30/04/25)</t>
  </si>
  <si>
    <t xml:space="preserve">Cobrado total: 15.418 €</t>
  </si>
  <si>
    <t xml:space="preserve">Pagado total: 12.288 €</t>
  </si>
  <si>
    <t xml:space="preserve">DIF: 3.130 €  ·  Margen hist.: 20.3%</t>
  </si>
  <si>
    <t xml:space="preserve">Mejor mes: 2024-05 · 821 € · margen 36%</t>
  </si>
  <si>
    <t xml:space="preserve">Peor mes: 2024-02 · 370 € · margen 52%</t>
  </si>
  <si>
    <t xml:space="preserve">Factura 8652 · C02180 · EDWIN BAUMGARTNER</t>
  </si>
  <si>
    <t xml:space="preserve">Factura 8669 · C02600 · CRISTIAN FERRARI</t>
  </si>
  <si>
    <t xml:space="preserve">ES0021000020674389WP · Naturgy · 01/04/26 a 30/04/26 · PC maestro (=factura real, verificado)</t>
  </si>
  <si>
    <t xml:space="preserve">MES ANTERIOR · Fact.6374 (01/03/26 a 31/03/26)</t>
  </si>
  <si>
    <t xml:space="preserve">AÑO ANTERIOR · Fact.4562 (01/04/25 a 30/04/25)</t>
  </si>
  <si>
    <t xml:space="preserve">Cobrado total: 5.898 €</t>
  </si>
  <si>
    <t xml:space="preserve">Pagado total: 4.174 €</t>
  </si>
  <si>
    <t xml:space="preserve">DIF: 1.724 €  ·  Margen hist.: 29.2%</t>
  </si>
  <si>
    <t xml:space="preserve">Mejor mes: 2025-09 · 403 € · margen 33%</t>
  </si>
  <si>
    <t xml:space="preserve">Peor mes: 2026-04 · 247 € · margen 30%</t>
  </si>
  <si>
    <t xml:space="preserve">Factura 8684 · C02910 · NICHOLAS JAMES RATCLIFFE</t>
  </si>
  <si>
    <t xml:space="preserve">ES0021000015846775GW · Repsol · 01/04/26 a 30/04/26 · PC maestro (=factura real, verificado)</t>
  </si>
  <si>
    <t xml:space="preserve">MES ANTERIOR · Fact.6360 (01/03/26 a 31/03/26)</t>
  </si>
  <si>
    <t xml:space="preserve">Cobrado total: 4.742 €</t>
  </si>
  <si>
    <t xml:space="preserve">Pagado total: 2.732 €</t>
  </si>
  <si>
    <t xml:space="preserve">DIF: 2.009 €  ·  Margen hist.: 42.4%</t>
  </si>
  <si>
    <t xml:space="preserve">Mejor mes: 2025-08 · 757 € · margen 32%</t>
  </si>
  <si>
    <t xml:space="preserve">Peor mes: 2025-03 · 52 € · margen 36%</t>
  </si>
  <si>
    <t xml:space="preserve">Factura 8691 · C03020 · MONTGO SEGURIDAD S.L.</t>
  </si>
  <si>
    <t xml:space="preserve">ES0021000043781374JC · Repsol · 01/04/26 a 30/04/26 · PC maestro (=factura real, verificado)</t>
  </si>
  <si>
    <t xml:space="preserve">MES ANTERIOR · Fact.6351 (01/03/26 a 31/03/26)</t>
  </si>
  <si>
    <t xml:space="preserve">Cobrado total: 2.757 €</t>
  </si>
  <si>
    <t xml:space="preserve">Pagado total: 2.333 €</t>
  </si>
  <si>
    <t xml:space="preserve">DIF: 423 €  ·  Margen hist.: 15.4%</t>
  </si>
  <si>
    <t xml:space="preserve">Mejor mes: 2026-01 · 528 € · margen 26%</t>
  </si>
  <si>
    <t xml:space="preserve">Peor mes: 2026-04 · 257 € · margen 17%</t>
  </si>
  <si>
    <t xml:space="preserve">Factura 8705 · C03200 · 2 HANDS FULL, S.L</t>
  </si>
  <si>
    <t xml:space="preserve">ES0021000001210751LM · Repsol · 01/04/26 a 30/04/26 · PC maestro (=factura real, verificado)</t>
  </si>
  <si>
    <t xml:space="preserve">MES ANTERIOR · Fact.6317 (01/03/26 a 31/03/26)</t>
  </si>
  <si>
    <t xml:space="preserve">Cobrado total: 3.844 €</t>
  </si>
  <si>
    <t xml:space="preserve">Pagado total: 3.280 €</t>
  </si>
  <si>
    <t xml:space="preserve">DIF: 564 €  ·  Margen hist.: 14.7%</t>
  </si>
  <si>
    <t xml:space="preserve">Mejor mes: 2026-05 · 1.224 € · margen 11%</t>
  </si>
  <si>
    <t xml:space="preserve">Peor mes: 2026-02 · 713 € · margen 25%</t>
  </si>
  <si>
    <t xml:space="preserve">Factura 8731 · C01500 · SANTIAGO JAVIER NUÑEZ JOVER</t>
  </si>
  <si>
    <t xml:space="preserve">ES0021000037410824EX · Repsol · 01/04/26 a 30/04/26 · PC real leído: 31ENE_28FEB26 (2026 real)</t>
  </si>
  <si>
    <t xml:space="preserve">MES ANTERIOR · Fact.6415 (01/03/26 a 31/03/26)</t>
  </si>
  <si>
    <t xml:space="preserve">AÑO ANTERIOR · Fact.4513 (01/04/25 a 30/04/25)</t>
  </si>
  <si>
    <t xml:space="preserve">Cobrado total: 43.740 €</t>
  </si>
  <si>
    <t xml:space="preserve">Pagado total: 30.375 €</t>
  </si>
  <si>
    <t xml:space="preserve">DIF: 13.365 €  ·  Margen hist.: 30.6%</t>
  </si>
  <si>
    <t xml:space="preserve">Mejor mes: 2023-08 · 2.624 € · margen 21%</t>
  </si>
  <si>
    <t xml:space="preserve">Peor mes: 2026-01 · 576 € · margen -1%</t>
  </si>
  <si>
    <t xml:space="preserve">Factura 8732 · C02430 · CINDY DEPERE</t>
  </si>
  <si>
    <t xml:space="preserve">ES0021000013419235MC · Naturgy · 01/04/26 a 30/04/26 · PC real leído: 01MAY_31MAY26 (real)</t>
  </si>
  <si>
    <t xml:space="preserve">MES ANTERIOR · Fact.6320 (01/03/26 a 31/03/26)</t>
  </si>
  <si>
    <t xml:space="preserve">AÑO ANTERIOR · Fact.4507 (01/04/25 a 30/04/25)</t>
  </si>
  <si>
    <t xml:space="preserve">Cobrado total: 14.442 €</t>
  </si>
  <si>
    <t xml:space="preserve">Pagado total: 9.963 €</t>
  </si>
  <si>
    <t xml:space="preserve">DIF: 4.479 €  ·  Margen hist.: 31.0%</t>
  </si>
  <si>
    <t xml:space="preserve">Mejor mes: 2024-12 · 932 € · margen 5%</t>
  </si>
  <si>
    <t xml:space="preserve">Peor mes: 2026-05 · 309 € · margen 42%</t>
  </si>
  <si>
    <t xml:space="preserve">Factura 8733 · C03410 · NORAY PUERTO 2012 S.L.</t>
  </si>
  <si>
    <t xml:space="preserve">ES0021000001194487WW · Naturgy · 01/04/26 a 30/04/26 · PC maestro (=factura real, verificado)</t>
  </si>
  <si>
    <t xml:space="preserve">MES ANTERIOR · Fact.6316 (24/03/26 a 31/03/26)</t>
  </si>
  <si>
    <t xml:space="preserve">Cobrado total: 5.855 €</t>
  </si>
  <si>
    <t xml:space="preserve">Pagado total: 3.944 €</t>
  </si>
  <si>
    <t xml:space="preserve">DIF: 1.911 €  ·  Margen hist.: 32.6%</t>
  </si>
  <si>
    <t xml:space="preserve">Mejor mes: 2026-05 · 2.529 € · margen 24%</t>
  </si>
  <si>
    <t xml:space="preserve">Peor mes: 2026-03 · 850 € · margen 54%</t>
  </si>
  <si>
    <t xml:space="preserve">⚠ Consumo en P3 (calendario inactivo) → consolidado a P4/P5/P6</t>
  </si>
  <si>
    <t xml:space="preserve">Factura 8734 · C01820 · PIZZERIA TIGER, S.L.</t>
  </si>
  <si>
    <t xml:space="preserve">ES0021000001502015DC · Naturgy · 01/04/26 a 30/04/26 · PC maestro (=factura real, verificado)</t>
  </si>
  <si>
    <t xml:space="preserve">MES ANTERIOR · Fact.6466 (01/03/26 a 31/03/26)</t>
  </si>
  <si>
    <t xml:space="preserve">AÑO ANTERIOR · Fact.4510 (01/04/25 a 30/04/25)</t>
  </si>
  <si>
    <t xml:space="preserve">Cobrado total: 33.692 €</t>
  </si>
  <si>
    <t xml:space="preserve">Pagado total: 21.997 €</t>
  </si>
  <si>
    <t xml:space="preserve">DIF: 11.696 €  ·  Margen hist.: 34.7%</t>
  </si>
  <si>
    <t xml:space="preserve">Mejor mes: 2024-08 · 2.411 € · margen 30%</t>
  </si>
  <si>
    <t xml:space="preserve">Peor mes: 2024-01 · 134 € · margen 22%</t>
  </si>
  <si>
    <t xml:space="preserve">Factura 8735 · C02700 · TALLERES MARTINEZ JAVEA SL</t>
  </si>
  <si>
    <t xml:space="preserve">ES0021000001198420NW · Repsol · 01/04/26 a 30/04/26 · PC maestro (=factura real, verificado)</t>
  </si>
  <si>
    <t xml:space="preserve">MES ANTERIOR · Fact.6319 (01/03/26 a 31/03/26)</t>
  </si>
  <si>
    <t xml:space="preserve">AÑO ANTERIOR · Fact.4505 (01/04/25 a 30/04/25)</t>
  </si>
  <si>
    <t xml:space="preserve">Cobrado total: 14.833 €</t>
  </si>
  <si>
    <t xml:space="preserve">Pagado total: 12.919 €</t>
  </si>
  <si>
    <t xml:space="preserve">DIF: 1.914 €  ·  Margen hist.: 12.9%</t>
  </si>
  <si>
    <t xml:space="preserve">Mejor mes: 2026-03 · 1.077 € · margen 21%</t>
  </si>
  <si>
    <t xml:space="preserve">Peor mes: 2025-06 · 801 € · margen 11%</t>
  </si>
  <si>
    <t xml:space="preserve">Factura 8737 · C00740 · PIZZERIA ORBA, S.L.</t>
  </si>
  <si>
    <t xml:space="preserve">ES0021000017299736HF · Naturgy · 01/04/26 a 30/04/26 · PC real leído: 01ABR_30ABR26</t>
  </si>
  <si>
    <t xml:space="preserve">MES ANTERIOR · Fact.5925 (01/03/26 a 31/03/26)</t>
  </si>
  <si>
    <t xml:space="preserve">AÑO ANTERIOR · Fact.4516 (01/04/25 a 30/04/25)</t>
  </si>
  <si>
    <t xml:space="preserve">Cobrado total: 82.412 €</t>
  </si>
  <si>
    <t xml:space="preserve">Pagado total: 56.559 €</t>
  </si>
  <si>
    <t xml:space="preserve">DIF: 25.853 €  ·  Margen hist.: 31.4%</t>
  </si>
  <si>
    <t xml:space="preserve">Mejor mes: 2023-08 · 4.242 € · margen 28%</t>
  </si>
  <si>
    <t xml:space="preserve">Peor mes: 2025-02 · 1.147 € · margen 2%</t>
  </si>
  <si>
    <t xml:space="preserve">Factura 8738 · C02620 · JAVEA PADEL &amp; Tenis SL</t>
  </si>
  <si>
    <t xml:space="preserve">ES0021000001197843XT · Naturgy · 01/04/26 a 30/04/26 · PC maestro (=factura real, verificado)</t>
  </si>
  <si>
    <t xml:space="preserve">MES ANTERIOR · Fact.6294 (01/03/26 a 31/03/26)</t>
  </si>
  <si>
    <t xml:space="preserve">AÑO ANTERIOR · Fact.3965 (01/04/25 a 30/04/25)</t>
  </si>
  <si>
    <t xml:space="preserve">Cobrado total: 40.860 €</t>
  </si>
  <si>
    <t xml:space="preserve">Pagado total: 27.625 €</t>
  </si>
  <si>
    <t xml:space="preserve">DIF: 13.235 €  ·  Margen hist.: 32.4%</t>
  </si>
  <si>
    <t xml:space="preserve">Mejor mes: 2025-08 · 3.443 € · margen 43%</t>
  </si>
  <si>
    <t xml:space="preserve">Peor mes: 2024-11 · 1.197 € · margen 4%</t>
  </si>
  <si>
    <t xml:space="preserve">RESUMEN 2.0TD · 136 facturas · abril 2026 · Transactiva 2000 S.L.</t>
  </si>
  <si>
    <t xml:space="preserve">APROBAR ≥30% · REVISAR 20–30% · RECHAZAR &lt;20%. PC provisional (ámbar) → sustituir por real. Margen objetivo editable por factura en el Detalle.</t>
  </si>
  <si>
    <t xml:space="preserve">⚙ OPTIMIZAR (converge al objetivo · freno mejor mes) ▶</t>
  </si>
  <si>
    <t xml:space="preserve">INICIAL</t>
  </si>
  <si>
    <t xml:space="preserve">Margen obj. ▶</t>
  </si>
  <si>
    <t xml:space="preserve">Ganancia ▶</t>
  </si>
  <si>
    <t xml:space="preserve">C02150</t>
  </si>
  <si>
    <t xml:space="preserve">FUNDACIÓN FSU PROGRAMAS INTERNACIO</t>
  </si>
  <si>
    <t xml:space="preserve">C02140</t>
  </si>
  <si>
    <t xml:space="preserve">C02130</t>
  </si>
  <si>
    <t xml:space="preserve">C02120</t>
  </si>
  <si>
    <t xml:space="preserve">C02110</t>
  </si>
  <si>
    <t xml:space="preserve">C02100</t>
  </si>
  <si>
    <t xml:space="preserve">C02090</t>
  </si>
  <si>
    <t xml:space="preserve">C02080</t>
  </si>
  <si>
    <t xml:space="preserve">C02060</t>
  </si>
  <si>
    <t xml:space="preserve">C02040</t>
  </si>
  <si>
    <t xml:space="preserve">C02030</t>
  </si>
  <si>
    <t xml:space="preserve">C02020</t>
  </si>
  <si>
    <t xml:space="preserve">C01970</t>
  </si>
  <si>
    <t xml:space="preserve">C01960</t>
  </si>
  <si>
    <t xml:space="preserve">C01400</t>
  </si>
  <si>
    <t xml:space="preserve">CHRISTOPH BLUME</t>
  </si>
  <si>
    <t xml:space="preserve">C02560</t>
  </si>
  <si>
    <t xml:space="preserve">PEDRO IVARS TRO 2018, S.L.</t>
  </si>
  <si>
    <t xml:space="preserve">C02680</t>
  </si>
  <si>
    <t xml:space="preserve">ALVARO DAVID OCHOA BIOSCA</t>
  </si>
  <si>
    <t xml:space="preserve">C00700</t>
  </si>
  <si>
    <t xml:space="preserve">ELEEN VELTHOVEN</t>
  </si>
  <si>
    <t xml:space="preserve">C01280</t>
  </si>
  <si>
    <t xml:space="preserve">Mª ISABEL HEVIA TENA</t>
  </si>
  <si>
    <t xml:space="preserve">C01990</t>
  </si>
  <si>
    <t xml:space="preserve">GERRIT JONGEJAN</t>
  </si>
  <si>
    <t xml:space="preserve">C03260</t>
  </si>
  <si>
    <t xml:space="preserve">MICHAL CUKAN</t>
  </si>
  <si>
    <t xml:space="preserve">C01140</t>
  </si>
  <si>
    <t xml:space="preserve">DESIRÉ ANNA GUSTAAF SCHUTTER</t>
  </si>
  <si>
    <t xml:space="preserve">C01350</t>
  </si>
  <si>
    <t xml:space="preserve">CORDULA PETERS</t>
  </si>
  <si>
    <t xml:space="preserve">C00060</t>
  </si>
  <si>
    <t xml:space="preserve">HV LUXO SA</t>
  </si>
  <si>
    <t xml:space="preserve">MANUEL GARCÍA DEL VALLE CARLOS-ROC</t>
  </si>
  <si>
    <t xml:space="preserve">C00040</t>
  </si>
  <si>
    <t xml:space="preserve">Mª ROSARIO ORTOLÁ FERRER</t>
  </si>
  <si>
    <t xml:space="preserve">C00050</t>
  </si>
  <si>
    <t xml:space="preserve">HELADOS ESPI</t>
  </si>
  <si>
    <t xml:space="preserve">C00100</t>
  </si>
  <si>
    <t xml:space="preserve">CRISTINA MARÍA FALCÓN ESCALONA</t>
  </si>
  <si>
    <t xml:space="preserve">C00120</t>
  </si>
  <si>
    <t xml:space="preserve">STEPHEN RICHARD ROBINSON</t>
  </si>
  <si>
    <t xml:space="preserve">C00130</t>
  </si>
  <si>
    <t xml:space="preserve">BIO JARDINSOSTENIBLE, S.L.U.</t>
  </si>
  <si>
    <t xml:space="preserve">C00270</t>
  </si>
  <si>
    <t xml:space="preserve">CLAUDE JOSÉ GOFFINET</t>
  </si>
  <si>
    <t xml:space="preserve">C00310</t>
  </si>
  <si>
    <t xml:space="preserve">MICHAEL BALMER</t>
  </si>
  <si>
    <t xml:space="preserve">C00410</t>
  </si>
  <si>
    <t xml:space="preserve">VALENTINA BARCA</t>
  </si>
  <si>
    <t xml:space="preserve">C00540</t>
  </si>
  <si>
    <t xml:space="preserve">PEDRO CAÑADAS FERNANDEZ</t>
  </si>
  <si>
    <t xml:space="preserve">C00670</t>
  </si>
  <si>
    <t xml:space="preserve">CARLOS A. GAVILANES PAUCAR</t>
  </si>
  <si>
    <t xml:space="preserve">C00780</t>
  </si>
  <si>
    <t xml:space="preserve">MONTGO SEGURIDAD, S.L.</t>
  </si>
  <si>
    <t xml:space="preserve">C00820</t>
  </si>
  <si>
    <t xml:space="preserve">JAIME VIVES LADRÓN DE GUEVARA</t>
  </si>
  <si>
    <t xml:space="preserve">C00910</t>
  </si>
  <si>
    <t xml:space="preserve">PATRICE HERNEST HECQ</t>
  </si>
  <si>
    <t xml:space="preserve">C00940</t>
  </si>
  <si>
    <t xml:space="preserve">ANDRE DOUTREVAL</t>
  </si>
  <si>
    <t xml:space="preserve">C01150</t>
  </si>
  <si>
    <t xml:space="preserve">ARIE PETER PETRI</t>
  </si>
  <si>
    <t xml:space="preserve">C01160</t>
  </si>
  <si>
    <t xml:space="preserve">DEBORAH LEFFELAAR</t>
  </si>
  <si>
    <t xml:space="preserve">C01190</t>
  </si>
  <si>
    <t xml:space="preserve">BART VAN OERLE JOZEF J.</t>
  </si>
  <si>
    <t xml:space="preserve">C01250</t>
  </si>
  <si>
    <t xml:space="preserve">DANIELLE B. PAULI</t>
  </si>
  <si>
    <t xml:space="preserve">C01330</t>
  </si>
  <si>
    <t xml:space="preserve">ULF BALZER</t>
  </si>
  <si>
    <t xml:space="preserve">C01390</t>
  </si>
  <si>
    <t xml:space="preserve">DANIEL DE WIT</t>
  </si>
  <si>
    <t xml:space="preserve">C01420</t>
  </si>
  <si>
    <t xml:space="preserve">JAIME VIVES</t>
  </si>
  <si>
    <t xml:space="preserve">C01440</t>
  </si>
  <si>
    <t xml:space="preserve">VICENTE BAS ALENTADO</t>
  </si>
  <si>
    <t xml:space="preserve">C01460</t>
  </si>
  <si>
    <t xml:space="preserve">MARCUS JOHANNES MULLER</t>
  </si>
  <si>
    <t xml:space="preserve">C01470</t>
  </si>
  <si>
    <t xml:space="preserve">LIEUWE KOOPMANS</t>
  </si>
  <si>
    <t xml:space="preserve">C01490</t>
  </si>
  <si>
    <t xml:space="preserve">JOSE EDUARDO BAYONA SOTOS</t>
  </si>
  <si>
    <t xml:space="preserve">C01530</t>
  </si>
  <si>
    <t xml:space="preserve">JUAN POCH FERNANDEZ</t>
  </si>
  <si>
    <t xml:space="preserve">C01540</t>
  </si>
  <si>
    <t xml:space="preserve">FORN MONICA S L</t>
  </si>
  <si>
    <t xml:space="preserve">C01570</t>
  </si>
  <si>
    <t xml:space="preserve">FRANCISCO MULA ROBERTO</t>
  </si>
  <si>
    <t xml:space="preserve">C01600</t>
  </si>
  <si>
    <t xml:space="preserve">HAFELI BRIGITTE</t>
  </si>
  <si>
    <t xml:space="preserve">C01620</t>
  </si>
  <si>
    <t xml:space="preserve">MIA EDELTRUDIS JOSEPHINA ZANTMAN</t>
  </si>
  <si>
    <t xml:space="preserve">C01660</t>
  </si>
  <si>
    <t xml:space="preserve">LIEUWE KOOPMANS (2)</t>
  </si>
  <si>
    <t xml:space="preserve">C01670</t>
  </si>
  <si>
    <t xml:space="preserve">COCKTAIL BAR AYAHUMA</t>
  </si>
  <si>
    <t xml:space="preserve">C01720</t>
  </si>
  <si>
    <t xml:space="preserve">AHMED DAHMAN</t>
  </si>
  <si>
    <t xml:space="preserve">C01730</t>
  </si>
  <si>
    <t xml:space="preserve">LORENA ROCIO PAUCAR LÓPEZ</t>
  </si>
  <si>
    <t xml:space="preserve">C01800</t>
  </si>
  <si>
    <t xml:space="preserve">ROY SCHOLTEN</t>
  </si>
  <si>
    <t xml:space="preserve">C01850</t>
  </si>
  <si>
    <t xml:space="preserve">GUILLERMO CHOLBI SART</t>
  </si>
  <si>
    <t xml:space="preserve">C01860</t>
  </si>
  <si>
    <t xml:space="preserve">C01870</t>
  </si>
  <si>
    <t xml:space="preserve">C01880</t>
  </si>
  <si>
    <t xml:space="preserve">C02160</t>
  </si>
  <si>
    <t xml:space="preserve">CASA LILI SL (V)</t>
  </si>
  <si>
    <t xml:space="preserve">C02190</t>
  </si>
  <si>
    <t xml:space="preserve">TAIRÉ VERA</t>
  </si>
  <si>
    <t xml:space="preserve">C02240</t>
  </si>
  <si>
    <t xml:space="preserve">SANDRA GONZALEZ LECHUGA</t>
  </si>
  <si>
    <t xml:space="preserve">C02340</t>
  </si>
  <si>
    <t xml:space="preserve">PRISCILA WELTER CARRASCO</t>
  </si>
  <si>
    <t xml:space="preserve">C02350</t>
  </si>
  <si>
    <t xml:space="preserve">YANIS DAHIANA JIMENEZ JIMENEZ</t>
  </si>
  <si>
    <t xml:space="preserve">C02380</t>
  </si>
  <si>
    <t xml:space="preserve">FORMATGES MÓNICA</t>
  </si>
  <si>
    <t xml:space="preserve">C02400</t>
  </si>
  <si>
    <t xml:space="preserve">MARUJA CHOLBI PUIG</t>
  </si>
  <si>
    <t xml:space="preserve">C02420</t>
  </si>
  <si>
    <t xml:space="preserve">KHALID EL JEBLI</t>
  </si>
  <si>
    <t xml:space="preserve">C02470</t>
  </si>
  <si>
    <t xml:space="preserve">TALLER SENDRA CUELLO, S.L.</t>
  </si>
  <si>
    <t xml:space="preserve">C02510</t>
  </si>
  <si>
    <t xml:space="preserve">ANTONIO LLIDO ESPASA</t>
  </si>
  <si>
    <t xml:space="preserve">C02530</t>
  </si>
  <si>
    <t xml:space="preserve">JUAN SANCHEZ RONDA</t>
  </si>
  <si>
    <t xml:space="preserve">C02540</t>
  </si>
  <si>
    <t xml:space="preserve">TERESA MENGUAL ALBEROLA</t>
  </si>
  <si>
    <t xml:space="preserve">C02610</t>
  </si>
  <si>
    <t xml:space="preserve">VEHICULOS ANDRADA, S.L.</t>
  </si>
  <si>
    <t xml:space="preserve">C02630</t>
  </si>
  <si>
    <t xml:space="preserve">AUTOCENTER MARINA ALTA S.L.</t>
  </si>
  <si>
    <t xml:space="preserve">C02640</t>
  </si>
  <si>
    <t xml:space="preserve">JUAN CARLOS HERNANDEZ MELERO</t>
  </si>
  <si>
    <t xml:space="preserve">C02710</t>
  </si>
  <si>
    <t xml:space="preserve">CASA LILI S.L. AUTOS (EXPOSICIÓN)</t>
  </si>
  <si>
    <t xml:space="preserve">C02740</t>
  </si>
  <si>
    <t xml:space="preserve">FRANCISCO DANIEL GUIJARRO ORTEGA</t>
  </si>
  <si>
    <t xml:space="preserve">C02760</t>
  </si>
  <si>
    <t xml:space="preserve">ISABEL RAMIREZ CAPDEVILA</t>
  </si>
  <si>
    <t xml:space="preserve">C02780</t>
  </si>
  <si>
    <t xml:space="preserve">MARIA PILAR CATALA SANTAMARIA</t>
  </si>
  <si>
    <t xml:space="preserve">C02800</t>
  </si>
  <si>
    <t xml:space="preserve">ABDESLAM LAMRANI</t>
  </si>
  <si>
    <t xml:space="preserve">Iberdrola</t>
  </si>
  <si>
    <t xml:space="preserve">C02820</t>
  </si>
  <si>
    <t xml:space="preserve">C02840</t>
  </si>
  <si>
    <t xml:space="preserve">C02860</t>
  </si>
  <si>
    <t xml:space="preserve">SALVADOR TORRES BISQUERT</t>
  </si>
  <si>
    <t xml:space="preserve">C02920</t>
  </si>
  <si>
    <t xml:space="preserve">JAKUB JAN PICHOLA</t>
  </si>
  <si>
    <t xml:space="preserve">C02930</t>
  </si>
  <si>
    <t xml:space="preserve">UWE HEINZ WERNER SCHMUCK</t>
  </si>
  <si>
    <t xml:space="preserve">C02950</t>
  </si>
  <si>
    <t xml:space="preserve">TALLERES MARTINEZ JAVEA, S.L.</t>
  </si>
  <si>
    <t xml:space="preserve">C02960</t>
  </si>
  <si>
    <t xml:space="preserve">FRANK CLEMENT</t>
  </si>
  <si>
    <t xml:space="preserve">C02970</t>
  </si>
  <si>
    <t xml:space="preserve">SARA HERMINA NIJENHUIJS GREVE</t>
  </si>
  <si>
    <t xml:space="preserve">C02990</t>
  </si>
  <si>
    <t xml:space="preserve">AMARE BOTEGA SL</t>
  </si>
  <si>
    <t xml:space="preserve">C03030</t>
  </si>
  <si>
    <t xml:space="preserve">JUAN MANUEL CAMACHO GONZALEZ</t>
  </si>
  <si>
    <t xml:space="preserve">C03040</t>
  </si>
  <si>
    <t xml:space="preserve">C03050</t>
  </si>
  <si>
    <t xml:space="preserve">JAN ANDERS ANSEHN</t>
  </si>
  <si>
    <t xml:space="preserve">C03060</t>
  </si>
  <si>
    <t xml:space="preserve">MARIA TERESA PONS DEVESA</t>
  </si>
  <si>
    <t xml:space="preserve">C03070</t>
  </si>
  <si>
    <t xml:space="preserve">CONGLI WANG</t>
  </si>
  <si>
    <t xml:space="preserve">C03110</t>
  </si>
  <si>
    <t xml:space="preserve">RUBÉN CAMACHO PATRICIO</t>
  </si>
  <si>
    <t xml:space="preserve">C03130</t>
  </si>
  <si>
    <t xml:space="preserve">MARCELLO RAUCCI</t>
  </si>
  <si>
    <t xml:space="preserve">C03170</t>
  </si>
  <si>
    <t xml:space="preserve">THOMAS CHRISTIAAN GREVE</t>
  </si>
  <si>
    <t xml:space="preserve">C03180</t>
  </si>
  <si>
    <t xml:space="preserve">LERWIN SANTIAGO AVENDAÑO ANDRADE</t>
  </si>
  <si>
    <t xml:space="preserve">C03190</t>
  </si>
  <si>
    <t xml:space="preserve">2 HANDS FULL S.L</t>
  </si>
  <si>
    <t xml:space="preserve">C03210</t>
  </si>
  <si>
    <t xml:space="preserve">VLADIMIR KREMPASKY</t>
  </si>
  <si>
    <t xml:space="preserve">C03220</t>
  </si>
  <si>
    <t xml:space="preserve">EVA ROHRMAN MADOVA</t>
  </si>
  <si>
    <t xml:space="preserve">C03230</t>
  </si>
  <si>
    <t xml:space="preserve">OLDRICH PETRAS</t>
  </si>
  <si>
    <t xml:space="preserve">C03240</t>
  </si>
  <si>
    <t xml:space="preserve">SPAINLIFE AND HOUSES S.L.</t>
  </si>
  <si>
    <t xml:space="preserve">C03250</t>
  </si>
  <si>
    <t xml:space="preserve">C03280</t>
  </si>
  <si>
    <t xml:space="preserve">SOPHIA ROSE WADLE</t>
  </si>
  <si>
    <t xml:space="preserve">C03300</t>
  </si>
  <si>
    <t xml:space="preserve">COMPASS IBERICA 2007 SL</t>
  </si>
  <si>
    <t xml:space="preserve">C03310</t>
  </si>
  <si>
    <t xml:space="preserve">AMANDA APARICI MARTINEZ</t>
  </si>
  <si>
    <t xml:space="preserve">C03320</t>
  </si>
  <si>
    <t xml:space="preserve">ELISABETH M. PAREDES DE QUINTERO</t>
  </si>
  <si>
    <t xml:space="preserve">C03330</t>
  </si>
  <si>
    <t xml:space="preserve">MARIA SOLEDAD ANSOLA ESTRADA</t>
  </si>
  <si>
    <t xml:space="preserve">C03340</t>
  </si>
  <si>
    <t xml:space="preserve">CRISTIAN DAVID BETANCUR BARRERA</t>
  </si>
  <si>
    <t xml:space="preserve">C03350</t>
  </si>
  <si>
    <t xml:space="preserve">SARA BARBERA SOLA</t>
  </si>
  <si>
    <t xml:space="preserve">C03360</t>
  </si>
  <si>
    <t xml:space="preserve">CBDSROLL,S.L.</t>
  </si>
  <si>
    <t xml:space="preserve">C03380</t>
  </si>
  <si>
    <t xml:space="preserve">C03390</t>
  </si>
  <si>
    <t xml:space="preserve">MAGDALENA ORTOLÁ FERRER</t>
  </si>
  <si>
    <t xml:space="preserve">C03400</t>
  </si>
  <si>
    <t xml:space="preserve">ZISKO SLAVOMIR</t>
  </si>
  <si>
    <t xml:space="preserve">C03430</t>
  </si>
  <si>
    <t xml:space="preserve">MARIA DEL MAR FERRANDO GUILLEM</t>
  </si>
  <si>
    <t xml:space="preserve">C03440</t>
  </si>
  <si>
    <t xml:space="preserve">DIEGO BARQUERO PEREZ</t>
  </si>
  <si>
    <t xml:space="preserve">C03450</t>
  </si>
  <si>
    <t xml:space="preserve">RADEK ERBEN</t>
  </si>
  <si>
    <t xml:space="preserve">C03460</t>
  </si>
  <si>
    <t xml:space="preserve">SILVIA KREMPASKA</t>
  </si>
  <si>
    <t xml:space="preserve">C03470</t>
  </si>
  <si>
    <t xml:space="preserve">C03480</t>
  </si>
  <si>
    <t xml:space="preserve">MICHAL GLOSIK</t>
  </si>
  <si>
    <t xml:space="preserve">C00760</t>
  </si>
  <si>
    <t xml:space="preserve">VALIDACIÓN FACTURAS 2.0TD · abril 2026 · Transactiva 2000 S.L.   (Días = solo potencia/alquiler/bono · PC ámbar editable · margen objetivo editable por factura)</t>
  </si>
  <si>
    <t xml:space="preserve">Factura 8550 · C02150 · FUNDACIÓN FSU PROGRAMAS INTERNACIONALES</t>
  </si>
  <si>
    <t xml:space="preserve">ES0021000020111640FT · Naturgy</t>
  </si>
  <si>
    <t xml:space="preserve">a</t>
  </si>
  <si>
    <t xml:space="preserve">MES ANTERIOR · Fact.6304</t>
  </si>
  <si>
    <t xml:space="preserve">AÑO ANTERIOR · Fact.4583</t>
  </si>
  <si>
    <t xml:space="preserve">Cobrado total: 2.436 €</t>
  </si>
  <si>
    <t xml:space="preserve">Pagado total: 1.753 €</t>
  </si>
  <si>
    <t xml:space="preserve">DIF: 682 €   ·   Margen hist.: 28.0%</t>
  </si>
  <si>
    <t xml:space="preserve">Mejor mes: 2024-09 · 526 € · margen 197%</t>
  </si>
  <si>
    <t xml:space="preserve">P1 Energía</t>
  </si>
  <si>
    <t xml:space="preserve">Margen objetivo (edita % aquí) ▶</t>
  </si>
  <si>
    <t xml:space="preserve">Peor mes: 2024-08 · 66 € · margen 66%</t>
  </si>
  <si>
    <t xml:space="preserve">P2 Energía</t>
  </si>
  <si>
    <t xml:space="preserve">Cant. P1/P2/P3 energía suben</t>
  </si>
  <si>
    <t xml:space="preserve">Importe mensual cobrado (€) · 24 meses ▾</t>
  </si>
  <si>
    <t xml:space="preserve">P3 Energía</t>
  </si>
  <si>
    <t xml:space="preserve">en proporción para ese margen</t>
  </si>
  <si>
    <t xml:space="preserve">Factura 8551 · C02140 · FUNDACIÓN FSU PROGRAMAS INTERNACIONALES</t>
  </si>
  <si>
    <t xml:space="preserve">ES0021000008997145KW · Naturgy</t>
  </si>
  <si>
    <t xml:space="preserve">MES ANTERIOR · Fact.6308</t>
  </si>
  <si>
    <t xml:space="preserve">AÑO ANTERIOR · Fact.4584</t>
  </si>
  <si>
    <t xml:space="preserve">Cobrado total: 2.120 €</t>
  </si>
  <si>
    <t xml:space="preserve">Pagado total: 1.617 €</t>
  </si>
  <si>
    <t xml:space="preserve">DIF: 503 €   ·   Margen hist.: 23.7%</t>
  </si>
  <si>
    <t xml:space="preserve">Mejor mes: 2024-07 · 345 € · margen 79%</t>
  </si>
  <si>
    <t xml:space="preserve">Peor mes: 2024-08 · 84 € · margen 37%</t>
  </si>
  <si>
    <t xml:space="preserve">Factura 8552 · C02130 · FUNDACIÓN FSU PROGRAMAS INTERNACIONALES</t>
  </si>
  <si>
    <t xml:space="preserve">ES0021000012268833JD · Naturgy</t>
  </si>
  <si>
    <t xml:space="preserve">MES ANTERIOR · Fact.6311</t>
  </si>
  <si>
    <t xml:space="preserve">AÑO ANTERIOR · Fact.4585</t>
  </si>
  <si>
    <t xml:space="preserve">Cobrado total: 3.194 €</t>
  </si>
  <si>
    <t xml:space="preserve">Pagado total: 2.235 €</t>
  </si>
  <si>
    <t xml:space="preserve">DIF: 960 €   ·   Margen hist.: 30.0%</t>
  </si>
  <si>
    <t xml:space="preserve">Mejor mes: 2024-07 · 613 € · margen 71%</t>
  </si>
  <si>
    <t xml:space="preserve">Peor mes: 2024-08 · 129 € · margen 25%</t>
  </si>
  <si>
    <t xml:space="preserve">Factura 8553 · C02120 · FUNDACIÓN FSU PROGRAMAS INTERNACIONALES</t>
  </si>
  <si>
    <t xml:space="preserve">ES0021000012268831JF · Naturgy</t>
  </si>
  <si>
    <t xml:space="preserve">MES ANTERIOR · Fact.6314</t>
  </si>
  <si>
    <t xml:space="preserve">AÑO ANTERIOR · Fact.4586</t>
  </si>
  <si>
    <t xml:space="preserve">Cobrado total: 2.606 €</t>
  </si>
  <si>
    <t xml:space="preserve">Pagado total: 1.842 €</t>
  </si>
  <si>
    <t xml:space="preserve">DIF: 764 €   ·   Margen hist.: 29.3%</t>
  </si>
  <si>
    <t xml:space="preserve">Mejor mes: 2024-07 · 518 € · margen 75%</t>
  </si>
  <si>
    <t xml:space="preserve">Peor mes: 2024-08 · 116 € · margen 27%</t>
  </si>
  <si>
    <t xml:space="preserve">Factura 8554 · C02110 · FUNDACIÓN FSU PROGRAMAS INTERNACIONALES</t>
  </si>
  <si>
    <t xml:space="preserve">ES0021000012268829JM · Naturgy</t>
  </si>
  <si>
    <t xml:space="preserve">MES ANTERIOR · Fact.6312</t>
  </si>
  <si>
    <t xml:space="preserve">AÑO ANTERIOR · Fact.4587</t>
  </si>
  <si>
    <t xml:space="preserve">Cobrado total: 5.249 €</t>
  </si>
  <si>
    <t xml:space="preserve">Pagado total: 3.622 €</t>
  </si>
  <si>
    <t xml:space="preserve">DIF: 1.627 €   ·   Margen hist.: 31.0%</t>
  </si>
  <si>
    <t xml:space="preserve">Mejor mes: 2024-07 · 895 € · margen 66%</t>
  </si>
  <si>
    <t xml:space="preserve">Peor mes: 2024-11 · 187 € · margen 1%</t>
  </si>
  <si>
    <t xml:space="preserve">Factura 8555 · C02100 · FUNDACIÓN FSU PROGRAMAS INTERNACIONALES</t>
  </si>
  <si>
    <t xml:space="preserve">ES0021000012268826JW · Naturgy</t>
  </si>
  <si>
    <t xml:space="preserve">MES ANTERIOR · Fact.6313</t>
  </si>
  <si>
    <t xml:space="preserve">AÑO ANTERIOR · Fact.4588</t>
  </si>
  <si>
    <t xml:space="preserve">Cobrado total: 1.842 €</t>
  </si>
  <si>
    <t xml:space="preserve">Pagado total: 1.285 €</t>
  </si>
  <si>
    <t xml:space="preserve">DIF: 557 €   ·   Margen hist.: 30.2%</t>
  </si>
  <si>
    <t xml:space="preserve">Mejor mes: 2024-07 · 336 € · margen 67%</t>
  </si>
  <si>
    <t xml:space="preserve">Peor mes: 2024-11 · 76 € · margen -7%</t>
  </si>
  <si>
    <t xml:space="preserve">Factura 8556 · C02090 · FUNDACIÓN FSU PROGRAMAS INTERNACIONALES</t>
  </si>
  <si>
    <t xml:space="preserve">ES0021000012268828JG · Naturgy</t>
  </si>
  <si>
    <t xml:space="preserve">MES ANTERIOR · Fact.6306</t>
  </si>
  <si>
    <t xml:space="preserve">AÑO ANTERIOR · Fact.4589</t>
  </si>
  <si>
    <t xml:space="preserve">Cobrado total: 2.954 €</t>
  </si>
  <si>
    <t xml:space="preserve">Pagado total: 2.099 €</t>
  </si>
  <si>
    <t xml:space="preserve">DIF: 855 €   ·   Margen hist.: 28.9%</t>
  </si>
  <si>
    <t xml:space="preserve">Mejor mes: 2024-07 · 599 € · margen 71%</t>
  </si>
  <si>
    <t xml:space="preserve">Peor mes: 2024-11 · 92 € · margen -67%</t>
  </si>
  <si>
    <t xml:space="preserve">Factura 8557 · C02080 · FUNDACIÓN FSU PROGRAMAS INTERNACIONALES</t>
  </si>
  <si>
    <t xml:space="preserve">ES0021000012268825JR · Naturgy</t>
  </si>
  <si>
    <t xml:space="preserve">MES ANTERIOR · Fact.6303</t>
  </si>
  <si>
    <t xml:space="preserve">AÑO ANTERIOR · Fact.4590</t>
  </si>
  <si>
    <t xml:space="preserve">Factura 8558 · C02060 · FUNDACIÓN FSU PROGRAMAS INTERNACIONALES</t>
  </si>
  <si>
    <t xml:space="preserve">ES0021000008997147KG · Naturgy</t>
  </si>
  <si>
    <t xml:space="preserve">MES ANTERIOR · Fact.6307</t>
  </si>
  <si>
    <t xml:space="preserve">AÑO ANTERIOR · Fact.4591</t>
  </si>
  <si>
    <t xml:space="preserve">Cobrado total: 3.233 €</t>
  </si>
  <si>
    <t xml:space="preserve">Pagado total: 2.286 €</t>
  </si>
  <si>
    <t xml:space="preserve">DIF: 947 €   ·   Margen hist.: 29.3%</t>
  </si>
  <si>
    <t xml:space="preserve">Mejor mes: 2024-06 · 504 € · margen 58%</t>
  </si>
  <si>
    <t xml:space="preserve">Peor mes: 2024-08 · 71 € · margen 50%</t>
  </si>
  <si>
    <t xml:space="preserve">Factura 8559 · C02040 · FUNDACIÓN FSU PROGRAMAS INTERNACIONALES</t>
  </si>
  <si>
    <t xml:space="preserve">ES0021000009023658TL · Naturgy</t>
  </si>
  <si>
    <t xml:space="preserve">MES ANTERIOR · Fact.6315</t>
  </si>
  <si>
    <t xml:space="preserve">AÑO ANTERIOR · Fact.4592</t>
  </si>
  <si>
    <t xml:space="preserve">Cobrado total: 990 €</t>
  </si>
  <si>
    <t xml:space="preserve">Pagado total: 662 €</t>
  </si>
  <si>
    <t xml:space="preserve">DIF: 328 €   ·   Margen hist.: 33.1%</t>
  </si>
  <si>
    <t xml:space="preserve">Mejor mes: 2024-07 · 195 € · margen 65%</t>
  </si>
  <si>
    <t xml:space="preserve">Peor mes: 2024-08 · 59 € · margen 12%</t>
  </si>
  <si>
    <t xml:space="preserve">Factura 8560 · C02030 · FUNDACIÓN FSU PROGRAMAS INTERNACIONALES</t>
  </si>
  <si>
    <t xml:space="preserve">ES0021000009023659TC · Naturgy</t>
  </si>
  <si>
    <t xml:space="preserve">MES ANTERIOR · Fact.6309</t>
  </si>
  <si>
    <t xml:space="preserve">AÑO ANTERIOR · Fact.4593</t>
  </si>
  <si>
    <t xml:space="preserve">Cobrado total: 837 €</t>
  </si>
  <si>
    <t xml:space="preserve">Pagado total: 629 €</t>
  </si>
  <si>
    <t xml:space="preserve">DIF: 208 €   ·   Margen hist.: 24.8%</t>
  </si>
  <si>
    <t xml:space="preserve">Mejor mes: 2024-06 · 143 € · margen 50%</t>
  </si>
  <si>
    <t xml:space="preserve">Peor mes: 2024-11 · 53 € · margen 7%</t>
  </si>
  <si>
    <t xml:space="preserve">Factura 8561 · C02020 · FUNDACIÓN FSU PROGRAMAS INTERNACIONALES</t>
  </si>
  <si>
    <t xml:space="preserve">ES0021000008997146KA · Naturgy</t>
  </si>
  <si>
    <t xml:space="preserve">MES ANTERIOR · Fact.6310</t>
  </si>
  <si>
    <t xml:space="preserve">AÑO ANTERIOR · Fact.4594</t>
  </si>
  <si>
    <t xml:space="preserve">Cobrado total: 3.103 €</t>
  </si>
  <si>
    <t xml:space="preserve">Pagado total: 2.178 €</t>
  </si>
  <si>
    <t xml:space="preserve">DIF: 925 €   ·   Margen hist.: 29.8%</t>
  </si>
  <si>
    <t xml:space="preserve">Mejor mes: 2024-07 · 580 € · margen 83%</t>
  </si>
  <si>
    <t xml:space="preserve">Peor mes: 2024-08 · 117 € · margen 38%</t>
  </si>
  <si>
    <t xml:space="preserve">Factura 8562 · C01970 · FUNDACIÓN FSU PROGRAMAS INTERNACIONALES</t>
  </si>
  <si>
    <t xml:space="preserve">ES0021000020111637YC · Naturgy</t>
  </si>
  <si>
    <t xml:space="preserve">MES ANTERIOR · Fact.6305</t>
  </si>
  <si>
    <t xml:space="preserve">AÑO ANTERIOR · Fact.4596</t>
  </si>
  <si>
    <t xml:space="preserve">Cobrado total: 2.843 €</t>
  </si>
  <si>
    <t xml:space="preserve">Pagado total: 2.004 €</t>
  </si>
  <si>
    <t xml:space="preserve">DIF: 839 €   ·   Margen hist.: 29.5%</t>
  </si>
  <si>
    <t xml:space="preserve">Mejor mes: 2024-09 · 476 € · margen 184%</t>
  </si>
  <si>
    <t xml:space="preserve">Peor mes: 2024-08 · 75 € · margen 47%</t>
  </si>
  <si>
    <t xml:space="preserve">Factura 8563 · C01960 · FUNDACIÓN FSU PROGRAMAS INTERNACIONALES</t>
  </si>
  <si>
    <t xml:space="preserve">ES0021000020111638YK · Naturgy</t>
  </si>
  <si>
    <t xml:space="preserve">MES ANTERIOR · Fact.6301</t>
  </si>
  <si>
    <t xml:space="preserve">AÑO ANTERIOR · Fact.4597</t>
  </si>
  <si>
    <t xml:space="preserve">Cobrado total: 3.731 €</t>
  </si>
  <si>
    <t xml:space="preserve">Pagado total: 2.535 €</t>
  </si>
  <si>
    <t xml:space="preserve">DIF: 1.196 €   ·   Margen hist.: 32.1%</t>
  </si>
  <si>
    <t xml:space="preserve">Mejor mes: 2024-07 · 597 € · margen 324%</t>
  </si>
  <si>
    <t xml:space="preserve">Peor mes: 2024-08 · 83 € · margen 12%</t>
  </si>
  <si>
    <t xml:space="preserve">Factura 8568 · C01400 · CHRISTOPH BLUME</t>
  </si>
  <si>
    <t xml:space="preserve">ES0021000001274226LT · Naturgy</t>
  </si>
  <si>
    <t xml:space="preserve">MES ANTERIOR · Fact.6421</t>
  </si>
  <si>
    <t xml:space="preserve">AÑO ANTERIOR · Fact.4625</t>
  </si>
  <si>
    <t xml:space="preserve">Cobrado total: 2.281 €</t>
  </si>
  <si>
    <t xml:space="preserve">Pagado total: 1.589 €</t>
  </si>
  <si>
    <t xml:space="preserve">DIF: 691 €   ·   Margen hist.: 30.3%</t>
  </si>
  <si>
    <t xml:space="preserve">Mejor mes: 2024-12 · 237 € · margen 32%</t>
  </si>
  <si>
    <t xml:space="preserve">Peor mes: 2023-07 · 20 € · margen 55%</t>
  </si>
  <si>
    <t xml:space="preserve">☀ EXCEDENTES SOLARES (kWh vertidos reales)</t>
  </si>
  <si>
    <t xml:space="preserve">kWh</t>
  </si>
  <si>
    <t xml:space="preserve">€/kWh compra</t>
  </si>
  <si>
    <t xml:space="preserve">€/kWh venta</t>
  </si>
  <si>
    <t xml:space="preserve">Compra excedentes (vertido red)</t>
  </si>
  <si>
    <t xml:space="preserve">Venta cliente (saldo batería, 1043)</t>
  </si>
  <si>
    <t xml:space="preserve">NETO Transactiva (compra − venta)</t>
  </si>
  <si>
    <t xml:space="preserve">Factura 8569 · C02560 · PEDRO IVARS TRO 2018, S.L.</t>
  </si>
  <si>
    <t xml:space="preserve">ES0021000000959128GW · Naturgy</t>
  </si>
  <si>
    <t xml:space="preserve">MES ANTERIOR · Fact.6376</t>
  </si>
  <si>
    <t xml:space="preserve">AÑO ANTERIOR · Fact.4564</t>
  </si>
  <si>
    <t xml:space="preserve">Cobrado total: 453 €</t>
  </si>
  <si>
    <t xml:space="preserve">Pagado total: 293 €</t>
  </si>
  <si>
    <t xml:space="preserve">DIF: 160 €   ·   Margen hist.: 35.4%</t>
  </si>
  <si>
    <t xml:space="preserve">Mejor mes: 2024-12 · 291 € · margen 24%</t>
  </si>
  <si>
    <t xml:space="preserve">Peor mes: 2024-11 · 160 € · margen 56%</t>
  </si>
  <si>
    <t xml:space="preserve">Factura 8570 · C02680 · ALVARO DAVID OCHOA BIOSCA</t>
  </si>
  <si>
    <t xml:space="preserve">ES0021000001213790JP · Naturgy</t>
  </si>
  <si>
    <t xml:space="preserve">MES ANTERIOR · Fact.6369</t>
  </si>
  <si>
    <t xml:space="preserve">AÑO ANTERIOR · Fact.4557</t>
  </si>
  <si>
    <t xml:space="preserve">Cobrado total: 3 €</t>
  </si>
  <si>
    <t xml:space="preserve">Pagado total: 0 €</t>
  </si>
  <si>
    <t xml:space="preserve">DIF: 3 €   ·   Margen hist.: 100.0%</t>
  </si>
  <si>
    <t xml:space="preserve">Factura 8571 · C00700 · ELEEN VELTHOVEN</t>
  </si>
  <si>
    <t xml:space="preserve">ES0021000000824899XR · Naturgy</t>
  </si>
  <si>
    <t xml:space="preserve">MES ANTERIOR · Fact.6446</t>
  </si>
  <si>
    <t xml:space="preserve">AÑO ANTERIOR · Fact.4650</t>
  </si>
  <si>
    <t xml:space="preserve">Cobrado total: 1.674 €</t>
  </si>
  <si>
    <t xml:space="preserve">Pagado total: 1.341 €</t>
  </si>
  <si>
    <t xml:space="preserve">DIF: 333 €   ·   Margen hist.: 19.9%</t>
  </si>
  <si>
    <t xml:space="preserve">Mejor mes: 2023-01 · 124 € · margen 41%</t>
  </si>
  <si>
    <t xml:space="preserve">Peor mes: 2024-05 · 25 € · margen 36%</t>
  </si>
  <si>
    <t xml:space="preserve">Factura 8572 · C01280 · Mª ISABEL HEVIA TENA</t>
  </si>
  <si>
    <t xml:space="preserve">ES0021000000820395KM · Naturgy</t>
  </si>
  <si>
    <t xml:space="preserve">MES ANTERIOR · Fact.6427</t>
  </si>
  <si>
    <t xml:space="preserve">AÑO ANTERIOR · Fact.4631</t>
  </si>
  <si>
    <t xml:space="preserve">Cobrado total: 2.373 €</t>
  </si>
  <si>
    <t xml:space="preserve">Pagado total: 1.643 €</t>
  </si>
  <si>
    <t xml:space="preserve">DIF: 730 €   ·   Margen hist.: 30.8%</t>
  </si>
  <si>
    <t xml:space="preserve">Mejor mes: 2023-08 · 212 € · margen 14%</t>
  </si>
  <si>
    <t xml:space="preserve">Peor mes: 2023-04 · 27 € · margen 0%</t>
  </si>
  <si>
    <t xml:space="preserve">Factura 8573 · C01990 · GERRIT JONGEJAN</t>
  </si>
  <si>
    <t xml:space="preserve">ES0021000000821181DD · Naturgy</t>
  </si>
  <si>
    <t xml:space="preserve">MES ANTERIOR · Fact.6393</t>
  </si>
  <si>
    <t xml:space="preserve">AÑO ANTERIOR · Fact.4595</t>
  </si>
  <si>
    <t xml:space="preserve">Cobrado total: 609 €</t>
  </si>
  <si>
    <t xml:space="preserve">Pagado total: 577 €</t>
  </si>
  <si>
    <t xml:space="preserve">DIF: 33 €   ·   Margen hist.: 5.4%</t>
  </si>
  <si>
    <t xml:space="preserve">Mejor mes: 2024-08 · 162 € · margen 90%</t>
  </si>
  <si>
    <t xml:space="preserve">Peor mes: 2024-02 · 12 €</t>
  </si>
  <si>
    <t xml:space="preserve">Factura 8574 · C03260 · MICHAL CUKAN</t>
  </si>
  <si>
    <t xml:space="preserve">ES0021000042994597FG · Naturgy</t>
  </si>
  <si>
    <t xml:space="preserve">MES ANTERIOR · Fact.6332</t>
  </si>
  <si>
    <t xml:space="preserve">AÑO ANTERIOR · (sin dato)</t>
  </si>
  <si>
    <t xml:space="preserve">Cobrado total: 1 €</t>
  </si>
  <si>
    <t xml:space="preserve">DIF: 1 €   ·   Margen hist.: 100.0%</t>
  </si>
  <si>
    <t xml:space="preserve">Factura 8575 · C01140 · DESIRÉ ANNA GUSTAAF SCHUTTER</t>
  </si>
  <si>
    <t xml:space="preserve">ES0021000000845315TQ · Naturgy</t>
  </si>
  <si>
    <t xml:space="preserve">MES ANTERIOR · Fact.6434</t>
  </si>
  <si>
    <t xml:space="preserve">AÑO ANTERIOR · Fact.4637</t>
  </si>
  <si>
    <t xml:space="preserve">Cobrado total: 1.317 €</t>
  </si>
  <si>
    <t xml:space="preserve">Pagado total: 980 €</t>
  </si>
  <si>
    <t xml:space="preserve">DIF: 336 €   ·   Margen hist.: 25.6%</t>
  </si>
  <si>
    <t xml:space="preserve">Mejor mes: 2023-02 · 128 € · margen 45%</t>
  </si>
  <si>
    <t xml:space="preserve">Peor mes: 2024-07 · 17 €</t>
  </si>
  <si>
    <t xml:space="preserve">Factura 8579 · C01350 · CORDULA PETERS</t>
  </si>
  <si>
    <t xml:space="preserve">ES0021000000841859BX · Naturgy</t>
  </si>
  <si>
    <t xml:space="preserve">MES ANTERIOR · Fact.6423</t>
  </si>
  <si>
    <t xml:space="preserve">AÑO ANTERIOR · Fact.4627</t>
  </si>
  <si>
    <t xml:space="preserve">Cobrado total: 639 €</t>
  </si>
  <si>
    <t xml:space="preserve">Pagado total: 638 €</t>
  </si>
  <si>
    <t xml:space="preserve">DIF: 0 €   ·   Margen hist.: 0.0%</t>
  </si>
  <si>
    <t xml:space="preserve">Mejor mes: 2024-01 · 68 € · margen 55%</t>
  </si>
  <si>
    <t xml:space="preserve">Peor mes: 2024-06 · 3 € · margen 93%</t>
  </si>
  <si>
    <t xml:space="preserve">Factura 8580 · C00060 · HV LUXO SA</t>
  </si>
  <si>
    <t xml:space="preserve">ES0021000001208122LK · Naturgy</t>
  </si>
  <si>
    <t xml:space="preserve">MES ANTERIOR · Fact.6461</t>
  </si>
  <si>
    <t xml:space="preserve">AÑO ANTERIOR · Fact.4663</t>
  </si>
  <si>
    <t xml:space="preserve">Cobrado total: 1.556 €</t>
  </si>
  <si>
    <t xml:space="preserve">Pagado total: 821 €</t>
  </si>
  <si>
    <t xml:space="preserve">DIF: 736 €   ·   Margen hist.: 47.3%</t>
  </si>
  <si>
    <t xml:space="preserve">Mejor mes: 2023-10 · 202 € · margen 56%</t>
  </si>
  <si>
    <t xml:space="preserve">Peor mes: 2024-06 · 7 € · margen 81%</t>
  </si>
  <si>
    <t xml:space="preserve">Factura 8581 ·  · MANUEL GARCÍA DEL VALLE CARLOS-ROCA</t>
  </si>
  <si>
    <t xml:space="preserve">ES0022000007974829ZA · Naturgy</t>
  </si>
  <si>
    <t xml:space="preserve">MES ANTERIOR · Fact.6438</t>
  </si>
  <si>
    <t xml:space="preserve">AÑO ANTERIOR · Fact.4792</t>
  </si>
  <si>
    <t xml:space="preserve">Cobrado total: 3.463 €</t>
  </si>
  <si>
    <t xml:space="preserve">Pagado total: 2.847 €</t>
  </si>
  <si>
    <t xml:space="preserve">DIF: 616 €   ·   Margen hist.: 17.8%</t>
  </si>
  <si>
    <t xml:space="preserve">Mejor mes: 2024-11 · 243 € · margen 36%</t>
  </si>
  <si>
    <t xml:space="preserve">Peor mes: 2024-06 · 93 € · margen 16%</t>
  </si>
  <si>
    <t xml:space="preserve">Factura 8584 · C00040 · Mª ROSARIO ORTOLÁ FERRER</t>
  </si>
  <si>
    <t xml:space="preserve">ES0021000000827846TG · Naturgy</t>
  </si>
  <si>
    <t xml:space="preserve">MES ANTERIOR · Fact.6463</t>
  </si>
  <si>
    <t xml:space="preserve">AÑO ANTERIOR · Fact.4665</t>
  </si>
  <si>
    <t xml:space="preserve">Cobrado total: 10.841 €</t>
  </si>
  <si>
    <t xml:space="preserve">Pagado total: 6.963 €</t>
  </si>
  <si>
    <t xml:space="preserve">DIF: 3.878 €   ·   Margen hist.: 35.8%</t>
  </si>
  <si>
    <t xml:space="preserve">Mejor mes: 2023-07 · 768 € · margen 71%</t>
  </si>
  <si>
    <t xml:space="preserve">Peor mes: 2024-01 · 205 € · margen 30%</t>
  </si>
  <si>
    <t xml:space="preserve">⚠ periodo parcial 01-24abr</t>
  </si>
  <si>
    <t xml:space="preserve">Factura 8585 · C00050 · HELADOS ESPI</t>
  </si>
  <si>
    <t xml:space="preserve">ES0021000001210794KW · Naturgy</t>
  </si>
  <si>
    <t xml:space="preserve">MES ANTERIOR · Fact.6462</t>
  </si>
  <si>
    <t xml:space="preserve">AÑO ANTERIOR · Fact.4664</t>
  </si>
  <si>
    <t xml:space="preserve">Cobrado total: 5.331 €</t>
  </si>
  <si>
    <t xml:space="preserve">Pagado total: 3.726 €</t>
  </si>
  <si>
    <t xml:space="preserve">DIF: 1.605 €   ·   Margen hist.: 30.1%</t>
  </si>
  <si>
    <t xml:space="preserve">Mejor mes: 2023-08 · 751 € · margen 35%</t>
  </si>
  <si>
    <t xml:space="preserve">Peor mes: 2024-02 · 22 € · margen 35%</t>
  </si>
  <si>
    <t xml:space="preserve">Factura 8586 · C00060 · HV LUXO SA</t>
  </si>
  <si>
    <t xml:space="preserve">Factura 8588 · C00100 · CRISTINA MARÍA FALCÓN ESCALONA</t>
  </si>
  <si>
    <t xml:space="preserve">ES0021000001206049KH · Naturgy</t>
  </si>
  <si>
    <t xml:space="preserve">MES ANTERIOR · Fact.6459</t>
  </si>
  <si>
    <t xml:space="preserve">AÑO ANTERIOR · Fact.4662</t>
  </si>
  <si>
    <t xml:space="preserve">Cobrado total: 1.874 €</t>
  </si>
  <si>
    <t xml:space="preserve">Pagado total: 998 €</t>
  </si>
  <si>
    <t xml:space="preserve">DIF: 876 €   ·   Margen hist.: 46.8%</t>
  </si>
  <si>
    <t xml:space="preserve">Mejor mes: 2024-12 · 132 € · margen 42%</t>
  </si>
  <si>
    <t xml:space="preserve">Peor mes: 2023-08 · 56 € · margen 64%</t>
  </si>
  <si>
    <t xml:space="preserve">Factura 8589 · C00120 · STEPHEN RICHARD ROBINSON</t>
  </si>
  <si>
    <t xml:space="preserve">ES0021000021936589WZ · Naturgy</t>
  </si>
  <si>
    <t xml:space="preserve">MES ANTERIOR · Fact.6458</t>
  </si>
  <si>
    <t xml:space="preserve">AÑO ANTERIOR · Fact.4661</t>
  </si>
  <si>
    <t xml:space="preserve">Cobrado total: 3.583 €</t>
  </si>
  <si>
    <t xml:space="preserve">Pagado total: 2.438 €</t>
  </si>
  <si>
    <t xml:space="preserve">DIF: 1.146 €   ·   Margen hist.: 32.0%</t>
  </si>
  <si>
    <t xml:space="preserve">Mejor mes: 2023-04 · 276 € · margen 2977%</t>
  </si>
  <si>
    <t xml:space="preserve">Peor mes: 2024-08 · 60 € · margen 157%</t>
  </si>
  <si>
    <t xml:space="preserve">Factura 8590 · C00130 · BIO JARDINSOSTENIBLE, S.L.U.</t>
  </si>
  <si>
    <t xml:space="preserve">ES0021000001209135VE · Naturgy</t>
  </si>
  <si>
    <t xml:space="preserve">MES ANTERIOR · Fact.6457</t>
  </si>
  <si>
    <t xml:space="preserve">AÑO ANTERIOR · Fact.4660</t>
  </si>
  <si>
    <t xml:space="preserve">Cobrado total: 3.449 €</t>
  </si>
  <si>
    <t xml:space="preserve">Pagado total: 1.967 €</t>
  </si>
  <si>
    <t xml:space="preserve">DIF: 1.482 €   ·   Margen hist.: 43.0%</t>
  </si>
  <si>
    <t xml:space="preserve">Mejor mes: 2023-12 · 210 € · margen 51%</t>
  </si>
  <si>
    <t xml:space="preserve">Peor mes: 2023-03 · 84 € · margen 114%</t>
  </si>
  <si>
    <t xml:space="preserve">Factura 8593 · C00270 · CLAUDE JOSÉ GOFFINET</t>
  </si>
  <si>
    <t xml:space="preserve">ES0021000001208140CQ · Naturgy</t>
  </si>
  <si>
    <t xml:space="preserve">MES ANTERIOR · Fact.6454</t>
  </si>
  <si>
    <t xml:space="preserve">AÑO ANTERIOR · Fact.4657</t>
  </si>
  <si>
    <t xml:space="preserve">Cobrado total: 4.468 €</t>
  </si>
  <si>
    <t xml:space="preserve">Pagado total: 2.413 €</t>
  </si>
  <si>
    <t xml:space="preserve">DIF: 2.055 €   ·   Margen hist.: 46.0%</t>
  </si>
  <si>
    <t xml:space="preserve">Mejor mes: 2023-01 · 371 € · margen 75%</t>
  </si>
  <si>
    <t xml:space="preserve">Peor mes: 2023-04 · 67 € · margen 67%</t>
  </si>
  <si>
    <t xml:space="preserve">Factura 8594 · C00310 · MICHAEL BALMER</t>
  </si>
  <si>
    <t xml:space="preserve">ES0021000001498936ZT · Naturgy</t>
  </si>
  <si>
    <t xml:space="preserve">MES ANTERIOR · Fact.6453</t>
  </si>
  <si>
    <t xml:space="preserve">Cobrado total: 1.087 €</t>
  </si>
  <si>
    <t xml:space="preserve">Pagado total: 533 €</t>
  </si>
  <si>
    <t xml:space="preserve">DIF: 554 €   ·   Margen hist.: 51.0%</t>
  </si>
  <si>
    <t xml:space="preserve">Mejor mes: 2024-01 · 206 €</t>
  </si>
  <si>
    <t xml:space="preserve">Peor mes: 2023-02 · 23 € · margen 121%</t>
  </si>
  <si>
    <t xml:space="preserve">Factura 8597 · C00410 · VALENTINA BARCA</t>
  </si>
  <si>
    <t xml:space="preserve">ES0021000001215730MQ · Naturgy</t>
  </si>
  <si>
    <t xml:space="preserve">MES ANTERIOR · Fact.6450</t>
  </si>
  <si>
    <t xml:space="preserve">AÑO ANTERIOR · Fact.4654</t>
  </si>
  <si>
    <t xml:space="preserve">Cobrado total: 3.174 €</t>
  </si>
  <si>
    <t xml:space="preserve">Pagado total: 1.935 €</t>
  </si>
  <si>
    <t xml:space="preserve">DIF: 1.239 €   ·   Margen hist.: 39.0%</t>
  </si>
  <si>
    <t xml:space="preserve">Mejor mes: 2023-01 · 246 € · margen 73%</t>
  </si>
  <si>
    <t xml:space="preserve">Peor mes: 2024-05 · 74 € · margen 14%</t>
  </si>
  <si>
    <t xml:space="preserve">Factura 8599 · C00540 · PEDRO CAÑADAS FERNANDEZ</t>
  </si>
  <si>
    <t xml:space="preserve">ES0021000011666174FL · Naturgy</t>
  </si>
  <si>
    <t xml:space="preserve">MES ANTERIOR · Fact.6448</t>
  </si>
  <si>
    <t xml:space="preserve">AÑO ANTERIOR · Fact.4652</t>
  </si>
  <si>
    <t xml:space="preserve">Cobrado total: 910 €</t>
  </si>
  <si>
    <t xml:space="preserve">Pagado total: 648 €</t>
  </si>
  <si>
    <t xml:space="preserve">DIF: 263 €   ·   Margen hist.: 28.8%</t>
  </si>
  <si>
    <t xml:space="preserve">Mejor mes: 2024-04 · 48 € · margen 134%</t>
  </si>
  <si>
    <t xml:space="preserve">Peor mes: 2024-05 · 25 € · margen 4%</t>
  </si>
  <si>
    <t xml:space="preserve">Factura 8600 · C00670 · CARLOS A. GAVILANES PAUCAR</t>
  </si>
  <si>
    <t xml:space="preserve">ES0021000039192179PS · Naturgy</t>
  </si>
  <si>
    <t xml:space="preserve">MES ANTERIOR · Fact.6447</t>
  </si>
  <si>
    <t xml:space="preserve">AÑO ANTERIOR · Fact.4651</t>
  </si>
  <si>
    <t xml:space="preserve">Cobrado total: 5.027 €</t>
  </si>
  <si>
    <t xml:space="preserve">Pagado total: 2.840 €</t>
  </si>
  <si>
    <t xml:space="preserve">DIF: 2.188 €   ·   Margen hist.: 43.5%</t>
  </si>
  <si>
    <t xml:space="preserve">Mejor mes: 2023-07 · 263 € · margen 5340%</t>
  </si>
  <si>
    <t xml:space="preserve">Peor mes: 2023-11 · 157 € · margen 33%</t>
  </si>
  <si>
    <t xml:space="preserve">Factura 8601 · C00700 · ELEEN VELTHOVEN</t>
  </si>
  <si>
    <t xml:space="preserve">Factura 8604 · C00780 · MONTGO SEGURIDAD, S.L.</t>
  </si>
  <si>
    <t xml:space="preserve">ES0021000011513513VD · Naturgy</t>
  </si>
  <si>
    <t xml:space="preserve">MES ANTERIOR · Fact.6442</t>
  </si>
  <si>
    <t xml:space="preserve">AÑO ANTERIOR · Fact.4646</t>
  </si>
  <si>
    <t xml:space="preserve">Cobrado total: 1.104 €</t>
  </si>
  <si>
    <t xml:space="preserve">Pagado total: 1.002 €</t>
  </si>
  <si>
    <t xml:space="preserve">DIF: 101 €   ·   Margen hist.: 9.2%</t>
  </si>
  <si>
    <t xml:space="preserve">Mejor mes: 2023-08 · 149 € · margen 2%</t>
  </si>
  <si>
    <t xml:space="preserve">Peor mes: 2024-08 · 1 € · margen 97%</t>
  </si>
  <si>
    <t xml:space="preserve">Factura 8605 · C00820 · JAIME VIVES LADRÓN DE GUEVARA</t>
  </si>
  <si>
    <t xml:space="preserve">ES0021000013325188XC · Naturgy</t>
  </si>
  <si>
    <t xml:space="preserve">MES ANTERIOR · Fact.6441</t>
  </si>
  <si>
    <t xml:space="preserve">AÑO ANTERIOR · Fact.4645</t>
  </si>
  <si>
    <t xml:space="preserve">Cobrado total: 1.904 €</t>
  </si>
  <si>
    <t xml:space="preserve">Pagado total: 1.201 €</t>
  </si>
  <si>
    <t xml:space="preserve">DIF: 704 €   ·   Margen hist.: 37.0%</t>
  </si>
  <si>
    <t xml:space="preserve">Mejor mes: 2023-08 · 113 € · margen 34%</t>
  </si>
  <si>
    <t xml:space="preserve">Peor mes: 2023-04 · 27 € · margen 374%</t>
  </si>
  <si>
    <t xml:space="preserve">Factura 8606 · C00910 · PATRICE HERNEST HECQ</t>
  </si>
  <si>
    <t xml:space="preserve">ES0021000001218582ZQ · Naturgy</t>
  </si>
  <si>
    <t xml:space="preserve">MES ANTERIOR · Fact.6440</t>
  </si>
  <si>
    <t xml:space="preserve">AÑO ANTERIOR · Fact.4644</t>
  </si>
  <si>
    <t xml:space="preserve">Cobrado total: 1.467 €</t>
  </si>
  <si>
    <t xml:space="preserve">Pagado total: 784 €</t>
  </si>
  <si>
    <t xml:space="preserve">DIF: 682 €   ·   Margen hist.: 46.5%</t>
  </si>
  <si>
    <t xml:space="preserve">Mejor mes: 2023-08 · 128 € · margen 50%</t>
  </si>
  <si>
    <t xml:space="preserve">Peor mes: 2024-05 · 7 € · margen 81%</t>
  </si>
  <si>
    <t xml:space="preserve">Factura 8607 · C00940 · ANDRE DOUTREVAL</t>
  </si>
  <si>
    <t xml:space="preserve">ES0021000001199725EL · Naturgy</t>
  </si>
  <si>
    <t xml:space="preserve">MES ANTERIOR · Fact.6439</t>
  </si>
  <si>
    <t xml:space="preserve">AÑO ANTERIOR · Fact.4643</t>
  </si>
  <si>
    <t xml:space="preserve">Cobrado total: 2.318 €</t>
  </si>
  <si>
    <t xml:space="preserve">Pagado total: 1.174 €</t>
  </si>
  <si>
    <t xml:space="preserve">DIF: 1.144 €   ·   Margen hist.: 49.4%</t>
  </si>
  <si>
    <t xml:space="preserve">Mejor mes: 2024-01 · 268 € · margen 83%</t>
  </si>
  <si>
    <t xml:space="preserve">Peor mes: 2023-05 · 37 € · margen 3%</t>
  </si>
  <si>
    <t xml:space="preserve">Factura 8611 · C01140 · DESIRÉ ANNA GUSTAAF SCHUTTER</t>
  </si>
  <si>
    <t xml:space="preserve">Factura 8612 · C01150 · ARIE PETER PETRI</t>
  </si>
  <si>
    <t xml:space="preserve">ES0021000000825192EH · Naturgy</t>
  </si>
  <si>
    <t xml:space="preserve">MES ANTERIOR · Fact.6433</t>
  </si>
  <si>
    <t xml:space="preserve">AÑO ANTERIOR · Fact.4636</t>
  </si>
  <si>
    <t xml:space="preserve">Cobrado total: 2.947 €</t>
  </si>
  <si>
    <t xml:space="preserve">Pagado total: 1.849 €</t>
  </si>
  <si>
    <t xml:space="preserve">DIF: 1.098 €   ·   Margen hist.: 37.2%</t>
  </si>
  <si>
    <t xml:space="preserve">Mejor mes: 2024-12 · 417 € · margen 24%</t>
  </si>
  <si>
    <t xml:space="preserve">Peor mes: 2023-07 · 51 € · margen 41%</t>
  </si>
  <si>
    <t xml:space="preserve">Factura 8613 · C01160 · DEBORAH LEFFELAAR</t>
  </si>
  <si>
    <t xml:space="preserve">ES0021000011060321RD · Naturgy</t>
  </si>
  <si>
    <t xml:space="preserve">MES ANTERIOR · Fact.6432</t>
  </si>
  <si>
    <t xml:space="preserve">AÑO ANTERIOR · Fact.4635</t>
  </si>
  <si>
    <t xml:space="preserve">Cobrado total: 3.343 €</t>
  </si>
  <si>
    <t xml:space="preserve">Pagado total: 1.926 €</t>
  </si>
  <si>
    <t xml:space="preserve">DIF: 1.417 €   ·   Margen hist.: 42.4%</t>
  </si>
  <si>
    <t xml:space="preserve">Mejor mes: 2023-07 · 242 € · margen 30%</t>
  </si>
  <si>
    <t xml:space="preserve">Peor mes: 2024-05 · 75 € · margen 15%</t>
  </si>
  <si>
    <t xml:space="preserve">Factura 8614 · C01190 · BART VAN OERLE JOZEF J.</t>
  </si>
  <si>
    <t xml:space="preserve">ES0021000000829575YP · Naturgy</t>
  </si>
  <si>
    <t xml:space="preserve">MES ANTERIOR · Fact.6431</t>
  </si>
  <si>
    <t xml:space="preserve">AÑO ANTERIOR · Fact.5003</t>
  </si>
  <si>
    <t xml:space="preserve">Cobrado total: 755 €</t>
  </si>
  <si>
    <t xml:space="preserve">Pagado total: 511 €</t>
  </si>
  <si>
    <t xml:space="preserve">DIF: 244 €   ·   Margen hist.: 32.3%</t>
  </si>
  <si>
    <t xml:space="preserve">Mejor mes: 2024-08 · 68 € · margen 70%</t>
  </si>
  <si>
    <t xml:space="preserve">Peor mes: 2024-05 · 19 € · margen 50%</t>
  </si>
  <si>
    <t xml:space="preserve">Factura 8617 · C01250 · DANIELLE B. PAULI</t>
  </si>
  <si>
    <t xml:space="preserve">ES0021000000828326KR · Naturgy</t>
  </si>
  <si>
    <t xml:space="preserve">MES ANTERIOR · Fact.6428</t>
  </si>
  <si>
    <t xml:space="preserve">AÑO ANTERIOR · Fact.4632</t>
  </si>
  <si>
    <t xml:space="preserve">Cobrado total: 841 €</t>
  </si>
  <si>
    <t xml:space="preserve">Pagado total: 551 €</t>
  </si>
  <si>
    <t xml:space="preserve">DIF: 290 €   ·   Margen hist.: 34.4%</t>
  </si>
  <si>
    <t xml:space="preserve">Mejor mes: 2024-03 · 99 € · margen 152%</t>
  </si>
  <si>
    <t xml:space="preserve">Peor mes: 2023-11 · 1 € · margen 2134%</t>
  </si>
  <si>
    <t xml:space="preserve">Factura 8618 · C01280 · Mª ISABEL HEVIA TENA</t>
  </si>
  <si>
    <t xml:space="preserve">Factura 8620 · C01330 · ULF BALZER</t>
  </si>
  <si>
    <t xml:space="preserve">ES0021000000826123VY · Naturgy</t>
  </si>
  <si>
    <t xml:space="preserve">MES ANTERIOR · Fact.6424</t>
  </si>
  <si>
    <t xml:space="preserve">AÑO ANTERIOR · Fact.4628</t>
  </si>
  <si>
    <t xml:space="preserve">Cobrado total: 1.176 €</t>
  </si>
  <si>
    <t xml:space="preserve">Pagado total: 773 €</t>
  </si>
  <si>
    <t xml:space="preserve">DIF: 403 €   ·   Margen hist.: 34.2%</t>
  </si>
  <si>
    <t xml:space="preserve">Mejor mes: 2023-07 · 136 € · margen 33%</t>
  </si>
  <si>
    <t xml:space="preserve">Peor mes: 2024-11 · 27 € · margen 0%</t>
  </si>
  <si>
    <t xml:space="preserve">Factura 8621 · C01350 · CORDULA PETERS</t>
  </si>
  <si>
    <t xml:space="preserve">Factura 8622 · C01390 · DANIEL DE WIT</t>
  </si>
  <si>
    <t xml:space="preserve">ES0021000011984452TT · Naturgy</t>
  </si>
  <si>
    <t xml:space="preserve">MES ANTERIOR · Fact.6422</t>
  </si>
  <si>
    <t xml:space="preserve">AÑO ANTERIOR · Fact.4626</t>
  </si>
  <si>
    <t xml:space="preserve">Cobrado total: 4.239 €</t>
  </si>
  <si>
    <t xml:space="preserve">Pagado total: 2.913 €</t>
  </si>
  <si>
    <t xml:space="preserve">DIF: 1.326 €   ·   Margen hist.: 31.3%</t>
  </si>
  <si>
    <t xml:space="preserve">Mejor mes: 2023-07 · 471 € · margen 28%</t>
  </si>
  <si>
    <t xml:space="preserve">Peor mes: 2024-04 · 81 € · margen 53%</t>
  </si>
  <si>
    <t xml:space="preserve">Factura 8623 · C01400 · CHRISTOPH BLUME</t>
  </si>
  <si>
    <t xml:space="preserve">Factura 8624 · C01420 · JAIME VIVES</t>
  </si>
  <si>
    <t xml:space="preserve">ES0021000001200654VM · Naturgy</t>
  </si>
  <si>
    <t xml:space="preserve">MES ANTERIOR · Fact.6420</t>
  </si>
  <si>
    <t xml:space="preserve">AÑO ANTERIOR · Fact.4624</t>
  </si>
  <si>
    <t xml:space="preserve">Cobrado total: 3.220 €</t>
  </si>
  <si>
    <t xml:space="preserve">Pagado total: 2.347 €</t>
  </si>
  <si>
    <t xml:space="preserve">DIF: 873 €   ·   Margen hist.: 27.1%</t>
  </si>
  <si>
    <t xml:space="preserve">Mejor mes: 2023-08 · 276 € · margen 7%</t>
  </si>
  <si>
    <t xml:space="preserve">Peor mes: 2023-05 · 39 € · margen 49%</t>
  </si>
  <si>
    <t xml:space="preserve">Factura 8625 · C01440 · VICENTE BAS ALENTADO</t>
  </si>
  <si>
    <t xml:space="preserve">ES0021000011331851PR · Naturgy</t>
  </si>
  <si>
    <t xml:space="preserve">MES ANTERIOR · Fact.6419</t>
  </si>
  <si>
    <t xml:space="preserve">AÑO ANTERIOR · Fact.4623</t>
  </si>
  <si>
    <t xml:space="preserve">Cobrado total: 1.841 €</t>
  </si>
  <si>
    <t xml:space="preserve">Pagado total: 1.299 €</t>
  </si>
  <si>
    <t xml:space="preserve">DIF: 542 €   ·   Margen hist.: 29.4%</t>
  </si>
  <si>
    <t xml:space="preserve">Mejor mes: 2023-08 · 135 €</t>
  </si>
  <si>
    <t xml:space="preserve">Peor mes: 2024-10 · 72 € · margen 16%</t>
  </si>
  <si>
    <t xml:space="preserve">Factura 8626 · C01460 · MARCUS JOHANNES MULLER</t>
  </si>
  <si>
    <t xml:space="preserve">ES0021000001504069FG · Naturgy</t>
  </si>
  <si>
    <t xml:space="preserve">MES ANTERIOR · Fact.6418</t>
  </si>
  <si>
    <t xml:space="preserve">AÑO ANTERIOR · Fact.4621</t>
  </si>
  <si>
    <t xml:space="preserve">Cobrado total: 937 €</t>
  </si>
  <si>
    <t xml:space="preserve">Pagado total: 857 €</t>
  </si>
  <si>
    <t xml:space="preserve">DIF: 80 €   ·   Margen hist.: 8.6%</t>
  </si>
  <si>
    <t xml:space="preserve">Mejor mes: 2024-10 · 93 € · margen 36%</t>
  </si>
  <si>
    <t xml:space="preserve">Peor mes: 2024-07 · 8 €</t>
  </si>
  <si>
    <t xml:space="preserve">Factura 8627 · C01470 · LIEUWE KOOPMANS</t>
  </si>
  <si>
    <t xml:space="preserve">ES0021000000845404GJ · Naturgy</t>
  </si>
  <si>
    <t xml:space="preserve">MES ANTERIOR · Fact.6417</t>
  </si>
  <si>
    <t xml:space="preserve">AÑO ANTERIOR · Fact.4620</t>
  </si>
  <si>
    <t xml:space="preserve">Cobrado total: 1.174 €</t>
  </si>
  <si>
    <t xml:space="preserve">Pagado total: 817 €</t>
  </si>
  <si>
    <t xml:space="preserve">DIF: 357 €   ·   Margen hist.: 30.4%</t>
  </si>
  <si>
    <t xml:space="preserve">Mejor mes: 2024-08 · 134 € · margen 42%</t>
  </si>
  <si>
    <t xml:space="preserve">Peor mes: 2023-10 · 5 €</t>
  </si>
  <si>
    <t xml:space="preserve">Factura 8628 · C01490 · JOSE EDUARDO BAYONA SOTOS</t>
  </si>
  <si>
    <t xml:space="preserve">ES0021000008703423SJ · Naturgy</t>
  </si>
  <si>
    <t xml:space="preserve">MES ANTERIOR · Fact.6416</t>
  </si>
  <si>
    <t xml:space="preserve">AÑO ANTERIOR · Fact.4619</t>
  </si>
  <si>
    <t xml:space="preserve">Cobrado total: 3.232 €</t>
  </si>
  <si>
    <t xml:space="preserve">Pagado total: 2.491 €</t>
  </si>
  <si>
    <t xml:space="preserve">DIF: 741 €   ·   Margen hist.: 22.9%</t>
  </si>
  <si>
    <t xml:space="preserve">Mejor mes: 2023-07 · 235 € · margen 101%</t>
  </si>
  <si>
    <t xml:space="preserve">Peor mes: 2023-04 · 13 € · margen 57%</t>
  </si>
  <si>
    <t xml:space="preserve">Factura 8630 · C01530 · JUAN POCH FERNANDEZ</t>
  </si>
  <si>
    <t xml:space="preserve">ES0021000001196881ZG · Naturgy</t>
  </si>
  <si>
    <t xml:space="preserve">MES ANTERIOR · Fact.6413</t>
  </si>
  <si>
    <t xml:space="preserve">AÑO ANTERIOR · Fact.4617</t>
  </si>
  <si>
    <t xml:space="preserve">Cobrado total: 2.148 €</t>
  </si>
  <si>
    <t xml:space="preserve">Pagado total: 1.336 €</t>
  </si>
  <si>
    <t xml:space="preserve">DIF: 812 €   ·   Margen hist.: 37.8%</t>
  </si>
  <si>
    <t xml:space="preserve">Mejor mes: 2024-12 · 231 € · margen 34%</t>
  </si>
  <si>
    <t xml:space="preserve">Peor mes: 2023-06 · 43 € · margen 55%</t>
  </si>
  <si>
    <t xml:space="preserve">Factura 8631 · C01540 · FORN MONICA S L</t>
  </si>
  <si>
    <t xml:space="preserve">ES0021000000827388AY · Naturgy</t>
  </si>
  <si>
    <t xml:space="preserve">MES ANTERIOR · Fact.6412</t>
  </si>
  <si>
    <t xml:space="preserve">AÑO ANTERIOR · Fact.4512</t>
  </si>
  <si>
    <t xml:space="preserve">Cobrado total: 13.789 €</t>
  </si>
  <si>
    <t xml:space="preserve">Pagado total: 9.316 €</t>
  </si>
  <si>
    <t xml:space="preserve">DIF: 4.473 €   ·   Margen hist.: 32.4%</t>
  </si>
  <si>
    <t xml:space="preserve">Mejor mes: 2023-08 · 1.795 € · margen 53%</t>
  </si>
  <si>
    <t xml:space="preserve">Peor mes: 2024-12 · 586 € · margen 14%</t>
  </si>
  <si>
    <t xml:space="preserve">Factura 8632 · C01570 · FRANCISCO MULA ROBERTO</t>
  </si>
  <si>
    <t xml:space="preserve">ES0021000000971679CH · Naturgy</t>
  </si>
  <si>
    <t xml:space="preserve">MES ANTERIOR · Fact.6411</t>
  </si>
  <si>
    <t xml:space="preserve">AÑO ANTERIOR · Fact.4615</t>
  </si>
  <si>
    <t xml:space="preserve">Cobrado total: 1.850 €</t>
  </si>
  <si>
    <t xml:space="preserve">Pagado total: 1.169 €</t>
  </si>
  <si>
    <t xml:space="preserve">DIF: 681 €   ·   Margen hist.: 36.8%</t>
  </si>
  <si>
    <t xml:space="preserve">Mejor mes: 2023-07 · 163 € · margen 24%</t>
  </si>
  <si>
    <t xml:space="preserve">Peor mes: 2023-06 · 57 € · margen 31%</t>
  </si>
  <si>
    <t xml:space="preserve">Factura 8633 · C01600 · HAFELI BRIGITTE</t>
  </si>
  <si>
    <t xml:space="preserve">ES0021000000958945LA · Naturgy</t>
  </si>
  <si>
    <t xml:space="preserve">MES ANTERIOR · Fact.6410</t>
  </si>
  <si>
    <t xml:space="preserve">AÑO ANTERIOR · Fact.4614</t>
  </si>
  <si>
    <t xml:space="preserve">Cobrado total: 2.070 €</t>
  </si>
  <si>
    <t xml:space="preserve">Pagado total: 1.492 €</t>
  </si>
  <si>
    <t xml:space="preserve">DIF: 578 €   ·   Margen hist.: 27.9%</t>
  </si>
  <si>
    <t xml:space="preserve">Mejor mes: 2023-12 · 313 € · margen -2347%</t>
  </si>
  <si>
    <t xml:space="preserve">Peor mes: 2023-10 · 20 €</t>
  </si>
  <si>
    <t xml:space="preserve">Factura 8634 · C01620 · MIA EDELTRUDIS JOSEPHINA ZANTMAN</t>
  </si>
  <si>
    <t xml:space="preserve">ES0021000000828286LF · Naturgy</t>
  </si>
  <si>
    <t xml:space="preserve">MES ANTERIOR · Fact.6409</t>
  </si>
  <si>
    <t xml:space="preserve">AÑO ANTERIOR · Fact.4613</t>
  </si>
  <si>
    <t xml:space="preserve">Cobrado total: 282 €</t>
  </si>
  <si>
    <t xml:space="preserve">Pagado total: 515 €</t>
  </si>
  <si>
    <t xml:space="preserve">DIF: -233 €   ·   Margen hist.: -82.4%</t>
  </si>
  <si>
    <t xml:space="preserve">Mejor mes: 2024-11 · 38 € · margen 27%</t>
  </si>
  <si>
    <t xml:space="preserve">Peor mes: 2024-05 · 0 € · margen 100%</t>
  </si>
  <si>
    <t xml:space="preserve">Factura 8636 · C01660 · LIEUWE KOOPMANS (2)</t>
  </si>
  <si>
    <t xml:space="preserve">ES0021000000820403KJ · Naturgy</t>
  </si>
  <si>
    <t xml:space="preserve">MES ANTERIOR · Fact.6407</t>
  </si>
  <si>
    <t xml:space="preserve">AÑO ANTERIOR · Fact.4612</t>
  </si>
  <si>
    <t xml:space="preserve">Cobrado total: 2.327 €</t>
  </si>
  <si>
    <t xml:space="preserve">Pagado total: 1.681 €</t>
  </si>
  <si>
    <t xml:space="preserve">DIF: 646 €   ·   Margen hist.: 27.8%</t>
  </si>
  <si>
    <t xml:space="preserve">Mejor mes: 2024-08 · 288 € · margen 12%</t>
  </si>
  <si>
    <t xml:space="preserve">Peor mes: 2024-11 · 67 € · margen 31%</t>
  </si>
  <si>
    <t xml:space="preserve">Factura 8637 · C01670 · COCKTAIL BAR AYAHUMA</t>
  </si>
  <si>
    <t xml:space="preserve">ES0021000001205999LZ · Naturgy</t>
  </si>
  <si>
    <t xml:space="preserve">MES ANTERIOR · Fact.6406</t>
  </si>
  <si>
    <t xml:space="preserve">AÑO ANTERIOR · Fact.4611</t>
  </si>
  <si>
    <t xml:space="preserve">Cobrado total: 5.393 €</t>
  </si>
  <si>
    <t xml:space="preserve">Pagado total: 3.728 €</t>
  </si>
  <si>
    <t xml:space="preserve">DIF: 1.665 €   ·   Margen hist.: 30.9%</t>
  </si>
  <si>
    <t xml:space="preserve">Mejor mes: 2024-08 · 502 € · margen 79%</t>
  </si>
  <si>
    <t xml:space="preserve">Peor mes: 2024-11 · 81 € · margen -20%</t>
  </si>
  <si>
    <t xml:space="preserve">Factura 8639 · C01720 · AHMED DAHMAN</t>
  </si>
  <si>
    <t xml:space="preserve">ES0021000001212203JP · Naturgy</t>
  </si>
  <si>
    <t xml:space="preserve">MES ANTERIOR · Fact.6404</t>
  </si>
  <si>
    <t xml:space="preserve">AÑO ANTERIOR · Fact.4609</t>
  </si>
  <si>
    <t xml:space="preserve">Cobrado total: 1.990 €</t>
  </si>
  <si>
    <t xml:space="preserve">Pagado total: 1.321 €</t>
  </si>
  <si>
    <t xml:space="preserve">DIF: 668 €   ·   Margen hist.: 33.6%</t>
  </si>
  <si>
    <t xml:space="preserve">Mejor mes: 2023-08 · 167 €</t>
  </si>
  <si>
    <t xml:space="preserve">Peor mes: 2023-07 · 48 €</t>
  </si>
  <si>
    <t xml:space="preserve">Factura 8640 · C01730 · LORENA ROCIO PAUCAR LÓPEZ</t>
  </si>
  <si>
    <t xml:space="preserve">ES0021000001192552DE · Naturgy</t>
  </si>
  <si>
    <t xml:space="preserve">MES ANTERIOR · Fact.6403</t>
  </si>
  <si>
    <t xml:space="preserve">AÑO ANTERIOR · Fact.4608</t>
  </si>
  <si>
    <t xml:space="preserve">Cobrado total: 7.311 €</t>
  </si>
  <si>
    <t xml:space="preserve">Pagado total: 4.761 €</t>
  </si>
  <si>
    <t xml:space="preserve">DIF: 2.550 €   ·   Margen hist.: 34.9%</t>
  </si>
  <si>
    <t xml:space="preserve">Mejor mes: 2024-12 · 794 € · margen 72%</t>
  </si>
  <si>
    <t xml:space="preserve">Peor mes: 2023-11 · 142 €</t>
  </si>
  <si>
    <t xml:space="preserve">Factura 8642 · C01800 · ROY SCHOLTEN</t>
  </si>
  <si>
    <t xml:space="preserve">ES0021000001501271TN · Naturgy</t>
  </si>
  <si>
    <t xml:space="preserve">MES ANTERIOR · Fact.6401</t>
  </si>
  <si>
    <t xml:space="preserve">AÑO ANTERIOR · Fact.4606</t>
  </si>
  <si>
    <t xml:space="preserve">Cobrado total: 1.292 €</t>
  </si>
  <si>
    <t xml:space="preserve">Pagado total: 1.001 €</t>
  </si>
  <si>
    <t xml:space="preserve">DIF: 291 €   ·   Margen hist.: 22.5%</t>
  </si>
  <si>
    <t xml:space="preserve">Mejor mes: 2024-08 · 164 € · margen 36%</t>
  </si>
  <si>
    <t xml:space="preserve">Peor mes: 2023-12 · 38 € · margen 43%</t>
  </si>
  <si>
    <t xml:space="preserve">Factura 8645 · C01850 · GUILLERMO CHOLBI SART</t>
  </si>
  <si>
    <t xml:space="preserve">ES0021000001204184DQ · Naturgy</t>
  </si>
  <si>
    <t xml:space="preserve">MES ANTERIOR · Fact.6398</t>
  </si>
  <si>
    <t xml:space="preserve">AÑO ANTERIOR · Fact.4604</t>
  </si>
  <si>
    <t xml:space="preserve">Cobrado total: 669 €</t>
  </si>
  <si>
    <t xml:space="preserve">Pagado total: 495 €</t>
  </si>
  <si>
    <t xml:space="preserve">DIF: 174 €   ·   Margen hist.: 26.0%</t>
  </si>
  <si>
    <t xml:space="preserve">Mejor mes: 2023-11 · 54 € · margen 8%</t>
  </si>
  <si>
    <t xml:space="preserve">Peor mes: 2024-11 · 42 € · margen 23%</t>
  </si>
  <si>
    <t xml:space="preserve">Factura 8646 · C01860 · GUILLERMO CHOLBI SART</t>
  </si>
  <si>
    <t xml:space="preserve">ES0021000001664631LA · Naturgy</t>
  </si>
  <si>
    <t xml:space="preserve">MES ANTERIOR · Fact.6397</t>
  </si>
  <si>
    <t xml:space="preserve">AÑO ANTERIOR · Fact.4603</t>
  </si>
  <si>
    <t xml:space="preserve">Cobrado total: 3.662 €</t>
  </si>
  <si>
    <t xml:space="preserve">Pagado total: 3.169 €</t>
  </si>
  <si>
    <t xml:space="preserve">DIF: 492 €   ·   Margen hist.: 13.5%</t>
  </si>
  <si>
    <t xml:space="preserve">Mejor mes: 2024-03 · 458 € · margen 25%</t>
  </si>
  <si>
    <t xml:space="preserve">Peor mes: 2023-12 · 125 € · margen 42%</t>
  </si>
  <si>
    <t xml:space="preserve">Factura 8647 · C01870 · GUILLERMO CHOLBI SART</t>
  </si>
  <si>
    <t xml:space="preserve">ES0021000001150884SF · Naturgy</t>
  </si>
  <si>
    <t xml:space="preserve">MES ANTERIOR · Fact.6396</t>
  </si>
  <si>
    <t xml:space="preserve">AÑO ANTERIOR · Fact.4602</t>
  </si>
  <si>
    <t xml:space="preserve">Cobrado total: 1.402 €</t>
  </si>
  <si>
    <t xml:space="preserve">Pagado total: 1.128 €</t>
  </si>
  <si>
    <t xml:space="preserve">DIF: 274 €   ·   Margen hist.: 19.5%</t>
  </si>
  <si>
    <t xml:space="preserve">Mejor mes: 2024-12 · 142 € · margen 16%</t>
  </si>
  <si>
    <t xml:space="preserve">Peor mes: 2024-09 · 49 € · margen 24%</t>
  </si>
  <si>
    <t xml:space="preserve">Factura 8648 · C01880 · ALEJANDRO BOX CANDELA</t>
  </si>
  <si>
    <t xml:space="preserve">ES0021000001216036LT · Naturgy</t>
  </si>
  <si>
    <t xml:space="preserve">MES ANTERIOR · Fact.6395</t>
  </si>
  <si>
    <t xml:space="preserve">AÑO ANTERIOR · Fact.4601</t>
  </si>
  <si>
    <t xml:space="preserve">Cobrado total: 1.365 €</t>
  </si>
  <si>
    <t xml:space="preserve">Pagado total: 1.033 €</t>
  </si>
  <si>
    <t xml:space="preserve">DIF: 332 €   ·   Margen hist.: 24.3%</t>
  </si>
  <si>
    <t xml:space="preserve">Mejor mes: 2024-03 · 142 € · margen 44%</t>
  </si>
  <si>
    <t xml:space="preserve">Peor mes: 2024-11 · 40 € · margen 45%</t>
  </si>
  <si>
    <t xml:space="preserve">Factura 8650 · C01990 · GERRIT JONGEJAN</t>
  </si>
  <si>
    <t xml:space="preserve">Factura 8651 · C02160 · CASA LILI SL (V)</t>
  </si>
  <si>
    <t xml:space="preserve">ES0021000012599393XJ · Naturgy</t>
  </si>
  <si>
    <t xml:space="preserve">MES ANTERIOR · Fact.6392</t>
  </si>
  <si>
    <t xml:space="preserve">AÑO ANTERIOR · Fact.4582</t>
  </si>
  <si>
    <t xml:space="preserve">Cobrado total: 2.035 €</t>
  </si>
  <si>
    <t xml:space="preserve">Pagado total: 1.399 €</t>
  </si>
  <si>
    <t xml:space="preserve">DIF: 636 €   ·   Margen hist.: 31.2%</t>
  </si>
  <si>
    <t xml:space="preserve">Mejor mes: 2024-12 · 215 € · margen 27%</t>
  </si>
  <si>
    <t xml:space="preserve">Peor mes: 2024-02 · 88 €</t>
  </si>
  <si>
    <t xml:space="preserve">Factura 8653 · C02190 · TAIRÉ VERA</t>
  </si>
  <si>
    <t xml:space="preserve">ES0021000000961277MN · Naturgy</t>
  </si>
  <si>
    <t xml:space="preserve">MES ANTERIOR · Fact.6390</t>
  </si>
  <si>
    <t xml:space="preserve">AÑO ANTERIOR · Fact.4580</t>
  </si>
  <si>
    <t xml:space="preserve">Cobrado total: 598 €</t>
  </si>
  <si>
    <t xml:space="preserve">Pagado total: 527 €</t>
  </si>
  <si>
    <t xml:space="preserve">DIF: 71 €   ·   Margen hist.: 11.9%</t>
  </si>
  <si>
    <t xml:space="preserve">Mejor mes: 2024-08 · 95 € · margen 18%</t>
  </si>
  <si>
    <t xml:space="preserve">Peor mes: 2024-04 · 12 € · margen 2%</t>
  </si>
  <si>
    <t xml:space="preserve">Factura 8655 · C02240 · SANDRA GONZALEZ LECHUGA</t>
  </si>
  <si>
    <t xml:space="preserve">ES0021000001206078TR · Naturgy</t>
  </si>
  <si>
    <t xml:space="preserve">MES ANTERIOR · Fact.6388</t>
  </si>
  <si>
    <t xml:space="preserve">AÑO ANTERIOR · Fact.4578</t>
  </si>
  <si>
    <t xml:space="preserve">Cobrado total: 195 €</t>
  </si>
  <si>
    <t xml:space="preserve">Pagado total: 220 €</t>
  </si>
  <si>
    <t xml:space="preserve">DIF: -25 €   ·   Margen hist.: -12.7%</t>
  </si>
  <si>
    <t xml:space="preserve">Mejor mes: 2024-12 · 29 € · margen -11%</t>
  </si>
  <si>
    <t xml:space="preserve">Peor mes: 2024-04 · 6 € · margen 5%</t>
  </si>
  <si>
    <t xml:space="preserve">Factura 8656 · C02340 · PRISCILA WELTER CARRASCO</t>
  </si>
  <si>
    <t xml:space="preserve">ES0021000012718599HX · Naturgy</t>
  </si>
  <si>
    <t xml:space="preserve">MES ANTERIOR · Fact.6387</t>
  </si>
  <si>
    <t xml:space="preserve">AÑO ANTERIOR · Fact.4544</t>
  </si>
  <si>
    <t xml:space="preserve">Cobrado total: 1.439 €</t>
  </si>
  <si>
    <t xml:space="preserve">Pagado total: 1.464 €</t>
  </si>
  <si>
    <t xml:space="preserve">DIF: -25 €   ·   Margen hist.: -1.7%</t>
  </si>
  <si>
    <t xml:space="preserve">Mejor mes: 2024-08 · 269 € · margen 32%</t>
  </si>
  <si>
    <t xml:space="preserve">Peor mes: 2024-11 · 103 € · margen -112%</t>
  </si>
  <si>
    <t xml:space="preserve">Factura 8657 · C02350 · YANIS DAHIANA JIMENEZ JIMENEZ</t>
  </si>
  <si>
    <t xml:space="preserve">ES0021000001202657NF · Naturgy</t>
  </si>
  <si>
    <t xml:space="preserve">MES ANTERIOR · Fact.6386</t>
  </si>
  <si>
    <t xml:space="preserve">AÑO ANTERIOR · Fact.4576</t>
  </si>
  <si>
    <t xml:space="preserve">Cobrado total: 4.242 €</t>
  </si>
  <si>
    <t xml:space="preserve">Pagado total: 3.900 €</t>
  </si>
  <si>
    <t xml:space="preserve">DIF: 342 €   ·   Margen hist.: 8.1%</t>
  </si>
  <si>
    <t xml:space="preserve">Mejor mes: 2024-07 · 759 € · margen 10%</t>
  </si>
  <si>
    <t xml:space="preserve">Peor mes: 2024-05 · 234 € · margen 13%</t>
  </si>
  <si>
    <t xml:space="preserve">Factura 8658 · C02380 · FORMATGES MÓNICA</t>
  </si>
  <si>
    <t xml:space="preserve">ES0021000001192535DM · Naturgy</t>
  </si>
  <si>
    <t xml:space="preserve">MES ANTERIOR · Fact.6385</t>
  </si>
  <si>
    <t xml:space="preserve">AÑO ANTERIOR · Fact.4575</t>
  </si>
  <si>
    <t xml:space="preserve">Cobrado total: 945 €</t>
  </si>
  <si>
    <t xml:space="preserve">Pagado total: 614 €</t>
  </si>
  <si>
    <t xml:space="preserve">DIF: 331 €   ·   Margen hist.: 35.0%</t>
  </si>
  <si>
    <t xml:space="preserve">Mejor mes: 2024-12 · 218 € · margen 75%</t>
  </si>
  <si>
    <t xml:space="preserve">Peor mes: 2024-09 · 61 € · margen 40%</t>
  </si>
  <si>
    <t xml:space="preserve">Factura 8659 · C02400 · MARUJA CHOLBI PUIG</t>
  </si>
  <si>
    <t xml:space="preserve">ES0021000001194530AE · Naturgy</t>
  </si>
  <si>
    <t xml:space="preserve">MES ANTERIOR · Fact.6384</t>
  </si>
  <si>
    <t xml:space="preserve">AÑO ANTERIOR · Fact.4573</t>
  </si>
  <si>
    <t xml:space="preserve">Cobrado total: 417 €</t>
  </si>
  <si>
    <t xml:space="preserve">Pagado total: 295 €</t>
  </si>
  <si>
    <t xml:space="preserve">DIF: 122 €   ·   Margen hist.: 29.3%</t>
  </si>
  <si>
    <t xml:space="preserve">Mejor mes: 2024-08 · 110 € · margen 37%</t>
  </si>
  <si>
    <t xml:space="preserve">Peor mes: 2024-07 · 29 €</t>
  </si>
  <si>
    <t xml:space="preserve">Factura 8660 · C02420 · KHALID EL JEBLI</t>
  </si>
  <si>
    <t xml:space="preserve">ES0021000013419226MB · Naturgy</t>
  </si>
  <si>
    <t xml:space="preserve">MES ANTERIOR · Fact.6383</t>
  </si>
  <si>
    <t xml:space="preserve">AÑO ANTERIOR · Fact.4572</t>
  </si>
  <si>
    <t xml:space="preserve">Cobrado total: 1.452 €</t>
  </si>
  <si>
    <t xml:space="preserve">Pagado total: 1.099 €</t>
  </si>
  <si>
    <t xml:space="preserve">DIF: 352 €   ·   Margen hist.: 24.3%</t>
  </si>
  <si>
    <t xml:space="preserve">Mejor mes: 2024-08 · 346 € · margen 69%</t>
  </si>
  <si>
    <t xml:space="preserve">Peor mes: 2024-10 · 203 € · margen 30%</t>
  </si>
  <si>
    <t xml:space="preserve">Factura 8662 · C02470 · TALLER SENDRA CUELLO, S.L.</t>
  </si>
  <si>
    <t xml:space="preserve">ES0021000000822827BE · Naturgy</t>
  </si>
  <si>
    <t xml:space="preserve">MES ANTERIOR · Fact.6381</t>
  </si>
  <si>
    <t xml:space="preserve">AÑO ANTERIOR · Fact.4570</t>
  </si>
  <si>
    <t xml:space="preserve">Cobrado total: 338 €</t>
  </si>
  <si>
    <t xml:space="preserve">Pagado total: 269 €</t>
  </si>
  <si>
    <t xml:space="preserve">DIF: 69 €   ·   Margen hist.: 20.5%</t>
  </si>
  <si>
    <t xml:space="preserve">Mejor mes: 2024-12 · 160 € · margen 21%</t>
  </si>
  <si>
    <t xml:space="preserve">Peor mes: 2024-10 · 45 € · margen 28%</t>
  </si>
  <si>
    <t xml:space="preserve">Factura 8663 · C02510 · ANTONIO LLIDO ESPASA</t>
  </si>
  <si>
    <t xml:space="preserve">ES0021000001197237YS · Naturgy</t>
  </si>
  <si>
    <t xml:space="preserve">MES ANTERIOR · Fact.6380</t>
  </si>
  <si>
    <t xml:space="preserve">AÑO ANTERIOR · Fact.4568</t>
  </si>
  <si>
    <t xml:space="preserve">Cobrado total: 234 €</t>
  </si>
  <si>
    <t xml:space="preserve">Pagado total: 194 €</t>
  </si>
  <si>
    <t xml:space="preserve">DIF: 40 €   ·   Margen hist.: 17.0%</t>
  </si>
  <si>
    <t xml:space="preserve">Mejor mes: 2024-11 · 111 € · margen 23%</t>
  </si>
  <si>
    <t xml:space="preserve">Peor mes: 2024-10 · 15 € · margen -0%</t>
  </si>
  <si>
    <t xml:space="preserve">Factura 8665 · C02530 · JUAN SANCHEZ RONDA</t>
  </si>
  <si>
    <t xml:space="preserve">ES0021000021069440CB · Naturgy</t>
  </si>
  <si>
    <t xml:space="preserve">MES ANTERIOR · Fact.6378</t>
  </si>
  <si>
    <t xml:space="preserve">AÑO ANTERIOR · Fact.4566</t>
  </si>
  <si>
    <t xml:space="preserve">Cobrado total: 275 €</t>
  </si>
  <si>
    <t xml:space="preserve">Pagado total: 222 €</t>
  </si>
  <si>
    <t xml:space="preserve">DIF: 53 €   ·   Margen hist.: 19.4%</t>
  </si>
  <si>
    <t xml:space="preserve">Mejor mes: 2024-11 · 113 € · margen 22%</t>
  </si>
  <si>
    <t xml:space="preserve">Peor mes: 2024-10 · 79 € · margen 22%</t>
  </si>
  <si>
    <t xml:space="preserve">Factura 8666 · C02540 · TERESA MENGUAL ALBEROLA</t>
  </si>
  <si>
    <t xml:space="preserve">ES0021000011425522DQ · Naturgy</t>
  </si>
  <si>
    <t xml:space="preserve">MES ANTERIOR · Fact.6377</t>
  </si>
  <si>
    <t xml:space="preserve">AÑO ANTERIOR · Fact.4565</t>
  </si>
  <si>
    <t xml:space="preserve">Cobrado total: 168 €</t>
  </si>
  <si>
    <t xml:space="preserve">Pagado total: 127 €</t>
  </si>
  <si>
    <t xml:space="preserve">DIF: 40 €   ·   Margen hist.: 24.0%</t>
  </si>
  <si>
    <t xml:space="preserve">Mejor mes: 2024-11 · 84 € · margen 32%</t>
  </si>
  <si>
    <t xml:space="preserve">Peor mes: 2024-12 · 81 € · margen 27%</t>
  </si>
  <si>
    <t xml:space="preserve">Factura 8667 · C02560 · PEDRO IVARS TRO 2018, S.L.</t>
  </si>
  <si>
    <t xml:space="preserve">Factura 8670 · C02610 · VEHICULOS ANDRADA, S.L.</t>
  </si>
  <si>
    <t xml:space="preserve">ES0021000001194258SA · Naturgy</t>
  </si>
  <si>
    <t xml:space="preserve">MES ANTERIOR · Fact.6373</t>
  </si>
  <si>
    <t xml:space="preserve">AÑO ANTERIOR · Fact.4561</t>
  </si>
  <si>
    <t xml:space="preserve">Cobrado total: 563 €</t>
  </si>
  <si>
    <t xml:space="preserve">Pagado total: 406 €</t>
  </si>
  <si>
    <t xml:space="preserve">DIF: 158 €   ·   Margen hist.: 28.0%</t>
  </si>
  <si>
    <t xml:space="preserve">Mejor mes: 2024-12 · 326 € · margen 29%</t>
  </si>
  <si>
    <t xml:space="preserve">Peor mes: 2024-11 · 236 € · margen 27%</t>
  </si>
  <si>
    <t xml:space="preserve">Factura 8671 · C02630 · AUTOCENTER MARINA ALTA S.L.</t>
  </si>
  <si>
    <t xml:space="preserve">ES0021000013052712DW · Naturgy</t>
  </si>
  <si>
    <t xml:space="preserve">MES ANTERIOR · Fact.6372</t>
  </si>
  <si>
    <t xml:space="preserve">AÑO ANTERIOR · Fact.4560</t>
  </si>
  <si>
    <t xml:space="preserve">Cobrado total: 145 €</t>
  </si>
  <si>
    <t xml:space="preserve">Pagado total: 116 €</t>
  </si>
  <si>
    <t xml:space="preserve">DIF: 30 €   ·   Margen hist.: 20.4%</t>
  </si>
  <si>
    <t xml:space="preserve">Mejor mes: 2024-11 · 72 € · margen 29%</t>
  </si>
  <si>
    <t xml:space="preserve">Peor mes: 2024-12 · 72 € · margen 10%</t>
  </si>
  <si>
    <t xml:space="preserve">Factura 8672 · C02640 · JUAN CARLOS HERNANDEZ MELERO</t>
  </si>
  <si>
    <t xml:space="preserve">ES0021000001216778MY · Naturgy</t>
  </si>
  <si>
    <t xml:space="preserve">MES ANTERIOR · Fact.6371</t>
  </si>
  <si>
    <t xml:space="preserve">AÑO ANTERIOR · Fact.4559</t>
  </si>
  <si>
    <t xml:space="preserve">Factura 8674 · C02680 · ALVARO DAVID OCHOA BIOSCA</t>
  </si>
  <si>
    <t xml:space="preserve">Factura 8676 · C02710 · CASA LILI S.L. AUTOS (EXPOSICIÓN)</t>
  </si>
  <si>
    <t xml:space="preserve">ES0021000001498862XH · Naturgy</t>
  </si>
  <si>
    <t xml:space="preserve">MES ANTERIOR · Fact.6318</t>
  </si>
  <si>
    <t xml:space="preserve">AÑO ANTERIOR · Fact.4504</t>
  </si>
  <si>
    <t xml:space="preserve">Cobrado total: 4 €</t>
  </si>
  <si>
    <t xml:space="preserve">DIF: 4 €   ·   Margen hist.: 100.0%</t>
  </si>
  <si>
    <t xml:space="preserve">Factura 8677 · C02740 · FRANCISCO DANIEL GUIJARRO ORTEGA</t>
  </si>
  <si>
    <t xml:space="preserve">ES0021000012536439XX · Naturgy</t>
  </si>
  <si>
    <t xml:space="preserve">MES ANTERIOR · Fact.6367</t>
  </si>
  <si>
    <t xml:space="preserve">AÑO ANTERIOR · Fact.4674</t>
  </si>
  <si>
    <t xml:space="preserve">Factura 8678 · C02760 · ISABEL RAMIREZ CAPDEVILA</t>
  </si>
  <si>
    <t xml:space="preserve">ES0021000012536447XH · Naturgy</t>
  </si>
  <si>
    <t xml:space="preserve">MES ANTERIOR · Fact.6366</t>
  </si>
  <si>
    <t xml:space="preserve">AÑO ANTERIOR · Fact.4552</t>
  </si>
  <si>
    <t xml:space="preserve">Factura 8679 · C02780 · MARIA PILAR CATALA SANTAMARIA</t>
  </si>
  <si>
    <t xml:space="preserve">ES0021000001197031CQ · Naturgy</t>
  </si>
  <si>
    <t xml:space="preserve">MES ANTERIOR · Fact.6365</t>
  </si>
  <si>
    <t xml:space="preserve">AÑO ANTERIOR · Fact.4551</t>
  </si>
  <si>
    <t xml:space="preserve">Factura 8680 · C02800 · ABDESLAM LAMRANI</t>
  </si>
  <si>
    <t xml:space="preserve">ES0021000001191925MQ · Iberdrola</t>
  </si>
  <si>
    <t xml:space="preserve">MES ANTERIOR · Fact.6364</t>
  </si>
  <si>
    <t xml:space="preserve">AÑO ANTERIOR · Fact.4550</t>
  </si>
  <si>
    <t xml:space="preserve">Factura 8681 · C02820 · FRANCISCO DANIEL GUIJARRO ORTEGA</t>
  </si>
  <si>
    <t xml:space="preserve">ES0021000001191926MV · Iberdrola</t>
  </si>
  <si>
    <t xml:space="preserve">MES ANTERIOR · Fact.6363</t>
  </si>
  <si>
    <t xml:space="preserve">Factura 8682 · C02840 · VICENTE BAS ALENTADO</t>
  </si>
  <si>
    <t xml:space="preserve">ES0021000015284291CY · Naturgy</t>
  </si>
  <si>
    <t xml:space="preserve">MES ANTERIOR · Fact.6362</t>
  </si>
  <si>
    <t xml:space="preserve">AÑO ANTERIOR · Fact.4548</t>
  </si>
  <si>
    <t xml:space="preserve">Factura 8683 · C02860 · SALVADOR TORRES BISQUERT</t>
  </si>
  <si>
    <t xml:space="preserve">ES0021000001201668SF · Naturgy</t>
  </si>
  <si>
    <t xml:space="preserve">MES ANTERIOR · Fact.6361</t>
  </si>
  <si>
    <t xml:space="preserve">AÑO ANTERIOR · Fact.4547</t>
  </si>
  <si>
    <t xml:space="preserve">Factura 8685 · C02920 · JAKUB JAN PICHOLA</t>
  </si>
  <si>
    <t xml:space="preserve">ES0021000043297204PT · Naturgy</t>
  </si>
  <si>
    <t xml:space="preserve">MES ANTERIOR · Fact.6359</t>
  </si>
  <si>
    <t xml:space="preserve">Factura 8686 · C02930 · UWE HEINZ WERNER SCHMUCK</t>
  </si>
  <si>
    <t xml:space="preserve">ES0021000000842065CD · Naturgy</t>
  </si>
  <si>
    <t xml:space="preserve">MES ANTERIOR · Fact.6358</t>
  </si>
  <si>
    <t xml:space="preserve">Cobrado total: 2 €</t>
  </si>
  <si>
    <t xml:space="preserve">DIF: 2 €   ·   Margen hist.: 100.0%</t>
  </si>
  <si>
    <t xml:space="preserve">Factura 8687 · C02950 · TALLERES MARTINEZ JAVEA, S.L.</t>
  </si>
  <si>
    <t xml:space="preserve">ES0021000011306311RZ · Naturgy</t>
  </si>
  <si>
    <t xml:space="preserve">MES ANTERIOR · Fact.6357</t>
  </si>
  <si>
    <t xml:space="preserve">Cobrado total: -2 €</t>
  </si>
  <si>
    <t xml:space="preserve">DIF: -2 €   ·   Margen hist.: 100.0%</t>
  </si>
  <si>
    <t xml:space="preserve">Factura 8688 · C02960 · FRANK CLEMENT</t>
  </si>
  <si>
    <t xml:space="preserve">ES0021000000844565ZW · Naturgy</t>
  </si>
  <si>
    <t xml:space="preserve">MES ANTERIOR · Fact.6356</t>
  </si>
  <si>
    <t xml:space="preserve">Factura 8689 · C02970 · SARA HERMINA NIJENHUIJS GREVE</t>
  </si>
  <si>
    <t xml:space="preserve">ES0021000000821424LE · Iberdrola</t>
  </si>
  <si>
    <t xml:space="preserve">MES ANTERIOR · Fact.6355</t>
  </si>
  <si>
    <t xml:space="preserve">Cobrado total: -0 €</t>
  </si>
  <si>
    <t xml:space="preserve">DIF: -0 €   ·   Margen hist.: 100.0%</t>
  </si>
  <si>
    <t xml:space="preserve">⚠ Iberdrola: exportados 480,69 kWh; compensa 0,001532 EUR/kWh via Solar Cloud (no 0,06)</t>
  </si>
  <si>
    <t xml:space="preserve">Factura 8690 · C02990 · AMARE BOTEGA SL</t>
  </si>
  <si>
    <t xml:space="preserve">ES0021000001204720XT · Naturgy</t>
  </si>
  <si>
    <t xml:space="preserve">MES ANTERIOR · Fact.6354</t>
  </si>
  <si>
    <t xml:space="preserve">Factura 8692 · C03030 · JUAN MANUEL CAMACHO GONZALEZ</t>
  </si>
  <si>
    <t xml:space="preserve">ES0021000001212039YM · Iberdrola</t>
  </si>
  <si>
    <t xml:space="preserve">MES ANTERIOR · Fact.6350</t>
  </si>
  <si>
    <t xml:space="preserve">Factura 8693 · C03040 · JUAN MANUEL CAMACHO GONZALEZ</t>
  </si>
  <si>
    <t xml:space="preserve">ES0021000005295382MC · Naturgy</t>
  </si>
  <si>
    <t xml:space="preserve">MES ANTERIOR · Fact.6349</t>
  </si>
  <si>
    <t xml:space="preserve">Factura 8694 · C03050 · JAN ANDERS ANSEHN</t>
  </si>
  <si>
    <t xml:space="preserve">ES0021000001502901WD · Naturgy</t>
  </si>
  <si>
    <t xml:space="preserve">MES ANTERIOR · Fact.6348</t>
  </si>
  <si>
    <t xml:space="preserve">Factura 8695 · C03060 · MARIA TERESA PONS DEVESA</t>
  </si>
  <si>
    <t xml:space="preserve">ES0021000001201680SL · Naturgy</t>
  </si>
  <si>
    <t xml:space="preserve">MES ANTERIOR · Fact.6347</t>
  </si>
  <si>
    <t xml:space="preserve">Factura 8696 · C03070 · CONGLI WANG</t>
  </si>
  <si>
    <t xml:space="preserve">ES0021000013610497HZ · Naturgy</t>
  </si>
  <si>
    <t xml:space="preserve">MES ANTERIOR · Fact.6346</t>
  </si>
  <si>
    <t xml:space="preserve">Factura 8697 · C03110 · RUBÉN CAMACHO PATRICIO</t>
  </si>
  <si>
    <t xml:space="preserve">ES0021000004645064KG · Naturgy</t>
  </si>
  <si>
    <t xml:space="preserve">MES ANTERIOR · Fact.6345</t>
  </si>
  <si>
    <t xml:space="preserve">Factura 8698 · C03130 · MARCELLO RAUCCI</t>
  </si>
  <si>
    <t xml:space="preserve">ES0021000000938748ST · Naturgy</t>
  </si>
  <si>
    <t xml:space="preserve">MES ANTERIOR · Fact.6344</t>
  </si>
  <si>
    <t xml:space="preserve">Factura 8702 · C03170 · THOMAS CHRISTIAAN GREVE</t>
  </si>
  <si>
    <t xml:space="preserve">ES0021000001504221JH · Naturgy</t>
  </si>
  <si>
    <t xml:space="preserve">MES ANTERIOR · Fact.6340</t>
  </si>
  <si>
    <t xml:space="preserve">Factura 8703 · C03180 · LERWIN SANTIAGO AVENDAÑO ANDRADE</t>
  </si>
  <si>
    <t xml:space="preserve">ES0021000018843904LR · Naturgy</t>
  </si>
  <si>
    <t xml:space="preserve">MES ANTERIOR · Fact.6339</t>
  </si>
  <si>
    <t xml:space="preserve">Factura 8704 · C03190 · 2 HANDS FULL S.L</t>
  </si>
  <si>
    <t xml:space="preserve">ES0021000037345279RS · Naturgy</t>
  </si>
  <si>
    <t xml:space="preserve">MES ANTERIOR · Fact.6338</t>
  </si>
  <si>
    <t xml:space="preserve">Factura 8706 · C03210 · VLADIMIR KREMPASKY</t>
  </si>
  <si>
    <t xml:space="preserve">ES0021000039701028YN · Naturgy</t>
  </si>
  <si>
    <t xml:space="preserve">MES ANTERIOR · Fact.6337</t>
  </si>
  <si>
    <t xml:space="preserve">Factura 8707 · C03220 · EVA ROHRMAN MADOVA</t>
  </si>
  <si>
    <t xml:space="preserve">ES0021000001209164LM · Naturgy</t>
  </si>
  <si>
    <t xml:space="preserve">MES ANTERIOR · Fact.6336</t>
  </si>
  <si>
    <t xml:space="preserve">Factura 8708 · C03230 · OLDRICH PETRAS</t>
  </si>
  <si>
    <t xml:space="preserve">ES0021000000948050MX · Naturgy</t>
  </si>
  <si>
    <t xml:space="preserve">MES ANTERIOR · Fact.6335</t>
  </si>
  <si>
    <t xml:space="preserve">Factura 8709 · C03240 · SPAINLIFE AND HOUSES S.L.</t>
  </si>
  <si>
    <t xml:space="preserve">ES0021000001214540EE · Naturgy</t>
  </si>
  <si>
    <t xml:space="preserve">MES ANTERIOR · Fact.6334</t>
  </si>
  <si>
    <t xml:space="preserve">Factura 8710 · C03250 · SPAINLIFE AND HOUSES S.L.</t>
  </si>
  <si>
    <t xml:space="preserve">ES0021000042961967ZB · Naturgy</t>
  </si>
  <si>
    <t xml:space="preserve">MES ANTERIOR · Fact.6333</t>
  </si>
  <si>
    <t xml:space="preserve">Factura 8711 · C03260 · MICHAL CUKAN</t>
  </si>
  <si>
    <t xml:space="preserve">Factura 8712 · C03280 · SOPHIA ROSE WADLE</t>
  </si>
  <si>
    <t xml:space="preserve">ES0021000001212470RE · Naturgy</t>
  </si>
  <si>
    <t xml:space="preserve">MES ANTERIOR · Fact.6331</t>
  </si>
  <si>
    <t xml:space="preserve">Factura 8714 · C03300 · COMPASS IBERICA 2007 SL</t>
  </si>
  <si>
    <t xml:space="preserve">ES0021000001211776VH · Naturgy</t>
  </si>
  <si>
    <t xml:space="preserve">MES ANTERIOR · Fact.6329</t>
  </si>
  <si>
    <t xml:space="preserve">Factura 8715 · C03310 · AMANDA APARICI MARTINEZ</t>
  </si>
  <si>
    <t xml:space="preserve">ES0021000038540357GJ · Naturgy</t>
  </si>
  <si>
    <t xml:space="preserve">MES ANTERIOR · Fact.6328</t>
  </si>
  <si>
    <t xml:space="preserve">Factura 8716 · C03320 · ELISABETH M. PAREDES DE QUINTERO</t>
  </si>
  <si>
    <t xml:space="preserve">ES0021000012286668YL · Naturgy</t>
  </si>
  <si>
    <t xml:space="preserve">MES ANTERIOR · Fact.6327</t>
  </si>
  <si>
    <t xml:space="preserve">Factura 8717 · C03330 · MARIA SOLEDAD ANSOLA ESTRADA</t>
  </si>
  <si>
    <t xml:space="preserve">ES0021000008759184RE · Naturgy</t>
  </si>
  <si>
    <t xml:space="preserve">MES ANTERIOR · Fact.6326</t>
  </si>
  <si>
    <t xml:space="preserve">Cobrado total: 0 €</t>
  </si>
  <si>
    <t xml:space="preserve">DIF: 0 €   ·   Margen hist.: 100.0%</t>
  </si>
  <si>
    <t xml:space="preserve">Factura 8718 · C03340 · CRISTIAN DAVID BETANCUR BARRERA</t>
  </si>
  <si>
    <t xml:space="preserve">ES0021000001150431HZ · Naturgy</t>
  </si>
  <si>
    <t xml:space="preserve">MES ANTERIOR · Fact.6325</t>
  </si>
  <si>
    <t xml:space="preserve">Factura 8719 · C03350 · SARA BARBERA SOLA</t>
  </si>
  <si>
    <t xml:space="preserve">ES0021000007872840JY · Naturgy</t>
  </si>
  <si>
    <t xml:space="preserve">MES ANTERIOR · (sin dato)</t>
  </si>
  <si>
    <t xml:space="preserve">Factura 8720 · C03360 · CBDSROLL,S.L.</t>
  </si>
  <si>
    <t xml:space="preserve">ES0021000008123399MA · Naturgy</t>
  </si>
  <si>
    <t xml:space="preserve">Factura 8721 · C03380 · </t>
  </si>
  <si>
    <t xml:space="preserve">ES0021000008123313RD · Naturgy</t>
  </si>
  <si>
    <t xml:space="preserve">Factura 8722 · C03390 · MAGDALENA ORTOLÁ FERRER</t>
  </si>
  <si>
    <t xml:space="preserve">ES0021000000827500PA · Naturgy</t>
  </si>
  <si>
    <t xml:space="preserve">MES ANTERIOR · Fact.6324</t>
  </si>
  <si>
    <t xml:space="preserve">Factura 8723 · C03400 · ZISKO SLAVOMIR</t>
  </si>
  <si>
    <t xml:space="preserve">ES0021000001386440KC · Naturgy</t>
  </si>
  <si>
    <t xml:space="preserve">MES ANTERIOR · Fact.6323</t>
  </si>
  <si>
    <t xml:space="preserve">Factura 8724 · C03430 · MARIA DEL MAR FERRANDO GUILLEM</t>
  </si>
  <si>
    <t xml:space="preserve">ES0021000001204298ZS · Naturgy</t>
  </si>
  <si>
    <t xml:space="preserve">Factura 8725 · C03440 · DIEGO BARQUERO PEREZ</t>
  </si>
  <si>
    <t xml:space="preserve">ES0021000001200743KW · Naturgy</t>
  </si>
  <si>
    <t xml:space="preserve">Factura 8726 · C03450 · RADEK ERBEN</t>
  </si>
  <si>
    <t xml:space="preserve">ES0021000013695713CS · Naturgy</t>
  </si>
  <si>
    <t xml:space="preserve">Factura 8727 · C03460 · SILVIA KREMPASKA</t>
  </si>
  <si>
    <t xml:space="preserve">ES0021000039701362KR · Naturgy</t>
  </si>
  <si>
    <t xml:space="preserve">Factura 8728 · C03470 · </t>
  </si>
  <si>
    <t xml:space="preserve">ES0021000001198764GR · Naturgy</t>
  </si>
  <si>
    <t xml:space="preserve">Factura 8729 · C03480 · MICHAL GLOSIK</t>
  </si>
  <si>
    <t xml:space="preserve">ES0021000042199454GV · Naturgy</t>
  </si>
  <si>
    <t xml:space="preserve">Factura 8730 · C00760 · SALVADOR TORRES BISQUERT</t>
  </si>
  <si>
    <t xml:space="preserve">ES0021000001192533DA · Naturgy</t>
  </si>
  <si>
    <t xml:space="preserve">MES ANTERIOR · Fact.6322</t>
  </si>
  <si>
    <t xml:space="preserve">AÑO ANTERIOR · Fact.4672</t>
  </si>
  <si>
    <t xml:space="preserve">Cobrado total: 17.622 €</t>
  </si>
  <si>
    <t xml:space="preserve">Pagado total: 13.368 €</t>
  </si>
  <si>
    <t xml:space="preserve">DIF: 4.254 €   ·   Margen hist.: 24.1%</t>
  </si>
  <si>
    <t xml:space="preserve">Mejor mes: 2024-12 · 1.051 € · margen 66%</t>
  </si>
  <si>
    <t xml:space="preserve">Peor mes: 2023-11 · 258 € · margen 23%</t>
  </si>
  <si>
    <t xml:space="preserve">nf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</si>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</sst>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%"/>
    <numFmt numFmtId="167" formatCode="#,##0&quot; €&quot;"/>
    <numFmt numFmtId="168" formatCode="#,##0.00"/>
    <numFmt numFmtId="169" formatCode="0.00000"/>
    <numFmt numFmtId="170" formatCode="#,##0.0"/>
    <numFmt numFmtId="171" formatCode="0.000000"/>
    <numFmt numFmtId="172" formatCode="0%"/>
    <numFmt numFmtId="173" formatCode="[$-C0A]0"/>
    <numFmt numFmtId="174" formatCode="[$-C0A]#,##0.00&quot; €&quot;;[RED]\-[$-0C0A]#,##0.00&quot; €&quot;"/>
    <numFmt numFmtId="175" formatCode="dd/mm/yy"/>
    <numFmt numFmtId="176" formatCode="[$-C0A]#,##0.000"/>
    <numFmt numFmtId="177" formatCode="[$-C0A]0.00000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9"/>
      <color rgb="FF843C0C"/>
      <name val="Arial"/>
      <family val="0"/>
      <charset val="1"/>
    </font>
    <font>
      <sz val="9"/>
      <color rgb="FF843C0C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i val="true"/>
      <sz val="8"/>
      <color rgb="FF7F6000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1F4E78"/>
        <bgColor rgb="FF2F549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8B4B4"/>
      </patternFill>
    </fill>
    <fill>
      <patternFill patternType="solid">
        <fgColor rgb="FFD9E1F2"/>
        <bgColor rgb="FFDDEBF7"/>
      </patternFill>
    </fill>
    <fill>
      <patternFill patternType="solid">
        <fgColor rgb="FF1F3864"/>
        <bgColor rgb="FF1F4E78"/>
      </patternFill>
    </fill>
    <fill>
      <patternFill patternType="solid">
        <fgColor rgb="FF404040"/>
        <bgColor rgb="FF375623"/>
      </patternFill>
    </fill>
    <fill>
      <patternFill patternType="solid">
        <fgColor rgb="FF2F5496"/>
        <bgColor rgb="FF1F4E78"/>
      </patternFill>
    </fill>
    <fill>
      <patternFill patternType="solid">
        <fgColor rgb="FFF0F0F0"/>
        <bgColor rgb="FFF2F2F2"/>
      </patternFill>
    </fill>
    <fill>
      <patternFill patternType="solid">
        <fgColor rgb="FF7030A0"/>
        <bgColor rgb="FF800080"/>
      </patternFill>
    </fill>
    <fill>
      <patternFill patternType="solid">
        <fgColor rgb="FF8EAADB"/>
        <bgColor rgb="FFB3B3B3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C55A11"/>
      </patternFill>
    </fill>
    <fill>
      <patternFill patternType="solid">
        <fgColor rgb="FF70AD47"/>
        <bgColor rgb="FF548235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BE5D6"/>
      </patternFill>
    </fill>
    <fill>
      <patternFill patternType="solid">
        <fgColor rgb="FFF2F2F2"/>
        <bgColor rgb="FFF0F0F0"/>
      </patternFill>
    </fill>
    <fill>
      <patternFill patternType="solid">
        <fgColor rgb="FFFFF2CC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D24D"/>
        <bgColor rgb="FFFFD966"/>
      </patternFill>
    </fill>
    <fill>
      <patternFill patternType="solid">
        <fgColor rgb="FFF8B4B4"/>
        <bgColor rgb="FFFFC7CE"/>
      </patternFill>
    </fill>
    <fill>
      <patternFill patternType="solid">
        <fgColor rgb="FFFFE699"/>
        <bgColor rgb="FFFFEB9C"/>
      </patternFill>
    </fill>
    <fill>
      <patternFill patternType="solid">
        <fgColor rgb="FFC55A11"/>
        <bgColor rgb="FFED7D31"/>
      </patternFill>
    </fill>
    <fill>
      <patternFill patternType="solid">
        <fgColor rgb="FF548235"/>
        <bgColor rgb="FF595959"/>
      </patternFill>
    </fill>
    <fill>
      <patternFill patternType="solid">
        <fgColor rgb="FFFBE5D6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FD966"/>
        <bgColor rgb="FFFFD24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2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4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4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4" fillId="2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4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2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0" fillId="2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F2F2F2"/>
      <rgbColor rgb="FF800000"/>
      <rgbColor rgb="FF008000"/>
      <rgbColor rgb="FF000080"/>
      <rgbColor rgb="FF7F6000"/>
      <rgbColor rgb="FF800080"/>
      <rgbColor rgb="FF2E75B6"/>
      <rgbColor rgb="FFBFBFBF"/>
      <rgbColor rgb="FF808080"/>
      <rgbColor rgb="FF8EAADB"/>
      <rgbColor rgb="FF7030A0"/>
      <rgbColor rgb="FFFFF2CC"/>
      <rgbColor rgb="FFDDEBF7"/>
      <rgbColor rgb="FF660066"/>
      <rgbColor rgb="FFFCE4D6"/>
      <rgbColor rgb="FF0563C1"/>
      <rgbColor rgb="FFD0D0D0"/>
      <rgbColor rgb="FF000080"/>
      <rgbColor rgb="FFFF00FF"/>
      <rgbColor rgb="FFFFE699"/>
      <rgbColor rgb="FFFFF8E7"/>
      <rgbColor rgb="FF800080"/>
      <rgbColor rgb="FF800000"/>
      <rgbColor rgb="FF1F4E78"/>
      <rgbColor rgb="FF0000FF"/>
      <rgbColor rgb="FF00CCFF"/>
      <rgbColor rgb="FFE2EFDA"/>
      <rgbColor rgb="FFC6EFCE"/>
      <rgbColor rgb="FFFFEB9C"/>
      <rgbColor rgb="FFD9D9D9"/>
      <rgbColor rgb="FFF8B4B4"/>
      <rgbColor rgb="FFD9E1F2"/>
      <rgbColor rgb="FFFFC7CE"/>
      <rgbColor rgb="FF4472C4"/>
      <rgbColor rgb="FFF0F0F0"/>
      <rgbColor rgb="FF70AD47"/>
      <rgbColor rgb="FFFFD24D"/>
      <rgbColor rgb="FFFBE5D6"/>
      <rgbColor rgb="FFED7D31"/>
      <rgbColor rgb="FF595959"/>
      <rgbColor rgb="FFB3B3B3"/>
      <rgbColor rgb="FF1F3864"/>
      <rgbColor rgb="FF548235"/>
      <rgbColor rgb="FF003300"/>
      <rgbColor rgb="FF375623"/>
      <rgbColor rgb="FF843C0C"/>
      <rgbColor rgb="FFC55A11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_series_3!$B$2:$Y$2</c:f>
              <c:numCache>
                <c:formatCode>General</c:formatCode>
                <c:ptCount val="24"/>
                <c:pt idx="0">
                  <c:v>1823.2</c:v>
                </c:pt>
                <c:pt idx="1">
                  <c:v>2200.79</c:v>
                </c:pt>
                <c:pt idx="2">
                  <c:v>1506.86</c:v>
                </c:pt>
                <c:pt idx="3">
                  <c:v>1294.73</c:v>
                </c:pt>
                <c:pt idx="4">
                  <c:v>701.24</c:v>
                </c:pt>
                <c:pt idx="5">
                  <c:v>2057.58</c:v>
                </c:pt>
                <c:pt idx="6">
                  <c:v>704.65</c:v>
                </c:pt>
                <c:pt idx="7">
                  <c:v>1131.33</c:v>
                </c:pt>
                <c:pt idx="8">
                  <c:v>1195.22</c:v>
                </c:pt>
                <c:pt idx="9">
                  <c:v>1397.39</c:v>
                </c:pt>
                <c:pt idx="10">
                  <c:v>1489.78</c:v>
                </c:pt>
                <c:pt idx="11">
                  <c:v>1604.92</c:v>
                </c:pt>
                <c:pt idx="12">
                  <c:v>2264.68</c:v>
                </c:pt>
                <c:pt idx="13">
                  <c:v>2392.22</c:v>
                </c:pt>
                <c:pt idx="14">
                  <c:v>1906.5</c:v>
                </c:pt>
                <c:pt idx="15">
                  <c:v>1541.7</c:v>
                </c:pt>
                <c:pt idx="16">
                  <c:v>1553.06</c:v>
                </c:pt>
                <c:pt idx="17">
                  <c:v>1623.98</c:v>
                </c:pt>
                <c:pt idx="18">
                  <c:v>1669.87</c:v>
                </c:pt>
                <c:pt idx="19">
                  <c:v>1287.26</c:v>
                </c:pt>
                <c:pt idx="20">
                  <c:v>1560.23</c:v>
                </c:pt>
                <c:pt idx="21">
                  <c:v>1696.52</c:v>
                </c:pt>
                <c:pt idx="22">
                  <c:v>1398.99</c:v>
                </c:pt>
                <c:pt idx="23">
                  <c:v>1699.39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457527"/>
        <c:axId val="89082953"/>
      </c:lineChart>
      <c:catAx>
        <c:axId val="794575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82953"/>
        <c:crosses val="autoZero"/>
        <c:auto val="1"/>
        <c:lblAlgn val="ctr"/>
        <c:lblOffset val="100"/>
        <c:noMultiLvlLbl val="0"/>
      </c:catAx>
      <c:valAx>
        <c:axId val="890829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575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_series_3!$B$3:$Y$3</c:f>
              <c:numCache>
                <c:formatCode>General</c:formatCode>
                <c:ptCount val="24"/>
                <c:pt idx="0">
                  <c:v>2278.23</c:v>
                </c:pt>
                <c:pt idx="1">
                  <c:v>2606.49</c:v>
                </c:pt>
                <c:pt idx="2">
                  <c:v>1372.78</c:v>
                </c:pt>
                <c:pt idx="3">
                  <c:v>1218.04</c:v>
                </c:pt>
                <c:pt idx="4">
                  <c:v>852.42</c:v>
                </c:pt>
                <c:pt idx="5">
                  <c:v>892.96</c:v>
                </c:pt>
                <c:pt idx="6">
                  <c:v>526.46</c:v>
                </c:pt>
                <c:pt idx="7">
                  <c:v>703.02</c:v>
                </c:pt>
                <c:pt idx="8">
                  <c:v>973.88</c:v>
                </c:pt>
                <c:pt idx="9">
                  <c:v>1071.5</c:v>
                </c:pt>
                <c:pt idx="10">
                  <c:v>1198.45</c:v>
                </c:pt>
                <c:pt idx="11">
                  <c:v>1352.91</c:v>
                </c:pt>
                <c:pt idx="12">
                  <c:v>2137.78</c:v>
                </c:pt>
                <c:pt idx="13">
                  <c:v>2576.37</c:v>
                </c:pt>
                <c:pt idx="14">
                  <c:v>1966.13</c:v>
                </c:pt>
                <c:pt idx="15">
                  <c:v>1508.21</c:v>
                </c:pt>
                <c:pt idx="16">
                  <c:v>982.22</c:v>
                </c:pt>
                <c:pt idx="17">
                  <c:v>980.76</c:v>
                </c:pt>
                <c:pt idx="18">
                  <c:v>639.12</c:v>
                </c:pt>
                <c:pt idx="19">
                  <c:v>1081.39</c:v>
                </c:pt>
                <c:pt idx="20">
                  <c:v>1166.31</c:v>
                </c:pt>
                <c:pt idx="21">
                  <c:v>1408.31</c:v>
                </c:pt>
                <c:pt idx="22">
                  <c:v>1317.52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316705"/>
        <c:axId val="34472702"/>
      </c:lineChart>
      <c:catAx>
        <c:axId val="3931670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72702"/>
        <c:crosses val="autoZero"/>
        <c:auto val="1"/>
        <c:lblAlgn val="ctr"/>
        <c:lblOffset val="100"/>
        <c:noMultiLvlLbl val="0"/>
      </c:catAx>
      <c:valAx>
        <c:axId val="344727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16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_series_3!$B$4:$Y$4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1625.21</c:v>
                </c:pt>
                <c:pt idx="20">
                  <c:v>3262.26</c:v>
                </c:pt>
                <c:pt idx="21">
                  <c:v>3637.92</c:v>
                </c:pt>
                <c:pt idx="22">
                  <c:v>3747.07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385142"/>
        <c:axId val="22158150"/>
      </c:lineChart>
      <c:catAx>
        <c:axId val="363851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58150"/>
        <c:crosses val="autoZero"/>
        <c:auto val="1"/>
        <c:lblAlgn val="ctr"/>
        <c:lblOffset val="100"/>
        <c:noMultiLvlLbl val="0"/>
      </c:catAx>
      <c:valAx>
        <c:axId val="221581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85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_series_3!$B$5:$Y$5</c:f>
              <c:numCache>
                <c:formatCode>General</c:formatCode>
                <c:ptCount val="24"/>
                <c:pt idx="0">
                  <c:v>4696.57</c:v>
                </c:pt>
                <c:pt idx="1">
                  <c:v>5119.32</c:v>
                </c:pt>
                <c:pt idx="2">
                  <c:v>3940.09</c:v>
                </c:pt>
                <c:pt idx="3">
                  <c:v>4434.05</c:v>
                </c:pt>
                <c:pt idx="4">
                  <c:v>4230.84</c:v>
                </c:pt>
                <c:pt idx="5">
                  <c:v>4056.83</c:v>
                </c:pt>
                <c:pt idx="6">
                  <c:v>3691.35</c:v>
                </c:pt>
                <c:pt idx="7">
                  <c:v>4434.05</c:v>
                </c:pt>
                <c:pt idx="8">
                  <c:v>4606.23</c:v>
                </c:pt>
                <c:pt idx="9">
                  <c:v>3691.35</c:v>
                </c:pt>
                <c:pt idx="10">
                  <c:v>3472.32</c:v>
                </c:pt>
                <c:pt idx="11">
                  <c:v>3278.22</c:v>
                </c:pt>
                <c:pt idx="12">
                  <c:v>4267.48</c:v>
                </c:pt>
                <c:pt idx="13">
                  <c:v>4424.02</c:v>
                </c:pt>
                <c:pt idx="14">
                  <c:v>3939.03</c:v>
                </c:pt>
                <c:pt idx="15">
                  <c:v>3404.76</c:v>
                </c:pt>
                <c:pt idx="16">
                  <c:v>3733.87</c:v>
                </c:pt>
                <c:pt idx="17">
                  <c:v>3769.58</c:v>
                </c:pt>
                <c:pt idx="18">
                  <c:v>2917.21</c:v>
                </c:pt>
                <c:pt idx="19">
                  <c:v>3522.69</c:v>
                </c:pt>
                <c:pt idx="20">
                  <c:v>3557.98</c:v>
                </c:pt>
                <c:pt idx="21">
                  <c:v>3087.33</c:v>
                </c:pt>
                <c:pt idx="22">
                  <c:v>3133.52</c:v>
                </c:pt>
                <c:pt idx="23">
                  <c:v>3743.04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556420"/>
        <c:axId val="56894587"/>
      </c:lineChart>
      <c:catAx>
        <c:axId val="955564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94587"/>
        <c:crosses val="autoZero"/>
        <c:auto val="1"/>
        <c:lblAlgn val="ctr"/>
        <c:lblOffset val="100"/>
        <c:noMultiLvlLbl val="0"/>
      </c:catAx>
      <c:valAx>
        <c:axId val="568945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564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_series_3!$B$6:$Y$6</c:f>
              <c:numCache>
                <c:formatCode>General</c:formatCode>
                <c:ptCount val="24"/>
                <c:pt idx="0">
                  <c:v>643.79</c:v>
                </c:pt>
                <c:pt idx="1">
                  <c:v>476.53</c:v>
                </c:pt>
                <c:pt idx="2">
                  <c:v>592.3</c:v>
                </c:pt>
                <c:pt idx="3">
                  <c:v>631.06</c:v>
                </c:pt>
                <c:pt idx="4">
                  <c:v>457.49</c:v>
                </c:pt>
                <c:pt idx="5">
                  <c:v>578.16</c:v>
                </c:pt>
                <c:pt idx="6">
                  <c:v>596.33</c:v>
                </c:pt>
                <c:pt idx="7">
                  <c:v>602.79</c:v>
                </c:pt>
                <c:pt idx="8">
                  <c:v>791.23</c:v>
                </c:pt>
                <c:pt idx="9">
                  <c:v>624.49</c:v>
                </c:pt>
                <c:pt idx="10">
                  <c:v>601.33</c:v>
                </c:pt>
                <c:pt idx="11">
                  <c:v>711.31</c:v>
                </c:pt>
                <c:pt idx="12">
                  <c:v>738.16</c:v>
                </c:pt>
                <c:pt idx="13">
                  <c:v>605.43</c:v>
                </c:pt>
                <c:pt idx="14">
                  <c:v>803.47</c:v>
                </c:pt>
                <c:pt idx="15">
                  <c:v>816.36</c:v>
                </c:pt>
                <c:pt idx="16">
                  <c:v>572.69</c:v>
                </c:pt>
                <c:pt idx="17">
                  <c:v>690.5</c:v>
                </c:pt>
                <c:pt idx="18">
                  <c:v>712.22</c:v>
                </c:pt>
                <c:pt idx="19">
                  <c:v>695.09</c:v>
                </c:pt>
                <c:pt idx="20">
                  <c:v>791.23</c:v>
                </c:pt>
                <c:pt idx="21">
                  <c:v>741.17</c:v>
                </c:pt>
                <c:pt idx="22">
                  <c:v>782.58</c:v>
                </c:pt>
                <c:pt idx="23">
                  <c:v>755.25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255571"/>
        <c:axId val="17068634"/>
      </c:lineChart>
      <c:catAx>
        <c:axId val="722555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68634"/>
        <c:crosses val="autoZero"/>
        <c:auto val="1"/>
        <c:lblAlgn val="ctr"/>
        <c:lblOffset val="100"/>
        <c:noMultiLvlLbl val="0"/>
      </c:catAx>
      <c:valAx>
        <c:axId val="170686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55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_series_3!$B$7:$Y$7</c:f>
              <c:numCache>
                <c:formatCode>General</c:formatCode>
                <c:ptCount val="24"/>
                <c:pt idx="0">
                  <c:v>632.44</c:v>
                </c:pt>
                <c:pt idx="1">
                  <c:v>592.69</c:v>
                </c:pt>
                <c:pt idx="2">
                  <c:v>610.04</c:v>
                </c:pt>
                <c:pt idx="3">
                  <c:v>632.66</c:v>
                </c:pt>
                <c:pt idx="4">
                  <c:v>637.18</c:v>
                </c:pt>
                <c:pt idx="5">
                  <c:v>207.37</c:v>
                </c:pt>
                <c:pt idx="6">
                  <c:v>706.19</c:v>
                </c:pt>
                <c:pt idx="7">
                  <c:v>645.52</c:v>
                </c:pt>
                <c:pt idx="8">
                  <c:v>899.33</c:v>
                </c:pt>
                <c:pt idx="9">
                  <c:v>591.1</c:v>
                </c:pt>
                <c:pt idx="10">
                  <c:v>643.89</c:v>
                </c:pt>
                <c:pt idx="11">
                  <c:v>696.92</c:v>
                </c:pt>
                <c:pt idx="12">
                  <c:v>731.73</c:v>
                </c:pt>
                <c:pt idx="13">
                  <c:v>688.65</c:v>
                </c:pt>
                <c:pt idx="14">
                  <c:v>794.97</c:v>
                </c:pt>
                <c:pt idx="15">
                  <c:v>824.16</c:v>
                </c:pt>
                <c:pt idx="16">
                  <c:v>684.8</c:v>
                </c:pt>
                <c:pt idx="17">
                  <c:v>331.28</c:v>
                </c:pt>
                <c:pt idx="18">
                  <c:v>819.21</c:v>
                </c:pt>
                <c:pt idx="19">
                  <c:v>753.83</c:v>
                </c:pt>
                <c:pt idx="20">
                  <c:v>1018.62</c:v>
                </c:pt>
                <c:pt idx="21">
                  <c:v>685.61</c:v>
                </c:pt>
                <c:pt idx="22">
                  <c:v>741.79</c:v>
                </c:pt>
                <c:pt idx="23">
                  <c:v>789.76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041721"/>
        <c:axId val="84734676"/>
      </c:lineChart>
      <c:catAx>
        <c:axId val="610417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34676"/>
        <c:crosses val="autoZero"/>
        <c:auto val="1"/>
        <c:lblAlgn val="ctr"/>
        <c:lblOffset val="100"/>
        <c:noMultiLvlLbl val="0"/>
      </c:catAx>
      <c:valAx>
        <c:axId val="847346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417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_series_3!$B$8:$Y$8</c:f>
              <c:numCache>
                <c:formatCode>General</c:formatCode>
                <c:ptCount val="24"/>
                <c:pt idx="0">
                  <c:v>524.5</c:v>
                </c:pt>
                <c:pt idx="1">
                  <c:v>166.78</c:v>
                </c:pt>
                <c:pt idx="2">
                  <c:v>444.46</c:v>
                </c:pt>
                <c:pt idx="3">
                  <c:v>345.59</c:v>
                </c:pt>
                <c:pt idx="4">
                  <c:v>0</c:v>
                </c:pt>
                <c:pt idx="5">
                  <c:v>233.91</c:v>
                </c:pt>
                <c:pt idx="6">
                  <c:v>294.11</c:v>
                </c:pt>
                <c:pt idx="7">
                  <c:v>270.48</c:v>
                </c:pt>
                <c:pt idx="8">
                  <c:v>383.23</c:v>
                </c:pt>
                <c:pt idx="9">
                  <c:v>290.33</c:v>
                </c:pt>
                <c:pt idx="10">
                  <c:v>336.88</c:v>
                </c:pt>
                <c:pt idx="11">
                  <c:v>502.61</c:v>
                </c:pt>
                <c:pt idx="12">
                  <c:v>634.9</c:v>
                </c:pt>
                <c:pt idx="13">
                  <c:v>239.55</c:v>
                </c:pt>
                <c:pt idx="14">
                  <c:v>628.5</c:v>
                </c:pt>
                <c:pt idx="15">
                  <c:v>440.92</c:v>
                </c:pt>
                <c:pt idx="16">
                  <c:v>411.49</c:v>
                </c:pt>
                <c:pt idx="17">
                  <c:v>407.39</c:v>
                </c:pt>
                <c:pt idx="18">
                  <c:v>420.96</c:v>
                </c:pt>
                <c:pt idx="19">
                  <c:v>391.83</c:v>
                </c:pt>
                <c:pt idx="20">
                  <c:v>427.24</c:v>
                </c:pt>
                <c:pt idx="21">
                  <c:v>354.48</c:v>
                </c:pt>
                <c:pt idx="22">
                  <c:v>412.63</c:v>
                </c:pt>
                <c:pt idx="23">
                  <c:v>593.22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899638"/>
        <c:axId val="81167494"/>
      </c:lineChart>
      <c:catAx>
        <c:axId val="2189963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67494"/>
        <c:crosses val="autoZero"/>
        <c:auto val="1"/>
        <c:lblAlgn val="ctr"/>
        <c:lblOffset val="100"/>
        <c:noMultiLvlLbl val="0"/>
      </c:catAx>
      <c:valAx>
        <c:axId val="811674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996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_series_3!$B$9:$Y$9</c:f>
              <c:numCache>
                <c:formatCode>General</c:formatCode>
                <c:ptCount val="24"/>
                <c:pt idx="0">
                  <c:v>4475.16</c:v>
                </c:pt>
                <c:pt idx="1">
                  <c:v>4612.54</c:v>
                </c:pt>
                <c:pt idx="2">
                  <c:v>3701.38</c:v>
                </c:pt>
                <c:pt idx="3">
                  <c:v>4561.47</c:v>
                </c:pt>
                <c:pt idx="4">
                  <c:v>3334.09</c:v>
                </c:pt>
                <c:pt idx="5">
                  <c:v>3216.6</c:v>
                </c:pt>
                <c:pt idx="6">
                  <c:v>2924.41</c:v>
                </c:pt>
                <c:pt idx="7">
                  <c:v>2743.54</c:v>
                </c:pt>
                <c:pt idx="8">
                  <c:v>3702.5</c:v>
                </c:pt>
                <c:pt idx="9">
                  <c:v>3817.43</c:v>
                </c:pt>
                <c:pt idx="10">
                  <c:v>3300.04</c:v>
                </c:pt>
                <c:pt idx="11">
                  <c:v>2798.1</c:v>
                </c:pt>
                <c:pt idx="12">
                  <c:v>3784.48</c:v>
                </c:pt>
                <c:pt idx="13">
                  <c:v>3716.14</c:v>
                </c:pt>
                <c:pt idx="14">
                  <c:v>3334.45</c:v>
                </c:pt>
                <c:pt idx="15">
                  <c:v>3275.16</c:v>
                </c:pt>
                <c:pt idx="16">
                  <c:v>3190.07</c:v>
                </c:pt>
                <c:pt idx="17">
                  <c:v>2956.24</c:v>
                </c:pt>
                <c:pt idx="18">
                  <c:v>2736.06</c:v>
                </c:pt>
                <c:pt idx="19">
                  <c:v>2890.35</c:v>
                </c:pt>
                <c:pt idx="20">
                  <c:v>3365.79</c:v>
                </c:pt>
                <c:pt idx="21">
                  <c:v>2721.04</c:v>
                </c:pt>
                <c:pt idx="22">
                  <c:v>2640.22</c:v>
                </c:pt>
                <c:pt idx="23">
                  <c:v>3260.09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53933"/>
        <c:axId val="29788004"/>
      </c:lineChart>
      <c:catAx>
        <c:axId val="20539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88004"/>
        <c:crosses val="autoZero"/>
        <c:auto val="1"/>
        <c:lblAlgn val="ctr"/>
        <c:lblOffset val="100"/>
        <c:noMultiLvlLbl val="0"/>
      </c:catAx>
      <c:valAx>
        <c:axId val="297880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3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_series_3!$B$10:$Y$10</c:f>
              <c:numCache>
                <c:formatCode>General</c:formatCode>
                <c:ptCount val="24"/>
                <c:pt idx="0">
                  <c:v>151.82</c:v>
                </c:pt>
                <c:pt idx="1">
                  <c:v>199.06</c:v>
                </c:pt>
                <c:pt idx="2">
                  <c:v>183.84</c:v>
                </c:pt>
                <c:pt idx="3">
                  <c:v>178.12</c:v>
                </c:pt>
                <c:pt idx="4">
                  <c:v>184.03</c:v>
                </c:pt>
                <c:pt idx="5">
                  <c:v>163.02</c:v>
                </c:pt>
                <c:pt idx="6">
                  <c:v>136.55</c:v>
                </c:pt>
                <c:pt idx="7">
                  <c:v>104.41</c:v>
                </c:pt>
                <c:pt idx="8">
                  <c:v>98.7</c:v>
                </c:pt>
                <c:pt idx="9">
                  <c:v>40.05</c:v>
                </c:pt>
                <c:pt idx="10">
                  <c:v>67.35</c:v>
                </c:pt>
                <c:pt idx="11">
                  <c:v>65.71</c:v>
                </c:pt>
                <c:pt idx="12">
                  <c:v>361.06</c:v>
                </c:pt>
                <c:pt idx="13">
                  <c:v>201.13</c:v>
                </c:pt>
                <c:pt idx="14">
                  <c:v>85.6</c:v>
                </c:pt>
                <c:pt idx="15">
                  <c:v>63.93</c:v>
                </c:pt>
                <c:pt idx="16">
                  <c:v>60.72</c:v>
                </c:pt>
                <c:pt idx="17">
                  <c:v>51.57</c:v>
                </c:pt>
                <c:pt idx="18">
                  <c:v>43.55</c:v>
                </c:pt>
                <c:pt idx="19">
                  <c:v>40.37</c:v>
                </c:pt>
                <c:pt idx="20">
                  <c:v>82.31</c:v>
                </c:pt>
                <c:pt idx="21">
                  <c:v>38.53</c:v>
                </c:pt>
                <c:pt idx="22">
                  <c:v>39.81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224042"/>
        <c:axId val="87556850"/>
      </c:lineChart>
      <c:catAx>
        <c:axId val="342240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56850"/>
        <c:crosses val="autoZero"/>
        <c:auto val="1"/>
        <c:lblAlgn val="ctr"/>
        <c:lblOffset val="100"/>
        <c:noMultiLvlLbl val="0"/>
      </c:catAx>
      <c:valAx>
        <c:axId val="875568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24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_series_3!$B$11:$Y$11</c:f>
              <c:numCache>
                <c:formatCode>General</c:formatCode>
                <c:ptCount val="24"/>
                <c:pt idx="0">
                  <c:v>1167.19</c:v>
                </c:pt>
                <c:pt idx="1">
                  <c:v>1131.86</c:v>
                </c:pt>
                <c:pt idx="2">
                  <c:v>610.86</c:v>
                </c:pt>
                <c:pt idx="3">
                  <c:v>553.94</c:v>
                </c:pt>
                <c:pt idx="4">
                  <c:v>544.65</c:v>
                </c:pt>
                <c:pt idx="5">
                  <c:v>727.09</c:v>
                </c:pt>
                <c:pt idx="6">
                  <c:v>952.35</c:v>
                </c:pt>
                <c:pt idx="7">
                  <c:v>581.27</c:v>
                </c:pt>
                <c:pt idx="8">
                  <c:v>746.2</c:v>
                </c:pt>
                <c:pt idx="9">
                  <c:v>543.77</c:v>
                </c:pt>
                <c:pt idx="10">
                  <c:v>442.06</c:v>
                </c:pt>
                <c:pt idx="11">
                  <c:v>643.81</c:v>
                </c:pt>
                <c:pt idx="12">
                  <c:v>881.89</c:v>
                </c:pt>
                <c:pt idx="13">
                  <c:v>963.15</c:v>
                </c:pt>
                <c:pt idx="14">
                  <c:v>800.92</c:v>
                </c:pt>
                <c:pt idx="15">
                  <c:v>588.39</c:v>
                </c:pt>
                <c:pt idx="16">
                  <c:v>478.95</c:v>
                </c:pt>
                <c:pt idx="17">
                  <c:v>812.61</c:v>
                </c:pt>
                <c:pt idx="18">
                  <c:v>783.67</c:v>
                </c:pt>
                <c:pt idx="19">
                  <c:v>595.95</c:v>
                </c:pt>
                <c:pt idx="20">
                  <c:v>634.87</c:v>
                </c:pt>
                <c:pt idx="21">
                  <c:v>433.2</c:v>
                </c:pt>
                <c:pt idx="22">
                  <c:v>544.11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758329"/>
        <c:axId val="21168417"/>
      </c:lineChart>
      <c:catAx>
        <c:axId val="957583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68417"/>
        <c:crosses val="autoZero"/>
        <c:auto val="1"/>
        <c:lblAlgn val="ctr"/>
        <c:lblOffset val="100"/>
        <c:noMultiLvlLbl val="0"/>
      </c:catAx>
      <c:valAx>
        <c:axId val="211684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583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_series_3!$B$12:$Y$12</c:f>
              <c:numCache>
                <c:formatCode>General</c:formatCode>
                <c:ptCount val="24"/>
                <c:pt idx="0">
                  <c:v>128.85</c:v>
                </c:pt>
                <c:pt idx="1">
                  <c:v>119.74</c:v>
                </c:pt>
                <c:pt idx="2">
                  <c:v>120.37</c:v>
                </c:pt>
                <c:pt idx="3">
                  <c:v>126</c:v>
                </c:pt>
                <c:pt idx="4">
                  <c:v>121.75</c:v>
                </c:pt>
                <c:pt idx="5">
                  <c:v>129.12</c:v>
                </c:pt>
                <c:pt idx="6">
                  <c:v>118.2</c:v>
                </c:pt>
                <c:pt idx="7">
                  <c:v>116.61</c:v>
                </c:pt>
                <c:pt idx="8">
                  <c:v>118.21</c:v>
                </c:pt>
                <c:pt idx="9">
                  <c:v>118.11</c:v>
                </c:pt>
                <c:pt idx="10">
                  <c:v>120.31</c:v>
                </c:pt>
                <c:pt idx="11">
                  <c:v>110.46</c:v>
                </c:pt>
                <c:pt idx="12">
                  <c:v>126.3</c:v>
                </c:pt>
                <c:pt idx="13">
                  <c:v>120.84</c:v>
                </c:pt>
                <c:pt idx="14">
                  <c:v>118.41</c:v>
                </c:pt>
                <c:pt idx="15">
                  <c:v>110.34</c:v>
                </c:pt>
                <c:pt idx="16">
                  <c:v>143.28</c:v>
                </c:pt>
                <c:pt idx="17">
                  <c:v>123.63</c:v>
                </c:pt>
                <c:pt idx="18">
                  <c:v>117.54</c:v>
                </c:pt>
                <c:pt idx="19">
                  <c:v>119.84</c:v>
                </c:pt>
                <c:pt idx="20">
                  <c:v>122.01</c:v>
                </c:pt>
                <c:pt idx="21">
                  <c:v>115.84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879340"/>
        <c:axId val="45558014"/>
      </c:lineChart>
      <c:catAx>
        <c:axId val="688793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58014"/>
        <c:crosses val="autoZero"/>
        <c:auto val="1"/>
        <c:lblAlgn val="ctr"/>
        <c:lblOffset val="100"/>
        <c:noMultiLvlLbl val="0"/>
      </c:catAx>
      <c:valAx>
        <c:axId val="455580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793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_series_3!$B$13:$Y$13</c:f>
              <c:numCache>
                <c:formatCode>General</c:formatCode>
                <c:ptCount val="24"/>
                <c:pt idx="0">
                  <c:v>1506.8</c:v>
                </c:pt>
                <c:pt idx="1">
                  <c:v>1792.99</c:v>
                </c:pt>
                <c:pt idx="2">
                  <c:v>833.07</c:v>
                </c:pt>
                <c:pt idx="3">
                  <c:v>766.01</c:v>
                </c:pt>
                <c:pt idx="4">
                  <c:v>194.02</c:v>
                </c:pt>
                <c:pt idx="5">
                  <c:v>665.19</c:v>
                </c:pt>
                <c:pt idx="6">
                  <c:v>676.36</c:v>
                </c:pt>
                <c:pt idx="7">
                  <c:v>603.95</c:v>
                </c:pt>
                <c:pt idx="8">
                  <c:v>730.96</c:v>
                </c:pt>
                <c:pt idx="9">
                  <c:v>678.97</c:v>
                </c:pt>
                <c:pt idx="10">
                  <c:v>774.09</c:v>
                </c:pt>
                <c:pt idx="11">
                  <c:v>774.72</c:v>
                </c:pt>
                <c:pt idx="12">
                  <c:v>1594.97</c:v>
                </c:pt>
                <c:pt idx="13">
                  <c:v>1863.52</c:v>
                </c:pt>
                <c:pt idx="14">
                  <c:v>1379.87</c:v>
                </c:pt>
                <c:pt idx="15">
                  <c:v>902.28</c:v>
                </c:pt>
                <c:pt idx="16">
                  <c:v>243.48</c:v>
                </c:pt>
                <c:pt idx="17">
                  <c:v>790.46</c:v>
                </c:pt>
                <c:pt idx="18">
                  <c:v>762.17</c:v>
                </c:pt>
                <c:pt idx="19">
                  <c:v>615.97</c:v>
                </c:pt>
                <c:pt idx="20">
                  <c:v>542.6</c:v>
                </c:pt>
                <c:pt idx="21">
                  <c:v>641.56</c:v>
                </c:pt>
                <c:pt idx="22">
                  <c:v>747.69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859483"/>
        <c:axId val="84555638"/>
      </c:lineChart>
      <c:catAx>
        <c:axId val="6385948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55638"/>
        <c:crosses val="autoZero"/>
        <c:auto val="1"/>
        <c:lblAlgn val="ctr"/>
        <c:lblOffset val="100"/>
        <c:noMultiLvlLbl val="0"/>
      </c:catAx>
      <c:valAx>
        <c:axId val="845556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59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_series_3!$B$14:$Y$14</c:f>
              <c:numCache>
                <c:formatCode>General</c:formatCode>
                <c:ptCount val="24"/>
                <c:pt idx="0">
                  <c:v>693.23</c:v>
                </c:pt>
                <c:pt idx="1">
                  <c:v>552.9</c:v>
                </c:pt>
                <c:pt idx="2">
                  <c:v>433.72</c:v>
                </c:pt>
                <c:pt idx="3">
                  <c:v>362.57</c:v>
                </c:pt>
                <c:pt idx="4">
                  <c:v>340.99</c:v>
                </c:pt>
                <c:pt idx="5">
                  <c:v>389.79</c:v>
                </c:pt>
                <c:pt idx="6">
                  <c:v>446.52</c:v>
                </c:pt>
                <c:pt idx="7">
                  <c:v>418.69</c:v>
                </c:pt>
                <c:pt idx="8">
                  <c:v>387.06</c:v>
                </c:pt>
                <c:pt idx="9">
                  <c:v>287.84</c:v>
                </c:pt>
                <c:pt idx="10">
                  <c:v>309.28</c:v>
                </c:pt>
                <c:pt idx="11">
                  <c:v>360.8</c:v>
                </c:pt>
                <c:pt idx="12">
                  <c:v>523.09</c:v>
                </c:pt>
                <c:pt idx="13">
                  <c:v>475.61</c:v>
                </c:pt>
                <c:pt idx="14">
                  <c:v>414.61</c:v>
                </c:pt>
                <c:pt idx="15">
                  <c:v>335.53</c:v>
                </c:pt>
                <c:pt idx="16">
                  <c:v>354.84</c:v>
                </c:pt>
                <c:pt idx="17">
                  <c:v>421.51</c:v>
                </c:pt>
                <c:pt idx="18">
                  <c:v>502.41</c:v>
                </c:pt>
                <c:pt idx="19">
                  <c:v>454.39</c:v>
                </c:pt>
                <c:pt idx="20">
                  <c:v>353.18</c:v>
                </c:pt>
                <c:pt idx="21">
                  <c:v>161.47</c:v>
                </c:pt>
                <c:pt idx="22">
                  <c:v>302.84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476005"/>
        <c:axId val="31608333"/>
      </c:lineChart>
      <c:catAx>
        <c:axId val="9647600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08333"/>
        <c:crosses val="autoZero"/>
        <c:auto val="1"/>
        <c:lblAlgn val="ctr"/>
        <c:lblOffset val="100"/>
        <c:noMultiLvlLbl val="0"/>
      </c:catAx>
      <c:valAx>
        <c:axId val="316083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760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_series_3!$B$15:$Y$15</c:f>
              <c:numCache>
                <c:formatCode>General</c:formatCode>
                <c:ptCount val="24"/>
                <c:pt idx="0">
                  <c:v>153.99</c:v>
                </c:pt>
                <c:pt idx="1">
                  <c:v>163.34</c:v>
                </c:pt>
                <c:pt idx="2">
                  <c:v>87.39</c:v>
                </c:pt>
                <c:pt idx="3">
                  <c:v>84.32</c:v>
                </c:pt>
                <c:pt idx="4">
                  <c:v>56.29</c:v>
                </c:pt>
                <c:pt idx="5">
                  <c:v>72.5</c:v>
                </c:pt>
                <c:pt idx="6">
                  <c:v>86.78</c:v>
                </c:pt>
                <c:pt idx="7">
                  <c:v>75.95</c:v>
                </c:pt>
                <c:pt idx="8">
                  <c:v>62.51</c:v>
                </c:pt>
                <c:pt idx="9">
                  <c:v>89.8</c:v>
                </c:pt>
                <c:pt idx="10">
                  <c:v>102.08</c:v>
                </c:pt>
                <c:pt idx="11">
                  <c:v>160.63</c:v>
                </c:pt>
                <c:pt idx="12">
                  <c:v>240.96</c:v>
                </c:pt>
                <c:pt idx="13">
                  <c:v>176.31</c:v>
                </c:pt>
                <c:pt idx="14">
                  <c:v>154.65</c:v>
                </c:pt>
                <c:pt idx="15">
                  <c:v>105.42</c:v>
                </c:pt>
                <c:pt idx="16">
                  <c:v>106.51</c:v>
                </c:pt>
                <c:pt idx="17">
                  <c:v>147.06</c:v>
                </c:pt>
                <c:pt idx="18">
                  <c:v>201.1</c:v>
                </c:pt>
                <c:pt idx="19">
                  <c:v>180.88</c:v>
                </c:pt>
                <c:pt idx="20">
                  <c:v>134.57</c:v>
                </c:pt>
                <c:pt idx="21">
                  <c:v>119.32</c:v>
                </c:pt>
                <c:pt idx="22">
                  <c:v>107.6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604252"/>
        <c:axId val="56582496"/>
      </c:lineChart>
      <c:catAx>
        <c:axId val="146042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82496"/>
        <c:crosses val="autoZero"/>
        <c:auto val="1"/>
        <c:lblAlgn val="ctr"/>
        <c:lblOffset val="100"/>
        <c:noMultiLvlLbl val="0"/>
      </c:catAx>
      <c:valAx>
        <c:axId val="565824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04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_series_3!$B$16:$Y$16</c:f>
              <c:numCache>
                <c:formatCode>General</c:formatCode>
                <c:ptCount val="24"/>
                <c:pt idx="0">
                  <c:v>603.54</c:v>
                </c:pt>
                <c:pt idx="1">
                  <c:v>655.43</c:v>
                </c:pt>
                <c:pt idx="2">
                  <c:v>506.31</c:v>
                </c:pt>
                <c:pt idx="3">
                  <c:v>465.23</c:v>
                </c:pt>
                <c:pt idx="4">
                  <c:v>409.29</c:v>
                </c:pt>
                <c:pt idx="5">
                  <c:v>548.46</c:v>
                </c:pt>
                <c:pt idx="6">
                  <c:v>492.1</c:v>
                </c:pt>
                <c:pt idx="7">
                  <c:v>491.6</c:v>
                </c:pt>
                <c:pt idx="8">
                  <c:v>623.9</c:v>
                </c:pt>
                <c:pt idx="9">
                  <c:v>695.32</c:v>
                </c:pt>
                <c:pt idx="10">
                  <c:v>685.39</c:v>
                </c:pt>
                <c:pt idx="11">
                  <c:v>604.64</c:v>
                </c:pt>
                <c:pt idx="12">
                  <c:v>607.41</c:v>
                </c:pt>
                <c:pt idx="13">
                  <c:v>743.97</c:v>
                </c:pt>
                <c:pt idx="14">
                  <c:v>563.07</c:v>
                </c:pt>
                <c:pt idx="15">
                  <c:v>543.73</c:v>
                </c:pt>
                <c:pt idx="16">
                  <c:v>537.26</c:v>
                </c:pt>
                <c:pt idx="17">
                  <c:v>451.19</c:v>
                </c:pt>
                <c:pt idx="18">
                  <c:v>441.06</c:v>
                </c:pt>
                <c:pt idx="19">
                  <c:v>574.27</c:v>
                </c:pt>
                <c:pt idx="20">
                  <c:v>531.25</c:v>
                </c:pt>
                <c:pt idx="21">
                  <c:v>552.85</c:v>
                </c:pt>
                <c:pt idx="22">
                  <c:v>562.65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115415"/>
        <c:axId val="79782343"/>
      </c:lineChart>
      <c:catAx>
        <c:axId val="7211541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82343"/>
        <c:crosses val="autoZero"/>
        <c:auto val="1"/>
        <c:lblAlgn val="ctr"/>
        <c:lblOffset val="100"/>
        <c:noMultiLvlLbl val="0"/>
      </c:catAx>
      <c:valAx>
        <c:axId val="797823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15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_series_3!$B$17:$Y$17</c:f>
              <c:numCache>
                <c:formatCode>General</c:formatCode>
                <c:ptCount val="24"/>
                <c:pt idx="0">
                  <c:v>151.82</c:v>
                </c:pt>
                <c:pt idx="1">
                  <c:v>199.06</c:v>
                </c:pt>
                <c:pt idx="2">
                  <c:v>183.84</c:v>
                </c:pt>
                <c:pt idx="3">
                  <c:v>178.12</c:v>
                </c:pt>
                <c:pt idx="4">
                  <c:v>184.03</c:v>
                </c:pt>
                <c:pt idx="5">
                  <c:v>163.02</c:v>
                </c:pt>
                <c:pt idx="6">
                  <c:v>136.55</c:v>
                </c:pt>
                <c:pt idx="7">
                  <c:v>104.41</c:v>
                </c:pt>
                <c:pt idx="8">
                  <c:v>98.7</c:v>
                </c:pt>
                <c:pt idx="9">
                  <c:v>40.05</c:v>
                </c:pt>
                <c:pt idx="10">
                  <c:v>67.35</c:v>
                </c:pt>
                <c:pt idx="11">
                  <c:v>65.71</c:v>
                </c:pt>
                <c:pt idx="12">
                  <c:v>361.06</c:v>
                </c:pt>
                <c:pt idx="13">
                  <c:v>201.13</c:v>
                </c:pt>
                <c:pt idx="14">
                  <c:v>85.6</c:v>
                </c:pt>
                <c:pt idx="15">
                  <c:v>63.93</c:v>
                </c:pt>
                <c:pt idx="16">
                  <c:v>60.72</c:v>
                </c:pt>
                <c:pt idx="17">
                  <c:v>51.57</c:v>
                </c:pt>
                <c:pt idx="18">
                  <c:v>43.55</c:v>
                </c:pt>
                <c:pt idx="19">
                  <c:v>40.37</c:v>
                </c:pt>
                <c:pt idx="20">
                  <c:v>82.31</c:v>
                </c:pt>
                <c:pt idx="21">
                  <c:v>38.53</c:v>
                </c:pt>
                <c:pt idx="22">
                  <c:v>39.81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666765"/>
        <c:axId val="83803427"/>
      </c:lineChart>
      <c:catAx>
        <c:axId val="496667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03427"/>
        <c:crosses val="autoZero"/>
        <c:auto val="1"/>
        <c:lblAlgn val="ctr"/>
        <c:lblOffset val="100"/>
        <c:noMultiLvlLbl val="0"/>
      </c:catAx>
      <c:valAx>
        <c:axId val="83803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66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_series_3!$B$18:$Y$18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262.87</c:v>
                </c:pt>
                <c:pt idx="5">
                  <c:v>272.44</c:v>
                </c:pt>
                <c:pt idx="6">
                  <c:v>322.45</c:v>
                </c:pt>
                <c:pt idx="7">
                  <c:v>279.82</c:v>
                </c:pt>
                <c:pt idx="8">
                  <c:v>300.62</c:v>
                </c:pt>
                <c:pt idx="9">
                  <c:v>288.22</c:v>
                </c:pt>
                <c:pt idx="10">
                  <c:v>286.46</c:v>
                </c:pt>
                <c:pt idx="11">
                  <c:v>299.16</c:v>
                </c:pt>
                <c:pt idx="12">
                  <c:v>319.89</c:v>
                </c:pt>
                <c:pt idx="13">
                  <c:v>367.14</c:v>
                </c:pt>
                <c:pt idx="14">
                  <c:v>403.18</c:v>
                </c:pt>
                <c:pt idx="15">
                  <c:v>340.89</c:v>
                </c:pt>
                <c:pt idx="16">
                  <c:v>356.84</c:v>
                </c:pt>
                <c:pt idx="17">
                  <c:v>348.94</c:v>
                </c:pt>
                <c:pt idx="18">
                  <c:v>345.34</c:v>
                </c:pt>
                <c:pt idx="19">
                  <c:v>292.46</c:v>
                </c:pt>
                <c:pt idx="20">
                  <c:v>297.24</c:v>
                </c:pt>
                <c:pt idx="21">
                  <c:v>246.51</c:v>
                </c:pt>
                <c:pt idx="22">
                  <c:v>267.24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728918"/>
        <c:axId val="26026265"/>
      </c:lineChart>
      <c:catAx>
        <c:axId val="407289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26265"/>
        <c:crosses val="autoZero"/>
        <c:auto val="1"/>
        <c:lblAlgn val="ctr"/>
        <c:lblOffset val="100"/>
        <c:noMultiLvlLbl val="0"/>
      </c:catAx>
      <c:valAx>
        <c:axId val="260262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28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_series_3!$B$19:$Y$19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52.43</c:v>
                </c:pt>
                <c:pt idx="9">
                  <c:v>0</c:v>
                </c:pt>
                <c:pt idx="10">
                  <c:v>138.43</c:v>
                </c:pt>
                <c:pt idx="11">
                  <c:v>311.64</c:v>
                </c:pt>
                <c:pt idx="12">
                  <c:v>556.61</c:v>
                </c:pt>
                <c:pt idx="13">
                  <c:v>757.4</c:v>
                </c:pt>
                <c:pt idx="14">
                  <c:v>410.48</c:v>
                </c:pt>
                <c:pt idx="15">
                  <c:v>353.17</c:v>
                </c:pt>
                <c:pt idx="16">
                  <c:v>352.08</c:v>
                </c:pt>
                <c:pt idx="17">
                  <c:v>375.43</c:v>
                </c:pt>
                <c:pt idx="18">
                  <c:v>373</c:v>
                </c:pt>
                <c:pt idx="19">
                  <c:v>233.07</c:v>
                </c:pt>
                <c:pt idx="20">
                  <c:v>257.63</c:v>
                </c:pt>
                <c:pt idx="21">
                  <c:v>219.48</c:v>
                </c:pt>
                <c:pt idx="22">
                  <c:v>351.08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892412"/>
        <c:axId val="82085645"/>
      </c:lineChart>
      <c:catAx>
        <c:axId val="228924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85645"/>
        <c:crosses val="autoZero"/>
        <c:auto val="1"/>
        <c:lblAlgn val="ctr"/>
        <c:lblOffset val="100"/>
        <c:noMultiLvlLbl val="0"/>
      </c:catAx>
      <c:valAx>
        <c:axId val="820856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924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_series_3!$B$20:$Y$20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290.76</c:v>
                </c:pt>
                <c:pt idx="16">
                  <c:v>292.51</c:v>
                </c:pt>
                <c:pt idx="17">
                  <c:v>370.75</c:v>
                </c:pt>
                <c:pt idx="18">
                  <c:v>527.61</c:v>
                </c:pt>
                <c:pt idx="19">
                  <c:v>407.96</c:v>
                </c:pt>
                <c:pt idx="20">
                  <c:v>350.57</c:v>
                </c:pt>
                <c:pt idx="21">
                  <c:v>256.73</c:v>
                </c:pt>
                <c:pt idx="22">
                  <c:v>259.84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885920"/>
        <c:axId val="81949583"/>
      </c:lineChart>
      <c:catAx>
        <c:axId val="17885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49583"/>
        <c:crosses val="autoZero"/>
        <c:auto val="1"/>
        <c:lblAlgn val="ctr"/>
        <c:lblOffset val="100"/>
        <c:noMultiLvlLbl val="0"/>
      </c:catAx>
      <c:valAx>
        <c:axId val="819495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859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_series_3!$B$21:$Y$21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713.4</c:v>
                </c:pt>
                <c:pt idx="20">
                  <c:v>890.51</c:v>
                </c:pt>
                <c:pt idx="21">
                  <c:v>1016.59</c:v>
                </c:pt>
                <c:pt idx="22">
                  <c:v>1223.71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462017"/>
        <c:axId val="51592360"/>
      </c:lineChart>
      <c:catAx>
        <c:axId val="634620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92360"/>
        <c:crosses val="autoZero"/>
        <c:auto val="1"/>
        <c:lblAlgn val="ctr"/>
        <c:lblOffset val="100"/>
        <c:noMultiLvlLbl val="0"/>
      </c:catAx>
      <c:valAx>
        <c:axId val="515923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620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_series_3!$B$22:$Y$22</c:f>
              <c:numCache>
                <c:formatCode>General</c:formatCode>
                <c:ptCount val="24"/>
                <c:pt idx="0">
                  <c:v>1586.36</c:v>
                </c:pt>
                <c:pt idx="1">
                  <c:v>1774.61</c:v>
                </c:pt>
                <c:pt idx="2">
                  <c:v>1038.58</c:v>
                </c:pt>
                <c:pt idx="3">
                  <c:v>830.95</c:v>
                </c:pt>
                <c:pt idx="4">
                  <c:v>967.97</c:v>
                </c:pt>
                <c:pt idx="5">
                  <c:v>983.43</c:v>
                </c:pt>
                <c:pt idx="6">
                  <c:v>1124.12</c:v>
                </c:pt>
                <c:pt idx="7">
                  <c:v>888.12</c:v>
                </c:pt>
                <c:pt idx="8">
                  <c:v>897.79</c:v>
                </c:pt>
                <c:pt idx="9">
                  <c:v>1150.89</c:v>
                </c:pt>
                <c:pt idx="10">
                  <c:v>1197.48</c:v>
                </c:pt>
                <c:pt idx="11">
                  <c:v>1168.12</c:v>
                </c:pt>
                <c:pt idx="12">
                  <c:v>1373.89</c:v>
                </c:pt>
                <c:pt idx="13">
                  <c:v>1831.06</c:v>
                </c:pt>
                <c:pt idx="14">
                  <c:v>1409.07</c:v>
                </c:pt>
                <c:pt idx="15">
                  <c:v>987.45</c:v>
                </c:pt>
                <c:pt idx="16">
                  <c:v>669.16</c:v>
                </c:pt>
                <c:pt idx="17">
                  <c:v>663.77</c:v>
                </c:pt>
                <c:pt idx="18">
                  <c:v>576.33</c:v>
                </c:pt>
                <c:pt idx="19">
                  <c:v>938.81</c:v>
                </c:pt>
                <c:pt idx="20">
                  <c:v>734.17</c:v>
                </c:pt>
                <c:pt idx="21">
                  <c:v>1087.64</c:v>
                </c:pt>
                <c:pt idx="22">
                  <c:v>1113.9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372624"/>
        <c:axId val="19144570"/>
      </c:lineChart>
      <c:catAx>
        <c:axId val="25372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44570"/>
        <c:crosses val="autoZero"/>
        <c:auto val="1"/>
        <c:lblAlgn val="ctr"/>
        <c:lblOffset val="100"/>
        <c:noMultiLvlLbl val="0"/>
      </c:catAx>
      <c:valAx>
        <c:axId val="191445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72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_series_3!$B$23:$Y$23</c:f>
              <c:numCache>
                <c:formatCode>General</c:formatCode>
                <c:ptCount val="24"/>
                <c:pt idx="0">
                  <c:v>359</c:v>
                </c:pt>
                <c:pt idx="1">
                  <c:v>684</c:v>
                </c:pt>
                <c:pt idx="2">
                  <c:v>504.63</c:v>
                </c:pt>
                <c:pt idx="3">
                  <c:v>495.2</c:v>
                </c:pt>
                <c:pt idx="4">
                  <c:v>615.4</c:v>
                </c:pt>
                <c:pt idx="5">
                  <c:v>932.48</c:v>
                </c:pt>
                <c:pt idx="6">
                  <c:v>853.3</c:v>
                </c:pt>
                <c:pt idx="7">
                  <c:v>734.18</c:v>
                </c:pt>
                <c:pt idx="8">
                  <c:v>890.6</c:v>
                </c:pt>
                <c:pt idx="9">
                  <c:v>616.77</c:v>
                </c:pt>
                <c:pt idx="10">
                  <c:v>412.22</c:v>
                </c:pt>
                <c:pt idx="11">
                  <c:v>490.79</c:v>
                </c:pt>
                <c:pt idx="12">
                  <c:v>630.26</c:v>
                </c:pt>
                <c:pt idx="13">
                  <c:v>602.2</c:v>
                </c:pt>
                <c:pt idx="14">
                  <c:v>484.8</c:v>
                </c:pt>
                <c:pt idx="15">
                  <c:v>460.05</c:v>
                </c:pt>
                <c:pt idx="16">
                  <c:v>639.86</c:v>
                </c:pt>
                <c:pt idx="17">
                  <c:v>814.18</c:v>
                </c:pt>
                <c:pt idx="18">
                  <c:v>866.3</c:v>
                </c:pt>
                <c:pt idx="19">
                  <c:v>766.65</c:v>
                </c:pt>
                <c:pt idx="20">
                  <c:v>747.83</c:v>
                </c:pt>
                <c:pt idx="21">
                  <c:v>532.64</c:v>
                </c:pt>
                <c:pt idx="22">
                  <c:v>308.79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754716"/>
        <c:axId val="543312"/>
      </c:lineChart>
      <c:catAx>
        <c:axId val="207547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312"/>
        <c:crosses val="autoZero"/>
        <c:auto val="1"/>
        <c:lblAlgn val="ctr"/>
        <c:lblOffset val="100"/>
        <c:noMultiLvlLbl val="0"/>
      </c:catAx>
      <c:valAx>
        <c:axId val="5433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54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_series_3!$B$24:$Y$24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849.63</c:v>
                </c:pt>
                <c:pt idx="21">
                  <c:v>2476.17</c:v>
                </c:pt>
                <c:pt idx="22">
                  <c:v>2528.89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213561"/>
        <c:axId val="7888331"/>
      </c:lineChart>
      <c:catAx>
        <c:axId val="422135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8331"/>
        <c:crosses val="autoZero"/>
        <c:auto val="1"/>
        <c:lblAlgn val="ctr"/>
        <c:lblOffset val="100"/>
        <c:noMultiLvlLbl val="0"/>
      </c:catAx>
      <c:valAx>
        <c:axId val="78883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13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_series_3!$B$25:$Y$25</c:f>
              <c:numCache>
                <c:formatCode>General</c:formatCode>
                <c:ptCount val="24"/>
                <c:pt idx="0">
                  <c:v>1468.85</c:v>
                </c:pt>
                <c:pt idx="1">
                  <c:v>2411.23</c:v>
                </c:pt>
                <c:pt idx="2">
                  <c:v>1830.72</c:v>
                </c:pt>
                <c:pt idx="3">
                  <c:v>1647.5</c:v>
                </c:pt>
                <c:pt idx="4">
                  <c:v>1116.85</c:v>
                </c:pt>
                <c:pt idx="5">
                  <c:v>299.01</c:v>
                </c:pt>
                <c:pt idx="6">
                  <c:v>279.7</c:v>
                </c:pt>
                <c:pt idx="7">
                  <c:v>556.32</c:v>
                </c:pt>
                <c:pt idx="8">
                  <c:v>1059.32</c:v>
                </c:pt>
                <c:pt idx="9">
                  <c:v>1129.73</c:v>
                </c:pt>
                <c:pt idx="10">
                  <c:v>1346.5</c:v>
                </c:pt>
                <c:pt idx="11">
                  <c:v>1270.52</c:v>
                </c:pt>
                <c:pt idx="12">
                  <c:v>1606.67</c:v>
                </c:pt>
                <c:pt idx="13">
                  <c:v>1821.93</c:v>
                </c:pt>
                <c:pt idx="14">
                  <c:v>1618.31</c:v>
                </c:pt>
                <c:pt idx="15">
                  <c:v>1377.08</c:v>
                </c:pt>
                <c:pt idx="16">
                  <c:v>1116.96</c:v>
                </c:pt>
                <c:pt idx="17">
                  <c:v>333.7</c:v>
                </c:pt>
                <c:pt idx="18">
                  <c:v>348.77</c:v>
                </c:pt>
                <c:pt idx="19">
                  <c:v>555.02</c:v>
                </c:pt>
                <c:pt idx="20">
                  <c:v>979.12</c:v>
                </c:pt>
                <c:pt idx="21">
                  <c:v>1157.14</c:v>
                </c:pt>
                <c:pt idx="22">
                  <c:v>1221.59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353585"/>
        <c:axId val="93395559"/>
      </c:lineChart>
      <c:catAx>
        <c:axId val="253535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95559"/>
        <c:crosses val="autoZero"/>
        <c:auto val="1"/>
        <c:lblAlgn val="ctr"/>
        <c:lblOffset val="100"/>
        <c:noMultiLvlLbl val="0"/>
      </c:catAx>
      <c:valAx>
        <c:axId val="933955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535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_series_3!$B$26:$Y$26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913.59</c:v>
                </c:pt>
                <c:pt idx="8">
                  <c:v>934.6</c:v>
                </c:pt>
                <c:pt idx="9">
                  <c:v>820.23</c:v>
                </c:pt>
                <c:pt idx="10">
                  <c:v>902.11</c:v>
                </c:pt>
                <c:pt idx="11">
                  <c:v>800.93</c:v>
                </c:pt>
                <c:pt idx="12">
                  <c:v>979.94</c:v>
                </c:pt>
                <c:pt idx="13">
                  <c:v>942.5</c:v>
                </c:pt>
                <c:pt idx="14">
                  <c:v>836.15</c:v>
                </c:pt>
                <c:pt idx="15">
                  <c:v>893.99</c:v>
                </c:pt>
                <c:pt idx="16">
                  <c:v>853.1</c:v>
                </c:pt>
                <c:pt idx="17">
                  <c:v>916.2</c:v>
                </c:pt>
                <c:pt idx="18">
                  <c:v>839.02</c:v>
                </c:pt>
                <c:pt idx="19">
                  <c:v>989.25</c:v>
                </c:pt>
                <c:pt idx="20">
                  <c:v>1077.25</c:v>
                </c:pt>
                <c:pt idx="21">
                  <c:v>1061.16</c:v>
                </c:pt>
                <c:pt idx="22">
                  <c:v>1072.87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402774"/>
        <c:axId val="1983915"/>
      </c:lineChart>
      <c:catAx>
        <c:axId val="444027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3915"/>
        <c:crosses val="autoZero"/>
        <c:auto val="1"/>
        <c:lblAlgn val="ctr"/>
        <c:lblOffset val="100"/>
        <c:noMultiLvlLbl val="0"/>
      </c:catAx>
      <c:valAx>
        <c:axId val="19839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027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_series_3!$B$27:$Y$27</c:f>
              <c:numCache>
                <c:formatCode>General</c:formatCode>
                <c:ptCount val="24"/>
                <c:pt idx="0">
                  <c:v>1935</c:v>
                </c:pt>
                <c:pt idx="1">
                  <c:v>3017.05</c:v>
                </c:pt>
                <c:pt idx="2">
                  <c:v>1800.37</c:v>
                </c:pt>
                <c:pt idx="3">
                  <c:v>1926.12</c:v>
                </c:pt>
                <c:pt idx="4">
                  <c:v>2041.87</c:v>
                </c:pt>
                <c:pt idx="5">
                  <c:v>1259.3</c:v>
                </c:pt>
                <c:pt idx="6">
                  <c:v>2058.91</c:v>
                </c:pt>
                <c:pt idx="7">
                  <c:v>1147.24</c:v>
                </c:pt>
                <c:pt idx="8">
                  <c:v>2067.9</c:v>
                </c:pt>
                <c:pt idx="9">
                  <c:v>1486.46</c:v>
                </c:pt>
                <c:pt idx="10">
                  <c:v>1642.22</c:v>
                </c:pt>
                <c:pt idx="11">
                  <c:v>2912.65</c:v>
                </c:pt>
                <c:pt idx="12">
                  <c:v>2992.54</c:v>
                </c:pt>
                <c:pt idx="13">
                  <c:v>3368.21</c:v>
                </c:pt>
                <c:pt idx="14">
                  <c:v>2212.5</c:v>
                </c:pt>
                <c:pt idx="15">
                  <c:v>1960.19</c:v>
                </c:pt>
                <c:pt idx="16">
                  <c:v>1921.61</c:v>
                </c:pt>
                <c:pt idx="17">
                  <c:v>1263.13</c:v>
                </c:pt>
                <c:pt idx="18">
                  <c:v>1600.1</c:v>
                </c:pt>
                <c:pt idx="19">
                  <c:v>1414.77</c:v>
                </c:pt>
                <c:pt idx="20">
                  <c:v>1990.19</c:v>
                </c:pt>
                <c:pt idx="21">
                  <c:v>1763.94</c:v>
                </c:pt>
                <c:pt idx="22">
                  <c:v>1455.49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562673"/>
        <c:axId val="3941253"/>
      </c:lineChart>
      <c:catAx>
        <c:axId val="735626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1253"/>
        <c:crosses val="autoZero"/>
        <c:auto val="1"/>
        <c:lblAlgn val="ctr"/>
        <c:lblOffset val="100"/>
        <c:noMultiLvlLbl val="0"/>
      </c:catAx>
      <c:valAx>
        <c:axId val="39412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62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_series_3!$B$28:$Y$28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1197.18</c:v>
                </c:pt>
                <c:pt idx="5">
                  <c:v>1865.97</c:v>
                </c:pt>
                <c:pt idx="6">
                  <c:v>1723.16</c:v>
                </c:pt>
                <c:pt idx="7">
                  <c:v>1570.31</c:v>
                </c:pt>
                <c:pt idx="8">
                  <c:v>1432.73</c:v>
                </c:pt>
                <c:pt idx="9">
                  <c:v>1817.32</c:v>
                </c:pt>
                <c:pt idx="10">
                  <c:v>1955.83</c:v>
                </c:pt>
                <c:pt idx="11">
                  <c:v>2235.47</c:v>
                </c:pt>
                <c:pt idx="12">
                  <c:v>2825.24</c:v>
                </c:pt>
                <c:pt idx="13">
                  <c:v>3443.22</c:v>
                </c:pt>
                <c:pt idx="14">
                  <c:v>3178.08</c:v>
                </c:pt>
                <c:pt idx="15">
                  <c:v>2134.16</c:v>
                </c:pt>
                <c:pt idx="16">
                  <c:v>1883.16</c:v>
                </c:pt>
                <c:pt idx="17">
                  <c:v>1916.12</c:v>
                </c:pt>
                <c:pt idx="18">
                  <c:v>1372.39</c:v>
                </c:pt>
                <c:pt idx="19">
                  <c:v>2844.42</c:v>
                </c:pt>
                <c:pt idx="20">
                  <c:v>2594.23</c:v>
                </c:pt>
                <c:pt idx="21">
                  <c:v>2436.29</c:v>
                </c:pt>
                <c:pt idx="22">
                  <c:v>2434.85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628983"/>
        <c:axId val="36656664"/>
      </c:lineChart>
      <c:catAx>
        <c:axId val="9462898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56664"/>
        <c:crosses val="autoZero"/>
        <c:auto val="1"/>
        <c:lblAlgn val="ctr"/>
        <c:lblOffset val="100"/>
        <c:noMultiLvlLbl val="0"/>
      </c:catAx>
      <c:valAx>
        <c:axId val="366566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289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_series_2!$B$2:$Y$2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67.85</c:v>
                </c:pt>
                <c:pt idx="6">
                  <c:v>291.23</c:v>
                </c:pt>
                <c:pt idx="7">
                  <c:v>212.91</c:v>
                </c:pt>
                <c:pt idx="8">
                  <c:v>183.41</c:v>
                </c:pt>
                <c:pt idx="9">
                  <c:v>146.93</c:v>
                </c:pt>
                <c:pt idx="10">
                  <c:v>240.12</c:v>
                </c:pt>
                <c:pt idx="11">
                  <c:v>360.36</c:v>
                </c:pt>
                <c:pt idx="12">
                  <c:v>489.63</c:v>
                </c:pt>
                <c:pt idx="13">
                  <c:v>103.62</c:v>
                </c:pt>
                <c:pt idx="14">
                  <c:v>664.91</c:v>
                </c:pt>
                <c:pt idx="15">
                  <c:v>334.22</c:v>
                </c:pt>
                <c:pt idx="16">
                  <c:v>254.97</c:v>
                </c:pt>
                <c:pt idx="17">
                  <c:v>121.53</c:v>
                </c:pt>
                <c:pt idx="18">
                  <c:v>392.65</c:v>
                </c:pt>
                <c:pt idx="19">
                  <c:v>287.51</c:v>
                </c:pt>
                <c:pt idx="20">
                  <c:v>349.44</c:v>
                </c:pt>
                <c:pt idx="21">
                  <c:v>199.21</c:v>
                </c:pt>
                <c:pt idx="22">
                  <c:v>273.87</c:v>
                </c:pt>
                <c:pt idx="23">
                  <c:v>430.03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259133"/>
        <c:axId val="52023149"/>
      </c:lineChart>
      <c:catAx>
        <c:axId val="192591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23149"/>
        <c:crosses val="autoZero"/>
        <c:auto val="1"/>
        <c:lblAlgn val="ctr"/>
        <c:lblOffset val="100"/>
        <c:noMultiLvlLbl val="0"/>
      </c:catAx>
      <c:valAx>
        <c:axId val="520231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591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_series_2!$B$3:$Y$3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122.79</c:v>
                </c:pt>
                <c:pt idx="6">
                  <c:v>257.6</c:v>
                </c:pt>
                <c:pt idx="7">
                  <c:v>149.89</c:v>
                </c:pt>
                <c:pt idx="8">
                  <c:v>179.34</c:v>
                </c:pt>
                <c:pt idx="9">
                  <c:v>133.56</c:v>
                </c:pt>
                <c:pt idx="10">
                  <c:v>217.18</c:v>
                </c:pt>
                <c:pt idx="11">
                  <c:v>255.1</c:v>
                </c:pt>
                <c:pt idx="12">
                  <c:v>355.24</c:v>
                </c:pt>
                <c:pt idx="13">
                  <c:v>132.59</c:v>
                </c:pt>
                <c:pt idx="14">
                  <c:v>333.79</c:v>
                </c:pt>
                <c:pt idx="15">
                  <c:v>306.02</c:v>
                </c:pt>
                <c:pt idx="16">
                  <c:v>209.78</c:v>
                </c:pt>
                <c:pt idx="17">
                  <c:v>189.38</c:v>
                </c:pt>
                <c:pt idx="18">
                  <c:v>339.72</c:v>
                </c:pt>
                <c:pt idx="19">
                  <c:v>188.55</c:v>
                </c:pt>
                <c:pt idx="20">
                  <c:v>237.18</c:v>
                </c:pt>
                <c:pt idx="21">
                  <c:v>186.2</c:v>
                </c:pt>
                <c:pt idx="22">
                  <c:v>276</c:v>
                </c:pt>
                <c:pt idx="23">
                  <c:v>343.77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09366"/>
        <c:axId val="81196933"/>
      </c:lineChart>
      <c:catAx>
        <c:axId val="39093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96933"/>
        <c:crosses val="autoZero"/>
        <c:auto val="1"/>
        <c:lblAlgn val="ctr"/>
        <c:lblOffset val="100"/>
        <c:noMultiLvlLbl val="0"/>
      </c:catAx>
      <c:valAx>
        <c:axId val="811969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93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_series_2!$B$4:$Y$4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240.78</c:v>
                </c:pt>
                <c:pt idx="6">
                  <c:v>270.33</c:v>
                </c:pt>
                <c:pt idx="7">
                  <c:v>122.02</c:v>
                </c:pt>
                <c:pt idx="8">
                  <c:v>156.75</c:v>
                </c:pt>
                <c:pt idx="9">
                  <c:v>185.58</c:v>
                </c:pt>
                <c:pt idx="10">
                  <c:v>220.94</c:v>
                </c:pt>
                <c:pt idx="11">
                  <c:v>589.63</c:v>
                </c:pt>
                <c:pt idx="12">
                  <c:v>626.48</c:v>
                </c:pt>
                <c:pt idx="13">
                  <c:v>164.89</c:v>
                </c:pt>
                <c:pt idx="14">
                  <c:v>386.56</c:v>
                </c:pt>
                <c:pt idx="15">
                  <c:v>382.69</c:v>
                </c:pt>
                <c:pt idx="16">
                  <c:v>261.9</c:v>
                </c:pt>
                <c:pt idx="17">
                  <c:v>330.96</c:v>
                </c:pt>
                <c:pt idx="18">
                  <c:v>371.28</c:v>
                </c:pt>
                <c:pt idx="19">
                  <c:v>169.53</c:v>
                </c:pt>
                <c:pt idx="20">
                  <c:v>214.78</c:v>
                </c:pt>
                <c:pt idx="21">
                  <c:v>271.98</c:v>
                </c:pt>
                <c:pt idx="22">
                  <c:v>271.88</c:v>
                </c:pt>
                <c:pt idx="23">
                  <c:v>692.94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981853"/>
        <c:axId val="35582339"/>
      </c:lineChart>
      <c:catAx>
        <c:axId val="239818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82339"/>
        <c:crosses val="autoZero"/>
        <c:auto val="1"/>
        <c:lblAlgn val="ctr"/>
        <c:lblOffset val="100"/>
        <c:noMultiLvlLbl val="0"/>
      </c:catAx>
      <c:valAx>
        <c:axId val="355823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818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_series_2!$B$5:$Y$5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143.34</c:v>
                </c:pt>
                <c:pt idx="6">
                  <c:v>255.18</c:v>
                </c:pt>
                <c:pt idx="7">
                  <c:v>122.89</c:v>
                </c:pt>
                <c:pt idx="8">
                  <c:v>228.55</c:v>
                </c:pt>
                <c:pt idx="9">
                  <c:v>175.12</c:v>
                </c:pt>
                <c:pt idx="10">
                  <c:v>270.51</c:v>
                </c:pt>
                <c:pt idx="11">
                  <c:v>388.07</c:v>
                </c:pt>
                <c:pt idx="12">
                  <c:v>574.82</c:v>
                </c:pt>
                <c:pt idx="13">
                  <c:v>154.53</c:v>
                </c:pt>
                <c:pt idx="14">
                  <c:v>359.42</c:v>
                </c:pt>
                <c:pt idx="15">
                  <c:v>352.4</c:v>
                </c:pt>
                <c:pt idx="16">
                  <c:v>177.06</c:v>
                </c:pt>
                <c:pt idx="17">
                  <c:v>261.13</c:v>
                </c:pt>
                <c:pt idx="18">
                  <c:v>337.12</c:v>
                </c:pt>
                <c:pt idx="19">
                  <c:v>149.42</c:v>
                </c:pt>
                <c:pt idx="20">
                  <c:v>232.63</c:v>
                </c:pt>
                <c:pt idx="21">
                  <c:v>279.54</c:v>
                </c:pt>
                <c:pt idx="22">
                  <c:v>333.42</c:v>
                </c:pt>
                <c:pt idx="23">
                  <c:v>462.7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193285"/>
        <c:axId val="92664500"/>
      </c:lineChart>
      <c:catAx>
        <c:axId val="4819328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64500"/>
        <c:crosses val="autoZero"/>
        <c:auto val="1"/>
        <c:lblAlgn val="ctr"/>
        <c:lblOffset val="100"/>
        <c:noMultiLvlLbl val="0"/>
      </c:catAx>
      <c:valAx>
        <c:axId val="926645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932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_series_2!$B$6:$Y$6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181.06</c:v>
                </c:pt>
                <c:pt idx="6">
                  <c:v>235.48</c:v>
                </c:pt>
                <c:pt idx="7">
                  <c:v>115.38</c:v>
                </c:pt>
                <c:pt idx="8">
                  <c:v>164.69</c:v>
                </c:pt>
                <c:pt idx="9">
                  <c:v>208.48</c:v>
                </c:pt>
                <c:pt idx="10">
                  <c:v>620.36</c:v>
                </c:pt>
                <c:pt idx="11">
                  <c:v>776.69</c:v>
                </c:pt>
                <c:pt idx="12">
                  <c:v>910.68</c:v>
                </c:pt>
                <c:pt idx="13">
                  <c:v>276.4</c:v>
                </c:pt>
                <c:pt idx="14">
                  <c:v>777.08</c:v>
                </c:pt>
                <c:pt idx="15">
                  <c:v>555.31</c:v>
                </c:pt>
                <c:pt idx="16">
                  <c:v>267.98</c:v>
                </c:pt>
                <c:pt idx="17">
                  <c:v>240.42</c:v>
                </c:pt>
                <c:pt idx="18">
                  <c:v>316.78</c:v>
                </c:pt>
                <c:pt idx="19">
                  <c:v>165.48</c:v>
                </c:pt>
                <c:pt idx="20">
                  <c:v>218.11</c:v>
                </c:pt>
                <c:pt idx="21">
                  <c:v>311.55</c:v>
                </c:pt>
                <c:pt idx="22">
                  <c:v>651.31</c:v>
                </c:pt>
                <c:pt idx="23">
                  <c:v>839.16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893097"/>
        <c:axId val="69617269"/>
      </c:lineChart>
      <c:catAx>
        <c:axId val="838930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17269"/>
        <c:crosses val="autoZero"/>
        <c:auto val="1"/>
        <c:lblAlgn val="ctr"/>
        <c:lblOffset val="100"/>
        <c:noMultiLvlLbl val="0"/>
      </c:catAx>
      <c:valAx>
        <c:axId val="696172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930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_series_2!$B$7:$Y$7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98.79</c:v>
                </c:pt>
                <c:pt idx="6">
                  <c:v>169.59</c:v>
                </c:pt>
                <c:pt idx="7">
                  <c:v>113.34</c:v>
                </c:pt>
                <c:pt idx="8">
                  <c:v>142.42</c:v>
                </c:pt>
                <c:pt idx="9">
                  <c:v>111.81</c:v>
                </c:pt>
                <c:pt idx="10">
                  <c:v>150.31</c:v>
                </c:pt>
                <c:pt idx="11">
                  <c:v>280.5</c:v>
                </c:pt>
                <c:pt idx="12">
                  <c:v>374.5</c:v>
                </c:pt>
                <c:pt idx="13">
                  <c:v>130.26</c:v>
                </c:pt>
                <c:pt idx="14">
                  <c:v>333.66</c:v>
                </c:pt>
                <c:pt idx="15">
                  <c:v>240.63</c:v>
                </c:pt>
                <c:pt idx="16">
                  <c:v>117.47</c:v>
                </c:pt>
                <c:pt idx="17">
                  <c:v>166.39</c:v>
                </c:pt>
                <c:pt idx="18">
                  <c:v>229.98</c:v>
                </c:pt>
                <c:pt idx="19">
                  <c:v>152.99</c:v>
                </c:pt>
                <c:pt idx="20">
                  <c:v>196.1</c:v>
                </c:pt>
                <c:pt idx="21">
                  <c:v>164.11</c:v>
                </c:pt>
                <c:pt idx="22">
                  <c:v>189.25</c:v>
                </c:pt>
                <c:pt idx="23">
                  <c:v>351.03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368500"/>
        <c:axId val="58853983"/>
      </c:lineChart>
      <c:catAx>
        <c:axId val="593685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53983"/>
        <c:crosses val="autoZero"/>
        <c:auto val="1"/>
        <c:lblAlgn val="ctr"/>
        <c:lblOffset val="100"/>
        <c:noMultiLvlLbl val="0"/>
      </c:catAx>
      <c:valAx>
        <c:axId val="588539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685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_series_2!$B$8:$Y$8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170.28</c:v>
                </c:pt>
                <c:pt idx="6">
                  <c:v>258.52</c:v>
                </c:pt>
                <c:pt idx="7">
                  <c:v>181.42</c:v>
                </c:pt>
                <c:pt idx="8">
                  <c:v>255.74</c:v>
                </c:pt>
                <c:pt idx="9">
                  <c:v>242.83</c:v>
                </c:pt>
                <c:pt idx="10">
                  <c:v>303.68</c:v>
                </c:pt>
                <c:pt idx="11">
                  <c:v>367.91</c:v>
                </c:pt>
                <c:pt idx="12">
                  <c:v>611.02</c:v>
                </c:pt>
                <c:pt idx="13">
                  <c:v>163.33</c:v>
                </c:pt>
                <c:pt idx="14">
                  <c:v>392.33</c:v>
                </c:pt>
                <c:pt idx="15">
                  <c:v>376.51</c:v>
                </c:pt>
                <c:pt idx="16">
                  <c:v>126.21</c:v>
                </c:pt>
                <c:pt idx="17">
                  <c:v>230.73</c:v>
                </c:pt>
                <c:pt idx="18">
                  <c:v>340.4</c:v>
                </c:pt>
                <c:pt idx="19">
                  <c:v>259.71</c:v>
                </c:pt>
                <c:pt idx="20">
                  <c:v>311.91</c:v>
                </c:pt>
                <c:pt idx="21">
                  <c:v>314.39</c:v>
                </c:pt>
                <c:pt idx="22">
                  <c:v>371.77</c:v>
                </c:pt>
                <c:pt idx="23">
                  <c:v>505.17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45202"/>
        <c:axId val="64813545"/>
      </c:lineChart>
      <c:catAx>
        <c:axId val="70452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13545"/>
        <c:crosses val="autoZero"/>
        <c:auto val="1"/>
        <c:lblAlgn val="ctr"/>
        <c:lblOffset val="100"/>
        <c:noMultiLvlLbl val="0"/>
      </c:catAx>
      <c:valAx>
        <c:axId val="648135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52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_series_2!$B$9:$Y$9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193.05</c:v>
                </c:pt>
                <c:pt idx="6">
                  <c:v>309.11</c:v>
                </c:pt>
                <c:pt idx="7">
                  <c:v>197.99</c:v>
                </c:pt>
                <c:pt idx="8">
                  <c:v>256.8</c:v>
                </c:pt>
                <c:pt idx="9">
                  <c:v>114.01</c:v>
                </c:pt>
                <c:pt idx="10">
                  <c:v>245.88</c:v>
                </c:pt>
                <c:pt idx="11">
                  <c:v>405.6</c:v>
                </c:pt>
                <c:pt idx="12">
                  <c:v>510.83</c:v>
                </c:pt>
                <c:pt idx="13">
                  <c:v>181.08</c:v>
                </c:pt>
                <c:pt idx="14">
                  <c:v>334.97</c:v>
                </c:pt>
                <c:pt idx="15">
                  <c:v>263.34</c:v>
                </c:pt>
                <c:pt idx="16">
                  <c:v>146.93</c:v>
                </c:pt>
                <c:pt idx="17">
                  <c:v>251.21</c:v>
                </c:pt>
                <c:pt idx="18">
                  <c:v>411.51</c:v>
                </c:pt>
                <c:pt idx="19">
                  <c:v>292.86</c:v>
                </c:pt>
                <c:pt idx="20">
                  <c:v>309.03</c:v>
                </c:pt>
                <c:pt idx="21">
                  <c:v>166.4</c:v>
                </c:pt>
                <c:pt idx="22">
                  <c:v>321.26</c:v>
                </c:pt>
                <c:pt idx="23">
                  <c:v>473.59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856116"/>
        <c:axId val="65553531"/>
      </c:lineChart>
      <c:catAx>
        <c:axId val="938561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53531"/>
        <c:crosses val="autoZero"/>
        <c:auto val="1"/>
        <c:lblAlgn val="ctr"/>
        <c:lblOffset val="100"/>
        <c:noMultiLvlLbl val="0"/>
      </c:catAx>
      <c:valAx>
        <c:axId val="655535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561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_series_2!$B$10:$Y$10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131.4</c:v>
                </c:pt>
                <c:pt idx="6">
                  <c:v>332.79</c:v>
                </c:pt>
                <c:pt idx="7">
                  <c:v>154.85</c:v>
                </c:pt>
                <c:pt idx="8">
                  <c:v>172.58</c:v>
                </c:pt>
                <c:pt idx="9">
                  <c:v>151.87</c:v>
                </c:pt>
                <c:pt idx="10">
                  <c:v>305.89</c:v>
                </c:pt>
                <c:pt idx="11">
                  <c:v>454</c:v>
                </c:pt>
                <c:pt idx="12">
                  <c:v>499.25</c:v>
                </c:pt>
                <c:pt idx="13">
                  <c:v>117.75</c:v>
                </c:pt>
                <c:pt idx="14">
                  <c:v>483.02</c:v>
                </c:pt>
                <c:pt idx="15">
                  <c:v>456.69</c:v>
                </c:pt>
                <c:pt idx="16">
                  <c:v>281.62</c:v>
                </c:pt>
                <c:pt idx="17">
                  <c:v>195.74</c:v>
                </c:pt>
                <c:pt idx="18">
                  <c:v>435.76</c:v>
                </c:pt>
                <c:pt idx="19">
                  <c:v>244.72</c:v>
                </c:pt>
                <c:pt idx="20">
                  <c:v>225.93</c:v>
                </c:pt>
                <c:pt idx="21">
                  <c:v>215.79</c:v>
                </c:pt>
                <c:pt idx="22">
                  <c:v>358.91</c:v>
                </c:pt>
                <c:pt idx="23">
                  <c:v>525.02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129269"/>
        <c:axId val="94218535"/>
      </c:lineChart>
      <c:catAx>
        <c:axId val="3012926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18535"/>
        <c:crosses val="autoZero"/>
        <c:auto val="1"/>
        <c:lblAlgn val="ctr"/>
        <c:lblOffset val="100"/>
        <c:noMultiLvlLbl val="0"/>
      </c:catAx>
      <c:valAx>
        <c:axId val="942185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292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_series_2!$B$11:$Y$11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85.02</c:v>
                </c:pt>
                <c:pt idx="6">
                  <c:v>92.48</c:v>
                </c:pt>
                <c:pt idx="7">
                  <c:v>67.3</c:v>
                </c:pt>
                <c:pt idx="8">
                  <c:v>63.22</c:v>
                </c:pt>
                <c:pt idx="9">
                  <c:v>67.94</c:v>
                </c:pt>
                <c:pt idx="10">
                  <c:v>131.71</c:v>
                </c:pt>
                <c:pt idx="11">
                  <c:v>173.41</c:v>
                </c:pt>
                <c:pt idx="12">
                  <c:v>247.92</c:v>
                </c:pt>
                <c:pt idx="13">
                  <c:v>108.06</c:v>
                </c:pt>
                <c:pt idx="14">
                  <c:v>101.19</c:v>
                </c:pt>
                <c:pt idx="15">
                  <c:v>77.36</c:v>
                </c:pt>
                <c:pt idx="16">
                  <c:v>93.5</c:v>
                </c:pt>
                <c:pt idx="17">
                  <c:v>135.59</c:v>
                </c:pt>
                <c:pt idx="18">
                  <c:v>150.61</c:v>
                </c:pt>
                <c:pt idx="19">
                  <c:v>101.26</c:v>
                </c:pt>
                <c:pt idx="20">
                  <c:v>83.58</c:v>
                </c:pt>
                <c:pt idx="21">
                  <c:v>92.95</c:v>
                </c:pt>
                <c:pt idx="22">
                  <c:v>164.49</c:v>
                </c:pt>
                <c:pt idx="23">
                  <c:v>244.04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502757"/>
        <c:axId val="3945235"/>
      </c:lineChart>
      <c:catAx>
        <c:axId val="155027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5235"/>
        <c:crosses val="autoZero"/>
        <c:auto val="1"/>
        <c:lblAlgn val="ctr"/>
        <c:lblOffset val="100"/>
        <c:noMultiLvlLbl val="0"/>
      </c:catAx>
      <c:valAx>
        <c:axId val="39452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027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_series_2!$B$12:$Y$12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51.19</c:v>
                </c:pt>
                <c:pt idx="6">
                  <c:v>153.54</c:v>
                </c:pt>
                <c:pt idx="7">
                  <c:v>125.01</c:v>
                </c:pt>
                <c:pt idx="8">
                  <c:v>130.52</c:v>
                </c:pt>
                <c:pt idx="9">
                  <c:v>91.61</c:v>
                </c:pt>
                <c:pt idx="10">
                  <c:v>150.09</c:v>
                </c:pt>
                <c:pt idx="11">
                  <c:v>209.74</c:v>
                </c:pt>
                <c:pt idx="12">
                  <c:v>185.37</c:v>
                </c:pt>
                <c:pt idx="13">
                  <c:v>131.51</c:v>
                </c:pt>
                <c:pt idx="14">
                  <c:v>105.59</c:v>
                </c:pt>
                <c:pt idx="15">
                  <c:v>72.64</c:v>
                </c:pt>
                <c:pt idx="16">
                  <c:v>89.99</c:v>
                </c:pt>
                <c:pt idx="17">
                  <c:v>123.52</c:v>
                </c:pt>
                <c:pt idx="18">
                  <c:v>213.59</c:v>
                </c:pt>
                <c:pt idx="19">
                  <c:v>175.89</c:v>
                </c:pt>
                <c:pt idx="20">
                  <c:v>185.75</c:v>
                </c:pt>
                <c:pt idx="21">
                  <c:v>115.98</c:v>
                </c:pt>
                <c:pt idx="22">
                  <c:v>187.53</c:v>
                </c:pt>
                <c:pt idx="23">
                  <c:v>400.32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530789"/>
        <c:axId val="64024737"/>
      </c:lineChart>
      <c:catAx>
        <c:axId val="615307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24737"/>
        <c:crosses val="autoZero"/>
        <c:auto val="1"/>
        <c:lblAlgn val="ctr"/>
        <c:lblOffset val="100"/>
        <c:noMultiLvlLbl val="0"/>
      </c:catAx>
      <c:valAx>
        <c:axId val="640247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307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_series_2!$B$13:$Y$13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114.46</c:v>
                </c:pt>
                <c:pt idx="6">
                  <c:v>156.2</c:v>
                </c:pt>
                <c:pt idx="7">
                  <c:v>110.71</c:v>
                </c:pt>
                <c:pt idx="8">
                  <c:v>260.77</c:v>
                </c:pt>
                <c:pt idx="9">
                  <c:v>179.33</c:v>
                </c:pt>
                <c:pt idx="10">
                  <c:v>224.35</c:v>
                </c:pt>
                <c:pt idx="11">
                  <c:v>412.73</c:v>
                </c:pt>
                <c:pt idx="12">
                  <c:v>606.87</c:v>
                </c:pt>
                <c:pt idx="13">
                  <c:v>152.73</c:v>
                </c:pt>
                <c:pt idx="14">
                  <c:v>491.2</c:v>
                </c:pt>
                <c:pt idx="15">
                  <c:v>404.96</c:v>
                </c:pt>
                <c:pt idx="16">
                  <c:v>240.01</c:v>
                </c:pt>
                <c:pt idx="17">
                  <c:v>180.49</c:v>
                </c:pt>
                <c:pt idx="18">
                  <c:v>212.19</c:v>
                </c:pt>
                <c:pt idx="19">
                  <c:v>175.43</c:v>
                </c:pt>
                <c:pt idx="20">
                  <c:v>339.01</c:v>
                </c:pt>
                <c:pt idx="21">
                  <c:v>251.07</c:v>
                </c:pt>
                <c:pt idx="22">
                  <c:v>287</c:v>
                </c:pt>
                <c:pt idx="23">
                  <c:v>499.04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913666"/>
        <c:axId val="72678108"/>
      </c:lineChart>
      <c:catAx>
        <c:axId val="989136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78108"/>
        <c:crosses val="autoZero"/>
        <c:auto val="1"/>
        <c:lblAlgn val="ctr"/>
        <c:lblOffset val="100"/>
        <c:noMultiLvlLbl val="0"/>
      </c:catAx>
      <c:valAx>
        <c:axId val="726781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136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_series_2!$B$14:$Y$14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74.36</c:v>
                </c:pt>
                <c:pt idx="6">
                  <c:v>212.65</c:v>
                </c:pt>
                <c:pt idx="7">
                  <c:v>196.15</c:v>
                </c:pt>
                <c:pt idx="8">
                  <c:v>271.38</c:v>
                </c:pt>
                <c:pt idx="9">
                  <c:v>232.4</c:v>
                </c:pt>
                <c:pt idx="10">
                  <c:v>267.24</c:v>
                </c:pt>
                <c:pt idx="11">
                  <c:v>355.82</c:v>
                </c:pt>
                <c:pt idx="12">
                  <c:v>442.68</c:v>
                </c:pt>
                <c:pt idx="13">
                  <c:v>117.14</c:v>
                </c:pt>
                <c:pt idx="14">
                  <c:v>501.52</c:v>
                </c:pt>
                <c:pt idx="15">
                  <c:v>378.61</c:v>
                </c:pt>
                <c:pt idx="16">
                  <c:v>286.56</c:v>
                </c:pt>
                <c:pt idx="17">
                  <c:v>128.8</c:v>
                </c:pt>
                <c:pt idx="18">
                  <c:v>271.26</c:v>
                </c:pt>
                <c:pt idx="19">
                  <c:v>269.14</c:v>
                </c:pt>
                <c:pt idx="20">
                  <c:v>401.39</c:v>
                </c:pt>
                <c:pt idx="21">
                  <c:v>298.92</c:v>
                </c:pt>
                <c:pt idx="22">
                  <c:v>330.2</c:v>
                </c:pt>
                <c:pt idx="23">
                  <c:v>399.6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475827"/>
        <c:axId val="47418009"/>
      </c:lineChart>
      <c:catAx>
        <c:axId val="994758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18009"/>
        <c:crosses val="autoZero"/>
        <c:auto val="1"/>
        <c:lblAlgn val="ctr"/>
        <c:lblOffset val="100"/>
        <c:noMultiLvlLbl val="0"/>
      </c:catAx>
      <c:valAx>
        <c:axId val="474180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758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_series_2!$B$15:$Y$15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80.49</c:v>
                </c:pt>
                <c:pt idx="6">
                  <c:v>305.09</c:v>
                </c:pt>
                <c:pt idx="7">
                  <c:v>247.72</c:v>
                </c:pt>
                <c:pt idx="8">
                  <c:v>457.79</c:v>
                </c:pt>
                <c:pt idx="9">
                  <c:v>280.07</c:v>
                </c:pt>
                <c:pt idx="10">
                  <c:v>373.47</c:v>
                </c:pt>
                <c:pt idx="11">
                  <c:v>467.85</c:v>
                </c:pt>
                <c:pt idx="12">
                  <c:v>609.1</c:v>
                </c:pt>
                <c:pt idx="13">
                  <c:v>125.46</c:v>
                </c:pt>
                <c:pt idx="14">
                  <c:v>424.54</c:v>
                </c:pt>
                <c:pt idx="15">
                  <c:v>524.58</c:v>
                </c:pt>
                <c:pt idx="16">
                  <c:v>411.31</c:v>
                </c:pt>
                <c:pt idx="17">
                  <c:v>134.32</c:v>
                </c:pt>
                <c:pt idx="18">
                  <c:v>403.13</c:v>
                </c:pt>
                <c:pt idx="19">
                  <c:v>345.53</c:v>
                </c:pt>
                <c:pt idx="20">
                  <c:v>523.95</c:v>
                </c:pt>
                <c:pt idx="21">
                  <c:v>345.87</c:v>
                </c:pt>
                <c:pt idx="22">
                  <c:v>442.35</c:v>
                </c:pt>
                <c:pt idx="23">
                  <c:v>522.52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318802"/>
        <c:axId val="91621839"/>
      </c:lineChart>
      <c:catAx>
        <c:axId val="153188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21839"/>
        <c:crosses val="autoZero"/>
        <c:auto val="1"/>
        <c:lblAlgn val="ctr"/>
        <c:lblOffset val="100"/>
        <c:noMultiLvlLbl val="0"/>
      </c:catAx>
      <c:valAx>
        <c:axId val="916218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18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_series_2!$B$16:$Y$16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197.21</c:v>
                </c:pt>
                <c:pt idx="6">
                  <c:v>107.96</c:v>
                </c:pt>
                <c:pt idx="7">
                  <c:v>57.75</c:v>
                </c:pt>
                <c:pt idx="8">
                  <c:v>57.76</c:v>
                </c:pt>
                <c:pt idx="9">
                  <c:v>156.48</c:v>
                </c:pt>
                <c:pt idx="10">
                  <c:v>109.34</c:v>
                </c:pt>
                <c:pt idx="11">
                  <c:v>81.96</c:v>
                </c:pt>
                <c:pt idx="12">
                  <c:v>104.55</c:v>
                </c:pt>
                <c:pt idx="13">
                  <c:v>64.71</c:v>
                </c:pt>
                <c:pt idx="14">
                  <c:v>144.05</c:v>
                </c:pt>
                <c:pt idx="15">
                  <c:v>114.68</c:v>
                </c:pt>
                <c:pt idx="16">
                  <c:v>57.95</c:v>
                </c:pt>
                <c:pt idx="17">
                  <c:v>155.67</c:v>
                </c:pt>
                <c:pt idx="18">
                  <c:v>95.69</c:v>
                </c:pt>
                <c:pt idx="19">
                  <c:v>73.01</c:v>
                </c:pt>
                <c:pt idx="20">
                  <c:v>131.64</c:v>
                </c:pt>
                <c:pt idx="21">
                  <c:v>214.16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242268"/>
        <c:axId val="38218181"/>
      </c:lineChart>
      <c:catAx>
        <c:axId val="112422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18181"/>
        <c:crosses val="autoZero"/>
        <c:auto val="1"/>
        <c:lblAlgn val="ctr"/>
        <c:lblOffset val="100"/>
        <c:noMultiLvlLbl val="0"/>
      </c:catAx>
      <c:valAx>
        <c:axId val="382181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42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_series_2!$B$17:$Y$17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242.74</c:v>
                </c:pt>
                <c:pt idx="6">
                  <c:v>219.19</c:v>
                </c:pt>
                <c:pt idx="7">
                  <c:v>209.34</c:v>
                </c:pt>
                <c:pt idx="8">
                  <c:v>210.33</c:v>
                </c:pt>
                <c:pt idx="9">
                  <c:v>189.9</c:v>
                </c:pt>
                <c:pt idx="10">
                  <c:v>190.38</c:v>
                </c:pt>
                <c:pt idx="11">
                  <c:v>193.93</c:v>
                </c:pt>
                <c:pt idx="12">
                  <c:v>203.58</c:v>
                </c:pt>
                <c:pt idx="13">
                  <c:v>205.73</c:v>
                </c:pt>
                <c:pt idx="14">
                  <c:v>206.28</c:v>
                </c:pt>
                <c:pt idx="15">
                  <c:v>209.82</c:v>
                </c:pt>
                <c:pt idx="16">
                  <c:v>233.02</c:v>
                </c:pt>
                <c:pt idx="17">
                  <c:v>237.28</c:v>
                </c:pt>
                <c:pt idx="18">
                  <c:v>266.33</c:v>
                </c:pt>
                <c:pt idx="19">
                  <c:v>225.34</c:v>
                </c:pt>
                <c:pt idx="20">
                  <c:v>236</c:v>
                </c:pt>
                <c:pt idx="21">
                  <c:v>204.34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542685"/>
        <c:axId val="67780640"/>
      </c:lineChart>
      <c:catAx>
        <c:axId val="2254268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80640"/>
        <c:crosses val="autoZero"/>
        <c:auto val="1"/>
        <c:lblAlgn val="ctr"/>
        <c:lblOffset val="100"/>
        <c:noMultiLvlLbl val="0"/>
      </c:catAx>
      <c:valAx>
        <c:axId val="677806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426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_series_2!$B$18:$Y$18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237.82</c:v>
                </c:pt>
                <c:pt idx="8">
                  <c:v>194.8</c:v>
                </c:pt>
                <c:pt idx="9">
                  <c:v>152.7</c:v>
                </c:pt>
                <c:pt idx="10">
                  <c:v>84.08</c:v>
                </c:pt>
                <c:pt idx="11">
                  <c:v>156.38</c:v>
                </c:pt>
                <c:pt idx="12">
                  <c:v>191.84</c:v>
                </c:pt>
                <c:pt idx="13">
                  <c:v>247.16</c:v>
                </c:pt>
                <c:pt idx="14">
                  <c:v>137.84</c:v>
                </c:pt>
                <c:pt idx="15">
                  <c:v>112.15</c:v>
                </c:pt>
                <c:pt idx="16">
                  <c:v>186.88</c:v>
                </c:pt>
                <c:pt idx="17">
                  <c:v>247.21</c:v>
                </c:pt>
                <c:pt idx="18">
                  <c:v>287.01</c:v>
                </c:pt>
                <c:pt idx="19">
                  <c:v>230.81</c:v>
                </c:pt>
                <c:pt idx="20">
                  <c:v>276.44</c:v>
                </c:pt>
                <c:pt idx="21">
                  <c:v>139.84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113476"/>
        <c:axId val="38714808"/>
      </c:lineChart>
      <c:catAx>
        <c:axId val="351134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14808"/>
        <c:crosses val="autoZero"/>
        <c:auto val="1"/>
        <c:lblAlgn val="ctr"/>
        <c:lblOffset val="100"/>
        <c:noMultiLvlLbl val="0"/>
      </c:catAx>
      <c:valAx>
        <c:axId val="387148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13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_series_2!$B$19:$Y$19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48.8</c:v>
                </c:pt>
                <c:pt idx="6">
                  <c:v>87.84</c:v>
                </c:pt>
                <c:pt idx="7">
                  <c:v>47.65</c:v>
                </c:pt>
                <c:pt idx="8">
                  <c:v>56.89</c:v>
                </c:pt>
                <c:pt idx="9">
                  <c:v>54.07</c:v>
                </c:pt>
                <c:pt idx="10">
                  <c:v>53.92</c:v>
                </c:pt>
                <c:pt idx="11">
                  <c:v>76.54</c:v>
                </c:pt>
                <c:pt idx="12">
                  <c:v>42.09</c:v>
                </c:pt>
                <c:pt idx="13">
                  <c:v>39.38</c:v>
                </c:pt>
                <c:pt idx="14">
                  <c:v>74.06</c:v>
                </c:pt>
                <c:pt idx="15">
                  <c:v>82.16</c:v>
                </c:pt>
                <c:pt idx="16">
                  <c:v>50.76</c:v>
                </c:pt>
                <c:pt idx="17">
                  <c:v>68.32</c:v>
                </c:pt>
                <c:pt idx="18">
                  <c:v>74.95</c:v>
                </c:pt>
                <c:pt idx="19">
                  <c:v>74.28</c:v>
                </c:pt>
                <c:pt idx="20">
                  <c:v>67.62</c:v>
                </c:pt>
                <c:pt idx="21">
                  <c:v>68.56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614268"/>
        <c:axId val="56982294"/>
      </c:lineChart>
      <c:catAx>
        <c:axId val="646142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82294"/>
        <c:crosses val="autoZero"/>
        <c:auto val="1"/>
        <c:lblAlgn val="ctr"/>
        <c:lblOffset val="100"/>
        <c:noMultiLvlLbl val="0"/>
      </c:catAx>
      <c:valAx>
        <c:axId val="569822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14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_series_2!$B$20:$Y$20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142.7</c:v>
                </c:pt>
                <c:pt idx="6">
                  <c:v>158.03</c:v>
                </c:pt>
                <c:pt idx="7">
                  <c:v>104.93</c:v>
                </c:pt>
                <c:pt idx="8">
                  <c:v>109.06</c:v>
                </c:pt>
                <c:pt idx="9">
                  <c:v>62.3</c:v>
                </c:pt>
                <c:pt idx="10">
                  <c:v>62.29</c:v>
                </c:pt>
                <c:pt idx="11">
                  <c:v>157.8</c:v>
                </c:pt>
                <c:pt idx="12">
                  <c:v>198.54</c:v>
                </c:pt>
                <c:pt idx="13">
                  <c:v>134.89</c:v>
                </c:pt>
                <c:pt idx="14">
                  <c:v>110.65</c:v>
                </c:pt>
                <c:pt idx="15">
                  <c:v>105.97</c:v>
                </c:pt>
                <c:pt idx="16">
                  <c:v>117.91</c:v>
                </c:pt>
                <c:pt idx="17">
                  <c:v>123.7</c:v>
                </c:pt>
                <c:pt idx="18">
                  <c:v>98.87</c:v>
                </c:pt>
                <c:pt idx="19">
                  <c:v>105.2</c:v>
                </c:pt>
                <c:pt idx="20">
                  <c:v>90.93</c:v>
                </c:pt>
                <c:pt idx="21">
                  <c:v>57.95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114847"/>
        <c:axId val="59597699"/>
      </c:lineChart>
      <c:catAx>
        <c:axId val="90114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97699"/>
        <c:crosses val="autoZero"/>
        <c:auto val="1"/>
        <c:lblAlgn val="ctr"/>
        <c:lblOffset val="100"/>
        <c:noMultiLvlLbl val="0"/>
      </c:catAx>
      <c:valAx>
        <c:axId val="595976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14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_series_2!$B$21:$Y$21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47.1</c:v>
                </c:pt>
                <c:pt idx="6">
                  <c:v>102.36</c:v>
                </c:pt>
                <c:pt idx="7">
                  <c:v>78.98</c:v>
                </c:pt>
                <c:pt idx="8">
                  <c:v>99.58</c:v>
                </c:pt>
                <c:pt idx="9">
                  <c:v>74.5</c:v>
                </c:pt>
                <c:pt idx="10">
                  <c:v>68.43</c:v>
                </c:pt>
                <c:pt idx="11">
                  <c:v>74.5</c:v>
                </c:pt>
                <c:pt idx="12">
                  <c:v>105.08</c:v>
                </c:pt>
                <c:pt idx="13">
                  <c:v>138.22</c:v>
                </c:pt>
                <c:pt idx="14">
                  <c:v>106.65</c:v>
                </c:pt>
                <c:pt idx="15">
                  <c:v>83.05</c:v>
                </c:pt>
                <c:pt idx="16">
                  <c:v>64.55</c:v>
                </c:pt>
                <c:pt idx="17">
                  <c:v>76.49</c:v>
                </c:pt>
                <c:pt idx="18">
                  <c:v>91.62</c:v>
                </c:pt>
                <c:pt idx="19">
                  <c:v>58.77</c:v>
                </c:pt>
                <c:pt idx="20">
                  <c:v>58.18</c:v>
                </c:pt>
                <c:pt idx="21">
                  <c:v>55.48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356046"/>
        <c:axId val="9438824"/>
      </c:lineChart>
      <c:catAx>
        <c:axId val="843560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8824"/>
        <c:crosses val="autoZero"/>
        <c:auto val="1"/>
        <c:lblAlgn val="ctr"/>
        <c:lblOffset val="100"/>
        <c:noMultiLvlLbl val="0"/>
      </c:catAx>
      <c:valAx>
        <c:axId val="94388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560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_series_2!$B$22:$Y$22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62.66</c:v>
                </c:pt>
                <c:pt idx="20">
                  <c:v>52.63</c:v>
                </c:pt>
                <c:pt idx="21">
                  <c:v>53.78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193401"/>
        <c:axId val="29926513"/>
      </c:lineChart>
      <c:catAx>
        <c:axId val="171934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26513"/>
        <c:crosses val="autoZero"/>
        <c:auto val="1"/>
        <c:lblAlgn val="ctr"/>
        <c:lblOffset val="100"/>
        <c:noMultiLvlLbl val="0"/>
      </c:catAx>
      <c:valAx>
        <c:axId val="299265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934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_series_2!$B$23:$Y$23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40.13</c:v>
                </c:pt>
                <c:pt idx="6">
                  <c:v>113.72</c:v>
                </c:pt>
                <c:pt idx="7">
                  <c:v>75.18</c:v>
                </c:pt>
                <c:pt idx="8">
                  <c:v>54.02</c:v>
                </c:pt>
                <c:pt idx="9">
                  <c:v>53.3</c:v>
                </c:pt>
                <c:pt idx="10">
                  <c:v>53.49</c:v>
                </c:pt>
                <c:pt idx="11">
                  <c:v>66.13</c:v>
                </c:pt>
                <c:pt idx="12">
                  <c:v>53.49</c:v>
                </c:pt>
                <c:pt idx="13">
                  <c:v>53.49</c:v>
                </c:pt>
                <c:pt idx="14">
                  <c:v>53.49</c:v>
                </c:pt>
                <c:pt idx="15">
                  <c:v>59.64</c:v>
                </c:pt>
                <c:pt idx="16">
                  <c:v>53.49</c:v>
                </c:pt>
                <c:pt idx="17">
                  <c:v>53.49</c:v>
                </c:pt>
                <c:pt idx="18">
                  <c:v>53.49</c:v>
                </c:pt>
                <c:pt idx="19">
                  <c:v>84.44</c:v>
                </c:pt>
                <c:pt idx="20">
                  <c:v>86.3</c:v>
                </c:pt>
                <c:pt idx="21">
                  <c:v>53.49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092617"/>
        <c:axId val="56646022"/>
      </c:lineChart>
      <c:catAx>
        <c:axId val="310926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46022"/>
        <c:crosses val="autoZero"/>
        <c:auto val="1"/>
        <c:lblAlgn val="ctr"/>
        <c:lblOffset val="100"/>
        <c:noMultiLvlLbl val="0"/>
      </c:catAx>
      <c:valAx>
        <c:axId val="566460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92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_series_2!$B$24:$Y$24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4.17</c:v>
                </c:pt>
                <c:pt idx="6">
                  <c:v>38.81</c:v>
                </c:pt>
                <c:pt idx="7">
                  <c:v>29.88</c:v>
                </c:pt>
                <c:pt idx="8">
                  <c:v>29.89</c:v>
                </c:pt>
                <c:pt idx="9">
                  <c:v>29.89</c:v>
                </c:pt>
                <c:pt idx="10">
                  <c:v>30.08</c:v>
                </c:pt>
                <c:pt idx="11">
                  <c:v>30.08</c:v>
                </c:pt>
                <c:pt idx="12">
                  <c:v>30.08</c:v>
                </c:pt>
                <c:pt idx="13">
                  <c:v>41.58</c:v>
                </c:pt>
                <c:pt idx="14">
                  <c:v>32.89</c:v>
                </c:pt>
                <c:pt idx="15">
                  <c:v>35.43</c:v>
                </c:pt>
                <c:pt idx="16">
                  <c:v>30.08</c:v>
                </c:pt>
                <c:pt idx="17">
                  <c:v>59.76</c:v>
                </c:pt>
                <c:pt idx="18">
                  <c:v>45.3</c:v>
                </c:pt>
                <c:pt idx="19">
                  <c:v>30.07</c:v>
                </c:pt>
                <c:pt idx="20">
                  <c:v>30.27</c:v>
                </c:pt>
                <c:pt idx="21">
                  <c:v>30.08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76117"/>
        <c:axId val="12239659"/>
      </c:lineChart>
      <c:catAx>
        <c:axId val="94761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39659"/>
        <c:crosses val="autoZero"/>
        <c:auto val="1"/>
        <c:lblAlgn val="ctr"/>
        <c:lblOffset val="100"/>
        <c:noMultiLvlLbl val="0"/>
      </c:catAx>
      <c:valAx>
        <c:axId val="122396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61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_series_2!$B$25:$Y$25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57.56</c:v>
                </c:pt>
                <c:pt idx="6">
                  <c:v>84.21</c:v>
                </c:pt>
                <c:pt idx="7">
                  <c:v>44.54</c:v>
                </c:pt>
                <c:pt idx="8">
                  <c:v>79.6</c:v>
                </c:pt>
                <c:pt idx="9">
                  <c:v>44.55</c:v>
                </c:pt>
                <c:pt idx="10">
                  <c:v>44.74</c:v>
                </c:pt>
                <c:pt idx="11">
                  <c:v>50.05</c:v>
                </c:pt>
                <c:pt idx="12">
                  <c:v>68.03</c:v>
                </c:pt>
                <c:pt idx="13">
                  <c:v>100.62</c:v>
                </c:pt>
                <c:pt idx="14">
                  <c:v>68.28</c:v>
                </c:pt>
                <c:pt idx="15">
                  <c:v>74.86</c:v>
                </c:pt>
                <c:pt idx="16">
                  <c:v>98.21</c:v>
                </c:pt>
                <c:pt idx="17">
                  <c:v>185.93</c:v>
                </c:pt>
                <c:pt idx="18">
                  <c:v>227.02</c:v>
                </c:pt>
                <c:pt idx="19">
                  <c:v>130.45</c:v>
                </c:pt>
                <c:pt idx="20">
                  <c:v>129.43</c:v>
                </c:pt>
                <c:pt idx="21">
                  <c:v>68.32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62208"/>
        <c:axId val="36760284"/>
      </c:lineChart>
      <c:catAx>
        <c:axId val="866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60284"/>
        <c:crosses val="autoZero"/>
        <c:auto val="1"/>
        <c:lblAlgn val="ctr"/>
        <c:lblOffset val="100"/>
        <c:noMultiLvlLbl val="0"/>
      </c:catAx>
      <c:valAx>
        <c:axId val="367602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22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_series_2!$B$26:$Y$26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184.43</c:v>
                </c:pt>
                <c:pt idx="6">
                  <c:v>228.2</c:v>
                </c:pt>
                <c:pt idx="7">
                  <c:v>253.06</c:v>
                </c:pt>
                <c:pt idx="8">
                  <c:v>162.55</c:v>
                </c:pt>
                <c:pt idx="9">
                  <c:v>99.76</c:v>
                </c:pt>
                <c:pt idx="10">
                  <c:v>93.71</c:v>
                </c:pt>
                <c:pt idx="11">
                  <c:v>151.01</c:v>
                </c:pt>
                <c:pt idx="12">
                  <c:v>123.8</c:v>
                </c:pt>
                <c:pt idx="13">
                  <c:v>89.88</c:v>
                </c:pt>
                <c:pt idx="14">
                  <c:v>110.76</c:v>
                </c:pt>
                <c:pt idx="15">
                  <c:v>115.59</c:v>
                </c:pt>
                <c:pt idx="16">
                  <c:v>181.22</c:v>
                </c:pt>
                <c:pt idx="17">
                  <c:v>196.25</c:v>
                </c:pt>
                <c:pt idx="18">
                  <c:v>0</c:v>
                </c:pt>
                <c:pt idx="19">
                  <c:v>123.89</c:v>
                </c:pt>
                <c:pt idx="20">
                  <c:v>110.69</c:v>
                </c:pt>
                <c:pt idx="21">
                  <c:v>82.16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044994"/>
        <c:axId val="55010330"/>
      </c:lineChart>
      <c:catAx>
        <c:axId val="590449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10330"/>
        <c:crosses val="autoZero"/>
        <c:auto val="1"/>
        <c:lblAlgn val="ctr"/>
        <c:lblOffset val="100"/>
        <c:noMultiLvlLbl val="0"/>
      </c:catAx>
      <c:valAx>
        <c:axId val="550103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449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_series_2!$B$27:$Y$27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290.71</c:v>
                </c:pt>
                <c:pt idx="6">
                  <c:v>324.28</c:v>
                </c:pt>
                <c:pt idx="7">
                  <c:v>271.18</c:v>
                </c:pt>
                <c:pt idx="8">
                  <c:v>294.1</c:v>
                </c:pt>
                <c:pt idx="9">
                  <c:v>305.38</c:v>
                </c:pt>
                <c:pt idx="10">
                  <c:v>240.86</c:v>
                </c:pt>
                <c:pt idx="11">
                  <c:v>379.37</c:v>
                </c:pt>
                <c:pt idx="12">
                  <c:v>463.88</c:v>
                </c:pt>
                <c:pt idx="13">
                  <c:v>533.81</c:v>
                </c:pt>
                <c:pt idx="14">
                  <c:v>372.47</c:v>
                </c:pt>
                <c:pt idx="15">
                  <c:v>384.38</c:v>
                </c:pt>
                <c:pt idx="16">
                  <c:v>309.32</c:v>
                </c:pt>
                <c:pt idx="17">
                  <c:v>368.67</c:v>
                </c:pt>
                <c:pt idx="18">
                  <c:v>343.52</c:v>
                </c:pt>
                <c:pt idx="19">
                  <c:v>280.31</c:v>
                </c:pt>
                <c:pt idx="20">
                  <c:v>335.76</c:v>
                </c:pt>
                <c:pt idx="21">
                  <c:v>67.21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873488"/>
        <c:axId val="24535273"/>
      </c:lineChart>
      <c:catAx>
        <c:axId val="258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35273"/>
        <c:crosses val="autoZero"/>
        <c:auto val="1"/>
        <c:lblAlgn val="ctr"/>
        <c:lblOffset val="100"/>
        <c:noMultiLvlLbl val="0"/>
      </c:catAx>
      <c:valAx>
        <c:axId val="245352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734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_series_2!$B$28:$Y$28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42.64</c:v>
                </c:pt>
                <c:pt idx="6">
                  <c:v>52.53</c:v>
                </c:pt>
                <c:pt idx="7">
                  <c:v>52.52</c:v>
                </c:pt>
                <c:pt idx="8">
                  <c:v>52.53</c:v>
                </c:pt>
                <c:pt idx="9">
                  <c:v>96.36</c:v>
                </c:pt>
                <c:pt idx="10">
                  <c:v>158.5</c:v>
                </c:pt>
                <c:pt idx="11">
                  <c:v>323.81</c:v>
                </c:pt>
                <c:pt idx="12">
                  <c:v>532.71</c:v>
                </c:pt>
                <c:pt idx="13">
                  <c:v>651.11</c:v>
                </c:pt>
                <c:pt idx="14">
                  <c:v>444.67</c:v>
                </c:pt>
                <c:pt idx="15">
                  <c:v>119.88</c:v>
                </c:pt>
                <c:pt idx="16">
                  <c:v>48.59</c:v>
                </c:pt>
                <c:pt idx="17">
                  <c:v>48.59</c:v>
                </c:pt>
                <c:pt idx="18">
                  <c:v>48.59</c:v>
                </c:pt>
                <c:pt idx="19">
                  <c:v>48.58</c:v>
                </c:pt>
                <c:pt idx="20">
                  <c:v>48.59</c:v>
                </c:pt>
                <c:pt idx="21">
                  <c:v>111.27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998241"/>
        <c:axId val="38103140"/>
      </c:lineChart>
      <c:catAx>
        <c:axId val="619982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03140"/>
        <c:crosses val="autoZero"/>
        <c:auto val="1"/>
        <c:lblAlgn val="ctr"/>
        <c:lblOffset val="100"/>
        <c:noMultiLvlLbl val="0"/>
      </c:catAx>
      <c:valAx>
        <c:axId val="381031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98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_series_2!$B$29:$Y$29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57.56</c:v>
                </c:pt>
                <c:pt idx="6">
                  <c:v>84.21</c:v>
                </c:pt>
                <c:pt idx="7">
                  <c:v>44.54</c:v>
                </c:pt>
                <c:pt idx="8">
                  <c:v>79.6</c:v>
                </c:pt>
                <c:pt idx="9">
                  <c:v>44.55</c:v>
                </c:pt>
                <c:pt idx="10">
                  <c:v>44.74</c:v>
                </c:pt>
                <c:pt idx="11">
                  <c:v>50.05</c:v>
                </c:pt>
                <c:pt idx="12">
                  <c:v>68.03</c:v>
                </c:pt>
                <c:pt idx="13">
                  <c:v>100.62</c:v>
                </c:pt>
                <c:pt idx="14">
                  <c:v>68.28</c:v>
                </c:pt>
                <c:pt idx="15">
                  <c:v>74.86</c:v>
                </c:pt>
                <c:pt idx="16">
                  <c:v>98.21</c:v>
                </c:pt>
                <c:pt idx="17">
                  <c:v>185.93</c:v>
                </c:pt>
                <c:pt idx="18">
                  <c:v>227.02</c:v>
                </c:pt>
                <c:pt idx="19">
                  <c:v>130.45</c:v>
                </c:pt>
                <c:pt idx="20">
                  <c:v>129.43</c:v>
                </c:pt>
                <c:pt idx="21">
                  <c:v>68.32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718045"/>
        <c:axId val="44546253"/>
      </c:lineChart>
      <c:catAx>
        <c:axId val="997180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46253"/>
        <c:crosses val="autoZero"/>
        <c:auto val="1"/>
        <c:lblAlgn val="ctr"/>
        <c:lblOffset val="100"/>
        <c:noMultiLvlLbl val="0"/>
      </c:catAx>
      <c:valAx>
        <c:axId val="445462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180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_series_2!$B$30:$Y$30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109.99</c:v>
                </c:pt>
                <c:pt idx="6">
                  <c:v>103.64</c:v>
                </c:pt>
                <c:pt idx="7">
                  <c:v>88.68</c:v>
                </c:pt>
                <c:pt idx="8">
                  <c:v>82.9</c:v>
                </c:pt>
                <c:pt idx="9">
                  <c:v>70.77</c:v>
                </c:pt>
                <c:pt idx="10">
                  <c:v>60.15</c:v>
                </c:pt>
                <c:pt idx="11">
                  <c:v>65.72</c:v>
                </c:pt>
                <c:pt idx="12">
                  <c:v>71.95</c:v>
                </c:pt>
                <c:pt idx="13">
                  <c:v>80.73</c:v>
                </c:pt>
                <c:pt idx="14">
                  <c:v>75.31</c:v>
                </c:pt>
                <c:pt idx="15">
                  <c:v>94.24</c:v>
                </c:pt>
                <c:pt idx="16">
                  <c:v>100.13</c:v>
                </c:pt>
                <c:pt idx="17">
                  <c:v>79.2</c:v>
                </c:pt>
                <c:pt idx="18">
                  <c:v>54.04</c:v>
                </c:pt>
                <c:pt idx="19">
                  <c:v>45.11</c:v>
                </c:pt>
                <c:pt idx="20">
                  <c:v>44.24</c:v>
                </c:pt>
                <c:pt idx="21">
                  <c:v>41.17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511962"/>
        <c:axId val="26213846"/>
      </c:lineChart>
      <c:catAx>
        <c:axId val="345119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13846"/>
        <c:crosses val="autoZero"/>
        <c:auto val="1"/>
        <c:lblAlgn val="ctr"/>
        <c:lblOffset val="100"/>
        <c:noMultiLvlLbl val="0"/>
      </c:catAx>
      <c:valAx>
        <c:axId val="262138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11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_series_2!$B$31:$Y$31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205.47</c:v>
                </c:pt>
                <c:pt idx="6">
                  <c:v>180.57</c:v>
                </c:pt>
                <c:pt idx="7">
                  <c:v>117.27</c:v>
                </c:pt>
                <c:pt idx="8">
                  <c:v>110.2</c:v>
                </c:pt>
                <c:pt idx="9">
                  <c:v>156.35</c:v>
                </c:pt>
                <c:pt idx="10">
                  <c:v>119.87</c:v>
                </c:pt>
                <c:pt idx="11">
                  <c:v>107.22</c:v>
                </c:pt>
                <c:pt idx="12">
                  <c:v>95.46</c:v>
                </c:pt>
                <c:pt idx="13">
                  <c:v>96.08</c:v>
                </c:pt>
                <c:pt idx="14">
                  <c:v>120.23</c:v>
                </c:pt>
                <c:pt idx="15">
                  <c:v>147.18</c:v>
                </c:pt>
                <c:pt idx="16">
                  <c:v>119.33</c:v>
                </c:pt>
                <c:pt idx="17">
                  <c:v>180.97</c:v>
                </c:pt>
                <c:pt idx="18">
                  <c:v>141.69</c:v>
                </c:pt>
                <c:pt idx="19">
                  <c:v>112.85</c:v>
                </c:pt>
                <c:pt idx="20">
                  <c:v>113.52</c:v>
                </c:pt>
                <c:pt idx="21">
                  <c:v>101.6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639447"/>
        <c:axId val="78037694"/>
      </c:lineChart>
      <c:catAx>
        <c:axId val="76639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37694"/>
        <c:crosses val="autoZero"/>
        <c:auto val="1"/>
        <c:lblAlgn val="ctr"/>
        <c:lblOffset val="100"/>
        <c:noMultiLvlLbl val="0"/>
      </c:catAx>
      <c:valAx>
        <c:axId val="780376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39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_series_2!$B$32:$Y$32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140.66</c:v>
                </c:pt>
                <c:pt idx="6">
                  <c:v>134.18</c:v>
                </c:pt>
                <c:pt idx="7">
                  <c:v>89.76</c:v>
                </c:pt>
                <c:pt idx="8">
                  <c:v>109.97</c:v>
                </c:pt>
                <c:pt idx="9">
                  <c:v>103.97</c:v>
                </c:pt>
                <c:pt idx="10">
                  <c:v>101.4</c:v>
                </c:pt>
                <c:pt idx="11">
                  <c:v>119.43</c:v>
                </c:pt>
                <c:pt idx="12">
                  <c:v>157.59</c:v>
                </c:pt>
                <c:pt idx="13">
                  <c:v>113.58</c:v>
                </c:pt>
                <c:pt idx="14">
                  <c:v>111.7</c:v>
                </c:pt>
                <c:pt idx="15">
                  <c:v>107.47</c:v>
                </c:pt>
                <c:pt idx="16">
                  <c:v>104.65</c:v>
                </c:pt>
                <c:pt idx="17">
                  <c:v>129.96</c:v>
                </c:pt>
                <c:pt idx="18">
                  <c:v>127.07</c:v>
                </c:pt>
                <c:pt idx="19">
                  <c:v>121.45</c:v>
                </c:pt>
                <c:pt idx="20">
                  <c:v>103.58</c:v>
                </c:pt>
                <c:pt idx="21">
                  <c:v>78.2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55946"/>
        <c:axId val="70677362"/>
      </c:lineChart>
      <c:catAx>
        <c:axId val="79559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77362"/>
        <c:crosses val="autoZero"/>
        <c:auto val="1"/>
        <c:lblAlgn val="ctr"/>
        <c:lblOffset val="100"/>
        <c:noMultiLvlLbl val="0"/>
      </c:catAx>
      <c:valAx>
        <c:axId val="706773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5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_series_2!$B$33:$Y$33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250.33</c:v>
                </c:pt>
                <c:pt idx="6">
                  <c:v>300.47</c:v>
                </c:pt>
                <c:pt idx="7">
                  <c:v>153.37</c:v>
                </c:pt>
                <c:pt idx="8">
                  <c:v>98.05</c:v>
                </c:pt>
                <c:pt idx="9">
                  <c:v>46.76</c:v>
                </c:pt>
                <c:pt idx="10">
                  <c:v>46.95</c:v>
                </c:pt>
                <c:pt idx="11">
                  <c:v>66.99</c:v>
                </c:pt>
                <c:pt idx="12">
                  <c:v>80.47</c:v>
                </c:pt>
                <c:pt idx="13">
                  <c:v>46.95</c:v>
                </c:pt>
                <c:pt idx="14">
                  <c:v>46.95</c:v>
                </c:pt>
                <c:pt idx="15">
                  <c:v>47.59</c:v>
                </c:pt>
                <c:pt idx="16">
                  <c:v>50.27</c:v>
                </c:pt>
                <c:pt idx="17">
                  <c:v>81.56</c:v>
                </c:pt>
                <c:pt idx="18">
                  <c:v>86.93</c:v>
                </c:pt>
                <c:pt idx="19">
                  <c:v>118.72</c:v>
                </c:pt>
                <c:pt idx="20">
                  <c:v>137.71</c:v>
                </c:pt>
                <c:pt idx="21">
                  <c:v>70.26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540898"/>
        <c:axId val="27436607"/>
      </c:lineChart>
      <c:catAx>
        <c:axId val="825408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36607"/>
        <c:crosses val="autoZero"/>
        <c:auto val="1"/>
        <c:lblAlgn val="ctr"/>
        <c:lblOffset val="100"/>
        <c:noMultiLvlLbl val="0"/>
      </c:catAx>
      <c:valAx>
        <c:axId val="274366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40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_series_2!$B$34:$Y$34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151.14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95.38</c:v>
                </c:pt>
                <c:pt idx="13">
                  <c:v>123.9</c:v>
                </c:pt>
                <c:pt idx="14">
                  <c:v>69.87</c:v>
                </c:pt>
                <c:pt idx="15">
                  <c:v>49.33</c:v>
                </c:pt>
                <c:pt idx="16">
                  <c:v>0</c:v>
                </c:pt>
                <c:pt idx="17">
                  <c:v>42.49</c:v>
                </c:pt>
                <c:pt idx="18">
                  <c:v>111.24</c:v>
                </c:pt>
                <c:pt idx="19">
                  <c:v>93.63</c:v>
                </c:pt>
                <c:pt idx="20">
                  <c:v>97.9</c:v>
                </c:pt>
                <c:pt idx="21">
                  <c:v>42.2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985029"/>
        <c:axId val="36479269"/>
      </c:lineChart>
      <c:catAx>
        <c:axId val="809850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79269"/>
        <c:crosses val="autoZero"/>
        <c:auto val="1"/>
        <c:lblAlgn val="ctr"/>
        <c:lblOffset val="100"/>
        <c:noMultiLvlLbl val="0"/>
      </c:catAx>
      <c:valAx>
        <c:axId val="364792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850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_series_2!$B$35:$Y$35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183.99</c:v>
                </c:pt>
                <c:pt idx="6">
                  <c:v>208.66</c:v>
                </c:pt>
                <c:pt idx="7">
                  <c:v>164.96</c:v>
                </c:pt>
                <c:pt idx="8">
                  <c:v>184.6</c:v>
                </c:pt>
                <c:pt idx="9">
                  <c:v>105.48</c:v>
                </c:pt>
                <c:pt idx="10">
                  <c:v>99.48</c:v>
                </c:pt>
                <c:pt idx="11">
                  <c:v>125.01</c:v>
                </c:pt>
                <c:pt idx="12">
                  <c:v>160.11</c:v>
                </c:pt>
                <c:pt idx="13">
                  <c:v>158.62</c:v>
                </c:pt>
                <c:pt idx="14">
                  <c:v>121.02</c:v>
                </c:pt>
                <c:pt idx="15">
                  <c:v>144.5</c:v>
                </c:pt>
                <c:pt idx="16">
                  <c:v>171.88</c:v>
                </c:pt>
                <c:pt idx="17">
                  <c:v>180.64</c:v>
                </c:pt>
                <c:pt idx="18">
                  <c:v>279.86</c:v>
                </c:pt>
                <c:pt idx="19">
                  <c:v>154.99</c:v>
                </c:pt>
                <c:pt idx="20">
                  <c:v>162.32</c:v>
                </c:pt>
                <c:pt idx="21">
                  <c:v>116.13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566554"/>
        <c:axId val="79958756"/>
      </c:lineChart>
      <c:catAx>
        <c:axId val="455665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58756"/>
        <c:crosses val="autoZero"/>
        <c:auto val="1"/>
        <c:lblAlgn val="ctr"/>
        <c:lblOffset val="100"/>
        <c:noMultiLvlLbl val="0"/>
      </c:catAx>
      <c:valAx>
        <c:axId val="799587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665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_series_2!$B$36:$Y$36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34.93</c:v>
                </c:pt>
                <c:pt idx="6">
                  <c:v>40.56</c:v>
                </c:pt>
                <c:pt idx="7">
                  <c:v>28.45</c:v>
                </c:pt>
                <c:pt idx="8">
                  <c:v>32.65</c:v>
                </c:pt>
                <c:pt idx="9">
                  <c:v>28.32</c:v>
                </c:pt>
                <c:pt idx="10">
                  <c:v>24.49</c:v>
                </c:pt>
                <c:pt idx="11">
                  <c:v>38.8</c:v>
                </c:pt>
                <c:pt idx="12">
                  <c:v>35.69</c:v>
                </c:pt>
                <c:pt idx="13">
                  <c:v>36.82</c:v>
                </c:pt>
                <c:pt idx="14">
                  <c:v>32.56</c:v>
                </c:pt>
                <c:pt idx="15">
                  <c:v>39.99</c:v>
                </c:pt>
                <c:pt idx="16">
                  <c:v>36.5</c:v>
                </c:pt>
                <c:pt idx="17">
                  <c:v>41.24</c:v>
                </c:pt>
                <c:pt idx="18">
                  <c:v>45.72</c:v>
                </c:pt>
                <c:pt idx="19">
                  <c:v>29.07</c:v>
                </c:pt>
                <c:pt idx="20">
                  <c:v>32.75</c:v>
                </c:pt>
                <c:pt idx="21">
                  <c:v>28.68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800054"/>
        <c:axId val="55102856"/>
      </c:lineChart>
      <c:catAx>
        <c:axId val="178000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02856"/>
        <c:crosses val="autoZero"/>
        <c:auto val="1"/>
        <c:lblAlgn val="ctr"/>
        <c:lblOffset val="100"/>
        <c:noMultiLvlLbl val="0"/>
      </c:catAx>
      <c:valAx>
        <c:axId val="551028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00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_series_2!$B$37:$Y$37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177.12</c:v>
                </c:pt>
                <c:pt idx="4">
                  <c:v>204.62</c:v>
                </c:pt>
                <c:pt idx="5">
                  <c:v>217.29</c:v>
                </c:pt>
                <c:pt idx="6">
                  <c:v>120.17</c:v>
                </c:pt>
                <c:pt idx="7">
                  <c:v>215.39</c:v>
                </c:pt>
                <c:pt idx="8">
                  <c:v>192.67</c:v>
                </c:pt>
                <c:pt idx="9">
                  <c:v>186.75</c:v>
                </c:pt>
                <c:pt idx="10">
                  <c:v>256.6</c:v>
                </c:pt>
                <c:pt idx="11">
                  <c:v>320.88</c:v>
                </c:pt>
                <c:pt idx="12">
                  <c:v>513.52</c:v>
                </c:pt>
                <c:pt idx="13">
                  <c:v>434.38</c:v>
                </c:pt>
                <c:pt idx="14">
                  <c:v>379.45</c:v>
                </c:pt>
                <c:pt idx="15">
                  <c:v>311.35</c:v>
                </c:pt>
                <c:pt idx="16">
                  <c:v>170.8</c:v>
                </c:pt>
                <c:pt idx="17">
                  <c:v>165</c:v>
                </c:pt>
                <c:pt idx="18">
                  <c:v>160.49</c:v>
                </c:pt>
                <c:pt idx="19">
                  <c:v>211.41</c:v>
                </c:pt>
                <c:pt idx="20">
                  <c:v>194.07</c:v>
                </c:pt>
                <c:pt idx="21">
                  <c:v>204.35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720437"/>
        <c:axId val="51048791"/>
      </c:lineChart>
      <c:catAx>
        <c:axId val="627204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48791"/>
        <c:crosses val="autoZero"/>
        <c:auto val="1"/>
        <c:lblAlgn val="ctr"/>
        <c:lblOffset val="100"/>
        <c:noMultiLvlLbl val="0"/>
      </c:catAx>
      <c:valAx>
        <c:axId val="510487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204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_series_2!$B$38:$Y$38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48.8</c:v>
                </c:pt>
                <c:pt idx="6">
                  <c:v>87.84</c:v>
                </c:pt>
                <c:pt idx="7">
                  <c:v>47.65</c:v>
                </c:pt>
                <c:pt idx="8">
                  <c:v>56.89</c:v>
                </c:pt>
                <c:pt idx="9">
                  <c:v>54.07</c:v>
                </c:pt>
                <c:pt idx="10">
                  <c:v>53.92</c:v>
                </c:pt>
                <c:pt idx="11">
                  <c:v>76.54</c:v>
                </c:pt>
                <c:pt idx="12">
                  <c:v>42.09</c:v>
                </c:pt>
                <c:pt idx="13">
                  <c:v>39.38</c:v>
                </c:pt>
                <c:pt idx="14">
                  <c:v>74.06</c:v>
                </c:pt>
                <c:pt idx="15">
                  <c:v>82.16</c:v>
                </c:pt>
                <c:pt idx="16">
                  <c:v>50.76</c:v>
                </c:pt>
                <c:pt idx="17">
                  <c:v>68.32</c:v>
                </c:pt>
                <c:pt idx="18">
                  <c:v>74.95</c:v>
                </c:pt>
                <c:pt idx="19">
                  <c:v>74.28</c:v>
                </c:pt>
                <c:pt idx="20">
                  <c:v>67.62</c:v>
                </c:pt>
                <c:pt idx="21">
                  <c:v>68.56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370415"/>
        <c:axId val="82397725"/>
      </c:lineChart>
      <c:catAx>
        <c:axId val="29370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97725"/>
        <c:crosses val="autoZero"/>
        <c:auto val="1"/>
        <c:lblAlgn val="ctr"/>
        <c:lblOffset val="100"/>
        <c:noMultiLvlLbl val="0"/>
      </c:catAx>
      <c:valAx>
        <c:axId val="823977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70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_series_2!$B$39:$Y$39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101.08</c:v>
                </c:pt>
                <c:pt idx="6">
                  <c:v>100.46</c:v>
                </c:pt>
                <c:pt idx="7">
                  <c:v>67.75</c:v>
                </c:pt>
                <c:pt idx="8">
                  <c:v>70.88</c:v>
                </c:pt>
                <c:pt idx="9">
                  <c:v>33.21</c:v>
                </c:pt>
                <c:pt idx="10">
                  <c:v>46.03</c:v>
                </c:pt>
                <c:pt idx="11">
                  <c:v>63.22</c:v>
                </c:pt>
                <c:pt idx="12">
                  <c:v>43.54</c:v>
                </c:pt>
                <c:pt idx="13">
                  <c:v>97.03</c:v>
                </c:pt>
                <c:pt idx="14">
                  <c:v>53.97</c:v>
                </c:pt>
                <c:pt idx="15">
                  <c:v>70.02</c:v>
                </c:pt>
                <c:pt idx="16">
                  <c:v>65.2</c:v>
                </c:pt>
                <c:pt idx="17">
                  <c:v>75.99</c:v>
                </c:pt>
                <c:pt idx="18">
                  <c:v>74.93</c:v>
                </c:pt>
                <c:pt idx="19">
                  <c:v>73.78</c:v>
                </c:pt>
                <c:pt idx="20">
                  <c:v>153.96</c:v>
                </c:pt>
                <c:pt idx="21">
                  <c:v>66.73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429493"/>
        <c:axId val="95089928"/>
      </c:lineChart>
      <c:catAx>
        <c:axId val="204294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89928"/>
        <c:crosses val="autoZero"/>
        <c:auto val="1"/>
        <c:lblAlgn val="ctr"/>
        <c:lblOffset val="100"/>
        <c:noMultiLvlLbl val="0"/>
      </c:catAx>
      <c:valAx>
        <c:axId val="950899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294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_series_2!$B$40:$Y$40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89.75</c:v>
                </c:pt>
                <c:pt idx="6">
                  <c:v>108.92</c:v>
                </c:pt>
                <c:pt idx="7">
                  <c:v>73.59</c:v>
                </c:pt>
                <c:pt idx="8">
                  <c:v>77.8</c:v>
                </c:pt>
                <c:pt idx="9">
                  <c:v>61.24</c:v>
                </c:pt>
                <c:pt idx="10">
                  <c:v>63.51</c:v>
                </c:pt>
                <c:pt idx="11">
                  <c:v>96.98</c:v>
                </c:pt>
                <c:pt idx="12">
                  <c:v>81.79</c:v>
                </c:pt>
                <c:pt idx="13">
                  <c:v>88.77</c:v>
                </c:pt>
                <c:pt idx="14">
                  <c:v>74.94</c:v>
                </c:pt>
                <c:pt idx="15">
                  <c:v>73.06</c:v>
                </c:pt>
                <c:pt idx="16">
                  <c:v>77.56</c:v>
                </c:pt>
                <c:pt idx="17">
                  <c:v>93.16</c:v>
                </c:pt>
                <c:pt idx="18">
                  <c:v>91.18</c:v>
                </c:pt>
                <c:pt idx="19">
                  <c:v>67.79</c:v>
                </c:pt>
                <c:pt idx="20">
                  <c:v>75.66</c:v>
                </c:pt>
                <c:pt idx="21">
                  <c:v>57.57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523495"/>
        <c:axId val="28277107"/>
      </c:lineChart>
      <c:catAx>
        <c:axId val="57523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77107"/>
        <c:crosses val="autoZero"/>
        <c:auto val="1"/>
        <c:lblAlgn val="ctr"/>
        <c:lblOffset val="100"/>
        <c:noMultiLvlLbl val="0"/>
      </c:catAx>
      <c:valAx>
        <c:axId val="282771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234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_series_2!$B$41:$Y$41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90.02</c:v>
                </c:pt>
                <c:pt idx="6">
                  <c:v>133.35</c:v>
                </c:pt>
                <c:pt idx="7">
                  <c:v>87.14</c:v>
                </c:pt>
                <c:pt idx="8">
                  <c:v>80.25</c:v>
                </c:pt>
                <c:pt idx="9">
                  <c:v>53.25</c:v>
                </c:pt>
                <c:pt idx="10">
                  <c:v>42.98</c:v>
                </c:pt>
                <c:pt idx="11">
                  <c:v>51.71</c:v>
                </c:pt>
                <c:pt idx="12">
                  <c:v>75.05</c:v>
                </c:pt>
                <c:pt idx="13">
                  <c:v>105.46</c:v>
                </c:pt>
                <c:pt idx="14">
                  <c:v>67.14</c:v>
                </c:pt>
                <c:pt idx="15">
                  <c:v>65.41</c:v>
                </c:pt>
                <c:pt idx="16">
                  <c:v>70.95</c:v>
                </c:pt>
                <c:pt idx="17">
                  <c:v>61.44</c:v>
                </c:pt>
                <c:pt idx="18">
                  <c:v>55.79</c:v>
                </c:pt>
                <c:pt idx="19">
                  <c:v>58.96</c:v>
                </c:pt>
                <c:pt idx="20">
                  <c:v>59.58</c:v>
                </c:pt>
                <c:pt idx="21">
                  <c:v>31.76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52855"/>
        <c:axId val="67580800"/>
      </c:lineChart>
      <c:catAx>
        <c:axId val="1652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80800"/>
        <c:crosses val="autoZero"/>
        <c:auto val="1"/>
        <c:lblAlgn val="ctr"/>
        <c:lblOffset val="100"/>
        <c:noMultiLvlLbl val="0"/>
      </c:catAx>
      <c:valAx>
        <c:axId val="675808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28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_series_2!$B$42:$Y$42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206.38</c:v>
                </c:pt>
                <c:pt idx="6">
                  <c:v>195.81</c:v>
                </c:pt>
                <c:pt idx="7">
                  <c:v>143.12</c:v>
                </c:pt>
                <c:pt idx="8">
                  <c:v>105.5</c:v>
                </c:pt>
                <c:pt idx="9">
                  <c:v>61.13</c:v>
                </c:pt>
                <c:pt idx="10">
                  <c:v>55.64</c:v>
                </c:pt>
                <c:pt idx="11">
                  <c:v>2296.4</c:v>
                </c:pt>
                <c:pt idx="12">
                  <c:v>68.33</c:v>
                </c:pt>
                <c:pt idx="13">
                  <c:v>73.64</c:v>
                </c:pt>
                <c:pt idx="14">
                  <c:v>67.28</c:v>
                </c:pt>
                <c:pt idx="15">
                  <c:v>71.22</c:v>
                </c:pt>
                <c:pt idx="16">
                  <c:v>115.97</c:v>
                </c:pt>
                <c:pt idx="17">
                  <c:v>141.81</c:v>
                </c:pt>
                <c:pt idx="18">
                  <c:v>189.29</c:v>
                </c:pt>
                <c:pt idx="19">
                  <c:v>147.98</c:v>
                </c:pt>
                <c:pt idx="20">
                  <c:v>177.84</c:v>
                </c:pt>
                <c:pt idx="21">
                  <c:v>107.11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988345"/>
        <c:axId val="49915440"/>
      </c:lineChart>
      <c:catAx>
        <c:axId val="139883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15440"/>
        <c:crosses val="autoZero"/>
        <c:auto val="1"/>
        <c:lblAlgn val="ctr"/>
        <c:lblOffset val="100"/>
        <c:noMultiLvlLbl val="0"/>
      </c:catAx>
      <c:valAx>
        <c:axId val="499154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883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_series_2!$B$43:$Y$43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40.13</c:v>
                </c:pt>
                <c:pt idx="6">
                  <c:v>113.72</c:v>
                </c:pt>
                <c:pt idx="7">
                  <c:v>75.18</c:v>
                </c:pt>
                <c:pt idx="8">
                  <c:v>54.02</c:v>
                </c:pt>
                <c:pt idx="9">
                  <c:v>53.3</c:v>
                </c:pt>
                <c:pt idx="10">
                  <c:v>53.49</c:v>
                </c:pt>
                <c:pt idx="11">
                  <c:v>66.13</c:v>
                </c:pt>
                <c:pt idx="12">
                  <c:v>53.49</c:v>
                </c:pt>
                <c:pt idx="13">
                  <c:v>53.49</c:v>
                </c:pt>
                <c:pt idx="14">
                  <c:v>53.49</c:v>
                </c:pt>
                <c:pt idx="15">
                  <c:v>59.64</c:v>
                </c:pt>
                <c:pt idx="16">
                  <c:v>53.49</c:v>
                </c:pt>
                <c:pt idx="17">
                  <c:v>53.49</c:v>
                </c:pt>
                <c:pt idx="18">
                  <c:v>53.49</c:v>
                </c:pt>
                <c:pt idx="19">
                  <c:v>84.44</c:v>
                </c:pt>
                <c:pt idx="20">
                  <c:v>86.3</c:v>
                </c:pt>
                <c:pt idx="21">
                  <c:v>53.49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907234"/>
        <c:axId val="41148438"/>
      </c:lineChart>
      <c:catAx>
        <c:axId val="9690723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48438"/>
        <c:crosses val="autoZero"/>
        <c:auto val="1"/>
        <c:lblAlgn val="ctr"/>
        <c:lblOffset val="100"/>
        <c:noMultiLvlLbl val="0"/>
      </c:catAx>
      <c:valAx>
        <c:axId val="411484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072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_series_2!$B$44:$Y$44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347.11</c:v>
                </c:pt>
                <c:pt idx="6">
                  <c:v>371.75</c:v>
                </c:pt>
                <c:pt idx="7">
                  <c:v>300.62</c:v>
                </c:pt>
                <c:pt idx="8">
                  <c:v>294.73</c:v>
                </c:pt>
                <c:pt idx="9">
                  <c:v>169.66</c:v>
                </c:pt>
                <c:pt idx="10">
                  <c:v>79.89</c:v>
                </c:pt>
                <c:pt idx="11">
                  <c:v>63.9</c:v>
                </c:pt>
                <c:pt idx="12">
                  <c:v>53.49</c:v>
                </c:pt>
                <c:pt idx="13">
                  <c:v>83.14</c:v>
                </c:pt>
                <c:pt idx="14">
                  <c:v>68.13</c:v>
                </c:pt>
                <c:pt idx="15">
                  <c:v>65.56</c:v>
                </c:pt>
                <c:pt idx="16">
                  <c:v>165.45</c:v>
                </c:pt>
                <c:pt idx="17">
                  <c:v>344.09</c:v>
                </c:pt>
                <c:pt idx="18">
                  <c:v>343.37</c:v>
                </c:pt>
                <c:pt idx="19">
                  <c:v>215.59</c:v>
                </c:pt>
                <c:pt idx="20">
                  <c:v>339.06</c:v>
                </c:pt>
                <c:pt idx="21">
                  <c:v>133.97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679951"/>
        <c:axId val="16280720"/>
      </c:lineChart>
      <c:catAx>
        <c:axId val="73679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80720"/>
        <c:crosses val="autoZero"/>
        <c:auto val="1"/>
        <c:lblAlgn val="ctr"/>
        <c:lblOffset val="100"/>
        <c:noMultiLvlLbl val="0"/>
      </c:catAx>
      <c:valAx>
        <c:axId val="162807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79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_series_2!$B$45:$Y$45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118.49</c:v>
                </c:pt>
                <c:pt idx="6">
                  <c:v>154.22</c:v>
                </c:pt>
                <c:pt idx="7">
                  <c:v>87.47</c:v>
                </c:pt>
                <c:pt idx="8">
                  <c:v>83.49</c:v>
                </c:pt>
                <c:pt idx="9">
                  <c:v>78.65</c:v>
                </c:pt>
                <c:pt idx="10">
                  <c:v>78.84</c:v>
                </c:pt>
                <c:pt idx="11">
                  <c:v>121.87</c:v>
                </c:pt>
                <c:pt idx="12">
                  <c:v>124.02</c:v>
                </c:pt>
                <c:pt idx="13">
                  <c:v>93.77</c:v>
                </c:pt>
                <c:pt idx="14">
                  <c:v>93.31</c:v>
                </c:pt>
                <c:pt idx="15">
                  <c:v>94.56</c:v>
                </c:pt>
                <c:pt idx="16">
                  <c:v>93.5</c:v>
                </c:pt>
                <c:pt idx="17">
                  <c:v>165.13</c:v>
                </c:pt>
                <c:pt idx="18">
                  <c:v>175.03</c:v>
                </c:pt>
                <c:pt idx="19">
                  <c:v>121.96</c:v>
                </c:pt>
                <c:pt idx="20">
                  <c:v>78.84</c:v>
                </c:pt>
                <c:pt idx="21">
                  <c:v>78.84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939956"/>
        <c:axId val="88919919"/>
      </c:lineChart>
      <c:catAx>
        <c:axId val="859399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19919"/>
        <c:crosses val="autoZero"/>
        <c:auto val="1"/>
        <c:lblAlgn val="ctr"/>
        <c:lblOffset val="100"/>
        <c:noMultiLvlLbl val="0"/>
      </c:catAx>
      <c:valAx>
        <c:axId val="889199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399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_series_2!$B$46:$Y$46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39.85</c:v>
                </c:pt>
                <c:pt idx="6">
                  <c:v>51.78</c:v>
                </c:pt>
                <c:pt idx="7">
                  <c:v>37.33</c:v>
                </c:pt>
                <c:pt idx="8">
                  <c:v>41.41</c:v>
                </c:pt>
                <c:pt idx="9">
                  <c:v>97.03</c:v>
                </c:pt>
                <c:pt idx="10">
                  <c:v>0</c:v>
                </c:pt>
                <c:pt idx="11">
                  <c:v>0</c:v>
                </c:pt>
                <c:pt idx="12">
                  <c:v>42.75</c:v>
                </c:pt>
                <c:pt idx="13">
                  <c:v>31.97</c:v>
                </c:pt>
                <c:pt idx="14">
                  <c:v>0</c:v>
                </c:pt>
                <c:pt idx="15">
                  <c:v>52.56</c:v>
                </c:pt>
                <c:pt idx="16">
                  <c:v>44.32</c:v>
                </c:pt>
                <c:pt idx="17">
                  <c:v>39.84</c:v>
                </c:pt>
                <c:pt idx="18">
                  <c:v>45.55</c:v>
                </c:pt>
                <c:pt idx="19">
                  <c:v>44.05</c:v>
                </c:pt>
                <c:pt idx="20">
                  <c:v>37.65</c:v>
                </c:pt>
                <c:pt idx="21">
                  <c:v>36.42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547399"/>
        <c:axId val="65133165"/>
      </c:lineChart>
      <c:catAx>
        <c:axId val="76547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33165"/>
        <c:crosses val="autoZero"/>
        <c:auto val="1"/>
        <c:lblAlgn val="ctr"/>
        <c:lblOffset val="100"/>
        <c:noMultiLvlLbl val="0"/>
      </c:catAx>
      <c:valAx>
        <c:axId val="651331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473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_series_2!$B$47:$Y$47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24.44</c:v>
                </c:pt>
                <c:pt idx="6">
                  <c:v>103.27</c:v>
                </c:pt>
                <c:pt idx="7">
                  <c:v>38.12</c:v>
                </c:pt>
                <c:pt idx="8">
                  <c:v>30.84</c:v>
                </c:pt>
                <c:pt idx="9">
                  <c:v>62.64</c:v>
                </c:pt>
                <c:pt idx="10">
                  <c:v>48.65</c:v>
                </c:pt>
                <c:pt idx="11">
                  <c:v>38.22</c:v>
                </c:pt>
                <c:pt idx="12">
                  <c:v>30.61</c:v>
                </c:pt>
                <c:pt idx="13">
                  <c:v>30.61</c:v>
                </c:pt>
                <c:pt idx="14">
                  <c:v>30.61</c:v>
                </c:pt>
                <c:pt idx="15">
                  <c:v>30.61</c:v>
                </c:pt>
                <c:pt idx="16">
                  <c:v>46.48</c:v>
                </c:pt>
                <c:pt idx="17">
                  <c:v>34.29</c:v>
                </c:pt>
                <c:pt idx="18">
                  <c:v>31.16</c:v>
                </c:pt>
                <c:pt idx="19">
                  <c:v>30.6</c:v>
                </c:pt>
                <c:pt idx="20">
                  <c:v>30.61</c:v>
                </c:pt>
                <c:pt idx="21">
                  <c:v>30.61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177272"/>
        <c:axId val="78004213"/>
      </c:lineChart>
      <c:catAx>
        <c:axId val="57177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04213"/>
        <c:crosses val="autoZero"/>
        <c:auto val="1"/>
        <c:lblAlgn val="ctr"/>
        <c:lblOffset val="100"/>
        <c:noMultiLvlLbl val="0"/>
      </c:catAx>
      <c:valAx>
        <c:axId val="780042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772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_series_2!$B$48:$Y$48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142.7</c:v>
                </c:pt>
                <c:pt idx="6">
                  <c:v>158.03</c:v>
                </c:pt>
                <c:pt idx="7">
                  <c:v>104.93</c:v>
                </c:pt>
                <c:pt idx="8">
                  <c:v>109.06</c:v>
                </c:pt>
                <c:pt idx="9">
                  <c:v>62.3</c:v>
                </c:pt>
                <c:pt idx="10">
                  <c:v>62.29</c:v>
                </c:pt>
                <c:pt idx="11">
                  <c:v>157.8</c:v>
                </c:pt>
                <c:pt idx="12">
                  <c:v>198.54</c:v>
                </c:pt>
                <c:pt idx="13">
                  <c:v>134.89</c:v>
                </c:pt>
                <c:pt idx="14">
                  <c:v>110.65</c:v>
                </c:pt>
                <c:pt idx="15">
                  <c:v>105.97</c:v>
                </c:pt>
                <c:pt idx="16">
                  <c:v>117.91</c:v>
                </c:pt>
                <c:pt idx="17">
                  <c:v>123.7</c:v>
                </c:pt>
                <c:pt idx="18">
                  <c:v>98.87</c:v>
                </c:pt>
                <c:pt idx="19">
                  <c:v>105.2</c:v>
                </c:pt>
                <c:pt idx="20">
                  <c:v>90.93</c:v>
                </c:pt>
                <c:pt idx="21">
                  <c:v>57.95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374461"/>
        <c:axId val="2232529"/>
      </c:lineChart>
      <c:catAx>
        <c:axId val="6537446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2529"/>
        <c:crosses val="autoZero"/>
        <c:auto val="1"/>
        <c:lblAlgn val="ctr"/>
        <c:lblOffset val="100"/>
        <c:noMultiLvlLbl val="0"/>
      </c:catAx>
      <c:valAx>
        <c:axId val="22325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744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_series_2!$B$49:$Y$49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36.64</c:v>
                </c:pt>
                <c:pt idx="6">
                  <c:v>50.58</c:v>
                </c:pt>
                <c:pt idx="7">
                  <c:v>40.66</c:v>
                </c:pt>
                <c:pt idx="8">
                  <c:v>36.23</c:v>
                </c:pt>
                <c:pt idx="9">
                  <c:v>56.58</c:v>
                </c:pt>
                <c:pt idx="10">
                  <c:v>36.42</c:v>
                </c:pt>
                <c:pt idx="11">
                  <c:v>73.55</c:v>
                </c:pt>
                <c:pt idx="12">
                  <c:v>129.06</c:v>
                </c:pt>
                <c:pt idx="13">
                  <c:v>123.92</c:v>
                </c:pt>
                <c:pt idx="14">
                  <c:v>91.35</c:v>
                </c:pt>
                <c:pt idx="15">
                  <c:v>61.86</c:v>
                </c:pt>
                <c:pt idx="16">
                  <c:v>36.42</c:v>
                </c:pt>
                <c:pt idx="17">
                  <c:v>36.42</c:v>
                </c:pt>
                <c:pt idx="18">
                  <c:v>36.42</c:v>
                </c:pt>
                <c:pt idx="19">
                  <c:v>36.41</c:v>
                </c:pt>
                <c:pt idx="20">
                  <c:v>36.42</c:v>
                </c:pt>
                <c:pt idx="21">
                  <c:v>36.42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767040"/>
        <c:axId val="51226023"/>
      </c:lineChart>
      <c:catAx>
        <c:axId val="6676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26023"/>
        <c:crosses val="autoZero"/>
        <c:auto val="1"/>
        <c:lblAlgn val="ctr"/>
        <c:lblOffset val="100"/>
        <c:noMultiLvlLbl val="0"/>
      </c:catAx>
      <c:valAx>
        <c:axId val="512260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67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_series_2!$B$50:$Y$50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4.17</c:v>
                </c:pt>
                <c:pt idx="6">
                  <c:v>38.81</c:v>
                </c:pt>
                <c:pt idx="7">
                  <c:v>29.88</c:v>
                </c:pt>
                <c:pt idx="8">
                  <c:v>29.89</c:v>
                </c:pt>
                <c:pt idx="9">
                  <c:v>29.89</c:v>
                </c:pt>
                <c:pt idx="10">
                  <c:v>30.08</c:v>
                </c:pt>
                <c:pt idx="11">
                  <c:v>30.08</c:v>
                </c:pt>
                <c:pt idx="12">
                  <c:v>30.08</c:v>
                </c:pt>
                <c:pt idx="13">
                  <c:v>41.58</c:v>
                </c:pt>
                <c:pt idx="14">
                  <c:v>32.89</c:v>
                </c:pt>
                <c:pt idx="15">
                  <c:v>35.43</c:v>
                </c:pt>
                <c:pt idx="16">
                  <c:v>30.08</c:v>
                </c:pt>
                <c:pt idx="17">
                  <c:v>59.76</c:v>
                </c:pt>
                <c:pt idx="18">
                  <c:v>45.3</c:v>
                </c:pt>
                <c:pt idx="19">
                  <c:v>30.07</c:v>
                </c:pt>
                <c:pt idx="20">
                  <c:v>30.27</c:v>
                </c:pt>
                <c:pt idx="21">
                  <c:v>30.08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320510"/>
        <c:axId val="56874744"/>
      </c:lineChart>
      <c:catAx>
        <c:axId val="343205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74744"/>
        <c:crosses val="autoZero"/>
        <c:auto val="1"/>
        <c:lblAlgn val="ctr"/>
        <c:lblOffset val="100"/>
        <c:noMultiLvlLbl val="0"/>
      </c:catAx>
      <c:valAx>
        <c:axId val="568747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205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_series_2!$B$51:$Y$51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187.37</c:v>
                </c:pt>
                <c:pt idx="6">
                  <c:v>356.58</c:v>
                </c:pt>
                <c:pt idx="7">
                  <c:v>235.43</c:v>
                </c:pt>
                <c:pt idx="8">
                  <c:v>209.2</c:v>
                </c:pt>
                <c:pt idx="9">
                  <c:v>182.14</c:v>
                </c:pt>
                <c:pt idx="10">
                  <c:v>207.52</c:v>
                </c:pt>
                <c:pt idx="11">
                  <c:v>386.58</c:v>
                </c:pt>
                <c:pt idx="12">
                  <c:v>538.58</c:v>
                </c:pt>
                <c:pt idx="13">
                  <c:v>419.91</c:v>
                </c:pt>
                <c:pt idx="14">
                  <c:v>343.48</c:v>
                </c:pt>
                <c:pt idx="15">
                  <c:v>342.43</c:v>
                </c:pt>
                <c:pt idx="16">
                  <c:v>233.64</c:v>
                </c:pt>
                <c:pt idx="17">
                  <c:v>286.64</c:v>
                </c:pt>
                <c:pt idx="18">
                  <c:v>392.56</c:v>
                </c:pt>
                <c:pt idx="19">
                  <c:v>325.89</c:v>
                </c:pt>
                <c:pt idx="20">
                  <c:v>280.12</c:v>
                </c:pt>
                <c:pt idx="21">
                  <c:v>251.73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399851"/>
        <c:axId val="95586711"/>
      </c:lineChart>
      <c:catAx>
        <c:axId val="143998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86711"/>
        <c:crosses val="autoZero"/>
        <c:auto val="1"/>
        <c:lblAlgn val="ctr"/>
        <c:lblOffset val="100"/>
        <c:noMultiLvlLbl val="0"/>
      </c:catAx>
      <c:valAx>
        <c:axId val="955867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998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_series_2!$B$52:$Y$52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197.21</c:v>
                </c:pt>
                <c:pt idx="6">
                  <c:v>107.96</c:v>
                </c:pt>
                <c:pt idx="7">
                  <c:v>57.75</c:v>
                </c:pt>
                <c:pt idx="8">
                  <c:v>57.76</c:v>
                </c:pt>
                <c:pt idx="9">
                  <c:v>156.48</c:v>
                </c:pt>
                <c:pt idx="10">
                  <c:v>109.34</c:v>
                </c:pt>
                <c:pt idx="11">
                  <c:v>81.96</c:v>
                </c:pt>
                <c:pt idx="12">
                  <c:v>104.55</c:v>
                </c:pt>
                <c:pt idx="13">
                  <c:v>64.71</c:v>
                </c:pt>
                <c:pt idx="14">
                  <c:v>144.05</c:v>
                </c:pt>
                <c:pt idx="15">
                  <c:v>114.68</c:v>
                </c:pt>
                <c:pt idx="16">
                  <c:v>57.95</c:v>
                </c:pt>
                <c:pt idx="17">
                  <c:v>155.67</c:v>
                </c:pt>
                <c:pt idx="18">
                  <c:v>95.69</c:v>
                </c:pt>
                <c:pt idx="19">
                  <c:v>73.01</c:v>
                </c:pt>
                <c:pt idx="20">
                  <c:v>131.64</c:v>
                </c:pt>
                <c:pt idx="21">
                  <c:v>214.16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430404"/>
        <c:axId val="33237868"/>
      </c:lineChart>
      <c:catAx>
        <c:axId val="514304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37868"/>
        <c:crosses val="autoZero"/>
        <c:auto val="1"/>
        <c:lblAlgn val="ctr"/>
        <c:lblOffset val="100"/>
        <c:noMultiLvlLbl val="0"/>
      </c:catAx>
      <c:valAx>
        <c:axId val="332378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304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_series_2!$B$53:$Y$53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180.47</c:v>
                </c:pt>
                <c:pt idx="6">
                  <c:v>158.91</c:v>
                </c:pt>
                <c:pt idx="7">
                  <c:v>141.13</c:v>
                </c:pt>
                <c:pt idx="8">
                  <c:v>152.98</c:v>
                </c:pt>
                <c:pt idx="9">
                  <c:v>157.74</c:v>
                </c:pt>
                <c:pt idx="10">
                  <c:v>113.65</c:v>
                </c:pt>
                <c:pt idx="11">
                  <c:v>193.9</c:v>
                </c:pt>
                <c:pt idx="12">
                  <c:v>208.65</c:v>
                </c:pt>
                <c:pt idx="13">
                  <c:v>154.35</c:v>
                </c:pt>
                <c:pt idx="14">
                  <c:v>155.61</c:v>
                </c:pt>
                <c:pt idx="15">
                  <c:v>97.8</c:v>
                </c:pt>
                <c:pt idx="16">
                  <c:v>151.27</c:v>
                </c:pt>
                <c:pt idx="17">
                  <c:v>251.03</c:v>
                </c:pt>
                <c:pt idx="18">
                  <c:v>157.49</c:v>
                </c:pt>
                <c:pt idx="19">
                  <c:v>190.46</c:v>
                </c:pt>
                <c:pt idx="20">
                  <c:v>136.69</c:v>
                </c:pt>
                <c:pt idx="21">
                  <c:v>63.08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431698"/>
        <c:axId val="82268888"/>
      </c:lineChart>
      <c:catAx>
        <c:axId val="314316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68888"/>
        <c:crosses val="autoZero"/>
        <c:auto val="1"/>
        <c:lblAlgn val="ctr"/>
        <c:lblOffset val="100"/>
        <c:noMultiLvlLbl val="0"/>
      </c:catAx>
      <c:valAx>
        <c:axId val="822688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316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_series_2!$B$54:$Y$54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69.32</c:v>
                </c:pt>
                <c:pt idx="6">
                  <c:v>68.18</c:v>
                </c:pt>
                <c:pt idx="7">
                  <c:v>67.91</c:v>
                </c:pt>
                <c:pt idx="8">
                  <c:v>65.5</c:v>
                </c:pt>
                <c:pt idx="9">
                  <c:v>63</c:v>
                </c:pt>
                <c:pt idx="10">
                  <c:v>66.74</c:v>
                </c:pt>
                <c:pt idx="11">
                  <c:v>76.22</c:v>
                </c:pt>
                <c:pt idx="12">
                  <c:v>103.09</c:v>
                </c:pt>
                <c:pt idx="13">
                  <c:v>113.81</c:v>
                </c:pt>
                <c:pt idx="14">
                  <c:v>63.43</c:v>
                </c:pt>
                <c:pt idx="15">
                  <c:v>65.43</c:v>
                </c:pt>
                <c:pt idx="16">
                  <c:v>70.01</c:v>
                </c:pt>
                <c:pt idx="17">
                  <c:v>68.52</c:v>
                </c:pt>
                <c:pt idx="18">
                  <c:v>70.37</c:v>
                </c:pt>
                <c:pt idx="19">
                  <c:v>71.34</c:v>
                </c:pt>
                <c:pt idx="20">
                  <c:v>69.79</c:v>
                </c:pt>
                <c:pt idx="21">
                  <c:v>67.31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75783"/>
        <c:axId val="5555448"/>
      </c:lineChart>
      <c:catAx>
        <c:axId val="85575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5448"/>
        <c:crosses val="autoZero"/>
        <c:auto val="1"/>
        <c:lblAlgn val="ctr"/>
        <c:lblOffset val="100"/>
        <c:noMultiLvlLbl val="0"/>
      </c:catAx>
      <c:valAx>
        <c:axId val="55554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75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_series_2!$B$55:$Y$55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47.83</c:v>
                </c:pt>
                <c:pt idx="6">
                  <c:v>50.78</c:v>
                </c:pt>
                <c:pt idx="7">
                  <c:v>50.77</c:v>
                </c:pt>
                <c:pt idx="8">
                  <c:v>50.78</c:v>
                </c:pt>
                <c:pt idx="9">
                  <c:v>50.78</c:v>
                </c:pt>
                <c:pt idx="10">
                  <c:v>50.97</c:v>
                </c:pt>
                <c:pt idx="11">
                  <c:v>65.4</c:v>
                </c:pt>
                <c:pt idx="12">
                  <c:v>50.97</c:v>
                </c:pt>
                <c:pt idx="13">
                  <c:v>50.97</c:v>
                </c:pt>
                <c:pt idx="14">
                  <c:v>50.97</c:v>
                </c:pt>
                <c:pt idx="15">
                  <c:v>66.67</c:v>
                </c:pt>
                <c:pt idx="16">
                  <c:v>64.71</c:v>
                </c:pt>
                <c:pt idx="17">
                  <c:v>50.97</c:v>
                </c:pt>
                <c:pt idx="18">
                  <c:v>50.97</c:v>
                </c:pt>
                <c:pt idx="19">
                  <c:v>50.96</c:v>
                </c:pt>
                <c:pt idx="20">
                  <c:v>50.97</c:v>
                </c:pt>
                <c:pt idx="21">
                  <c:v>50.97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091103"/>
        <c:axId val="34333267"/>
      </c:lineChart>
      <c:catAx>
        <c:axId val="15091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33267"/>
        <c:crosses val="autoZero"/>
        <c:auto val="1"/>
        <c:lblAlgn val="ctr"/>
        <c:lblOffset val="100"/>
        <c:noMultiLvlLbl val="0"/>
      </c:catAx>
      <c:valAx>
        <c:axId val="343332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91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_series_2!$B$56:$Y$56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30.2</c:v>
                </c:pt>
                <c:pt idx="6">
                  <c:v>34.09</c:v>
                </c:pt>
                <c:pt idx="7">
                  <c:v>59.75</c:v>
                </c:pt>
                <c:pt idx="8">
                  <c:v>34.51</c:v>
                </c:pt>
                <c:pt idx="9">
                  <c:v>39.85</c:v>
                </c:pt>
                <c:pt idx="10">
                  <c:v>53.43</c:v>
                </c:pt>
                <c:pt idx="11">
                  <c:v>116.93</c:v>
                </c:pt>
                <c:pt idx="12">
                  <c:v>93.33</c:v>
                </c:pt>
                <c:pt idx="13">
                  <c:v>112.19</c:v>
                </c:pt>
                <c:pt idx="14">
                  <c:v>101.59</c:v>
                </c:pt>
                <c:pt idx="15">
                  <c:v>86.7</c:v>
                </c:pt>
                <c:pt idx="16">
                  <c:v>120.39</c:v>
                </c:pt>
                <c:pt idx="17">
                  <c:v>129.97</c:v>
                </c:pt>
                <c:pt idx="18">
                  <c:v>202.95</c:v>
                </c:pt>
                <c:pt idx="19">
                  <c:v>104.89</c:v>
                </c:pt>
                <c:pt idx="20">
                  <c:v>100.84</c:v>
                </c:pt>
                <c:pt idx="21">
                  <c:v>34.7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130968"/>
        <c:axId val="98589013"/>
      </c:lineChart>
      <c:catAx>
        <c:axId val="45130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89013"/>
        <c:crosses val="autoZero"/>
        <c:auto val="1"/>
        <c:lblAlgn val="ctr"/>
        <c:lblOffset val="100"/>
        <c:noMultiLvlLbl val="0"/>
      </c:catAx>
      <c:valAx>
        <c:axId val="985890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309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_series_2!$B$57:$Y$57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152.3</c:v>
                </c:pt>
                <c:pt idx="6">
                  <c:v>155.74</c:v>
                </c:pt>
                <c:pt idx="7">
                  <c:v>135.53</c:v>
                </c:pt>
                <c:pt idx="8">
                  <c:v>151.45</c:v>
                </c:pt>
                <c:pt idx="9">
                  <c:v>121.1</c:v>
                </c:pt>
                <c:pt idx="10">
                  <c:v>117.22</c:v>
                </c:pt>
                <c:pt idx="11">
                  <c:v>135.4</c:v>
                </c:pt>
                <c:pt idx="12">
                  <c:v>157.11</c:v>
                </c:pt>
                <c:pt idx="13">
                  <c:v>145.6</c:v>
                </c:pt>
                <c:pt idx="14">
                  <c:v>133.59</c:v>
                </c:pt>
                <c:pt idx="15">
                  <c:v>124.12</c:v>
                </c:pt>
                <c:pt idx="16">
                  <c:v>141.72</c:v>
                </c:pt>
                <c:pt idx="17">
                  <c:v>181.57</c:v>
                </c:pt>
                <c:pt idx="18">
                  <c:v>190.85</c:v>
                </c:pt>
                <c:pt idx="19">
                  <c:v>144.71</c:v>
                </c:pt>
                <c:pt idx="20">
                  <c:v>140.88</c:v>
                </c:pt>
                <c:pt idx="21">
                  <c:v>121.29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316917"/>
        <c:axId val="58730303"/>
      </c:lineChart>
      <c:catAx>
        <c:axId val="783169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30303"/>
        <c:crosses val="autoZero"/>
        <c:auto val="1"/>
        <c:lblAlgn val="ctr"/>
        <c:lblOffset val="100"/>
        <c:noMultiLvlLbl val="0"/>
      </c:catAx>
      <c:valAx>
        <c:axId val="587303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169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_series_2!$B$58:$Y$58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192.1</c:v>
                </c:pt>
                <c:pt idx="6">
                  <c:v>178.04</c:v>
                </c:pt>
                <c:pt idx="7">
                  <c:v>145.32</c:v>
                </c:pt>
                <c:pt idx="8">
                  <c:v>133.89</c:v>
                </c:pt>
                <c:pt idx="9">
                  <c:v>81.14</c:v>
                </c:pt>
                <c:pt idx="10">
                  <c:v>70.79</c:v>
                </c:pt>
                <c:pt idx="11">
                  <c:v>85.31</c:v>
                </c:pt>
                <c:pt idx="12">
                  <c:v>127.02</c:v>
                </c:pt>
                <c:pt idx="13">
                  <c:v>106.87</c:v>
                </c:pt>
                <c:pt idx="14">
                  <c:v>97.92</c:v>
                </c:pt>
                <c:pt idx="15">
                  <c:v>105.82</c:v>
                </c:pt>
                <c:pt idx="16">
                  <c:v>139.48</c:v>
                </c:pt>
                <c:pt idx="17">
                  <c:v>194.34</c:v>
                </c:pt>
                <c:pt idx="18">
                  <c:v>242.11</c:v>
                </c:pt>
                <c:pt idx="19">
                  <c:v>171.01</c:v>
                </c:pt>
                <c:pt idx="20">
                  <c:v>177.95</c:v>
                </c:pt>
                <c:pt idx="21">
                  <c:v>93.5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078889"/>
        <c:axId val="8482101"/>
      </c:lineChart>
      <c:catAx>
        <c:axId val="210788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2101"/>
        <c:crosses val="autoZero"/>
        <c:auto val="1"/>
        <c:lblAlgn val="ctr"/>
        <c:lblOffset val="100"/>
        <c:noMultiLvlLbl val="0"/>
      </c:catAx>
      <c:valAx>
        <c:axId val="84821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78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_series_2!$B$59:$Y$59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488.65</c:v>
                </c:pt>
                <c:pt idx="6">
                  <c:v>537.73</c:v>
                </c:pt>
                <c:pt idx="7">
                  <c:v>494.3</c:v>
                </c:pt>
                <c:pt idx="8">
                  <c:v>528.99</c:v>
                </c:pt>
                <c:pt idx="9">
                  <c:v>544.83</c:v>
                </c:pt>
                <c:pt idx="10">
                  <c:v>537.05</c:v>
                </c:pt>
                <c:pt idx="11">
                  <c:v>563.32</c:v>
                </c:pt>
                <c:pt idx="12">
                  <c:v>575.52</c:v>
                </c:pt>
                <c:pt idx="13">
                  <c:v>644.98</c:v>
                </c:pt>
                <c:pt idx="14">
                  <c:v>529.15</c:v>
                </c:pt>
                <c:pt idx="15">
                  <c:v>488.22</c:v>
                </c:pt>
                <c:pt idx="16">
                  <c:v>454.74</c:v>
                </c:pt>
                <c:pt idx="17">
                  <c:v>450</c:v>
                </c:pt>
                <c:pt idx="18">
                  <c:v>440.38</c:v>
                </c:pt>
                <c:pt idx="19">
                  <c:v>457.36</c:v>
                </c:pt>
                <c:pt idx="20">
                  <c:v>398.64</c:v>
                </c:pt>
                <c:pt idx="21">
                  <c:v>437.08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468542"/>
        <c:axId val="73069658"/>
      </c:lineChart>
      <c:catAx>
        <c:axId val="1346854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69658"/>
        <c:crosses val="autoZero"/>
        <c:auto val="1"/>
        <c:lblAlgn val="ctr"/>
        <c:lblOffset val="100"/>
        <c:noMultiLvlLbl val="0"/>
      </c:catAx>
      <c:valAx>
        <c:axId val="730696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685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_series_2!$B$60:$Y$60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94.92</c:v>
                </c:pt>
                <c:pt idx="6">
                  <c:v>86.01</c:v>
                </c:pt>
                <c:pt idx="7">
                  <c:v>79.35</c:v>
                </c:pt>
                <c:pt idx="8">
                  <c:v>78.97</c:v>
                </c:pt>
                <c:pt idx="9">
                  <c:v>65.97</c:v>
                </c:pt>
                <c:pt idx="10">
                  <c:v>67.69</c:v>
                </c:pt>
                <c:pt idx="11">
                  <c:v>103.82</c:v>
                </c:pt>
                <c:pt idx="12">
                  <c:v>132.38</c:v>
                </c:pt>
                <c:pt idx="13">
                  <c:v>136.19</c:v>
                </c:pt>
                <c:pt idx="14">
                  <c:v>77.82</c:v>
                </c:pt>
                <c:pt idx="15">
                  <c:v>64.73</c:v>
                </c:pt>
                <c:pt idx="16">
                  <c:v>71.67</c:v>
                </c:pt>
                <c:pt idx="17">
                  <c:v>82.72</c:v>
                </c:pt>
                <c:pt idx="18">
                  <c:v>96.29</c:v>
                </c:pt>
                <c:pt idx="19">
                  <c:v>71.93</c:v>
                </c:pt>
                <c:pt idx="20">
                  <c:v>86.07</c:v>
                </c:pt>
                <c:pt idx="21">
                  <c:v>73.45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312705"/>
        <c:axId val="80744100"/>
      </c:lineChart>
      <c:catAx>
        <c:axId val="793127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44100"/>
        <c:crosses val="autoZero"/>
        <c:auto val="1"/>
        <c:lblAlgn val="ctr"/>
        <c:lblOffset val="100"/>
        <c:noMultiLvlLbl val="0"/>
      </c:catAx>
      <c:valAx>
        <c:axId val="807441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12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_series_2!$B$61:$Y$61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153.3</c:v>
                </c:pt>
                <c:pt idx="6">
                  <c:v>235.52</c:v>
                </c:pt>
                <c:pt idx="7">
                  <c:v>144.81</c:v>
                </c:pt>
                <c:pt idx="8">
                  <c:v>170.73</c:v>
                </c:pt>
                <c:pt idx="9">
                  <c:v>107.14</c:v>
                </c:pt>
                <c:pt idx="10">
                  <c:v>64.89</c:v>
                </c:pt>
                <c:pt idx="11">
                  <c:v>74.86</c:v>
                </c:pt>
                <c:pt idx="12">
                  <c:v>64.9</c:v>
                </c:pt>
                <c:pt idx="13">
                  <c:v>73.65</c:v>
                </c:pt>
                <c:pt idx="14">
                  <c:v>68.86</c:v>
                </c:pt>
                <c:pt idx="15">
                  <c:v>64.9</c:v>
                </c:pt>
                <c:pt idx="16">
                  <c:v>98.52</c:v>
                </c:pt>
                <c:pt idx="17">
                  <c:v>222.19</c:v>
                </c:pt>
                <c:pt idx="18">
                  <c:v>204.15</c:v>
                </c:pt>
                <c:pt idx="19">
                  <c:v>117.32</c:v>
                </c:pt>
                <c:pt idx="20">
                  <c:v>122.82</c:v>
                </c:pt>
                <c:pt idx="21">
                  <c:v>64.9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382819"/>
        <c:axId val="66528399"/>
      </c:lineChart>
      <c:catAx>
        <c:axId val="833828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28399"/>
        <c:crosses val="autoZero"/>
        <c:auto val="1"/>
        <c:lblAlgn val="ctr"/>
        <c:lblOffset val="100"/>
        <c:noMultiLvlLbl val="0"/>
      </c:catAx>
      <c:valAx>
        <c:axId val="665283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828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_series_2!$B$62:$Y$62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25.51</c:v>
                </c:pt>
                <c:pt idx="6">
                  <c:v>36.23</c:v>
                </c:pt>
                <c:pt idx="7">
                  <c:v>36.22</c:v>
                </c:pt>
                <c:pt idx="8">
                  <c:v>36.23</c:v>
                </c:pt>
                <c:pt idx="9">
                  <c:v>36.23</c:v>
                </c:pt>
                <c:pt idx="10">
                  <c:v>36.42</c:v>
                </c:pt>
                <c:pt idx="11">
                  <c:v>39.14</c:v>
                </c:pt>
                <c:pt idx="12">
                  <c:v>36.42</c:v>
                </c:pt>
                <c:pt idx="13">
                  <c:v>69.21</c:v>
                </c:pt>
                <c:pt idx="14">
                  <c:v>36.42</c:v>
                </c:pt>
                <c:pt idx="15">
                  <c:v>36.42</c:v>
                </c:pt>
                <c:pt idx="16">
                  <c:v>36.42</c:v>
                </c:pt>
                <c:pt idx="17">
                  <c:v>36.42</c:v>
                </c:pt>
                <c:pt idx="18">
                  <c:v>36.42</c:v>
                </c:pt>
                <c:pt idx="19">
                  <c:v>36.41</c:v>
                </c:pt>
                <c:pt idx="20">
                  <c:v>36.42</c:v>
                </c:pt>
                <c:pt idx="21">
                  <c:v>36.42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547"/>
        <c:axId val="73159102"/>
      </c:lineChart>
      <c:catAx>
        <c:axId val="185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59102"/>
        <c:crosses val="autoZero"/>
        <c:auto val="1"/>
        <c:lblAlgn val="ctr"/>
        <c:lblOffset val="100"/>
        <c:noMultiLvlLbl val="0"/>
      </c:catAx>
      <c:valAx>
        <c:axId val="731591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_series_2!$B$63:$Y$63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84.84</c:v>
                </c:pt>
                <c:pt idx="6">
                  <c:v>87.6</c:v>
                </c:pt>
                <c:pt idx="7">
                  <c:v>102.13</c:v>
                </c:pt>
                <c:pt idx="8">
                  <c:v>112.73</c:v>
                </c:pt>
                <c:pt idx="9">
                  <c:v>67.24</c:v>
                </c:pt>
                <c:pt idx="10">
                  <c:v>70.09</c:v>
                </c:pt>
                <c:pt idx="11">
                  <c:v>176.45</c:v>
                </c:pt>
                <c:pt idx="12">
                  <c:v>216.18</c:v>
                </c:pt>
                <c:pt idx="13">
                  <c:v>228.49</c:v>
                </c:pt>
                <c:pt idx="14">
                  <c:v>167.21</c:v>
                </c:pt>
                <c:pt idx="15">
                  <c:v>89.58</c:v>
                </c:pt>
                <c:pt idx="16">
                  <c:v>53.52</c:v>
                </c:pt>
                <c:pt idx="17">
                  <c:v>94.91</c:v>
                </c:pt>
                <c:pt idx="18">
                  <c:v>68.69</c:v>
                </c:pt>
                <c:pt idx="19">
                  <c:v>52.1</c:v>
                </c:pt>
                <c:pt idx="20">
                  <c:v>65.48</c:v>
                </c:pt>
                <c:pt idx="21">
                  <c:v>54.69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032262"/>
        <c:axId val="37923202"/>
      </c:lineChart>
      <c:catAx>
        <c:axId val="550322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23202"/>
        <c:crosses val="autoZero"/>
        <c:auto val="1"/>
        <c:lblAlgn val="ctr"/>
        <c:lblOffset val="100"/>
        <c:noMultiLvlLbl val="0"/>
      </c:catAx>
      <c:valAx>
        <c:axId val="379232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322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_series_2!$B$64:$Y$64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210.17</c:v>
                </c:pt>
                <c:pt idx="6">
                  <c:v>158.23</c:v>
                </c:pt>
                <c:pt idx="7">
                  <c:v>144.91</c:v>
                </c:pt>
                <c:pt idx="8">
                  <c:v>177.92</c:v>
                </c:pt>
                <c:pt idx="9">
                  <c:v>203.1</c:v>
                </c:pt>
                <c:pt idx="10">
                  <c:v>248.87</c:v>
                </c:pt>
                <c:pt idx="11">
                  <c:v>311.28</c:v>
                </c:pt>
                <c:pt idx="12">
                  <c:v>316.34</c:v>
                </c:pt>
                <c:pt idx="13">
                  <c:v>459.23</c:v>
                </c:pt>
                <c:pt idx="14">
                  <c:v>343.62</c:v>
                </c:pt>
                <c:pt idx="15">
                  <c:v>268.93</c:v>
                </c:pt>
                <c:pt idx="16">
                  <c:v>208.6</c:v>
                </c:pt>
                <c:pt idx="17">
                  <c:v>225.91</c:v>
                </c:pt>
                <c:pt idx="18">
                  <c:v>206.38</c:v>
                </c:pt>
                <c:pt idx="19">
                  <c:v>249.36</c:v>
                </c:pt>
                <c:pt idx="20">
                  <c:v>234.85</c:v>
                </c:pt>
                <c:pt idx="21">
                  <c:v>245.83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690954"/>
        <c:axId val="335433"/>
      </c:lineChart>
      <c:catAx>
        <c:axId val="646909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433"/>
        <c:crosses val="autoZero"/>
        <c:auto val="1"/>
        <c:lblAlgn val="ctr"/>
        <c:lblOffset val="100"/>
        <c:noMultiLvlLbl val="0"/>
      </c:catAx>
      <c:valAx>
        <c:axId val="3354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90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_series_2!$B$65:$Y$65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102.46</c:v>
                </c:pt>
                <c:pt idx="6">
                  <c:v>89.21</c:v>
                </c:pt>
                <c:pt idx="7">
                  <c:v>83.15</c:v>
                </c:pt>
                <c:pt idx="8">
                  <c:v>72.06</c:v>
                </c:pt>
                <c:pt idx="9">
                  <c:v>80.99</c:v>
                </c:pt>
                <c:pt idx="10">
                  <c:v>82.21</c:v>
                </c:pt>
                <c:pt idx="11">
                  <c:v>98.36</c:v>
                </c:pt>
                <c:pt idx="12">
                  <c:v>101.02</c:v>
                </c:pt>
                <c:pt idx="13">
                  <c:v>102.55</c:v>
                </c:pt>
                <c:pt idx="14">
                  <c:v>85.84</c:v>
                </c:pt>
                <c:pt idx="15">
                  <c:v>73.62</c:v>
                </c:pt>
                <c:pt idx="16">
                  <c:v>75.21</c:v>
                </c:pt>
                <c:pt idx="17">
                  <c:v>82.48</c:v>
                </c:pt>
                <c:pt idx="18">
                  <c:v>82.8</c:v>
                </c:pt>
                <c:pt idx="19">
                  <c:v>76.5</c:v>
                </c:pt>
                <c:pt idx="20">
                  <c:v>89.98</c:v>
                </c:pt>
                <c:pt idx="21">
                  <c:v>96.87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321941"/>
        <c:axId val="59388532"/>
      </c:lineChart>
      <c:catAx>
        <c:axId val="333219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88532"/>
        <c:crosses val="autoZero"/>
        <c:auto val="1"/>
        <c:lblAlgn val="ctr"/>
        <c:lblOffset val="100"/>
        <c:noMultiLvlLbl val="0"/>
      </c:catAx>
      <c:valAx>
        <c:axId val="593885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21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_series_2!$B$66:$Y$66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449.11</c:v>
                </c:pt>
                <c:pt idx="5">
                  <c:v>662.18</c:v>
                </c:pt>
                <c:pt idx="6">
                  <c:v>474.49</c:v>
                </c:pt>
                <c:pt idx="7">
                  <c:v>515.45</c:v>
                </c:pt>
                <c:pt idx="8">
                  <c:v>71.21</c:v>
                </c:pt>
                <c:pt idx="9">
                  <c:v>492.58</c:v>
                </c:pt>
                <c:pt idx="10">
                  <c:v>493.06</c:v>
                </c:pt>
                <c:pt idx="11">
                  <c:v>616.1</c:v>
                </c:pt>
                <c:pt idx="12">
                  <c:v>1183.11</c:v>
                </c:pt>
                <c:pt idx="13">
                  <c:v>1678.46</c:v>
                </c:pt>
                <c:pt idx="14">
                  <c:v>0</c:v>
                </c:pt>
                <c:pt idx="15">
                  <c:v>417.31</c:v>
                </c:pt>
                <c:pt idx="16">
                  <c:v>248.18</c:v>
                </c:pt>
                <c:pt idx="17">
                  <c:v>405.59</c:v>
                </c:pt>
                <c:pt idx="18">
                  <c:v>379.31</c:v>
                </c:pt>
                <c:pt idx="19">
                  <c:v>351.58</c:v>
                </c:pt>
                <c:pt idx="20">
                  <c:v>359.92</c:v>
                </c:pt>
                <c:pt idx="21">
                  <c:v>452.06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468321"/>
        <c:axId val="30025662"/>
      </c:lineChart>
      <c:catAx>
        <c:axId val="484683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25662"/>
        <c:crosses val="autoZero"/>
        <c:auto val="1"/>
        <c:lblAlgn val="ctr"/>
        <c:lblOffset val="100"/>
        <c:noMultiLvlLbl val="0"/>
      </c:catAx>
      <c:valAx>
        <c:axId val="300256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683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_series_2!$B$67:$Y$67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85.15</c:v>
                </c:pt>
                <c:pt idx="6">
                  <c:v>120.77</c:v>
                </c:pt>
                <c:pt idx="7">
                  <c:v>92.2</c:v>
                </c:pt>
                <c:pt idx="8">
                  <c:v>68.44</c:v>
                </c:pt>
                <c:pt idx="9">
                  <c:v>57.76</c:v>
                </c:pt>
                <c:pt idx="10">
                  <c:v>57.95</c:v>
                </c:pt>
                <c:pt idx="11">
                  <c:v>84.98</c:v>
                </c:pt>
                <c:pt idx="12">
                  <c:v>61.44</c:v>
                </c:pt>
                <c:pt idx="13">
                  <c:v>101.42</c:v>
                </c:pt>
                <c:pt idx="14">
                  <c:v>70.84</c:v>
                </c:pt>
                <c:pt idx="15">
                  <c:v>84.57</c:v>
                </c:pt>
                <c:pt idx="16">
                  <c:v>67.08</c:v>
                </c:pt>
                <c:pt idx="17">
                  <c:v>70.83</c:v>
                </c:pt>
                <c:pt idx="18">
                  <c:v>70.11</c:v>
                </c:pt>
                <c:pt idx="19">
                  <c:v>132.36</c:v>
                </c:pt>
                <c:pt idx="20">
                  <c:v>104.69</c:v>
                </c:pt>
                <c:pt idx="21">
                  <c:v>57.95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418283"/>
        <c:axId val="2220024"/>
      </c:lineChart>
      <c:catAx>
        <c:axId val="174182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0024"/>
        <c:crosses val="autoZero"/>
        <c:auto val="1"/>
        <c:lblAlgn val="ctr"/>
        <c:lblOffset val="100"/>
        <c:noMultiLvlLbl val="0"/>
      </c:catAx>
      <c:valAx>
        <c:axId val="22200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182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_series_2!$B$68:$Y$68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41.66</c:v>
                </c:pt>
                <c:pt idx="6">
                  <c:v>35.05</c:v>
                </c:pt>
                <c:pt idx="7">
                  <c:v>34.81</c:v>
                </c:pt>
                <c:pt idx="8">
                  <c:v>35.95</c:v>
                </c:pt>
                <c:pt idx="9">
                  <c:v>31.75</c:v>
                </c:pt>
                <c:pt idx="10">
                  <c:v>29.2</c:v>
                </c:pt>
                <c:pt idx="11">
                  <c:v>31.73</c:v>
                </c:pt>
                <c:pt idx="12">
                  <c:v>33.85</c:v>
                </c:pt>
                <c:pt idx="13">
                  <c:v>33.05</c:v>
                </c:pt>
                <c:pt idx="14">
                  <c:v>31.61</c:v>
                </c:pt>
                <c:pt idx="15">
                  <c:v>29.11</c:v>
                </c:pt>
                <c:pt idx="16">
                  <c:v>28.47</c:v>
                </c:pt>
                <c:pt idx="17">
                  <c:v>31.87</c:v>
                </c:pt>
                <c:pt idx="18">
                  <c:v>30.7</c:v>
                </c:pt>
                <c:pt idx="19">
                  <c:v>29.69</c:v>
                </c:pt>
                <c:pt idx="20">
                  <c:v>30.16</c:v>
                </c:pt>
                <c:pt idx="21">
                  <c:v>29.88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373057"/>
        <c:axId val="72088905"/>
      </c:lineChart>
      <c:catAx>
        <c:axId val="453730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88905"/>
        <c:crosses val="autoZero"/>
        <c:auto val="1"/>
        <c:lblAlgn val="ctr"/>
        <c:lblOffset val="100"/>
        <c:noMultiLvlLbl val="0"/>
      </c:catAx>
      <c:valAx>
        <c:axId val="720889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73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_series_2!$B$69:$Y$69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358.67</c:v>
                </c:pt>
                <c:pt idx="6">
                  <c:v>350.43</c:v>
                </c:pt>
                <c:pt idx="7">
                  <c:v>337.5</c:v>
                </c:pt>
                <c:pt idx="8">
                  <c:v>277.58</c:v>
                </c:pt>
                <c:pt idx="9">
                  <c:v>256.26</c:v>
                </c:pt>
                <c:pt idx="10">
                  <c:v>193.71</c:v>
                </c:pt>
                <c:pt idx="11">
                  <c:v>181.85</c:v>
                </c:pt>
                <c:pt idx="12">
                  <c:v>363.21</c:v>
                </c:pt>
                <c:pt idx="13">
                  <c:v>369.07</c:v>
                </c:pt>
                <c:pt idx="14">
                  <c:v>254.21</c:v>
                </c:pt>
                <c:pt idx="15">
                  <c:v>189.36</c:v>
                </c:pt>
                <c:pt idx="16">
                  <c:v>231.97</c:v>
                </c:pt>
                <c:pt idx="17">
                  <c:v>305.24</c:v>
                </c:pt>
                <c:pt idx="18">
                  <c:v>452.36</c:v>
                </c:pt>
                <c:pt idx="19">
                  <c:v>293.37</c:v>
                </c:pt>
                <c:pt idx="20">
                  <c:v>376.52</c:v>
                </c:pt>
                <c:pt idx="21">
                  <c:v>246.41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600746"/>
        <c:axId val="77879122"/>
      </c:lineChart>
      <c:catAx>
        <c:axId val="326007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79122"/>
        <c:crosses val="autoZero"/>
        <c:auto val="1"/>
        <c:lblAlgn val="ctr"/>
        <c:lblOffset val="100"/>
        <c:noMultiLvlLbl val="0"/>
      </c:catAx>
      <c:valAx>
        <c:axId val="778791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007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_series_2!$B$70:$Y$70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118.32</c:v>
                </c:pt>
                <c:pt idx="6">
                  <c:v>113.69</c:v>
                </c:pt>
                <c:pt idx="7">
                  <c:v>92.56</c:v>
                </c:pt>
                <c:pt idx="8">
                  <c:v>84.84</c:v>
                </c:pt>
                <c:pt idx="9">
                  <c:v>76.2</c:v>
                </c:pt>
                <c:pt idx="10">
                  <c:v>56.22</c:v>
                </c:pt>
                <c:pt idx="11">
                  <c:v>54.26</c:v>
                </c:pt>
                <c:pt idx="12">
                  <c:v>61.97</c:v>
                </c:pt>
                <c:pt idx="13">
                  <c:v>68.04</c:v>
                </c:pt>
                <c:pt idx="14">
                  <c:v>57.03</c:v>
                </c:pt>
                <c:pt idx="15">
                  <c:v>67.69</c:v>
                </c:pt>
                <c:pt idx="16">
                  <c:v>86.22</c:v>
                </c:pt>
                <c:pt idx="17">
                  <c:v>126.77</c:v>
                </c:pt>
                <c:pt idx="18">
                  <c:v>120.39</c:v>
                </c:pt>
                <c:pt idx="19">
                  <c:v>76.79</c:v>
                </c:pt>
                <c:pt idx="20">
                  <c:v>111.2</c:v>
                </c:pt>
                <c:pt idx="21">
                  <c:v>66.77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396338"/>
        <c:axId val="68733886"/>
      </c:lineChart>
      <c:catAx>
        <c:axId val="983963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33886"/>
        <c:crosses val="autoZero"/>
        <c:auto val="1"/>
        <c:lblAlgn val="ctr"/>
        <c:lblOffset val="100"/>
        <c:noMultiLvlLbl val="0"/>
      </c:catAx>
      <c:valAx>
        <c:axId val="687338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963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_series_2!$B$71:$Y$71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36.63</c:v>
                </c:pt>
                <c:pt idx="6">
                  <c:v>65.34</c:v>
                </c:pt>
                <c:pt idx="7">
                  <c:v>88.68</c:v>
                </c:pt>
                <c:pt idx="8">
                  <c:v>93.12</c:v>
                </c:pt>
                <c:pt idx="9">
                  <c:v>84.43</c:v>
                </c:pt>
                <c:pt idx="10">
                  <c:v>101.18</c:v>
                </c:pt>
                <c:pt idx="11">
                  <c:v>101.75</c:v>
                </c:pt>
                <c:pt idx="12">
                  <c:v>102.95</c:v>
                </c:pt>
                <c:pt idx="13">
                  <c:v>100.4</c:v>
                </c:pt>
                <c:pt idx="14">
                  <c:v>97.61</c:v>
                </c:pt>
                <c:pt idx="15">
                  <c:v>97.97</c:v>
                </c:pt>
                <c:pt idx="16">
                  <c:v>102.17</c:v>
                </c:pt>
                <c:pt idx="17">
                  <c:v>84.78</c:v>
                </c:pt>
                <c:pt idx="18">
                  <c:v>86.04</c:v>
                </c:pt>
                <c:pt idx="19">
                  <c:v>90.5</c:v>
                </c:pt>
                <c:pt idx="20">
                  <c:v>92.13</c:v>
                </c:pt>
                <c:pt idx="21">
                  <c:v>105.09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477690"/>
        <c:axId val="49296561"/>
      </c:lineChart>
      <c:catAx>
        <c:axId val="524776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96561"/>
        <c:crosses val="autoZero"/>
        <c:auto val="1"/>
        <c:lblAlgn val="ctr"/>
        <c:lblOffset val="100"/>
        <c:noMultiLvlLbl val="0"/>
      </c:catAx>
      <c:valAx>
        <c:axId val="492965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776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_series_2!$B$72:$Y$72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47.1</c:v>
                </c:pt>
                <c:pt idx="6">
                  <c:v>102.36</c:v>
                </c:pt>
                <c:pt idx="7">
                  <c:v>78.98</c:v>
                </c:pt>
                <c:pt idx="8">
                  <c:v>99.58</c:v>
                </c:pt>
                <c:pt idx="9">
                  <c:v>74.5</c:v>
                </c:pt>
                <c:pt idx="10">
                  <c:v>68.43</c:v>
                </c:pt>
                <c:pt idx="11">
                  <c:v>74.5</c:v>
                </c:pt>
                <c:pt idx="12">
                  <c:v>105.08</c:v>
                </c:pt>
                <c:pt idx="13">
                  <c:v>138.22</c:v>
                </c:pt>
                <c:pt idx="14">
                  <c:v>106.65</c:v>
                </c:pt>
                <c:pt idx="15">
                  <c:v>83.05</c:v>
                </c:pt>
                <c:pt idx="16">
                  <c:v>64.55</c:v>
                </c:pt>
                <c:pt idx="17">
                  <c:v>76.49</c:v>
                </c:pt>
                <c:pt idx="18">
                  <c:v>91.62</c:v>
                </c:pt>
                <c:pt idx="19">
                  <c:v>58.77</c:v>
                </c:pt>
                <c:pt idx="20">
                  <c:v>58.18</c:v>
                </c:pt>
                <c:pt idx="21">
                  <c:v>55.48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660308"/>
        <c:axId val="47978864"/>
      </c:lineChart>
      <c:catAx>
        <c:axId val="546603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78864"/>
        <c:crosses val="autoZero"/>
        <c:auto val="1"/>
        <c:lblAlgn val="ctr"/>
        <c:lblOffset val="100"/>
        <c:noMultiLvlLbl val="0"/>
      </c:catAx>
      <c:valAx>
        <c:axId val="479788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603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_series_2!$B$73:$Y$73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179.27</c:v>
                </c:pt>
                <c:pt idx="6">
                  <c:v>171.75</c:v>
                </c:pt>
                <c:pt idx="7">
                  <c:v>160.16</c:v>
                </c:pt>
                <c:pt idx="8">
                  <c:v>129.92</c:v>
                </c:pt>
                <c:pt idx="9">
                  <c:v>139.63</c:v>
                </c:pt>
                <c:pt idx="10">
                  <c:v>145.33</c:v>
                </c:pt>
                <c:pt idx="11">
                  <c:v>125.55</c:v>
                </c:pt>
                <c:pt idx="12">
                  <c:v>124.24</c:v>
                </c:pt>
                <c:pt idx="13">
                  <c:v>120.84</c:v>
                </c:pt>
                <c:pt idx="14">
                  <c:v>128.59</c:v>
                </c:pt>
                <c:pt idx="15">
                  <c:v>127.75</c:v>
                </c:pt>
                <c:pt idx="16">
                  <c:v>133.81</c:v>
                </c:pt>
                <c:pt idx="17">
                  <c:v>141.93</c:v>
                </c:pt>
                <c:pt idx="18">
                  <c:v>138.58</c:v>
                </c:pt>
                <c:pt idx="19">
                  <c:v>129.93</c:v>
                </c:pt>
                <c:pt idx="20">
                  <c:v>125.39</c:v>
                </c:pt>
                <c:pt idx="21">
                  <c:v>116.23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417891"/>
        <c:axId val="3867646"/>
      </c:lineChart>
      <c:catAx>
        <c:axId val="684178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7646"/>
        <c:crosses val="autoZero"/>
        <c:auto val="1"/>
        <c:lblAlgn val="ctr"/>
        <c:lblOffset val="100"/>
        <c:noMultiLvlLbl val="0"/>
      </c:catAx>
      <c:valAx>
        <c:axId val="38676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17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_series_2!$B$74:$Y$74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60.01</c:v>
                </c:pt>
                <c:pt idx="6">
                  <c:v>68.16</c:v>
                </c:pt>
                <c:pt idx="7">
                  <c:v>67.64</c:v>
                </c:pt>
                <c:pt idx="8">
                  <c:v>73.35</c:v>
                </c:pt>
                <c:pt idx="9">
                  <c:v>53.01</c:v>
                </c:pt>
                <c:pt idx="10">
                  <c:v>58.62</c:v>
                </c:pt>
                <c:pt idx="11">
                  <c:v>72.58</c:v>
                </c:pt>
                <c:pt idx="12">
                  <c:v>79.49</c:v>
                </c:pt>
                <c:pt idx="13">
                  <c:v>70.45</c:v>
                </c:pt>
                <c:pt idx="14">
                  <c:v>70.07</c:v>
                </c:pt>
                <c:pt idx="15">
                  <c:v>52.96</c:v>
                </c:pt>
                <c:pt idx="16">
                  <c:v>59.33</c:v>
                </c:pt>
                <c:pt idx="17">
                  <c:v>75.91</c:v>
                </c:pt>
                <c:pt idx="18">
                  <c:v>71.54</c:v>
                </c:pt>
                <c:pt idx="19">
                  <c:v>63.92</c:v>
                </c:pt>
                <c:pt idx="20">
                  <c:v>69.46</c:v>
                </c:pt>
                <c:pt idx="21">
                  <c:v>54.68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374459"/>
        <c:axId val="64633325"/>
      </c:lineChart>
      <c:catAx>
        <c:axId val="183744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33325"/>
        <c:crosses val="autoZero"/>
        <c:auto val="1"/>
        <c:lblAlgn val="ctr"/>
        <c:lblOffset val="100"/>
        <c:noMultiLvlLbl val="0"/>
      </c:catAx>
      <c:valAx>
        <c:axId val="64633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744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_series_2!$B$75:$Y$75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24.29</c:v>
                </c:pt>
                <c:pt idx="6">
                  <c:v>30.33</c:v>
                </c:pt>
                <c:pt idx="7">
                  <c:v>30.41</c:v>
                </c:pt>
                <c:pt idx="8">
                  <c:v>30.7</c:v>
                </c:pt>
                <c:pt idx="9">
                  <c:v>30.44</c:v>
                </c:pt>
                <c:pt idx="10">
                  <c:v>31.33</c:v>
                </c:pt>
                <c:pt idx="11">
                  <c:v>30.63</c:v>
                </c:pt>
                <c:pt idx="12">
                  <c:v>50.95</c:v>
                </c:pt>
                <c:pt idx="13">
                  <c:v>143.88</c:v>
                </c:pt>
                <c:pt idx="14">
                  <c:v>75.89</c:v>
                </c:pt>
                <c:pt idx="15">
                  <c:v>97.48</c:v>
                </c:pt>
                <c:pt idx="16">
                  <c:v>138.15</c:v>
                </c:pt>
                <c:pt idx="17">
                  <c:v>225.91</c:v>
                </c:pt>
                <c:pt idx="18">
                  <c:v>280.97</c:v>
                </c:pt>
                <c:pt idx="19">
                  <c:v>162.3</c:v>
                </c:pt>
                <c:pt idx="20">
                  <c:v>213.17</c:v>
                </c:pt>
                <c:pt idx="21">
                  <c:v>130.56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451091"/>
        <c:axId val="43961677"/>
      </c:lineChart>
      <c:catAx>
        <c:axId val="804510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61677"/>
        <c:crosses val="autoZero"/>
        <c:auto val="1"/>
        <c:lblAlgn val="ctr"/>
        <c:lblOffset val="100"/>
        <c:noMultiLvlLbl val="0"/>
      </c:catAx>
      <c:valAx>
        <c:axId val="439616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510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_series_2!$B$76:$Y$76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139.72</c:v>
                </c:pt>
                <c:pt idx="6">
                  <c:v>238.81</c:v>
                </c:pt>
                <c:pt idx="7">
                  <c:v>213.22</c:v>
                </c:pt>
                <c:pt idx="8">
                  <c:v>225.12</c:v>
                </c:pt>
                <c:pt idx="9">
                  <c:v>105.27</c:v>
                </c:pt>
                <c:pt idx="10">
                  <c:v>108.45</c:v>
                </c:pt>
                <c:pt idx="11">
                  <c:v>111.84</c:v>
                </c:pt>
                <c:pt idx="12">
                  <c:v>118.73</c:v>
                </c:pt>
                <c:pt idx="13">
                  <c:v>117.75</c:v>
                </c:pt>
                <c:pt idx="14">
                  <c:v>115.82</c:v>
                </c:pt>
                <c:pt idx="15">
                  <c:v>109.08</c:v>
                </c:pt>
                <c:pt idx="16">
                  <c:v>115.93</c:v>
                </c:pt>
                <c:pt idx="17">
                  <c:v>128.57</c:v>
                </c:pt>
                <c:pt idx="18">
                  <c:v>124.52</c:v>
                </c:pt>
                <c:pt idx="19">
                  <c:v>115.58</c:v>
                </c:pt>
                <c:pt idx="20">
                  <c:v>122.89</c:v>
                </c:pt>
                <c:pt idx="21">
                  <c:v>106.18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210479"/>
        <c:axId val="50754175"/>
      </c:lineChart>
      <c:catAx>
        <c:axId val="84210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54175"/>
        <c:crosses val="autoZero"/>
        <c:auto val="1"/>
        <c:lblAlgn val="ctr"/>
        <c:lblOffset val="100"/>
        <c:noMultiLvlLbl val="0"/>
      </c:catAx>
      <c:valAx>
        <c:axId val="507541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104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_series_2!$B$77:$Y$77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393.41</c:v>
                </c:pt>
                <c:pt idx="6">
                  <c:v>419.51</c:v>
                </c:pt>
                <c:pt idx="7">
                  <c:v>389.06</c:v>
                </c:pt>
                <c:pt idx="8">
                  <c:v>401.02</c:v>
                </c:pt>
                <c:pt idx="9">
                  <c:v>407.94</c:v>
                </c:pt>
                <c:pt idx="10">
                  <c:v>493.27</c:v>
                </c:pt>
                <c:pt idx="11">
                  <c:v>521.53</c:v>
                </c:pt>
                <c:pt idx="12">
                  <c:v>704.76</c:v>
                </c:pt>
                <c:pt idx="13">
                  <c:v>749.93</c:v>
                </c:pt>
                <c:pt idx="14">
                  <c:v>566.89</c:v>
                </c:pt>
                <c:pt idx="15">
                  <c:v>529.1</c:v>
                </c:pt>
                <c:pt idx="16">
                  <c:v>324.93</c:v>
                </c:pt>
                <c:pt idx="17">
                  <c:v>478.51</c:v>
                </c:pt>
                <c:pt idx="18">
                  <c:v>445.62</c:v>
                </c:pt>
                <c:pt idx="19">
                  <c:v>481.49</c:v>
                </c:pt>
                <c:pt idx="20">
                  <c:v>416.01</c:v>
                </c:pt>
                <c:pt idx="21">
                  <c:v>494.21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841497"/>
        <c:axId val="74399155"/>
      </c:lineChart>
      <c:catAx>
        <c:axId val="358414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99155"/>
        <c:crosses val="autoZero"/>
        <c:auto val="1"/>
        <c:lblAlgn val="ctr"/>
        <c:lblOffset val="100"/>
        <c:noMultiLvlLbl val="0"/>
      </c:catAx>
      <c:valAx>
        <c:axId val="743991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414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_series_2!$B$78:$Y$78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172.66</c:v>
                </c:pt>
                <c:pt idx="6">
                  <c:v>140.6</c:v>
                </c:pt>
                <c:pt idx="7">
                  <c:v>158.47</c:v>
                </c:pt>
                <c:pt idx="8">
                  <c:v>184.51</c:v>
                </c:pt>
                <c:pt idx="9">
                  <c:v>194.33</c:v>
                </c:pt>
                <c:pt idx="10">
                  <c:v>221.07</c:v>
                </c:pt>
                <c:pt idx="11">
                  <c:v>286.14</c:v>
                </c:pt>
                <c:pt idx="12">
                  <c:v>327.74</c:v>
                </c:pt>
                <c:pt idx="13">
                  <c:v>322.68</c:v>
                </c:pt>
                <c:pt idx="14">
                  <c:v>298.59</c:v>
                </c:pt>
                <c:pt idx="15">
                  <c:v>127.27</c:v>
                </c:pt>
                <c:pt idx="16">
                  <c:v>86.75</c:v>
                </c:pt>
                <c:pt idx="17">
                  <c:v>125.6</c:v>
                </c:pt>
                <c:pt idx="18">
                  <c:v>117.49</c:v>
                </c:pt>
                <c:pt idx="19">
                  <c:v>107.32</c:v>
                </c:pt>
                <c:pt idx="20">
                  <c:v>98.2</c:v>
                </c:pt>
                <c:pt idx="21">
                  <c:v>110.02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003494"/>
        <c:axId val="27703047"/>
      </c:lineChart>
      <c:catAx>
        <c:axId val="780034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03047"/>
        <c:crosses val="autoZero"/>
        <c:auto val="1"/>
        <c:lblAlgn val="ctr"/>
        <c:lblOffset val="100"/>
        <c:noMultiLvlLbl val="0"/>
      </c:catAx>
      <c:valAx>
        <c:axId val="277030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034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_series_2!$B$79:$Y$79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75.72</c:v>
                </c:pt>
                <c:pt idx="6">
                  <c:v>65.52</c:v>
                </c:pt>
                <c:pt idx="7">
                  <c:v>59.6</c:v>
                </c:pt>
                <c:pt idx="8">
                  <c:v>64.86</c:v>
                </c:pt>
                <c:pt idx="9">
                  <c:v>58.86</c:v>
                </c:pt>
                <c:pt idx="10">
                  <c:v>62.08</c:v>
                </c:pt>
                <c:pt idx="11">
                  <c:v>68.69</c:v>
                </c:pt>
                <c:pt idx="12">
                  <c:v>93.19</c:v>
                </c:pt>
                <c:pt idx="13">
                  <c:v>44.32</c:v>
                </c:pt>
                <c:pt idx="14">
                  <c:v>71.61</c:v>
                </c:pt>
                <c:pt idx="15">
                  <c:v>75.68</c:v>
                </c:pt>
                <c:pt idx="16">
                  <c:v>82.53</c:v>
                </c:pt>
                <c:pt idx="17">
                  <c:v>123.37</c:v>
                </c:pt>
                <c:pt idx="18">
                  <c:v>111.46</c:v>
                </c:pt>
                <c:pt idx="19">
                  <c:v>98.21</c:v>
                </c:pt>
                <c:pt idx="20">
                  <c:v>102.11</c:v>
                </c:pt>
                <c:pt idx="21">
                  <c:v>93.47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38200"/>
        <c:axId val="57185546"/>
      </c:lineChart>
      <c:catAx>
        <c:axId val="6338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85546"/>
        <c:crosses val="autoZero"/>
        <c:auto val="1"/>
        <c:lblAlgn val="ctr"/>
        <c:lblOffset val="100"/>
        <c:noMultiLvlLbl val="0"/>
      </c:catAx>
      <c:valAx>
        <c:axId val="571855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82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_series_2!$B$80:$Y$80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194.59</c:v>
                </c:pt>
                <c:pt idx="6">
                  <c:v>200.53</c:v>
                </c:pt>
                <c:pt idx="7">
                  <c:v>189.95</c:v>
                </c:pt>
                <c:pt idx="8">
                  <c:v>191.45</c:v>
                </c:pt>
                <c:pt idx="9">
                  <c:v>170.59</c:v>
                </c:pt>
                <c:pt idx="10">
                  <c:v>187.58</c:v>
                </c:pt>
                <c:pt idx="11">
                  <c:v>243.75</c:v>
                </c:pt>
                <c:pt idx="12">
                  <c:v>225.29</c:v>
                </c:pt>
                <c:pt idx="13">
                  <c:v>265.1</c:v>
                </c:pt>
                <c:pt idx="14">
                  <c:v>177.17</c:v>
                </c:pt>
                <c:pt idx="15">
                  <c:v>163.95</c:v>
                </c:pt>
                <c:pt idx="16">
                  <c:v>163.55</c:v>
                </c:pt>
                <c:pt idx="17">
                  <c:v>169.55</c:v>
                </c:pt>
                <c:pt idx="18">
                  <c:v>163.22</c:v>
                </c:pt>
                <c:pt idx="19">
                  <c:v>171.38</c:v>
                </c:pt>
                <c:pt idx="20">
                  <c:v>159.33</c:v>
                </c:pt>
                <c:pt idx="21">
                  <c:v>114.01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17706"/>
        <c:axId val="65337828"/>
      </c:lineChart>
      <c:catAx>
        <c:axId val="69177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37828"/>
        <c:crosses val="autoZero"/>
        <c:auto val="1"/>
        <c:lblAlgn val="ctr"/>
        <c:lblOffset val="100"/>
        <c:noMultiLvlLbl val="0"/>
      </c:catAx>
      <c:valAx>
        <c:axId val="653378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7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_series_2!$B$81:$Y$81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133.65</c:v>
                </c:pt>
                <c:pt idx="6">
                  <c:v>145.22</c:v>
                </c:pt>
                <c:pt idx="7">
                  <c:v>137.24</c:v>
                </c:pt>
                <c:pt idx="8">
                  <c:v>134.79</c:v>
                </c:pt>
                <c:pt idx="9">
                  <c:v>106.91</c:v>
                </c:pt>
                <c:pt idx="10">
                  <c:v>99.99</c:v>
                </c:pt>
                <c:pt idx="11">
                  <c:v>105.79</c:v>
                </c:pt>
                <c:pt idx="12">
                  <c:v>111.83</c:v>
                </c:pt>
                <c:pt idx="13">
                  <c:v>115.89</c:v>
                </c:pt>
                <c:pt idx="14">
                  <c:v>113.78</c:v>
                </c:pt>
                <c:pt idx="15">
                  <c:v>108.16</c:v>
                </c:pt>
                <c:pt idx="16">
                  <c:v>116.05</c:v>
                </c:pt>
                <c:pt idx="17">
                  <c:v>136.53</c:v>
                </c:pt>
                <c:pt idx="18">
                  <c:v>161.18</c:v>
                </c:pt>
                <c:pt idx="19">
                  <c:v>142.85</c:v>
                </c:pt>
                <c:pt idx="20">
                  <c:v>135.28</c:v>
                </c:pt>
                <c:pt idx="21">
                  <c:v>103.79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036640"/>
        <c:axId val="99575250"/>
      </c:lineChart>
      <c:catAx>
        <c:axId val="9103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75250"/>
        <c:crosses val="autoZero"/>
        <c:auto val="1"/>
        <c:lblAlgn val="ctr"/>
        <c:lblOffset val="100"/>
        <c:noMultiLvlLbl val="0"/>
      </c:catAx>
      <c:valAx>
        <c:axId val="995752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366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_series_2!$B$82:$Y$82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88.32</c:v>
                </c:pt>
                <c:pt idx="6">
                  <c:v>83.4</c:v>
                </c:pt>
                <c:pt idx="7">
                  <c:v>82.42</c:v>
                </c:pt>
                <c:pt idx="8">
                  <c:v>82.92</c:v>
                </c:pt>
                <c:pt idx="9">
                  <c:v>82.87</c:v>
                </c:pt>
                <c:pt idx="10">
                  <c:v>87.13</c:v>
                </c:pt>
                <c:pt idx="11">
                  <c:v>84.8</c:v>
                </c:pt>
                <c:pt idx="12">
                  <c:v>86.52</c:v>
                </c:pt>
                <c:pt idx="13">
                  <c:v>83.41</c:v>
                </c:pt>
                <c:pt idx="14">
                  <c:v>87.34</c:v>
                </c:pt>
                <c:pt idx="15">
                  <c:v>89.19</c:v>
                </c:pt>
                <c:pt idx="16">
                  <c:v>86.85</c:v>
                </c:pt>
                <c:pt idx="17">
                  <c:v>82.81</c:v>
                </c:pt>
                <c:pt idx="18">
                  <c:v>59.72</c:v>
                </c:pt>
                <c:pt idx="19">
                  <c:v>82.24</c:v>
                </c:pt>
                <c:pt idx="20">
                  <c:v>84.62</c:v>
                </c:pt>
                <c:pt idx="21">
                  <c:v>83.26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939074"/>
        <c:axId val="66796133"/>
      </c:lineChart>
      <c:catAx>
        <c:axId val="979390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96133"/>
        <c:crosses val="autoZero"/>
        <c:auto val="1"/>
        <c:lblAlgn val="ctr"/>
        <c:lblOffset val="100"/>
        <c:noMultiLvlLbl val="0"/>
      </c:catAx>
      <c:valAx>
        <c:axId val="667961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390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_series_2!$B$83:$Y$83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66.43</c:v>
                </c:pt>
                <c:pt idx="6">
                  <c:v>73.23</c:v>
                </c:pt>
                <c:pt idx="7">
                  <c:v>88.95</c:v>
                </c:pt>
                <c:pt idx="8">
                  <c:v>92.01</c:v>
                </c:pt>
                <c:pt idx="9">
                  <c:v>89.3</c:v>
                </c:pt>
                <c:pt idx="10">
                  <c:v>90.55</c:v>
                </c:pt>
                <c:pt idx="11">
                  <c:v>96.07</c:v>
                </c:pt>
                <c:pt idx="12">
                  <c:v>104.36</c:v>
                </c:pt>
                <c:pt idx="13">
                  <c:v>101.37</c:v>
                </c:pt>
                <c:pt idx="14">
                  <c:v>96.2</c:v>
                </c:pt>
                <c:pt idx="15">
                  <c:v>95.27</c:v>
                </c:pt>
                <c:pt idx="16">
                  <c:v>94.89</c:v>
                </c:pt>
                <c:pt idx="17">
                  <c:v>95.73</c:v>
                </c:pt>
                <c:pt idx="18">
                  <c:v>94.77</c:v>
                </c:pt>
                <c:pt idx="19">
                  <c:v>92.26</c:v>
                </c:pt>
                <c:pt idx="20">
                  <c:v>97.02</c:v>
                </c:pt>
                <c:pt idx="21">
                  <c:v>94.05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420451"/>
        <c:axId val="26252638"/>
      </c:lineChart>
      <c:catAx>
        <c:axId val="664204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52638"/>
        <c:crosses val="autoZero"/>
        <c:auto val="1"/>
        <c:lblAlgn val="ctr"/>
        <c:lblOffset val="100"/>
        <c:noMultiLvlLbl val="0"/>
      </c:catAx>
      <c:valAx>
        <c:axId val="262526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204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_series_2!$B$84:$Y$84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67.16</c:v>
                </c:pt>
                <c:pt idx="6">
                  <c:v>58.6</c:v>
                </c:pt>
                <c:pt idx="7">
                  <c:v>56.07</c:v>
                </c:pt>
                <c:pt idx="8">
                  <c:v>52.58</c:v>
                </c:pt>
                <c:pt idx="9">
                  <c:v>50.55</c:v>
                </c:pt>
                <c:pt idx="10">
                  <c:v>53.01</c:v>
                </c:pt>
                <c:pt idx="11">
                  <c:v>43.93</c:v>
                </c:pt>
                <c:pt idx="12">
                  <c:v>42.04</c:v>
                </c:pt>
                <c:pt idx="13">
                  <c:v>43.36</c:v>
                </c:pt>
                <c:pt idx="14">
                  <c:v>56.91</c:v>
                </c:pt>
                <c:pt idx="15">
                  <c:v>55.94</c:v>
                </c:pt>
                <c:pt idx="16">
                  <c:v>57.3</c:v>
                </c:pt>
                <c:pt idx="17">
                  <c:v>59</c:v>
                </c:pt>
                <c:pt idx="18">
                  <c:v>61.26</c:v>
                </c:pt>
                <c:pt idx="19">
                  <c:v>51.7</c:v>
                </c:pt>
                <c:pt idx="20">
                  <c:v>60.92</c:v>
                </c:pt>
                <c:pt idx="21">
                  <c:v>51.83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131954"/>
        <c:axId val="93100099"/>
      </c:lineChart>
      <c:catAx>
        <c:axId val="461319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00099"/>
        <c:crosses val="autoZero"/>
        <c:auto val="1"/>
        <c:lblAlgn val="ctr"/>
        <c:lblOffset val="100"/>
        <c:noMultiLvlLbl val="0"/>
      </c:catAx>
      <c:valAx>
        <c:axId val="931000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31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_series_2!$B$85:$Y$85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242.74</c:v>
                </c:pt>
                <c:pt idx="6">
                  <c:v>219.19</c:v>
                </c:pt>
                <c:pt idx="7">
                  <c:v>209.34</c:v>
                </c:pt>
                <c:pt idx="8">
                  <c:v>210.33</c:v>
                </c:pt>
                <c:pt idx="9">
                  <c:v>189.9</c:v>
                </c:pt>
                <c:pt idx="10">
                  <c:v>190.38</c:v>
                </c:pt>
                <c:pt idx="11">
                  <c:v>193.93</c:v>
                </c:pt>
                <c:pt idx="12">
                  <c:v>203.58</c:v>
                </c:pt>
                <c:pt idx="13">
                  <c:v>205.73</c:v>
                </c:pt>
                <c:pt idx="14">
                  <c:v>206.28</c:v>
                </c:pt>
                <c:pt idx="15">
                  <c:v>209.82</c:v>
                </c:pt>
                <c:pt idx="16">
                  <c:v>233.02</c:v>
                </c:pt>
                <c:pt idx="17">
                  <c:v>237.28</c:v>
                </c:pt>
                <c:pt idx="18">
                  <c:v>266.33</c:v>
                </c:pt>
                <c:pt idx="19">
                  <c:v>225.34</c:v>
                </c:pt>
                <c:pt idx="20">
                  <c:v>236</c:v>
                </c:pt>
                <c:pt idx="21">
                  <c:v>204.34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024217"/>
        <c:axId val="2328168"/>
      </c:lineChart>
      <c:catAx>
        <c:axId val="410242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8168"/>
        <c:crosses val="autoZero"/>
        <c:auto val="1"/>
        <c:lblAlgn val="ctr"/>
        <c:lblOffset val="100"/>
        <c:noMultiLvlLbl val="0"/>
      </c:catAx>
      <c:valAx>
        <c:axId val="23281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24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_series_2!$B$86:$Y$86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271.49</c:v>
                </c:pt>
                <c:pt idx="6">
                  <c:v>223.27</c:v>
                </c:pt>
                <c:pt idx="7">
                  <c:v>165.31</c:v>
                </c:pt>
                <c:pt idx="8">
                  <c:v>212.39</c:v>
                </c:pt>
                <c:pt idx="9">
                  <c:v>192.81</c:v>
                </c:pt>
                <c:pt idx="10">
                  <c:v>199.72</c:v>
                </c:pt>
                <c:pt idx="11">
                  <c:v>242.68</c:v>
                </c:pt>
                <c:pt idx="12">
                  <c:v>304.15</c:v>
                </c:pt>
                <c:pt idx="13">
                  <c:v>226.56</c:v>
                </c:pt>
                <c:pt idx="14">
                  <c:v>226.4</c:v>
                </c:pt>
                <c:pt idx="15">
                  <c:v>216.69</c:v>
                </c:pt>
                <c:pt idx="16">
                  <c:v>185.6</c:v>
                </c:pt>
                <c:pt idx="17">
                  <c:v>167.69</c:v>
                </c:pt>
                <c:pt idx="18">
                  <c:v>176.58</c:v>
                </c:pt>
                <c:pt idx="19">
                  <c:v>191.31</c:v>
                </c:pt>
                <c:pt idx="20">
                  <c:v>206.85</c:v>
                </c:pt>
                <c:pt idx="21">
                  <c:v>196.66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570755"/>
        <c:axId val="42608249"/>
      </c:lineChart>
      <c:catAx>
        <c:axId val="675707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08249"/>
        <c:crosses val="autoZero"/>
        <c:auto val="1"/>
        <c:lblAlgn val="ctr"/>
        <c:lblOffset val="100"/>
        <c:noMultiLvlLbl val="0"/>
      </c:catAx>
      <c:valAx>
        <c:axId val="426082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70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_series_2!$B$87:$Y$87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59.65</c:v>
                </c:pt>
                <c:pt idx="6">
                  <c:v>58.03</c:v>
                </c:pt>
                <c:pt idx="7">
                  <c:v>88.58</c:v>
                </c:pt>
                <c:pt idx="8">
                  <c:v>110.11</c:v>
                </c:pt>
                <c:pt idx="9">
                  <c:v>86.86</c:v>
                </c:pt>
                <c:pt idx="10">
                  <c:v>94.08</c:v>
                </c:pt>
                <c:pt idx="11">
                  <c:v>60.44</c:v>
                </c:pt>
                <c:pt idx="12">
                  <c:v>164.62</c:v>
                </c:pt>
                <c:pt idx="13">
                  <c:v>102.38</c:v>
                </c:pt>
                <c:pt idx="14">
                  <c:v>95.01</c:v>
                </c:pt>
                <c:pt idx="15">
                  <c:v>128.23</c:v>
                </c:pt>
                <c:pt idx="16">
                  <c:v>157.68</c:v>
                </c:pt>
                <c:pt idx="17">
                  <c:v>163.88</c:v>
                </c:pt>
                <c:pt idx="18">
                  <c:v>215.59</c:v>
                </c:pt>
                <c:pt idx="19">
                  <c:v>255.58</c:v>
                </c:pt>
                <c:pt idx="20">
                  <c:v>212.36</c:v>
                </c:pt>
                <c:pt idx="21">
                  <c:v>149.56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790984"/>
        <c:axId val="75197571"/>
      </c:lineChart>
      <c:catAx>
        <c:axId val="52790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97571"/>
        <c:crosses val="autoZero"/>
        <c:auto val="1"/>
        <c:lblAlgn val="ctr"/>
        <c:lblOffset val="100"/>
        <c:noMultiLvlLbl val="0"/>
      </c:catAx>
      <c:valAx>
        <c:axId val="751975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90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_series_2!$B$88:$Y$88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71.29</c:v>
                </c:pt>
                <c:pt idx="7">
                  <c:v>81.17</c:v>
                </c:pt>
                <c:pt idx="8">
                  <c:v>67.38</c:v>
                </c:pt>
                <c:pt idx="9">
                  <c:v>86.28</c:v>
                </c:pt>
                <c:pt idx="10">
                  <c:v>82.2</c:v>
                </c:pt>
                <c:pt idx="11">
                  <c:v>101.38</c:v>
                </c:pt>
                <c:pt idx="12">
                  <c:v>107.26</c:v>
                </c:pt>
                <c:pt idx="13">
                  <c:v>107.01</c:v>
                </c:pt>
                <c:pt idx="14">
                  <c:v>97.17</c:v>
                </c:pt>
                <c:pt idx="15">
                  <c:v>98.27</c:v>
                </c:pt>
                <c:pt idx="16">
                  <c:v>76.38</c:v>
                </c:pt>
                <c:pt idx="17">
                  <c:v>108.71</c:v>
                </c:pt>
                <c:pt idx="18">
                  <c:v>56.84</c:v>
                </c:pt>
                <c:pt idx="19">
                  <c:v>83.29</c:v>
                </c:pt>
                <c:pt idx="20">
                  <c:v>110.19</c:v>
                </c:pt>
                <c:pt idx="21">
                  <c:v>105.17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148884"/>
        <c:axId val="97881353"/>
      </c:lineChart>
      <c:catAx>
        <c:axId val="791488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81353"/>
        <c:crosses val="autoZero"/>
        <c:auto val="1"/>
        <c:lblAlgn val="ctr"/>
        <c:lblOffset val="100"/>
        <c:noMultiLvlLbl val="0"/>
      </c:catAx>
      <c:valAx>
        <c:axId val="978813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48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_series_2!$B$89:$Y$89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237.82</c:v>
                </c:pt>
                <c:pt idx="8">
                  <c:v>194.8</c:v>
                </c:pt>
                <c:pt idx="9">
                  <c:v>152.7</c:v>
                </c:pt>
                <c:pt idx="10">
                  <c:v>84.08</c:v>
                </c:pt>
                <c:pt idx="11">
                  <c:v>156.38</c:v>
                </c:pt>
                <c:pt idx="12">
                  <c:v>191.84</c:v>
                </c:pt>
                <c:pt idx="13">
                  <c:v>247.16</c:v>
                </c:pt>
                <c:pt idx="14">
                  <c:v>137.84</c:v>
                </c:pt>
                <c:pt idx="15">
                  <c:v>112.15</c:v>
                </c:pt>
                <c:pt idx="16">
                  <c:v>186.88</c:v>
                </c:pt>
                <c:pt idx="17">
                  <c:v>247.21</c:v>
                </c:pt>
                <c:pt idx="18">
                  <c:v>287.01</c:v>
                </c:pt>
                <c:pt idx="19">
                  <c:v>230.81</c:v>
                </c:pt>
                <c:pt idx="20">
                  <c:v>276.44</c:v>
                </c:pt>
                <c:pt idx="21">
                  <c:v>139.84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254094"/>
        <c:axId val="29638423"/>
      </c:lineChart>
      <c:catAx>
        <c:axId val="902540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38423"/>
        <c:crosses val="autoZero"/>
        <c:auto val="1"/>
        <c:lblAlgn val="ctr"/>
        <c:lblOffset val="100"/>
        <c:noMultiLvlLbl val="0"/>
      </c:catAx>
      <c:valAx>
        <c:axId val="296384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540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_series_2!$B$90:$Y$90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371.95</c:v>
                </c:pt>
                <c:pt idx="8">
                  <c:v>624.44</c:v>
                </c:pt>
                <c:pt idx="9">
                  <c:v>608.5</c:v>
                </c:pt>
                <c:pt idx="10">
                  <c:v>558.97</c:v>
                </c:pt>
                <c:pt idx="11">
                  <c:v>531.97</c:v>
                </c:pt>
                <c:pt idx="12">
                  <c:v>602.51</c:v>
                </c:pt>
                <c:pt idx="13">
                  <c:v>614.23</c:v>
                </c:pt>
                <c:pt idx="14">
                  <c:v>527.74</c:v>
                </c:pt>
                <c:pt idx="15">
                  <c:v>518.28</c:v>
                </c:pt>
                <c:pt idx="16">
                  <c:v>526.58</c:v>
                </c:pt>
                <c:pt idx="17">
                  <c:v>689.52</c:v>
                </c:pt>
                <c:pt idx="18">
                  <c:v>670.6</c:v>
                </c:pt>
                <c:pt idx="19">
                  <c:v>530.95</c:v>
                </c:pt>
                <c:pt idx="20">
                  <c:v>522.32</c:v>
                </c:pt>
                <c:pt idx="21">
                  <c:v>506.43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356890"/>
        <c:axId val="78182248"/>
      </c:lineChart>
      <c:catAx>
        <c:axId val="423568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82248"/>
        <c:crosses val="autoZero"/>
        <c:auto val="1"/>
        <c:lblAlgn val="ctr"/>
        <c:lblOffset val="100"/>
        <c:noMultiLvlLbl val="0"/>
      </c:catAx>
      <c:valAx>
        <c:axId val="781822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56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_series_2!$B$91:$Y$91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130.28</c:v>
                </c:pt>
                <c:pt idx="9">
                  <c:v>86.89</c:v>
                </c:pt>
                <c:pt idx="10">
                  <c:v>123.44</c:v>
                </c:pt>
                <c:pt idx="11">
                  <c:v>100.73</c:v>
                </c:pt>
                <c:pt idx="12">
                  <c:v>168.47</c:v>
                </c:pt>
                <c:pt idx="13">
                  <c:v>174.45</c:v>
                </c:pt>
                <c:pt idx="14">
                  <c:v>139.44</c:v>
                </c:pt>
                <c:pt idx="15">
                  <c:v>129.46</c:v>
                </c:pt>
                <c:pt idx="16">
                  <c:v>108.57</c:v>
                </c:pt>
                <c:pt idx="17">
                  <c:v>121.96</c:v>
                </c:pt>
                <c:pt idx="18">
                  <c:v>139.72</c:v>
                </c:pt>
                <c:pt idx="19">
                  <c:v>108.09</c:v>
                </c:pt>
                <c:pt idx="20">
                  <c:v>113.96</c:v>
                </c:pt>
                <c:pt idx="21">
                  <c:v>110.63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679281"/>
        <c:axId val="79372598"/>
      </c:lineChart>
      <c:catAx>
        <c:axId val="326792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72598"/>
        <c:crosses val="autoZero"/>
        <c:auto val="1"/>
        <c:lblAlgn val="ctr"/>
        <c:lblOffset val="100"/>
        <c:noMultiLvlLbl val="0"/>
      </c:catAx>
      <c:valAx>
        <c:axId val="793725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792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_series_2!$B$92:$Y$92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156.99</c:v>
                </c:pt>
                <c:pt idx="9">
                  <c:v>159.88</c:v>
                </c:pt>
                <c:pt idx="10">
                  <c:v>155.71</c:v>
                </c:pt>
                <c:pt idx="11">
                  <c:v>179.05</c:v>
                </c:pt>
                <c:pt idx="12">
                  <c:v>158.95</c:v>
                </c:pt>
                <c:pt idx="13">
                  <c:v>171.66</c:v>
                </c:pt>
                <c:pt idx="14">
                  <c:v>160.19</c:v>
                </c:pt>
                <c:pt idx="15">
                  <c:v>168.94</c:v>
                </c:pt>
                <c:pt idx="16">
                  <c:v>155.65</c:v>
                </c:pt>
                <c:pt idx="17">
                  <c:v>129.09</c:v>
                </c:pt>
                <c:pt idx="18">
                  <c:v>128.09</c:v>
                </c:pt>
                <c:pt idx="19">
                  <c:v>127.88</c:v>
                </c:pt>
                <c:pt idx="20">
                  <c:v>132.18</c:v>
                </c:pt>
                <c:pt idx="21">
                  <c:v>145.46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617891"/>
        <c:axId val="35168944"/>
      </c:lineChart>
      <c:catAx>
        <c:axId val="646178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68944"/>
        <c:crosses val="autoZero"/>
        <c:auto val="1"/>
        <c:lblAlgn val="ctr"/>
        <c:lblOffset val="100"/>
        <c:noMultiLvlLbl val="0"/>
      </c:catAx>
      <c:valAx>
        <c:axId val="351689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17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_series_2!$B$93:$Y$93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55.51</c:v>
                </c:pt>
                <c:pt idx="9">
                  <c:v>54.59</c:v>
                </c:pt>
                <c:pt idx="10">
                  <c:v>55.04</c:v>
                </c:pt>
                <c:pt idx="11">
                  <c:v>57.65</c:v>
                </c:pt>
                <c:pt idx="12">
                  <c:v>61.04</c:v>
                </c:pt>
                <c:pt idx="13">
                  <c:v>63.23</c:v>
                </c:pt>
                <c:pt idx="14">
                  <c:v>58.99</c:v>
                </c:pt>
                <c:pt idx="15">
                  <c:v>53.54</c:v>
                </c:pt>
                <c:pt idx="16">
                  <c:v>53.16</c:v>
                </c:pt>
                <c:pt idx="17">
                  <c:v>50.92</c:v>
                </c:pt>
                <c:pt idx="18">
                  <c:v>52.69</c:v>
                </c:pt>
                <c:pt idx="19">
                  <c:v>51.88</c:v>
                </c:pt>
                <c:pt idx="20">
                  <c:v>51.56</c:v>
                </c:pt>
                <c:pt idx="21">
                  <c:v>50.65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197130"/>
        <c:axId val="50201839"/>
      </c:lineChart>
      <c:catAx>
        <c:axId val="271971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01839"/>
        <c:crosses val="autoZero"/>
        <c:auto val="1"/>
        <c:lblAlgn val="ctr"/>
        <c:lblOffset val="100"/>
        <c:noMultiLvlLbl val="0"/>
      </c:catAx>
      <c:valAx>
        <c:axId val="502018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971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_series_2!$B$94:$Y$94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112.02</c:v>
                </c:pt>
                <c:pt idx="9">
                  <c:v>144.01</c:v>
                </c:pt>
                <c:pt idx="10">
                  <c:v>145.69</c:v>
                </c:pt>
                <c:pt idx="11">
                  <c:v>154.99</c:v>
                </c:pt>
                <c:pt idx="12">
                  <c:v>145.89</c:v>
                </c:pt>
                <c:pt idx="13">
                  <c:v>151.85</c:v>
                </c:pt>
                <c:pt idx="14">
                  <c:v>136.86</c:v>
                </c:pt>
                <c:pt idx="15">
                  <c:v>134.53</c:v>
                </c:pt>
                <c:pt idx="16">
                  <c:v>144.57</c:v>
                </c:pt>
                <c:pt idx="17">
                  <c:v>150.52</c:v>
                </c:pt>
                <c:pt idx="18">
                  <c:v>181.28</c:v>
                </c:pt>
                <c:pt idx="19">
                  <c:v>153.51</c:v>
                </c:pt>
                <c:pt idx="20">
                  <c:v>166.78</c:v>
                </c:pt>
                <c:pt idx="21">
                  <c:v>143.64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417671"/>
        <c:axId val="76202632"/>
      </c:lineChart>
      <c:catAx>
        <c:axId val="95417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02632"/>
        <c:crosses val="autoZero"/>
        <c:auto val="1"/>
        <c:lblAlgn val="ctr"/>
        <c:lblOffset val="100"/>
        <c:noMultiLvlLbl val="0"/>
      </c:catAx>
      <c:valAx>
        <c:axId val="762026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176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_series_2!$B$95:$Y$95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114.03</c:v>
                </c:pt>
                <c:pt idx="9">
                  <c:v>0</c:v>
                </c:pt>
                <c:pt idx="10">
                  <c:v>87.24</c:v>
                </c:pt>
                <c:pt idx="11">
                  <c:v>101.39</c:v>
                </c:pt>
                <c:pt idx="12">
                  <c:v>120.89</c:v>
                </c:pt>
                <c:pt idx="13">
                  <c:v>93.58</c:v>
                </c:pt>
                <c:pt idx="14">
                  <c:v>0</c:v>
                </c:pt>
                <c:pt idx="15">
                  <c:v>89.5</c:v>
                </c:pt>
                <c:pt idx="16">
                  <c:v>107.26</c:v>
                </c:pt>
                <c:pt idx="17">
                  <c:v>158.65</c:v>
                </c:pt>
                <c:pt idx="18">
                  <c:v>169.19</c:v>
                </c:pt>
                <c:pt idx="19">
                  <c:v>125.64</c:v>
                </c:pt>
                <c:pt idx="20">
                  <c:v>130.05</c:v>
                </c:pt>
                <c:pt idx="21">
                  <c:v>95.55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458812"/>
        <c:axId val="91814715"/>
      </c:lineChart>
      <c:catAx>
        <c:axId val="344588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14715"/>
        <c:crosses val="autoZero"/>
        <c:auto val="1"/>
        <c:lblAlgn val="ctr"/>
        <c:lblOffset val="100"/>
        <c:noMultiLvlLbl val="0"/>
      </c:catAx>
      <c:valAx>
        <c:axId val="918147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588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_series_2!$B$96:$Y$96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60.82</c:v>
                </c:pt>
                <c:pt idx="8">
                  <c:v>108.09</c:v>
                </c:pt>
                <c:pt idx="9">
                  <c:v>85.8</c:v>
                </c:pt>
                <c:pt idx="10">
                  <c:v>81.15</c:v>
                </c:pt>
                <c:pt idx="11">
                  <c:v>80.82</c:v>
                </c:pt>
                <c:pt idx="12">
                  <c:v>80.07</c:v>
                </c:pt>
                <c:pt idx="13">
                  <c:v>80.14</c:v>
                </c:pt>
                <c:pt idx="14">
                  <c:v>80.85</c:v>
                </c:pt>
                <c:pt idx="15">
                  <c:v>80.09</c:v>
                </c:pt>
                <c:pt idx="16">
                  <c:v>90.46</c:v>
                </c:pt>
                <c:pt idx="17">
                  <c:v>112.04</c:v>
                </c:pt>
                <c:pt idx="18">
                  <c:v>121.6</c:v>
                </c:pt>
                <c:pt idx="19">
                  <c:v>104.6</c:v>
                </c:pt>
                <c:pt idx="20">
                  <c:v>109.16</c:v>
                </c:pt>
                <c:pt idx="21">
                  <c:v>88.23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562349"/>
        <c:axId val="43937291"/>
      </c:lineChart>
      <c:catAx>
        <c:axId val="835623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37291"/>
        <c:crosses val="autoZero"/>
        <c:auto val="1"/>
        <c:lblAlgn val="ctr"/>
        <c:lblOffset val="100"/>
        <c:noMultiLvlLbl val="0"/>
      </c:catAx>
      <c:valAx>
        <c:axId val="439372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623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_series_2!$B$97:$Y$97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71.25</c:v>
                </c:pt>
                <c:pt idx="8">
                  <c:v>119.33</c:v>
                </c:pt>
                <c:pt idx="9">
                  <c:v>141.22</c:v>
                </c:pt>
                <c:pt idx="10">
                  <c:v>141.85</c:v>
                </c:pt>
                <c:pt idx="11">
                  <c:v>148.12</c:v>
                </c:pt>
                <c:pt idx="12">
                  <c:v>205.23</c:v>
                </c:pt>
                <c:pt idx="13">
                  <c:v>219.62</c:v>
                </c:pt>
                <c:pt idx="14">
                  <c:v>133.77</c:v>
                </c:pt>
                <c:pt idx="15">
                  <c:v>144.42</c:v>
                </c:pt>
                <c:pt idx="16">
                  <c:v>102.84</c:v>
                </c:pt>
                <c:pt idx="17">
                  <c:v>127.74</c:v>
                </c:pt>
                <c:pt idx="18">
                  <c:v>119.1</c:v>
                </c:pt>
                <c:pt idx="19">
                  <c:v>115.51</c:v>
                </c:pt>
                <c:pt idx="20">
                  <c:v>113.22</c:v>
                </c:pt>
                <c:pt idx="21">
                  <c:v>115.73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037221"/>
        <c:axId val="56148765"/>
      </c:lineChart>
      <c:catAx>
        <c:axId val="100372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48765"/>
        <c:crosses val="autoZero"/>
        <c:auto val="1"/>
        <c:lblAlgn val="ctr"/>
        <c:lblOffset val="100"/>
        <c:noMultiLvlLbl val="0"/>
      </c:catAx>
      <c:valAx>
        <c:axId val="561487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372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_series_2!$B$98:$Y$98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91.49</c:v>
                </c:pt>
                <c:pt idx="9">
                  <c:v>0</c:v>
                </c:pt>
                <c:pt idx="10">
                  <c:v>100.61</c:v>
                </c:pt>
                <c:pt idx="11">
                  <c:v>69.69</c:v>
                </c:pt>
                <c:pt idx="12">
                  <c:v>101.34</c:v>
                </c:pt>
                <c:pt idx="13">
                  <c:v>96.5</c:v>
                </c:pt>
                <c:pt idx="14">
                  <c:v>109.71</c:v>
                </c:pt>
                <c:pt idx="15">
                  <c:v>99.05</c:v>
                </c:pt>
                <c:pt idx="16">
                  <c:v>104.36</c:v>
                </c:pt>
                <c:pt idx="17">
                  <c:v>112.78</c:v>
                </c:pt>
                <c:pt idx="18">
                  <c:v>137.89</c:v>
                </c:pt>
                <c:pt idx="19">
                  <c:v>93.58</c:v>
                </c:pt>
                <c:pt idx="20">
                  <c:v>89.09</c:v>
                </c:pt>
                <c:pt idx="21">
                  <c:v>85.99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275718"/>
        <c:axId val="30330091"/>
      </c:lineChart>
      <c:catAx>
        <c:axId val="982757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30091"/>
        <c:crosses val="autoZero"/>
        <c:auto val="1"/>
        <c:lblAlgn val="ctr"/>
        <c:lblOffset val="100"/>
        <c:noMultiLvlLbl val="0"/>
      </c:catAx>
      <c:valAx>
        <c:axId val="303300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757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_series_2!$B$99:$Y$99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85.37</c:v>
                </c:pt>
                <c:pt idx="11">
                  <c:v>85.27</c:v>
                </c:pt>
                <c:pt idx="12">
                  <c:v>128.1</c:v>
                </c:pt>
                <c:pt idx="13">
                  <c:v>138.43</c:v>
                </c:pt>
                <c:pt idx="14">
                  <c:v>93.14</c:v>
                </c:pt>
                <c:pt idx="15">
                  <c:v>98.52</c:v>
                </c:pt>
                <c:pt idx="16">
                  <c:v>114.92</c:v>
                </c:pt>
                <c:pt idx="17">
                  <c:v>236.9</c:v>
                </c:pt>
                <c:pt idx="18">
                  <c:v>220.23</c:v>
                </c:pt>
                <c:pt idx="19">
                  <c:v>156.77</c:v>
                </c:pt>
                <c:pt idx="20">
                  <c:v>189.43</c:v>
                </c:pt>
                <c:pt idx="21">
                  <c:v>92.52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039411"/>
        <c:axId val="72692179"/>
      </c:lineChart>
      <c:catAx>
        <c:axId val="340394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92179"/>
        <c:crosses val="autoZero"/>
        <c:auto val="1"/>
        <c:lblAlgn val="ctr"/>
        <c:lblOffset val="100"/>
        <c:noMultiLvlLbl val="0"/>
      </c:catAx>
      <c:valAx>
        <c:axId val="72692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394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_series_2!$B$100:$Y$100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29.23</c:v>
                </c:pt>
                <c:pt idx="11">
                  <c:v>44.55</c:v>
                </c:pt>
                <c:pt idx="12">
                  <c:v>26.01</c:v>
                </c:pt>
                <c:pt idx="13">
                  <c:v>53.09</c:v>
                </c:pt>
                <c:pt idx="14">
                  <c:v>48.21</c:v>
                </c:pt>
                <c:pt idx="15">
                  <c:v>52.08</c:v>
                </c:pt>
                <c:pt idx="16">
                  <c:v>42.39</c:v>
                </c:pt>
                <c:pt idx="17">
                  <c:v>63.74</c:v>
                </c:pt>
                <c:pt idx="18">
                  <c:v>29.62</c:v>
                </c:pt>
                <c:pt idx="19">
                  <c:v>52.02</c:v>
                </c:pt>
                <c:pt idx="20">
                  <c:v>45.72</c:v>
                </c:pt>
                <c:pt idx="21">
                  <c:v>51.48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503995"/>
        <c:axId val="35977341"/>
      </c:lineChart>
      <c:catAx>
        <c:axId val="515039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77341"/>
        <c:crosses val="autoZero"/>
        <c:auto val="1"/>
        <c:lblAlgn val="ctr"/>
        <c:lblOffset val="100"/>
        <c:noMultiLvlLbl val="0"/>
      </c:catAx>
      <c:valAx>
        <c:axId val="359773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039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_series_2!$B$101:$Y$101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42.6</c:v>
                </c:pt>
                <c:pt idx="11">
                  <c:v>0</c:v>
                </c:pt>
                <c:pt idx="12">
                  <c:v>35.75</c:v>
                </c:pt>
                <c:pt idx="13">
                  <c:v>36.09</c:v>
                </c:pt>
                <c:pt idx="14">
                  <c:v>32.82</c:v>
                </c:pt>
                <c:pt idx="15">
                  <c:v>31.05</c:v>
                </c:pt>
                <c:pt idx="16">
                  <c:v>30.64</c:v>
                </c:pt>
                <c:pt idx="17">
                  <c:v>31.9</c:v>
                </c:pt>
                <c:pt idx="18">
                  <c:v>33.88</c:v>
                </c:pt>
                <c:pt idx="19">
                  <c:v>28.96</c:v>
                </c:pt>
                <c:pt idx="20">
                  <c:v>29.65</c:v>
                </c:pt>
                <c:pt idx="21">
                  <c:v>28.71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383817"/>
        <c:axId val="92885748"/>
      </c:lineChart>
      <c:catAx>
        <c:axId val="273838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85748"/>
        <c:crosses val="autoZero"/>
        <c:auto val="1"/>
        <c:lblAlgn val="ctr"/>
        <c:lblOffset val="100"/>
        <c:noMultiLvlLbl val="0"/>
      </c:catAx>
      <c:valAx>
        <c:axId val="928857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838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_series_2!$B$102:$Y$102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119.86</c:v>
                </c:pt>
                <c:pt idx="13">
                  <c:v>120.44</c:v>
                </c:pt>
                <c:pt idx="14">
                  <c:v>133.01</c:v>
                </c:pt>
                <c:pt idx="15">
                  <c:v>119.55</c:v>
                </c:pt>
                <c:pt idx="16">
                  <c:v>112.61</c:v>
                </c:pt>
                <c:pt idx="17">
                  <c:v>80.83</c:v>
                </c:pt>
                <c:pt idx="18">
                  <c:v>86.53</c:v>
                </c:pt>
                <c:pt idx="19">
                  <c:v>41.27</c:v>
                </c:pt>
                <c:pt idx="20">
                  <c:v>49.23</c:v>
                </c:pt>
                <c:pt idx="21">
                  <c:v>34.7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107440"/>
        <c:axId val="91250051"/>
      </c:lineChart>
      <c:catAx>
        <c:axId val="4610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50051"/>
        <c:crosses val="autoZero"/>
        <c:auto val="1"/>
        <c:lblAlgn val="ctr"/>
        <c:lblOffset val="100"/>
        <c:noMultiLvlLbl val="0"/>
      </c:catAx>
      <c:valAx>
        <c:axId val="912500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074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_series_2!$B$103:$Y$103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232.86</c:v>
                </c:pt>
                <c:pt idx="13">
                  <c:v>319.29</c:v>
                </c:pt>
                <c:pt idx="14">
                  <c:v>331.38</c:v>
                </c:pt>
                <c:pt idx="15">
                  <c:v>319.24</c:v>
                </c:pt>
                <c:pt idx="16">
                  <c:v>236.66</c:v>
                </c:pt>
                <c:pt idx="17">
                  <c:v>238.63</c:v>
                </c:pt>
                <c:pt idx="18">
                  <c:v>231.31</c:v>
                </c:pt>
                <c:pt idx="19">
                  <c:v>138.31</c:v>
                </c:pt>
                <c:pt idx="20">
                  <c:v>250.68</c:v>
                </c:pt>
                <c:pt idx="21">
                  <c:v>314.85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143931"/>
        <c:axId val="3923707"/>
      </c:lineChart>
      <c:catAx>
        <c:axId val="441439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3707"/>
        <c:crosses val="autoZero"/>
        <c:auto val="1"/>
        <c:lblAlgn val="ctr"/>
        <c:lblOffset val="100"/>
        <c:noMultiLvlLbl val="0"/>
      </c:catAx>
      <c:valAx>
        <c:axId val="39237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43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_series_2!$B$104:$Y$104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48.02</c:v>
                </c:pt>
                <c:pt idx="14">
                  <c:v>0</c:v>
                </c:pt>
                <c:pt idx="15">
                  <c:v>0</c:v>
                </c:pt>
                <c:pt idx="16">
                  <c:v>52.29</c:v>
                </c:pt>
                <c:pt idx="17">
                  <c:v>53.54</c:v>
                </c:pt>
                <c:pt idx="18">
                  <c:v>37.74</c:v>
                </c:pt>
                <c:pt idx="19">
                  <c:v>42.72</c:v>
                </c:pt>
                <c:pt idx="20">
                  <c:v>47.49</c:v>
                </c:pt>
                <c:pt idx="21">
                  <c:v>47.07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331033"/>
        <c:axId val="11888738"/>
      </c:lineChart>
      <c:catAx>
        <c:axId val="853310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88738"/>
        <c:crosses val="autoZero"/>
        <c:auto val="1"/>
        <c:lblAlgn val="ctr"/>
        <c:lblOffset val="100"/>
        <c:noMultiLvlLbl val="0"/>
      </c:catAx>
      <c:valAx>
        <c:axId val="118887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310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_series_2!$B$105:$Y$105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101.99</c:v>
                </c:pt>
                <c:pt idx="14">
                  <c:v>0</c:v>
                </c:pt>
                <c:pt idx="15">
                  <c:v>0</c:v>
                </c:pt>
                <c:pt idx="16">
                  <c:v>54.46</c:v>
                </c:pt>
                <c:pt idx="17">
                  <c:v>48.72</c:v>
                </c:pt>
                <c:pt idx="18">
                  <c:v>55.89</c:v>
                </c:pt>
                <c:pt idx="19">
                  <c:v>53.5</c:v>
                </c:pt>
                <c:pt idx="20">
                  <c:v>52.85</c:v>
                </c:pt>
                <c:pt idx="21">
                  <c:v>49.47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218445"/>
        <c:axId val="73046401"/>
      </c:lineChart>
      <c:catAx>
        <c:axId val="202184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46401"/>
        <c:crosses val="autoZero"/>
        <c:auto val="1"/>
        <c:lblAlgn val="ctr"/>
        <c:lblOffset val="100"/>
        <c:noMultiLvlLbl val="0"/>
      </c:catAx>
      <c:valAx>
        <c:axId val="730464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184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_series_2!$B$106:$Y$106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30.58</c:v>
                </c:pt>
                <c:pt idx="17">
                  <c:v>68.22</c:v>
                </c:pt>
                <c:pt idx="18">
                  <c:v>116.82</c:v>
                </c:pt>
                <c:pt idx="19">
                  <c:v>110.26</c:v>
                </c:pt>
                <c:pt idx="20">
                  <c:v>109.66</c:v>
                </c:pt>
                <c:pt idx="21">
                  <c:v>92.76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533598"/>
        <c:axId val="70959234"/>
      </c:lineChart>
      <c:catAx>
        <c:axId val="215335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59234"/>
        <c:crosses val="autoZero"/>
        <c:auto val="1"/>
        <c:lblAlgn val="ctr"/>
        <c:lblOffset val="100"/>
        <c:noMultiLvlLbl val="0"/>
      </c:catAx>
      <c:valAx>
        <c:axId val="709592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335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_series_2!$B$107:$Y$107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42.26</c:v>
                </c:pt>
                <c:pt idx="16">
                  <c:v>40.45</c:v>
                </c:pt>
                <c:pt idx="17">
                  <c:v>40.36</c:v>
                </c:pt>
                <c:pt idx="18">
                  <c:v>41.3</c:v>
                </c:pt>
                <c:pt idx="19">
                  <c:v>40.68</c:v>
                </c:pt>
                <c:pt idx="20">
                  <c:v>43.96</c:v>
                </c:pt>
                <c:pt idx="21">
                  <c:v>41.92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756733"/>
        <c:axId val="8934716"/>
      </c:lineChart>
      <c:catAx>
        <c:axId val="567567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4716"/>
        <c:crosses val="autoZero"/>
        <c:auto val="1"/>
        <c:lblAlgn val="ctr"/>
        <c:lblOffset val="100"/>
        <c:noMultiLvlLbl val="0"/>
      </c:catAx>
      <c:valAx>
        <c:axId val="89347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567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_series_2!$B$108:$Y$108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94.36</c:v>
                </c:pt>
                <c:pt idx="16">
                  <c:v>70.41</c:v>
                </c:pt>
                <c:pt idx="17">
                  <c:v>41.79</c:v>
                </c:pt>
                <c:pt idx="18">
                  <c:v>42.14</c:v>
                </c:pt>
                <c:pt idx="19">
                  <c:v>46.75</c:v>
                </c:pt>
                <c:pt idx="20">
                  <c:v>40.63</c:v>
                </c:pt>
                <c:pt idx="21">
                  <c:v>34.86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07451"/>
        <c:axId val="16819609"/>
      </c:lineChart>
      <c:catAx>
        <c:axId val="96074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19609"/>
        <c:crosses val="autoZero"/>
        <c:auto val="1"/>
        <c:lblAlgn val="ctr"/>
        <c:lblOffset val="100"/>
        <c:noMultiLvlLbl val="0"/>
      </c:catAx>
      <c:valAx>
        <c:axId val="168196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74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_series_2!$B$109:$Y$109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65.76</c:v>
                </c:pt>
                <c:pt idx="14">
                  <c:v>0</c:v>
                </c:pt>
                <c:pt idx="15">
                  <c:v>0</c:v>
                </c:pt>
                <c:pt idx="16">
                  <c:v>37.24</c:v>
                </c:pt>
                <c:pt idx="17">
                  <c:v>36.49</c:v>
                </c:pt>
                <c:pt idx="18">
                  <c:v>38.72</c:v>
                </c:pt>
                <c:pt idx="19">
                  <c:v>36.12</c:v>
                </c:pt>
                <c:pt idx="20">
                  <c:v>34.5</c:v>
                </c:pt>
                <c:pt idx="21">
                  <c:v>37.58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677298"/>
        <c:axId val="58869769"/>
      </c:lineChart>
      <c:catAx>
        <c:axId val="586772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69769"/>
        <c:crosses val="autoZero"/>
        <c:auto val="1"/>
        <c:lblAlgn val="ctr"/>
        <c:lblOffset val="100"/>
        <c:noMultiLvlLbl val="0"/>
      </c:catAx>
      <c:valAx>
        <c:axId val="588697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772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_series_2!$B$110:$Y$110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104.92</c:v>
                </c:pt>
                <c:pt idx="16">
                  <c:v>256.57</c:v>
                </c:pt>
                <c:pt idx="17">
                  <c:v>406.3</c:v>
                </c:pt>
                <c:pt idx="18">
                  <c:v>391.89</c:v>
                </c:pt>
                <c:pt idx="19">
                  <c:v>260.7</c:v>
                </c:pt>
                <c:pt idx="20">
                  <c:v>291.94</c:v>
                </c:pt>
                <c:pt idx="21">
                  <c:v>227.31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400607"/>
        <c:axId val="60962046"/>
      </c:lineChart>
      <c:catAx>
        <c:axId val="75400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62046"/>
        <c:crosses val="autoZero"/>
        <c:auto val="1"/>
        <c:lblAlgn val="ctr"/>
        <c:lblOffset val="100"/>
        <c:noMultiLvlLbl val="0"/>
      </c:catAx>
      <c:valAx>
        <c:axId val="609620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00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_series_2!$B$111:$Y$111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69.47</c:v>
                </c:pt>
                <c:pt idx="19">
                  <c:v>119.54</c:v>
                </c:pt>
                <c:pt idx="20">
                  <c:v>117.27</c:v>
                </c:pt>
                <c:pt idx="21">
                  <c:v>89.59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788215"/>
        <c:axId val="18790134"/>
      </c:lineChart>
      <c:catAx>
        <c:axId val="85788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90134"/>
        <c:crosses val="autoZero"/>
        <c:auto val="1"/>
        <c:lblAlgn val="ctr"/>
        <c:lblOffset val="100"/>
        <c:noMultiLvlLbl val="0"/>
      </c:catAx>
      <c:valAx>
        <c:axId val="187901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88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_series_2!$B$112:$Y$112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86.78</c:v>
                </c:pt>
                <c:pt idx="19">
                  <c:v>195.72</c:v>
                </c:pt>
                <c:pt idx="20">
                  <c:v>162.48</c:v>
                </c:pt>
                <c:pt idx="21">
                  <c:v>142.15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682974"/>
        <c:axId val="22243981"/>
      </c:lineChart>
      <c:catAx>
        <c:axId val="556829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43981"/>
        <c:crosses val="autoZero"/>
        <c:auto val="1"/>
        <c:lblAlgn val="ctr"/>
        <c:lblOffset val="100"/>
        <c:noMultiLvlLbl val="0"/>
      </c:catAx>
      <c:valAx>
        <c:axId val="222439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829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_series_2!$B$113:$Y$113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82.27</c:v>
                </c:pt>
                <c:pt idx="20">
                  <c:v>78.03</c:v>
                </c:pt>
                <c:pt idx="21">
                  <c:v>69.14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95299"/>
        <c:axId val="41490364"/>
      </c:lineChart>
      <c:catAx>
        <c:axId val="92952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90364"/>
        <c:crosses val="autoZero"/>
        <c:auto val="1"/>
        <c:lblAlgn val="ctr"/>
        <c:lblOffset val="100"/>
        <c:noMultiLvlLbl val="0"/>
      </c:catAx>
      <c:valAx>
        <c:axId val="414903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52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_series_2!$B$114:$Y$114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53.48</c:v>
                </c:pt>
                <c:pt idx="20">
                  <c:v>57.25</c:v>
                </c:pt>
                <c:pt idx="21">
                  <c:v>56.12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996929"/>
        <c:axId val="87130305"/>
      </c:lineChart>
      <c:catAx>
        <c:axId val="149969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30305"/>
        <c:crosses val="autoZero"/>
        <c:auto val="1"/>
        <c:lblAlgn val="ctr"/>
        <c:lblOffset val="100"/>
        <c:noMultiLvlLbl val="0"/>
      </c:catAx>
      <c:valAx>
        <c:axId val="871303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96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_series_2!$B$115:$Y$115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49.6</c:v>
                </c:pt>
                <c:pt idx="21">
                  <c:v>40.88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380131"/>
        <c:axId val="26145894"/>
      </c:lineChart>
      <c:catAx>
        <c:axId val="143801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45894"/>
        <c:crosses val="autoZero"/>
        <c:auto val="1"/>
        <c:lblAlgn val="ctr"/>
        <c:lblOffset val="100"/>
        <c:noMultiLvlLbl val="0"/>
      </c:catAx>
      <c:valAx>
        <c:axId val="261458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801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_series_2!$B$116:$Y$116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271.71</c:v>
                </c:pt>
                <c:pt idx="20">
                  <c:v>96.34</c:v>
                </c:pt>
                <c:pt idx="21">
                  <c:v>94.96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256095"/>
        <c:axId val="48738514"/>
      </c:lineChart>
      <c:catAx>
        <c:axId val="8925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38514"/>
        <c:crosses val="autoZero"/>
        <c:auto val="1"/>
        <c:lblAlgn val="ctr"/>
        <c:lblOffset val="100"/>
        <c:noMultiLvlLbl val="0"/>
      </c:catAx>
      <c:valAx>
        <c:axId val="487385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560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_series_2!$B$117:$Y$117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107.46</c:v>
                </c:pt>
                <c:pt idx="20">
                  <c:v>111.89</c:v>
                </c:pt>
                <c:pt idx="21">
                  <c:v>117.07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288748"/>
        <c:axId val="38859098"/>
      </c:lineChart>
      <c:catAx>
        <c:axId val="692887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59098"/>
        <c:crosses val="autoZero"/>
        <c:auto val="1"/>
        <c:lblAlgn val="ctr"/>
        <c:lblOffset val="100"/>
        <c:noMultiLvlLbl val="0"/>
      </c:catAx>
      <c:valAx>
        <c:axId val="388590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88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_series_2!$B$118:$Y$118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78.71</c:v>
                </c:pt>
                <c:pt idx="20">
                  <c:v>82.54</c:v>
                </c:pt>
                <c:pt idx="21">
                  <c:v>64.82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290489"/>
        <c:axId val="45774554"/>
      </c:lineChart>
      <c:catAx>
        <c:axId val="772904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74554"/>
        <c:crosses val="autoZero"/>
        <c:auto val="1"/>
        <c:lblAlgn val="ctr"/>
        <c:lblOffset val="100"/>
        <c:noMultiLvlLbl val="0"/>
      </c:catAx>
      <c:valAx>
        <c:axId val="457745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904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_series_2!$B$119:$Y$119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62.66</c:v>
                </c:pt>
                <c:pt idx="20">
                  <c:v>52.63</c:v>
                </c:pt>
                <c:pt idx="21">
                  <c:v>53.78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010397"/>
        <c:axId val="3068438"/>
      </c:lineChart>
      <c:catAx>
        <c:axId val="880103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8438"/>
        <c:crosses val="autoZero"/>
        <c:auto val="1"/>
        <c:lblAlgn val="ctr"/>
        <c:lblOffset val="100"/>
        <c:noMultiLvlLbl val="0"/>
      </c:catAx>
      <c:valAx>
        <c:axId val="30684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103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_series_2!$B$120:$Y$120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61.16</c:v>
                </c:pt>
                <c:pt idx="20">
                  <c:v>87.04</c:v>
                </c:pt>
                <c:pt idx="21">
                  <c:v>81.16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390063"/>
        <c:axId val="86214690"/>
      </c:lineChart>
      <c:catAx>
        <c:axId val="44390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14690"/>
        <c:crosses val="autoZero"/>
        <c:auto val="1"/>
        <c:lblAlgn val="ctr"/>
        <c:lblOffset val="100"/>
        <c:noMultiLvlLbl val="0"/>
      </c:catAx>
      <c:valAx>
        <c:axId val="862146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900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_series_2!$B$121:$Y$121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45.1</c:v>
                </c:pt>
                <c:pt idx="20">
                  <c:v>71.24</c:v>
                </c:pt>
                <c:pt idx="21">
                  <c:v>68.52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801247"/>
        <c:axId val="16840051"/>
      </c:lineChart>
      <c:catAx>
        <c:axId val="43801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40051"/>
        <c:crosses val="autoZero"/>
        <c:auto val="1"/>
        <c:lblAlgn val="ctr"/>
        <c:lblOffset val="100"/>
        <c:noMultiLvlLbl val="0"/>
      </c:catAx>
      <c:valAx>
        <c:axId val="168400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012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_series_2!$B$122:$Y$122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39.06</c:v>
                </c:pt>
                <c:pt idx="20">
                  <c:v>57.14</c:v>
                </c:pt>
                <c:pt idx="21">
                  <c:v>47.65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713753"/>
        <c:axId val="22633666"/>
      </c:lineChart>
      <c:catAx>
        <c:axId val="517137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33666"/>
        <c:crosses val="autoZero"/>
        <c:auto val="1"/>
        <c:lblAlgn val="ctr"/>
        <c:lblOffset val="100"/>
        <c:noMultiLvlLbl val="0"/>
      </c:catAx>
      <c:valAx>
        <c:axId val="226336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137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_series_2!$B$123:$Y$123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14.59</c:v>
                </c:pt>
                <c:pt idx="20">
                  <c:v>78.76</c:v>
                </c:pt>
                <c:pt idx="21">
                  <c:v>73.51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570324"/>
        <c:axId val="16082962"/>
      </c:lineChart>
      <c:catAx>
        <c:axId val="475703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82962"/>
        <c:crosses val="autoZero"/>
        <c:auto val="1"/>
        <c:lblAlgn val="ctr"/>
        <c:lblOffset val="100"/>
        <c:noMultiLvlLbl val="0"/>
      </c:catAx>
      <c:valAx>
        <c:axId val="160829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703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_series_2!$B$124:$Y$124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28.44</c:v>
                </c:pt>
                <c:pt idx="20">
                  <c:v>72.12</c:v>
                </c:pt>
                <c:pt idx="21">
                  <c:v>49.98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414629"/>
        <c:axId val="18271237"/>
      </c:lineChart>
      <c:catAx>
        <c:axId val="744146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71237"/>
        <c:crosses val="autoZero"/>
        <c:auto val="1"/>
        <c:lblAlgn val="ctr"/>
        <c:lblOffset val="100"/>
        <c:noMultiLvlLbl val="0"/>
      </c:catAx>
      <c:valAx>
        <c:axId val="182712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146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_series_2!$B$125:$Y$125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10.51</c:v>
                </c:pt>
                <c:pt idx="20">
                  <c:v>82.43</c:v>
                </c:pt>
                <c:pt idx="21">
                  <c:v>48.26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205773"/>
        <c:axId val="93879614"/>
      </c:lineChart>
      <c:catAx>
        <c:axId val="752057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79614"/>
        <c:crosses val="autoZero"/>
        <c:auto val="1"/>
        <c:lblAlgn val="ctr"/>
        <c:lblOffset val="100"/>
        <c:noMultiLvlLbl val="0"/>
      </c:catAx>
      <c:valAx>
        <c:axId val="938796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057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_series_2!$B$126:$Y$126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40.58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072879"/>
        <c:axId val="59332148"/>
      </c:lineChart>
      <c:catAx>
        <c:axId val="45072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32148"/>
        <c:crosses val="autoZero"/>
        <c:auto val="1"/>
        <c:lblAlgn val="ctr"/>
        <c:lblOffset val="100"/>
        <c:noMultiLvlLbl val="0"/>
      </c:catAx>
      <c:valAx>
        <c:axId val="593321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728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_series_2!$B$127:$Y$127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47.83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36491"/>
        <c:axId val="45269972"/>
      </c:lineChart>
      <c:catAx>
        <c:axId val="73364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69972"/>
        <c:crosses val="autoZero"/>
        <c:auto val="1"/>
        <c:lblAlgn val="ctr"/>
        <c:lblOffset val="100"/>
        <c:noMultiLvlLbl val="0"/>
      </c:catAx>
      <c:valAx>
        <c:axId val="452699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64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_series_2!$B$128:$Y$128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65.18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290308"/>
        <c:axId val="97246596"/>
      </c:lineChart>
      <c:catAx>
        <c:axId val="782903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46596"/>
        <c:crosses val="autoZero"/>
        <c:auto val="1"/>
        <c:lblAlgn val="ctr"/>
        <c:lblOffset val="100"/>
        <c:noMultiLvlLbl val="0"/>
      </c:catAx>
      <c:valAx>
        <c:axId val="972465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903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_series_2!$B$129:$Y$129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66.33</c:v>
                </c:pt>
                <c:pt idx="21">
                  <c:v>58.66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155638"/>
        <c:axId val="94158482"/>
      </c:lineChart>
      <c:catAx>
        <c:axId val="251556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58482"/>
        <c:crosses val="autoZero"/>
        <c:auto val="1"/>
        <c:lblAlgn val="ctr"/>
        <c:lblOffset val="100"/>
        <c:noMultiLvlLbl val="0"/>
      </c:catAx>
      <c:valAx>
        <c:axId val="941584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556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_series_2!$B$130:$Y$130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77.85</c:v>
                </c:pt>
                <c:pt idx="21">
                  <c:v>104.62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34744"/>
        <c:axId val="3320690"/>
      </c:lineChart>
      <c:catAx>
        <c:axId val="2034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0690"/>
        <c:crosses val="autoZero"/>
        <c:auto val="1"/>
        <c:lblAlgn val="ctr"/>
        <c:lblOffset val="100"/>
        <c:noMultiLvlLbl val="0"/>
      </c:catAx>
      <c:valAx>
        <c:axId val="33206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47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_series_2!$B$131:$Y$131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26.05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84450"/>
        <c:axId val="24933306"/>
      </c:lineChart>
      <c:catAx>
        <c:axId val="22844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33306"/>
        <c:crosses val="autoZero"/>
        <c:auto val="1"/>
        <c:lblAlgn val="ctr"/>
        <c:lblOffset val="100"/>
        <c:noMultiLvlLbl val="0"/>
      </c:catAx>
      <c:valAx>
        <c:axId val="249333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44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_series_2!$B$132:$Y$132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88.1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26310"/>
        <c:axId val="35766479"/>
      </c:lineChart>
      <c:catAx>
        <c:axId val="99263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66479"/>
        <c:crosses val="autoZero"/>
        <c:auto val="1"/>
        <c:lblAlgn val="ctr"/>
        <c:lblOffset val="100"/>
        <c:noMultiLvlLbl val="0"/>
      </c:catAx>
      <c:valAx>
        <c:axId val="357664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63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_series_2!$B$133:$Y$133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58.7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989390"/>
        <c:axId val="76018416"/>
      </c:lineChart>
      <c:catAx>
        <c:axId val="339893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18416"/>
        <c:crosses val="autoZero"/>
        <c:auto val="1"/>
        <c:lblAlgn val="ctr"/>
        <c:lblOffset val="100"/>
        <c:noMultiLvlLbl val="0"/>
      </c:catAx>
      <c:valAx>
        <c:axId val="760184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893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_series_2!$B$134:$Y$134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54.97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945405"/>
        <c:axId val="96997362"/>
      </c:lineChart>
      <c:catAx>
        <c:axId val="539454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97362"/>
        <c:crosses val="autoZero"/>
        <c:auto val="1"/>
        <c:lblAlgn val="ctr"/>
        <c:lblOffset val="100"/>
        <c:noMultiLvlLbl val="0"/>
      </c:catAx>
      <c:valAx>
        <c:axId val="969973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454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_series_2!$B$135:$Y$135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33.35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773272"/>
        <c:axId val="71678643"/>
      </c:lineChart>
      <c:catAx>
        <c:axId val="62773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78643"/>
        <c:crosses val="autoZero"/>
        <c:auto val="1"/>
        <c:lblAlgn val="ctr"/>
        <c:lblOffset val="100"/>
        <c:noMultiLvlLbl val="0"/>
      </c:catAx>
      <c:valAx>
        <c:axId val="716786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732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_series_2!$B$136:$Y$136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60.42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149306"/>
        <c:axId val="78887555"/>
      </c:lineChart>
      <c:catAx>
        <c:axId val="331493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87555"/>
        <c:crosses val="autoZero"/>
        <c:auto val="1"/>
        <c:lblAlgn val="ctr"/>
        <c:lblOffset val="100"/>
        <c:noMultiLvlLbl val="0"/>
      </c:catAx>
      <c:valAx>
        <c:axId val="788875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49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_series_2!$B$137:$Y$137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480.78</c:v>
                </c:pt>
                <c:pt idx="5">
                  <c:v>869.3</c:v>
                </c:pt>
                <c:pt idx="6">
                  <c:v>484.66</c:v>
                </c:pt>
                <c:pt idx="7">
                  <c:v>499.94</c:v>
                </c:pt>
                <c:pt idx="8">
                  <c:v>802.97</c:v>
                </c:pt>
                <c:pt idx="9">
                  <c:v>1074.48</c:v>
                </c:pt>
                <c:pt idx="10">
                  <c:v>997.35</c:v>
                </c:pt>
                <c:pt idx="11">
                  <c:v>1001.22</c:v>
                </c:pt>
                <c:pt idx="12">
                  <c:v>1957.85</c:v>
                </c:pt>
                <c:pt idx="13">
                  <c:v>79.62</c:v>
                </c:pt>
                <c:pt idx="14">
                  <c:v>1019.69</c:v>
                </c:pt>
                <c:pt idx="15">
                  <c:v>699.4</c:v>
                </c:pt>
                <c:pt idx="16">
                  <c:v>233.98</c:v>
                </c:pt>
                <c:pt idx="17">
                  <c:v>803.7</c:v>
                </c:pt>
                <c:pt idx="18">
                  <c:v>716.71</c:v>
                </c:pt>
                <c:pt idx="19">
                  <c:v>712.12</c:v>
                </c:pt>
                <c:pt idx="20">
                  <c:v>540.74</c:v>
                </c:pt>
                <c:pt idx="21">
                  <c:v>624.71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726933"/>
        <c:axId val="67187995"/>
      </c:lineChart>
      <c:catAx>
        <c:axId val="347269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87995"/>
        <c:crosses val="autoZero"/>
        <c:auto val="1"/>
        <c:lblAlgn val="ctr"/>
        <c:lblOffset val="100"/>
        <c:noMultiLvlLbl val="0"/>
      </c:catAx>
      <c:valAx>
        <c:axId val="671879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26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chart" Target="../charts/chart31.xml"/><Relationship Id="rId5" Type="http://schemas.openxmlformats.org/officeDocument/2006/relationships/chart" Target="../charts/chart32.xml"/><Relationship Id="rId6" Type="http://schemas.openxmlformats.org/officeDocument/2006/relationships/chart" Target="../charts/chart33.xml"/><Relationship Id="rId7" Type="http://schemas.openxmlformats.org/officeDocument/2006/relationships/chart" Target="../charts/chart34.xml"/><Relationship Id="rId8" Type="http://schemas.openxmlformats.org/officeDocument/2006/relationships/chart" Target="../charts/chart35.xml"/><Relationship Id="rId9" Type="http://schemas.openxmlformats.org/officeDocument/2006/relationships/chart" Target="../charts/chart36.xml"/><Relationship Id="rId10" Type="http://schemas.openxmlformats.org/officeDocument/2006/relationships/chart" Target="../charts/chart37.xml"/><Relationship Id="rId11" Type="http://schemas.openxmlformats.org/officeDocument/2006/relationships/chart" Target="../charts/chart38.xml"/><Relationship Id="rId12" Type="http://schemas.openxmlformats.org/officeDocument/2006/relationships/chart" Target="../charts/chart39.xml"/><Relationship Id="rId13" Type="http://schemas.openxmlformats.org/officeDocument/2006/relationships/chart" Target="../charts/chart40.xml"/><Relationship Id="rId14" Type="http://schemas.openxmlformats.org/officeDocument/2006/relationships/chart" Target="../charts/chart41.xml"/><Relationship Id="rId15" Type="http://schemas.openxmlformats.org/officeDocument/2006/relationships/chart" Target="../charts/chart42.xml"/><Relationship Id="rId16" Type="http://schemas.openxmlformats.org/officeDocument/2006/relationships/chart" Target="../charts/chart43.xml"/><Relationship Id="rId17" Type="http://schemas.openxmlformats.org/officeDocument/2006/relationships/chart" Target="../charts/chart44.xml"/><Relationship Id="rId18" Type="http://schemas.openxmlformats.org/officeDocument/2006/relationships/chart" Target="../charts/chart45.xml"/><Relationship Id="rId19" Type="http://schemas.openxmlformats.org/officeDocument/2006/relationships/chart" Target="../charts/chart46.xml"/><Relationship Id="rId20" Type="http://schemas.openxmlformats.org/officeDocument/2006/relationships/chart" Target="../charts/chart47.xml"/><Relationship Id="rId21" Type="http://schemas.openxmlformats.org/officeDocument/2006/relationships/chart" Target="../charts/chart48.xml"/><Relationship Id="rId22" Type="http://schemas.openxmlformats.org/officeDocument/2006/relationships/chart" Target="../charts/chart49.xml"/><Relationship Id="rId23" Type="http://schemas.openxmlformats.org/officeDocument/2006/relationships/chart" Target="../charts/chart50.xml"/><Relationship Id="rId24" Type="http://schemas.openxmlformats.org/officeDocument/2006/relationships/chart" Target="../charts/chart51.xml"/><Relationship Id="rId25" Type="http://schemas.openxmlformats.org/officeDocument/2006/relationships/chart" Target="../charts/chart52.xml"/><Relationship Id="rId26" Type="http://schemas.openxmlformats.org/officeDocument/2006/relationships/chart" Target="../charts/chart53.xml"/><Relationship Id="rId27" Type="http://schemas.openxmlformats.org/officeDocument/2006/relationships/chart" Target="../charts/chart54.xml"/><Relationship Id="rId28" Type="http://schemas.openxmlformats.org/officeDocument/2006/relationships/chart" Target="../charts/chart55.xml"/><Relationship Id="rId29" Type="http://schemas.openxmlformats.org/officeDocument/2006/relationships/chart" Target="../charts/chart56.xml"/><Relationship Id="rId30" Type="http://schemas.openxmlformats.org/officeDocument/2006/relationships/chart" Target="../charts/chart57.xml"/><Relationship Id="rId31" Type="http://schemas.openxmlformats.org/officeDocument/2006/relationships/chart" Target="../charts/chart58.xml"/><Relationship Id="rId32" Type="http://schemas.openxmlformats.org/officeDocument/2006/relationships/chart" Target="../charts/chart59.xml"/><Relationship Id="rId33" Type="http://schemas.openxmlformats.org/officeDocument/2006/relationships/chart" Target="../charts/chart60.xml"/><Relationship Id="rId34" Type="http://schemas.openxmlformats.org/officeDocument/2006/relationships/chart" Target="../charts/chart61.xml"/><Relationship Id="rId35" Type="http://schemas.openxmlformats.org/officeDocument/2006/relationships/chart" Target="../charts/chart62.xml"/><Relationship Id="rId36" Type="http://schemas.openxmlformats.org/officeDocument/2006/relationships/chart" Target="../charts/chart63.xml"/><Relationship Id="rId37" Type="http://schemas.openxmlformats.org/officeDocument/2006/relationships/chart" Target="../charts/chart64.xml"/><Relationship Id="rId38" Type="http://schemas.openxmlformats.org/officeDocument/2006/relationships/chart" Target="../charts/chart65.xml"/><Relationship Id="rId39" Type="http://schemas.openxmlformats.org/officeDocument/2006/relationships/chart" Target="../charts/chart66.xml"/><Relationship Id="rId40" Type="http://schemas.openxmlformats.org/officeDocument/2006/relationships/chart" Target="../charts/chart67.xml"/><Relationship Id="rId41" Type="http://schemas.openxmlformats.org/officeDocument/2006/relationships/chart" Target="../charts/chart68.xml"/><Relationship Id="rId42" Type="http://schemas.openxmlformats.org/officeDocument/2006/relationships/chart" Target="../charts/chart69.xml"/><Relationship Id="rId43" Type="http://schemas.openxmlformats.org/officeDocument/2006/relationships/chart" Target="../charts/chart70.xml"/><Relationship Id="rId44" Type="http://schemas.openxmlformats.org/officeDocument/2006/relationships/chart" Target="../charts/chart71.xml"/><Relationship Id="rId45" Type="http://schemas.openxmlformats.org/officeDocument/2006/relationships/chart" Target="../charts/chart72.xml"/><Relationship Id="rId46" Type="http://schemas.openxmlformats.org/officeDocument/2006/relationships/chart" Target="../charts/chart73.xml"/><Relationship Id="rId47" Type="http://schemas.openxmlformats.org/officeDocument/2006/relationships/chart" Target="../charts/chart74.xml"/><Relationship Id="rId48" Type="http://schemas.openxmlformats.org/officeDocument/2006/relationships/chart" Target="../charts/chart75.xml"/><Relationship Id="rId49" Type="http://schemas.openxmlformats.org/officeDocument/2006/relationships/chart" Target="../charts/chart76.xml"/><Relationship Id="rId50" Type="http://schemas.openxmlformats.org/officeDocument/2006/relationships/chart" Target="../charts/chart77.xml"/><Relationship Id="rId51" Type="http://schemas.openxmlformats.org/officeDocument/2006/relationships/chart" Target="../charts/chart78.xml"/><Relationship Id="rId52" Type="http://schemas.openxmlformats.org/officeDocument/2006/relationships/chart" Target="../charts/chart79.xml"/><Relationship Id="rId53" Type="http://schemas.openxmlformats.org/officeDocument/2006/relationships/chart" Target="../charts/chart80.xml"/><Relationship Id="rId54" Type="http://schemas.openxmlformats.org/officeDocument/2006/relationships/chart" Target="../charts/chart81.xml"/><Relationship Id="rId55" Type="http://schemas.openxmlformats.org/officeDocument/2006/relationships/chart" Target="../charts/chart82.xml"/><Relationship Id="rId56" Type="http://schemas.openxmlformats.org/officeDocument/2006/relationships/chart" Target="../charts/chart83.xml"/><Relationship Id="rId57" Type="http://schemas.openxmlformats.org/officeDocument/2006/relationships/chart" Target="../charts/chart84.xml"/><Relationship Id="rId58" Type="http://schemas.openxmlformats.org/officeDocument/2006/relationships/chart" Target="../charts/chart85.xml"/><Relationship Id="rId59" Type="http://schemas.openxmlformats.org/officeDocument/2006/relationships/chart" Target="../charts/chart86.xml"/><Relationship Id="rId60" Type="http://schemas.openxmlformats.org/officeDocument/2006/relationships/chart" Target="../charts/chart87.xml"/><Relationship Id="rId61" Type="http://schemas.openxmlformats.org/officeDocument/2006/relationships/chart" Target="../charts/chart88.xml"/><Relationship Id="rId62" Type="http://schemas.openxmlformats.org/officeDocument/2006/relationships/chart" Target="../charts/chart89.xml"/><Relationship Id="rId63" Type="http://schemas.openxmlformats.org/officeDocument/2006/relationships/chart" Target="../charts/chart90.xml"/><Relationship Id="rId64" Type="http://schemas.openxmlformats.org/officeDocument/2006/relationships/chart" Target="../charts/chart91.xml"/><Relationship Id="rId65" Type="http://schemas.openxmlformats.org/officeDocument/2006/relationships/chart" Target="../charts/chart92.xml"/><Relationship Id="rId66" Type="http://schemas.openxmlformats.org/officeDocument/2006/relationships/chart" Target="../charts/chart93.xml"/><Relationship Id="rId67" Type="http://schemas.openxmlformats.org/officeDocument/2006/relationships/chart" Target="../charts/chart94.xml"/><Relationship Id="rId68" Type="http://schemas.openxmlformats.org/officeDocument/2006/relationships/chart" Target="../charts/chart95.xml"/><Relationship Id="rId69" Type="http://schemas.openxmlformats.org/officeDocument/2006/relationships/chart" Target="../charts/chart96.xml"/><Relationship Id="rId70" Type="http://schemas.openxmlformats.org/officeDocument/2006/relationships/chart" Target="../charts/chart97.xml"/><Relationship Id="rId71" Type="http://schemas.openxmlformats.org/officeDocument/2006/relationships/chart" Target="../charts/chart98.xml"/><Relationship Id="rId72" Type="http://schemas.openxmlformats.org/officeDocument/2006/relationships/chart" Target="../charts/chart99.xml"/><Relationship Id="rId73" Type="http://schemas.openxmlformats.org/officeDocument/2006/relationships/chart" Target="../charts/chart100.xml"/><Relationship Id="rId74" Type="http://schemas.openxmlformats.org/officeDocument/2006/relationships/chart" Target="../charts/chart101.xml"/><Relationship Id="rId75" Type="http://schemas.openxmlformats.org/officeDocument/2006/relationships/chart" Target="../charts/chart102.xml"/><Relationship Id="rId76" Type="http://schemas.openxmlformats.org/officeDocument/2006/relationships/chart" Target="../charts/chart103.xml"/><Relationship Id="rId77" Type="http://schemas.openxmlformats.org/officeDocument/2006/relationships/chart" Target="../charts/chart104.xml"/><Relationship Id="rId78" Type="http://schemas.openxmlformats.org/officeDocument/2006/relationships/chart" Target="../charts/chart105.xml"/><Relationship Id="rId79" Type="http://schemas.openxmlformats.org/officeDocument/2006/relationships/chart" Target="../charts/chart106.xml"/><Relationship Id="rId80" Type="http://schemas.openxmlformats.org/officeDocument/2006/relationships/chart" Target="../charts/chart107.xml"/><Relationship Id="rId81" Type="http://schemas.openxmlformats.org/officeDocument/2006/relationships/chart" Target="../charts/chart108.xml"/><Relationship Id="rId82" Type="http://schemas.openxmlformats.org/officeDocument/2006/relationships/chart" Target="../charts/chart109.xml"/><Relationship Id="rId83" Type="http://schemas.openxmlformats.org/officeDocument/2006/relationships/chart" Target="../charts/chart110.xml"/><Relationship Id="rId84" Type="http://schemas.openxmlformats.org/officeDocument/2006/relationships/chart" Target="../charts/chart111.xml"/><Relationship Id="rId85" Type="http://schemas.openxmlformats.org/officeDocument/2006/relationships/chart" Target="../charts/chart112.xml"/><Relationship Id="rId86" Type="http://schemas.openxmlformats.org/officeDocument/2006/relationships/chart" Target="../charts/chart113.xml"/><Relationship Id="rId87" Type="http://schemas.openxmlformats.org/officeDocument/2006/relationships/chart" Target="../charts/chart114.xml"/><Relationship Id="rId88" Type="http://schemas.openxmlformats.org/officeDocument/2006/relationships/chart" Target="../charts/chart115.xml"/><Relationship Id="rId89" Type="http://schemas.openxmlformats.org/officeDocument/2006/relationships/chart" Target="../charts/chart116.xml"/><Relationship Id="rId90" Type="http://schemas.openxmlformats.org/officeDocument/2006/relationships/chart" Target="../charts/chart117.xml"/><Relationship Id="rId91" Type="http://schemas.openxmlformats.org/officeDocument/2006/relationships/chart" Target="../charts/chart118.xml"/><Relationship Id="rId92" Type="http://schemas.openxmlformats.org/officeDocument/2006/relationships/chart" Target="../charts/chart119.xml"/><Relationship Id="rId93" Type="http://schemas.openxmlformats.org/officeDocument/2006/relationships/chart" Target="../charts/chart120.xml"/><Relationship Id="rId94" Type="http://schemas.openxmlformats.org/officeDocument/2006/relationships/chart" Target="../charts/chart121.xml"/><Relationship Id="rId95" Type="http://schemas.openxmlformats.org/officeDocument/2006/relationships/chart" Target="../charts/chart122.xml"/><Relationship Id="rId96" Type="http://schemas.openxmlformats.org/officeDocument/2006/relationships/chart" Target="../charts/chart123.xml"/><Relationship Id="rId97" Type="http://schemas.openxmlformats.org/officeDocument/2006/relationships/chart" Target="../charts/chart124.xml"/><Relationship Id="rId98" Type="http://schemas.openxmlformats.org/officeDocument/2006/relationships/chart" Target="../charts/chart125.xml"/><Relationship Id="rId99" Type="http://schemas.openxmlformats.org/officeDocument/2006/relationships/chart" Target="../charts/chart126.xml"/><Relationship Id="rId100" Type="http://schemas.openxmlformats.org/officeDocument/2006/relationships/chart" Target="../charts/chart127.xml"/><Relationship Id="rId101" Type="http://schemas.openxmlformats.org/officeDocument/2006/relationships/chart" Target="../charts/chart128.xml"/><Relationship Id="rId102" Type="http://schemas.openxmlformats.org/officeDocument/2006/relationships/chart" Target="../charts/chart129.xml"/><Relationship Id="rId103" Type="http://schemas.openxmlformats.org/officeDocument/2006/relationships/chart" Target="../charts/chart130.xml"/><Relationship Id="rId104" Type="http://schemas.openxmlformats.org/officeDocument/2006/relationships/chart" Target="../charts/chart131.xml"/><Relationship Id="rId105" Type="http://schemas.openxmlformats.org/officeDocument/2006/relationships/chart" Target="../charts/chart132.xml"/><Relationship Id="rId106" Type="http://schemas.openxmlformats.org/officeDocument/2006/relationships/chart" Target="../charts/chart133.xml"/><Relationship Id="rId107" Type="http://schemas.openxmlformats.org/officeDocument/2006/relationships/chart" Target="../charts/chart134.xml"/><Relationship Id="rId108" Type="http://schemas.openxmlformats.org/officeDocument/2006/relationships/chart" Target="../charts/chart135.xml"/><Relationship Id="rId109" Type="http://schemas.openxmlformats.org/officeDocument/2006/relationships/chart" Target="../charts/chart136.xml"/><Relationship Id="rId110" Type="http://schemas.openxmlformats.org/officeDocument/2006/relationships/chart" Target="../charts/chart137.xml"/><Relationship Id="rId111" Type="http://schemas.openxmlformats.org/officeDocument/2006/relationships/chart" Target="../charts/chart138.xml"/><Relationship Id="rId112" Type="http://schemas.openxmlformats.org/officeDocument/2006/relationships/chart" Target="../charts/chart139.xml"/><Relationship Id="rId113" Type="http://schemas.openxmlformats.org/officeDocument/2006/relationships/chart" Target="../charts/chart140.xml"/><Relationship Id="rId114" Type="http://schemas.openxmlformats.org/officeDocument/2006/relationships/chart" Target="../charts/chart141.xml"/><Relationship Id="rId115" Type="http://schemas.openxmlformats.org/officeDocument/2006/relationships/chart" Target="../charts/chart142.xml"/><Relationship Id="rId116" Type="http://schemas.openxmlformats.org/officeDocument/2006/relationships/chart" Target="../charts/chart143.xml"/><Relationship Id="rId117" Type="http://schemas.openxmlformats.org/officeDocument/2006/relationships/chart" Target="../charts/chart144.xml"/><Relationship Id="rId118" Type="http://schemas.openxmlformats.org/officeDocument/2006/relationships/chart" Target="../charts/chart145.xml"/><Relationship Id="rId119" Type="http://schemas.openxmlformats.org/officeDocument/2006/relationships/chart" Target="../charts/chart146.xml"/><Relationship Id="rId120" Type="http://schemas.openxmlformats.org/officeDocument/2006/relationships/chart" Target="../charts/chart147.xml"/><Relationship Id="rId121" Type="http://schemas.openxmlformats.org/officeDocument/2006/relationships/chart" Target="../charts/chart148.xml"/><Relationship Id="rId122" Type="http://schemas.openxmlformats.org/officeDocument/2006/relationships/chart" Target="../charts/chart149.xml"/><Relationship Id="rId123" Type="http://schemas.openxmlformats.org/officeDocument/2006/relationships/chart" Target="../charts/chart150.xml"/><Relationship Id="rId124" Type="http://schemas.openxmlformats.org/officeDocument/2006/relationships/chart" Target="../charts/chart151.xml"/><Relationship Id="rId125" Type="http://schemas.openxmlformats.org/officeDocument/2006/relationships/chart" Target="../charts/chart152.xml"/><Relationship Id="rId126" Type="http://schemas.openxmlformats.org/officeDocument/2006/relationships/chart" Target="../charts/chart153.xml"/><Relationship Id="rId127" Type="http://schemas.openxmlformats.org/officeDocument/2006/relationships/chart" Target="../charts/chart154.xml"/><Relationship Id="rId128" Type="http://schemas.openxmlformats.org/officeDocument/2006/relationships/chart" Target="../charts/chart155.xml"/><Relationship Id="rId129" Type="http://schemas.openxmlformats.org/officeDocument/2006/relationships/chart" Target="../charts/chart156.xml"/><Relationship Id="rId130" Type="http://schemas.openxmlformats.org/officeDocument/2006/relationships/chart" Target="../charts/chart157.xml"/><Relationship Id="rId131" Type="http://schemas.openxmlformats.org/officeDocument/2006/relationships/chart" Target="../charts/chart158.xml"/><Relationship Id="rId132" Type="http://schemas.openxmlformats.org/officeDocument/2006/relationships/chart" Target="../charts/chart159.xml"/><Relationship Id="rId133" Type="http://schemas.openxmlformats.org/officeDocument/2006/relationships/chart" Target="../charts/chart160.xml"/><Relationship Id="rId134" Type="http://schemas.openxmlformats.org/officeDocument/2006/relationships/chart" Target="../charts/chart161.xml"/><Relationship Id="rId135" Type="http://schemas.openxmlformats.org/officeDocument/2006/relationships/chart" Target="../charts/chart162.xml"/><Relationship Id="rId136" Type="http://schemas.openxmlformats.org/officeDocument/2006/relationships/chart" Target="../charts/chart16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8</xdr:row>
      <xdr:rowOff>0</xdr:rowOff>
    </xdr:from>
    <xdr:to>
      <xdr:col>24</xdr:col>
      <xdr:colOff>104400</xdr:colOff>
      <xdr:row>16</xdr:row>
      <xdr:rowOff>95040</xdr:rowOff>
    </xdr:to>
    <xdr:graphicFrame>
      <xdr:nvGraphicFramePr>
        <xdr:cNvPr id="0" name="Chart 1"/>
        <xdr:cNvGraphicFramePr/>
      </xdr:nvGraphicFramePr>
      <xdr:xfrm>
        <a:off x="11841480" y="152388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26</xdr:row>
      <xdr:rowOff>0</xdr:rowOff>
    </xdr:from>
    <xdr:to>
      <xdr:col>24</xdr:col>
      <xdr:colOff>104400</xdr:colOff>
      <xdr:row>34</xdr:row>
      <xdr:rowOff>95040</xdr:rowOff>
    </xdr:to>
    <xdr:graphicFrame>
      <xdr:nvGraphicFramePr>
        <xdr:cNvPr id="1" name="Chart 2"/>
        <xdr:cNvGraphicFramePr/>
      </xdr:nvGraphicFramePr>
      <xdr:xfrm>
        <a:off x="11841480" y="495288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44</xdr:row>
      <xdr:rowOff>0</xdr:rowOff>
    </xdr:from>
    <xdr:to>
      <xdr:col>24</xdr:col>
      <xdr:colOff>104400</xdr:colOff>
      <xdr:row>52</xdr:row>
      <xdr:rowOff>95040</xdr:rowOff>
    </xdr:to>
    <xdr:graphicFrame>
      <xdr:nvGraphicFramePr>
        <xdr:cNvPr id="2" name="Chart 3"/>
        <xdr:cNvGraphicFramePr/>
      </xdr:nvGraphicFramePr>
      <xdr:xfrm>
        <a:off x="11841480" y="838188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62</xdr:row>
      <xdr:rowOff>0</xdr:rowOff>
    </xdr:from>
    <xdr:to>
      <xdr:col>24</xdr:col>
      <xdr:colOff>104400</xdr:colOff>
      <xdr:row>70</xdr:row>
      <xdr:rowOff>95040</xdr:rowOff>
    </xdr:to>
    <xdr:graphicFrame>
      <xdr:nvGraphicFramePr>
        <xdr:cNvPr id="3" name="Chart 4"/>
        <xdr:cNvGraphicFramePr/>
      </xdr:nvGraphicFramePr>
      <xdr:xfrm>
        <a:off x="11841480" y="1181088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81</xdr:row>
      <xdr:rowOff>0</xdr:rowOff>
    </xdr:from>
    <xdr:to>
      <xdr:col>24</xdr:col>
      <xdr:colOff>104400</xdr:colOff>
      <xdr:row>89</xdr:row>
      <xdr:rowOff>95400</xdr:rowOff>
    </xdr:to>
    <xdr:graphicFrame>
      <xdr:nvGraphicFramePr>
        <xdr:cNvPr id="4" name="Chart 5"/>
        <xdr:cNvGraphicFramePr/>
      </xdr:nvGraphicFramePr>
      <xdr:xfrm>
        <a:off x="11841480" y="1543068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99</xdr:row>
      <xdr:rowOff>0</xdr:rowOff>
    </xdr:from>
    <xdr:to>
      <xdr:col>24</xdr:col>
      <xdr:colOff>104400</xdr:colOff>
      <xdr:row>107</xdr:row>
      <xdr:rowOff>95400</xdr:rowOff>
    </xdr:to>
    <xdr:graphicFrame>
      <xdr:nvGraphicFramePr>
        <xdr:cNvPr id="5" name="Chart 6"/>
        <xdr:cNvGraphicFramePr/>
      </xdr:nvGraphicFramePr>
      <xdr:xfrm>
        <a:off x="11841480" y="1885968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0</xdr:colOff>
      <xdr:row>117</xdr:row>
      <xdr:rowOff>0</xdr:rowOff>
    </xdr:from>
    <xdr:to>
      <xdr:col>24</xdr:col>
      <xdr:colOff>104400</xdr:colOff>
      <xdr:row>125</xdr:row>
      <xdr:rowOff>95400</xdr:rowOff>
    </xdr:to>
    <xdr:graphicFrame>
      <xdr:nvGraphicFramePr>
        <xdr:cNvPr id="6" name="Chart 7"/>
        <xdr:cNvGraphicFramePr/>
      </xdr:nvGraphicFramePr>
      <xdr:xfrm>
        <a:off x="11841480" y="2228868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17</xdr:col>
      <xdr:colOff>0</xdr:colOff>
      <xdr:row>135</xdr:row>
      <xdr:rowOff>0</xdr:rowOff>
    </xdr:from>
    <xdr:to>
      <xdr:col>24</xdr:col>
      <xdr:colOff>104400</xdr:colOff>
      <xdr:row>143</xdr:row>
      <xdr:rowOff>95400</xdr:rowOff>
    </xdr:to>
    <xdr:graphicFrame>
      <xdr:nvGraphicFramePr>
        <xdr:cNvPr id="7" name="Chart 8"/>
        <xdr:cNvGraphicFramePr/>
      </xdr:nvGraphicFramePr>
      <xdr:xfrm>
        <a:off x="11841480" y="2571768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0</xdr:colOff>
      <xdr:row>154</xdr:row>
      <xdr:rowOff>0</xdr:rowOff>
    </xdr:from>
    <xdr:to>
      <xdr:col>24</xdr:col>
      <xdr:colOff>104400</xdr:colOff>
      <xdr:row>162</xdr:row>
      <xdr:rowOff>95400</xdr:rowOff>
    </xdr:to>
    <xdr:graphicFrame>
      <xdr:nvGraphicFramePr>
        <xdr:cNvPr id="8" name="Chart 9"/>
        <xdr:cNvGraphicFramePr/>
      </xdr:nvGraphicFramePr>
      <xdr:xfrm>
        <a:off x="11841480" y="29337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17</xdr:col>
      <xdr:colOff>0</xdr:colOff>
      <xdr:row>172</xdr:row>
      <xdr:rowOff>0</xdr:rowOff>
    </xdr:from>
    <xdr:to>
      <xdr:col>24</xdr:col>
      <xdr:colOff>104400</xdr:colOff>
      <xdr:row>180</xdr:row>
      <xdr:rowOff>95400</xdr:rowOff>
    </xdr:to>
    <xdr:graphicFrame>
      <xdr:nvGraphicFramePr>
        <xdr:cNvPr id="9" name="Chart 10"/>
        <xdr:cNvGraphicFramePr/>
      </xdr:nvGraphicFramePr>
      <xdr:xfrm>
        <a:off x="11841480" y="32766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0</xdr:colOff>
      <xdr:row>190</xdr:row>
      <xdr:rowOff>0</xdr:rowOff>
    </xdr:from>
    <xdr:to>
      <xdr:col>24</xdr:col>
      <xdr:colOff>104400</xdr:colOff>
      <xdr:row>198</xdr:row>
      <xdr:rowOff>95400</xdr:rowOff>
    </xdr:to>
    <xdr:graphicFrame>
      <xdr:nvGraphicFramePr>
        <xdr:cNvPr id="10" name="Chart 11"/>
        <xdr:cNvGraphicFramePr/>
      </xdr:nvGraphicFramePr>
      <xdr:xfrm>
        <a:off x="11841480" y="36195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17</xdr:col>
      <xdr:colOff>0</xdr:colOff>
      <xdr:row>208</xdr:row>
      <xdr:rowOff>0</xdr:rowOff>
    </xdr:from>
    <xdr:to>
      <xdr:col>24</xdr:col>
      <xdr:colOff>104400</xdr:colOff>
      <xdr:row>216</xdr:row>
      <xdr:rowOff>95400</xdr:rowOff>
    </xdr:to>
    <xdr:graphicFrame>
      <xdr:nvGraphicFramePr>
        <xdr:cNvPr id="11" name="Chart 12"/>
        <xdr:cNvGraphicFramePr/>
      </xdr:nvGraphicFramePr>
      <xdr:xfrm>
        <a:off x="11841480" y="39624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17</xdr:col>
      <xdr:colOff>0</xdr:colOff>
      <xdr:row>226</xdr:row>
      <xdr:rowOff>0</xdr:rowOff>
    </xdr:from>
    <xdr:to>
      <xdr:col>24</xdr:col>
      <xdr:colOff>104400</xdr:colOff>
      <xdr:row>234</xdr:row>
      <xdr:rowOff>95400</xdr:rowOff>
    </xdr:to>
    <xdr:graphicFrame>
      <xdr:nvGraphicFramePr>
        <xdr:cNvPr id="12" name="Chart 13"/>
        <xdr:cNvGraphicFramePr/>
      </xdr:nvGraphicFramePr>
      <xdr:xfrm>
        <a:off x="11841480" y="43053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17</xdr:col>
      <xdr:colOff>0</xdr:colOff>
      <xdr:row>244</xdr:row>
      <xdr:rowOff>0</xdr:rowOff>
    </xdr:from>
    <xdr:to>
      <xdr:col>24</xdr:col>
      <xdr:colOff>104400</xdr:colOff>
      <xdr:row>252</xdr:row>
      <xdr:rowOff>95400</xdr:rowOff>
    </xdr:to>
    <xdr:graphicFrame>
      <xdr:nvGraphicFramePr>
        <xdr:cNvPr id="13" name="Chart 14"/>
        <xdr:cNvGraphicFramePr/>
      </xdr:nvGraphicFramePr>
      <xdr:xfrm>
        <a:off x="11841480" y="46482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17</xdr:col>
      <xdr:colOff>0</xdr:colOff>
      <xdr:row>262</xdr:row>
      <xdr:rowOff>0</xdr:rowOff>
    </xdr:from>
    <xdr:to>
      <xdr:col>24</xdr:col>
      <xdr:colOff>104400</xdr:colOff>
      <xdr:row>270</xdr:row>
      <xdr:rowOff>95400</xdr:rowOff>
    </xdr:to>
    <xdr:graphicFrame>
      <xdr:nvGraphicFramePr>
        <xdr:cNvPr id="14" name="Chart 15"/>
        <xdr:cNvGraphicFramePr/>
      </xdr:nvGraphicFramePr>
      <xdr:xfrm>
        <a:off x="11841480" y="49911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17</xdr:col>
      <xdr:colOff>0</xdr:colOff>
      <xdr:row>280</xdr:row>
      <xdr:rowOff>0</xdr:rowOff>
    </xdr:from>
    <xdr:to>
      <xdr:col>24</xdr:col>
      <xdr:colOff>104400</xdr:colOff>
      <xdr:row>288</xdr:row>
      <xdr:rowOff>95400</xdr:rowOff>
    </xdr:to>
    <xdr:graphicFrame>
      <xdr:nvGraphicFramePr>
        <xdr:cNvPr id="15" name="Chart 16"/>
        <xdr:cNvGraphicFramePr/>
      </xdr:nvGraphicFramePr>
      <xdr:xfrm>
        <a:off x="11841480" y="53340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17</xdr:col>
      <xdr:colOff>0</xdr:colOff>
      <xdr:row>298</xdr:row>
      <xdr:rowOff>0</xdr:rowOff>
    </xdr:from>
    <xdr:to>
      <xdr:col>24</xdr:col>
      <xdr:colOff>104400</xdr:colOff>
      <xdr:row>306</xdr:row>
      <xdr:rowOff>95400</xdr:rowOff>
    </xdr:to>
    <xdr:graphicFrame>
      <xdr:nvGraphicFramePr>
        <xdr:cNvPr id="16" name="Chart 17"/>
        <xdr:cNvGraphicFramePr/>
      </xdr:nvGraphicFramePr>
      <xdr:xfrm>
        <a:off x="11841480" y="56769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17</xdr:col>
      <xdr:colOff>0</xdr:colOff>
      <xdr:row>316</xdr:row>
      <xdr:rowOff>0</xdr:rowOff>
    </xdr:from>
    <xdr:to>
      <xdr:col>24</xdr:col>
      <xdr:colOff>104400</xdr:colOff>
      <xdr:row>324</xdr:row>
      <xdr:rowOff>95400</xdr:rowOff>
    </xdr:to>
    <xdr:graphicFrame>
      <xdr:nvGraphicFramePr>
        <xdr:cNvPr id="17" name="Chart 18"/>
        <xdr:cNvGraphicFramePr/>
      </xdr:nvGraphicFramePr>
      <xdr:xfrm>
        <a:off x="11841480" y="60198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17</xdr:col>
      <xdr:colOff>0</xdr:colOff>
      <xdr:row>334</xdr:row>
      <xdr:rowOff>0</xdr:rowOff>
    </xdr:from>
    <xdr:to>
      <xdr:col>24</xdr:col>
      <xdr:colOff>104400</xdr:colOff>
      <xdr:row>342</xdr:row>
      <xdr:rowOff>95400</xdr:rowOff>
    </xdr:to>
    <xdr:graphicFrame>
      <xdr:nvGraphicFramePr>
        <xdr:cNvPr id="18" name="Chart 19"/>
        <xdr:cNvGraphicFramePr/>
      </xdr:nvGraphicFramePr>
      <xdr:xfrm>
        <a:off x="11841480" y="63627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17</xdr:col>
      <xdr:colOff>0</xdr:colOff>
      <xdr:row>352</xdr:row>
      <xdr:rowOff>0</xdr:rowOff>
    </xdr:from>
    <xdr:to>
      <xdr:col>24</xdr:col>
      <xdr:colOff>104400</xdr:colOff>
      <xdr:row>360</xdr:row>
      <xdr:rowOff>95400</xdr:rowOff>
    </xdr:to>
    <xdr:graphicFrame>
      <xdr:nvGraphicFramePr>
        <xdr:cNvPr id="19" name="Chart 20"/>
        <xdr:cNvGraphicFramePr/>
      </xdr:nvGraphicFramePr>
      <xdr:xfrm>
        <a:off x="11841480" y="67056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17</xdr:col>
      <xdr:colOff>0</xdr:colOff>
      <xdr:row>370</xdr:row>
      <xdr:rowOff>0</xdr:rowOff>
    </xdr:from>
    <xdr:to>
      <xdr:col>24</xdr:col>
      <xdr:colOff>104400</xdr:colOff>
      <xdr:row>378</xdr:row>
      <xdr:rowOff>95400</xdr:rowOff>
    </xdr:to>
    <xdr:graphicFrame>
      <xdr:nvGraphicFramePr>
        <xdr:cNvPr id="20" name="Chart 21"/>
        <xdr:cNvGraphicFramePr/>
      </xdr:nvGraphicFramePr>
      <xdr:xfrm>
        <a:off x="11841480" y="70485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17</xdr:col>
      <xdr:colOff>0</xdr:colOff>
      <xdr:row>388</xdr:row>
      <xdr:rowOff>0</xdr:rowOff>
    </xdr:from>
    <xdr:to>
      <xdr:col>24</xdr:col>
      <xdr:colOff>104400</xdr:colOff>
      <xdr:row>396</xdr:row>
      <xdr:rowOff>95400</xdr:rowOff>
    </xdr:to>
    <xdr:graphicFrame>
      <xdr:nvGraphicFramePr>
        <xdr:cNvPr id="21" name="Chart 22"/>
        <xdr:cNvGraphicFramePr/>
      </xdr:nvGraphicFramePr>
      <xdr:xfrm>
        <a:off x="11841480" y="7391412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17</xdr:col>
      <xdr:colOff>0</xdr:colOff>
      <xdr:row>407</xdr:row>
      <xdr:rowOff>0</xdr:rowOff>
    </xdr:from>
    <xdr:to>
      <xdr:col>24</xdr:col>
      <xdr:colOff>104400</xdr:colOff>
      <xdr:row>415</xdr:row>
      <xdr:rowOff>95400</xdr:rowOff>
    </xdr:to>
    <xdr:graphicFrame>
      <xdr:nvGraphicFramePr>
        <xdr:cNvPr id="22" name="Chart 23"/>
        <xdr:cNvGraphicFramePr/>
      </xdr:nvGraphicFramePr>
      <xdr:xfrm>
        <a:off x="11841480" y="7753356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17</xdr:col>
      <xdr:colOff>0</xdr:colOff>
      <xdr:row>425</xdr:row>
      <xdr:rowOff>0</xdr:rowOff>
    </xdr:from>
    <xdr:to>
      <xdr:col>24</xdr:col>
      <xdr:colOff>104400</xdr:colOff>
      <xdr:row>433</xdr:row>
      <xdr:rowOff>95400</xdr:rowOff>
    </xdr:to>
    <xdr:graphicFrame>
      <xdr:nvGraphicFramePr>
        <xdr:cNvPr id="23" name="Chart 24"/>
        <xdr:cNvGraphicFramePr/>
      </xdr:nvGraphicFramePr>
      <xdr:xfrm>
        <a:off x="11841480" y="8096256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17</xdr:col>
      <xdr:colOff>0</xdr:colOff>
      <xdr:row>443</xdr:row>
      <xdr:rowOff>0</xdr:rowOff>
    </xdr:from>
    <xdr:to>
      <xdr:col>24</xdr:col>
      <xdr:colOff>104400</xdr:colOff>
      <xdr:row>451</xdr:row>
      <xdr:rowOff>95400</xdr:rowOff>
    </xdr:to>
    <xdr:graphicFrame>
      <xdr:nvGraphicFramePr>
        <xdr:cNvPr id="24" name="Chart 25"/>
        <xdr:cNvGraphicFramePr/>
      </xdr:nvGraphicFramePr>
      <xdr:xfrm>
        <a:off x="11841480" y="8439156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17</xdr:col>
      <xdr:colOff>0</xdr:colOff>
      <xdr:row>461</xdr:row>
      <xdr:rowOff>0</xdr:rowOff>
    </xdr:from>
    <xdr:to>
      <xdr:col>24</xdr:col>
      <xdr:colOff>104400</xdr:colOff>
      <xdr:row>469</xdr:row>
      <xdr:rowOff>95400</xdr:rowOff>
    </xdr:to>
    <xdr:graphicFrame>
      <xdr:nvGraphicFramePr>
        <xdr:cNvPr id="25" name="Chart 26"/>
        <xdr:cNvGraphicFramePr/>
      </xdr:nvGraphicFramePr>
      <xdr:xfrm>
        <a:off x="11841480" y="8782056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17</xdr:col>
      <xdr:colOff>0</xdr:colOff>
      <xdr:row>479</xdr:row>
      <xdr:rowOff>0</xdr:rowOff>
    </xdr:from>
    <xdr:to>
      <xdr:col>24</xdr:col>
      <xdr:colOff>104400</xdr:colOff>
      <xdr:row>487</xdr:row>
      <xdr:rowOff>95400</xdr:rowOff>
    </xdr:to>
    <xdr:graphicFrame>
      <xdr:nvGraphicFramePr>
        <xdr:cNvPr id="26" name="Chart 27"/>
        <xdr:cNvGraphicFramePr/>
      </xdr:nvGraphicFramePr>
      <xdr:xfrm>
        <a:off x="11841480" y="91249560"/>
        <a:ext cx="4499280" cy="16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9</xdr:row>
      <xdr:rowOff>0</xdr:rowOff>
    </xdr:from>
    <xdr:to>
      <xdr:col>22</xdr:col>
      <xdr:colOff>221040</xdr:colOff>
      <xdr:row>17</xdr:row>
      <xdr:rowOff>95760</xdr:rowOff>
    </xdr:to>
    <xdr:graphicFrame>
      <xdr:nvGraphicFramePr>
        <xdr:cNvPr id="27" name="Chart 1"/>
        <xdr:cNvGraphicFramePr/>
      </xdr:nvGraphicFramePr>
      <xdr:xfrm>
        <a:off x="10326960" y="1714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23</xdr:row>
      <xdr:rowOff>0</xdr:rowOff>
    </xdr:from>
    <xdr:to>
      <xdr:col>22</xdr:col>
      <xdr:colOff>221040</xdr:colOff>
      <xdr:row>31</xdr:row>
      <xdr:rowOff>95760</xdr:rowOff>
    </xdr:to>
    <xdr:graphicFrame>
      <xdr:nvGraphicFramePr>
        <xdr:cNvPr id="28" name="Chart 2"/>
        <xdr:cNvGraphicFramePr/>
      </xdr:nvGraphicFramePr>
      <xdr:xfrm>
        <a:off x="10326960" y="4381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37</xdr:row>
      <xdr:rowOff>0</xdr:rowOff>
    </xdr:from>
    <xdr:to>
      <xdr:col>22</xdr:col>
      <xdr:colOff>221040</xdr:colOff>
      <xdr:row>45</xdr:row>
      <xdr:rowOff>95400</xdr:rowOff>
    </xdr:to>
    <xdr:graphicFrame>
      <xdr:nvGraphicFramePr>
        <xdr:cNvPr id="29" name="Chart 3"/>
        <xdr:cNvGraphicFramePr/>
      </xdr:nvGraphicFramePr>
      <xdr:xfrm>
        <a:off x="10326960" y="7048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51</xdr:row>
      <xdr:rowOff>0</xdr:rowOff>
    </xdr:from>
    <xdr:to>
      <xdr:col>22</xdr:col>
      <xdr:colOff>221040</xdr:colOff>
      <xdr:row>59</xdr:row>
      <xdr:rowOff>95760</xdr:rowOff>
    </xdr:to>
    <xdr:graphicFrame>
      <xdr:nvGraphicFramePr>
        <xdr:cNvPr id="30" name="Chart 4"/>
        <xdr:cNvGraphicFramePr/>
      </xdr:nvGraphicFramePr>
      <xdr:xfrm>
        <a:off x="10326960" y="9715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65</xdr:row>
      <xdr:rowOff>0</xdr:rowOff>
    </xdr:from>
    <xdr:to>
      <xdr:col>22</xdr:col>
      <xdr:colOff>221040</xdr:colOff>
      <xdr:row>73</xdr:row>
      <xdr:rowOff>95760</xdr:rowOff>
    </xdr:to>
    <xdr:graphicFrame>
      <xdr:nvGraphicFramePr>
        <xdr:cNvPr id="31" name="Chart 5"/>
        <xdr:cNvGraphicFramePr/>
      </xdr:nvGraphicFramePr>
      <xdr:xfrm>
        <a:off x="10326960" y="12382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79</xdr:row>
      <xdr:rowOff>0</xdr:rowOff>
    </xdr:from>
    <xdr:to>
      <xdr:col>22</xdr:col>
      <xdr:colOff>221040</xdr:colOff>
      <xdr:row>87</xdr:row>
      <xdr:rowOff>95400</xdr:rowOff>
    </xdr:to>
    <xdr:graphicFrame>
      <xdr:nvGraphicFramePr>
        <xdr:cNvPr id="32" name="Chart 6"/>
        <xdr:cNvGraphicFramePr/>
      </xdr:nvGraphicFramePr>
      <xdr:xfrm>
        <a:off x="10326960" y="15049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0</xdr:colOff>
      <xdr:row>93</xdr:row>
      <xdr:rowOff>0</xdr:rowOff>
    </xdr:from>
    <xdr:to>
      <xdr:col>22</xdr:col>
      <xdr:colOff>221040</xdr:colOff>
      <xdr:row>101</xdr:row>
      <xdr:rowOff>95760</xdr:rowOff>
    </xdr:to>
    <xdr:graphicFrame>
      <xdr:nvGraphicFramePr>
        <xdr:cNvPr id="33" name="Chart 7"/>
        <xdr:cNvGraphicFramePr/>
      </xdr:nvGraphicFramePr>
      <xdr:xfrm>
        <a:off x="10326960" y="17716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17</xdr:col>
      <xdr:colOff>0</xdr:colOff>
      <xdr:row>107</xdr:row>
      <xdr:rowOff>0</xdr:rowOff>
    </xdr:from>
    <xdr:to>
      <xdr:col>22</xdr:col>
      <xdr:colOff>221040</xdr:colOff>
      <xdr:row>115</xdr:row>
      <xdr:rowOff>95760</xdr:rowOff>
    </xdr:to>
    <xdr:graphicFrame>
      <xdr:nvGraphicFramePr>
        <xdr:cNvPr id="34" name="Chart 8"/>
        <xdr:cNvGraphicFramePr/>
      </xdr:nvGraphicFramePr>
      <xdr:xfrm>
        <a:off x="10326960" y="20383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0</xdr:colOff>
      <xdr:row>121</xdr:row>
      <xdr:rowOff>0</xdr:rowOff>
    </xdr:from>
    <xdr:to>
      <xdr:col>22</xdr:col>
      <xdr:colOff>221040</xdr:colOff>
      <xdr:row>129</xdr:row>
      <xdr:rowOff>95400</xdr:rowOff>
    </xdr:to>
    <xdr:graphicFrame>
      <xdr:nvGraphicFramePr>
        <xdr:cNvPr id="35" name="Chart 9"/>
        <xdr:cNvGraphicFramePr/>
      </xdr:nvGraphicFramePr>
      <xdr:xfrm>
        <a:off x="10326960" y="23050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17</xdr:col>
      <xdr:colOff>0</xdr:colOff>
      <xdr:row>135</xdr:row>
      <xdr:rowOff>0</xdr:rowOff>
    </xdr:from>
    <xdr:to>
      <xdr:col>22</xdr:col>
      <xdr:colOff>221040</xdr:colOff>
      <xdr:row>143</xdr:row>
      <xdr:rowOff>95760</xdr:rowOff>
    </xdr:to>
    <xdr:graphicFrame>
      <xdr:nvGraphicFramePr>
        <xdr:cNvPr id="36" name="Chart 10"/>
        <xdr:cNvGraphicFramePr/>
      </xdr:nvGraphicFramePr>
      <xdr:xfrm>
        <a:off x="10326960" y="25717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0</xdr:colOff>
      <xdr:row>149</xdr:row>
      <xdr:rowOff>0</xdr:rowOff>
    </xdr:from>
    <xdr:to>
      <xdr:col>22</xdr:col>
      <xdr:colOff>221040</xdr:colOff>
      <xdr:row>157</xdr:row>
      <xdr:rowOff>95760</xdr:rowOff>
    </xdr:to>
    <xdr:graphicFrame>
      <xdr:nvGraphicFramePr>
        <xdr:cNvPr id="37" name="Chart 11"/>
        <xdr:cNvGraphicFramePr/>
      </xdr:nvGraphicFramePr>
      <xdr:xfrm>
        <a:off x="10326960" y="28384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17</xdr:col>
      <xdr:colOff>0</xdr:colOff>
      <xdr:row>163</xdr:row>
      <xdr:rowOff>0</xdr:rowOff>
    </xdr:from>
    <xdr:to>
      <xdr:col>22</xdr:col>
      <xdr:colOff>221040</xdr:colOff>
      <xdr:row>171</xdr:row>
      <xdr:rowOff>95400</xdr:rowOff>
    </xdr:to>
    <xdr:graphicFrame>
      <xdr:nvGraphicFramePr>
        <xdr:cNvPr id="38" name="Chart 12"/>
        <xdr:cNvGraphicFramePr/>
      </xdr:nvGraphicFramePr>
      <xdr:xfrm>
        <a:off x="10326960" y="31051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17</xdr:col>
      <xdr:colOff>0</xdr:colOff>
      <xdr:row>177</xdr:row>
      <xdr:rowOff>0</xdr:rowOff>
    </xdr:from>
    <xdr:to>
      <xdr:col>22</xdr:col>
      <xdr:colOff>221040</xdr:colOff>
      <xdr:row>185</xdr:row>
      <xdr:rowOff>95760</xdr:rowOff>
    </xdr:to>
    <xdr:graphicFrame>
      <xdr:nvGraphicFramePr>
        <xdr:cNvPr id="39" name="Chart 13"/>
        <xdr:cNvGraphicFramePr/>
      </xdr:nvGraphicFramePr>
      <xdr:xfrm>
        <a:off x="10326960" y="33718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17</xdr:col>
      <xdr:colOff>0</xdr:colOff>
      <xdr:row>191</xdr:row>
      <xdr:rowOff>0</xdr:rowOff>
    </xdr:from>
    <xdr:to>
      <xdr:col>22</xdr:col>
      <xdr:colOff>221040</xdr:colOff>
      <xdr:row>199</xdr:row>
      <xdr:rowOff>95760</xdr:rowOff>
    </xdr:to>
    <xdr:graphicFrame>
      <xdr:nvGraphicFramePr>
        <xdr:cNvPr id="40" name="Chart 14"/>
        <xdr:cNvGraphicFramePr/>
      </xdr:nvGraphicFramePr>
      <xdr:xfrm>
        <a:off x="10326960" y="36385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17</xdr:col>
      <xdr:colOff>0</xdr:colOff>
      <xdr:row>205</xdr:row>
      <xdr:rowOff>0</xdr:rowOff>
    </xdr:from>
    <xdr:to>
      <xdr:col>22</xdr:col>
      <xdr:colOff>221040</xdr:colOff>
      <xdr:row>213</xdr:row>
      <xdr:rowOff>95400</xdr:rowOff>
    </xdr:to>
    <xdr:graphicFrame>
      <xdr:nvGraphicFramePr>
        <xdr:cNvPr id="41" name="Chart 15"/>
        <xdr:cNvGraphicFramePr/>
      </xdr:nvGraphicFramePr>
      <xdr:xfrm>
        <a:off x="10326960" y="39052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17</xdr:col>
      <xdr:colOff>0</xdr:colOff>
      <xdr:row>224</xdr:row>
      <xdr:rowOff>0</xdr:rowOff>
    </xdr:from>
    <xdr:to>
      <xdr:col>22</xdr:col>
      <xdr:colOff>221040</xdr:colOff>
      <xdr:row>232</xdr:row>
      <xdr:rowOff>95400</xdr:rowOff>
    </xdr:to>
    <xdr:graphicFrame>
      <xdr:nvGraphicFramePr>
        <xdr:cNvPr id="42" name="Chart 16"/>
        <xdr:cNvGraphicFramePr/>
      </xdr:nvGraphicFramePr>
      <xdr:xfrm>
        <a:off x="10326960" y="42671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17</xdr:col>
      <xdr:colOff>0</xdr:colOff>
      <xdr:row>238</xdr:row>
      <xdr:rowOff>0</xdr:rowOff>
    </xdr:from>
    <xdr:to>
      <xdr:col>22</xdr:col>
      <xdr:colOff>221040</xdr:colOff>
      <xdr:row>246</xdr:row>
      <xdr:rowOff>95760</xdr:rowOff>
    </xdr:to>
    <xdr:graphicFrame>
      <xdr:nvGraphicFramePr>
        <xdr:cNvPr id="43" name="Chart 17"/>
        <xdr:cNvGraphicFramePr/>
      </xdr:nvGraphicFramePr>
      <xdr:xfrm>
        <a:off x="10326960" y="45339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17</xdr:col>
      <xdr:colOff>0</xdr:colOff>
      <xdr:row>252</xdr:row>
      <xdr:rowOff>0</xdr:rowOff>
    </xdr:from>
    <xdr:to>
      <xdr:col>22</xdr:col>
      <xdr:colOff>221040</xdr:colOff>
      <xdr:row>260</xdr:row>
      <xdr:rowOff>95760</xdr:rowOff>
    </xdr:to>
    <xdr:graphicFrame>
      <xdr:nvGraphicFramePr>
        <xdr:cNvPr id="44" name="Chart 18"/>
        <xdr:cNvGraphicFramePr/>
      </xdr:nvGraphicFramePr>
      <xdr:xfrm>
        <a:off x="10326960" y="48006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17</xdr:col>
      <xdr:colOff>0</xdr:colOff>
      <xdr:row>271</xdr:row>
      <xdr:rowOff>0</xdr:rowOff>
    </xdr:from>
    <xdr:to>
      <xdr:col>22</xdr:col>
      <xdr:colOff>221040</xdr:colOff>
      <xdr:row>279</xdr:row>
      <xdr:rowOff>95400</xdr:rowOff>
    </xdr:to>
    <xdr:graphicFrame>
      <xdr:nvGraphicFramePr>
        <xdr:cNvPr id="45" name="Chart 19"/>
        <xdr:cNvGraphicFramePr/>
      </xdr:nvGraphicFramePr>
      <xdr:xfrm>
        <a:off x="10326960" y="51625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17</xdr:col>
      <xdr:colOff>0</xdr:colOff>
      <xdr:row>290</xdr:row>
      <xdr:rowOff>0</xdr:rowOff>
    </xdr:from>
    <xdr:to>
      <xdr:col>22</xdr:col>
      <xdr:colOff>221040</xdr:colOff>
      <xdr:row>298</xdr:row>
      <xdr:rowOff>95400</xdr:rowOff>
    </xdr:to>
    <xdr:graphicFrame>
      <xdr:nvGraphicFramePr>
        <xdr:cNvPr id="46" name="Chart 20"/>
        <xdr:cNvGraphicFramePr/>
      </xdr:nvGraphicFramePr>
      <xdr:xfrm>
        <a:off x="10326960" y="55244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17</xdr:col>
      <xdr:colOff>0</xdr:colOff>
      <xdr:row>309</xdr:row>
      <xdr:rowOff>0</xdr:rowOff>
    </xdr:from>
    <xdr:to>
      <xdr:col>22</xdr:col>
      <xdr:colOff>221040</xdr:colOff>
      <xdr:row>317</xdr:row>
      <xdr:rowOff>95760</xdr:rowOff>
    </xdr:to>
    <xdr:graphicFrame>
      <xdr:nvGraphicFramePr>
        <xdr:cNvPr id="47" name="Chart 21"/>
        <xdr:cNvGraphicFramePr/>
      </xdr:nvGraphicFramePr>
      <xdr:xfrm>
        <a:off x="10326960" y="58864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17</xdr:col>
      <xdr:colOff>0</xdr:colOff>
      <xdr:row>323</xdr:row>
      <xdr:rowOff>0</xdr:rowOff>
    </xdr:from>
    <xdr:to>
      <xdr:col>22</xdr:col>
      <xdr:colOff>221040</xdr:colOff>
      <xdr:row>331</xdr:row>
      <xdr:rowOff>95760</xdr:rowOff>
    </xdr:to>
    <xdr:graphicFrame>
      <xdr:nvGraphicFramePr>
        <xdr:cNvPr id="48" name="Chart 22"/>
        <xdr:cNvGraphicFramePr/>
      </xdr:nvGraphicFramePr>
      <xdr:xfrm>
        <a:off x="10326960" y="61531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17</xdr:col>
      <xdr:colOff>0</xdr:colOff>
      <xdr:row>342</xdr:row>
      <xdr:rowOff>0</xdr:rowOff>
    </xdr:from>
    <xdr:to>
      <xdr:col>22</xdr:col>
      <xdr:colOff>221040</xdr:colOff>
      <xdr:row>350</xdr:row>
      <xdr:rowOff>95760</xdr:rowOff>
    </xdr:to>
    <xdr:graphicFrame>
      <xdr:nvGraphicFramePr>
        <xdr:cNvPr id="49" name="Chart 23"/>
        <xdr:cNvGraphicFramePr/>
      </xdr:nvGraphicFramePr>
      <xdr:xfrm>
        <a:off x="10326960" y="65151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17</xdr:col>
      <xdr:colOff>0</xdr:colOff>
      <xdr:row>361</xdr:row>
      <xdr:rowOff>0</xdr:rowOff>
    </xdr:from>
    <xdr:to>
      <xdr:col>22</xdr:col>
      <xdr:colOff>221040</xdr:colOff>
      <xdr:row>369</xdr:row>
      <xdr:rowOff>95400</xdr:rowOff>
    </xdr:to>
    <xdr:graphicFrame>
      <xdr:nvGraphicFramePr>
        <xdr:cNvPr id="50" name="Chart 24"/>
        <xdr:cNvGraphicFramePr/>
      </xdr:nvGraphicFramePr>
      <xdr:xfrm>
        <a:off x="10326960" y="68770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17</xdr:col>
      <xdr:colOff>0</xdr:colOff>
      <xdr:row>380</xdr:row>
      <xdr:rowOff>0</xdr:rowOff>
    </xdr:from>
    <xdr:to>
      <xdr:col>22</xdr:col>
      <xdr:colOff>221040</xdr:colOff>
      <xdr:row>388</xdr:row>
      <xdr:rowOff>95400</xdr:rowOff>
    </xdr:to>
    <xdr:graphicFrame>
      <xdr:nvGraphicFramePr>
        <xdr:cNvPr id="51" name="Chart 25"/>
        <xdr:cNvGraphicFramePr/>
      </xdr:nvGraphicFramePr>
      <xdr:xfrm>
        <a:off x="10326960" y="72389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17</xdr:col>
      <xdr:colOff>0</xdr:colOff>
      <xdr:row>394</xdr:row>
      <xdr:rowOff>0</xdr:rowOff>
    </xdr:from>
    <xdr:to>
      <xdr:col>22</xdr:col>
      <xdr:colOff>221040</xdr:colOff>
      <xdr:row>402</xdr:row>
      <xdr:rowOff>95760</xdr:rowOff>
    </xdr:to>
    <xdr:graphicFrame>
      <xdr:nvGraphicFramePr>
        <xdr:cNvPr id="52" name="Chart 26"/>
        <xdr:cNvGraphicFramePr/>
      </xdr:nvGraphicFramePr>
      <xdr:xfrm>
        <a:off x="10326960" y="75057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17</xdr:col>
      <xdr:colOff>0</xdr:colOff>
      <xdr:row>413</xdr:row>
      <xdr:rowOff>0</xdr:rowOff>
    </xdr:from>
    <xdr:to>
      <xdr:col>22</xdr:col>
      <xdr:colOff>221040</xdr:colOff>
      <xdr:row>421</xdr:row>
      <xdr:rowOff>95760</xdr:rowOff>
    </xdr:to>
    <xdr:graphicFrame>
      <xdr:nvGraphicFramePr>
        <xdr:cNvPr id="53" name="Chart 27"/>
        <xdr:cNvGraphicFramePr/>
      </xdr:nvGraphicFramePr>
      <xdr:xfrm>
        <a:off x="10326960" y="78676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17</xdr:col>
      <xdr:colOff>0</xdr:colOff>
      <xdr:row>432</xdr:row>
      <xdr:rowOff>0</xdr:rowOff>
    </xdr:from>
    <xdr:to>
      <xdr:col>22</xdr:col>
      <xdr:colOff>221040</xdr:colOff>
      <xdr:row>440</xdr:row>
      <xdr:rowOff>95760</xdr:rowOff>
    </xdr:to>
    <xdr:graphicFrame>
      <xdr:nvGraphicFramePr>
        <xdr:cNvPr id="54" name="Chart 28"/>
        <xdr:cNvGraphicFramePr/>
      </xdr:nvGraphicFramePr>
      <xdr:xfrm>
        <a:off x="10326960" y="82296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17</xdr:col>
      <xdr:colOff>0</xdr:colOff>
      <xdr:row>451</xdr:row>
      <xdr:rowOff>0</xdr:rowOff>
    </xdr:from>
    <xdr:to>
      <xdr:col>22</xdr:col>
      <xdr:colOff>221040</xdr:colOff>
      <xdr:row>459</xdr:row>
      <xdr:rowOff>95400</xdr:rowOff>
    </xdr:to>
    <xdr:graphicFrame>
      <xdr:nvGraphicFramePr>
        <xdr:cNvPr id="55" name="Chart 29"/>
        <xdr:cNvGraphicFramePr/>
      </xdr:nvGraphicFramePr>
      <xdr:xfrm>
        <a:off x="10326960" y="85915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17</xdr:col>
      <xdr:colOff>0</xdr:colOff>
      <xdr:row>470</xdr:row>
      <xdr:rowOff>0</xdr:rowOff>
    </xdr:from>
    <xdr:to>
      <xdr:col>22</xdr:col>
      <xdr:colOff>221040</xdr:colOff>
      <xdr:row>478</xdr:row>
      <xdr:rowOff>95400</xdr:rowOff>
    </xdr:to>
    <xdr:graphicFrame>
      <xdr:nvGraphicFramePr>
        <xdr:cNvPr id="56" name="Chart 30"/>
        <xdr:cNvGraphicFramePr/>
      </xdr:nvGraphicFramePr>
      <xdr:xfrm>
        <a:off x="10326960" y="89534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17</xdr:col>
      <xdr:colOff>0</xdr:colOff>
      <xdr:row>489</xdr:row>
      <xdr:rowOff>0</xdr:rowOff>
    </xdr:from>
    <xdr:to>
      <xdr:col>22</xdr:col>
      <xdr:colOff>221040</xdr:colOff>
      <xdr:row>497</xdr:row>
      <xdr:rowOff>95760</xdr:rowOff>
    </xdr:to>
    <xdr:graphicFrame>
      <xdr:nvGraphicFramePr>
        <xdr:cNvPr id="57" name="Chart 31"/>
        <xdr:cNvGraphicFramePr/>
      </xdr:nvGraphicFramePr>
      <xdr:xfrm>
        <a:off x="10326960" y="93154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17</xdr:col>
      <xdr:colOff>0</xdr:colOff>
      <xdr:row>508</xdr:row>
      <xdr:rowOff>0</xdr:rowOff>
    </xdr:from>
    <xdr:to>
      <xdr:col>22</xdr:col>
      <xdr:colOff>221040</xdr:colOff>
      <xdr:row>516</xdr:row>
      <xdr:rowOff>95760</xdr:rowOff>
    </xdr:to>
    <xdr:graphicFrame>
      <xdr:nvGraphicFramePr>
        <xdr:cNvPr id="58" name="Chart 32"/>
        <xdr:cNvGraphicFramePr/>
      </xdr:nvGraphicFramePr>
      <xdr:xfrm>
        <a:off x="10326960" y="96774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17</xdr:col>
      <xdr:colOff>0</xdr:colOff>
      <xdr:row>527</xdr:row>
      <xdr:rowOff>0</xdr:rowOff>
    </xdr:from>
    <xdr:to>
      <xdr:col>22</xdr:col>
      <xdr:colOff>221040</xdr:colOff>
      <xdr:row>535</xdr:row>
      <xdr:rowOff>95760</xdr:rowOff>
    </xdr:to>
    <xdr:graphicFrame>
      <xdr:nvGraphicFramePr>
        <xdr:cNvPr id="59" name="Chart 33"/>
        <xdr:cNvGraphicFramePr/>
      </xdr:nvGraphicFramePr>
      <xdr:xfrm>
        <a:off x="10326960" y="100393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17</xdr:col>
      <xdr:colOff>0</xdr:colOff>
      <xdr:row>546</xdr:row>
      <xdr:rowOff>0</xdr:rowOff>
    </xdr:from>
    <xdr:to>
      <xdr:col>22</xdr:col>
      <xdr:colOff>221040</xdr:colOff>
      <xdr:row>554</xdr:row>
      <xdr:rowOff>95760</xdr:rowOff>
    </xdr:to>
    <xdr:graphicFrame>
      <xdr:nvGraphicFramePr>
        <xdr:cNvPr id="60" name="Chart 34"/>
        <xdr:cNvGraphicFramePr/>
      </xdr:nvGraphicFramePr>
      <xdr:xfrm>
        <a:off x="10326960" y="104013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17</xdr:col>
      <xdr:colOff>0</xdr:colOff>
      <xdr:row>565</xdr:row>
      <xdr:rowOff>0</xdr:rowOff>
    </xdr:from>
    <xdr:to>
      <xdr:col>22</xdr:col>
      <xdr:colOff>221040</xdr:colOff>
      <xdr:row>573</xdr:row>
      <xdr:rowOff>95400</xdr:rowOff>
    </xdr:to>
    <xdr:graphicFrame>
      <xdr:nvGraphicFramePr>
        <xdr:cNvPr id="61" name="Chart 35"/>
        <xdr:cNvGraphicFramePr/>
      </xdr:nvGraphicFramePr>
      <xdr:xfrm>
        <a:off x="10326960" y="107632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17</xdr:col>
      <xdr:colOff>0</xdr:colOff>
      <xdr:row>584</xdr:row>
      <xdr:rowOff>0</xdr:rowOff>
    </xdr:from>
    <xdr:to>
      <xdr:col>22</xdr:col>
      <xdr:colOff>221040</xdr:colOff>
      <xdr:row>592</xdr:row>
      <xdr:rowOff>95400</xdr:rowOff>
    </xdr:to>
    <xdr:graphicFrame>
      <xdr:nvGraphicFramePr>
        <xdr:cNvPr id="62" name="Chart 36"/>
        <xdr:cNvGraphicFramePr/>
      </xdr:nvGraphicFramePr>
      <xdr:xfrm>
        <a:off x="10326960" y="111251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17</xdr:col>
      <xdr:colOff>0</xdr:colOff>
      <xdr:row>598</xdr:row>
      <xdr:rowOff>0</xdr:rowOff>
    </xdr:from>
    <xdr:to>
      <xdr:col>22</xdr:col>
      <xdr:colOff>221040</xdr:colOff>
      <xdr:row>606</xdr:row>
      <xdr:rowOff>95760</xdr:rowOff>
    </xdr:to>
    <xdr:graphicFrame>
      <xdr:nvGraphicFramePr>
        <xdr:cNvPr id="63" name="Chart 37"/>
        <xdr:cNvGraphicFramePr/>
      </xdr:nvGraphicFramePr>
      <xdr:xfrm>
        <a:off x="10326960" y="113919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17</xdr:col>
      <xdr:colOff>0</xdr:colOff>
      <xdr:row>617</xdr:row>
      <xdr:rowOff>0</xdr:rowOff>
    </xdr:from>
    <xdr:to>
      <xdr:col>22</xdr:col>
      <xdr:colOff>221040</xdr:colOff>
      <xdr:row>625</xdr:row>
      <xdr:rowOff>95760</xdr:rowOff>
    </xdr:to>
    <xdr:graphicFrame>
      <xdr:nvGraphicFramePr>
        <xdr:cNvPr id="64" name="Chart 38"/>
        <xdr:cNvGraphicFramePr/>
      </xdr:nvGraphicFramePr>
      <xdr:xfrm>
        <a:off x="10326960" y="117538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17</xdr:col>
      <xdr:colOff>0</xdr:colOff>
      <xdr:row>636</xdr:row>
      <xdr:rowOff>0</xdr:rowOff>
    </xdr:from>
    <xdr:to>
      <xdr:col>22</xdr:col>
      <xdr:colOff>221040</xdr:colOff>
      <xdr:row>644</xdr:row>
      <xdr:rowOff>95760</xdr:rowOff>
    </xdr:to>
    <xdr:graphicFrame>
      <xdr:nvGraphicFramePr>
        <xdr:cNvPr id="65" name="Chart 39"/>
        <xdr:cNvGraphicFramePr/>
      </xdr:nvGraphicFramePr>
      <xdr:xfrm>
        <a:off x="10326960" y="121158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17</xdr:col>
      <xdr:colOff>0</xdr:colOff>
      <xdr:row>655</xdr:row>
      <xdr:rowOff>0</xdr:rowOff>
    </xdr:from>
    <xdr:to>
      <xdr:col>22</xdr:col>
      <xdr:colOff>221040</xdr:colOff>
      <xdr:row>663</xdr:row>
      <xdr:rowOff>95400</xdr:rowOff>
    </xdr:to>
    <xdr:graphicFrame>
      <xdr:nvGraphicFramePr>
        <xdr:cNvPr id="66" name="Chart 40"/>
        <xdr:cNvGraphicFramePr/>
      </xdr:nvGraphicFramePr>
      <xdr:xfrm>
        <a:off x="10326960" y="124777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17</xdr:col>
      <xdr:colOff>0</xdr:colOff>
      <xdr:row>674</xdr:row>
      <xdr:rowOff>0</xdr:rowOff>
    </xdr:from>
    <xdr:to>
      <xdr:col>22</xdr:col>
      <xdr:colOff>221040</xdr:colOff>
      <xdr:row>682</xdr:row>
      <xdr:rowOff>95400</xdr:rowOff>
    </xdr:to>
    <xdr:graphicFrame>
      <xdr:nvGraphicFramePr>
        <xdr:cNvPr id="67" name="Chart 41"/>
        <xdr:cNvGraphicFramePr/>
      </xdr:nvGraphicFramePr>
      <xdr:xfrm>
        <a:off x="10326960" y="128396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17</xdr:col>
      <xdr:colOff>0</xdr:colOff>
      <xdr:row>693</xdr:row>
      <xdr:rowOff>0</xdr:rowOff>
    </xdr:from>
    <xdr:to>
      <xdr:col>22</xdr:col>
      <xdr:colOff>221040</xdr:colOff>
      <xdr:row>701</xdr:row>
      <xdr:rowOff>95760</xdr:rowOff>
    </xdr:to>
    <xdr:graphicFrame>
      <xdr:nvGraphicFramePr>
        <xdr:cNvPr id="68" name="Chart 42"/>
        <xdr:cNvGraphicFramePr/>
      </xdr:nvGraphicFramePr>
      <xdr:xfrm>
        <a:off x="10326960" y="132016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17</xdr:col>
      <xdr:colOff>0</xdr:colOff>
      <xdr:row>712</xdr:row>
      <xdr:rowOff>0</xdr:rowOff>
    </xdr:from>
    <xdr:to>
      <xdr:col>22</xdr:col>
      <xdr:colOff>221040</xdr:colOff>
      <xdr:row>720</xdr:row>
      <xdr:rowOff>95760</xdr:rowOff>
    </xdr:to>
    <xdr:graphicFrame>
      <xdr:nvGraphicFramePr>
        <xdr:cNvPr id="69" name="Chart 43"/>
        <xdr:cNvGraphicFramePr/>
      </xdr:nvGraphicFramePr>
      <xdr:xfrm>
        <a:off x="10326960" y="135636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17</xdr:col>
      <xdr:colOff>0</xdr:colOff>
      <xdr:row>731</xdr:row>
      <xdr:rowOff>0</xdr:rowOff>
    </xdr:from>
    <xdr:to>
      <xdr:col>22</xdr:col>
      <xdr:colOff>221040</xdr:colOff>
      <xdr:row>739</xdr:row>
      <xdr:rowOff>95760</xdr:rowOff>
    </xdr:to>
    <xdr:graphicFrame>
      <xdr:nvGraphicFramePr>
        <xdr:cNvPr id="70" name="Chart 44"/>
        <xdr:cNvGraphicFramePr/>
      </xdr:nvGraphicFramePr>
      <xdr:xfrm>
        <a:off x="10326960" y="139255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17</xdr:col>
      <xdr:colOff>0</xdr:colOff>
      <xdr:row>750</xdr:row>
      <xdr:rowOff>0</xdr:rowOff>
    </xdr:from>
    <xdr:to>
      <xdr:col>22</xdr:col>
      <xdr:colOff>221040</xdr:colOff>
      <xdr:row>758</xdr:row>
      <xdr:rowOff>95760</xdr:rowOff>
    </xdr:to>
    <xdr:graphicFrame>
      <xdr:nvGraphicFramePr>
        <xdr:cNvPr id="71" name="Chart 45"/>
        <xdr:cNvGraphicFramePr/>
      </xdr:nvGraphicFramePr>
      <xdr:xfrm>
        <a:off x="10326960" y="142875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17</xdr:col>
      <xdr:colOff>0</xdr:colOff>
      <xdr:row>769</xdr:row>
      <xdr:rowOff>0</xdr:rowOff>
    </xdr:from>
    <xdr:to>
      <xdr:col>22</xdr:col>
      <xdr:colOff>221040</xdr:colOff>
      <xdr:row>777</xdr:row>
      <xdr:rowOff>95400</xdr:rowOff>
    </xdr:to>
    <xdr:graphicFrame>
      <xdr:nvGraphicFramePr>
        <xdr:cNvPr id="72" name="Chart 46"/>
        <xdr:cNvGraphicFramePr/>
      </xdr:nvGraphicFramePr>
      <xdr:xfrm>
        <a:off x="10326960" y="146494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17</xdr:col>
      <xdr:colOff>0</xdr:colOff>
      <xdr:row>788</xdr:row>
      <xdr:rowOff>0</xdr:rowOff>
    </xdr:from>
    <xdr:to>
      <xdr:col>22</xdr:col>
      <xdr:colOff>221040</xdr:colOff>
      <xdr:row>796</xdr:row>
      <xdr:rowOff>95400</xdr:rowOff>
    </xdr:to>
    <xdr:graphicFrame>
      <xdr:nvGraphicFramePr>
        <xdr:cNvPr id="73" name="Chart 47"/>
        <xdr:cNvGraphicFramePr/>
      </xdr:nvGraphicFramePr>
      <xdr:xfrm>
        <a:off x="10326960" y="150113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17</xdr:col>
      <xdr:colOff>0</xdr:colOff>
      <xdr:row>807</xdr:row>
      <xdr:rowOff>0</xdr:rowOff>
    </xdr:from>
    <xdr:to>
      <xdr:col>22</xdr:col>
      <xdr:colOff>221040</xdr:colOff>
      <xdr:row>815</xdr:row>
      <xdr:rowOff>95760</xdr:rowOff>
    </xdr:to>
    <xdr:graphicFrame>
      <xdr:nvGraphicFramePr>
        <xdr:cNvPr id="74" name="Chart 48"/>
        <xdr:cNvGraphicFramePr/>
      </xdr:nvGraphicFramePr>
      <xdr:xfrm>
        <a:off x="10326960" y="153733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17</xdr:col>
      <xdr:colOff>0</xdr:colOff>
      <xdr:row>826</xdr:row>
      <xdr:rowOff>0</xdr:rowOff>
    </xdr:from>
    <xdr:to>
      <xdr:col>22</xdr:col>
      <xdr:colOff>221040</xdr:colOff>
      <xdr:row>834</xdr:row>
      <xdr:rowOff>95760</xdr:rowOff>
    </xdr:to>
    <xdr:graphicFrame>
      <xdr:nvGraphicFramePr>
        <xdr:cNvPr id="75" name="Chart 49"/>
        <xdr:cNvGraphicFramePr/>
      </xdr:nvGraphicFramePr>
      <xdr:xfrm>
        <a:off x="10326960" y="157353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17</xdr:col>
      <xdr:colOff>0</xdr:colOff>
      <xdr:row>845</xdr:row>
      <xdr:rowOff>0</xdr:rowOff>
    </xdr:from>
    <xdr:to>
      <xdr:col>22</xdr:col>
      <xdr:colOff>221040</xdr:colOff>
      <xdr:row>853</xdr:row>
      <xdr:rowOff>95760</xdr:rowOff>
    </xdr:to>
    <xdr:graphicFrame>
      <xdr:nvGraphicFramePr>
        <xdr:cNvPr id="76" name="Chart 50"/>
        <xdr:cNvGraphicFramePr/>
      </xdr:nvGraphicFramePr>
      <xdr:xfrm>
        <a:off x="10326960" y="160972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17</xdr:col>
      <xdr:colOff>0</xdr:colOff>
      <xdr:row>864</xdr:row>
      <xdr:rowOff>0</xdr:rowOff>
    </xdr:from>
    <xdr:to>
      <xdr:col>22</xdr:col>
      <xdr:colOff>221040</xdr:colOff>
      <xdr:row>872</xdr:row>
      <xdr:rowOff>95760</xdr:rowOff>
    </xdr:to>
    <xdr:graphicFrame>
      <xdr:nvGraphicFramePr>
        <xdr:cNvPr id="77" name="Chart 51"/>
        <xdr:cNvGraphicFramePr/>
      </xdr:nvGraphicFramePr>
      <xdr:xfrm>
        <a:off x="10326960" y="164592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17</xdr:col>
      <xdr:colOff>0</xdr:colOff>
      <xdr:row>883</xdr:row>
      <xdr:rowOff>0</xdr:rowOff>
    </xdr:from>
    <xdr:to>
      <xdr:col>22</xdr:col>
      <xdr:colOff>221040</xdr:colOff>
      <xdr:row>891</xdr:row>
      <xdr:rowOff>95400</xdr:rowOff>
    </xdr:to>
    <xdr:graphicFrame>
      <xdr:nvGraphicFramePr>
        <xdr:cNvPr id="78" name="Chart 52"/>
        <xdr:cNvGraphicFramePr/>
      </xdr:nvGraphicFramePr>
      <xdr:xfrm>
        <a:off x="10326960" y="168211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17</xdr:col>
      <xdr:colOff>0</xdr:colOff>
      <xdr:row>897</xdr:row>
      <xdr:rowOff>0</xdr:rowOff>
    </xdr:from>
    <xdr:to>
      <xdr:col>22</xdr:col>
      <xdr:colOff>221040</xdr:colOff>
      <xdr:row>905</xdr:row>
      <xdr:rowOff>95760</xdr:rowOff>
    </xdr:to>
    <xdr:graphicFrame>
      <xdr:nvGraphicFramePr>
        <xdr:cNvPr id="79" name="Chart 53"/>
        <xdr:cNvGraphicFramePr/>
      </xdr:nvGraphicFramePr>
      <xdr:xfrm>
        <a:off x="10326960" y="170878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17</xdr:col>
      <xdr:colOff>0</xdr:colOff>
      <xdr:row>911</xdr:row>
      <xdr:rowOff>0</xdr:rowOff>
    </xdr:from>
    <xdr:to>
      <xdr:col>22</xdr:col>
      <xdr:colOff>221040</xdr:colOff>
      <xdr:row>919</xdr:row>
      <xdr:rowOff>95760</xdr:rowOff>
    </xdr:to>
    <xdr:graphicFrame>
      <xdr:nvGraphicFramePr>
        <xdr:cNvPr id="80" name="Chart 54"/>
        <xdr:cNvGraphicFramePr/>
      </xdr:nvGraphicFramePr>
      <xdr:xfrm>
        <a:off x="10326960" y="173545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17</xdr:col>
      <xdr:colOff>0</xdr:colOff>
      <xdr:row>930</xdr:row>
      <xdr:rowOff>0</xdr:rowOff>
    </xdr:from>
    <xdr:to>
      <xdr:col>22</xdr:col>
      <xdr:colOff>221040</xdr:colOff>
      <xdr:row>938</xdr:row>
      <xdr:rowOff>95760</xdr:rowOff>
    </xdr:to>
    <xdr:graphicFrame>
      <xdr:nvGraphicFramePr>
        <xdr:cNvPr id="81" name="Chart 55"/>
        <xdr:cNvGraphicFramePr/>
      </xdr:nvGraphicFramePr>
      <xdr:xfrm>
        <a:off x="10326960" y="177165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17</xdr:col>
      <xdr:colOff>0</xdr:colOff>
      <xdr:row>949</xdr:row>
      <xdr:rowOff>0</xdr:rowOff>
    </xdr:from>
    <xdr:to>
      <xdr:col>22</xdr:col>
      <xdr:colOff>221040</xdr:colOff>
      <xdr:row>957</xdr:row>
      <xdr:rowOff>95400</xdr:rowOff>
    </xdr:to>
    <xdr:graphicFrame>
      <xdr:nvGraphicFramePr>
        <xdr:cNvPr id="82" name="Chart 56"/>
        <xdr:cNvGraphicFramePr/>
      </xdr:nvGraphicFramePr>
      <xdr:xfrm>
        <a:off x="10326960" y="180784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17</xdr:col>
      <xdr:colOff>0</xdr:colOff>
      <xdr:row>963</xdr:row>
      <xdr:rowOff>0</xdr:rowOff>
    </xdr:from>
    <xdr:to>
      <xdr:col>22</xdr:col>
      <xdr:colOff>221040</xdr:colOff>
      <xdr:row>971</xdr:row>
      <xdr:rowOff>95760</xdr:rowOff>
    </xdr:to>
    <xdr:graphicFrame>
      <xdr:nvGraphicFramePr>
        <xdr:cNvPr id="83" name="Chart 57"/>
        <xdr:cNvGraphicFramePr/>
      </xdr:nvGraphicFramePr>
      <xdr:xfrm>
        <a:off x="10326960" y="183451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17</xdr:col>
      <xdr:colOff>0</xdr:colOff>
      <xdr:row>982</xdr:row>
      <xdr:rowOff>0</xdr:rowOff>
    </xdr:from>
    <xdr:to>
      <xdr:col>22</xdr:col>
      <xdr:colOff>221040</xdr:colOff>
      <xdr:row>990</xdr:row>
      <xdr:rowOff>95760</xdr:rowOff>
    </xdr:to>
    <xdr:graphicFrame>
      <xdr:nvGraphicFramePr>
        <xdr:cNvPr id="84" name="Chart 58"/>
        <xdr:cNvGraphicFramePr/>
      </xdr:nvGraphicFramePr>
      <xdr:xfrm>
        <a:off x="10326960" y="187071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17</xdr:col>
      <xdr:colOff>0</xdr:colOff>
      <xdr:row>996</xdr:row>
      <xdr:rowOff>0</xdr:rowOff>
    </xdr:from>
    <xdr:to>
      <xdr:col>22</xdr:col>
      <xdr:colOff>221040</xdr:colOff>
      <xdr:row>1004</xdr:row>
      <xdr:rowOff>95760</xdr:rowOff>
    </xdr:to>
    <xdr:graphicFrame>
      <xdr:nvGraphicFramePr>
        <xdr:cNvPr id="85" name="Chart 59"/>
        <xdr:cNvGraphicFramePr/>
      </xdr:nvGraphicFramePr>
      <xdr:xfrm>
        <a:off x="10326960" y="189738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17</xdr:col>
      <xdr:colOff>0</xdr:colOff>
      <xdr:row>1010</xdr:row>
      <xdr:rowOff>0</xdr:rowOff>
    </xdr:from>
    <xdr:to>
      <xdr:col>22</xdr:col>
      <xdr:colOff>221040</xdr:colOff>
      <xdr:row>1018</xdr:row>
      <xdr:rowOff>95400</xdr:rowOff>
    </xdr:to>
    <xdr:graphicFrame>
      <xdr:nvGraphicFramePr>
        <xdr:cNvPr id="86" name="Chart 60"/>
        <xdr:cNvGraphicFramePr/>
      </xdr:nvGraphicFramePr>
      <xdr:xfrm>
        <a:off x="10326960" y="192404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17</xdr:col>
      <xdr:colOff>0</xdr:colOff>
      <xdr:row>1029</xdr:row>
      <xdr:rowOff>0</xdr:rowOff>
    </xdr:from>
    <xdr:to>
      <xdr:col>22</xdr:col>
      <xdr:colOff>221040</xdr:colOff>
      <xdr:row>1037</xdr:row>
      <xdr:rowOff>95760</xdr:rowOff>
    </xdr:to>
    <xdr:graphicFrame>
      <xdr:nvGraphicFramePr>
        <xdr:cNvPr id="87" name="Chart 61"/>
        <xdr:cNvGraphicFramePr/>
      </xdr:nvGraphicFramePr>
      <xdr:xfrm>
        <a:off x="10326960" y="196024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17</xdr:col>
      <xdr:colOff>0</xdr:colOff>
      <xdr:row>1048</xdr:row>
      <xdr:rowOff>0</xdr:rowOff>
    </xdr:from>
    <xdr:to>
      <xdr:col>22</xdr:col>
      <xdr:colOff>221040</xdr:colOff>
      <xdr:row>1056</xdr:row>
      <xdr:rowOff>95760</xdr:rowOff>
    </xdr:to>
    <xdr:graphicFrame>
      <xdr:nvGraphicFramePr>
        <xdr:cNvPr id="88" name="Chart 62"/>
        <xdr:cNvGraphicFramePr/>
      </xdr:nvGraphicFramePr>
      <xdr:xfrm>
        <a:off x="10326960" y="199644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17</xdr:col>
      <xdr:colOff>0</xdr:colOff>
      <xdr:row>1067</xdr:row>
      <xdr:rowOff>0</xdr:rowOff>
    </xdr:from>
    <xdr:to>
      <xdr:col>22</xdr:col>
      <xdr:colOff>221040</xdr:colOff>
      <xdr:row>1075</xdr:row>
      <xdr:rowOff>95760</xdr:rowOff>
    </xdr:to>
    <xdr:graphicFrame>
      <xdr:nvGraphicFramePr>
        <xdr:cNvPr id="89" name="Chart 63"/>
        <xdr:cNvGraphicFramePr/>
      </xdr:nvGraphicFramePr>
      <xdr:xfrm>
        <a:off x="10326960" y="203263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17</xdr:col>
      <xdr:colOff>0</xdr:colOff>
      <xdr:row>1081</xdr:row>
      <xdr:rowOff>0</xdr:rowOff>
    </xdr:from>
    <xdr:to>
      <xdr:col>22</xdr:col>
      <xdr:colOff>221040</xdr:colOff>
      <xdr:row>1089</xdr:row>
      <xdr:rowOff>95400</xdr:rowOff>
    </xdr:to>
    <xdr:graphicFrame>
      <xdr:nvGraphicFramePr>
        <xdr:cNvPr id="90" name="Chart 64"/>
        <xdr:cNvGraphicFramePr/>
      </xdr:nvGraphicFramePr>
      <xdr:xfrm>
        <a:off x="10326960" y="205930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17</xdr:col>
      <xdr:colOff>0</xdr:colOff>
      <xdr:row>1095</xdr:row>
      <xdr:rowOff>0</xdr:rowOff>
    </xdr:from>
    <xdr:to>
      <xdr:col>22</xdr:col>
      <xdr:colOff>221040</xdr:colOff>
      <xdr:row>1103</xdr:row>
      <xdr:rowOff>95760</xdr:rowOff>
    </xdr:to>
    <xdr:graphicFrame>
      <xdr:nvGraphicFramePr>
        <xdr:cNvPr id="91" name="Chart 65"/>
        <xdr:cNvGraphicFramePr/>
      </xdr:nvGraphicFramePr>
      <xdr:xfrm>
        <a:off x="10326960" y="208597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17</xdr:col>
      <xdr:colOff>0</xdr:colOff>
      <xdr:row>1109</xdr:row>
      <xdr:rowOff>0</xdr:rowOff>
    </xdr:from>
    <xdr:to>
      <xdr:col>22</xdr:col>
      <xdr:colOff>221040</xdr:colOff>
      <xdr:row>1117</xdr:row>
      <xdr:rowOff>95760</xdr:rowOff>
    </xdr:to>
    <xdr:graphicFrame>
      <xdr:nvGraphicFramePr>
        <xdr:cNvPr id="92" name="Chart 66"/>
        <xdr:cNvGraphicFramePr/>
      </xdr:nvGraphicFramePr>
      <xdr:xfrm>
        <a:off x="10326960" y="211264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17</xdr:col>
      <xdr:colOff>0</xdr:colOff>
      <xdr:row>1128</xdr:row>
      <xdr:rowOff>0</xdr:rowOff>
    </xdr:from>
    <xdr:to>
      <xdr:col>22</xdr:col>
      <xdr:colOff>221040</xdr:colOff>
      <xdr:row>1136</xdr:row>
      <xdr:rowOff>95760</xdr:rowOff>
    </xdr:to>
    <xdr:graphicFrame>
      <xdr:nvGraphicFramePr>
        <xdr:cNvPr id="93" name="Chart 67"/>
        <xdr:cNvGraphicFramePr/>
      </xdr:nvGraphicFramePr>
      <xdr:xfrm>
        <a:off x="10326960" y="214884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17</xdr:col>
      <xdr:colOff>0</xdr:colOff>
      <xdr:row>1142</xdr:row>
      <xdr:rowOff>0</xdr:rowOff>
    </xdr:from>
    <xdr:to>
      <xdr:col>22</xdr:col>
      <xdr:colOff>221040</xdr:colOff>
      <xdr:row>1150</xdr:row>
      <xdr:rowOff>95400</xdr:rowOff>
    </xdr:to>
    <xdr:graphicFrame>
      <xdr:nvGraphicFramePr>
        <xdr:cNvPr id="94" name="Chart 68"/>
        <xdr:cNvGraphicFramePr/>
      </xdr:nvGraphicFramePr>
      <xdr:xfrm>
        <a:off x="10326960" y="217550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17</xdr:col>
      <xdr:colOff>0</xdr:colOff>
      <xdr:row>1156</xdr:row>
      <xdr:rowOff>0</xdr:rowOff>
    </xdr:from>
    <xdr:to>
      <xdr:col>22</xdr:col>
      <xdr:colOff>221040</xdr:colOff>
      <xdr:row>1164</xdr:row>
      <xdr:rowOff>95760</xdr:rowOff>
    </xdr:to>
    <xdr:graphicFrame>
      <xdr:nvGraphicFramePr>
        <xdr:cNvPr id="95" name="Chart 69"/>
        <xdr:cNvGraphicFramePr/>
      </xdr:nvGraphicFramePr>
      <xdr:xfrm>
        <a:off x="10326960" y="220218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17</xdr:col>
      <xdr:colOff>0</xdr:colOff>
      <xdr:row>1170</xdr:row>
      <xdr:rowOff>0</xdr:rowOff>
    </xdr:from>
    <xdr:to>
      <xdr:col>22</xdr:col>
      <xdr:colOff>221040</xdr:colOff>
      <xdr:row>1178</xdr:row>
      <xdr:rowOff>95760</xdr:rowOff>
    </xdr:to>
    <xdr:graphicFrame>
      <xdr:nvGraphicFramePr>
        <xdr:cNvPr id="96" name="Chart 70"/>
        <xdr:cNvGraphicFramePr/>
      </xdr:nvGraphicFramePr>
      <xdr:xfrm>
        <a:off x="10326960" y="222885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17</xdr:col>
      <xdr:colOff>0</xdr:colOff>
      <xdr:row>1184</xdr:row>
      <xdr:rowOff>0</xdr:rowOff>
    </xdr:from>
    <xdr:to>
      <xdr:col>22</xdr:col>
      <xdr:colOff>221040</xdr:colOff>
      <xdr:row>1192</xdr:row>
      <xdr:rowOff>95400</xdr:rowOff>
    </xdr:to>
    <xdr:graphicFrame>
      <xdr:nvGraphicFramePr>
        <xdr:cNvPr id="97" name="Chart 71"/>
        <xdr:cNvGraphicFramePr/>
      </xdr:nvGraphicFramePr>
      <xdr:xfrm>
        <a:off x="10326960" y="225551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17</xdr:col>
      <xdr:colOff>0</xdr:colOff>
      <xdr:row>1203</xdr:row>
      <xdr:rowOff>0</xdr:rowOff>
    </xdr:from>
    <xdr:to>
      <xdr:col>22</xdr:col>
      <xdr:colOff>221040</xdr:colOff>
      <xdr:row>1211</xdr:row>
      <xdr:rowOff>95760</xdr:rowOff>
    </xdr:to>
    <xdr:graphicFrame>
      <xdr:nvGraphicFramePr>
        <xdr:cNvPr id="98" name="Chart 72"/>
        <xdr:cNvGraphicFramePr/>
      </xdr:nvGraphicFramePr>
      <xdr:xfrm>
        <a:off x="10326960" y="229171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17</xdr:col>
      <xdr:colOff>0</xdr:colOff>
      <xdr:row>1217</xdr:row>
      <xdr:rowOff>0</xdr:rowOff>
    </xdr:from>
    <xdr:to>
      <xdr:col>22</xdr:col>
      <xdr:colOff>221040</xdr:colOff>
      <xdr:row>1225</xdr:row>
      <xdr:rowOff>95760</xdr:rowOff>
    </xdr:to>
    <xdr:graphicFrame>
      <xdr:nvGraphicFramePr>
        <xdr:cNvPr id="99" name="Chart 73"/>
        <xdr:cNvGraphicFramePr/>
      </xdr:nvGraphicFramePr>
      <xdr:xfrm>
        <a:off x="10326960" y="231838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17</xdr:col>
      <xdr:colOff>0</xdr:colOff>
      <xdr:row>1231</xdr:row>
      <xdr:rowOff>0</xdr:rowOff>
    </xdr:from>
    <xdr:to>
      <xdr:col>22</xdr:col>
      <xdr:colOff>221040</xdr:colOff>
      <xdr:row>1239</xdr:row>
      <xdr:rowOff>95400</xdr:rowOff>
    </xdr:to>
    <xdr:graphicFrame>
      <xdr:nvGraphicFramePr>
        <xdr:cNvPr id="100" name="Chart 74"/>
        <xdr:cNvGraphicFramePr/>
      </xdr:nvGraphicFramePr>
      <xdr:xfrm>
        <a:off x="10326960" y="234505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17</xdr:col>
      <xdr:colOff>0</xdr:colOff>
      <xdr:row>1245</xdr:row>
      <xdr:rowOff>0</xdr:rowOff>
    </xdr:from>
    <xdr:to>
      <xdr:col>22</xdr:col>
      <xdr:colOff>221040</xdr:colOff>
      <xdr:row>1253</xdr:row>
      <xdr:rowOff>95760</xdr:rowOff>
    </xdr:to>
    <xdr:graphicFrame>
      <xdr:nvGraphicFramePr>
        <xdr:cNvPr id="101" name="Chart 75"/>
        <xdr:cNvGraphicFramePr/>
      </xdr:nvGraphicFramePr>
      <xdr:xfrm>
        <a:off x="10326960" y="237172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17</xdr:col>
      <xdr:colOff>0</xdr:colOff>
      <xdr:row>1259</xdr:row>
      <xdr:rowOff>0</xdr:rowOff>
    </xdr:from>
    <xdr:to>
      <xdr:col>22</xdr:col>
      <xdr:colOff>221040</xdr:colOff>
      <xdr:row>1267</xdr:row>
      <xdr:rowOff>95760</xdr:rowOff>
    </xdr:to>
    <xdr:graphicFrame>
      <xdr:nvGraphicFramePr>
        <xdr:cNvPr id="102" name="Chart 76"/>
        <xdr:cNvGraphicFramePr/>
      </xdr:nvGraphicFramePr>
      <xdr:xfrm>
        <a:off x="10326960" y="239839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17</xdr:col>
      <xdr:colOff>0</xdr:colOff>
      <xdr:row>1273</xdr:row>
      <xdr:rowOff>0</xdr:rowOff>
    </xdr:from>
    <xdr:to>
      <xdr:col>22</xdr:col>
      <xdr:colOff>221040</xdr:colOff>
      <xdr:row>1281</xdr:row>
      <xdr:rowOff>95400</xdr:rowOff>
    </xdr:to>
    <xdr:graphicFrame>
      <xdr:nvGraphicFramePr>
        <xdr:cNvPr id="103" name="Chart 77"/>
        <xdr:cNvGraphicFramePr/>
      </xdr:nvGraphicFramePr>
      <xdr:xfrm>
        <a:off x="10326960" y="242506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17</xdr:col>
      <xdr:colOff>0</xdr:colOff>
      <xdr:row>1287</xdr:row>
      <xdr:rowOff>0</xdr:rowOff>
    </xdr:from>
    <xdr:to>
      <xdr:col>22</xdr:col>
      <xdr:colOff>221040</xdr:colOff>
      <xdr:row>1295</xdr:row>
      <xdr:rowOff>95760</xdr:rowOff>
    </xdr:to>
    <xdr:graphicFrame>
      <xdr:nvGraphicFramePr>
        <xdr:cNvPr id="104" name="Chart 78"/>
        <xdr:cNvGraphicFramePr/>
      </xdr:nvGraphicFramePr>
      <xdr:xfrm>
        <a:off x="10326960" y="245173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 editAs="oneCell">
    <xdr:from>
      <xdr:col>17</xdr:col>
      <xdr:colOff>0</xdr:colOff>
      <xdr:row>1301</xdr:row>
      <xdr:rowOff>0</xdr:rowOff>
    </xdr:from>
    <xdr:to>
      <xdr:col>22</xdr:col>
      <xdr:colOff>221040</xdr:colOff>
      <xdr:row>1309</xdr:row>
      <xdr:rowOff>95760</xdr:rowOff>
    </xdr:to>
    <xdr:graphicFrame>
      <xdr:nvGraphicFramePr>
        <xdr:cNvPr id="105" name="Chart 79"/>
        <xdr:cNvGraphicFramePr/>
      </xdr:nvGraphicFramePr>
      <xdr:xfrm>
        <a:off x="10326960" y="247840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 editAs="oneCell">
    <xdr:from>
      <xdr:col>17</xdr:col>
      <xdr:colOff>0</xdr:colOff>
      <xdr:row>1315</xdr:row>
      <xdr:rowOff>0</xdr:rowOff>
    </xdr:from>
    <xdr:to>
      <xdr:col>22</xdr:col>
      <xdr:colOff>221040</xdr:colOff>
      <xdr:row>1323</xdr:row>
      <xdr:rowOff>95400</xdr:rowOff>
    </xdr:to>
    <xdr:graphicFrame>
      <xdr:nvGraphicFramePr>
        <xdr:cNvPr id="106" name="Chart 80"/>
        <xdr:cNvGraphicFramePr/>
      </xdr:nvGraphicFramePr>
      <xdr:xfrm>
        <a:off x="10326960" y="250507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 editAs="oneCell">
    <xdr:from>
      <xdr:col>17</xdr:col>
      <xdr:colOff>0</xdr:colOff>
      <xdr:row>1329</xdr:row>
      <xdr:rowOff>0</xdr:rowOff>
    </xdr:from>
    <xdr:to>
      <xdr:col>22</xdr:col>
      <xdr:colOff>221040</xdr:colOff>
      <xdr:row>1337</xdr:row>
      <xdr:rowOff>95760</xdr:rowOff>
    </xdr:to>
    <xdr:graphicFrame>
      <xdr:nvGraphicFramePr>
        <xdr:cNvPr id="107" name="Chart 81"/>
        <xdr:cNvGraphicFramePr/>
      </xdr:nvGraphicFramePr>
      <xdr:xfrm>
        <a:off x="10326960" y="253174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 editAs="oneCell">
    <xdr:from>
      <xdr:col>17</xdr:col>
      <xdr:colOff>0</xdr:colOff>
      <xdr:row>1343</xdr:row>
      <xdr:rowOff>0</xdr:rowOff>
    </xdr:from>
    <xdr:to>
      <xdr:col>22</xdr:col>
      <xdr:colOff>221040</xdr:colOff>
      <xdr:row>1351</xdr:row>
      <xdr:rowOff>95760</xdr:rowOff>
    </xdr:to>
    <xdr:graphicFrame>
      <xdr:nvGraphicFramePr>
        <xdr:cNvPr id="108" name="Chart 82"/>
        <xdr:cNvGraphicFramePr/>
      </xdr:nvGraphicFramePr>
      <xdr:xfrm>
        <a:off x="10326960" y="255841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 editAs="oneCell">
    <xdr:from>
      <xdr:col>17</xdr:col>
      <xdr:colOff>0</xdr:colOff>
      <xdr:row>1357</xdr:row>
      <xdr:rowOff>0</xdr:rowOff>
    </xdr:from>
    <xdr:to>
      <xdr:col>22</xdr:col>
      <xdr:colOff>221040</xdr:colOff>
      <xdr:row>1365</xdr:row>
      <xdr:rowOff>95400</xdr:rowOff>
    </xdr:to>
    <xdr:graphicFrame>
      <xdr:nvGraphicFramePr>
        <xdr:cNvPr id="109" name="Chart 83"/>
        <xdr:cNvGraphicFramePr/>
      </xdr:nvGraphicFramePr>
      <xdr:xfrm>
        <a:off x="10326960" y="258508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 editAs="oneCell">
    <xdr:from>
      <xdr:col>17</xdr:col>
      <xdr:colOff>0</xdr:colOff>
      <xdr:row>1371</xdr:row>
      <xdr:rowOff>0</xdr:rowOff>
    </xdr:from>
    <xdr:to>
      <xdr:col>22</xdr:col>
      <xdr:colOff>221040</xdr:colOff>
      <xdr:row>1379</xdr:row>
      <xdr:rowOff>95760</xdr:rowOff>
    </xdr:to>
    <xdr:graphicFrame>
      <xdr:nvGraphicFramePr>
        <xdr:cNvPr id="110" name="Chart 84"/>
        <xdr:cNvGraphicFramePr/>
      </xdr:nvGraphicFramePr>
      <xdr:xfrm>
        <a:off x="10326960" y="261175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 editAs="oneCell">
    <xdr:from>
      <xdr:col>17</xdr:col>
      <xdr:colOff>0</xdr:colOff>
      <xdr:row>1385</xdr:row>
      <xdr:rowOff>0</xdr:rowOff>
    </xdr:from>
    <xdr:to>
      <xdr:col>22</xdr:col>
      <xdr:colOff>221040</xdr:colOff>
      <xdr:row>1393</xdr:row>
      <xdr:rowOff>95760</xdr:rowOff>
    </xdr:to>
    <xdr:graphicFrame>
      <xdr:nvGraphicFramePr>
        <xdr:cNvPr id="111" name="Chart 85"/>
        <xdr:cNvGraphicFramePr/>
      </xdr:nvGraphicFramePr>
      <xdr:xfrm>
        <a:off x="10326960" y="263842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 editAs="oneCell">
    <xdr:from>
      <xdr:col>17</xdr:col>
      <xdr:colOff>0</xdr:colOff>
      <xdr:row>1399</xdr:row>
      <xdr:rowOff>0</xdr:rowOff>
    </xdr:from>
    <xdr:to>
      <xdr:col>22</xdr:col>
      <xdr:colOff>221040</xdr:colOff>
      <xdr:row>1407</xdr:row>
      <xdr:rowOff>95400</xdr:rowOff>
    </xdr:to>
    <xdr:graphicFrame>
      <xdr:nvGraphicFramePr>
        <xdr:cNvPr id="112" name="Chart 86"/>
        <xdr:cNvGraphicFramePr/>
      </xdr:nvGraphicFramePr>
      <xdr:xfrm>
        <a:off x="10326960" y="266509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 editAs="oneCell">
    <xdr:from>
      <xdr:col>17</xdr:col>
      <xdr:colOff>0</xdr:colOff>
      <xdr:row>1413</xdr:row>
      <xdr:rowOff>0</xdr:rowOff>
    </xdr:from>
    <xdr:to>
      <xdr:col>22</xdr:col>
      <xdr:colOff>221040</xdr:colOff>
      <xdr:row>1421</xdr:row>
      <xdr:rowOff>95760</xdr:rowOff>
    </xdr:to>
    <xdr:graphicFrame>
      <xdr:nvGraphicFramePr>
        <xdr:cNvPr id="113" name="Chart 87"/>
        <xdr:cNvGraphicFramePr/>
      </xdr:nvGraphicFramePr>
      <xdr:xfrm>
        <a:off x="10326960" y="269176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 editAs="oneCell">
    <xdr:from>
      <xdr:col>17</xdr:col>
      <xdr:colOff>0</xdr:colOff>
      <xdr:row>1427</xdr:row>
      <xdr:rowOff>0</xdr:rowOff>
    </xdr:from>
    <xdr:to>
      <xdr:col>22</xdr:col>
      <xdr:colOff>221040</xdr:colOff>
      <xdr:row>1435</xdr:row>
      <xdr:rowOff>95760</xdr:rowOff>
    </xdr:to>
    <xdr:graphicFrame>
      <xdr:nvGraphicFramePr>
        <xdr:cNvPr id="114" name="Chart 88"/>
        <xdr:cNvGraphicFramePr/>
      </xdr:nvGraphicFramePr>
      <xdr:xfrm>
        <a:off x="10326960" y="271843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 editAs="oneCell">
    <xdr:from>
      <xdr:col>17</xdr:col>
      <xdr:colOff>0</xdr:colOff>
      <xdr:row>1441</xdr:row>
      <xdr:rowOff>0</xdr:rowOff>
    </xdr:from>
    <xdr:to>
      <xdr:col>22</xdr:col>
      <xdr:colOff>221040</xdr:colOff>
      <xdr:row>1449</xdr:row>
      <xdr:rowOff>95400</xdr:rowOff>
    </xdr:to>
    <xdr:graphicFrame>
      <xdr:nvGraphicFramePr>
        <xdr:cNvPr id="115" name="Chart 89"/>
        <xdr:cNvGraphicFramePr/>
      </xdr:nvGraphicFramePr>
      <xdr:xfrm>
        <a:off x="10326960" y="274510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 editAs="oneCell">
    <xdr:from>
      <xdr:col>17</xdr:col>
      <xdr:colOff>0</xdr:colOff>
      <xdr:row>1455</xdr:row>
      <xdr:rowOff>0</xdr:rowOff>
    </xdr:from>
    <xdr:to>
      <xdr:col>22</xdr:col>
      <xdr:colOff>221040</xdr:colOff>
      <xdr:row>1463</xdr:row>
      <xdr:rowOff>95760</xdr:rowOff>
    </xdr:to>
    <xdr:graphicFrame>
      <xdr:nvGraphicFramePr>
        <xdr:cNvPr id="116" name="Chart 90"/>
        <xdr:cNvGraphicFramePr/>
      </xdr:nvGraphicFramePr>
      <xdr:xfrm>
        <a:off x="10326960" y="277177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 editAs="oneCell">
    <xdr:from>
      <xdr:col>17</xdr:col>
      <xdr:colOff>0</xdr:colOff>
      <xdr:row>1469</xdr:row>
      <xdr:rowOff>0</xdr:rowOff>
    </xdr:from>
    <xdr:to>
      <xdr:col>22</xdr:col>
      <xdr:colOff>221040</xdr:colOff>
      <xdr:row>1477</xdr:row>
      <xdr:rowOff>95760</xdr:rowOff>
    </xdr:to>
    <xdr:graphicFrame>
      <xdr:nvGraphicFramePr>
        <xdr:cNvPr id="117" name="Chart 91"/>
        <xdr:cNvGraphicFramePr/>
      </xdr:nvGraphicFramePr>
      <xdr:xfrm>
        <a:off x="10326960" y="279844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 editAs="oneCell">
    <xdr:from>
      <xdr:col>17</xdr:col>
      <xdr:colOff>0</xdr:colOff>
      <xdr:row>1483</xdr:row>
      <xdr:rowOff>0</xdr:rowOff>
    </xdr:from>
    <xdr:to>
      <xdr:col>22</xdr:col>
      <xdr:colOff>221040</xdr:colOff>
      <xdr:row>1491</xdr:row>
      <xdr:rowOff>95400</xdr:rowOff>
    </xdr:to>
    <xdr:graphicFrame>
      <xdr:nvGraphicFramePr>
        <xdr:cNvPr id="118" name="Chart 92"/>
        <xdr:cNvGraphicFramePr/>
      </xdr:nvGraphicFramePr>
      <xdr:xfrm>
        <a:off x="10326960" y="282511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 editAs="oneCell">
    <xdr:from>
      <xdr:col>17</xdr:col>
      <xdr:colOff>0</xdr:colOff>
      <xdr:row>1497</xdr:row>
      <xdr:rowOff>0</xdr:rowOff>
    </xdr:from>
    <xdr:to>
      <xdr:col>22</xdr:col>
      <xdr:colOff>221040</xdr:colOff>
      <xdr:row>1505</xdr:row>
      <xdr:rowOff>95760</xdr:rowOff>
    </xdr:to>
    <xdr:graphicFrame>
      <xdr:nvGraphicFramePr>
        <xdr:cNvPr id="119" name="Chart 93"/>
        <xdr:cNvGraphicFramePr/>
      </xdr:nvGraphicFramePr>
      <xdr:xfrm>
        <a:off x="10326960" y="285178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 editAs="oneCell">
    <xdr:from>
      <xdr:col>17</xdr:col>
      <xdr:colOff>0</xdr:colOff>
      <xdr:row>1511</xdr:row>
      <xdr:rowOff>0</xdr:rowOff>
    </xdr:from>
    <xdr:to>
      <xdr:col>22</xdr:col>
      <xdr:colOff>221040</xdr:colOff>
      <xdr:row>1519</xdr:row>
      <xdr:rowOff>95760</xdr:rowOff>
    </xdr:to>
    <xdr:graphicFrame>
      <xdr:nvGraphicFramePr>
        <xdr:cNvPr id="120" name="Chart 94"/>
        <xdr:cNvGraphicFramePr/>
      </xdr:nvGraphicFramePr>
      <xdr:xfrm>
        <a:off x="10326960" y="287845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 editAs="oneCell">
    <xdr:from>
      <xdr:col>17</xdr:col>
      <xdr:colOff>0</xdr:colOff>
      <xdr:row>1525</xdr:row>
      <xdr:rowOff>0</xdr:rowOff>
    </xdr:from>
    <xdr:to>
      <xdr:col>22</xdr:col>
      <xdr:colOff>221040</xdr:colOff>
      <xdr:row>1533</xdr:row>
      <xdr:rowOff>95400</xdr:rowOff>
    </xdr:to>
    <xdr:graphicFrame>
      <xdr:nvGraphicFramePr>
        <xdr:cNvPr id="121" name="Chart 95"/>
        <xdr:cNvGraphicFramePr/>
      </xdr:nvGraphicFramePr>
      <xdr:xfrm>
        <a:off x="10326960" y="290512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 editAs="oneCell">
    <xdr:from>
      <xdr:col>17</xdr:col>
      <xdr:colOff>0</xdr:colOff>
      <xdr:row>1539</xdr:row>
      <xdr:rowOff>0</xdr:rowOff>
    </xdr:from>
    <xdr:to>
      <xdr:col>22</xdr:col>
      <xdr:colOff>221040</xdr:colOff>
      <xdr:row>1547</xdr:row>
      <xdr:rowOff>95760</xdr:rowOff>
    </xdr:to>
    <xdr:graphicFrame>
      <xdr:nvGraphicFramePr>
        <xdr:cNvPr id="122" name="Chart 96"/>
        <xdr:cNvGraphicFramePr/>
      </xdr:nvGraphicFramePr>
      <xdr:xfrm>
        <a:off x="10326960" y="293179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 editAs="oneCell">
    <xdr:from>
      <xdr:col>17</xdr:col>
      <xdr:colOff>0</xdr:colOff>
      <xdr:row>1553</xdr:row>
      <xdr:rowOff>0</xdr:rowOff>
    </xdr:from>
    <xdr:to>
      <xdr:col>22</xdr:col>
      <xdr:colOff>221040</xdr:colOff>
      <xdr:row>1561</xdr:row>
      <xdr:rowOff>95760</xdr:rowOff>
    </xdr:to>
    <xdr:graphicFrame>
      <xdr:nvGraphicFramePr>
        <xdr:cNvPr id="123" name="Chart 97"/>
        <xdr:cNvGraphicFramePr/>
      </xdr:nvGraphicFramePr>
      <xdr:xfrm>
        <a:off x="10326960" y="295846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 editAs="oneCell">
    <xdr:from>
      <xdr:col>17</xdr:col>
      <xdr:colOff>0</xdr:colOff>
      <xdr:row>1567</xdr:row>
      <xdr:rowOff>0</xdr:rowOff>
    </xdr:from>
    <xdr:to>
      <xdr:col>22</xdr:col>
      <xdr:colOff>221040</xdr:colOff>
      <xdr:row>1575</xdr:row>
      <xdr:rowOff>95400</xdr:rowOff>
    </xdr:to>
    <xdr:graphicFrame>
      <xdr:nvGraphicFramePr>
        <xdr:cNvPr id="124" name="Chart 98"/>
        <xdr:cNvGraphicFramePr/>
      </xdr:nvGraphicFramePr>
      <xdr:xfrm>
        <a:off x="10326960" y="298513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 editAs="oneCell">
    <xdr:from>
      <xdr:col>17</xdr:col>
      <xdr:colOff>0</xdr:colOff>
      <xdr:row>1581</xdr:row>
      <xdr:rowOff>0</xdr:rowOff>
    </xdr:from>
    <xdr:to>
      <xdr:col>22</xdr:col>
      <xdr:colOff>221040</xdr:colOff>
      <xdr:row>1589</xdr:row>
      <xdr:rowOff>95760</xdr:rowOff>
    </xdr:to>
    <xdr:graphicFrame>
      <xdr:nvGraphicFramePr>
        <xdr:cNvPr id="125" name="Chart 99"/>
        <xdr:cNvGraphicFramePr/>
      </xdr:nvGraphicFramePr>
      <xdr:xfrm>
        <a:off x="10326960" y="301180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 editAs="oneCell">
    <xdr:from>
      <xdr:col>17</xdr:col>
      <xdr:colOff>0</xdr:colOff>
      <xdr:row>1595</xdr:row>
      <xdr:rowOff>0</xdr:rowOff>
    </xdr:from>
    <xdr:to>
      <xdr:col>22</xdr:col>
      <xdr:colOff>221040</xdr:colOff>
      <xdr:row>1603</xdr:row>
      <xdr:rowOff>95760</xdr:rowOff>
    </xdr:to>
    <xdr:graphicFrame>
      <xdr:nvGraphicFramePr>
        <xdr:cNvPr id="126" name="Chart 100"/>
        <xdr:cNvGraphicFramePr/>
      </xdr:nvGraphicFramePr>
      <xdr:xfrm>
        <a:off x="10326960" y="303847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 editAs="oneCell">
    <xdr:from>
      <xdr:col>17</xdr:col>
      <xdr:colOff>0</xdr:colOff>
      <xdr:row>1609</xdr:row>
      <xdr:rowOff>0</xdr:rowOff>
    </xdr:from>
    <xdr:to>
      <xdr:col>22</xdr:col>
      <xdr:colOff>221040</xdr:colOff>
      <xdr:row>1617</xdr:row>
      <xdr:rowOff>95400</xdr:rowOff>
    </xdr:to>
    <xdr:graphicFrame>
      <xdr:nvGraphicFramePr>
        <xdr:cNvPr id="127" name="Chart 101"/>
        <xdr:cNvGraphicFramePr/>
      </xdr:nvGraphicFramePr>
      <xdr:xfrm>
        <a:off x="10326960" y="306514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 editAs="oneCell">
    <xdr:from>
      <xdr:col>17</xdr:col>
      <xdr:colOff>0</xdr:colOff>
      <xdr:row>1628</xdr:row>
      <xdr:rowOff>0</xdr:rowOff>
    </xdr:from>
    <xdr:to>
      <xdr:col>22</xdr:col>
      <xdr:colOff>221040</xdr:colOff>
      <xdr:row>1636</xdr:row>
      <xdr:rowOff>95400</xdr:rowOff>
    </xdr:to>
    <xdr:graphicFrame>
      <xdr:nvGraphicFramePr>
        <xdr:cNvPr id="128" name="Chart 102"/>
        <xdr:cNvGraphicFramePr/>
      </xdr:nvGraphicFramePr>
      <xdr:xfrm>
        <a:off x="10326960" y="310133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 editAs="oneCell">
    <xdr:from>
      <xdr:col>17</xdr:col>
      <xdr:colOff>0</xdr:colOff>
      <xdr:row>1642</xdr:row>
      <xdr:rowOff>0</xdr:rowOff>
    </xdr:from>
    <xdr:to>
      <xdr:col>22</xdr:col>
      <xdr:colOff>221040</xdr:colOff>
      <xdr:row>1650</xdr:row>
      <xdr:rowOff>95760</xdr:rowOff>
    </xdr:to>
    <xdr:graphicFrame>
      <xdr:nvGraphicFramePr>
        <xdr:cNvPr id="129" name="Chart 103"/>
        <xdr:cNvGraphicFramePr/>
      </xdr:nvGraphicFramePr>
      <xdr:xfrm>
        <a:off x="10326960" y="312801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 editAs="oneCell">
    <xdr:from>
      <xdr:col>17</xdr:col>
      <xdr:colOff>0</xdr:colOff>
      <xdr:row>1656</xdr:row>
      <xdr:rowOff>0</xdr:rowOff>
    </xdr:from>
    <xdr:to>
      <xdr:col>22</xdr:col>
      <xdr:colOff>221040</xdr:colOff>
      <xdr:row>1664</xdr:row>
      <xdr:rowOff>95760</xdr:rowOff>
    </xdr:to>
    <xdr:graphicFrame>
      <xdr:nvGraphicFramePr>
        <xdr:cNvPr id="130" name="Chart 104"/>
        <xdr:cNvGraphicFramePr/>
      </xdr:nvGraphicFramePr>
      <xdr:xfrm>
        <a:off x="10326960" y="315468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 editAs="oneCell">
    <xdr:from>
      <xdr:col>17</xdr:col>
      <xdr:colOff>0</xdr:colOff>
      <xdr:row>1670</xdr:row>
      <xdr:rowOff>0</xdr:rowOff>
    </xdr:from>
    <xdr:to>
      <xdr:col>22</xdr:col>
      <xdr:colOff>221040</xdr:colOff>
      <xdr:row>1678</xdr:row>
      <xdr:rowOff>95400</xdr:rowOff>
    </xdr:to>
    <xdr:graphicFrame>
      <xdr:nvGraphicFramePr>
        <xdr:cNvPr id="131" name="Chart 105"/>
        <xdr:cNvGraphicFramePr/>
      </xdr:nvGraphicFramePr>
      <xdr:xfrm>
        <a:off x="10326960" y="318134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 editAs="oneCell">
    <xdr:from>
      <xdr:col>17</xdr:col>
      <xdr:colOff>0</xdr:colOff>
      <xdr:row>1684</xdr:row>
      <xdr:rowOff>0</xdr:rowOff>
    </xdr:from>
    <xdr:to>
      <xdr:col>22</xdr:col>
      <xdr:colOff>221040</xdr:colOff>
      <xdr:row>1692</xdr:row>
      <xdr:rowOff>95760</xdr:rowOff>
    </xdr:to>
    <xdr:graphicFrame>
      <xdr:nvGraphicFramePr>
        <xdr:cNvPr id="132" name="Chart 106"/>
        <xdr:cNvGraphicFramePr/>
      </xdr:nvGraphicFramePr>
      <xdr:xfrm>
        <a:off x="10326960" y="320802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 editAs="oneCell">
    <xdr:from>
      <xdr:col>17</xdr:col>
      <xdr:colOff>0</xdr:colOff>
      <xdr:row>1698</xdr:row>
      <xdr:rowOff>0</xdr:rowOff>
    </xdr:from>
    <xdr:to>
      <xdr:col>22</xdr:col>
      <xdr:colOff>221040</xdr:colOff>
      <xdr:row>1706</xdr:row>
      <xdr:rowOff>95760</xdr:rowOff>
    </xdr:to>
    <xdr:graphicFrame>
      <xdr:nvGraphicFramePr>
        <xdr:cNvPr id="133" name="Chart 107"/>
        <xdr:cNvGraphicFramePr/>
      </xdr:nvGraphicFramePr>
      <xdr:xfrm>
        <a:off x="10326960" y="32346900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 editAs="oneCell">
    <xdr:from>
      <xdr:col>17</xdr:col>
      <xdr:colOff>0</xdr:colOff>
      <xdr:row>1712</xdr:row>
      <xdr:rowOff>0</xdr:rowOff>
    </xdr:from>
    <xdr:to>
      <xdr:col>22</xdr:col>
      <xdr:colOff>221040</xdr:colOff>
      <xdr:row>1720</xdr:row>
      <xdr:rowOff>95400</xdr:rowOff>
    </xdr:to>
    <xdr:graphicFrame>
      <xdr:nvGraphicFramePr>
        <xdr:cNvPr id="134" name="Chart 108"/>
        <xdr:cNvGraphicFramePr/>
      </xdr:nvGraphicFramePr>
      <xdr:xfrm>
        <a:off x="10326960" y="3261358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 editAs="oneCell">
    <xdr:from>
      <xdr:col>17</xdr:col>
      <xdr:colOff>0</xdr:colOff>
      <xdr:row>1726</xdr:row>
      <xdr:rowOff>0</xdr:rowOff>
    </xdr:from>
    <xdr:to>
      <xdr:col>22</xdr:col>
      <xdr:colOff>221040</xdr:colOff>
      <xdr:row>1734</xdr:row>
      <xdr:rowOff>95760</xdr:rowOff>
    </xdr:to>
    <xdr:graphicFrame>
      <xdr:nvGraphicFramePr>
        <xdr:cNvPr id="135" name="Chart 109"/>
        <xdr:cNvGraphicFramePr/>
      </xdr:nvGraphicFramePr>
      <xdr:xfrm>
        <a:off x="10326960" y="32880312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 editAs="oneCell">
    <xdr:from>
      <xdr:col>17</xdr:col>
      <xdr:colOff>0</xdr:colOff>
      <xdr:row>1745</xdr:row>
      <xdr:rowOff>0</xdr:rowOff>
    </xdr:from>
    <xdr:to>
      <xdr:col>22</xdr:col>
      <xdr:colOff>221040</xdr:colOff>
      <xdr:row>1753</xdr:row>
      <xdr:rowOff>95760</xdr:rowOff>
    </xdr:to>
    <xdr:graphicFrame>
      <xdr:nvGraphicFramePr>
        <xdr:cNvPr id="136" name="Chart 110"/>
        <xdr:cNvGraphicFramePr/>
      </xdr:nvGraphicFramePr>
      <xdr:xfrm>
        <a:off x="10326960" y="332422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 editAs="oneCell">
    <xdr:from>
      <xdr:col>17</xdr:col>
      <xdr:colOff>0</xdr:colOff>
      <xdr:row>1759</xdr:row>
      <xdr:rowOff>0</xdr:rowOff>
    </xdr:from>
    <xdr:to>
      <xdr:col>22</xdr:col>
      <xdr:colOff>221040</xdr:colOff>
      <xdr:row>1767</xdr:row>
      <xdr:rowOff>95400</xdr:rowOff>
    </xdr:to>
    <xdr:graphicFrame>
      <xdr:nvGraphicFramePr>
        <xdr:cNvPr id="137" name="Chart 111"/>
        <xdr:cNvGraphicFramePr/>
      </xdr:nvGraphicFramePr>
      <xdr:xfrm>
        <a:off x="10326960" y="335089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 editAs="oneCell">
    <xdr:from>
      <xdr:col>17</xdr:col>
      <xdr:colOff>0</xdr:colOff>
      <xdr:row>1773</xdr:row>
      <xdr:rowOff>0</xdr:rowOff>
    </xdr:from>
    <xdr:to>
      <xdr:col>22</xdr:col>
      <xdr:colOff>221040</xdr:colOff>
      <xdr:row>1781</xdr:row>
      <xdr:rowOff>95760</xdr:rowOff>
    </xdr:to>
    <xdr:graphicFrame>
      <xdr:nvGraphicFramePr>
        <xdr:cNvPr id="138" name="Chart 112"/>
        <xdr:cNvGraphicFramePr/>
      </xdr:nvGraphicFramePr>
      <xdr:xfrm>
        <a:off x="10326960" y="337756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 editAs="oneCell">
    <xdr:from>
      <xdr:col>17</xdr:col>
      <xdr:colOff>0</xdr:colOff>
      <xdr:row>1787</xdr:row>
      <xdr:rowOff>0</xdr:rowOff>
    </xdr:from>
    <xdr:to>
      <xdr:col>22</xdr:col>
      <xdr:colOff>221040</xdr:colOff>
      <xdr:row>1795</xdr:row>
      <xdr:rowOff>95760</xdr:rowOff>
    </xdr:to>
    <xdr:graphicFrame>
      <xdr:nvGraphicFramePr>
        <xdr:cNvPr id="139" name="Chart 113"/>
        <xdr:cNvGraphicFramePr/>
      </xdr:nvGraphicFramePr>
      <xdr:xfrm>
        <a:off x="10326960" y="340423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 editAs="oneCell">
    <xdr:from>
      <xdr:col>17</xdr:col>
      <xdr:colOff>0</xdr:colOff>
      <xdr:row>1801</xdr:row>
      <xdr:rowOff>0</xdr:rowOff>
    </xdr:from>
    <xdr:to>
      <xdr:col>22</xdr:col>
      <xdr:colOff>221040</xdr:colOff>
      <xdr:row>1809</xdr:row>
      <xdr:rowOff>95400</xdr:rowOff>
    </xdr:to>
    <xdr:graphicFrame>
      <xdr:nvGraphicFramePr>
        <xdr:cNvPr id="140" name="Chart 114"/>
        <xdr:cNvGraphicFramePr/>
      </xdr:nvGraphicFramePr>
      <xdr:xfrm>
        <a:off x="10326960" y="343090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 editAs="oneCell">
    <xdr:from>
      <xdr:col>17</xdr:col>
      <xdr:colOff>0</xdr:colOff>
      <xdr:row>1815</xdr:row>
      <xdr:rowOff>0</xdr:rowOff>
    </xdr:from>
    <xdr:to>
      <xdr:col>22</xdr:col>
      <xdr:colOff>221040</xdr:colOff>
      <xdr:row>1823</xdr:row>
      <xdr:rowOff>95760</xdr:rowOff>
    </xdr:to>
    <xdr:graphicFrame>
      <xdr:nvGraphicFramePr>
        <xdr:cNvPr id="141" name="Chart 115"/>
        <xdr:cNvGraphicFramePr/>
      </xdr:nvGraphicFramePr>
      <xdr:xfrm>
        <a:off x="10326960" y="345757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 editAs="oneCell">
    <xdr:from>
      <xdr:col>17</xdr:col>
      <xdr:colOff>0</xdr:colOff>
      <xdr:row>1829</xdr:row>
      <xdr:rowOff>0</xdr:rowOff>
    </xdr:from>
    <xdr:to>
      <xdr:col>22</xdr:col>
      <xdr:colOff>221040</xdr:colOff>
      <xdr:row>1837</xdr:row>
      <xdr:rowOff>95760</xdr:rowOff>
    </xdr:to>
    <xdr:graphicFrame>
      <xdr:nvGraphicFramePr>
        <xdr:cNvPr id="142" name="Chart 116"/>
        <xdr:cNvGraphicFramePr/>
      </xdr:nvGraphicFramePr>
      <xdr:xfrm>
        <a:off x="10326960" y="348424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 editAs="oneCell">
    <xdr:from>
      <xdr:col>17</xdr:col>
      <xdr:colOff>0</xdr:colOff>
      <xdr:row>1843</xdr:row>
      <xdr:rowOff>0</xdr:rowOff>
    </xdr:from>
    <xdr:to>
      <xdr:col>22</xdr:col>
      <xdr:colOff>221040</xdr:colOff>
      <xdr:row>1851</xdr:row>
      <xdr:rowOff>95400</xdr:rowOff>
    </xdr:to>
    <xdr:graphicFrame>
      <xdr:nvGraphicFramePr>
        <xdr:cNvPr id="143" name="Chart 117"/>
        <xdr:cNvGraphicFramePr/>
      </xdr:nvGraphicFramePr>
      <xdr:xfrm>
        <a:off x="10326960" y="351091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 editAs="oneCell">
    <xdr:from>
      <xdr:col>17</xdr:col>
      <xdr:colOff>0</xdr:colOff>
      <xdr:row>1857</xdr:row>
      <xdr:rowOff>0</xdr:rowOff>
    </xdr:from>
    <xdr:to>
      <xdr:col>22</xdr:col>
      <xdr:colOff>221040</xdr:colOff>
      <xdr:row>1865</xdr:row>
      <xdr:rowOff>95760</xdr:rowOff>
    </xdr:to>
    <xdr:graphicFrame>
      <xdr:nvGraphicFramePr>
        <xdr:cNvPr id="144" name="Chart 118"/>
        <xdr:cNvGraphicFramePr/>
      </xdr:nvGraphicFramePr>
      <xdr:xfrm>
        <a:off x="10326960" y="353758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 editAs="oneCell">
    <xdr:from>
      <xdr:col>17</xdr:col>
      <xdr:colOff>0</xdr:colOff>
      <xdr:row>1871</xdr:row>
      <xdr:rowOff>0</xdr:rowOff>
    </xdr:from>
    <xdr:to>
      <xdr:col>22</xdr:col>
      <xdr:colOff>221040</xdr:colOff>
      <xdr:row>1879</xdr:row>
      <xdr:rowOff>95760</xdr:rowOff>
    </xdr:to>
    <xdr:graphicFrame>
      <xdr:nvGraphicFramePr>
        <xdr:cNvPr id="145" name="Chart 119"/>
        <xdr:cNvGraphicFramePr/>
      </xdr:nvGraphicFramePr>
      <xdr:xfrm>
        <a:off x="10326960" y="356425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 editAs="oneCell">
    <xdr:from>
      <xdr:col>17</xdr:col>
      <xdr:colOff>0</xdr:colOff>
      <xdr:row>1885</xdr:row>
      <xdr:rowOff>0</xdr:rowOff>
    </xdr:from>
    <xdr:to>
      <xdr:col>22</xdr:col>
      <xdr:colOff>221040</xdr:colOff>
      <xdr:row>1893</xdr:row>
      <xdr:rowOff>95400</xdr:rowOff>
    </xdr:to>
    <xdr:graphicFrame>
      <xdr:nvGraphicFramePr>
        <xdr:cNvPr id="146" name="Chart 120"/>
        <xdr:cNvGraphicFramePr/>
      </xdr:nvGraphicFramePr>
      <xdr:xfrm>
        <a:off x="10326960" y="359092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 editAs="oneCell">
    <xdr:from>
      <xdr:col>17</xdr:col>
      <xdr:colOff>0</xdr:colOff>
      <xdr:row>1899</xdr:row>
      <xdr:rowOff>0</xdr:rowOff>
    </xdr:from>
    <xdr:to>
      <xdr:col>22</xdr:col>
      <xdr:colOff>221040</xdr:colOff>
      <xdr:row>1907</xdr:row>
      <xdr:rowOff>95760</xdr:rowOff>
    </xdr:to>
    <xdr:graphicFrame>
      <xdr:nvGraphicFramePr>
        <xdr:cNvPr id="147" name="Chart 121"/>
        <xdr:cNvGraphicFramePr/>
      </xdr:nvGraphicFramePr>
      <xdr:xfrm>
        <a:off x="10326960" y="361759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 editAs="oneCell">
    <xdr:from>
      <xdr:col>17</xdr:col>
      <xdr:colOff>0</xdr:colOff>
      <xdr:row>1913</xdr:row>
      <xdr:rowOff>0</xdr:rowOff>
    </xdr:from>
    <xdr:to>
      <xdr:col>22</xdr:col>
      <xdr:colOff>221040</xdr:colOff>
      <xdr:row>1921</xdr:row>
      <xdr:rowOff>95760</xdr:rowOff>
    </xdr:to>
    <xdr:graphicFrame>
      <xdr:nvGraphicFramePr>
        <xdr:cNvPr id="148" name="Chart 122"/>
        <xdr:cNvGraphicFramePr/>
      </xdr:nvGraphicFramePr>
      <xdr:xfrm>
        <a:off x="10326960" y="364426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 editAs="oneCell">
    <xdr:from>
      <xdr:col>17</xdr:col>
      <xdr:colOff>0</xdr:colOff>
      <xdr:row>1927</xdr:row>
      <xdr:rowOff>0</xdr:rowOff>
    </xdr:from>
    <xdr:to>
      <xdr:col>22</xdr:col>
      <xdr:colOff>221040</xdr:colOff>
      <xdr:row>1935</xdr:row>
      <xdr:rowOff>95400</xdr:rowOff>
    </xdr:to>
    <xdr:graphicFrame>
      <xdr:nvGraphicFramePr>
        <xdr:cNvPr id="149" name="Chart 123"/>
        <xdr:cNvGraphicFramePr/>
      </xdr:nvGraphicFramePr>
      <xdr:xfrm>
        <a:off x="10326960" y="367093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 editAs="oneCell">
    <xdr:from>
      <xdr:col>17</xdr:col>
      <xdr:colOff>0</xdr:colOff>
      <xdr:row>1941</xdr:row>
      <xdr:rowOff>0</xdr:rowOff>
    </xdr:from>
    <xdr:to>
      <xdr:col>22</xdr:col>
      <xdr:colOff>221040</xdr:colOff>
      <xdr:row>1949</xdr:row>
      <xdr:rowOff>95760</xdr:rowOff>
    </xdr:to>
    <xdr:graphicFrame>
      <xdr:nvGraphicFramePr>
        <xdr:cNvPr id="150" name="Chart 124"/>
        <xdr:cNvGraphicFramePr/>
      </xdr:nvGraphicFramePr>
      <xdr:xfrm>
        <a:off x="10326960" y="369760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 editAs="oneCell">
    <xdr:from>
      <xdr:col>17</xdr:col>
      <xdr:colOff>0</xdr:colOff>
      <xdr:row>1955</xdr:row>
      <xdr:rowOff>0</xdr:rowOff>
    </xdr:from>
    <xdr:to>
      <xdr:col>22</xdr:col>
      <xdr:colOff>221040</xdr:colOff>
      <xdr:row>1963</xdr:row>
      <xdr:rowOff>95760</xdr:rowOff>
    </xdr:to>
    <xdr:graphicFrame>
      <xdr:nvGraphicFramePr>
        <xdr:cNvPr id="151" name="Chart 125"/>
        <xdr:cNvGraphicFramePr/>
      </xdr:nvGraphicFramePr>
      <xdr:xfrm>
        <a:off x="10326960" y="372427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 editAs="oneCell">
    <xdr:from>
      <xdr:col>17</xdr:col>
      <xdr:colOff>0</xdr:colOff>
      <xdr:row>1969</xdr:row>
      <xdr:rowOff>0</xdr:rowOff>
    </xdr:from>
    <xdr:to>
      <xdr:col>22</xdr:col>
      <xdr:colOff>221040</xdr:colOff>
      <xdr:row>1977</xdr:row>
      <xdr:rowOff>95400</xdr:rowOff>
    </xdr:to>
    <xdr:graphicFrame>
      <xdr:nvGraphicFramePr>
        <xdr:cNvPr id="152" name="Chart 126"/>
        <xdr:cNvGraphicFramePr/>
      </xdr:nvGraphicFramePr>
      <xdr:xfrm>
        <a:off x="10326960" y="375094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 editAs="oneCell">
    <xdr:from>
      <xdr:col>17</xdr:col>
      <xdr:colOff>0</xdr:colOff>
      <xdr:row>1983</xdr:row>
      <xdr:rowOff>0</xdr:rowOff>
    </xdr:from>
    <xdr:to>
      <xdr:col>22</xdr:col>
      <xdr:colOff>221040</xdr:colOff>
      <xdr:row>1991</xdr:row>
      <xdr:rowOff>95760</xdr:rowOff>
    </xdr:to>
    <xdr:graphicFrame>
      <xdr:nvGraphicFramePr>
        <xdr:cNvPr id="153" name="Chart 127"/>
        <xdr:cNvGraphicFramePr/>
      </xdr:nvGraphicFramePr>
      <xdr:xfrm>
        <a:off x="10326960" y="377761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 editAs="oneCell">
    <xdr:from>
      <xdr:col>17</xdr:col>
      <xdr:colOff>0</xdr:colOff>
      <xdr:row>1997</xdr:row>
      <xdr:rowOff>0</xdr:rowOff>
    </xdr:from>
    <xdr:to>
      <xdr:col>22</xdr:col>
      <xdr:colOff>221040</xdr:colOff>
      <xdr:row>2005</xdr:row>
      <xdr:rowOff>95760</xdr:rowOff>
    </xdr:to>
    <xdr:graphicFrame>
      <xdr:nvGraphicFramePr>
        <xdr:cNvPr id="154" name="Chart 128"/>
        <xdr:cNvGraphicFramePr/>
      </xdr:nvGraphicFramePr>
      <xdr:xfrm>
        <a:off x="10326960" y="380428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 editAs="oneCell">
    <xdr:from>
      <xdr:col>17</xdr:col>
      <xdr:colOff>0</xdr:colOff>
      <xdr:row>2011</xdr:row>
      <xdr:rowOff>0</xdr:rowOff>
    </xdr:from>
    <xdr:to>
      <xdr:col>22</xdr:col>
      <xdr:colOff>221040</xdr:colOff>
      <xdr:row>2019</xdr:row>
      <xdr:rowOff>95400</xdr:rowOff>
    </xdr:to>
    <xdr:graphicFrame>
      <xdr:nvGraphicFramePr>
        <xdr:cNvPr id="155" name="Chart 129"/>
        <xdr:cNvGraphicFramePr/>
      </xdr:nvGraphicFramePr>
      <xdr:xfrm>
        <a:off x="10326960" y="383095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 editAs="oneCell">
    <xdr:from>
      <xdr:col>17</xdr:col>
      <xdr:colOff>0</xdr:colOff>
      <xdr:row>2025</xdr:row>
      <xdr:rowOff>0</xdr:rowOff>
    </xdr:from>
    <xdr:to>
      <xdr:col>22</xdr:col>
      <xdr:colOff>221040</xdr:colOff>
      <xdr:row>2033</xdr:row>
      <xdr:rowOff>95760</xdr:rowOff>
    </xdr:to>
    <xdr:graphicFrame>
      <xdr:nvGraphicFramePr>
        <xdr:cNvPr id="156" name="Chart 130"/>
        <xdr:cNvGraphicFramePr/>
      </xdr:nvGraphicFramePr>
      <xdr:xfrm>
        <a:off x="10326960" y="385762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 editAs="oneCell">
    <xdr:from>
      <xdr:col>17</xdr:col>
      <xdr:colOff>0</xdr:colOff>
      <xdr:row>2039</xdr:row>
      <xdr:rowOff>0</xdr:rowOff>
    </xdr:from>
    <xdr:to>
      <xdr:col>22</xdr:col>
      <xdr:colOff>221040</xdr:colOff>
      <xdr:row>2047</xdr:row>
      <xdr:rowOff>95760</xdr:rowOff>
    </xdr:to>
    <xdr:graphicFrame>
      <xdr:nvGraphicFramePr>
        <xdr:cNvPr id="157" name="Chart 131"/>
        <xdr:cNvGraphicFramePr/>
      </xdr:nvGraphicFramePr>
      <xdr:xfrm>
        <a:off x="10326960" y="388429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 editAs="oneCell">
    <xdr:from>
      <xdr:col>17</xdr:col>
      <xdr:colOff>0</xdr:colOff>
      <xdr:row>2053</xdr:row>
      <xdr:rowOff>0</xdr:rowOff>
    </xdr:from>
    <xdr:to>
      <xdr:col>22</xdr:col>
      <xdr:colOff>221040</xdr:colOff>
      <xdr:row>2061</xdr:row>
      <xdr:rowOff>95400</xdr:rowOff>
    </xdr:to>
    <xdr:graphicFrame>
      <xdr:nvGraphicFramePr>
        <xdr:cNvPr id="158" name="Chart 132"/>
        <xdr:cNvGraphicFramePr/>
      </xdr:nvGraphicFramePr>
      <xdr:xfrm>
        <a:off x="10326960" y="391096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 editAs="oneCell">
    <xdr:from>
      <xdr:col>17</xdr:col>
      <xdr:colOff>0</xdr:colOff>
      <xdr:row>2067</xdr:row>
      <xdr:rowOff>0</xdr:rowOff>
    </xdr:from>
    <xdr:to>
      <xdr:col>22</xdr:col>
      <xdr:colOff>221040</xdr:colOff>
      <xdr:row>2075</xdr:row>
      <xdr:rowOff>95760</xdr:rowOff>
    </xdr:to>
    <xdr:graphicFrame>
      <xdr:nvGraphicFramePr>
        <xdr:cNvPr id="159" name="Chart 133"/>
        <xdr:cNvGraphicFramePr/>
      </xdr:nvGraphicFramePr>
      <xdr:xfrm>
        <a:off x="10326960" y="393763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 editAs="oneCell">
    <xdr:from>
      <xdr:col>17</xdr:col>
      <xdr:colOff>0</xdr:colOff>
      <xdr:row>2081</xdr:row>
      <xdr:rowOff>0</xdr:rowOff>
    </xdr:from>
    <xdr:to>
      <xdr:col>22</xdr:col>
      <xdr:colOff>221040</xdr:colOff>
      <xdr:row>2089</xdr:row>
      <xdr:rowOff>95760</xdr:rowOff>
    </xdr:to>
    <xdr:graphicFrame>
      <xdr:nvGraphicFramePr>
        <xdr:cNvPr id="160" name="Chart 134"/>
        <xdr:cNvGraphicFramePr/>
      </xdr:nvGraphicFramePr>
      <xdr:xfrm>
        <a:off x="10326960" y="39643056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 editAs="oneCell">
    <xdr:from>
      <xdr:col>17</xdr:col>
      <xdr:colOff>0</xdr:colOff>
      <xdr:row>2095</xdr:row>
      <xdr:rowOff>0</xdr:rowOff>
    </xdr:from>
    <xdr:to>
      <xdr:col>22</xdr:col>
      <xdr:colOff>221040</xdr:colOff>
      <xdr:row>2103</xdr:row>
      <xdr:rowOff>95400</xdr:rowOff>
    </xdr:to>
    <xdr:graphicFrame>
      <xdr:nvGraphicFramePr>
        <xdr:cNvPr id="161" name="Chart 135"/>
        <xdr:cNvGraphicFramePr/>
      </xdr:nvGraphicFramePr>
      <xdr:xfrm>
        <a:off x="10326960" y="39909744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 editAs="oneCell">
    <xdr:from>
      <xdr:col>17</xdr:col>
      <xdr:colOff>0</xdr:colOff>
      <xdr:row>2109</xdr:row>
      <xdr:rowOff>0</xdr:rowOff>
    </xdr:from>
    <xdr:to>
      <xdr:col>22</xdr:col>
      <xdr:colOff>221040</xdr:colOff>
      <xdr:row>2117</xdr:row>
      <xdr:rowOff>95760</xdr:rowOff>
    </xdr:to>
    <xdr:graphicFrame>
      <xdr:nvGraphicFramePr>
        <xdr:cNvPr id="162" name="Chart 136"/>
        <xdr:cNvGraphicFramePr/>
      </xdr:nvGraphicFramePr>
      <xdr:xfrm>
        <a:off x="10326960" y="401764680"/>
        <a:ext cx="44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5" min="3" style="0" width="11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COUNTA('Resumen 3.0TD'!A5:A300)</f>
        <v>28</v>
      </c>
      <c r="C5" s="6" t="n">
        <f aca="false">COUNTIF('Resumen 3.0TD'!F:F,"APROBAR")</f>
        <v>7</v>
      </c>
      <c r="D5" s="7" t="n">
        <f aca="false">COUNTIF('Resumen 3.0TD'!F:F,"REVISAR")</f>
        <v>8</v>
      </c>
      <c r="E5" s="8" t="n">
        <f aca="false">COUNTIF('Resumen 3.0TD'!F:F,"RECHAZAR")</f>
        <v>12</v>
      </c>
      <c r="F5" s="9" t="s">
        <v>9</v>
      </c>
    </row>
    <row r="6" customFormat="false" ht="15" hidden="false" customHeight="false" outlineLevel="0" collapsed="false">
      <c r="A6" s="4" t="s">
        <v>10</v>
      </c>
      <c r="B6" s="5" t="n">
        <f aca="false">COUNTA('Resumen 2.0TD'!A5:A300)</f>
        <v>136</v>
      </c>
      <c r="C6" s="6" t="n">
        <f aca="false">COUNTIF('Resumen 2.0TD'!F:F,"APROBAR")</f>
        <v>19</v>
      </c>
      <c r="D6" s="7" t="n">
        <f aca="false">COUNTIF('Resumen 2.0TD'!F:F,"REVISAR")</f>
        <v>22</v>
      </c>
      <c r="E6" s="8" t="n">
        <f aca="false">COUNTIF('Resumen 2.0TD'!F:F,"RECHAZAR")</f>
        <v>95</v>
      </c>
      <c r="F6" s="9" t="s">
        <v>11</v>
      </c>
    </row>
    <row r="7" customFormat="false" ht="15" hidden="false" customHeight="false" outlineLevel="0" collapsed="false">
      <c r="A7" s="10" t="s">
        <v>12</v>
      </c>
      <c r="B7" s="10" t="n">
        <f aca="false">SUM(B5:B6)</f>
        <v>164</v>
      </c>
      <c r="C7" s="10" t="n">
        <f aca="false">SUM(C5:C6)</f>
        <v>26</v>
      </c>
      <c r="D7" s="10" t="n">
        <f aca="false">SUM(D5:D6)</f>
        <v>30</v>
      </c>
      <c r="E7" s="10" t="n">
        <f aca="false">SUM(E5:E6)</f>
        <v>107</v>
      </c>
      <c r="F7" s="1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2" width="8"/>
    <col collapsed="false" customWidth="true" hidden="false" outlineLevel="0" max="3" min="3" style="12" width="26"/>
    <col collapsed="false" customWidth="true" hidden="false" outlineLevel="0" max="4" min="4" style="12" width="8"/>
    <col collapsed="false" customWidth="true" hidden="false" outlineLevel="0" max="5" min="5" style="12" width="11"/>
    <col collapsed="false" customWidth="true" hidden="false" outlineLevel="0" max="6" min="6" style="12" width="12"/>
    <col collapsed="false" customWidth="true" hidden="false" outlineLevel="0" max="7" min="7" style="12" width="10"/>
    <col collapsed="false" customWidth="true" hidden="false" outlineLevel="0" max="8" min="8" style="12" width="12"/>
    <col collapsed="false" customWidth="true" hidden="false" outlineLevel="0" max="9" min="9" style="12" width="40"/>
  </cols>
  <sheetData>
    <row r="1" customFormat="false" ht="21.75" hidden="false" customHeight="true" outlineLevel="0" collapsed="false">
      <c r="A1" s="13" t="s">
        <v>13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14" t="s">
        <v>14</v>
      </c>
      <c r="B2" s="15" t="s">
        <v>15</v>
      </c>
      <c r="C2" s="15"/>
      <c r="D2" s="16" t="s">
        <v>16</v>
      </c>
      <c r="E2" s="16"/>
      <c r="F2" s="17" t="s">
        <v>17</v>
      </c>
      <c r="G2" s="17"/>
      <c r="H2" s="17"/>
      <c r="I2" s="17"/>
    </row>
    <row r="4" customFormat="false" ht="15" hidden="false" customHeight="true" outlineLevel="0" collapsed="false">
      <c r="A4" s="18" t="s">
        <v>18</v>
      </c>
      <c r="B4" s="18" t="s">
        <v>19</v>
      </c>
      <c r="C4" s="18" t="s">
        <v>20</v>
      </c>
      <c r="D4" s="18" t="s">
        <v>21</v>
      </c>
      <c r="E4" s="18" t="s">
        <v>22</v>
      </c>
      <c r="F4" s="18" t="s">
        <v>23</v>
      </c>
      <c r="G4" s="18" t="s">
        <v>24</v>
      </c>
      <c r="H4" s="18" t="s">
        <v>25</v>
      </c>
      <c r="I4" s="18" t="s">
        <v>26</v>
      </c>
    </row>
    <row r="5" customFormat="false" ht="15" hidden="false" customHeight="true" outlineLevel="0" collapsed="false">
      <c r="A5" s="19" t="s">
        <v>27</v>
      </c>
      <c r="B5" s="19" t="s">
        <v>28</v>
      </c>
      <c r="C5" s="20" t="s">
        <v>29</v>
      </c>
      <c r="D5" s="19" t="s">
        <v>30</v>
      </c>
      <c r="E5" s="21" t="n">
        <f aca="false">'Detalle 3.0TD'!B17</f>
        <v>0.178987692540018</v>
      </c>
      <c r="F5" s="19" t="str">
        <f aca="false">IF('Detalle 3.0TD'!B17&gt;=0.3,"APROBAR",IF('Detalle 3.0TD'!B17&gt;=0.2,"REVISAR","RECHAZAR"))</f>
        <v>RECHAZAR</v>
      </c>
      <c r="G5" s="22" t="n">
        <v>0.275</v>
      </c>
      <c r="H5" s="23" t="n">
        <v>40716.44</v>
      </c>
      <c r="I5" s="24" t="str">
        <f aca="false">IF('Detalle 3.0TD'!B17&gt;=0.3,"OK · registrar",IF('Detalle 3.0TD'!B17&gt;=0.2,"Margen abril &lt;30%","Margen abril &lt;20% · subir objetivo o renegociar"))&amp;""</f>
        <v>Margen abril &lt;20% · subir objetivo o renegociar</v>
      </c>
    </row>
    <row r="6" customFormat="false" ht="15" hidden="false" customHeight="true" outlineLevel="0" collapsed="false">
      <c r="A6" s="19" t="s">
        <v>31</v>
      </c>
      <c r="B6" s="19" t="s">
        <v>32</v>
      </c>
      <c r="C6" s="20" t="s">
        <v>33</v>
      </c>
      <c r="D6" s="19" t="s">
        <v>30</v>
      </c>
      <c r="E6" s="21" t="n">
        <f aca="false">'Detalle 3.0TD'!B35</f>
        <v>0.209601832553384</v>
      </c>
      <c r="F6" s="19" t="str">
        <f aca="false">IF('Detalle 3.0TD'!B35&gt;=0.3,"APROBAR",IF('Detalle 3.0TD'!B35&gt;=0.2,"REVISAR","RECHAZAR"))</f>
        <v>REVISAR</v>
      </c>
      <c r="G6" s="22" t="n">
        <v>0.244</v>
      </c>
      <c r="H6" s="23" t="n">
        <v>53718.09</v>
      </c>
      <c r="I6" s="24" t="str">
        <f aca="false">IF('Detalle 3.0TD'!B35&gt;=0.3,"OK · registrar",IF('Detalle 3.0TD'!B35&gt;=0.2,"Margen abril &lt;30%","Margen abril &lt;20% · subir objetivo o renegociar"))&amp;""</f>
        <v>Margen abril &lt;30%</v>
      </c>
    </row>
    <row r="7" customFormat="false" ht="15" hidden="false" customHeight="true" outlineLevel="0" collapsed="false">
      <c r="A7" s="19" t="s">
        <v>34</v>
      </c>
      <c r="B7" s="19" t="s">
        <v>35</v>
      </c>
      <c r="C7" s="20" t="s">
        <v>36</v>
      </c>
      <c r="D7" s="19" t="s">
        <v>30</v>
      </c>
      <c r="E7" s="21" t="n">
        <f aca="false">'Detalle 3.0TD'!B53</f>
        <v>0.0336901155380983</v>
      </c>
      <c r="F7" s="19" t="str">
        <f aca="false">IF('Detalle 3.0TD'!B53&gt;=0.3,"APROBAR",IF('Detalle 3.0TD'!B53&gt;=0.2,"REVISAR","RECHAZAR"))</f>
        <v>RECHAZAR</v>
      </c>
      <c r="G7" s="22" t="n">
        <v>0.204</v>
      </c>
      <c r="H7" s="23" t="n">
        <v>12272.46</v>
      </c>
      <c r="I7" s="24" t="str">
        <f aca="false">IF('Detalle 3.0TD'!B53&gt;=0.3,"OK · registrar",IF('Detalle 3.0TD'!B53&gt;=0.2,"Margen abril &lt;30%","Margen abril &lt;20% · subir objetivo o renegociar"))&amp;""</f>
        <v>Margen abril &lt;20% · subir objetivo o renegociar</v>
      </c>
    </row>
    <row r="8" customFormat="false" ht="15" hidden="false" customHeight="true" outlineLevel="0" collapsed="false">
      <c r="A8" s="19" t="s">
        <v>37</v>
      </c>
      <c r="B8" s="19" t="s">
        <v>38</v>
      </c>
      <c r="C8" s="20" t="s">
        <v>39</v>
      </c>
      <c r="D8" s="19" t="s">
        <v>40</v>
      </c>
      <c r="E8" s="21" t="n">
        <f aca="false">'Detalle 3.0TD'!B72</f>
        <v>0.307150883387853</v>
      </c>
      <c r="F8" s="19" t="str">
        <f aca="false">IF('Detalle 3.0TD'!B72&gt;=0.3,"APROBAR",IF('Detalle 3.0TD'!B72&gt;=0.2,"REVISAR","RECHAZAR"))</f>
        <v>APROBAR</v>
      </c>
      <c r="G8" s="22" t="n">
        <v>0.432</v>
      </c>
      <c r="H8" s="23" t="n">
        <v>130568.72</v>
      </c>
      <c r="I8" s="24" t="str">
        <f aca="false">IF('Detalle 3.0TD'!B72&gt;=0.3,"OK · registrar",IF('Detalle 3.0TD'!B72&gt;=0.2,"Margen abril &lt;30%","Margen abril &lt;20% · subir objetivo o renegociar"))&amp;" · Es 6.1TD (no 3.0TD)"</f>
        <v>OK · registrar · Es 6.1TD (no 3.0TD)</v>
      </c>
    </row>
    <row r="9" customFormat="false" ht="15" hidden="false" customHeight="true" outlineLevel="0" collapsed="false">
      <c r="A9" s="19" t="s">
        <v>41</v>
      </c>
      <c r="B9" s="19" t="s">
        <v>42</v>
      </c>
      <c r="C9" s="20" t="s">
        <v>43</v>
      </c>
      <c r="D9" s="19" t="s">
        <v>30</v>
      </c>
      <c r="E9" s="21" t="n">
        <f aca="false">'Detalle 3.0TD'!B90</f>
        <v>0.358582408492452</v>
      </c>
      <c r="F9" s="19" t="str">
        <f aca="false">IF('Detalle 3.0TD'!B90&gt;=0.3,"APROBAR",IF('Detalle 3.0TD'!B90&gt;=0.2,"REVISAR","RECHAZAR"))</f>
        <v>APROBAR</v>
      </c>
      <c r="G9" s="22" t="n">
        <v>0.269</v>
      </c>
      <c r="H9" s="23" t="n">
        <v>18857.1</v>
      </c>
      <c r="I9" s="24" t="str">
        <f aca="false">IF('Detalle 3.0TD'!B90&gt;=0.3,"OK · registrar",IF('Detalle 3.0TD'!B90&gt;=0.2,"Margen abril &lt;30%","Margen abril &lt;20% · subir objetivo o renegociar"))&amp;""</f>
        <v>OK · registrar</v>
      </c>
    </row>
    <row r="10" customFormat="false" ht="15" hidden="false" customHeight="true" outlineLevel="0" collapsed="false">
      <c r="A10" s="19" t="s">
        <v>44</v>
      </c>
      <c r="B10" s="19" t="s">
        <v>45</v>
      </c>
      <c r="C10" s="20" t="s">
        <v>43</v>
      </c>
      <c r="D10" s="19" t="s">
        <v>30</v>
      </c>
      <c r="E10" s="21" t="n">
        <f aca="false">'Detalle 3.0TD'!B108</f>
        <v>0.334360809752824</v>
      </c>
      <c r="F10" s="19" t="str">
        <f aca="false">IF('Detalle 3.0TD'!B108&gt;=0.3,"APROBAR",IF('Detalle 3.0TD'!B108&gt;=0.2,"REVISAR","RECHAZAR"))</f>
        <v>APROBAR</v>
      </c>
      <c r="G10" s="22" t="n">
        <v>0.324</v>
      </c>
      <c r="H10" s="23" t="n">
        <v>19336.5</v>
      </c>
      <c r="I10" s="24" t="str">
        <f aca="false">IF('Detalle 3.0TD'!B108&gt;=0.3,"OK · registrar",IF('Detalle 3.0TD'!B108&gt;=0.2,"Margen abril &lt;30%","Margen abril &lt;20% · subir objetivo o renegociar"))&amp;""</f>
        <v>OK · registrar</v>
      </c>
    </row>
    <row r="11" customFormat="false" ht="15" hidden="false" customHeight="true" outlineLevel="0" collapsed="false">
      <c r="A11" s="19" t="s">
        <v>46</v>
      </c>
      <c r="B11" s="19" t="s">
        <v>47</v>
      </c>
      <c r="C11" s="20" t="s">
        <v>43</v>
      </c>
      <c r="D11" s="19" t="s">
        <v>30</v>
      </c>
      <c r="E11" s="21" t="n">
        <f aca="false">'Detalle 3.0TD'!B126</f>
        <v>0.326615025698976</v>
      </c>
      <c r="F11" s="19" t="str">
        <f aca="false">IF('Detalle 3.0TD'!B126&gt;=0.3,"APROBAR",IF('Detalle 3.0TD'!B126&gt;=0.2,"REVISAR","RECHAZAR"))</f>
        <v>APROBAR</v>
      </c>
      <c r="G11" s="22" t="n">
        <v>0.342</v>
      </c>
      <c r="H11" s="23" t="n">
        <v>10564.26</v>
      </c>
      <c r="I11" s="24" t="str">
        <f aca="false">IF('Detalle 3.0TD'!B126&gt;=0.3,"OK · registrar",IF('Detalle 3.0TD'!B126&gt;=0.2,"Margen abril &lt;30%","Margen abril &lt;20% · subir objetivo o renegociar"))&amp;""</f>
        <v>OK · registrar</v>
      </c>
    </row>
    <row r="12" customFormat="false" ht="15" hidden="false" customHeight="true" outlineLevel="0" collapsed="false">
      <c r="A12" s="19" t="s">
        <v>48</v>
      </c>
      <c r="B12" s="19" t="s">
        <v>49</v>
      </c>
      <c r="C12" s="20" t="s">
        <v>50</v>
      </c>
      <c r="D12" s="19" t="s">
        <v>30</v>
      </c>
      <c r="E12" s="21" t="n">
        <f aca="false">'Detalle 3.0TD'!B145</f>
        <v>0.162899973306234</v>
      </c>
      <c r="F12" s="19" t="str">
        <f aca="false">IF('Detalle 3.0TD'!B145&gt;=0.3,"APROBAR",IF('Detalle 3.0TD'!B145&gt;=0.2,"REVISAR","RECHAZAR"))</f>
        <v>RECHAZAR</v>
      </c>
      <c r="G12" s="22" t="n">
        <v>0.405</v>
      </c>
      <c r="H12" s="23" t="n">
        <v>151868.44</v>
      </c>
      <c r="I12" s="24" t="str">
        <f aca="false">IF('Detalle 3.0TD'!B145&gt;=0.3,"OK · registrar",IF('Detalle 3.0TD'!B145&gt;=0.2,"Margen abril &lt;30%","Margen abril &lt;20% · subir objetivo o renegociar"))&amp;""</f>
        <v>Margen abril &lt;20% · subir objetivo o renegociar</v>
      </c>
    </row>
    <row r="13" customFormat="false" ht="15" hidden="false" customHeight="true" outlineLevel="0" collapsed="false">
      <c r="A13" s="19" t="s">
        <v>51</v>
      </c>
      <c r="B13" s="19" t="s">
        <v>52</v>
      </c>
      <c r="C13" s="20" t="s">
        <v>53</v>
      </c>
      <c r="D13" s="19" t="s">
        <v>30</v>
      </c>
      <c r="E13" s="21" t="n">
        <f aca="false">'Detalle 3.0TD'!B163</f>
        <v>0.308237885462555</v>
      </c>
      <c r="F13" s="19" t="str">
        <f aca="false">IF('Detalle 3.0TD'!B163&gt;=0.3,"APROBAR",IF('Detalle 3.0TD'!B163&gt;=0.2,"REVISAR","RECHAZAR"))</f>
        <v>APROBAR</v>
      </c>
      <c r="G13" s="22" t="n">
        <v>0.487</v>
      </c>
      <c r="H13" s="23" t="n">
        <v>2907.71</v>
      </c>
      <c r="I13" s="24" t="str">
        <f aca="false">IF('Detalle 3.0TD'!B163&gt;=0.3,"OK · registrar",IF('Detalle 3.0TD'!B163&gt;=0.2,"Margen abril &lt;30%","Margen abril &lt;20% · subir objetivo o renegociar"))&amp;""</f>
        <v>OK · registrar</v>
      </c>
    </row>
    <row r="14" customFormat="false" ht="18.75" hidden="false" customHeight="true" outlineLevel="0" collapsed="false">
      <c r="A14" s="19" t="s">
        <v>54</v>
      </c>
      <c r="B14" s="19" t="s">
        <v>55</v>
      </c>
      <c r="C14" s="20" t="s">
        <v>56</v>
      </c>
      <c r="D14" s="19" t="s">
        <v>57</v>
      </c>
      <c r="E14" s="21" t="n">
        <f aca="false">'Detalle 3.0TD'!B181</f>
        <v>0.133072231902423</v>
      </c>
      <c r="F14" s="19" t="str">
        <f aca="false">IF('Detalle 3.0TD'!B181&gt;=0.3,"APROBAR",IF('Detalle 3.0TD'!B181&gt;=0.2,"REVISAR","RECHAZAR"))</f>
        <v>RECHAZAR</v>
      </c>
      <c r="G14" s="22" t="n">
        <v>0.316</v>
      </c>
      <c r="H14" s="23" t="n">
        <v>26924.82</v>
      </c>
      <c r="I14" s="24" t="str">
        <f aca="false">IF('Detalle 3.0TD'!B181&gt;=0.3,"OK · registrar",IF('Detalle 3.0TD'!B181&gt;=0.2,"Margen abril &lt;30%","Margen abril &lt;20% · subir objetivo o renegociar"))&amp;" · Repsol margen muy bajo"</f>
        <v>Margen abril &lt;20% · subir objetivo o renegociar · Repsol margen muy bajo</v>
      </c>
    </row>
    <row r="15" customFormat="false" ht="15" hidden="false" customHeight="true" outlineLevel="0" collapsed="false">
      <c r="A15" s="19" t="s">
        <v>58</v>
      </c>
      <c r="B15" s="19" t="s">
        <v>59</v>
      </c>
      <c r="C15" s="20" t="s">
        <v>60</v>
      </c>
      <c r="D15" s="19" t="s">
        <v>30</v>
      </c>
      <c r="E15" s="21" t="n">
        <f aca="false">'Detalle 3.0TD'!B199</f>
        <v>0.297873825503356</v>
      </c>
      <c r="F15" s="19" t="str">
        <f aca="false">IF('Detalle 3.0TD'!B199&gt;=0.3,"APROBAR",IF('Detalle 3.0TD'!B199&gt;=0.2,"REVISAR","RECHAZAR"))</f>
        <v>REVISAR</v>
      </c>
      <c r="G15" s="22" t="n">
        <v>0.362</v>
      </c>
      <c r="H15" s="23" t="n">
        <v>6192.61</v>
      </c>
      <c r="I15" s="24" t="str">
        <f aca="false">IF('Detalle 3.0TD'!B199&gt;=0.3,"OK · registrar",IF('Detalle 3.0TD'!B199&gt;=0.2,"Margen abril &lt;30%","Margen abril &lt;20% · subir objetivo o renegociar"))&amp;""</f>
        <v>Margen abril &lt;30%</v>
      </c>
    </row>
    <row r="16" customFormat="false" ht="15" hidden="false" customHeight="true" outlineLevel="0" collapsed="false">
      <c r="A16" s="19" t="s">
        <v>61</v>
      </c>
      <c r="B16" s="19" t="s">
        <v>62</v>
      </c>
      <c r="C16" s="20" t="s">
        <v>63</v>
      </c>
      <c r="D16" s="19" t="s">
        <v>30</v>
      </c>
      <c r="E16" s="21" t="n">
        <f aca="false">'Detalle 3.0TD'!B217</f>
        <v>0.168048650967096</v>
      </c>
      <c r="F16" s="19" t="str">
        <f aca="false">IF('Detalle 3.0TD'!B217&gt;=0.3,"APROBAR",IF('Detalle 3.0TD'!B217&gt;=0.2,"REVISAR","RECHAZAR"))</f>
        <v>RECHAZAR</v>
      </c>
      <c r="G16" s="22" t="n">
        <v>0.277</v>
      </c>
      <c r="H16" s="23" t="n">
        <v>31335.42</v>
      </c>
      <c r="I16" s="24" t="str">
        <f aca="false">IF('Detalle 3.0TD'!B217&gt;=0.3,"OK · registrar",IF('Detalle 3.0TD'!B217&gt;=0.2,"Margen abril &lt;30%","Margen abril &lt;20% · subir objetivo o renegociar"))&amp;""</f>
        <v>Margen abril &lt;20% · subir objetivo o renegociar</v>
      </c>
    </row>
    <row r="17" customFormat="false" ht="15" hidden="false" customHeight="true" outlineLevel="0" collapsed="false">
      <c r="A17" s="19" t="s">
        <v>64</v>
      </c>
      <c r="B17" s="19" t="s">
        <v>65</v>
      </c>
      <c r="C17" s="20" t="s">
        <v>66</v>
      </c>
      <c r="D17" s="19" t="s">
        <v>57</v>
      </c>
      <c r="E17" s="21" t="n">
        <f aca="false">'Detalle 3.0TD'!B235</f>
        <v>0.166783860096548</v>
      </c>
      <c r="F17" s="19" t="str">
        <f aca="false">IF('Detalle 3.0TD'!B235&gt;=0.3,"APROBAR",IF('Detalle 3.0TD'!B235&gt;=0.2,"REVISAR","RECHAZAR"))</f>
        <v>RECHAZAR</v>
      </c>
      <c r="G17" s="22" t="n">
        <v>0.253</v>
      </c>
      <c r="H17" s="23" t="n">
        <v>14704.48</v>
      </c>
      <c r="I17" s="24" t="str">
        <f aca="false">IF('Detalle 3.0TD'!B235&gt;=0.3,"OK · registrar",IF('Detalle 3.0TD'!B235&gt;=0.2,"Margen abril &lt;30%","Margen abril &lt;20% · subir objetivo o renegociar"))&amp;""</f>
        <v>Margen abril &lt;20% · subir objetivo o renegociar</v>
      </c>
    </row>
    <row r="18" customFormat="false" ht="15" hidden="false" customHeight="true" outlineLevel="0" collapsed="false">
      <c r="A18" s="19" t="s">
        <v>67</v>
      </c>
      <c r="B18" s="19" t="s">
        <v>68</v>
      </c>
      <c r="C18" s="20" t="s">
        <v>69</v>
      </c>
      <c r="D18" s="19" t="s">
        <v>30</v>
      </c>
      <c r="E18" s="21" t="n">
        <f aca="false">'Detalle 3.0TD'!B253</f>
        <v>0.335096866467299</v>
      </c>
      <c r="F18" s="19" t="str">
        <f aca="false">IF('Detalle 3.0TD'!B253&gt;=0.3,"APROBAR",IF('Detalle 3.0TD'!B253&gt;=0.2,"REVISAR","RECHAZAR"))</f>
        <v>APROBAR</v>
      </c>
      <c r="G18" s="22" t="n">
        <v>0.184</v>
      </c>
      <c r="H18" s="23" t="n">
        <v>3367.63</v>
      </c>
      <c r="I18" s="24" t="str">
        <f aca="false">IF('Detalle 3.0TD'!B253&gt;=0.3,"OK · registrar",IF('Detalle 3.0TD'!B253&gt;=0.2,"Margen abril &lt;30%","Margen abril &lt;20% · subir objetivo o renegociar"))&amp;""</f>
        <v>OK · registrar</v>
      </c>
    </row>
    <row r="19" customFormat="false" ht="15" hidden="false" customHeight="true" outlineLevel="0" collapsed="false">
      <c r="A19" s="19" t="s">
        <v>70</v>
      </c>
      <c r="B19" s="19" t="s">
        <v>71</v>
      </c>
      <c r="C19" s="20" t="s">
        <v>72</v>
      </c>
      <c r="D19" s="19" t="s">
        <v>57</v>
      </c>
      <c r="E19" s="21" t="n">
        <f aca="false">'Detalle 3.0TD'!B271</f>
        <v>0.219491851889399</v>
      </c>
      <c r="F19" s="19" t="str">
        <f aca="false">IF('Detalle 3.0TD'!B271&gt;=0.3,"APROBAR",IF('Detalle 3.0TD'!B271&gt;=0.2,"REVISAR","RECHAZAR"))</f>
        <v>REVISAR</v>
      </c>
      <c r="G19" s="22" t="n">
        <v>0.203</v>
      </c>
      <c r="H19" s="23" t="n">
        <v>15417.71</v>
      </c>
      <c r="I19" s="24" t="str">
        <f aca="false">IF('Detalle 3.0TD'!B271&gt;=0.3,"OK · registrar",IF('Detalle 3.0TD'!B271&gt;=0.2,"Margen abril &lt;30%","Margen abril &lt;20% · subir objetivo o renegociar"))&amp;" · P6 a precio doble (real)"</f>
        <v>Margen abril &lt;30% · P6 a precio doble (real)</v>
      </c>
    </row>
    <row r="20" customFormat="false" ht="15" hidden="false" customHeight="true" outlineLevel="0" collapsed="false">
      <c r="A20" s="19" t="s">
        <v>73</v>
      </c>
      <c r="B20" s="19" t="s">
        <v>52</v>
      </c>
      <c r="C20" s="20" t="s">
        <v>53</v>
      </c>
      <c r="D20" s="19" t="s">
        <v>30</v>
      </c>
      <c r="E20" s="21" t="n">
        <f aca="false">'Detalle 3.0TD'!B289</f>
        <v>0.308237885462555</v>
      </c>
      <c r="F20" s="19" t="str">
        <f aca="false">IF('Detalle 3.0TD'!B289&gt;=0.3,"APROBAR",IF('Detalle 3.0TD'!B289&gt;=0.2,"REVISAR","RECHAZAR"))</f>
        <v>APROBAR</v>
      </c>
      <c r="G20" s="22" t="n">
        <v>0.487</v>
      </c>
      <c r="H20" s="23" t="n">
        <v>2907.71</v>
      </c>
      <c r="I20" s="24" t="str">
        <f aca="false">IF('Detalle 3.0TD'!B289&gt;=0.3,"OK · registrar",IF('Detalle 3.0TD'!B289&gt;=0.2,"Margen abril &lt;30%","Margen abril &lt;20% · subir objetivo o renegociar"))&amp;""</f>
        <v>OK · registrar</v>
      </c>
    </row>
    <row r="21" customFormat="false" ht="15" hidden="false" customHeight="true" outlineLevel="0" collapsed="false">
      <c r="A21" s="19" t="s">
        <v>74</v>
      </c>
      <c r="B21" s="19" t="s">
        <v>75</v>
      </c>
      <c r="C21" s="20" t="s">
        <v>76</v>
      </c>
      <c r="D21" s="19" t="s">
        <v>30</v>
      </c>
      <c r="E21" s="21" t="n">
        <f aca="false">'Detalle 3.0TD'!B307</f>
        <v>0.236035704165486</v>
      </c>
      <c r="F21" s="19" t="str">
        <f aca="false">IF('Detalle 3.0TD'!B307&gt;=0.3,"APROBAR",IF('Detalle 3.0TD'!B307&gt;=0.2,"REVISAR","RECHAZAR"))</f>
        <v>REVISAR</v>
      </c>
      <c r="G21" s="22" t="n">
        <v>0.292</v>
      </c>
      <c r="H21" s="23" t="n">
        <v>5897.71</v>
      </c>
      <c r="I21" s="24" t="str">
        <f aca="false">IF('Detalle 3.0TD'!B307&gt;=0.3,"OK · registrar",IF('Detalle 3.0TD'!B307&gt;=0.2,"Margen abril &lt;30%","Margen abril &lt;20% · subir objetivo o renegociar"))&amp;""</f>
        <v>Margen abril &lt;30%</v>
      </c>
    </row>
    <row r="22" customFormat="false" ht="15" hidden="false" customHeight="true" outlineLevel="0" collapsed="false">
      <c r="A22" s="19" t="s">
        <v>77</v>
      </c>
      <c r="B22" s="19" t="s">
        <v>78</v>
      </c>
      <c r="C22" s="20" t="s">
        <v>79</v>
      </c>
      <c r="D22" s="19" t="s">
        <v>57</v>
      </c>
      <c r="E22" s="21" t="n">
        <f aca="false">'Detalle 3.0TD'!B325</f>
        <v>0.25181785671713</v>
      </c>
      <c r="F22" s="19" t="str">
        <f aca="false">IF('Detalle 3.0TD'!B325&gt;=0.3,"APROBAR",IF('Detalle 3.0TD'!B325&gt;=0.2,"REVISAR","RECHAZAR"))</f>
        <v>REVISAR</v>
      </c>
      <c r="G22" s="22" t="n">
        <v>0.424</v>
      </c>
      <c r="H22" s="23" t="n">
        <v>4741.93</v>
      </c>
      <c r="I22" s="24" t="str">
        <f aca="false">IF('Detalle 3.0TD'!B325&gt;=0.3,"OK · registrar",IF('Detalle 3.0TD'!B325&gt;=0.2,"Margen abril &lt;30%","Margen abril &lt;20% · subir objetivo o renegociar"))&amp;""</f>
        <v>Margen abril &lt;30%</v>
      </c>
    </row>
    <row r="23" customFormat="false" ht="15" hidden="false" customHeight="true" outlineLevel="0" collapsed="false">
      <c r="A23" s="19" t="s">
        <v>80</v>
      </c>
      <c r="B23" s="19" t="s">
        <v>81</v>
      </c>
      <c r="C23" s="20" t="s">
        <v>82</v>
      </c>
      <c r="D23" s="19" t="s">
        <v>57</v>
      </c>
      <c r="E23" s="21" t="n">
        <f aca="false">'Detalle 3.0TD'!B343</f>
        <v>0.0717288597926897</v>
      </c>
      <c r="F23" s="19" t="str">
        <f aca="false">IF('Detalle 3.0TD'!B343&gt;=0.3,"APROBAR",IF('Detalle 3.0TD'!B343&gt;=0.2,"REVISAR","RECHAZAR"))</f>
        <v>RECHAZAR</v>
      </c>
      <c r="G23" s="22" t="n">
        <v>0.154</v>
      </c>
      <c r="H23" s="23" t="n">
        <v>2756.73</v>
      </c>
      <c r="I23" s="24" t="str">
        <f aca="false">IF('Detalle 3.0TD'!B343&gt;=0.3,"OK · registrar",IF('Detalle 3.0TD'!B343&gt;=0.2,"Margen abril &lt;30%","Margen abril &lt;20% · subir objetivo o renegociar"))&amp;""</f>
        <v>Margen abril &lt;20% · subir objetivo o renegociar</v>
      </c>
    </row>
    <row r="24" customFormat="false" ht="15" hidden="false" customHeight="true" outlineLevel="0" collapsed="false">
      <c r="A24" s="19" t="s">
        <v>83</v>
      </c>
      <c r="B24" s="19" t="s">
        <v>84</v>
      </c>
      <c r="C24" s="20" t="s">
        <v>85</v>
      </c>
      <c r="D24" s="19" t="s">
        <v>57</v>
      </c>
      <c r="E24" s="21" t="n">
        <f aca="false">'Detalle 3.0TD'!B361</f>
        <v>0.0690093313777058</v>
      </c>
      <c r="F24" s="19" t="str">
        <f aca="false">IF('Detalle 3.0TD'!B361&gt;=0.3,"APROBAR",IF('Detalle 3.0TD'!B361&gt;=0.2,"REVISAR","RECHAZAR"))</f>
        <v>RECHAZAR</v>
      </c>
      <c r="G24" s="22" t="n">
        <v>0.147</v>
      </c>
      <c r="H24" s="23" t="n">
        <v>3844.21</v>
      </c>
      <c r="I24" s="24" t="str">
        <f aca="false">IF('Detalle 3.0TD'!B361&gt;=0.3,"OK · registrar",IF('Detalle 3.0TD'!B361&gt;=0.2,"Margen abril &lt;30%","Margen abril &lt;20% · subir objetivo o renegociar"))&amp;""</f>
        <v>Margen abril &lt;20% · subir objetivo o renegociar</v>
      </c>
    </row>
    <row r="25" customFormat="false" ht="18.75" hidden="false" customHeight="true" outlineLevel="0" collapsed="false">
      <c r="A25" s="19" t="s">
        <v>86</v>
      </c>
      <c r="B25" s="19" t="s">
        <v>87</v>
      </c>
      <c r="C25" s="20" t="s">
        <v>88</v>
      </c>
      <c r="D25" s="19" t="s">
        <v>57</v>
      </c>
      <c r="E25" s="21" t="n">
        <f aca="false">'Detalle 3.0TD'!B379</f>
        <v>0.163502004244282</v>
      </c>
      <c r="F25" s="19" t="str">
        <f aca="false">IF('Detalle 3.0TD'!B379&gt;=0.3,"APROBAR",IF('Detalle 3.0TD'!B379&gt;=0.2,"REVISAR","RECHAZAR"))</f>
        <v>RECHAZAR</v>
      </c>
      <c r="G25" s="22" t="n">
        <v>0.306</v>
      </c>
      <c r="H25" s="23" t="n">
        <v>43740</v>
      </c>
      <c r="I25" s="24" t="str">
        <f aca="false">IF('Detalle 3.0TD'!B379&gt;=0.3,"OK · registrar",IF('Detalle 3.0TD'!B379&gt;=0.2,"Margen abril &lt;30%","Margen abril &lt;20% · subir objetivo o renegociar"))&amp;" · P6 doble (real); abril sin consumo"</f>
        <v>Margen abril &lt;20% · subir objetivo o renegociar · P6 doble (real); abril sin consumo</v>
      </c>
    </row>
    <row r="26" customFormat="false" ht="18.75" hidden="false" customHeight="true" outlineLevel="0" collapsed="false">
      <c r="A26" s="19" t="s">
        <v>89</v>
      </c>
      <c r="B26" s="19" t="s">
        <v>90</v>
      </c>
      <c r="C26" s="20" t="s">
        <v>91</v>
      </c>
      <c r="D26" s="19" t="s">
        <v>30</v>
      </c>
      <c r="E26" s="21" t="n">
        <f aca="false">'Detalle 3.0TD'!B398</f>
        <v>0.262037706792356</v>
      </c>
      <c r="F26" s="19" t="str">
        <f aca="false">IF('Detalle 3.0TD'!B398&gt;=0.3,"APROBAR",IF('Detalle 3.0TD'!B398&gt;=0.2,"REVISAR","RECHAZAR"))</f>
        <v>REVISAR</v>
      </c>
      <c r="G26" s="22" t="n">
        <v>0.31</v>
      </c>
      <c r="H26" s="23" t="n">
        <v>14442.13</v>
      </c>
      <c r="I26" s="24" t="str">
        <f aca="false">IF('Detalle 3.0TD'!B398&gt;=0.3,"OK · registrar",IF('Detalle 3.0TD'!B398&gt;=0.2,"Margen abril &lt;30%","Margen abril &lt;20% · subir objetivo o renegociar"))&amp;" · Excedentes solares NO compensados"</f>
        <v>Margen abril &lt;30% · Excedentes solares NO compensados</v>
      </c>
    </row>
    <row r="27" customFormat="false" ht="15" hidden="false" customHeight="true" outlineLevel="0" collapsed="false">
      <c r="A27" s="19" t="s">
        <v>92</v>
      </c>
      <c r="B27" s="19" t="s">
        <v>93</v>
      </c>
      <c r="C27" s="20" t="s">
        <v>94</v>
      </c>
      <c r="D27" s="19" t="s">
        <v>30</v>
      </c>
      <c r="E27" s="21" t="n">
        <f aca="false">'Detalle 3.0TD'!B416</f>
        <v>0.180297090824909</v>
      </c>
      <c r="F27" s="19" t="str">
        <f aca="false">IF('Detalle 3.0TD'!B416&gt;=0.3,"APROBAR",IF('Detalle 3.0TD'!B416&gt;=0.2,"REVISAR","RECHAZAR"))</f>
        <v>RECHAZAR</v>
      </c>
      <c r="G27" s="22" t="n">
        <v>0.326</v>
      </c>
      <c r="H27" s="23" t="n">
        <v>5854.69</v>
      </c>
      <c r="I27" s="24" t="str">
        <f aca="false">IF('Detalle 3.0TD'!B416&gt;=0.3,"OK · registrar",IF('Detalle 3.0TD'!B416&gt;=0.2,"Margen abril &lt;30%","Margen abril &lt;20% · subir objetivo o renegociar"))&amp;""</f>
        <v>Margen abril &lt;20% · subir objetivo o renegociar</v>
      </c>
    </row>
    <row r="28" customFormat="false" ht="15" hidden="false" customHeight="true" outlineLevel="0" collapsed="false">
      <c r="A28" s="19" t="s">
        <v>95</v>
      </c>
      <c r="B28" s="19" t="s">
        <v>96</v>
      </c>
      <c r="C28" s="20" t="s">
        <v>97</v>
      </c>
      <c r="D28" s="19" t="s">
        <v>30</v>
      </c>
      <c r="E28" s="21" t="n">
        <f aca="false">'Detalle 3.0TD'!B434</f>
        <v>0.214437774931789</v>
      </c>
      <c r="F28" s="19" t="str">
        <f aca="false">IF('Detalle 3.0TD'!B434&gt;=0.3,"APROBAR",IF('Detalle 3.0TD'!B434&gt;=0.2,"REVISAR","RECHAZAR"))</f>
        <v>REVISAR</v>
      </c>
      <c r="G28" s="22" t="n">
        <v>0.347</v>
      </c>
      <c r="H28" s="23" t="n">
        <v>33692.13</v>
      </c>
      <c r="I28" s="24" t="str">
        <f aca="false">IF('Detalle 3.0TD'!B434&gt;=0.3,"OK · registrar",IF('Detalle 3.0TD'!B434&gt;=0.2,"Margen abril &lt;30%","Margen abril &lt;20% · subir objetivo o renegociar"))&amp;""</f>
        <v>Margen abril &lt;30%</v>
      </c>
    </row>
    <row r="29" customFormat="false" ht="15" hidden="false" customHeight="true" outlineLevel="0" collapsed="false">
      <c r="A29" s="19" t="s">
        <v>98</v>
      </c>
      <c r="B29" s="19" t="s">
        <v>99</v>
      </c>
      <c r="C29" s="20" t="s">
        <v>100</v>
      </c>
      <c r="D29" s="19" t="s">
        <v>57</v>
      </c>
      <c r="E29" s="21" t="n">
        <f aca="false">'Detalle 3.0TD'!B452</f>
        <v>0.0474893458661961</v>
      </c>
      <c r="F29" s="19" t="str">
        <f aca="false">IF('Detalle 3.0TD'!B452&gt;=0.3,"APROBAR",IF('Detalle 3.0TD'!B452&gt;=0.2,"REVISAR","RECHAZAR"))</f>
        <v>RECHAZAR</v>
      </c>
      <c r="G29" s="22" t="n">
        <v>0.129</v>
      </c>
      <c r="H29" s="23" t="n">
        <v>14832.89</v>
      </c>
      <c r="I29" s="24" t="str">
        <f aca="false">IF('Detalle 3.0TD'!B452&gt;=0.3,"OK · registrar",IF('Detalle 3.0TD'!B452&gt;=0.2,"Margen abril &lt;30%","Margen abril &lt;20% · subir objetivo o renegociar"))&amp;""</f>
        <v>Margen abril &lt;20% · subir objetivo o renegociar</v>
      </c>
    </row>
    <row r="30" customFormat="false" ht="15" hidden="false" customHeight="true" outlineLevel="0" collapsed="false">
      <c r="A30" s="19" t="s">
        <v>101</v>
      </c>
      <c r="B30" s="19" t="s">
        <v>102</v>
      </c>
      <c r="C30" s="20" t="s">
        <v>103</v>
      </c>
      <c r="D30" s="19" t="s">
        <v>30</v>
      </c>
      <c r="E30" s="21" t="n">
        <f aca="false">'Detalle 3.0TD'!B470</f>
        <v>0.200185018597007</v>
      </c>
      <c r="F30" s="19" t="str">
        <f aca="false">IF('Detalle 3.0TD'!B470&gt;=0.3,"APROBAR",IF('Detalle 3.0TD'!B470&gt;=0.2,"REVISAR","RECHAZAR"))</f>
        <v>REVISAR</v>
      </c>
      <c r="G30" s="22" t="n">
        <v>0.314</v>
      </c>
      <c r="H30" s="23" t="n">
        <v>82412.04</v>
      </c>
      <c r="I30" s="24" t="str">
        <f aca="false">IF('Detalle 3.0TD'!B470&gt;=0.3,"OK · registrar",IF('Detalle 3.0TD'!B470&gt;=0.2,"Margen abril &lt;30%","Margen abril &lt;20% · subir objetivo o renegociar"))&amp;""</f>
        <v>Margen abril &lt;30%</v>
      </c>
    </row>
    <row r="31" customFormat="false" ht="15" hidden="false" customHeight="true" outlineLevel="0" collapsed="false">
      <c r="A31" s="19" t="s">
        <v>104</v>
      </c>
      <c r="B31" s="19" t="s">
        <v>105</v>
      </c>
      <c r="C31" s="20" t="s">
        <v>106</v>
      </c>
      <c r="D31" s="19" t="s">
        <v>30</v>
      </c>
      <c r="E31" s="21" t="n">
        <f aca="false">'Detalle 3.0TD'!B488</f>
        <v>0.166685952731608</v>
      </c>
      <c r="F31" s="19" t="str">
        <f aca="false">IF('Detalle 3.0TD'!B488&gt;=0.3,"APROBAR",IF('Detalle 3.0TD'!B488&gt;=0.2,"REVISAR","RECHAZAR"))</f>
        <v>RECHAZAR</v>
      </c>
      <c r="G31" s="22" t="n">
        <v>0.324</v>
      </c>
      <c r="H31" s="23" t="n">
        <v>40860.13</v>
      </c>
      <c r="I31" s="24" t="str">
        <f aca="false">IF('Detalle 3.0TD'!B488&gt;=0.3,"OK · registrar",IF('Detalle 3.0TD'!B488&gt;=0.2,"Margen abril &lt;30%","Margen abril &lt;20% · subir objetivo o renegociar"))&amp;""</f>
        <v>Margen abril &lt;20% · subir objetivo o renegociar</v>
      </c>
    </row>
    <row r="33" customFormat="false" ht="15" hidden="false" customHeight="true" outlineLevel="0" collapsed="false">
      <c r="A33" s="25" t="s">
        <v>107</v>
      </c>
      <c r="B33" s="25"/>
      <c r="C33" s="25"/>
      <c r="D33" s="25"/>
      <c r="E33" s="25"/>
      <c r="F33" s="25"/>
      <c r="G33" s="25"/>
      <c r="H33" s="25"/>
      <c r="I33" s="25"/>
    </row>
  </sheetData>
  <mergeCells count="5">
    <mergeCell ref="A1:I1"/>
    <mergeCell ref="B2:C2"/>
    <mergeCell ref="D2:E2"/>
    <mergeCell ref="F2:I2"/>
    <mergeCell ref="A33:I33"/>
  </mergeCells>
  <conditionalFormatting sqref="E5:E31">
    <cfRule type="cellIs" priority="2" operator="lessThan" aboveAverage="0" equalAverage="0" bottom="0" percent="0" rank="0" text="" dxfId="0">
      <formula>0.2</formula>
    </cfRule>
    <cfRule type="cellIs" priority="3" operator="between" aboveAverage="0" equalAverage="0" bottom="0" percent="0" rank="0" text="" dxfId="1">
      <formula>0.2</formula>
      <formula>0.29999</formula>
    </cfRule>
    <cfRule type="cellIs" priority="4" operator="greaterThanOrEqual" aboveAverage="0" equalAverage="0" bottom="0" percent="0" rank="0" text="" dxfId="2">
      <formula>0.3</formula>
    </cfRule>
  </conditionalFormatting>
  <conditionalFormatting sqref="F5:F31">
    <cfRule type="expression" priority="5" aboveAverage="0" equalAverage="0" bottom="0" percent="0" rank="0" text="" dxfId="0">
      <formula>$E5&lt;0.2</formula>
    </cfRule>
    <cfRule type="expression" priority="6" aboveAverage="0" equalAverage="0" bottom="0" percent="0" rank="0" text="" dxfId="1">
      <formula>AND($E5&gt;=0.2,$E5&lt;0.3)</formula>
    </cfRule>
    <cfRule type="expression" priority="7" aboveAverage="0" equalAverage="0" bottom="0" percent="0" rank="0" text="" dxfId="2">
      <formula>$E5&gt;=0.3</formula>
    </cfRule>
  </conditionalFormatting>
  <conditionalFormatting sqref="G5:G31">
    <cfRule type="cellIs" priority="8" operator="lessThan" aboveAverage="0" equalAverage="0" bottom="0" percent="0" rank="0" text="" dxfId="0">
      <formula>0.2</formula>
    </cfRule>
    <cfRule type="cellIs" priority="9" operator="greaterThanOrEqual" aboveAverage="0" equalAverage="0" bottom="0" percent="0" rank="0" text="" dxfId="2">
      <formula>0.3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22"/>
    <col collapsed="false" customWidth="true" hidden="false" outlineLevel="0" max="2" min="2" style="12" width="9"/>
    <col collapsed="false" customWidth="true" hidden="false" outlineLevel="0" max="3" min="3" style="12" width="6"/>
    <col collapsed="false" customWidth="true" hidden="false" outlineLevel="0" max="4" min="4" style="12" width="11"/>
    <col collapsed="false" customWidth="true" hidden="false" outlineLevel="0" max="5" min="5" style="12" width="10"/>
    <col collapsed="false" customWidth="true" hidden="false" outlineLevel="0" max="6" min="6" style="12" width="11"/>
    <col collapsed="false" customWidth="true" hidden="false" outlineLevel="0" max="7" min="7" style="12" width="2"/>
    <col collapsed="false" customWidth="true" hidden="false" outlineLevel="0" max="8" min="8" style="12" width="9"/>
    <col collapsed="false" customWidth="true" hidden="false" outlineLevel="0" max="9" min="9" style="12" width="10"/>
    <col collapsed="false" customWidth="true" hidden="false" outlineLevel="0" max="10" min="10" style="12" width="11"/>
    <col collapsed="false" customWidth="true" hidden="false" outlineLevel="0" max="11" min="11" style="12" width="2"/>
    <col collapsed="false" customWidth="true" hidden="false" outlineLevel="0" max="12" min="12" style="12" width="9"/>
    <col collapsed="false" customWidth="true" hidden="false" outlineLevel="0" max="13" min="13" style="12" width="10"/>
    <col collapsed="false" customWidth="true" hidden="false" outlineLevel="0" max="14" min="14" style="12" width="11"/>
    <col collapsed="false" customWidth="true" hidden="false" outlineLevel="0" max="15" min="15" style="12" width="24"/>
    <col collapsed="false" customWidth="true" hidden="false" outlineLevel="0" max="16" min="16" style="12" width="9"/>
    <col collapsed="false" customWidth="true" hidden="false" outlineLevel="0" max="17" min="17" style="12" width="2"/>
    <col collapsed="false" customWidth="true" hidden="false" outlineLevel="0" max="18" min="18" style="12" width="11"/>
    <col collapsed="false" customWidth="true" hidden="false" outlineLevel="0" max="19" min="19" style="12" width="7"/>
    <col collapsed="false" customWidth="true" hidden="false" outlineLevel="0" max="22" min="20" style="12" width="9"/>
  </cols>
  <sheetData>
    <row r="1" customFormat="false" ht="15" hidden="false" customHeight="true" outlineLevel="0" collapsed="false">
      <c r="A1" s="26" t="s">
        <v>108</v>
      </c>
      <c r="B1" s="26"/>
      <c r="C1" s="26"/>
      <c r="D1" s="26"/>
      <c r="E1" s="26"/>
      <c r="F1" s="26"/>
      <c r="G1" s="26"/>
      <c r="H1" s="26"/>
      <c r="I1" s="27" t="s">
        <v>109</v>
      </c>
      <c r="J1" s="27"/>
      <c r="K1" s="27"/>
      <c r="L1" s="27"/>
      <c r="M1" s="27"/>
      <c r="N1" s="27"/>
      <c r="R1" s="28" t="s">
        <v>110</v>
      </c>
      <c r="S1" s="28"/>
      <c r="T1" s="28"/>
      <c r="U1" s="28"/>
      <c r="V1" s="28"/>
    </row>
    <row r="2" customFormat="false" ht="15" hidden="false" customHeight="true" outlineLevel="0" collapsed="false">
      <c r="A2" s="29" t="s">
        <v>111</v>
      </c>
      <c r="B2" s="30" t="s">
        <v>112</v>
      </c>
      <c r="C2" s="30"/>
      <c r="D2" s="30"/>
      <c r="E2" s="30"/>
      <c r="F2" s="30"/>
      <c r="G2" s="31"/>
      <c r="H2" s="32" t="s">
        <v>113</v>
      </c>
      <c r="I2" s="32"/>
      <c r="J2" s="32"/>
      <c r="K2" s="31"/>
      <c r="L2" s="33" t="s">
        <v>114</v>
      </c>
      <c r="M2" s="33"/>
      <c r="N2" s="33"/>
      <c r="R2" s="34" t="s">
        <v>115</v>
      </c>
      <c r="S2" s="34"/>
      <c r="T2" s="34"/>
      <c r="U2" s="34"/>
      <c r="V2" s="34"/>
    </row>
    <row r="3" customFormat="false" ht="15" hidden="false" customHeight="true" outlineLevel="0" collapsed="false">
      <c r="A3" s="31"/>
      <c r="B3" s="35" t="s">
        <v>116</v>
      </c>
      <c r="C3" s="35" t="s">
        <v>117</v>
      </c>
      <c r="D3" s="35" t="s">
        <v>118</v>
      </c>
      <c r="E3" s="35" t="s">
        <v>119</v>
      </c>
      <c r="F3" s="35" t="s">
        <v>120</v>
      </c>
      <c r="G3" s="31"/>
      <c r="H3" s="36" t="s">
        <v>116</v>
      </c>
      <c r="I3" s="36" t="s">
        <v>119</v>
      </c>
      <c r="J3" s="36" t="s">
        <v>120</v>
      </c>
      <c r="K3" s="31"/>
      <c r="L3" s="37" t="s">
        <v>116</v>
      </c>
      <c r="M3" s="37" t="s">
        <v>119</v>
      </c>
      <c r="N3" s="37" t="s">
        <v>120</v>
      </c>
      <c r="R3" s="38" t="s">
        <v>121</v>
      </c>
      <c r="S3" s="38"/>
      <c r="T3" s="38"/>
      <c r="U3" s="38"/>
      <c r="V3" s="38"/>
    </row>
    <row r="4" customFormat="false" ht="15" hidden="false" customHeight="true" outlineLevel="0" collapsed="false">
      <c r="A4" s="20" t="s">
        <v>122</v>
      </c>
      <c r="B4" s="39" t="n">
        <v>30</v>
      </c>
      <c r="C4" s="40" t="n">
        <v>30</v>
      </c>
      <c r="D4" s="41" t="n">
        <v>1.73784</v>
      </c>
      <c r="E4" s="41" t="n">
        <v>2.5542</v>
      </c>
      <c r="F4" s="39" t="n">
        <f aca="false">ROUND(B4*E4,2)</f>
        <v>76.63</v>
      </c>
      <c r="G4" s="42"/>
      <c r="H4" s="43" t="n">
        <v>30</v>
      </c>
      <c r="I4" s="44" t="n">
        <v>2.5542</v>
      </c>
      <c r="J4" s="43" t="n">
        <f aca="false">ROUND(H4*I4,2)</f>
        <v>76.63</v>
      </c>
      <c r="K4" s="42"/>
      <c r="L4" s="45" t="n">
        <v>30</v>
      </c>
      <c r="M4" s="46" t="n">
        <v>2.5542</v>
      </c>
      <c r="N4" s="45" t="n">
        <f aca="false">ROUND(L4*M4,2)</f>
        <v>76.63</v>
      </c>
      <c r="R4" s="47" t="s">
        <v>123</v>
      </c>
      <c r="S4" s="47"/>
      <c r="T4" s="47"/>
      <c r="U4" s="47"/>
      <c r="V4" s="47"/>
    </row>
    <row r="5" customFormat="false" ht="15" hidden="false" customHeight="true" outlineLevel="0" collapsed="false">
      <c r="A5" s="20" t="s">
        <v>124</v>
      </c>
      <c r="B5" s="39" t="n">
        <v>30</v>
      </c>
      <c r="C5" s="40" t="n">
        <v>30</v>
      </c>
      <c r="D5" s="41" t="n">
        <v>0.9357</v>
      </c>
      <c r="E5" s="41" t="n">
        <v>1.37733</v>
      </c>
      <c r="F5" s="39" t="n">
        <f aca="false">ROUND(B5*E5,2)</f>
        <v>41.32</v>
      </c>
      <c r="G5" s="42"/>
      <c r="H5" s="43" t="n">
        <v>30</v>
      </c>
      <c r="I5" s="44" t="n">
        <v>1.37733</v>
      </c>
      <c r="J5" s="43" t="n">
        <f aca="false">ROUND(H5*I5,2)</f>
        <v>41.32</v>
      </c>
      <c r="K5" s="42"/>
      <c r="L5" s="45" t="n">
        <v>30</v>
      </c>
      <c r="M5" s="46" t="n">
        <v>1.37733</v>
      </c>
      <c r="N5" s="45" t="n">
        <f aca="false">ROUND(L5*M5,2)</f>
        <v>41.32</v>
      </c>
      <c r="R5" s="48" t="s">
        <v>125</v>
      </c>
      <c r="S5" s="48"/>
      <c r="T5" s="48"/>
      <c r="U5" s="48"/>
      <c r="V5" s="48"/>
    </row>
    <row r="6" customFormat="false" ht="15" hidden="false" customHeight="true" outlineLevel="0" collapsed="false">
      <c r="A6" s="20" t="s">
        <v>126</v>
      </c>
      <c r="B6" s="39" t="n">
        <v>30</v>
      </c>
      <c r="C6" s="40" t="n">
        <v>30</v>
      </c>
      <c r="D6" s="41" t="n">
        <v>0.43137</v>
      </c>
      <c r="E6" s="41" t="n">
        <v>0.62868</v>
      </c>
      <c r="F6" s="39" t="n">
        <f aca="false">ROUND(B6*E6,2)</f>
        <v>18.86</v>
      </c>
      <c r="G6" s="42"/>
      <c r="H6" s="43" t="n">
        <v>30</v>
      </c>
      <c r="I6" s="44" t="n">
        <v>0.62868</v>
      </c>
      <c r="J6" s="43" t="n">
        <f aca="false">ROUND(H6*I6,2)</f>
        <v>18.86</v>
      </c>
      <c r="K6" s="42"/>
      <c r="L6" s="45" t="n">
        <v>30</v>
      </c>
      <c r="M6" s="46" t="n">
        <v>0.62868</v>
      </c>
      <c r="N6" s="45" t="n">
        <f aca="false">ROUND(L6*M6,2)</f>
        <v>18.86</v>
      </c>
      <c r="R6" s="48" t="s">
        <v>127</v>
      </c>
      <c r="S6" s="48"/>
      <c r="T6" s="48"/>
      <c r="U6" s="48"/>
      <c r="V6" s="48"/>
    </row>
    <row r="7" customFormat="false" ht="15" hidden="false" customHeight="true" outlineLevel="0" collapsed="false">
      <c r="A7" s="20" t="s">
        <v>128</v>
      </c>
      <c r="B7" s="39" t="n">
        <v>30</v>
      </c>
      <c r="C7" s="40" t="n">
        <v>30</v>
      </c>
      <c r="D7" s="41" t="n">
        <v>0.38244</v>
      </c>
      <c r="E7" s="41" t="n">
        <v>0.5561</v>
      </c>
      <c r="F7" s="39" t="n">
        <f aca="false">ROUND(B7*E7,2)</f>
        <v>16.68</v>
      </c>
      <c r="G7" s="42"/>
      <c r="H7" s="43" t="n">
        <v>30</v>
      </c>
      <c r="I7" s="44" t="n">
        <v>0.5561</v>
      </c>
      <c r="J7" s="43" t="n">
        <f aca="false">ROUND(H7*I7,2)</f>
        <v>16.68</v>
      </c>
      <c r="K7" s="42"/>
      <c r="L7" s="45" t="n">
        <v>30</v>
      </c>
      <c r="M7" s="46" t="n">
        <v>0.5561</v>
      </c>
      <c r="N7" s="45" t="n">
        <f aca="false">ROUND(L7*M7,2)</f>
        <v>16.68</v>
      </c>
      <c r="R7" s="49" t="s">
        <v>129</v>
      </c>
      <c r="S7" s="49"/>
      <c r="T7" s="49"/>
      <c r="U7" s="49"/>
      <c r="V7" s="49"/>
    </row>
    <row r="8" customFormat="false" ht="15" hidden="false" customHeight="true" outlineLevel="0" collapsed="false">
      <c r="A8" s="20" t="s">
        <v>130</v>
      </c>
      <c r="B8" s="39" t="n">
        <v>30</v>
      </c>
      <c r="C8" s="40" t="n">
        <v>30</v>
      </c>
      <c r="D8" s="41" t="n">
        <v>0.26964</v>
      </c>
      <c r="E8" s="41" t="n">
        <v>0.3868</v>
      </c>
      <c r="F8" s="39" t="n">
        <f aca="false">ROUND(B8*E8,2)</f>
        <v>11.6</v>
      </c>
      <c r="G8" s="42"/>
      <c r="H8" s="43" t="n">
        <v>30</v>
      </c>
      <c r="I8" s="44" t="n">
        <v>0.3868</v>
      </c>
      <c r="J8" s="43" t="n">
        <f aca="false">ROUND(H8*I8,2)</f>
        <v>11.6</v>
      </c>
      <c r="K8" s="42"/>
      <c r="L8" s="45" t="n">
        <v>30</v>
      </c>
      <c r="M8" s="46" t="n">
        <v>0.3868</v>
      </c>
      <c r="N8" s="45" t="n">
        <f aca="false">ROUND(L8*M8,2)</f>
        <v>11.6</v>
      </c>
      <c r="R8" s="50" t="s">
        <v>131</v>
      </c>
      <c r="S8" s="50"/>
      <c r="T8" s="50"/>
      <c r="U8" s="50"/>
      <c r="V8" s="50"/>
    </row>
    <row r="9" customFormat="false" ht="15" hidden="false" customHeight="true" outlineLevel="0" collapsed="false">
      <c r="A9" s="20" t="s">
        <v>132</v>
      </c>
      <c r="B9" s="39" t="n">
        <v>30</v>
      </c>
      <c r="C9" s="40" t="n">
        <v>30</v>
      </c>
      <c r="D9" s="41" t="n">
        <v>0.18156</v>
      </c>
      <c r="E9" s="41" t="n">
        <v>0.2653</v>
      </c>
      <c r="F9" s="39" t="n">
        <f aca="false">ROUND(B9*E9,2)</f>
        <v>7.96</v>
      </c>
      <c r="G9" s="42"/>
      <c r="H9" s="43" t="n">
        <v>30</v>
      </c>
      <c r="I9" s="44" t="n">
        <v>0.2653</v>
      </c>
      <c r="J9" s="43" t="n">
        <f aca="false">ROUND(H9*I9,2)</f>
        <v>7.96</v>
      </c>
      <c r="K9" s="42"/>
      <c r="L9" s="45" t="n">
        <v>30</v>
      </c>
      <c r="M9" s="46" t="n">
        <v>0.2653</v>
      </c>
      <c r="N9" s="45" t="n">
        <f aca="false">ROUND(L9*M9,2)</f>
        <v>7.96</v>
      </c>
    </row>
    <row r="10" customFormat="false" ht="15" hidden="false" customHeight="true" outlineLevel="0" collapsed="false">
      <c r="A10" s="51" t="s">
        <v>133</v>
      </c>
      <c r="B10" s="52" t="n">
        <f aca="false">IF($P$10="",2517.101,ROUND(2517.101*((1087.3487/(1-$P$10))-173.05)/1151.35,2))</f>
        <v>2517.101</v>
      </c>
      <c r="C10" s="40"/>
      <c r="D10" s="53" t="n">
        <v>0.121236</v>
      </c>
      <c r="E10" s="41" t="n">
        <v>0.139</v>
      </c>
      <c r="F10" s="39" t="n">
        <f aca="false">ROUND(B10*E10,2)</f>
        <v>349.88</v>
      </c>
      <c r="G10" s="42"/>
      <c r="H10" s="54" t="n">
        <v>2317.101</v>
      </c>
      <c r="I10" s="44" t="n">
        <v>0.139</v>
      </c>
      <c r="J10" s="43" t="n">
        <f aca="false">ROUND(H10*I10,2)</f>
        <v>322.08</v>
      </c>
      <c r="K10" s="42"/>
      <c r="L10" s="55" t="n">
        <v>1937.42</v>
      </c>
      <c r="M10" s="46" t="n">
        <v>0.145</v>
      </c>
      <c r="N10" s="45" t="n">
        <f aca="false">ROUND(L10*M10,2)</f>
        <v>280.93</v>
      </c>
      <c r="O10" s="56" t="s">
        <v>134</v>
      </c>
      <c r="P10" s="57"/>
    </row>
    <row r="11" customFormat="false" ht="15" hidden="false" customHeight="true" outlineLevel="0" collapsed="false">
      <c r="A11" s="51" t="s">
        <v>135</v>
      </c>
      <c r="B11" s="52" t="n">
        <f aca="false">IF($P$10="",2364.265,ROUND(2364.265*((1087.3487/(1-$P$10))-173.05)/1151.35,2))</f>
        <v>2364.265</v>
      </c>
      <c r="C11" s="40"/>
      <c r="D11" s="53" t="n">
        <v>0.114444</v>
      </c>
      <c r="E11" s="41" t="n">
        <v>0.138</v>
      </c>
      <c r="F11" s="39" t="n">
        <f aca="false">ROUND(B11*E11,2)</f>
        <v>326.27</v>
      </c>
      <c r="G11" s="42"/>
      <c r="H11" s="54" t="n">
        <v>2064.265</v>
      </c>
      <c r="I11" s="44" t="n">
        <v>0.138</v>
      </c>
      <c r="J11" s="43" t="n">
        <f aca="false">ROUND(H11*I11,2)</f>
        <v>284.87</v>
      </c>
      <c r="K11" s="42"/>
      <c r="L11" s="55" t="n">
        <v>1611.579</v>
      </c>
      <c r="M11" s="46" t="n">
        <v>0.139</v>
      </c>
      <c r="N11" s="45" t="n">
        <f aca="false">ROUND(L11*M11,2)</f>
        <v>224.01</v>
      </c>
      <c r="O11" s="58" t="s">
        <v>136</v>
      </c>
    </row>
    <row r="12" customFormat="false" ht="15" hidden="false" customHeight="true" outlineLevel="0" collapsed="false">
      <c r="A12" s="51" t="s">
        <v>137</v>
      </c>
      <c r="B12" s="52" t="n">
        <f aca="false">IF($P$10="",3683.741,ROUND(3683.741*((1087.3487/(1-$P$10))-173.05)/1151.35,2))</f>
        <v>3683.741</v>
      </c>
      <c r="C12" s="40"/>
      <c r="D12" s="53" t="n">
        <v>0.106808</v>
      </c>
      <c r="E12" s="41" t="n">
        <v>0.129</v>
      </c>
      <c r="F12" s="39" t="n">
        <f aca="false">ROUND(B12*E12,2)</f>
        <v>475.2</v>
      </c>
      <c r="G12" s="42"/>
      <c r="H12" s="54" t="n">
        <v>3383.741</v>
      </c>
      <c r="I12" s="44" t="n">
        <v>0.129</v>
      </c>
      <c r="J12" s="43" t="n">
        <f aca="false">ROUND(H12*I12,2)</f>
        <v>436.5</v>
      </c>
      <c r="K12" s="42"/>
      <c r="L12" s="55" t="n">
        <v>2928.76</v>
      </c>
      <c r="M12" s="46" t="n">
        <v>0.139</v>
      </c>
      <c r="N12" s="45" t="n">
        <f aca="false">ROUND(L12*M12,2)</f>
        <v>407.1</v>
      </c>
      <c r="O12" s="58" t="s">
        <v>138</v>
      </c>
    </row>
    <row r="13" customFormat="false" ht="15" hidden="false" customHeight="true" outlineLevel="0" collapsed="false">
      <c r="A13" s="20" t="s">
        <v>139</v>
      </c>
      <c r="B13" s="39" t="n">
        <v>1</v>
      </c>
      <c r="C13" s="59" t="n">
        <v>30</v>
      </c>
      <c r="D13" s="41" t="n">
        <v>17.615</v>
      </c>
      <c r="E13" s="41" t="n">
        <v>17.615</v>
      </c>
      <c r="F13" s="39" t="n">
        <f aca="false">ROUND(B13*E13,2)</f>
        <v>17.62</v>
      </c>
      <c r="G13" s="42"/>
      <c r="H13" s="43" t="n">
        <v>1</v>
      </c>
      <c r="I13" s="44" t="n">
        <v>17.615</v>
      </c>
      <c r="J13" s="43" t="n">
        <f aca="false">ROUND(H13*I13,2)</f>
        <v>17.62</v>
      </c>
      <c r="K13" s="42"/>
      <c r="L13" s="45" t="n">
        <v>1</v>
      </c>
      <c r="M13" s="46" t="n">
        <v>17.615</v>
      </c>
      <c r="N13" s="45" t="n">
        <f aca="false">ROUND(L13*M13,2)</f>
        <v>17.62</v>
      </c>
    </row>
    <row r="14" customFormat="false" ht="15" hidden="false" customHeight="true" outlineLevel="0" collapsed="false">
      <c r="A14" s="20" t="s">
        <v>140</v>
      </c>
      <c r="B14" s="39" t="n">
        <v>30</v>
      </c>
      <c r="C14" s="59" t="n">
        <v>30</v>
      </c>
      <c r="D14" s="41" t="n">
        <v>0.01912</v>
      </c>
      <c r="E14" s="41" t="n">
        <v>0.01912</v>
      </c>
      <c r="F14" s="39" t="n">
        <f aca="false">ROUND(B14*E14,2)</f>
        <v>0.57</v>
      </c>
      <c r="G14" s="42"/>
      <c r="H14" s="43" t="n">
        <v>30</v>
      </c>
      <c r="I14" s="44" t="n">
        <v>0.01274</v>
      </c>
      <c r="J14" s="43" t="n">
        <f aca="false">ROUND(H14*I14,2)</f>
        <v>0.38</v>
      </c>
      <c r="K14" s="42"/>
      <c r="L14" s="45" t="n">
        <v>30</v>
      </c>
      <c r="M14" s="46" t="n">
        <v>0.01274</v>
      </c>
      <c r="N14" s="45" t="n">
        <f aca="false">ROUND(L14*M14,2)</f>
        <v>0.38</v>
      </c>
    </row>
    <row r="15" customFormat="false" ht="15" hidden="false" customHeight="true" outlineLevel="0" collapsed="false">
      <c r="A15" s="20" t="s">
        <v>141</v>
      </c>
      <c r="B15" s="39" t="n">
        <v>71.99</v>
      </c>
      <c r="C15" s="40"/>
      <c r="D15" s="41" t="n">
        <v>1</v>
      </c>
      <c r="E15" s="41" t="n">
        <v>1</v>
      </c>
      <c r="F15" s="39" t="n">
        <f aca="false">ROUND(B15*E15,2)</f>
        <v>71.99</v>
      </c>
      <c r="G15" s="42"/>
      <c r="H15" s="43" t="n">
        <v>66.49</v>
      </c>
      <c r="I15" s="44" t="n">
        <v>1</v>
      </c>
      <c r="J15" s="43" t="n">
        <f aca="false">ROUND(H15*I15,2)</f>
        <v>66.49</v>
      </c>
      <c r="K15" s="42"/>
      <c r="L15" s="45" t="n">
        <v>62.66</v>
      </c>
      <c r="M15" s="46" t="n">
        <v>1</v>
      </c>
      <c r="N15" s="45" t="n">
        <f aca="false">ROUND(L15*M15,2)</f>
        <v>62.66</v>
      </c>
    </row>
    <row r="16" customFormat="false" ht="15" hidden="false" customHeight="true" outlineLevel="0" collapsed="false">
      <c r="A16" s="60" t="s">
        <v>142</v>
      </c>
      <c r="B16" s="61"/>
      <c r="C16" s="61"/>
      <c r="D16" s="61"/>
      <c r="E16" s="61"/>
      <c r="F16" s="62" t="n">
        <f aca="false">ROUND((SUM(F4:F15)-F15)*1.21+F15,2)</f>
        <v>1696.52</v>
      </c>
      <c r="G16" s="61"/>
      <c r="H16" s="61"/>
      <c r="I16" s="61"/>
      <c r="J16" s="63" t="n">
        <f aca="false">ROUND((SUM(J4:J15)-J15)*1.21+J15,2)</f>
        <v>1560.24</v>
      </c>
      <c r="K16" s="61"/>
      <c r="L16" s="61"/>
      <c r="M16" s="61"/>
      <c r="N16" s="64" t="n">
        <f aca="false">ROUND((SUM(N4:N15)-N15)*1.21+N15,2)</f>
        <v>1397.4</v>
      </c>
    </row>
    <row r="17" customFormat="false" ht="15" hidden="false" customHeight="true" outlineLevel="0" collapsed="false">
      <c r="A17" s="65" t="s">
        <v>143</v>
      </c>
      <c r="B17" s="66" t="n">
        <f aca="false">(SUM(F4:F12)-1087.3487)/SUM(F4:F12)</f>
        <v>0.178987692540018</v>
      </c>
      <c r="C17" s="66"/>
      <c r="D17" s="66"/>
      <c r="E17" s="66"/>
      <c r="F17" s="66"/>
      <c r="G17" s="67"/>
      <c r="H17" s="67"/>
      <c r="I17" s="67"/>
      <c r="J17" s="67"/>
      <c r="K17" s="67"/>
      <c r="L17" s="68" t="str">
        <f aca="false">IF(B17&gt;=0.3,"APROBAR",IF(B17&gt;=0.2,"REVISAR","RECHAZAR"))</f>
        <v>RECHAZAR</v>
      </c>
      <c r="M17" s="68"/>
      <c r="N17" s="68"/>
    </row>
    <row r="19" customFormat="false" ht="15" hidden="false" customHeight="true" outlineLevel="0" collapsed="false">
      <c r="A19" s="26" t="s">
        <v>144</v>
      </c>
      <c r="B19" s="26"/>
      <c r="C19" s="26"/>
      <c r="D19" s="26"/>
      <c r="E19" s="26"/>
      <c r="F19" s="26"/>
      <c r="G19" s="26"/>
      <c r="H19" s="26"/>
      <c r="I19" s="27" t="s">
        <v>145</v>
      </c>
      <c r="J19" s="27"/>
      <c r="K19" s="27"/>
      <c r="L19" s="27"/>
      <c r="M19" s="27"/>
      <c r="N19" s="27"/>
      <c r="R19" s="28" t="s">
        <v>110</v>
      </c>
      <c r="S19" s="28"/>
      <c r="T19" s="28"/>
      <c r="U19" s="28"/>
      <c r="V19" s="28"/>
    </row>
    <row r="20" customFormat="false" ht="15" hidden="false" customHeight="true" outlineLevel="0" collapsed="false">
      <c r="A20" s="29" t="s">
        <v>111</v>
      </c>
      <c r="B20" s="30" t="s">
        <v>112</v>
      </c>
      <c r="C20" s="30"/>
      <c r="D20" s="30"/>
      <c r="E20" s="30"/>
      <c r="F20" s="30"/>
      <c r="G20" s="31"/>
      <c r="H20" s="32" t="s">
        <v>146</v>
      </c>
      <c r="I20" s="32"/>
      <c r="J20" s="32"/>
      <c r="K20" s="31"/>
      <c r="L20" s="33" t="s">
        <v>147</v>
      </c>
      <c r="M20" s="33"/>
      <c r="N20" s="33"/>
      <c r="R20" s="34" t="s">
        <v>148</v>
      </c>
      <c r="S20" s="34"/>
      <c r="T20" s="34"/>
      <c r="U20" s="34"/>
      <c r="V20" s="34"/>
    </row>
    <row r="21" customFormat="false" ht="15" hidden="false" customHeight="true" outlineLevel="0" collapsed="false">
      <c r="A21" s="31"/>
      <c r="B21" s="35" t="s">
        <v>116</v>
      </c>
      <c r="C21" s="35" t="s">
        <v>117</v>
      </c>
      <c r="D21" s="35" t="s">
        <v>118</v>
      </c>
      <c r="E21" s="35" t="s">
        <v>119</v>
      </c>
      <c r="F21" s="35" t="s">
        <v>120</v>
      </c>
      <c r="G21" s="31"/>
      <c r="H21" s="36" t="s">
        <v>116</v>
      </c>
      <c r="I21" s="36" t="s">
        <v>119</v>
      </c>
      <c r="J21" s="36" t="s">
        <v>120</v>
      </c>
      <c r="K21" s="31"/>
      <c r="L21" s="37" t="s">
        <v>116</v>
      </c>
      <c r="M21" s="37" t="s">
        <v>119</v>
      </c>
      <c r="N21" s="37" t="s">
        <v>120</v>
      </c>
      <c r="R21" s="38" t="s">
        <v>149</v>
      </c>
      <c r="S21" s="38"/>
      <c r="T21" s="38"/>
      <c r="U21" s="38"/>
      <c r="V21" s="38"/>
    </row>
    <row r="22" customFormat="false" ht="15" hidden="false" customHeight="true" outlineLevel="0" collapsed="false">
      <c r="A22" s="20" t="s">
        <v>122</v>
      </c>
      <c r="B22" s="39" t="n">
        <v>17.32</v>
      </c>
      <c r="C22" s="40" t="n">
        <v>30</v>
      </c>
      <c r="D22" s="41" t="n">
        <v>1.73784</v>
      </c>
      <c r="E22" s="41" t="n">
        <v>1.999</v>
      </c>
      <c r="F22" s="39" t="n">
        <f aca="false">ROUND(B22*E22,2)</f>
        <v>34.62</v>
      </c>
      <c r="G22" s="42"/>
      <c r="H22" s="43" t="n">
        <v>17.32</v>
      </c>
      <c r="I22" s="44" t="n">
        <v>1.999</v>
      </c>
      <c r="J22" s="43" t="n">
        <f aca="false">ROUND(H22*I22,2)</f>
        <v>34.62</v>
      </c>
      <c r="K22" s="42"/>
      <c r="L22" s="45" t="n">
        <v>17.32</v>
      </c>
      <c r="M22" s="46" t="n">
        <v>2.5542</v>
      </c>
      <c r="N22" s="45" t="n">
        <f aca="false">ROUND(L22*M22,2)</f>
        <v>44.24</v>
      </c>
      <c r="R22" s="47" t="s">
        <v>150</v>
      </c>
      <c r="S22" s="47"/>
      <c r="T22" s="47"/>
      <c r="U22" s="47"/>
      <c r="V22" s="47"/>
    </row>
    <row r="23" customFormat="false" ht="15" hidden="false" customHeight="true" outlineLevel="0" collapsed="false">
      <c r="A23" s="20" t="s">
        <v>124</v>
      </c>
      <c r="B23" s="39" t="n">
        <v>17.32</v>
      </c>
      <c r="C23" s="40" t="n">
        <v>30</v>
      </c>
      <c r="D23" s="41" t="n">
        <v>0.9357</v>
      </c>
      <c r="E23" s="41" t="n">
        <v>1.811</v>
      </c>
      <c r="F23" s="39" t="n">
        <f aca="false">ROUND(B23*E23,2)</f>
        <v>31.37</v>
      </c>
      <c r="G23" s="42"/>
      <c r="H23" s="43" t="n">
        <v>17.32</v>
      </c>
      <c r="I23" s="44" t="n">
        <v>1.811</v>
      </c>
      <c r="J23" s="43" t="n">
        <f aca="false">ROUND(H23*I23,2)</f>
        <v>31.37</v>
      </c>
      <c r="K23" s="42"/>
      <c r="L23" s="45" t="n">
        <v>17.32</v>
      </c>
      <c r="M23" s="46" t="n">
        <v>1.3773</v>
      </c>
      <c r="N23" s="45" t="n">
        <f aca="false">ROUND(L23*M23,2)</f>
        <v>23.85</v>
      </c>
      <c r="R23" s="48" t="s">
        <v>151</v>
      </c>
      <c r="S23" s="48"/>
      <c r="T23" s="48"/>
      <c r="U23" s="48"/>
      <c r="V23" s="48"/>
    </row>
    <row r="24" customFormat="false" ht="15" hidden="false" customHeight="true" outlineLevel="0" collapsed="false">
      <c r="A24" s="20" t="s">
        <v>126</v>
      </c>
      <c r="B24" s="39" t="n">
        <v>17.32</v>
      </c>
      <c r="C24" s="40" t="n">
        <v>30</v>
      </c>
      <c r="D24" s="41" t="n">
        <v>0.43137</v>
      </c>
      <c r="E24" s="41" t="n">
        <v>0.6161</v>
      </c>
      <c r="F24" s="39" t="n">
        <f aca="false">ROUND(B24*E24,2)</f>
        <v>10.67</v>
      </c>
      <c r="G24" s="42"/>
      <c r="H24" s="43" t="n">
        <v>17.32</v>
      </c>
      <c r="I24" s="44" t="n">
        <v>0.6161</v>
      </c>
      <c r="J24" s="43" t="n">
        <f aca="false">ROUND(H24*I24,2)</f>
        <v>10.67</v>
      </c>
      <c r="K24" s="42"/>
      <c r="L24" s="45" t="n">
        <v>17.32</v>
      </c>
      <c r="M24" s="46" t="n">
        <v>0.6286</v>
      </c>
      <c r="N24" s="45" t="n">
        <f aca="false">ROUND(L24*M24,2)</f>
        <v>10.89</v>
      </c>
      <c r="R24" s="48" t="s">
        <v>152</v>
      </c>
      <c r="S24" s="48"/>
      <c r="T24" s="48"/>
      <c r="U24" s="48"/>
      <c r="V24" s="48"/>
    </row>
    <row r="25" customFormat="false" ht="15" hidden="false" customHeight="true" outlineLevel="0" collapsed="false">
      <c r="A25" s="20" t="s">
        <v>128</v>
      </c>
      <c r="B25" s="39" t="n">
        <v>17.32</v>
      </c>
      <c r="C25" s="40" t="n">
        <v>30</v>
      </c>
      <c r="D25" s="41" t="n">
        <v>0.38244</v>
      </c>
      <c r="E25" s="41" t="n">
        <v>0.5551</v>
      </c>
      <c r="F25" s="39" t="n">
        <f aca="false">ROUND(B25*E25,2)</f>
        <v>9.61</v>
      </c>
      <c r="G25" s="42"/>
      <c r="H25" s="43" t="n">
        <v>17.32</v>
      </c>
      <c r="I25" s="44" t="n">
        <v>0.5551</v>
      </c>
      <c r="J25" s="43" t="n">
        <f aca="false">ROUND(H25*I25,2)</f>
        <v>9.61</v>
      </c>
      <c r="K25" s="42"/>
      <c r="L25" s="45" t="n">
        <v>17.32</v>
      </c>
      <c r="M25" s="46" t="n">
        <v>0.5561</v>
      </c>
      <c r="N25" s="45" t="n">
        <f aca="false">ROUND(L25*M25,2)</f>
        <v>9.63</v>
      </c>
      <c r="R25" s="49" t="s">
        <v>129</v>
      </c>
      <c r="S25" s="49"/>
      <c r="T25" s="49"/>
      <c r="U25" s="49"/>
      <c r="V25" s="49"/>
    </row>
    <row r="26" customFormat="false" ht="15" hidden="false" customHeight="true" outlineLevel="0" collapsed="false">
      <c r="A26" s="20" t="s">
        <v>130</v>
      </c>
      <c r="B26" s="39" t="n">
        <v>17.32</v>
      </c>
      <c r="C26" s="40" t="n">
        <v>30</v>
      </c>
      <c r="D26" s="41" t="n">
        <v>0.26964</v>
      </c>
      <c r="E26" s="41" t="n">
        <v>0.595</v>
      </c>
      <c r="F26" s="39" t="n">
        <f aca="false">ROUND(B26*E26,2)</f>
        <v>10.31</v>
      </c>
      <c r="G26" s="42"/>
      <c r="H26" s="43" t="n">
        <v>17.32</v>
      </c>
      <c r="I26" s="44" t="n">
        <v>0.595</v>
      </c>
      <c r="J26" s="43" t="n">
        <f aca="false">ROUND(H26*I26,2)</f>
        <v>10.31</v>
      </c>
      <c r="K26" s="42"/>
      <c r="L26" s="45" t="n">
        <v>17.32</v>
      </c>
      <c r="M26" s="46" t="n">
        <v>0.3868</v>
      </c>
      <c r="N26" s="45" t="n">
        <f aca="false">ROUND(L26*M26,2)</f>
        <v>6.7</v>
      </c>
      <c r="R26" s="50" t="s">
        <v>131</v>
      </c>
      <c r="S26" s="50"/>
      <c r="T26" s="50"/>
      <c r="U26" s="50"/>
      <c r="V26" s="50"/>
    </row>
    <row r="27" customFormat="false" ht="15" hidden="false" customHeight="true" outlineLevel="0" collapsed="false">
      <c r="A27" s="20" t="s">
        <v>132</v>
      </c>
      <c r="B27" s="39" t="n">
        <v>17.32</v>
      </c>
      <c r="C27" s="40" t="n">
        <v>30</v>
      </c>
      <c r="D27" s="41" t="n">
        <v>0.18156</v>
      </c>
      <c r="E27" s="41" t="n">
        <v>0.4523</v>
      </c>
      <c r="F27" s="39" t="n">
        <f aca="false">ROUND(B27*E27,2)</f>
        <v>7.83</v>
      </c>
      <c r="G27" s="42"/>
      <c r="H27" s="43" t="n">
        <v>17.32</v>
      </c>
      <c r="I27" s="44" t="n">
        <v>0.4523</v>
      </c>
      <c r="J27" s="43" t="n">
        <f aca="false">ROUND(H27*I27,2)</f>
        <v>7.83</v>
      </c>
      <c r="K27" s="42"/>
      <c r="L27" s="45" t="n">
        <v>17.32</v>
      </c>
      <c r="M27" s="46" t="n">
        <v>0.2653</v>
      </c>
      <c r="N27" s="45" t="n">
        <f aca="false">ROUND(L27*M27,2)</f>
        <v>4.59</v>
      </c>
    </row>
    <row r="28" customFormat="false" ht="15" hidden="false" customHeight="true" outlineLevel="0" collapsed="false">
      <c r="A28" s="51" t="s">
        <v>133</v>
      </c>
      <c r="B28" s="52" t="n">
        <f aca="false">IF($P$28="",1691.432,ROUND(1691.432*((803.9614/(1-$P$28))-104.41)/912.75,2))</f>
        <v>1691.432</v>
      </c>
      <c r="C28" s="40"/>
      <c r="D28" s="53" t="n">
        <v>0.121236</v>
      </c>
      <c r="E28" s="41" t="n">
        <v>0.149</v>
      </c>
      <c r="F28" s="39" t="n">
        <f aca="false">ROUND(B28*E28,2)</f>
        <v>252.02</v>
      </c>
      <c r="G28" s="42"/>
      <c r="H28" s="54" t="n">
        <v>1474.716</v>
      </c>
      <c r="I28" s="44" t="n">
        <v>0.15</v>
      </c>
      <c r="J28" s="43" t="n">
        <f aca="false">ROUND(H28*I28,2)</f>
        <v>221.21</v>
      </c>
      <c r="K28" s="42"/>
      <c r="L28" s="55" t="n">
        <v>1570.18</v>
      </c>
      <c r="M28" s="46" t="n">
        <v>0.16</v>
      </c>
      <c r="N28" s="45" t="n">
        <f aca="false">ROUND(L28*M28,2)</f>
        <v>251.23</v>
      </c>
      <c r="O28" s="56" t="s">
        <v>134</v>
      </c>
      <c r="P28" s="57"/>
    </row>
    <row r="29" customFormat="false" ht="15" hidden="false" customHeight="true" outlineLevel="0" collapsed="false">
      <c r="A29" s="51" t="s">
        <v>135</v>
      </c>
      <c r="B29" s="52" t="n">
        <f aca="false">IF($P$28="",2156.035,ROUND(2156.035*((803.9614/(1-$P$28))-104.41)/912.75,2))</f>
        <v>2156.035</v>
      </c>
      <c r="C29" s="40"/>
      <c r="D29" s="53" t="n">
        <v>0.114444</v>
      </c>
      <c r="E29" s="41" t="n">
        <v>0.14</v>
      </c>
      <c r="F29" s="39" t="n">
        <f aca="false">ROUND(B29*E29,2)</f>
        <v>301.84</v>
      </c>
      <c r="G29" s="42"/>
      <c r="H29" s="54" t="n">
        <v>1814.66</v>
      </c>
      <c r="I29" s="44" t="n">
        <v>0.149</v>
      </c>
      <c r="J29" s="43" t="n">
        <f aca="false">ROUND(H29*I29,2)</f>
        <v>270.38</v>
      </c>
      <c r="K29" s="42"/>
      <c r="L29" s="55" t="n">
        <v>1034.274</v>
      </c>
      <c r="M29" s="46" t="n">
        <v>0.155</v>
      </c>
      <c r="N29" s="45" t="n">
        <f aca="false">ROUND(L29*M29,2)</f>
        <v>160.31</v>
      </c>
      <c r="O29" s="58" t="s">
        <v>136</v>
      </c>
    </row>
    <row r="30" customFormat="false" ht="15" hidden="false" customHeight="true" outlineLevel="0" collapsed="false">
      <c r="A30" s="51" t="s">
        <v>137</v>
      </c>
      <c r="B30" s="52" t="n">
        <f aca="false">IF($P$28="",2658.43,ROUND(2658.43*((803.9614/(1-$P$28))-104.41)/912.75,2))</f>
        <v>2658.43</v>
      </c>
      <c r="C30" s="40"/>
      <c r="D30" s="53" t="n">
        <v>0.106808</v>
      </c>
      <c r="E30" s="41" t="n">
        <v>0.135</v>
      </c>
      <c r="F30" s="39" t="n">
        <f aca="false">ROUND(B30*E30,2)</f>
        <v>358.89</v>
      </c>
      <c r="G30" s="42"/>
      <c r="H30" s="54" t="n">
        <v>2225.184</v>
      </c>
      <c r="I30" s="44" t="n">
        <v>0.139</v>
      </c>
      <c r="J30" s="43" t="n">
        <f aca="false">ROUND(H30*I30,2)</f>
        <v>309.3</v>
      </c>
      <c r="K30" s="42"/>
      <c r="L30" s="55" t="n">
        <v>2165.73</v>
      </c>
      <c r="M30" s="46" t="n">
        <v>0.135</v>
      </c>
      <c r="N30" s="45" t="n">
        <f aca="false">ROUND(L30*M30,2)</f>
        <v>292.37</v>
      </c>
      <c r="O30" s="58" t="s">
        <v>138</v>
      </c>
    </row>
    <row r="31" customFormat="false" ht="15" hidden="false" customHeight="true" outlineLevel="0" collapsed="false">
      <c r="A31" s="20" t="s">
        <v>139</v>
      </c>
      <c r="B31" s="39" t="n">
        <v>1</v>
      </c>
      <c r="C31" s="59" t="n">
        <v>30</v>
      </c>
      <c r="D31" s="41" t="n">
        <v>17.615</v>
      </c>
      <c r="E31" s="41" t="n">
        <v>17.615</v>
      </c>
      <c r="F31" s="39" t="n">
        <f aca="false">ROUND(B31*E31,2)</f>
        <v>17.62</v>
      </c>
      <c r="G31" s="42"/>
      <c r="H31" s="43" t="n">
        <v>1</v>
      </c>
      <c r="I31" s="44" t="n">
        <v>17.615</v>
      </c>
      <c r="J31" s="43" t="n">
        <f aca="false">ROUND(H31*I31,2)</f>
        <v>17.62</v>
      </c>
      <c r="K31" s="42"/>
      <c r="L31" s="45" t="n">
        <v>1</v>
      </c>
      <c r="M31" s="46" t="n">
        <v>17.615</v>
      </c>
      <c r="N31" s="45" t="n">
        <f aca="false">ROUND(L31*M31,2)</f>
        <v>17.62</v>
      </c>
    </row>
    <row r="32" customFormat="false" ht="15" hidden="false" customHeight="true" outlineLevel="0" collapsed="false">
      <c r="A32" s="20" t="s">
        <v>140</v>
      </c>
      <c r="B32" s="39" t="n">
        <v>5</v>
      </c>
      <c r="C32" s="59" t="n">
        <v>30</v>
      </c>
      <c r="D32" s="41" t="n">
        <v>0.01912</v>
      </c>
      <c r="E32" s="41" t="n">
        <v>0.01912</v>
      </c>
      <c r="F32" s="39" t="n">
        <f aca="false">ROUND(B32*E32,2)</f>
        <v>0.1</v>
      </c>
      <c r="G32" s="42"/>
      <c r="H32" s="43" t="n">
        <v>5</v>
      </c>
      <c r="I32" s="44" t="n">
        <v>0.01912</v>
      </c>
      <c r="J32" s="43" t="n">
        <f aca="false">ROUND(H32*I32,2)</f>
        <v>0.1</v>
      </c>
      <c r="K32" s="42"/>
      <c r="L32" s="45" t="n">
        <v>30</v>
      </c>
      <c r="M32" s="46" t="n">
        <v>0.01274</v>
      </c>
      <c r="N32" s="45" t="n">
        <f aca="false">ROUND(L32*M32,2)</f>
        <v>0.38</v>
      </c>
    </row>
    <row r="33" customFormat="false" ht="15" hidden="false" customHeight="true" outlineLevel="0" collapsed="false">
      <c r="A33" s="20" t="s">
        <v>141</v>
      </c>
      <c r="B33" s="39" t="n">
        <v>59.26</v>
      </c>
      <c r="C33" s="40"/>
      <c r="D33" s="41" t="n">
        <v>1</v>
      </c>
      <c r="E33" s="41" t="n">
        <v>1</v>
      </c>
      <c r="F33" s="39" t="n">
        <f aca="false">ROUND(B33*E33,2)</f>
        <v>59.26</v>
      </c>
      <c r="G33" s="42"/>
      <c r="H33" s="43" t="n">
        <v>49.46</v>
      </c>
      <c r="I33" s="44" t="n">
        <v>1</v>
      </c>
      <c r="J33" s="43" t="n">
        <f aca="false">ROUND(H33*I33,2)</f>
        <v>49.46</v>
      </c>
      <c r="K33" s="42"/>
      <c r="L33" s="45" t="n">
        <v>44</v>
      </c>
      <c r="M33" s="46" t="n">
        <v>1</v>
      </c>
      <c r="N33" s="45" t="n">
        <f aca="false">ROUND(L33*M33,2)</f>
        <v>44</v>
      </c>
    </row>
    <row r="34" customFormat="false" ht="15" hidden="false" customHeight="true" outlineLevel="0" collapsed="false">
      <c r="A34" s="60" t="s">
        <v>142</v>
      </c>
      <c r="B34" s="61"/>
      <c r="C34" s="61"/>
      <c r="D34" s="61"/>
      <c r="E34" s="61"/>
      <c r="F34" s="62" t="n">
        <f aca="false">ROUND((SUM(F22:F33)-F33)*1.21+F33,2)</f>
        <v>1311.46</v>
      </c>
      <c r="G34" s="61"/>
      <c r="H34" s="61"/>
      <c r="I34" s="61"/>
      <c r="J34" s="63" t="n">
        <f aca="false">ROUND((SUM(J22:J33)-J33)*1.21+J33,2)</f>
        <v>1166.31</v>
      </c>
      <c r="K34" s="61"/>
      <c r="L34" s="61"/>
      <c r="M34" s="61"/>
      <c r="N34" s="64" t="n">
        <f aca="false">ROUND((SUM(N22:N33)-N33)*1.21+N33,2)</f>
        <v>1038.39</v>
      </c>
    </row>
    <row r="35" customFormat="false" ht="15" hidden="false" customHeight="true" outlineLevel="0" collapsed="false">
      <c r="A35" s="65" t="s">
        <v>143</v>
      </c>
      <c r="B35" s="66" t="n">
        <f aca="false">(SUM(F22:F30)-803.9614)/SUM(F22:F30)</f>
        <v>0.209601832553384</v>
      </c>
      <c r="C35" s="66"/>
      <c r="D35" s="66"/>
      <c r="E35" s="66"/>
      <c r="F35" s="66"/>
      <c r="G35" s="67"/>
      <c r="H35" s="67"/>
      <c r="I35" s="67"/>
      <c r="J35" s="67"/>
      <c r="K35" s="67"/>
      <c r="L35" s="68" t="str">
        <f aca="false">IF(B35&gt;=0.3,"APROBAR",IF(B35&gt;=0.2,"REVISAR","RECHAZAR"))</f>
        <v>REVISAR</v>
      </c>
      <c r="M35" s="68"/>
      <c r="N35" s="68"/>
    </row>
    <row r="37" customFormat="false" ht="15" hidden="false" customHeight="true" outlineLevel="0" collapsed="false">
      <c r="A37" s="26" t="s">
        <v>153</v>
      </c>
      <c r="B37" s="26"/>
      <c r="C37" s="26"/>
      <c r="D37" s="26"/>
      <c r="E37" s="26"/>
      <c r="F37" s="26"/>
      <c r="G37" s="26"/>
      <c r="H37" s="26"/>
      <c r="I37" s="27" t="s">
        <v>154</v>
      </c>
      <c r="J37" s="27"/>
      <c r="K37" s="27"/>
      <c r="L37" s="27"/>
      <c r="M37" s="27"/>
      <c r="N37" s="27"/>
      <c r="R37" s="28" t="s">
        <v>110</v>
      </c>
      <c r="S37" s="28"/>
      <c r="T37" s="28"/>
      <c r="U37" s="28"/>
      <c r="V37" s="28"/>
    </row>
    <row r="38" customFormat="false" ht="15" hidden="false" customHeight="true" outlineLevel="0" collapsed="false">
      <c r="A38" s="29" t="s">
        <v>111</v>
      </c>
      <c r="B38" s="30" t="s">
        <v>112</v>
      </c>
      <c r="C38" s="30"/>
      <c r="D38" s="30"/>
      <c r="E38" s="30"/>
      <c r="F38" s="30"/>
      <c r="G38" s="31"/>
      <c r="H38" s="32" t="s">
        <v>155</v>
      </c>
      <c r="I38" s="32"/>
      <c r="J38" s="32"/>
      <c r="K38" s="31"/>
      <c r="L38" s="33" t="s">
        <v>156</v>
      </c>
      <c r="M38" s="33"/>
      <c r="N38" s="33"/>
      <c r="R38" s="34" t="s">
        <v>157</v>
      </c>
      <c r="S38" s="34"/>
      <c r="T38" s="34"/>
      <c r="U38" s="34"/>
      <c r="V38" s="34"/>
    </row>
    <row r="39" customFormat="false" ht="15" hidden="false" customHeight="true" outlineLevel="0" collapsed="false">
      <c r="A39" s="31"/>
      <c r="B39" s="35" t="s">
        <v>116</v>
      </c>
      <c r="C39" s="35" t="s">
        <v>117</v>
      </c>
      <c r="D39" s="35" t="s">
        <v>118</v>
      </c>
      <c r="E39" s="35" t="s">
        <v>119</v>
      </c>
      <c r="F39" s="35" t="s">
        <v>120</v>
      </c>
      <c r="G39" s="31"/>
      <c r="H39" s="36" t="s">
        <v>116</v>
      </c>
      <c r="I39" s="36" t="s">
        <v>119</v>
      </c>
      <c r="J39" s="36" t="s">
        <v>120</v>
      </c>
      <c r="K39" s="31"/>
      <c r="L39" s="37" t="s">
        <v>116</v>
      </c>
      <c r="M39" s="37" t="s">
        <v>119</v>
      </c>
      <c r="N39" s="37" t="s">
        <v>120</v>
      </c>
      <c r="R39" s="38" t="s">
        <v>158</v>
      </c>
      <c r="S39" s="38"/>
      <c r="T39" s="38"/>
      <c r="U39" s="38"/>
      <c r="V39" s="38"/>
    </row>
    <row r="40" customFormat="false" ht="15" hidden="false" customHeight="true" outlineLevel="0" collapsed="false">
      <c r="A40" s="20" t="s">
        <v>122</v>
      </c>
      <c r="B40" s="39" t="n">
        <v>37</v>
      </c>
      <c r="C40" s="40" t="n">
        <v>30</v>
      </c>
      <c r="D40" s="41" t="n">
        <v>1.73784</v>
      </c>
      <c r="E40" s="41" t="n">
        <v>1.74</v>
      </c>
      <c r="F40" s="39" t="n">
        <f aca="false">ROUND(B40*E40,2)</f>
        <v>64.38</v>
      </c>
      <c r="G40" s="42"/>
      <c r="H40" s="43"/>
      <c r="I40" s="44"/>
      <c r="J40" s="43"/>
      <c r="K40" s="42"/>
      <c r="L40" s="45"/>
      <c r="M40" s="46"/>
      <c r="N40" s="45"/>
      <c r="R40" s="47" t="s">
        <v>159</v>
      </c>
      <c r="S40" s="47"/>
      <c r="T40" s="47"/>
      <c r="U40" s="47"/>
      <c r="V40" s="47"/>
    </row>
    <row r="41" customFormat="false" ht="15" hidden="false" customHeight="true" outlineLevel="0" collapsed="false">
      <c r="A41" s="20" t="s">
        <v>124</v>
      </c>
      <c r="B41" s="39" t="n">
        <v>37</v>
      </c>
      <c r="C41" s="40" t="n">
        <v>30</v>
      </c>
      <c r="D41" s="41" t="n">
        <v>0.9357</v>
      </c>
      <c r="E41" s="41" t="n">
        <v>0.94</v>
      </c>
      <c r="F41" s="39" t="n">
        <f aca="false">ROUND(B41*E41,2)</f>
        <v>34.78</v>
      </c>
      <c r="G41" s="42"/>
      <c r="H41" s="43"/>
      <c r="I41" s="44"/>
      <c r="J41" s="43"/>
      <c r="K41" s="42"/>
      <c r="L41" s="45"/>
      <c r="M41" s="46"/>
      <c r="N41" s="45"/>
      <c r="R41" s="48" t="s">
        <v>160</v>
      </c>
      <c r="S41" s="48"/>
      <c r="T41" s="48"/>
      <c r="U41" s="48"/>
      <c r="V41" s="48"/>
    </row>
    <row r="42" customFormat="false" ht="15" hidden="false" customHeight="true" outlineLevel="0" collapsed="false">
      <c r="A42" s="20" t="s">
        <v>126</v>
      </c>
      <c r="B42" s="39" t="n">
        <v>37</v>
      </c>
      <c r="C42" s="40" t="n">
        <v>30</v>
      </c>
      <c r="D42" s="41" t="n">
        <v>0.43137</v>
      </c>
      <c r="E42" s="41" t="n">
        <v>0.43</v>
      </c>
      <c r="F42" s="39" t="n">
        <f aca="false">ROUND(B42*E42,2)</f>
        <v>15.91</v>
      </c>
      <c r="G42" s="42"/>
      <c r="H42" s="43"/>
      <c r="I42" s="44"/>
      <c r="J42" s="43"/>
      <c r="K42" s="42"/>
      <c r="L42" s="45"/>
      <c r="M42" s="46"/>
      <c r="N42" s="45"/>
      <c r="R42" s="48" t="s">
        <v>161</v>
      </c>
      <c r="S42" s="48"/>
      <c r="T42" s="48"/>
      <c r="U42" s="48"/>
      <c r="V42" s="48"/>
    </row>
    <row r="43" customFormat="false" ht="15" hidden="false" customHeight="true" outlineLevel="0" collapsed="false">
      <c r="A43" s="20" t="s">
        <v>128</v>
      </c>
      <c r="B43" s="39" t="n">
        <v>37</v>
      </c>
      <c r="C43" s="40" t="n">
        <v>30</v>
      </c>
      <c r="D43" s="41" t="n">
        <v>0.38244</v>
      </c>
      <c r="E43" s="41" t="n">
        <v>0.38</v>
      </c>
      <c r="F43" s="39" t="n">
        <f aca="false">ROUND(B43*E43,2)</f>
        <v>14.06</v>
      </c>
      <c r="G43" s="42"/>
      <c r="H43" s="43"/>
      <c r="I43" s="44"/>
      <c r="J43" s="43"/>
      <c r="K43" s="42"/>
      <c r="L43" s="45"/>
      <c r="M43" s="46"/>
      <c r="N43" s="45"/>
      <c r="R43" s="69" t="s">
        <v>162</v>
      </c>
      <c r="S43" s="69"/>
      <c r="T43" s="69"/>
      <c r="U43" s="69"/>
      <c r="V43" s="69"/>
    </row>
    <row r="44" customFormat="false" ht="15" hidden="false" customHeight="true" outlineLevel="0" collapsed="false">
      <c r="A44" s="20" t="s">
        <v>130</v>
      </c>
      <c r="B44" s="39" t="n">
        <v>37</v>
      </c>
      <c r="C44" s="40" t="n">
        <v>30</v>
      </c>
      <c r="D44" s="41" t="n">
        <v>0.26964</v>
      </c>
      <c r="E44" s="41" t="n">
        <v>0.27</v>
      </c>
      <c r="F44" s="39" t="n">
        <f aca="false">ROUND(B44*E44,2)</f>
        <v>9.99</v>
      </c>
      <c r="G44" s="42"/>
      <c r="H44" s="43"/>
      <c r="I44" s="44"/>
      <c r="J44" s="43"/>
      <c r="K44" s="42"/>
      <c r="L44" s="45"/>
      <c r="M44" s="46"/>
      <c r="N44" s="45"/>
      <c r="R44" s="50" t="s">
        <v>131</v>
      </c>
      <c r="S44" s="50"/>
      <c r="T44" s="50"/>
      <c r="U44" s="50"/>
      <c r="V44" s="50"/>
    </row>
    <row r="45" customFormat="false" ht="15" hidden="false" customHeight="true" outlineLevel="0" collapsed="false">
      <c r="A45" s="20" t="s">
        <v>132</v>
      </c>
      <c r="B45" s="39" t="n">
        <v>37</v>
      </c>
      <c r="C45" s="40" t="n">
        <v>30</v>
      </c>
      <c r="D45" s="41" t="n">
        <v>0.18156</v>
      </c>
      <c r="E45" s="41" t="n">
        <v>0.18</v>
      </c>
      <c r="F45" s="39" t="n">
        <f aca="false">ROUND(B45*E45,2)</f>
        <v>6.66</v>
      </c>
      <c r="G45" s="42"/>
      <c r="H45" s="43"/>
      <c r="I45" s="44"/>
      <c r="J45" s="43"/>
      <c r="K45" s="42"/>
      <c r="L45" s="45"/>
      <c r="M45" s="46"/>
      <c r="N45" s="45"/>
    </row>
    <row r="46" customFormat="false" ht="15" hidden="false" customHeight="true" outlineLevel="0" collapsed="false">
      <c r="A46" s="51" t="s">
        <v>133</v>
      </c>
      <c r="B46" s="52" t="n">
        <f aca="false">IF($P$46="",5952.91,ROUND(5952.91*((2775.0294/(1-$P$46))-145.78)/2726,2))</f>
        <v>5952.91</v>
      </c>
      <c r="C46" s="40"/>
      <c r="D46" s="53" t="n">
        <v>0.121236</v>
      </c>
      <c r="E46" s="41" t="n">
        <v>0.142</v>
      </c>
      <c r="F46" s="39" t="n">
        <f aca="false">ROUND(B46*E46,2)</f>
        <v>845.31</v>
      </c>
      <c r="G46" s="42"/>
      <c r="H46" s="54"/>
      <c r="I46" s="44"/>
      <c r="J46" s="43"/>
      <c r="K46" s="42"/>
      <c r="L46" s="55"/>
      <c r="M46" s="46"/>
      <c r="N46" s="45"/>
      <c r="O46" s="56" t="s">
        <v>134</v>
      </c>
      <c r="P46" s="57"/>
    </row>
    <row r="47" customFormat="false" ht="15" hidden="false" customHeight="true" outlineLevel="0" collapsed="false">
      <c r="A47" s="51" t="s">
        <v>135</v>
      </c>
      <c r="B47" s="52" t="n">
        <f aca="false">IF($P$46="",4481.69,ROUND(4481.69*((2775.0294/(1-$P$46))-145.78)/2726,2))</f>
        <v>4481.69</v>
      </c>
      <c r="C47" s="40"/>
      <c r="D47" s="53" t="n">
        <v>0.114444</v>
      </c>
      <c r="E47" s="41" t="n">
        <v>0.114</v>
      </c>
      <c r="F47" s="39" t="n">
        <f aca="false">ROUND(B47*E47,2)</f>
        <v>510.91</v>
      </c>
      <c r="G47" s="42"/>
      <c r="H47" s="54"/>
      <c r="I47" s="44"/>
      <c r="J47" s="43"/>
      <c r="K47" s="42"/>
      <c r="L47" s="55"/>
      <c r="M47" s="46"/>
      <c r="N47" s="45"/>
      <c r="O47" s="58" t="s">
        <v>136</v>
      </c>
    </row>
    <row r="48" customFormat="false" ht="15" hidden="false" customHeight="true" outlineLevel="0" collapsed="false">
      <c r="A48" s="51" t="s">
        <v>137</v>
      </c>
      <c r="B48" s="52" t="n">
        <f aca="false">IF($P$46="",13057.95,ROUND(13057.95*((2775.0294/(1-$P$46))-145.78)/2726,2))</f>
        <v>13057.95</v>
      </c>
      <c r="C48" s="40"/>
      <c r="D48" s="53" t="n">
        <v>0.106808</v>
      </c>
      <c r="E48" s="41" t="n">
        <v>0.1049</v>
      </c>
      <c r="F48" s="39" t="n">
        <f aca="false">ROUND(B48*E48,2)</f>
        <v>1369.78</v>
      </c>
      <c r="G48" s="42"/>
      <c r="H48" s="54"/>
      <c r="I48" s="44"/>
      <c r="J48" s="43"/>
      <c r="K48" s="42"/>
      <c r="L48" s="55"/>
      <c r="M48" s="46"/>
      <c r="N48" s="45"/>
      <c r="O48" s="58" t="s">
        <v>138</v>
      </c>
    </row>
    <row r="49" customFormat="false" ht="15" hidden="false" customHeight="true" outlineLevel="0" collapsed="false">
      <c r="A49" s="20" t="s">
        <v>139</v>
      </c>
      <c r="B49" s="39" t="n">
        <v>1</v>
      </c>
      <c r="C49" s="59" t="n">
        <v>30</v>
      </c>
      <c r="D49" s="41" t="n">
        <v>6</v>
      </c>
      <c r="E49" s="41" t="n">
        <v>6</v>
      </c>
      <c r="F49" s="39" t="n">
        <f aca="false">ROUND(B49*E49,2)</f>
        <v>6</v>
      </c>
      <c r="G49" s="42"/>
      <c r="H49" s="43"/>
      <c r="I49" s="44"/>
      <c r="J49" s="43"/>
      <c r="K49" s="42"/>
      <c r="L49" s="45"/>
      <c r="M49" s="46"/>
      <c r="N49" s="45"/>
    </row>
    <row r="50" customFormat="false" ht="15" hidden="false" customHeight="true" outlineLevel="0" collapsed="false">
      <c r="A50" s="20" t="s">
        <v>140</v>
      </c>
      <c r="B50" s="39" t="n">
        <v>30</v>
      </c>
      <c r="C50" s="59" t="n">
        <v>30</v>
      </c>
      <c r="D50" s="41" t="n">
        <v>0.01912</v>
      </c>
      <c r="E50" s="41" t="n">
        <v>0.01912</v>
      </c>
      <c r="F50" s="39" t="n">
        <f aca="false">ROUND(B50*E50,2)</f>
        <v>0.57</v>
      </c>
      <c r="G50" s="42"/>
      <c r="H50" s="43"/>
      <c r="I50" s="44"/>
      <c r="J50" s="43"/>
      <c r="K50" s="42"/>
      <c r="L50" s="45"/>
      <c r="M50" s="46"/>
      <c r="N50" s="45"/>
    </row>
    <row r="51" customFormat="false" ht="15" hidden="false" customHeight="true" outlineLevel="0" collapsed="false">
      <c r="A51" s="20" t="s">
        <v>141</v>
      </c>
      <c r="B51" s="39" t="n">
        <v>155.12</v>
      </c>
      <c r="C51" s="40"/>
      <c r="D51" s="41" t="n">
        <v>1</v>
      </c>
      <c r="E51" s="41" t="n">
        <v>1</v>
      </c>
      <c r="F51" s="39" t="n">
        <f aca="false">ROUND(B51*E51,2)</f>
        <v>155.12</v>
      </c>
      <c r="G51" s="42"/>
      <c r="H51" s="43"/>
      <c r="I51" s="44"/>
      <c r="J51" s="43"/>
      <c r="K51" s="42"/>
      <c r="L51" s="45"/>
      <c r="M51" s="46"/>
      <c r="N51" s="45"/>
    </row>
    <row r="52" customFormat="false" ht="15" hidden="false" customHeight="true" outlineLevel="0" collapsed="false">
      <c r="A52" s="60" t="s">
        <v>142</v>
      </c>
      <c r="B52" s="61"/>
      <c r="C52" s="61"/>
      <c r="D52" s="61"/>
      <c r="E52" s="61"/>
      <c r="F52" s="62" t="n">
        <f aca="false">ROUND((SUM(F40:F51)-F51)*1.21+F51,2)</f>
        <v>3637.92</v>
      </c>
      <c r="G52" s="61"/>
      <c r="H52" s="61"/>
      <c r="I52" s="61"/>
      <c r="J52" s="61"/>
      <c r="K52" s="61"/>
      <c r="L52" s="61"/>
      <c r="M52" s="61"/>
      <c r="N52" s="61"/>
    </row>
    <row r="53" customFormat="false" ht="15" hidden="false" customHeight="true" outlineLevel="0" collapsed="false">
      <c r="A53" s="65" t="s">
        <v>143</v>
      </c>
      <c r="B53" s="66" t="n">
        <f aca="false">(SUM(F40:F48)-2775.0294)/SUM(F40:F48)</f>
        <v>0.0336901155380983</v>
      </c>
      <c r="C53" s="66"/>
      <c r="D53" s="66"/>
      <c r="E53" s="66"/>
      <c r="F53" s="66"/>
      <c r="G53" s="67"/>
      <c r="H53" s="67"/>
      <c r="I53" s="67"/>
      <c r="J53" s="67"/>
      <c r="K53" s="67"/>
      <c r="L53" s="68" t="str">
        <f aca="false">IF(B53&gt;=0.3,"APROBAR",IF(B53&gt;=0.2,"REVISAR","RECHAZAR"))</f>
        <v>RECHAZAR</v>
      </c>
      <c r="M53" s="68"/>
      <c r="N53" s="68"/>
    </row>
    <row r="55" customFormat="false" ht="15" hidden="false" customHeight="true" outlineLevel="0" collapsed="false">
      <c r="A55" s="26" t="s">
        <v>163</v>
      </c>
      <c r="B55" s="26"/>
      <c r="C55" s="26"/>
      <c r="D55" s="26"/>
      <c r="E55" s="26"/>
      <c r="F55" s="26"/>
      <c r="G55" s="26"/>
      <c r="H55" s="26"/>
      <c r="I55" s="27" t="s">
        <v>164</v>
      </c>
      <c r="J55" s="27"/>
      <c r="K55" s="27"/>
      <c r="L55" s="27"/>
      <c r="M55" s="27"/>
      <c r="N55" s="27"/>
      <c r="R55" s="28" t="s">
        <v>110</v>
      </c>
      <c r="S55" s="28"/>
      <c r="T55" s="28"/>
      <c r="U55" s="28"/>
      <c r="V55" s="28"/>
    </row>
    <row r="56" customFormat="false" ht="15" hidden="false" customHeight="true" outlineLevel="0" collapsed="false">
      <c r="A56" s="29" t="s">
        <v>111</v>
      </c>
      <c r="B56" s="30" t="s">
        <v>112</v>
      </c>
      <c r="C56" s="30"/>
      <c r="D56" s="30"/>
      <c r="E56" s="30"/>
      <c r="F56" s="30"/>
      <c r="G56" s="31"/>
      <c r="H56" s="32" t="s">
        <v>165</v>
      </c>
      <c r="I56" s="32"/>
      <c r="J56" s="32"/>
      <c r="K56" s="31"/>
      <c r="L56" s="33" t="s">
        <v>166</v>
      </c>
      <c r="M56" s="33"/>
      <c r="N56" s="33"/>
      <c r="R56" s="34" t="s">
        <v>167</v>
      </c>
      <c r="S56" s="34"/>
      <c r="T56" s="34"/>
      <c r="U56" s="34"/>
      <c r="V56" s="34"/>
    </row>
    <row r="57" customFormat="false" ht="15" hidden="false" customHeight="true" outlineLevel="0" collapsed="false">
      <c r="A57" s="31"/>
      <c r="B57" s="35" t="s">
        <v>116</v>
      </c>
      <c r="C57" s="35" t="s">
        <v>117</v>
      </c>
      <c r="D57" s="35" t="s">
        <v>118</v>
      </c>
      <c r="E57" s="35" t="s">
        <v>119</v>
      </c>
      <c r="F57" s="35" t="s">
        <v>120</v>
      </c>
      <c r="G57" s="31"/>
      <c r="H57" s="36" t="s">
        <v>116</v>
      </c>
      <c r="I57" s="36" t="s">
        <v>119</v>
      </c>
      <c r="J57" s="36" t="s">
        <v>120</v>
      </c>
      <c r="K57" s="31"/>
      <c r="L57" s="37" t="s">
        <v>116</v>
      </c>
      <c r="M57" s="37" t="s">
        <v>119</v>
      </c>
      <c r="N57" s="37" t="s">
        <v>120</v>
      </c>
      <c r="R57" s="38" t="s">
        <v>168</v>
      </c>
      <c r="S57" s="38"/>
      <c r="T57" s="38"/>
      <c r="U57" s="38"/>
      <c r="V57" s="38"/>
    </row>
    <row r="58" customFormat="false" ht="15" hidden="false" customHeight="true" outlineLevel="0" collapsed="false">
      <c r="A58" s="20" t="s">
        <v>122</v>
      </c>
      <c r="B58" s="39" t="n">
        <v>40</v>
      </c>
      <c r="C58" s="40" t="n">
        <v>30</v>
      </c>
      <c r="D58" s="41" t="n">
        <v>2.43249</v>
      </c>
      <c r="E58" s="41" t="n">
        <v>3.0517</v>
      </c>
      <c r="F58" s="39" t="n">
        <f aca="false">ROUND(B58*E58,2)</f>
        <v>122.07</v>
      </c>
      <c r="G58" s="42"/>
      <c r="H58" s="43" t="n">
        <v>40</v>
      </c>
      <c r="I58" s="44" t="n">
        <v>2.3922</v>
      </c>
      <c r="J58" s="43" t="n">
        <f aca="false">ROUND(H58*I58,2)</f>
        <v>95.69</v>
      </c>
      <c r="K58" s="42"/>
      <c r="L58" s="45" t="n">
        <v>40</v>
      </c>
      <c r="M58" s="46" t="n">
        <v>3.0517</v>
      </c>
      <c r="N58" s="45" t="n">
        <f aca="false">ROUND(L58*M58,2)</f>
        <v>122.07</v>
      </c>
      <c r="R58" s="47" t="s">
        <v>169</v>
      </c>
      <c r="S58" s="47"/>
      <c r="T58" s="47"/>
      <c r="U58" s="47"/>
      <c r="V58" s="47"/>
    </row>
    <row r="59" customFormat="false" ht="15" hidden="false" customHeight="true" outlineLevel="0" collapsed="false">
      <c r="A59" s="20" t="s">
        <v>124</v>
      </c>
      <c r="B59" s="39" t="n">
        <v>40</v>
      </c>
      <c r="C59" s="40" t="n">
        <v>30</v>
      </c>
      <c r="D59" s="41" t="n">
        <v>1.27518</v>
      </c>
      <c r="E59" s="41" t="n">
        <v>1.8367</v>
      </c>
      <c r="F59" s="39" t="n">
        <f aca="false">ROUND(B59*E59,2)</f>
        <v>73.47</v>
      </c>
      <c r="G59" s="42"/>
      <c r="H59" s="43" t="n">
        <v>40</v>
      </c>
      <c r="I59" s="44" t="n">
        <v>2.0667</v>
      </c>
      <c r="J59" s="43" t="n">
        <f aca="false">ROUND(H59*I59,2)</f>
        <v>82.67</v>
      </c>
      <c r="K59" s="42"/>
      <c r="L59" s="45" t="n">
        <v>40</v>
      </c>
      <c r="M59" s="46" t="n">
        <v>1.8367</v>
      </c>
      <c r="N59" s="45" t="n">
        <f aca="false">ROUND(L59*M59,2)</f>
        <v>73.47</v>
      </c>
      <c r="R59" s="48" t="s">
        <v>170</v>
      </c>
      <c r="S59" s="48"/>
      <c r="T59" s="48"/>
      <c r="U59" s="48"/>
      <c r="V59" s="48"/>
    </row>
    <row r="60" customFormat="false" ht="15" hidden="false" customHeight="true" outlineLevel="0" collapsed="false">
      <c r="A60" s="20" t="s">
        <v>126</v>
      </c>
      <c r="B60" s="39" t="n">
        <v>40</v>
      </c>
      <c r="C60" s="40" t="n">
        <v>30</v>
      </c>
      <c r="D60" s="41" t="n">
        <v>0.55905</v>
      </c>
      <c r="E60" s="41" t="n">
        <v>1.4159</v>
      </c>
      <c r="F60" s="39" t="n">
        <f aca="false">ROUND(B60*E60,2)</f>
        <v>56.64</v>
      </c>
      <c r="G60" s="42"/>
      <c r="H60" s="43" t="n">
        <v>40</v>
      </c>
      <c r="I60" s="44" t="n">
        <v>1.0757</v>
      </c>
      <c r="J60" s="43" t="n">
        <f aca="false">ROUND(H60*I60,2)</f>
        <v>43.03</v>
      </c>
      <c r="K60" s="42"/>
      <c r="L60" s="45" t="n">
        <v>40</v>
      </c>
      <c r="M60" s="46" t="n">
        <v>1.4159</v>
      </c>
      <c r="N60" s="45" t="n">
        <f aca="false">ROUND(L60*M60,2)</f>
        <v>56.64</v>
      </c>
      <c r="R60" s="48" t="s">
        <v>171</v>
      </c>
      <c r="S60" s="48"/>
      <c r="T60" s="48"/>
      <c r="U60" s="48"/>
      <c r="V60" s="48"/>
    </row>
    <row r="61" customFormat="false" ht="15" hidden="false" customHeight="true" outlineLevel="0" collapsed="false">
      <c r="A61" s="20" t="s">
        <v>128</v>
      </c>
      <c r="B61" s="39" t="n">
        <v>40</v>
      </c>
      <c r="C61" s="40" t="n">
        <v>30</v>
      </c>
      <c r="D61" s="41" t="n">
        <v>0.44334</v>
      </c>
      <c r="E61" s="41" t="n">
        <v>1.1559</v>
      </c>
      <c r="F61" s="39" t="n">
        <f aca="false">ROUND(B61*E61,2)</f>
        <v>46.24</v>
      </c>
      <c r="G61" s="42"/>
      <c r="H61" s="43" t="n">
        <v>40</v>
      </c>
      <c r="I61" s="44" t="n">
        <v>0.8917</v>
      </c>
      <c r="J61" s="43" t="n">
        <f aca="false">ROUND(H61*I61,2)</f>
        <v>35.67</v>
      </c>
      <c r="K61" s="42"/>
      <c r="L61" s="45" t="n">
        <v>40</v>
      </c>
      <c r="M61" s="46" t="n">
        <v>1.1559</v>
      </c>
      <c r="N61" s="45" t="n">
        <f aca="false">ROUND(L61*M61,2)</f>
        <v>46.24</v>
      </c>
      <c r="R61" s="69" t="s">
        <v>162</v>
      </c>
      <c r="S61" s="69"/>
      <c r="T61" s="69"/>
      <c r="U61" s="69"/>
      <c r="V61" s="69"/>
    </row>
    <row r="62" customFormat="false" ht="15" hidden="false" customHeight="true" outlineLevel="0" collapsed="false">
      <c r="A62" s="20" t="s">
        <v>130</v>
      </c>
      <c r="B62" s="39" t="n">
        <v>40</v>
      </c>
      <c r="C62" s="40" t="n">
        <v>30</v>
      </c>
      <c r="D62" s="41" t="n">
        <v>0.17466</v>
      </c>
      <c r="E62" s="41" t="n">
        <v>0.2139</v>
      </c>
      <c r="F62" s="39" t="n">
        <f aca="false">ROUND(B62*E62,2)</f>
        <v>8.56</v>
      </c>
      <c r="G62" s="42"/>
      <c r="H62" s="43" t="n">
        <v>40</v>
      </c>
      <c r="I62" s="44" t="n">
        <v>0.2067</v>
      </c>
      <c r="J62" s="43" t="n">
        <f aca="false">ROUND(H62*I62,2)</f>
        <v>8.27</v>
      </c>
      <c r="K62" s="42"/>
      <c r="L62" s="45" t="n">
        <v>40</v>
      </c>
      <c r="M62" s="46" t="n">
        <v>0.2139</v>
      </c>
      <c r="N62" s="45" t="n">
        <f aca="false">ROUND(L62*M62,2)</f>
        <v>8.56</v>
      </c>
      <c r="R62" s="50" t="s">
        <v>131</v>
      </c>
      <c r="S62" s="50"/>
      <c r="T62" s="50"/>
      <c r="U62" s="50"/>
      <c r="V62" s="50"/>
    </row>
    <row r="63" customFormat="false" ht="15" hidden="false" customHeight="true" outlineLevel="0" collapsed="false">
      <c r="A63" s="20" t="s">
        <v>132</v>
      </c>
      <c r="B63" s="39" t="n">
        <v>40</v>
      </c>
      <c r="C63" s="40" t="n">
        <v>30</v>
      </c>
      <c r="D63" s="41" t="n">
        <v>0.08253</v>
      </c>
      <c r="E63" s="41" t="n">
        <v>0.1209</v>
      </c>
      <c r="F63" s="39" t="n">
        <f aca="false">ROUND(B63*E63,2)</f>
        <v>4.84</v>
      </c>
      <c r="G63" s="42"/>
      <c r="H63" s="43" t="n">
        <v>40</v>
      </c>
      <c r="I63" s="44" t="n">
        <v>0.1244</v>
      </c>
      <c r="J63" s="43" t="n">
        <f aca="false">ROUND(H63*I63,2)</f>
        <v>4.98</v>
      </c>
      <c r="K63" s="42"/>
      <c r="L63" s="45" t="n">
        <v>40</v>
      </c>
      <c r="M63" s="46" t="n">
        <v>0.1209</v>
      </c>
      <c r="N63" s="45" t="n">
        <f aca="false">ROUND(L63*M63,2)</f>
        <v>4.84</v>
      </c>
    </row>
    <row r="64" customFormat="false" ht="15" hidden="false" customHeight="true" outlineLevel="0" collapsed="false">
      <c r="A64" s="51" t="s">
        <v>133</v>
      </c>
      <c r="B64" s="52" t="n">
        <f aca="false">IF($P$64="",5772.67,ROUND(5772.67*((1679.5979/(1-$P$64))-311.82)/2112.37,2))</f>
        <v>5772.67</v>
      </c>
      <c r="C64" s="40"/>
      <c r="D64" s="53" t="n">
        <v>0.097753</v>
      </c>
      <c r="E64" s="41" t="n">
        <v>0.13</v>
      </c>
      <c r="F64" s="39" t="n">
        <f aca="false">ROUND(B64*E64,2)</f>
        <v>750.45</v>
      </c>
      <c r="G64" s="42"/>
      <c r="H64" s="54" t="n">
        <v>3991</v>
      </c>
      <c r="I64" s="44" t="n">
        <v>0.13</v>
      </c>
      <c r="J64" s="43" t="n">
        <f aca="false">ROUND(H64*I64,2)</f>
        <v>518.83</v>
      </c>
      <c r="K64" s="42"/>
      <c r="L64" s="55" t="n">
        <v>5772.67</v>
      </c>
      <c r="M64" s="46" t="n">
        <v>0.16</v>
      </c>
      <c r="N64" s="45" t="n">
        <f aca="false">ROUND(L64*M64,2)</f>
        <v>923.63</v>
      </c>
      <c r="O64" s="56" t="s">
        <v>134</v>
      </c>
      <c r="P64" s="57"/>
    </row>
    <row r="65" customFormat="false" ht="15" hidden="false" customHeight="true" outlineLevel="0" collapsed="false">
      <c r="A65" s="51" t="s">
        <v>135</v>
      </c>
      <c r="B65" s="52" t="n">
        <f aca="false">IF($P$64="",4223.96,ROUND(4223.96*((1679.5979/(1-$P$64))-311.82)/2112.37,2))</f>
        <v>4223.96</v>
      </c>
      <c r="C65" s="40"/>
      <c r="D65" s="53" t="n">
        <v>0.091419</v>
      </c>
      <c r="E65" s="41" t="n">
        <v>0.13</v>
      </c>
      <c r="F65" s="39" t="n">
        <f aca="false">ROUND(B65*E65,2)</f>
        <v>549.11</v>
      </c>
      <c r="G65" s="42"/>
      <c r="H65" s="54" t="n">
        <v>6530</v>
      </c>
      <c r="I65" s="44" t="n">
        <v>0.13</v>
      </c>
      <c r="J65" s="43" t="n">
        <f aca="false">ROUND(H65*I65,2)</f>
        <v>848.9</v>
      </c>
      <c r="K65" s="42"/>
      <c r="L65" s="55" t="n">
        <v>4223.96</v>
      </c>
      <c r="M65" s="46" t="n">
        <v>0.16</v>
      </c>
      <c r="N65" s="45" t="n">
        <f aca="false">ROUND(L65*M65,2)</f>
        <v>675.83</v>
      </c>
      <c r="O65" s="58" t="s">
        <v>136</v>
      </c>
    </row>
    <row r="66" customFormat="false" ht="15" hidden="false" customHeight="true" outlineLevel="0" collapsed="false">
      <c r="A66" s="51" t="s">
        <v>137</v>
      </c>
      <c r="B66" s="52" t="n">
        <f aca="false">IF($P$64="",6252.35,ROUND(6252.35*((1679.5979/(1-$P$64))-311.82)/2112.37,2))</f>
        <v>6252.35</v>
      </c>
      <c r="C66" s="40"/>
      <c r="D66" s="53" t="n">
        <v>0.084842</v>
      </c>
      <c r="E66" s="41" t="n">
        <v>0.13</v>
      </c>
      <c r="F66" s="39" t="n">
        <f aca="false">ROUND(B66*E66,2)</f>
        <v>812.81</v>
      </c>
      <c r="G66" s="42"/>
      <c r="H66" s="54" t="n">
        <v>8909</v>
      </c>
      <c r="I66" s="44" t="n">
        <v>0.13</v>
      </c>
      <c r="J66" s="43" t="n">
        <f aca="false">ROUND(H66*I66,2)</f>
        <v>1158.17</v>
      </c>
      <c r="K66" s="42"/>
      <c r="L66" s="55" t="n">
        <v>6252.35</v>
      </c>
      <c r="M66" s="46" t="n">
        <v>0.16</v>
      </c>
      <c r="N66" s="45" t="n">
        <f aca="false">ROUND(L66*M66,2)</f>
        <v>1000.38</v>
      </c>
      <c r="O66" s="58" t="s">
        <v>138</v>
      </c>
    </row>
    <row r="67" customFormat="false" ht="15" hidden="false" customHeight="true" outlineLevel="0" collapsed="false">
      <c r="A67" s="20" t="s">
        <v>139</v>
      </c>
      <c r="B67" s="39" t="n">
        <v>1</v>
      </c>
      <c r="C67" s="59" t="n">
        <v>30</v>
      </c>
      <c r="D67" s="41" t="n">
        <v>17.615</v>
      </c>
      <c r="E67" s="41" t="n">
        <v>17.615</v>
      </c>
      <c r="F67" s="39" t="n">
        <f aca="false">ROUND(B67*E67,2)</f>
        <v>17.62</v>
      </c>
      <c r="G67" s="42"/>
      <c r="H67" s="43" t="n">
        <v>1</v>
      </c>
      <c r="I67" s="44" t="n">
        <v>17.615</v>
      </c>
      <c r="J67" s="43" t="n">
        <f aca="false">ROUND(H67*I67,2)</f>
        <v>17.62</v>
      </c>
      <c r="K67" s="42"/>
      <c r="L67" s="45" t="n">
        <v>1</v>
      </c>
      <c r="M67" s="46" t="n">
        <v>17.615</v>
      </c>
      <c r="N67" s="45" t="n">
        <f aca="false">ROUND(L67*M67,2)</f>
        <v>17.62</v>
      </c>
    </row>
    <row r="68" customFormat="false" ht="15" hidden="false" customHeight="true" outlineLevel="0" collapsed="false">
      <c r="A68" s="20" t="s">
        <v>140</v>
      </c>
      <c r="B68" s="39" t="n">
        <v>30</v>
      </c>
      <c r="C68" s="59" t="n">
        <v>30</v>
      </c>
      <c r="D68" s="41" t="n">
        <v>0.01274</v>
      </c>
      <c r="E68" s="41" t="n">
        <v>0.01274</v>
      </c>
      <c r="F68" s="39" t="n">
        <f aca="false">ROUND(B68*E68,2)</f>
        <v>0.38</v>
      </c>
      <c r="G68" s="42"/>
      <c r="H68" s="43" t="n">
        <v>30</v>
      </c>
      <c r="I68" s="44" t="n">
        <v>0.01274</v>
      </c>
      <c r="J68" s="43" t="n">
        <f aca="false">ROUND(H68*I68,2)</f>
        <v>0.38</v>
      </c>
      <c r="K68" s="42"/>
      <c r="L68" s="45" t="n">
        <v>30</v>
      </c>
      <c r="M68" s="46" t="n">
        <v>0.00629</v>
      </c>
      <c r="N68" s="45" t="n">
        <f aca="false">ROUND(L68*M68,2)</f>
        <v>0.19</v>
      </c>
    </row>
    <row r="69" customFormat="false" ht="15" hidden="false" customHeight="true" outlineLevel="0" collapsed="false">
      <c r="A69" s="20" t="s">
        <v>141</v>
      </c>
      <c r="B69" s="39" t="n">
        <v>132.29</v>
      </c>
      <c r="C69" s="40"/>
      <c r="D69" s="41" t="n">
        <v>1</v>
      </c>
      <c r="E69" s="41" t="n">
        <v>1</v>
      </c>
      <c r="F69" s="39" t="n">
        <f aca="false">ROUND(B69*E69,2)</f>
        <v>132.29</v>
      </c>
      <c r="G69" s="42"/>
      <c r="H69" s="43" t="n">
        <v>152.79</v>
      </c>
      <c r="I69" s="44" t="n">
        <v>1</v>
      </c>
      <c r="J69" s="43" t="n">
        <f aca="false">ROUND(H69*I69,2)</f>
        <v>152.79</v>
      </c>
      <c r="K69" s="42"/>
      <c r="L69" s="45" t="n">
        <v>146.7</v>
      </c>
      <c r="M69" s="46" t="n">
        <v>1</v>
      </c>
      <c r="N69" s="45" t="n">
        <f aca="false">ROUND(L69*M69,2)</f>
        <v>146.7</v>
      </c>
    </row>
    <row r="70" customFormat="false" ht="15" hidden="false" customHeight="true" outlineLevel="0" collapsed="false">
      <c r="A70" s="51" t="s">
        <v>172</v>
      </c>
      <c r="B70" s="70"/>
      <c r="C70" s="40"/>
      <c r="D70" s="40"/>
      <c r="E70" s="71" t="s">
        <v>173</v>
      </c>
      <c r="F70" s="40"/>
      <c r="G70" s="42"/>
      <c r="H70" s="72"/>
      <c r="I70" s="72"/>
      <c r="J70" s="72"/>
      <c r="K70" s="42"/>
      <c r="L70" s="73"/>
      <c r="M70" s="73"/>
      <c r="N70" s="73"/>
    </row>
    <row r="71" customFormat="false" ht="15" hidden="false" customHeight="true" outlineLevel="0" collapsed="false">
      <c r="A71" s="60" t="s">
        <v>142</v>
      </c>
      <c r="B71" s="61"/>
      <c r="C71" s="61"/>
      <c r="D71" s="61"/>
      <c r="E71" s="61"/>
      <c r="F71" s="62" t="n">
        <f aca="false">ROUND((SUM(F58:F70)-F69)*1.21+F69,2)</f>
        <v>3087.34</v>
      </c>
      <c r="G71" s="61"/>
      <c r="H71" s="61"/>
      <c r="I71" s="61"/>
      <c r="J71" s="63" t="n">
        <f aca="false">ROUND((SUM(J58:J70)-J69)*1.21+J69,2)</f>
        <v>3557.98</v>
      </c>
      <c r="K71" s="61"/>
      <c r="L71" s="61"/>
      <c r="M71" s="61"/>
      <c r="N71" s="64" t="n">
        <f aca="false">ROUND((SUM(N58:N70)-N69)*1.21+N69,2)</f>
        <v>3691.36</v>
      </c>
    </row>
    <row r="72" customFormat="false" ht="15" hidden="false" customHeight="true" outlineLevel="0" collapsed="false">
      <c r="A72" s="65" t="s">
        <v>143</v>
      </c>
      <c r="B72" s="66" t="n">
        <f aca="false">(SUM(F58:F66)-1679.5979)/SUM(F58:F66)</f>
        <v>0.307150883387853</v>
      </c>
      <c r="C72" s="66"/>
      <c r="D72" s="66"/>
      <c r="E72" s="66"/>
      <c r="F72" s="66"/>
      <c r="G72" s="67"/>
      <c r="H72" s="67"/>
      <c r="I72" s="67"/>
      <c r="J72" s="67"/>
      <c r="K72" s="67"/>
      <c r="L72" s="68" t="str">
        <f aca="false">IF(B72&gt;=0.3,"APROBAR",IF(B72&gt;=0.2,"REVISAR","RECHAZAR"))</f>
        <v>APROBAR</v>
      </c>
      <c r="M72" s="68"/>
      <c r="N72" s="68"/>
    </row>
    <row r="74" customFormat="false" ht="15" hidden="false" customHeight="true" outlineLevel="0" collapsed="false">
      <c r="A74" s="26" t="s">
        <v>174</v>
      </c>
      <c r="B74" s="26"/>
      <c r="C74" s="26"/>
      <c r="D74" s="26"/>
      <c r="E74" s="26"/>
      <c r="F74" s="26"/>
      <c r="G74" s="26"/>
      <c r="H74" s="26"/>
      <c r="I74" s="27" t="s">
        <v>175</v>
      </c>
      <c r="J74" s="27"/>
      <c r="K74" s="27"/>
      <c r="L74" s="27"/>
      <c r="M74" s="27"/>
      <c r="N74" s="27"/>
      <c r="R74" s="28" t="s">
        <v>110</v>
      </c>
      <c r="S74" s="28"/>
      <c r="T74" s="28"/>
      <c r="U74" s="28"/>
      <c r="V74" s="28"/>
    </row>
    <row r="75" customFormat="false" ht="15" hidden="false" customHeight="true" outlineLevel="0" collapsed="false">
      <c r="A75" s="29" t="s">
        <v>111</v>
      </c>
      <c r="B75" s="30" t="s">
        <v>112</v>
      </c>
      <c r="C75" s="30"/>
      <c r="D75" s="30"/>
      <c r="E75" s="30"/>
      <c r="F75" s="30"/>
      <c r="G75" s="31"/>
      <c r="H75" s="32" t="s">
        <v>176</v>
      </c>
      <c r="I75" s="32"/>
      <c r="J75" s="32"/>
      <c r="K75" s="31"/>
      <c r="L75" s="33" t="s">
        <v>177</v>
      </c>
      <c r="M75" s="33"/>
      <c r="N75" s="33"/>
      <c r="R75" s="34" t="s">
        <v>178</v>
      </c>
      <c r="S75" s="34"/>
      <c r="T75" s="34"/>
      <c r="U75" s="34"/>
      <c r="V75" s="34"/>
    </row>
    <row r="76" customFormat="false" ht="15" hidden="false" customHeight="true" outlineLevel="0" collapsed="false">
      <c r="A76" s="31"/>
      <c r="B76" s="35" t="s">
        <v>116</v>
      </c>
      <c r="C76" s="35" t="s">
        <v>117</v>
      </c>
      <c r="D76" s="35" t="s">
        <v>118</v>
      </c>
      <c r="E76" s="35" t="s">
        <v>119</v>
      </c>
      <c r="F76" s="35" t="s">
        <v>120</v>
      </c>
      <c r="G76" s="31"/>
      <c r="H76" s="36" t="s">
        <v>116</v>
      </c>
      <c r="I76" s="36" t="s">
        <v>119</v>
      </c>
      <c r="J76" s="36" t="s">
        <v>120</v>
      </c>
      <c r="K76" s="31"/>
      <c r="L76" s="37" t="s">
        <v>116</v>
      </c>
      <c r="M76" s="37" t="s">
        <v>119</v>
      </c>
      <c r="N76" s="37" t="s">
        <v>120</v>
      </c>
      <c r="R76" s="38" t="s">
        <v>179</v>
      </c>
      <c r="S76" s="38"/>
      <c r="T76" s="38"/>
      <c r="U76" s="38"/>
      <c r="V76" s="38"/>
    </row>
    <row r="77" customFormat="false" ht="15" hidden="false" customHeight="true" outlineLevel="0" collapsed="false">
      <c r="A77" s="20" t="s">
        <v>122</v>
      </c>
      <c r="B77" s="39" t="n">
        <v>24.249</v>
      </c>
      <c r="C77" s="40" t="n">
        <v>30</v>
      </c>
      <c r="D77" s="41" t="n">
        <v>1.73784</v>
      </c>
      <c r="E77" s="41" t="n">
        <v>2.5542</v>
      </c>
      <c r="F77" s="39" t="n">
        <f aca="false">ROUND(B77*E77,2)</f>
        <v>61.94</v>
      </c>
      <c r="G77" s="42"/>
      <c r="H77" s="43" t="n">
        <v>24.249</v>
      </c>
      <c r="I77" s="44" t="n">
        <v>2.5542</v>
      </c>
      <c r="J77" s="43" t="n">
        <f aca="false">ROUND(H77*I77,2)</f>
        <v>61.94</v>
      </c>
      <c r="K77" s="42"/>
      <c r="L77" s="45" t="n">
        <v>24.249</v>
      </c>
      <c r="M77" s="46" t="n">
        <v>2.5542</v>
      </c>
      <c r="N77" s="45" t="n">
        <f aca="false">ROUND(L77*M77,2)</f>
        <v>61.94</v>
      </c>
      <c r="R77" s="47" t="s">
        <v>180</v>
      </c>
      <c r="S77" s="47"/>
      <c r="T77" s="47"/>
      <c r="U77" s="47"/>
      <c r="V77" s="47"/>
    </row>
    <row r="78" customFormat="false" ht="15" hidden="false" customHeight="true" outlineLevel="0" collapsed="false">
      <c r="A78" s="20" t="s">
        <v>124</v>
      </c>
      <c r="B78" s="39" t="n">
        <v>24.249</v>
      </c>
      <c r="C78" s="40" t="n">
        <v>30</v>
      </c>
      <c r="D78" s="41" t="n">
        <v>0.9357</v>
      </c>
      <c r="E78" s="41" t="n">
        <v>1.3773</v>
      </c>
      <c r="F78" s="39" t="n">
        <f aca="false">ROUND(B78*E78,2)</f>
        <v>33.4</v>
      </c>
      <c r="G78" s="42"/>
      <c r="H78" s="43" t="n">
        <v>24.249</v>
      </c>
      <c r="I78" s="44" t="n">
        <v>1.3773</v>
      </c>
      <c r="J78" s="43" t="n">
        <f aca="false">ROUND(H78*I78,2)</f>
        <v>33.4</v>
      </c>
      <c r="K78" s="42"/>
      <c r="L78" s="45" t="n">
        <v>24.249</v>
      </c>
      <c r="M78" s="46" t="n">
        <v>1.3773</v>
      </c>
      <c r="N78" s="45" t="n">
        <f aca="false">ROUND(L78*M78,2)</f>
        <v>33.4</v>
      </c>
      <c r="R78" s="48" t="s">
        <v>181</v>
      </c>
      <c r="S78" s="48"/>
      <c r="T78" s="48"/>
      <c r="U78" s="48"/>
      <c r="V78" s="48"/>
    </row>
    <row r="79" customFormat="false" ht="15" hidden="false" customHeight="true" outlineLevel="0" collapsed="false">
      <c r="A79" s="20" t="s">
        <v>126</v>
      </c>
      <c r="B79" s="39" t="n">
        <v>24.249</v>
      </c>
      <c r="C79" s="40" t="n">
        <v>30</v>
      </c>
      <c r="D79" s="41" t="n">
        <v>0.43137</v>
      </c>
      <c r="E79" s="41" t="n">
        <v>0.6286</v>
      </c>
      <c r="F79" s="39" t="n">
        <f aca="false">ROUND(B79*E79,2)</f>
        <v>15.24</v>
      </c>
      <c r="G79" s="42"/>
      <c r="H79" s="43" t="n">
        <v>24.249</v>
      </c>
      <c r="I79" s="44" t="n">
        <v>0.6286</v>
      </c>
      <c r="J79" s="43" t="n">
        <f aca="false">ROUND(H79*I79,2)</f>
        <v>15.24</v>
      </c>
      <c r="K79" s="42"/>
      <c r="L79" s="45" t="n">
        <v>24.249</v>
      </c>
      <c r="M79" s="46" t="n">
        <v>0.6286</v>
      </c>
      <c r="N79" s="45" t="n">
        <f aca="false">ROUND(L79*M79,2)</f>
        <v>15.24</v>
      </c>
      <c r="R79" s="48" t="s">
        <v>182</v>
      </c>
      <c r="S79" s="48"/>
      <c r="T79" s="48"/>
      <c r="U79" s="48"/>
      <c r="V79" s="48"/>
    </row>
    <row r="80" customFormat="false" ht="15" hidden="false" customHeight="true" outlineLevel="0" collapsed="false">
      <c r="A80" s="20" t="s">
        <v>128</v>
      </c>
      <c r="B80" s="39" t="n">
        <v>24.249</v>
      </c>
      <c r="C80" s="40" t="n">
        <v>30</v>
      </c>
      <c r="D80" s="41" t="n">
        <v>0.38244</v>
      </c>
      <c r="E80" s="41" t="n">
        <v>0.5561</v>
      </c>
      <c r="F80" s="39" t="n">
        <f aca="false">ROUND(B80*E80,2)</f>
        <v>13.48</v>
      </c>
      <c r="G80" s="42"/>
      <c r="H80" s="43" t="n">
        <v>24.249</v>
      </c>
      <c r="I80" s="44" t="n">
        <v>0.5561</v>
      </c>
      <c r="J80" s="43" t="n">
        <f aca="false">ROUND(H80*I80,2)</f>
        <v>13.48</v>
      </c>
      <c r="K80" s="42"/>
      <c r="L80" s="45" t="n">
        <v>24.249</v>
      </c>
      <c r="M80" s="46" t="n">
        <v>0.5561</v>
      </c>
      <c r="N80" s="45" t="n">
        <f aca="false">ROUND(L80*M80,2)</f>
        <v>13.48</v>
      </c>
      <c r="R80" s="69" t="s">
        <v>162</v>
      </c>
      <c r="S80" s="69"/>
      <c r="T80" s="69"/>
      <c r="U80" s="69"/>
      <c r="V80" s="69"/>
    </row>
    <row r="81" customFormat="false" ht="15" hidden="false" customHeight="true" outlineLevel="0" collapsed="false">
      <c r="A81" s="20" t="s">
        <v>130</v>
      </c>
      <c r="B81" s="39" t="n">
        <v>24.249</v>
      </c>
      <c r="C81" s="40" t="n">
        <v>30</v>
      </c>
      <c r="D81" s="41" t="n">
        <v>0.26964</v>
      </c>
      <c r="E81" s="41" t="n">
        <v>0.3868</v>
      </c>
      <c r="F81" s="39" t="n">
        <f aca="false">ROUND(B81*E81,2)</f>
        <v>9.38</v>
      </c>
      <c r="G81" s="42"/>
      <c r="H81" s="43" t="n">
        <v>24.249</v>
      </c>
      <c r="I81" s="44" t="n">
        <v>0.3868</v>
      </c>
      <c r="J81" s="43" t="n">
        <f aca="false">ROUND(H81*I81,2)</f>
        <v>9.38</v>
      </c>
      <c r="K81" s="42"/>
      <c r="L81" s="45" t="n">
        <v>24.249</v>
      </c>
      <c r="M81" s="46" t="n">
        <v>0.3868</v>
      </c>
      <c r="N81" s="45" t="n">
        <f aca="false">ROUND(L81*M81,2)</f>
        <v>9.38</v>
      </c>
      <c r="R81" s="50" t="s">
        <v>131</v>
      </c>
      <c r="S81" s="50"/>
      <c r="T81" s="50"/>
      <c r="U81" s="50"/>
      <c r="V81" s="50"/>
    </row>
    <row r="82" customFormat="false" ht="15" hidden="false" customHeight="true" outlineLevel="0" collapsed="false">
      <c r="A82" s="20" t="s">
        <v>132</v>
      </c>
      <c r="B82" s="39" t="n">
        <v>24.249</v>
      </c>
      <c r="C82" s="40" t="n">
        <v>30</v>
      </c>
      <c r="D82" s="41" t="n">
        <v>0.18156</v>
      </c>
      <c r="E82" s="41" t="n">
        <v>0.2653</v>
      </c>
      <c r="F82" s="39" t="n">
        <f aca="false">ROUND(B82*E82,2)</f>
        <v>6.43</v>
      </c>
      <c r="G82" s="42"/>
      <c r="H82" s="43" t="n">
        <v>24.249</v>
      </c>
      <c r="I82" s="44" t="n">
        <v>0.2653</v>
      </c>
      <c r="J82" s="43" t="n">
        <f aca="false">ROUND(H82*I82,2)</f>
        <v>6.43</v>
      </c>
      <c r="K82" s="42"/>
      <c r="L82" s="45" t="n">
        <v>24.249</v>
      </c>
      <c r="M82" s="46" t="n">
        <v>0.2653</v>
      </c>
      <c r="N82" s="45" t="n">
        <f aca="false">ROUND(L82*M82,2)</f>
        <v>6.43</v>
      </c>
    </row>
    <row r="83" customFormat="false" ht="15" hidden="false" customHeight="true" outlineLevel="0" collapsed="false">
      <c r="A83" s="51" t="s">
        <v>133</v>
      </c>
      <c r="B83" s="52" t="n">
        <f aca="false">IF($P$83="",764.02,ROUND(764.02*((372.2018/(1-$P$83))-139.87)/440.41,2))</f>
        <v>764.02</v>
      </c>
      <c r="C83" s="40"/>
      <c r="D83" s="53" t="n">
        <v>0.106808</v>
      </c>
      <c r="E83" s="41" t="n">
        <v>0.17</v>
      </c>
      <c r="F83" s="39" t="n">
        <f aca="false">ROUND(B83*E83,2)</f>
        <v>129.88</v>
      </c>
      <c r="G83" s="42"/>
      <c r="H83" s="54" t="n">
        <v>692.323</v>
      </c>
      <c r="I83" s="44" t="n">
        <v>0.175</v>
      </c>
      <c r="J83" s="43" t="n">
        <f aca="false">ROUND(H83*I83,2)</f>
        <v>121.16</v>
      </c>
      <c r="K83" s="42"/>
      <c r="L83" s="55" t="n">
        <v>564.02</v>
      </c>
      <c r="M83" s="46" t="n">
        <v>0.175</v>
      </c>
      <c r="N83" s="45" t="n">
        <f aca="false">ROUND(L83*M83,2)</f>
        <v>98.7</v>
      </c>
      <c r="O83" s="56" t="s">
        <v>134</v>
      </c>
      <c r="P83" s="57"/>
    </row>
    <row r="84" customFormat="false" ht="15" hidden="false" customHeight="true" outlineLevel="0" collapsed="false">
      <c r="A84" s="51" t="s">
        <v>135</v>
      </c>
      <c r="B84" s="52" t="n">
        <f aca="false">IF($P$83="",566.81,ROUND(566.81*((372.2018/(1-$P$83))-139.87)/440.41,2))</f>
        <v>566.81</v>
      </c>
      <c r="C84" s="40"/>
      <c r="D84" s="53" t="n">
        <v>0.106808</v>
      </c>
      <c r="E84" s="41" t="n">
        <v>0.17</v>
      </c>
      <c r="F84" s="39" t="n">
        <f aca="false">ROUND(B84*E84,2)</f>
        <v>96.36</v>
      </c>
      <c r="G84" s="42"/>
      <c r="H84" s="54" t="n">
        <v>678.691</v>
      </c>
      <c r="I84" s="44" t="n">
        <v>0.175</v>
      </c>
      <c r="J84" s="43" t="n">
        <f aca="false">ROUND(H84*I84,2)</f>
        <v>118.77</v>
      </c>
      <c r="K84" s="42"/>
      <c r="L84" s="55" t="n">
        <v>466.81</v>
      </c>
      <c r="M84" s="46" t="n">
        <v>0.175</v>
      </c>
      <c r="N84" s="45" t="n">
        <f aca="false">ROUND(L84*M84,2)</f>
        <v>81.69</v>
      </c>
      <c r="O84" s="58" t="s">
        <v>136</v>
      </c>
    </row>
    <row r="85" customFormat="false" ht="15" hidden="false" customHeight="true" outlineLevel="0" collapsed="false">
      <c r="A85" s="51" t="s">
        <v>137</v>
      </c>
      <c r="B85" s="52" t="n">
        <f aca="false">IF($P$83="",1259.797,ROUND(1259.797*((372.2018/(1-$P$83))-139.87)/440.41,2))</f>
        <v>1259.797</v>
      </c>
      <c r="C85" s="40"/>
      <c r="D85" s="53" t="n">
        <v>0.106808</v>
      </c>
      <c r="E85" s="41" t="n">
        <v>0.17</v>
      </c>
      <c r="F85" s="39" t="n">
        <f aca="false">ROUND(B85*E85,2)</f>
        <v>214.17</v>
      </c>
      <c r="G85" s="42"/>
      <c r="H85" s="54" t="n">
        <v>1399.94</v>
      </c>
      <c r="I85" s="44" t="n">
        <v>0.175</v>
      </c>
      <c r="J85" s="43" t="n">
        <f aca="false">ROUND(H85*I85,2)</f>
        <v>244.99</v>
      </c>
      <c r="K85" s="42"/>
      <c r="L85" s="55" t="n">
        <v>959.797</v>
      </c>
      <c r="M85" s="46" t="n">
        <v>0.175</v>
      </c>
      <c r="N85" s="45" t="n">
        <f aca="false">ROUND(L85*M85,2)</f>
        <v>167.96</v>
      </c>
      <c r="O85" s="58" t="s">
        <v>138</v>
      </c>
    </row>
    <row r="86" customFormat="false" ht="15" hidden="false" customHeight="true" outlineLevel="0" collapsed="false">
      <c r="A86" s="20" t="s">
        <v>139</v>
      </c>
      <c r="B86" s="39" t="n">
        <v>1</v>
      </c>
      <c r="C86" s="59" t="n">
        <v>30</v>
      </c>
      <c r="D86" s="41" t="n">
        <v>6</v>
      </c>
      <c r="E86" s="41" t="n">
        <v>6</v>
      </c>
      <c r="F86" s="39" t="n">
        <f aca="false">ROUND(B86*E86,2)</f>
        <v>6</v>
      </c>
      <c r="G86" s="42"/>
      <c r="H86" s="43" t="n">
        <v>1</v>
      </c>
      <c r="I86" s="44" t="n">
        <v>6</v>
      </c>
      <c r="J86" s="43" t="n">
        <f aca="false">ROUND(H86*I86,2)</f>
        <v>6</v>
      </c>
      <c r="K86" s="42"/>
      <c r="L86" s="45" t="n">
        <v>1</v>
      </c>
      <c r="M86" s="46" t="n">
        <v>6</v>
      </c>
      <c r="N86" s="45" t="n">
        <f aca="false">ROUND(L86*M86,2)</f>
        <v>6</v>
      </c>
    </row>
    <row r="87" customFormat="false" ht="15" hidden="false" customHeight="true" outlineLevel="0" collapsed="false">
      <c r="A87" s="20" t="s">
        <v>140</v>
      </c>
      <c r="B87" s="39" t="n">
        <v>30</v>
      </c>
      <c r="C87" s="59" t="n">
        <v>30</v>
      </c>
      <c r="D87" s="41" t="n">
        <v>0.01274</v>
      </c>
      <c r="E87" s="41" t="n">
        <v>0.01274</v>
      </c>
      <c r="F87" s="39" t="n">
        <f aca="false">ROUND(B87*E87,2)</f>
        <v>0.38</v>
      </c>
      <c r="G87" s="42"/>
      <c r="H87" s="43" t="n">
        <v>30</v>
      </c>
      <c r="I87" s="44" t="n">
        <v>0.00629</v>
      </c>
      <c r="J87" s="43" t="n">
        <f aca="false">ROUND(H87*I87,2)</f>
        <v>0.19</v>
      </c>
      <c r="K87" s="42"/>
      <c r="L87" s="45" t="n">
        <v>30</v>
      </c>
      <c r="M87" s="46" t="n">
        <v>0.00629</v>
      </c>
      <c r="N87" s="45" t="n">
        <f aca="false">ROUND(L87*M87,2)</f>
        <v>0.19</v>
      </c>
    </row>
    <row r="88" customFormat="false" ht="15" hidden="false" customHeight="true" outlineLevel="0" collapsed="false">
      <c r="A88" s="20" t="s">
        <v>141</v>
      </c>
      <c r="B88" s="39" t="n">
        <v>31.32</v>
      </c>
      <c r="C88" s="40"/>
      <c r="D88" s="41" t="n">
        <v>1</v>
      </c>
      <c r="E88" s="41" t="n">
        <v>1</v>
      </c>
      <c r="F88" s="39" t="n">
        <f aca="false">ROUND(B88*E88,2)</f>
        <v>31.32</v>
      </c>
      <c r="G88" s="42"/>
      <c r="H88" s="43" t="n">
        <v>27.75</v>
      </c>
      <c r="I88" s="44" t="n">
        <v>1</v>
      </c>
      <c r="J88" s="43" t="n">
        <f aca="false">ROUND(H88*I88,2)</f>
        <v>27.75</v>
      </c>
      <c r="K88" s="42"/>
      <c r="L88" s="45" t="n">
        <v>26.26</v>
      </c>
      <c r="M88" s="46" t="n">
        <v>1</v>
      </c>
      <c r="N88" s="45" t="n">
        <f aca="false">ROUND(L88*M88,2)</f>
        <v>26.26</v>
      </c>
    </row>
    <row r="89" customFormat="false" ht="15" hidden="false" customHeight="true" outlineLevel="0" collapsed="false">
      <c r="A89" s="60" t="s">
        <v>142</v>
      </c>
      <c r="B89" s="61"/>
      <c r="C89" s="61"/>
      <c r="D89" s="61"/>
      <c r="E89" s="61"/>
      <c r="F89" s="62" t="n">
        <f aca="false">ROUND((SUM(F77:F88)-F88)*1.21+F88,2)</f>
        <v>741.18</v>
      </c>
      <c r="G89" s="61"/>
      <c r="H89" s="61"/>
      <c r="I89" s="61"/>
      <c r="J89" s="63" t="n">
        <f aca="false">ROUND((SUM(J77:J88)-J88)*1.21+J88,2)</f>
        <v>791.24</v>
      </c>
      <c r="K89" s="61"/>
      <c r="L89" s="61"/>
      <c r="M89" s="61"/>
      <c r="N89" s="64" t="n">
        <f aca="false">ROUND((SUM(N77:N88)-N88)*1.21+N88,2)</f>
        <v>624.5</v>
      </c>
    </row>
    <row r="90" customFormat="false" ht="15" hidden="false" customHeight="true" outlineLevel="0" collapsed="false">
      <c r="A90" s="65" t="s">
        <v>143</v>
      </c>
      <c r="B90" s="66" t="n">
        <f aca="false">(SUM(F77:F85)-372.2018)/SUM(F77:F85)</f>
        <v>0.358582408492452</v>
      </c>
      <c r="C90" s="66"/>
      <c r="D90" s="66"/>
      <c r="E90" s="66"/>
      <c r="F90" s="66"/>
      <c r="G90" s="67"/>
      <c r="H90" s="67"/>
      <c r="I90" s="67"/>
      <c r="J90" s="67"/>
      <c r="K90" s="67"/>
      <c r="L90" s="68" t="str">
        <f aca="false">IF(B90&gt;=0.3,"APROBAR",IF(B90&gt;=0.2,"REVISAR","RECHAZAR"))</f>
        <v>APROBAR</v>
      </c>
      <c r="M90" s="68"/>
      <c r="N90" s="68"/>
    </row>
    <row r="92" customFormat="false" ht="15" hidden="false" customHeight="true" outlineLevel="0" collapsed="false">
      <c r="A92" s="26" t="s">
        <v>183</v>
      </c>
      <c r="B92" s="26"/>
      <c r="C92" s="26"/>
      <c r="D92" s="26"/>
      <c r="E92" s="26"/>
      <c r="F92" s="26"/>
      <c r="G92" s="26"/>
      <c r="H92" s="26"/>
      <c r="I92" s="27" t="s">
        <v>184</v>
      </c>
      <c r="J92" s="27"/>
      <c r="K92" s="27"/>
      <c r="L92" s="27"/>
      <c r="M92" s="27"/>
      <c r="N92" s="27"/>
      <c r="R92" s="28" t="s">
        <v>110</v>
      </c>
      <c r="S92" s="28"/>
      <c r="T92" s="28"/>
      <c r="U92" s="28"/>
      <c r="V92" s="28"/>
    </row>
    <row r="93" customFormat="false" ht="15" hidden="false" customHeight="true" outlineLevel="0" collapsed="false">
      <c r="A93" s="29" t="s">
        <v>111</v>
      </c>
      <c r="B93" s="30" t="s">
        <v>112</v>
      </c>
      <c r="C93" s="30"/>
      <c r="D93" s="30"/>
      <c r="E93" s="30"/>
      <c r="F93" s="30"/>
      <c r="G93" s="31"/>
      <c r="H93" s="32" t="s">
        <v>185</v>
      </c>
      <c r="I93" s="32"/>
      <c r="J93" s="32"/>
      <c r="K93" s="31"/>
      <c r="L93" s="33" t="s">
        <v>186</v>
      </c>
      <c r="M93" s="33"/>
      <c r="N93" s="33"/>
      <c r="R93" s="34" t="s">
        <v>187</v>
      </c>
      <c r="S93" s="34"/>
      <c r="T93" s="34"/>
      <c r="U93" s="34"/>
      <c r="V93" s="34"/>
    </row>
    <row r="94" customFormat="false" ht="15" hidden="false" customHeight="true" outlineLevel="0" collapsed="false">
      <c r="A94" s="31"/>
      <c r="B94" s="35" t="s">
        <v>116</v>
      </c>
      <c r="C94" s="35" t="s">
        <v>117</v>
      </c>
      <c r="D94" s="35" t="s">
        <v>118</v>
      </c>
      <c r="E94" s="35" t="s">
        <v>119</v>
      </c>
      <c r="F94" s="35" t="s">
        <v>120</v>
      </c>
      <c r="G94" s="31"/>
      <c r="H94" s="36" t="s">
        <v>116</v>
      </c>
      <c r="I94" s="36" t="s">
        <v>119</v>
      </c>
      <c r="J94" s="36" t="s">
        <v>120</v>
      </c>
      <c r="K94" s="31"/>
      <c r="L94" s="37" t="s">
        <v>116</v>
      </c>
      <c r="M94" s="37" t="s">
        <v>119</v>
      </c>
      <c r="N94" s="37" t="s">
        <v>120</v>
      </c>
      <c r="R94" s="38" t="s">
        <v>188</v>
      </c>
      <c r="S94" s="38"/>
      <c r="T94" s="38"/>
      <c r="U94" s="38"/>
      <c r="V94" s="38"/>
    </row>
    <row r="95" customFormat="false" ht="15" hidden="false" customHeight="true" outlineLevel="0" collapsed="false">
      <c r="A95" s="20" t="s">
        <v>122</v>
      </c>
      <c r="B95" s="39" t="n">
        <v>17.32</v>
      </c>
      <c r="C95" s="40" t="n">
        <v>30</v>
      </c>
      <c r="D95" s="41" t="n">
        <v>1.73784</v>
      </c>
      <c r="E95" s="41" t="n">
        <v>2.5542</v>
      </c>
      <c r="F95" s="39" t="n">
        <f aca="false">ROUND(B95*E95,2)</f>
        <v>44.24</v>
      </c>
      <c r="G95" s="42"/>
      <c r="H95" s="43" t="n">
        <v>17.32</v>
      </c>
      <c r="I95" s="44" t="n">
        <v>2.5542</v>
      </c>
      <c r="J95" s="43" t="n">
        <f aca="false">ROUND(H95*I95,2)</f>
        <v>44.24</v>
      </c>
      <c r="K95" s="42"/>
      <c r="L95" s="45" t="n">
        <v>17.32</v>
      </c>
      <c r="M95" s="46" t="n">
        <v>2.5542</v>
      </c>
      <c r="N95" s="45" t="n">
        <f aca="false">ROUND(L95*M95,2)</f>
        <v>44.24</v>
      </c>
      <c r="R95" s="47" t="s">
        <v>189</v>
      </c>
      <c r="S95" s="47"/>
      <c r="T95" s="47"/>
      <c r="U95" s="47"/>
      <c r="V95" s="47"/>
    </row>
    <row r="96" customFormat="false" ht="15" hidden="false" customHeight="true" outlineLevel="0" collapsed="false">
      <c r="A96" s="20" t="s">
        <v>124</v>
      </c>
      <c r="B96" s="39" t="n">
        <v>17.32</v>
      </c>
      <c r="C96" s="40" t="n">
        <v>30</v>
      </c>
      <c r="D96" s="41" t="n">
        <v>0.9357</v>
      </c>
      <c r="E96" s="41" t="n">
        <v>1.3773</v>
      </c>
      <c r="F96" s="39" t="n">
        <f aca="false">ROUND(B96*E96,2)</f>
        <v>23.85</v>
      </c>
      <c r="G96" s="42"/>
      <c r="H96" s="43" t="n">
        <v>17.32</v>
      </c>
      <c r="I96" s="44" t="n">
        <v>1.3773</v>
      </c>
      <c r="J96" s="43" t="n">
        <f aca="false">ROUND(H96*I96,2)</f>
        <v>23.85</v>
      </c>
      <c r="K96" s="42"/>
      <c r="L96" s="45" t="n">
        <v>17.32</v>
      </c>
      <c r="M96" s="46" t="n">
        <v>1.3773</v>
      </c>
      <c r="N96" s="45" t="n">
        <f aca="false">ROUND(L96*M96,2)</f>
        <v>23.85</v>
      </c>
      <c r="R96" s="48" t="s">
        <v>190</v>
      </c>
      <c r="S96" s="48"/>
      <c r="T96" s="48"/>
      <c r="U96" s="48"/>
      <c r="V96" s="48"/>
    </row>
    <row r="97" customFormat="false" ht="15" hidden="false" customHeight="true" outlineLevel="0" collapsed="false">
      <c r="A97" s="20" t="s">
        <v>126</v>
      </c>
      <c r="B97" s="39" t="n">
        <v>17.32</v>
      </c>
      <c r="C97" s="40" t="n">
        <v>30</v>
      </c>
      <c r="D97" s="41" t="n">
        <v>0.43137</v>
      </c>
      <c r="E97" s="41" t="n">
        <v>0.6286</v>
      </c>
      <c r="F97" s="39" t="n">
        <f aca="false">ROUND(B97*E97,2)</f>
        <v>10.89</v>
      </c>
      <c r="G97" s="42"/>
      <c r="H97" s="43" t="n">
        <v>17.32</v>
      </c>
      <c r="I97" s="44" t="n">
        <v>0.6286</v>
      </c>
      <c r="J97" s="43" t="n">
        <f aca="false">ROUND(H97*I97,2)</f>
        <v>10.89</v>
      </c>
      <c r="K97" s="42"/>
      <c r="L97" s="45" t="n">
        <v>17.32</v>
      </c>
      <c r="M97" s="46" t="n">
        <v>0.6286</v>
      </c>
      <c r="N97" s="45" t="n">
        <f aca="false">ROUND(L97*M97,2)</f>
        <v>10.89</v>
      </c>
      <c r="R97" s="48" t="s">
        <v>191</v>
      </c>
      <c r="S97" s="48"/>
      <c r="T97" s="48"/>
      <c r="U97" s="48"/>
      <c r="V97" s="48"/>
    </row>
    <row r="98" customFormat="false" ht="15" hidden="false" customHeight="true" outlineLevel="0" collapsed="false">
      <c r="A98" s="20" t="s">
        <v>128</v>
      </c>
      <c r="B98" s="39" t="n">
        <v>17.32</v>
      </c>
      <c r="C98" s="40" t="n">
        <v>30</v>
      </c>
      <c r="D98" s="41" t="n">
        <v>0.38244</v>
      </c>
      <c r="E98" s="41" t="n">
        <v>0.5561</v>
      </c>
      <c r="F98" s="39" t="n">
        <f aca="false">ROUND(B98*E98,2)</f>
        <v>9.63</v>
      </c>
      <c r="G98" s="42"/>
      <c r="H98" s="43" t="n">
        <v>17.32</v>
      </c>
      <c r="I98" s="44" t="n">
        <v>0.5561</v>
      </c>
      <c r="J98" s="43" t="n">
        <f aca="false">ROUND(H98*I98,2)</f>
        <v>9.63</v>
      </c>
      <c r="K98" s="42"/>
      <c r="L98" s="45" t="n">
        <v>17.32</v>
      </c>
      <c r="M98" s="46" t="n">
        <v>0.5561</v>
      </c>
      <c r="N98" s="45" t="n">
        <f aca="false">ROUND(L98*M98,2)</f>
        <v>9.63</v>
      </c>
      <c r="R98" s="69" t="s">
        <v>162</v>
      </c>
      <c r="S98" s="69"/>
      <c r="T98" s="69"/>
      <c r="U98" s="69"/>
      <c r="V98" s="69"/>
    </row>
    <row r="99" customFormat="false" ht="15" hidden="false" customHeight="true" outlineLevel="0" collapsed="false">
      <c r="A99" s="20" t="s">
        <v>130</v>
      </c>
      <c r="B99" s="39" t="n">
        <v>17.32</v>
      </c>
      <c r="C99" s="40" t="n">
        <v>30</v>
      </c>
      <c r="D99" s="41" t="n">
        <v>0.26964</v>
      </c>
      <c r="E99" s="41" t="n">
        <v>0.3868</v>
      </c>
      <c r="F99" s="39" t="n">
        <f aca="false">ROUND(B99*E99,2)</f>
        <v>6.7</v>
      </c>
      <c r="G99" s="42"/>
      <c r="H99" s="43" t="n">
        <v>17.32</v>
      </c>
      <c r="I99" s="44" t="n">
        <v>0.3868</v>
      </c>
      <c r="J99" s="43" t="n">
        <f aca="false">ROUND(H99*I99,2)</f>
        <v>6.7</v>
      </c>
      <c r="K99" s="42"/>
      <c r="L99" s="45" t="n">
        <v>17.32</v>
      </c>
      <c r="M99" s="46" t="n">
        <v>0.3868</v>
      </c>
      <c r="N99" s="45" t="n">
        <f aca="false">ROUND(L99*M99,2)</f>
        <v>6.7</v>
      </c>
      <c r="R99" s="50" t="s">
        <v>131</v>
      </c>
      <c r="S99" s="50"/>
      <c r="T99" s="50"/>
      <c r="U99" s="50"/>
      <c r="V99" s="50"/>
    </row>
    <row r="100" customFormat="false" ht="15" hidden="false" customHeight="true" outlineLevel="0" collapsed="false">
      <c r="A100" s="20" t="s">
        <v>132</v>
      </c>
      <c r="B100" s="39" t="n">
        <v>17.32</v>
      </c>
      <c r="C100" s="40" t="n">
        <v>30</v>
      </c>
      <c r="D100" s="41" t="n">
        <v>0.18156</v>
      </c>
      <c r="E100" s="41" t="n">
        <v>0.2653</v>
      </c>
      <c r="F100" s="39" t="n">
        <f aca="false">ROUND(B100*E100,2)</f>
        <v>4.59</v>
      </c>
      <c r="G100" s="42"/>
      <c r="H100" s="43" t="n">
        <v>17.32</v>
      </c>
      <c r="I100" s="44" t="n">
        <v>0.2653</v>
      </c>
      <c r="J100" s="43" t="n">
        <f aca="false">ROUND(H100*I100,2)</f>
        <v>4.59</v>
      </c>
      <c r="K100" s="42"/>
      <c r="L100" s="45" t="n">
        <v>17.32</v>
      </c>
      <c r="M100" s="46" t="n">
        <v>0.2653</v>
      </c>
      <c r="N100" s="45" t="n">
        <f aca="false">ROUND(L100*M100,2)</f>
        <v>4.59</v>
      </c>
    </row>
    <row r="101" customFormat="false" ht="15" hidden="false" customHeight="true" outlineLevel="0" collapsed="false">
      <c r="A101" s="51" t="s">
        <v>133</v>
      </c>
      <c r="B101" s="52" t="n">
        <f aca="false">IF($P$101="",678.02,ROUND(678.02*((357.0888/(1-$P$101))-99.9)/436.56,2))</f>
        <v>678.02</v>
      </c>
      <c r="C101" s="40"/>
      <c r="D101" s="53" t="n">
        <v>0.121236</v>
      </c>
      <c r="E101" s="41" t="n">
        <v>0.17</v>
      </c>
      <c r="F101" s="39" t="n">
        <f aca="false">ROUND(B101*E101,2)</f>
        <v>115.26</v>
      </c>
      <c r="G101" s="42"/>
      <c r="H101" s="54" t="n">
        <v>1040.151</v>
      </c>
      <c r="I101" s="44" t="n">
        <v>0.175</v>
      </c>
      <c r="J101" s="43" t="n">
        <f aca="false">ROUND(H101*I101,2)</f>
        <v>182.03</v>
      </c>
      <c r="K101" s="42"/>
      <c r="L101" s="55" t="n">
        <v>578.02</v>
      </c>
      <c r="M101" s="46" t="n">
        <v>0.175</v>
      </c>
      <c r="N101" s="45" t="n">
        <f aca="false">ROUND(L101*M101,2)</f>
        <v>101.15</v>
      </c>
      <c r="O101" s="56" t="s">
        <v>134</v>
      </c>
      <c r="P101" s="57"/>
    </row>
    <row r="102" customFormat="false" ht="15" hidden="false" customHeight="true" outlineLevel="0" collapsed="false">
      <c r="A102" s="51" t="s">
        <v>135</v>
      </c>
      <c r="B102" s="52" t="n">
        <f aca="false">IF($P$101="",629.871,ROUND(629.871*((357.0888/(1-$P$101))-99.9)/436.56,2))</f>
        <v>629.871</v>
      </c>
      <c r="C102" s="40"/>
      <c r="D102" s="53" t="n">
        <v>0.114444</v>
      </c>
      <c r="E102" s="41" t="n">
        <v>0.17</v>
      </c>
      <c r="F102" s="39" t="n">
        <f aca="false">ROUND(B102*E102,2)</f>
        <v>107.08</v>
      </c>
      <c r="G102" s="42"/>
      <c r="H102" s="54" t="n">
        <v>770.551</v>
      </c>
      <c r="I102" s="44" t="n">
        <v>0.175</v>
      </c>
      <c r="J102" s="43" t="n">
        <f aca="false">ROUND(H102*I102,2)</f>
        <v>134.85</v>
      </c>
      <c r="K102" s="42"/>
      <c r="L102" s="55" t="n">
        <v>429.871</v>
      </c>
      <c r="M102" s="46" t="n">
        <v>0.175</v>
      </c>
      <c r="N102" s="45" t="n">
        <f aca="false">ROUND(L102*M102,2)</f>
        <v>75.23</v>
      </c>
      <c r="O102" s="58" t="s">
        <v>136</v>
      </c>
    </row>
    <row r="103" customFormat="false" ht="15" hidden="false" customHeight="true" outlineLevel="0" collapsed="false">
      <c r="A103" s="51" t="s">
        <v>137</v>
      </c>
      <c r="B103" s="52" t="n">
        <f aca="false">IF($P$101="",1260.09,ROUND(1260.09*((357.0888/(1-$P$101))-99.9)/436.56,2))</f>
        <v>1260.09</v>
      </c>
      <c r="C103" s="40"/>
      <c r="D103" s="53" t="n">
        <v>0.106808</v>
      </c>
      <c r="E103" s="41" t="n">
        <v>0.17</v>
      </c>
      <c r="F103" s="39" t="n">
        <f aca="false">ROUND(B103*E103,2)</f>
        <v>214.22</v>
      </c>
      <c r="G103" s="42"/>
      <c r="H103" s="54" t="n">
        <v>2191.12</v>
      </c>
      <c r="I103" s="44" t="n">
        <v>0.175</v>
      </c>
      <c r="J103" s="43" t="n">
        <f aca="false">ROUND(H103*I103,2)</f>
        <v>383.45</v>
      </c>
      <c r="K103" s="42"/>
      <c r="L103" s="55" t="n">
        <v>1060.09</v>
      </c>
      <c r="M103" s="46" t="n">
        <v>0.175</v>
      </c>
      <c r="N103" s="45" t="n">
        <f aca="false">ROUND(L103*M103,2)</f>
        <v>185.52</v>
      </c>
      <c r="O103" s="58" t="s">
        <v>138</v>
      </c>
    </row>
    <row r="104" customFormat="false" ht="15" hidden="false" customHeight="true" outlineLevel="0" collapsed="false">
      <c r="A104" s="20" t="s">
        <v>139</v>
      </c>
      <c r="B104" s="39" t="n">
        <v>1</v>
      </c>
      <c r="C104" s="59" t="n">
        <v>30</v>
      </c>
      <c r="D104" s="41" t="n">
        <v>6</v>
      </c>
      <c r="E104" s="41" t="n">
        <v>6</v>
      </c>
      <c r="F104" s="39" t="n">
        <f aca="false">ROUND(B104*E104,2)</f>
        <v>6</v>
      </c>
      <c r="G104" s="42"/>
      <c r="H104" s="43" t="n">
        <v>1</v>
      </c>
      <c r="I104" s="44" t="n">
        <v>6</v>
      </c>
      <c r="J104" s="43" t="n">
        <f aca="false">ROUND(H104*I104,2)</f>
        <v>6</v>
      </c>
      <c r="K104" s="42"/>
      <c r="L104" s="45" t="n">
        <v>1</v>
      </c>
      <c r="M104" s="46" t="n">
        <v>6</v>
      </c>
      <c r="N104" s="45" t="n">
        <f aca="false">ROUND(L104*M104,2)</f>
        <v>6</v>
      </c>
    </row>
    <row r="105" customFormat="false" ht="15" hidden="false" customHeight="true" outlineLevel="0" collapsed="false">
      <c r="A105" s="20" t="s">
        <v>140</v>
      </c>
      <c r="B105" s="39" t="n">
        <v>30</v>
      </c>
      <c r="C105" s="59" t="n">
        <v>30</v>
      </c>
      <c r="D105" s="41" t="n">
        <v>0.00629</v>
      </c>
      <c r="E105" s="41" t="n">
        <v>0.00629</v>
      </c>
      <c r="F105" s="39" t="n">
        <f aca="false">ROUND(B105*E105,2)</f>
        <v>0.19</v>
      </c>
      <c r="G105" s="42"/>
      <c r="H105" s="43" t="n">
        <v>30</v>
      </c>
      <c r="I105" s="44" t="n">
        <v>0.01274</v>
      </c>
      <c r="J105" s="43" t="n">
        <f aca="false">ROUND(H105*I105,2)</f>
        <v>0.38</v>
      </c>
      <c r="K105" s="42"/>
      <c r="L105" s="45" t="n">
        <v>30</v>
      </c>
      <c r="M105" s="46" t="n">
        <v>0.00629</v>
      </c>
      <c r="N105" s="45" t="n">
        <f aca="false">ROUND(L105*M105,2)</f>
        <v>0.19</v>
      </c>
    </row>
    <row r="106" customFormat="false" ht="15" hidden="false" customHeight="true" outlineLevel="0" collapsed="false">
      <c r="A106" s="20" t="s">
        <v>141</v>
      </c>
      <c r="B106" s="39" t="n">
        <v>29.01</v>
      </c>
      <c r="C106" s="40"/>
      <c r="D106" s="41" t="n">
        <v>1</v>
      </c>
      <c r="E106" s="41" t="n">
        <v>1</v>
      </c>
      <c r="F106" s="39" t="n">
        <f aca="false">ROUND(B106*E106,2)</f>
        <v>29.01</v>
      </c>
      <c r="G106" s="42"/>
      <c r="H106" s="43" t="n">
        <v>42.63</v>
      </c>
      <c r="I106" s="44" t="n">
        <v>1</v>
      </c>
      <c r="J106" s="43" t="n">
        <f aca="false">ROUND(H106*I106,2)</f>
        <v>42.63</v>
      </c>
      <c r="K106" s="42"/>
      <c r="L106" s="45" t="n">
        <v>24.84</v>
      </c>
      <c r="M106" s="46" t="n">
        <v>1</v>
      </c>
      <c r="N106" s="45" t="n">
        <f aca="false">ROUND(L106*M106,2)</f>
        <v>24.84</v>
      </c>
    </row>
    <row r="107" customFormat="false" ht="15" hidden="false" customHeight="true" outlineLevel="0" collapsed="false">
      <c r="A107" s="60" t="s">
        <v>142</v>
      </c>
      <c r="B107" s="61"/>
      <c r="C107" s="61"/>
      <c r="D107" s="61"/>
      <c r="E107" s="61"/>
      <c r="F107" s="62" t="n">
        <f aca="false">ROUND((SUM(F95:F106)-F106)*1.21+F106,2)</f>
        <v>685.62</v>
      </c>
      <c r="G107" s="61"/>
      <c r="H107" s="61"/>
      <c r="I107" s="61"/>
      <c r="J107" s="63" t="n">
        <f aca="false">ROUND((SUM(J95:J106)-J106)*1.21+J106,2)</f>
        <v>1018.63</v>
      </c>
      <c r="K107" s="61"/>
      <c r="L107" s="61"/>
      <c r="M107" s="61"/>
      <c r="N107" s="64" t="n">
        <f aca="false">ROUND((SUM(N95:N106)-N106)*1.21+N106,2)</f>
        <v>591.11</v>
      </c>
    </row>
    <row r="108" customFormat="false" ht="15" hidden="false" customHeight="true" outlineLevel="0" collapsed="false">
      <c r="A108" s="65" t="s">
        <v>143</v>
      </c>
      <c r="B108" s="66" t="n">
        <f aca="false">(SUM(F95:F103)-357.0888)/SUM(F95:F103)</f>
        <v>0.334360809752824</v>
      </c>
      <c r="C108" s="66"/>
      <c r="D108" s="66"/>
      <c r="E108" s="66"/>
      <c r="F108" s="66"/>
      <c r="G108" s="67"/>
      <c r="H108" s="67"/>
      <c r="I108" s="67"/>
      <c r="J108" s="67"/>
      <c r="K108" s="67"/>
      <c r="L108" s="68" t="str">
        <f aca="false">IF(B108&gt;=0.3,"APROBAR",IF(B108&gt;=0.2,"REVISAR","RECHAZAR"))</f>
        <v>APROBAR</v>
      </c>
      <c r="M108" s="68"/>
      <c r="N108" s="68"/>
    </row>
    <row r="110" customFormat="false" ht="15" hidden="false" customHeight="true" outlineLevel="0" collapsed="false">
      <c r="A110" s="26" t="s">
        <v>192</v>
      </c>
      <c r="B110" s="26"/>
      <c r="C110" s="26"/>
      <c r="D110" s="26"/>
      <c r="E110" s="26"/>
      <c r="F110" s="26"/>
      <c r="G110" s="26"/>
      <c r="H110" s="26"/>
      <c r="I110" s="27" t="s">
        <v>193</v>
      </c>
      <c r="J110" s="27"/>
      <c r="K110" s="27"/>
      <c r="L110" s="27"/>
      <c r="M110" s="27"/>
      <c r="N110" s="27"/>
      <c r="R110" s="28" t="s">
        <v>110</v>
      </c>
      <c r="S110" s="28"/>
      <c r="T110" s="28"/>
      <c r="U110" s="28"/>
      <c r="V110" s="28"/>
    </row>
    <row r="111" customFormat="false" ht="15" hidden="false" customHeight="true" outlineLevel="0" collapsed="false">
      <c r="A111" s="29" t="s">
        <v>111</v>
      </c>
      <c r="B111" s="30" t="s">
        <v>112</v>
      </c>
      <c r="C111" s="30"/>
      <c r="D111" s="30"/>
      <c r="E111" s="30"/>
      <c r="F111" s="30"/>
      <c r="G111" s="31"/>
      <c r="H111" s="32" t="s">
        <v>194</v>
      </c>
      <c r="I111" s="32"/>
      <c r="J111" s="32"/>
      <c r="K111" s="31"/>
      <c r="L111" s="33" t="s">
        <v>195</v>
      </c>
      <c r="M111" s="33"/>
      <c r="N111" s="33"/>
      <c r="R111" s="34" t="s">
        <v>196</v>
      </c>
      <c r="S111" s="34"/>
      <c r="T111" s="34"/>
      <c r="U111" s="34"/>
      <c r="V111" s="34"/>
    </row>
    <row r="112" customFormat="false" ht="15" hidden="false" customHeight="true" outlineLevel="0" collapsed="false">
      <c r="A112" s="31"/>
      <c r="B112" s="35" t="s">
        <v>116</v>
      </c>
      <c r="C112" s="35" t="s">
        <v>117</v>
      </c>
      <c r="D112" s="35" t="s">
        <v>118</v>
      </c>
      <c r="E112" s="35" t="s">
        <v>119</v>
      </c>
      <c r="F112" s="35" t="s">
        <v>120</v>
      </c>
      <c r="G112" s="31"/>
      <c r="H112" s="36" t="s">
        <v>116</v>
      </c>
      <c r="I112" s="36" t="s">
        <v>119</v>
      </c>
      <c r="J112" s="36" t="s">
        <v>120</v>
      </c>
      <c r="K112" s="31"/>
      <c r="L112" s="37" t="s">
        <v>116</v>
      </c>
      <c r="M112" s="37" t="s">
        <v>119</v>
      </c>
      <c r="N112" s="37" t="s">
        <v>120</v>
      </c>
      <c r="R112" s="38" t="s">
        <v>197</v>
      </c>
      <c r="S112" s="38"/>
      <c r="T112" s="38"/>
      <c r="U112" s="38"/>
      <c r="V112" s="38"/>
    </row>
    <row r="113" customFormat="false" ht="15" hidden="false" customHeight="true" outlineLevel="0" collapsed="false">
      <c r="A113" s="20" t="s">
        <v>122</v>
      </c>
      <c r="B113" s="39" t="n">
        <v>17.32</v>
      </c>
      <c r="C113" s="40" t="n">
        <v>30</v>
      </c>
      <c r="D113" s="41" t="n">
        <v>1.73784</v>
      </c>
      <c r="E113" s="41" t="n">
        <v>2.5542</v>
      </c>
      <c r="F113" s="39" t="n">
        <f aca="false">ROUND(B113*E113,2)</f>
        <v>44.24</v>
      </c>
      <c r="G113" s="42"/>
      <c r="H113" s="43" t="n">
        <v>17.32</v>
      </c>
      <c r="I113" s="44" t="n">
        <v>2.5542</v>
      </c>
      <c r="J113" s="43" t="n">
        <f aca="false">ROUND(H113*I113,2)</f>
        <v>44.24</v>
      </c>
      <c r="K113" s="42"/>
      <c r="L113" s="45" t="n">
        <v>17.32</v>
      </c>
      <c r="M113" s="46" t="n">
        <v>2.5542</v>
      </c>
      <c r="N113" s="45" t="n">
        <f aca="false">ROUND(L113*M113,2)</f>
        <v>44.24</v>
      </c>
      <c r="R113" s="47" t="s">
        <v>198</v>
      </c>
      <c r="S113" s="47"/>
      <c r="T113" s="47"/>
      <c r="U113" s="47"/>
      <c r="V113" s="47"/>
    </row>
    <row r="114" customFormat="false" ht="15" hidden="false" customHeight="true" outlineLevel="0" collapsed="false">
      <c r="A114" s="20" t="s">
        <v>124</v>
      </c>
      <c r="B114" s="39" t="n">
        <v>17.32</v>
      </c>
      <c r="C114" s="40" t="n">
        <v>30</v>
      </c>
      <c r="D114" s="41" t="n">
        <v>0.9357</v>
      </c>
      <c r="E114" s="41" t="n">
        <v>1.3773</v>
      </c>
      <c r="F114" s="39" t="n">
        <f aca="false">ROUND(B114*E114,2)</f>
        <v>23.85</v>
      </c>
      <c r="G114" s="42"/>
      <c r="H114" s="43" t="n">
        <v>17.32</v>
      </c>
      <c r="I114" s="44" t="n">
        <v>1.3773</v>
      </c>
      <c r="J114" s="43" t="n">
        <f aca="false">ROUND(H114*I114,2)</f>
        <v>23.85</v>
      </c>
      <c r="K114" s="42"/>
      <c r="L114" s="45" t="n">
        <v>17.32</v>
      </c>
      <c r="M114" s="46" t="n">
        <v>1.3773</v>
      </c>
      <c r="N114" s="45" t="n">
        <f aca="false">ROUND(L114*M114,2)</f>
        <v>23.85</v>
      </c>
      <c r="R114" s="48" t="s">
        <v>199</v>
      </c>
      <c r="S114" s="48"/>
      <c r="T114" s="48"/>
      <c r="U114" s="48"/>
      <c r="V114" s="48"/>
    </row>
    <row r="115" customFormat="false" ht="15" hidden="false" customHeight="true" outlineLevel="0" collapsed="false">
      <c r="A115" s="20" t="s">
        <v>126</v>
      </c>
      <c r="B115" s="39" t="n">
        <v>17.32</v>
      </c>
      <c r="C115" s="40" t="n">
        <v>30</v>
      </c>
      <c r="D115" s="41" t="n">
        <v>0.43137</v>
      </c>
      <c r="E115" s="41" t="n">
        <v>0.6286</v>
      </c>
      <c r="F115" s="39" t="n">
        <f aca="false">ROUND(B115*E115,2)</f>
        <v>10.89</v>
      </c>
      <c r="G115" s="42"/>
      <c r="H115" s="43" t="n">
        <v>17.32</v>
      </c>
      <c r="I115" s="44" t="n">
        <v>0.6286</v>
      </c>
      <c r="J115" s="43" t="n">
        <f aca="false">ROUND(H115*I115,2)</f>
        <v>10.89</v>
      </c>
      <c r="K115" s="42"/>
      <c r="L115" s="45" t="n">
        <v>17.32</v>
      </c>
      <c r="M115" s="46" t="n">
        <v>0.6286</v>
      </c>
      <c r="N115" s="45" t="n">
        <f aca="false">ROUND(L115*M115,2)</f>
        <v>10.89</v>
      </c>
      <c r="R115" s="48" t="s">
        <v>200</v>
      </c>
      <c r="S115" s="48"/>
      <c r="T115" s="48"/>
      <c r="U115" s="48"/>
      <c r="V115" s="48"/>
    </row>
    <row r="116" customFormat="false" ht="15" hidden="false" customHeight="true" outlineLevel="0" collapsed="false">
      <c r="A116" s="20" t="s">
        <v>128</v>
      </c>
      <c r="B116" s="39" t="n">
        <v>17.32</v>
      </c>
      <c r="C116" s="40" t="n">
        <v>30</v>
      </c>
      <c r="D116" s="41" t="n">
        <v>0.38244</v>
      </c>
      <c r="E116" s="41" t="n">
        <v>0.5561</v>
      </c>
      <c r="F116" s="39" t="n">
        <f aca="false">ROUND(B116*E116,2)</f>
        <v>9.63</v>
      </c>
      <c r="G116" s="42"/>
      <c r="H116" s="43" t="n">
        <v>17.32</v>
      </c>
      <c r="I116" s="44" t="n">
        <v>0.5561</v>
      </c>
      <c r="J116" s="43" t="n">
        <f aca="false">ROUND(H116*I116,2)</f>
        <v>9.63</v>
      </c>
      <c r="K116" s="42"/>
      <c r="L116" s="45" t="n">
        <v>17.32</v>
      </c>
      <c r="M116" s="46" t="n">
        <v>0.5561</v>
      </c>
      <c r="N116" s="45" t="n">
        <f aca="false">ROUND(L116*M116,2)</f>
        <v>9.63</v>
      </c>
      <c r="R116" s="69" t="s">
        <v>162</v>
      </c>
      <c r="S116" s="69"/>
      <c r="T116" s="69"/>
      <c r="U116" s="69"/>
      <c r="V116" s="69"/>
    </row>
    <row r="117" customFormat="false" ht="15" hidden="false" customHeight="true" outlineLevel="0" collapsed="false">
      <c r="A117" s="20" t="s">
        <v>130</v>
      </c>
      <c r="B117" s="39" t="n">
        <v>17.32</v>
      </c>
      <c r="C117" s="40" t="n">
        <v>30</v>
      </c>
      <c r="D117" s="41" t="n">
        <v>0.26964</v>
      </c>
      <c r="E117" s="41" t="n">
        <v>0.3868</v>
      </c>
      <c r="F117" s="39" t="n">
        <f aca="false">ROUND(B117*E117,2)</f>
        <v>6.7</v>
      </c>
      <c r="G117" s="42"/>
      <c r="H117" s="43" t="n">
        <v>17.32</v>
      </c>
      <c r="I117" s="44" t="n">
        <v>0.3868</v>
      </c>
      <c r="J117" s="43" t="n">
        <f aca="false">ROUND(H117*I117,2)</f>
        <v>6.7</v>
      </c>
      <c r="K117" s="42"/>
      <c r="L117" s="45" t="n">
        <v>17.32</v>
      </c>
      <c r="M117" s="46" t="n">
        <v>0.3868</v>
      </c>
      <c r="N117" s="45" t="n">
        <f aca="false">ROUND(L117*M117,2)</f>
        <v>6.7</v>
      </c>
      <c r="R117" s="50" t="s">
        <v>131</v>
      </c>
      <c r="S117" s="50"/>
      <c r="T117" s="50"/>
      <c r="U117" s="50"/>
      <c r="V117" s="50"/>
    </row>
    <row r="118" customFormat="false" ht="15" hidden="false" customHeight="true" outlineLevel="0" collapsed="false">
      <c r="A118" s="20" t="s">
        <v>132</v>
      </c>
      <c r="B118" s="39" t="n">
        <v>17.32</v>
      </c>
      <c r="C118" s="40" t="n">
        <v>30</v>
      </c>
      <c r="D118" s="41" t="n">
        <v>0.18156</v>
      </c>
      <c r="E118" s="41" t="n">
        <v>0.2653</v>
      </c>
      <c r="F118" s="39" t="n">
        <f aca="false">ROUND(B118*E118,2)</f>
        <v>4.59</v>
      </c>
      <c r="G118" s="42"/>
      <c r="H118" s="43" t="n">
        <v>17.32</v>
      </c>
      <c r="I118" s="44" t="n">
        <v>0.2653</v>
      </c>
      <c r="J118" s="43" t="n">
        <f aca="false">ROUND(H118*I118,2)</f>
        <v>4.59</v>
      </c>
      <c r="K118" s="42"/>
      <c r="L118" s="45" t="n">
        <v>17.32</v>
      </c>
      <c r="M118" s="46" t="n">
        <v>0.2653</v>
      </c>
      <c r="N118" s="45" t="n">
        <f aca="false">ROUND(L118*M118,2)</f>
        <v>4.59</v>
      </c>
    </row>
    <row r="119" customFormat="false" ht="15" hidden="false" customHeight="true" outlineLevel="0" collapsed="false">
      <c r="A119" s="51" t="s">
        <v>133</v>
      </c>
      <c r="B119" s="52" t="n">
        <f aca="false">IF($P$119="",345.67,ROUND(345.67*((184.7297/(1-$P$119))-99.9)/174.43,2))</f>
        <v>345.67</v>
      </c>
      <c r="C119" s="40"/>
      <c r="D119" s="53" t="n">
        <v>0.121236</v>
      </c>
      <c r="E119" s="41" t="n">
        <v>0.17</v>
      </c>
      <c r="F119" s="39" t="n">
        <f aca="false">ROUND(B119*E119,2)</f>
        <v>58.76</v>
      </c>
      <c r="G119" s="42"/>
      <c r="H119" s="54" t="n">
        <v>245.96</v>
      </c>
      <c r="I119" s="44" t="n">
        <v>0.175</v>
      </c>
      <c r="J119" s="43" t="n">
        <f aca="false">ROUND(H119*I119,2)</f>
        <v>43.04</v>
      </c>
      <c r="K119" s="42"/>
      <c r="L119" s="55" t="n">
        <v>240</v>
      </c>
      <c r="M119" s="46" t="n">
        <v>0.175</v>
      </c>
      <c r="N119" s="45" t="n">
        <f aca="false">ROUND(L119*M119,2)</f>
        <v>42</v>
      </c>
      <c r="O119" s="56" t="s">
        <v>134</v>
      </c>
      <c r="P119" s="57"/>
    </row>
    <row r="120" customFormat="false" ht="15" hidden="false" customHeight="true" outlineLevel="0" collapsed="false">
      <c r="A120" s="51" t="s">
        <v>135</v>
      </c>
      <c r="B120" s="52" t="n">
        <f aca="false">IF($P$119="",252.842,ROUND(252.842*((184.7297/(1-$P$119))-99.9)/174.43,2))</f>
        <v>252.842</v>
      </c>
      <c r="C120" s="40"/>
      <c r="D120" s="53" t="n">
        <v>0.114444</v>
      </c>
      <c r="E120" s="41" t="n">
        <v>0.17</v>
      </c>
      <c r="F120" s="39" t="n">
        <f aca="false">ROUND(B120*E120,2)</f>
        <v>42.98</v>
      </c>
      <c r="G120" s="42"/>
      <c r="H120" s="54" t="n">
        <v>461.617</v>
      </c>
      <c r="I120" s="44" t="n">
        <v>0.175</v>
      </c>
      <c r="J120" s="43" t="n">
        <f aca="false">ROUND(H120*I120,2)</f>
        <v>80.78</v>
      </c>
      <c r="K120" s="42"/>
      <c r="L120" s="55" t="n">
        <v>152.842</v>
      </c>
      <c r="M120" s="46" t="n">
        <v>0.175</v>
      </c>
      <c r="N120" s="45" t="n">
        <f aca="false">ROUND(L120*M120,2)</f>
        <v>26.75</v>
      </c>
      <c r="O120" s="58" t="s">
        <v>136</v>
      </c>
    </row>
    <row r="121" customFormat="false" ht="15" hidden="false" customHeight="true" outlineLevel="0" collapsed="false">
      <c r="A121" s="51" t="s">
        <v>137</v>
      </c>
      <c r="B121" s="52" t="n">
        <f aca="false">IF($P$119="",427.591,ROUND(427.591*((184.7297/(1-$P$119))-99.9)/174.43,2))</f>
        <v>427.591</v>
      </c>
      <c r="C121" s="40"/>
      <c r="D121" s="53" t="n">
        <v>0.106808</v>
      </c>
      <c r="E121" s="41" t="n">
        <v>0.17</v>
      </c>
      <c r="F121" s="39" t="n">
        <f aca="false">ROUND(B121*E121,2)</f>
        <v>72.69</v>
      </c>
      <c r="G121" s="42"/>
      <c r="H121" s="54" t="n">
        <v>618.221</v>
      </c>
      <c r="I121" s="44" t="n">
        <v>0.175</v>
      </c>
      <c r="J121" s="43" t="n">
        <f aca="false">ROUND(H121*I121,2)</f>
        <v>108.19</v>
      </c>
      <c r="K121" s="42"/>
      <c r="L121" s="55" t="n">
        <v>327.591</v>
      </c>
      <c r="M121" s="46" t="n">
        <v>0.175</v>
      </c>
      <c r="N121" s="45" t="n">
        <f aca="false">ROUND(L121*M121,2)</f>
        <v>57.33</v>
      </c>
      <c r="O121" s="58" t="s">
        <v>138</v>
      </c>
    </row>
    <row r="122" customFormat="false" ht="15" hidden="false" customHeight="true" outlineLevel="0" collapsed="false">
      <c r="A122" s="20" t="s">
        <v>139</v>
      </c>
      <c r="B122" s="39" t="n">
        <v>1</v>
      </c>
      <c r="C122" s="59" t="n">
        <v>30</v>
      </c>
      <c r="D122" s="41" t="n">
        <v>6</v>
      </c>
      <c r="E122" s="41" t="n">
        <v>6</v>
      </c>
      <c r="F122" s="39" t="n">
        <f aca="false">ROUND(B122*E122,2)</f>
        <v>6</v>
      </c>
      <c r="G122" s="42"/>
      <c r="H122" s="43" t="n">
        <v>1</v>
      </c>
      <c r="I122" s="44" t="n">
        <v>6</v>
      </c>
      <c r="J122" s="43" t="n">
        <f aca="false">ROUND(H122*I122,2)</f>
        <v>6</v>
      </c>
      <c r="K122" s="42"/>
      <c r="L122" s="45" t="n">
        <v>1</v>
      </c>
      <c r="M122" s="46" t="n">
        <v>6</v>
      </c>
      <c r="N122" s="45" t="n">
        <f aca="false">ROUND(L122*M122,2)</f>
        <v>6</v>
      </c>
    </row>
    <row r="123" customFormat="false" ht="15" hidden="false" customHeight="true" outlineLevel="0" collapsed="false">
      <c r="A123" s="20" t="s">
        <v>140</v>
      </c>
      <c r="B123" s="39" t="n">
        <v>30</v>
      </c>
      <c r="C123" s="59" t="n">
        <v>30</v>
      </c>
      <c r="D123" s="41" t="n">
        <v>0.01274</v>
      </c>
      <c r="E123" s="41" t="n">
        <v>0.01274</v>
      </c>
      <c r="F123" s="39" t="n">
        <f aca="false">ROUND(B123*E123,2)</f>
        <v>0.38</v>
      </c>
      <c r="G123" s="42"/>
      <c r="H123" s="43" t="n">
        <v>30</v>
      </c>
      <c r="I123" s="44" t="n">
        <v>0.01274</v>
      </c>
      <c r="J123" s="43" t="n">
        <f aca="false">ROUND(H123*I123,2)</f>
        <v>0.38</v>
      </c>
      <c r="K123" s="42"/>
      <c r="L123" s="45" t="n">
        <v>30</v>
      </c>
      <c r="M123" s="46" t="n">
        <v>0.00629</v>
      </c>
      <c r="N123" s="45" t="n">
        <f aca="false">ROUND(L123*M123,2)</f>
        <v>0.19</v>
      </c>
    </row>
    <row r="124" customFormat="false" ht="15" hidden="false" customHeight="true" outlineLevel="0" collapsed="false">
      <c r="A124" s="20" t="s">
        <v>141</v>
      </c>
      <c r="B124" s="39" t="n">
        <v>14.83</v>
      </c>
      <c r="C124" s="40"/>
      <c r="D124" s="41" t="n">
        <v>1</v>
      </c>
      <c r="E124" s="41" t="n">
        <v>1</v>
      </c>
      <c r="F124" s="39" t="n">
        <f aca="false">ROUND(B124*E124,2)</f>
        <v>14.83</v>
      </c>
      <c r="G124" s="42"/>
      <c r="H124" s="43" t="n">
        <v>17.91</v>
      </c>
      <c r="I124" s="44" t="n">
        <v>1</v>
      </c>
      <c r="J124" s="43" t="n">
        <f aca="false">ROUND(H124*I124,2)</f>
        <v>17.91</v>
      </c>
      <c r="K124" s="42"/>
      <c r="L124" s="45" t="n">
        <v>9.41</v>
      </c>
      <c r="M124" s="46" t="n">
        <v>1</v>
      </c>
      <c r="N124" s="45" t="n">
        <f aca="false">ROUND(L124*M124,2)</f>
        <v>9.41</v>
      </c>
    </row>
    <row r="125" customFormat="false" ht="15" hidden="false" customHeight="true" outlineLevel="0" collapsed="false">
      <c r="A125" s="60" t="s">
        <v>142</v>
      </c>
      <c r="B125" s="61"/>
      <c r="C125" s="61"/>
      <c r="D125" s="61"/>
      <c r="E125" s="61"/>
      <c r="F125" s="62" t="n">
        <f aca="false">ROUND((SUM(F113:F124)-F124)*1.21+F124,2)</f>
        <v>354.49</v>
      </c>
      <c r="G125" s="61"/>
      <c r="H125" s="61"/>
      <c r="I125" s="61"/>
      <c r="J125" s="63" t="n">
        <f aca="false">ROUND((SUM(J113:J124)-J124)*1.21+J124,2)</f>
        <v>427.24</v>
      </c>
      <c r="K125" s="61"/>
      <c r="L125" s="61"/>
      <c r="M125" s="61"/>
      <c r="N125" s="64" t="n">
        <f aca="false">ROUND((SUM(N113:N124)-N124)*1.21+N124,2)</f>
        <v>290.34</v>
      </c>
    </row>
    <row r="126" customFormat="false" ht="15" hidden="false" customHeight="true" outlineLevel="0" collapsed="false">
      <c r="A126" s="65" t="s">
        <v>143</v>
      </c>
      <c r="B126" s="66" t="n">
        <f aca="false">(SUM(F113:F121)-184.7297)/SUM(F113:F121)</f>
        <v>0.326615025698976</v>
      </c>
      <c r="C126" s="66"/>
      <c r="D126" s="66"/>
      <c r="E126" s="66"/>
      <c r="F126" s="66"/>
      <c r="G126" s="67"/>
      <c r="H126" s="67"/>
      <c r="I126" s="67"/>
      <c r="J126" s="67"/>
      <c r="K126" s="67"/>
      <c r="L126" s="68" t="str">
        <f aca="false">IF(B126&gt;=0.3,"APROBAR",IF(B126&gt;=0.2,"REVISAR","RECHAZAR"))</f>
        <v>APROBAR</v>
      </c>
      <c r="M126" s="68"/>
      <c r="N126" s="68"/>
    </row>
    <row r="128" customFormat="false" ht="15" hidden="false" customHeight="true" outlineLevel="0" collapsed="false">
      <c r="A128" s="26" t="s">
        <v>201</v>
      </c>
      <c r="B128" s="26"/>
      <c r="C128" s="26"/>
      <c r="D128" s="26"/>
      <c r="E128" s="26"/>
      <c r="F128" s="26"/>
      <c r="G128" s="26"/>
      <c r="H128" s="26"/>
      <c r="I128" s="27" t="s">
        <v>202</v>
      </c>
      <c r="J128" s="27"/>
      <c r="K128" s="27"/>
      <c r="L128" s="27"/>
      <c r="M128" s="27"/>
      <c r="N128" s="27"/>
      <c r="R128" s="28" t="s">
        <v>110</v>
      </c>
      <c r="S128" s="28"/>
      <c r="T128" s="28"/>
      <c r="U128" s="28"/>
      <c r="V128" s="28"/>
    </row>
    <row r="129" customFormat="false" ht="15" hidden="false" customHeight="true" outlineLevel="0" collapsed="false">
      <c r="A129" s="29" t="s">
        <v>111</v>
      </c>
      <c r="B129" s="30" t="s">
        <v>112</v>
      </c>
      <c r="C129" s="30"/>
      <c r="D129" s="30"/>
      <c r="E129" s="30"/>
      <c r="F129" s="30"/>
      <c r="G129" s="31"/>
      <c r="H129" s="32" t="s">
        <v>203</v>
      </c>
      <c r="I129" s="32"/>
      <c r="J129" s="32"/>
      <c r="K129" s="31"/>
      <c r="L129" s="33" t="s">
        <v>204</v>
      </c>
      <c r="M129" s="33"/>
      <c r="N129" s="33"/>
      <c r="R129" s="34" t="s">
        <v>205</v>
      </c>
      <c r="S129" s="34"/>
      <c r="T129" s="34"/>
      <c r="U129" s="34"/>
      <c r="V129" s="34"/>
    </row>
    <row r="130" customFormat="false" ht="15" hidden="false" customHeight="true" outlineLevel="0" collapsed="false">
      <c r="A130" s="31"/>
      <c r="B130" s="35" t="s">
        <v>116</v>
      </c>
      <c r="C130" s="35" t="s">
        <v>117</v>
      </c>
      <c r="D130" s="35" t="s">
        <v>118</v>
      </c>
      <c r="E130" s="35" t="s">
        <v>119</v>
      </c>
      <c r="F130" s="35" t="s">
        <v>120</v>
      </c>
      <c r="G130" s="31"/>
      <c r="H130" s="36" t="s">
        <v>116</v>
      </c>
      <c r="I130" s="36" t="s">
        <v>119</v>
      </c>
      <c r="J130" s="36" t="s">
        <v>120</v>
      </c>
      <c r="K130" s="31"/>
      <c r="L130" s="37" t="s">
        <v>116</v>
      </c>
      <c r="M130" s="37" t="s">
        <v>119</v>
      </c>
      <c r="N130" s="37" t="s">
        <v>120</v>
      </c>
      <c r="R130" s="38" t="s">
        <v>206</v>
      </c>
      <c r="S130" s="38"/>
      <c r="T130" s="38"/>
      <c r="U130" s="38"/>
      <c r="V130" s="38"/>
    </row>
    <row r="131" customFormat="false" ht="15" hidden="false" customHeight="true" outlineLevel="0" collapsed="false">
      <c r="A131" s="20" t="s">
        <v>122</v>
      </c>
      <c r="B131" s="39" t="n">
        <v>30</v>
      </c>
      <c r="C131" s="40" t="n">
        <v>30</v>
      </c>
      <c r="D131" s="41" t="n">
        <v>1.73784</v>
      </c>
      <c r="E131" s="41" t="n">
        <v>2.392</v>
      </c>
      <c r="F131" s="39" t="n">
        <f aca="false">ROUND(B131*E131,2)</f>
        <v>71.76</v>
      </c>
      <c r="G131" s="42"/>
      <c r="H131" s="43" t="n">
        <v>30</v>
      </c>
      <c r="I131" s="44" t="n">
        <v>2.392</v>
      </c>
      <c r="J131" s="43" t="n">
        <f aca="false">ROUND(H131*I131,2)</f>
        <v>71.76</v>
      </c>
      <c r="K131" s="42"/>
      <c r="L131" s="45" t="n">
        <v>30</v>
      </c>
      <c r="M131" s="46" t="n">
        <v>1.999</v>
      </c>
      <c r="N131" s="45" t="n">
        <f aca="false">ROUND(L131*M131,2)</f>
        <v>59.97</v>
      </c>
      <c r="R131" s="47" t="s">
        <v>207</v>
      </c>
      <c r="S131" s="47"/>
      <c r="T131" s="47"/>
      <c r="U131" s="47"/>
      <c r="V131" s="47"/>
    </row>
    <row r="132" customFormat="false" ht="15" hidden="false" customHeight="true" outlineLevel="0" collapsed="false">
      <c r="A132" s="20" t="s">
        <v>124</v>
      </c>
      <c r="B132" s="39" t="n">
        <v>33</v>
      </c>
      <c r="C132" s="40" t="n">
        <v>30</v>
      </c>
      <c r="D132" s="41" t="n">
        <v>0.9357</v>
      </c>
      <c r="E132" s="41" t="n">
        <v>2.067</v>
      </c>
      <c r="F132" s="39" t="n">
        <f aca="false">ROUND(B132*E132,2)</f>
        <v>68.21</v>
      </c>
      <c r="G132" s="42"/>
      <c r="H132" s="43" t="n">
        <v>33</v>
      </c>
      <c r="I132" s="44" t="n">
        <v>2.067</v>
      </c>
      <c r="J132" s="43" t="n">
        <f aca="false">ROUND(H132*I132,2)</f>
        <v>68.21</v>
      </c>
      <c r="K132" s="42"/>
      <c r="L132" s="45" t="n">
        <v>33</v>
      </c>
      <c r="M132" s="46" t="n">
        <v>1.811</v>
      </c>
      <c r="N132" s="45" t="n">
        <f aca="false">ROUND(L132*M132,2)</f>
        <v>59.76</v>
      </c>
      <c r="R132" s="48" t="s">
        <v>208</v>
      </c>
      <c r="S132" s="48"/>
      <c r="T132" s="48"/>
      <c r="U132" s="48"/>
      <c r="V132" s="48"/>
    </row>
    <row r="133" customFormat="false" ht="15" hidden="false" customHeight="true" outlineLevel="0" collapsed="false">
      <c r="A133" s="20" t="s">
        <v>126</v>
      </c>
      <c r="B133" s="39" t="n">
        <v>33</v>
      </c>
      <c r="C133" s="40" t="n">
        <v>30</v>
      </c>
      <c r="D133" s="41" t="n">
        <v>0.43137</v>
      </c>
      <c r="E133" s="41" t="n">
        <v>1.076</v>
      </c>
      <c r="F133" s="39" t="n">
        <f aca="false">ROUND(B133*E133,2)</f>
        <v>35.51</v>
      </c>
      <c r="G133" s="42"/>
      <c r="H133" s="43" t="n">
        <v>33</v>
      </c>
      <c r="I133" s="44" t="n">
        <v>1.076</v>
      </c>
      <c r="J133" s="43" t="n">
        <f aca="false">ROUND(H133*I133,2)</f>
        <v>35.51</v>
      </c>
      <c r="K133" s="42"/>
      <c r="L133" s="45" t="n">
        <v>33</v>
      </c>
      <c r="M133" s="46" t="n">
        <v>0.6161</v>
      </c>
      <c r="N133" s="45" t="n">
        <f aca="false">ROUND(L133*M133,2)</f>
        <v>20.33</v>
      </c>
      <c r="R133" s="48" t="s">
        <v>209</v>
      </c>
      <c r="S133" s="48"/>
      <c r="T133" s="48"/>
      <c r="U133" s="48"/>
      <c r="V133" s="48"/>
    </row>
    <row r="134" customFormat="false" ht="15" hidden="false" customHeight="true" outlineLevel="0" collapsed="false">
      <c r="A134" s="20" t="s">
        <v>128</v>
      </c>
      <c r="B134" s="39" t="n">
        <v>33</v>
      </c>
      <c r="C134" s="40" t="n">
        <v>30</v>
      </c>
      <c r="D134" s="41" t="n">
        <v>0.38244</v>
      </c>
      <c r="E134" s="41" t="n">
        <v>0.892</v>
      </c>
      <c r="F134" s="39" t="n">
        <f aca="false">ROUND(B134*E134,2)</f>
        <v>29.44</v>
      </c>
      <c r="G134" s="42"/>
      <c r="H134" s="43" t="n">
        <v>33</v>
      </c>
      <c r="I134" s="44" t="n">
        <v>0.892</v>
      </c>
      <c r="J134" s="43" t="n">
        <f aca="false">ROUND(H134*I134,2)</f>
        <v>29.44</v>
      </c>
      <c r="K134" s="42"/>
      <c r="L134" s="45" t="n">
        <v>33</v>
      </c>
      <c r="M134" s="46" t="n">
        <v>0.5551</v>
      </c>
      <c r="N134" s="45" t="n">
        <f aca="false">ROUND(L134*M134,2)</f>
        <v>18.32</v>
      </c>
      <c r="R134" s="49" t="s">
        <v>129</v>
      </c>
      <c r="S134" s="49"/>
      <c r="T134" s="49"/>
      <c r="U134" s="49"/>
      <c r="V134" s="49"/>
    </row>
    <row r="135" customFormat="false" ht="15" hidden="false" customHeight="true" outlineLevel="0" collapsed="false">
      <c r="A135" s="20" t="s">
        <v>130</v>
      </c>
      <c r="B135" s="39" t="n">
        <v>33</v>
      </c>
      <c r="C135" s="40" t="n">
        <v>30</v>
      </c>
      <c r="D135" s="41" t="n">
        <v>0.26964</v>
      </c>
      <c r="E135" s="41" t="n">
        <v>0.207</v>
      </c>
      <c r="F135" s="39" t="n">
        <f aca="false">ROUND(B135*E135,2)</f>
        <v>6.83</v>
      </c>
      <c r="G135" s="42"/>
      <c r="H135" s="43" t="n">
        <v>33</v>
      </c>
      <c r="I135" s="44" t="n">
        <v>0.207</v>
      </c>
      <c r="J135" s="43" t="n">
        <f aca="false">ROUND(H135*I135,2)</f>
        <v>6.83</v>
      </c>
      <c r="K135" s="42"/>
      <c r="L135" s="45" t="n">
        <v>33</v>
      </c>
      <c r="M135" s="46" t="n">
        <v>0.595</v>
      </c>
      <c r="N135" s="45" t="n">
        <f aca="false">ROUND(L135*M135,2)</f>
        <v>19.64</v>
      </c>
      <c r="R135" s="50" t="s">
        <v>131</v>
      </c>
      <c r="S135" s="50"/>
      <c r="T135" s="50"/>
      <c r="U135" s="50"/>
      <c r="V135" s="50"/>
    </row>
    <row r="136" customFormat="false" ht="15" hidden="false" customHeight="true" outlineLevel="0" collapsed="false">
      <c r="A136" s="20" t="s">
        <v>132</v>
      </c>
      <c r="B136" s="39" t="n">
        <v>41</v>
      </c>
      <c r="C136" s="40" t="n">
        <v>30</v>
      </c>
      <c r="D136" s="41" t="n">
        <v>0.18156</v>
      </c>
      <c r="E136" s="41" t="n">
        <v>0.124</v>
      </c>
      <c r="F136" s="39" t="n">
        <f aca="false">ROUND(B136*E136,2)</f>
        <v>5.08</v>
      </c>
      <c r="G136" s="42"/>
      <c r="H136" s="43" t="n">
        <v>41</v>
      </c>
      <c r="I136" s="44" t="n">
        <v>0.124</v>
      </c>
      <c r="J136" s="43" t="n">
        <f aca="false">ROUND(H136*I136,2)</f>
        <v>5.08</v>
      </c>
      <c r="K136" s="42"/>
      <c r="L136" s="45" t="n">
        <v>41</v>
      </c>
      <c r="M136" s="46" t="n">
        <v>0.4523</v>
      </c>
      <c r="N136" s="45" t="n">
        <f aca="false">ROUND(L136*M136,2)</f>
        <v>18.54</v>
      </c>
    </row>
    <row r="137" customFormat="false" ht="15" hidden="false" customHeight="true" outlineLevel="0" collapsed="false">
      <c r="A137" s="51" t="s">
        <v>133</v>
      </c>
      <c r="B137" s="52" t="n">
        <f aca="false">IF($P$137="",3714.25,ROUND(3714.25*((1787.4848/(1-$P$137))-216.83)/1918.5,2))</f>
        <v>3714.25</v>
      </c>
      <c r="C137" s="40"/>
      <c r="D137" s="53" t="n">
        <v>0.121236</v>
      </c>
      <c r="E137" s="41" t="n">
        <v>0.13</v>
      </c>
      <c r="F137" s="39" t="n">
        <f aca="false">ROUND(B137*E137,2)</f>
        <v>482.85</v>
      </c>
      <c r="G137" s="42"/>
      <c r="H137" s="54" t="n">
        <v>5994.78</v>
      </c>
      <c r="I137" s="44" t="n">
        <v>0.135</v>
      </c>
      <c r="J137" s="43" t="n">
        <f aca="false">ROUND(H137*I137,2)</f>
        <v>809.3</v>
      </c>
      <c r="K137" s="42"/>
      <c r="L137" s="55" t="n">
        <v>6611.6</v>
      </c>
      <c r="M137" s="46" t="n">
        <v>0.17</v>
      </c>
      <c r="N137" s="45" t="n">
        <f aca="false">ROUND(L137*M137,2)</f>
        <v>1123.97</v>
      </c>
      <c r="O137" s="56" t="s">
        <v>134</v>
      </c>
      <c r="P137" s="57"/>
    </row>
    <row r="138" customFormat="false" ht="15" hidden="false" customHeight="true" outlineLevel="0" collapsed="false">
      <c r="A138" s="51" t="s">
        <v>135</v>
      </c>
      <c r="B138" s="52" t="n">
        <f aca="false">IF($P$137="",4118.82,ROUND(4118.82*((1787.4848/(1-$P$137))-216.83)/1918.5,2))</f>
        <v>4118.82</v>
      </c>
      <c r="C138" s="40"/>
      <c r="D138" s="53" t="n">
        <v>0.114444</v>
      </c>
      <c r="E138" s="41" t="n">
        <v>0.13</v>
      </c>
      <c r="F138" s="39" t="n">
        <f aca="false">ROUND(B138*E138,2)</f>
        <v>535.45</v>
      </c>
      <c r="G138" s="42"/>
      <c r="H138" s="54" t="n">
        <v>4872.64</v>
      </c>
      <c r="I138" s="44" t="n">
        <v>0.135</v>
      </c>
      <c r="J138" s="43" t="n">
        <f aca="false">ROUND(H138*I138,2)</f>
        <v>657.81</v>
      </c>
      <c r="K138" s="42"/>
      <c r="L138" s="55" t="n">
        <v>3710.36</v>
      </c>
      <c r="M138" s="46" t="n">
        <v>0.16</v>
      </c>
      <c r="N138" s="45" t="n">
        <f aca="false">ROUND(L138*M138,2)</f>
        <v>593.66</v>
      </c>
      <c r="O138" s="58" t="s">
        <v>136</v>
      </c>
    </row>
    <row r="139" customFormat="false" ht="15" hidden="false" customHeight="true" outlineLevel="0" collapsed="false">
      <c r="A139" s="51" t="s">
        <v>137</v>
      </c>
      <c r="B139" s="52" t="n">
        <f aca="false">IF($P$137="",6924.61,ROUND(6924.61*((1787.4848/(1-$P$137))-216.83)/1918.5,2))</f>
        <v>6924.61</v>
      </c>
      <c r="C139" s="40"/>
      <c r="D139" s="53" t="n">
        <v>0.106808</v>
      </c>
      <c r="E139" s="41" t="n">
        <v>0.13</v>
      </c>
      <c r="F139" s="39" t="n">
        <f aca="false">ROUND(B139*E139,2)</f>
        <v>900.2</v>
      </c>
      <c r="G139" s="42"/>
      <c r="H139" s="54" t="n">
        <v>7125.45</v>
      </c>
      <c r="I139" s="44" t="n">
        <v>0.135</v>
      </c>
      <c r="J139" s="43" t="n">
        <f aca="false">ROUND(H139*I139,2)</f>
        <v>961.94</v>
      </c>
      <c r="K139" s="42"/>
      <c r="L139" s="55" t="n">
        <v>8406.37</v>
      </c>
      <c r="M139" s="46" t="n">
        <v>0.13</v>
      </c>
      <c r="N139" s="45" t="n">
        <f aca="false">ROUND(L139*M139,2)</f>
        <v>1092.83</v>
      </c>
      <c r="O139" s="58" t="s">
        <v>138</v>
      </c>
    </row>
    <row r="140" customFormat="false" ht="15" hidden="false" customHeight="true" outlineLevel="0" collapsed="false">
      <c r="A140" s="20" t="s">
        <v>139</v>
      </c>
      <c r="B140" s="39" t="n">
        <v>1</v>
      </c>
      <c r="C140" s="59" t="n">
        <v>30</v>
      </c>
      <c r="D140" s="41" t="n">
        <v>17.615</v>
      </c>
      <c r="E140" s="41" t="n">
        <v>17.615</v>
      </c>
      <c r="F140" s="39" t="n">
        <f aca="false">ROUND(B140*E140,2)</f>
        <v>17.62</v>
      </c>
      <c r="G140" s="42"/>
      <c r="H140" s="43" t="n">
        <v>1</v>
      </c>
      <c r="I140" s="44" t="n">
        <v>17.615</v>
      </c>
      <c r="J140" s="43" t="n">
        <f aca="false">ROUND(H140*I140,2)</f>
        <v>17.62</v>
      </c>
      <c r="K140" s="42"/>
      <c r="L140" s="45" t="n">
        <v>1</v>
      </c>
      <c r="M140" s="46" t="n">
        <v>17.165</v>
      </c>
      <c r="N140" s="45" t="n">
        <f aca="false">ROUND(L140*M140,2)</f>
        <v>17.17</v>
      </c>
    </row>
    <row r="141" customFormat="false" ht="15" hidden="false" customHeight="true" outlineLevel="0" collapsed="false">
      <c r="A141" s="20" t="s">
        <v>140</v>
      </c>
      <c r="B141" s="39" t="n">
        <v>30</v>
      </c>
      <c r="C141" s="59" t="n">
        <v>30</v>
      </c>
      <c r="D141" s="41" t="n">
        <v>0.01274</v>
      </c>
      <c r="E141" s="41" t="n">
        <v>0.01274</v>
      </c>
      <c r="F141" s="39" t="n">
        <f aca="false">ROUND(B141*E141,2)</f>
        <v>0.38</v>
      </c>
      <c r="G141" s="42"/>
      <c r="H141" s="43" t="n">
        <v>28</v>
      </c>
      <c r="I141" s="44" t="n">
        <v>0.01274</v>
      </c>
      <c r="J141" s="43" t="n">
        <f aca="false">ROUND(H141*I141,2)</f>
        <v>0.36</v>
      </c>
      <c r="K141" s="42"/>
      <c r="L141" s="45" t="n">
        <v>30</v>
      </c>
      <c r="M141" s="46" t="n">
        <v>0.00629</v>
      </c>
      <c r="N141" s="45" t="n">
        <f aca="false">ROUND(L141*M141,2)</f>
        <v>0.19</v>
      </c>
    </row>
    <row r="142" customFormat="false" ht="15" hidden="false" customHeight="true" outlineLevel="0" collapsed="false">
      <c r="A142" s="20" t="s">
        <v>141</v>
      </c>
      <c r="B142" s="39" t="n">
        <v>115.52</v>
      </c>
      <c r="C142" s="40"/>
      <c r="D142" s="41" t="n">
        <v>1</v>
      </c>
      <c r="E142" s="41" t="n">
        <v>1</v>
      </c>
      <c r="F142" s="39" t="n">
        <f aca="false">ROUND(B142*E142,2)</f>
        <v>115.52</v>
      </c>
      <c r="G142" s="42"/>
      <c r="H142" s="43" t="n">
        <v>142.52</v>
      </c>
      <c r="I142" s="44" t="n">
        <v>1</v>
      </c>
      <c r="J142" s="43" t="n">
        <f aca="false">ROUND(H142*I142,2)</f>
        <v>142.52</v>
      </c>
      <c r="K142" s="42"/>
      <c r="L142" s="45" t="n">
        <v>162.9</v>
      </c>
      <c r="M142" s="46" t="n">
        <v>1</v>
      </c>
      <c r="N142" s="45" t="n">
        <f aca="false">ROUND(L142*M142,2)</f>
        <v>162.9</v>
      </c>
    </row>
    <row r="143" customFormat="false" ht="15" hidden="false" customHeight="true" outlineLevel="0" collapsed="false">
      <c r="A143" s="51" t="s">
        <v>172</v>
      </c>
      <c r="B143" s="40"/>
      <c r="C143" s="40"/>
      <c r="D143" s="40"/>
      <c r="E143" s="71"/>
      <c r="F143" s="40"/>
      <c r="G143" s="42"/>
      <c r="H143" s="72"/>
      <c r="I143" s="72"/>
      <c r="J143" s="72"/>
      <c r="K143" s="42"/>
      <c r="L143" s="45" t="n">
        <v>-27.356</v>
      </c>
      <c r="M143" s="46" t="n">
        <v>0.15</v>
      </c>
      <c r="N143" s="45" t="n">
        <f aca="false">ROUND(L143*M143,2)</f>
        <v>-4.1</v>
      </c>
    </row>
    <row r="144" customFormat="false" ht="15" hidden="false" customHeight="true" outlineLevel="0" collapsed="false">
      <c r="A144" s="60" t="s">
        <v>142</v>
      </c>
      <c r="B144" s="61"/>
      <c r="C144" s="61"/>
      <c r="D144" s="61"/>
      <c r="E144" s="61"/>
      <c r="F144" s="62" t="n">
        <f aca="false">ROUND((SUM(F131:F143)-F142)*1.21+F142,2)</f>
        <v>2721.05</v>
      </c>
      <c r="G144" s="61"/>
      <c r="H144" s="61"/>
      <c r="I144" s="61"/>
      <c r="J144" s="63" t="n">
        <f aca="false">ROUND((SUM(J131:J143)-J142)*1.21+J142,2)</f>
        <v>3365.79</v>
      </c>
      <c r="K144" s="61"/>
      <c r="L144" s="61"/>
      <c r="M144" s="61"/>
      <c r="N144" s="64" t="n">
        <f aca="false">ROUND((SUM(N131:N143)-N142)*1.21+N142,2)</f>
        <v>3817.44</v>
      </c>
    </row>
    <row r="145" customFormat="false" ht="15" hidden="false" customHeight="true" outlineLevel="0" collapsed="false">
      <c r="A145" s="65" t="s">
        <v>143</v>
      </c>
      <c r="B145" s="66" t="n">
        <f aca="false">(SUM(F131:F139)-1787.4848)/SUM(F131:F139)</f>
        <v>0.162899973306234</v>
      </c>
      <c r="C145" s="66"/>
      <c r="D145" s="66"/>
      <c r="E145" s="66"/>
      <c r="F145" s="66"/>
      <c r="G145" s="67"/>
      <c r="H145" s="67"/>
      <c r="I145" s="67"/>
      <c r="J145" s="67"/>
      <c r="K145" s="67"/>
      <c r="L145" s="68" t="str">
        <f aca="false">IF(B145&gt;=0.3,"APROBAR",IF(B145&gt;=0.2,"REVISAR","RECHAZAR"))</f>
        <v>RECHAZAR</v>
      </c>
      <c r="M145" s="68"/>
      <c r="N145" s="68"/>
    </row>
    <row r="147" customFormat="false" ht="15" hidden="false" customHeight="true" outlineLevel="0" collapsed="false">
      <c r="A147" s="26" t="s">
        <v>210</v>
      </c>
      <c r="B147" s="26"/>
      <c r="C147" s="26"/>
      <c r="D147" s="26"/>
      <c r="E147" s="26"/>
      <c r="F147" s="26"/>
      <c r="G147" s="26"/>
      <c r="H147" s="26"/>
      <c r="I147" s="27" t="s">
        <v>211</v>
      </c>
      <c r="J147" s="27"/>
      <c r="K147" s="27"/>
      <c r="L147" s="27"/>
      <c r="M147" s="27"/>
      <c r="N147" s="27"/>
      <c r="R147" s="28" t="s">
        <v>110</v>
      </c>
      <c r="S147" s="28"/>
      <c r="T147" s="28"/>
      <c r="U147" s="28"/>
      <c r="V147" s="28"/>
    </row>
    <row r="148" customFormat="false" ht="15" hidden="false" customHeight="true" outlineLevel="0" collapsed="false">
      <c r="A148" s="29" t="s">
        <v>111</v>
      </c>
      <c r="B148" s="30" t="s">
        <v>112</v>
      </c>
      <c r="C148" s="30"/>
      <c r="D148" s="30"/>
      <c r="E148" s="30"/>
      <c r="F148" s="30"/>
      <c r="G148" s="31"/>
      <c r="H148" s="32" t="s">
        <v>212</v>
      </c>
      <c r="I148" s="32"/>
      <c r="J148" s="32"/>
      <c r="K148" s="31"/>
      <c r="L148" s="33" t="s">
        <v>213</v>
      </c>
      <c r="M148" s="33"/>
      <c r="N148" s="33"/>
      <c r="R148" s="34" t="s">
        <v>214</v>
      </c>
      <c r="S148" s="34"/>
      <c r="T148" s="34"/>
      <c r="U148" s="34"/>
      <c r="V148" s="34"/>
    </row>
    <row r="149" customFormat="false" ht="15" hidden="false" customHeight="true" outlineLevel="0" collapsed="false">
      <c r="A149" s="31"/>
      <c r="B149" s="35" t="s">
        <v>116</v>
      </c>
      <c r="C149" s="35" t="s">
        <v>117</v>
      </c>
      <c r="D149" s="35" t="s">
        <v>118</v>
      </c>
      <c r="E149" s="35" t="s">
        <v>119</v>
      </c>
      <c r="F149" s="35" t="s">
        <v>120</v>
      </c>
      <c r="G149" s="31"/>
      <c r="H149" s="36" t="s">
        <v>116</v>
      </c>
      <c r="I149" s="36" t="s">
        <v>119</v>
      </c>
      <c r="J149" s="36" t="s">
        <v>120</v>
      </c>
      <c r="K149" s="31"/>
      <c r="L149" s="37" t="s">
        <v>116</v>
      </c>
      <c r="M149" s="37" t="s">
        <v>119</v>
      </c>
      <c r="N149" s="37" t="s">
        <v>120</v>
      </c>
      <c r="R149" s="38" t="s">
        <v>215</v>
      </c>
      <c r="S149" s="38"/>
      <c r="T149" s="38"/>
      <c r="U149" s="38"/>
      <c r="V149" s="38"/>
    </row>
    <row r="150" customFormat="false" ht="15" hidden="false" customHeight="true" outlineLevel="0" collapsed="false">
      <c r="A150" s="20" t="s">
        <v>122</v>
      </c>
      <c r="B150" s="39" t="n">
        <v>2</v>
      </c>
      <c r="C150" s="40" t="n">
        <v>30</v>
      </c>
      <c r="D150" s="41" t="n">
        <v>1.73784</v>
      </c>
      <c r="E150" s="41" t="n">
        <v>2.5542</v>
      </c>
      <c r="F150" s="39" t="n">
        <f aca="false">ROUND(B150*E150,2)</f>
        <v>5.11</v>
      </c>
      <c r="G150" s="42"/>
      <c r="H150" s="43" t="n">
        <v>2</v>
      </c>
      <c r="I150" s="44" t="n">
        <v>2.5542</v>
      </c>
      <c r="J150" s="43" t="n">
        <f aca="false">ROUND(H150*I150,2)</f>
        <v>5.11</v>
      </c>
      <c r="K150" s="42"/>
      <c r="L150" s="45" t="n">
        <v>2</v>
      </c>
      <c r="M150" s="46" t="n">
        <v>2.5542</v>
      </c>
      <c r="N150" s="45" t="n">
        <f aca="false">ROUND(L150*M150,2)</f>
        <v>5.11</v>
      </c>
      <c r="R150" s="47" t="s">
        <v>216</v>
      </c>
      <c r="S150" s="47"/>
      <c r="T150" s="47"/>
      <c r="U150" s="47"/>
      <c r="V150" s="47"/>
    </row>
    <row r="151" customFormat="false" ht="15" hidden="false" customHeight="true" outlineLevel="0" collapsed="false">
      <c r="A151" s="20" t="s">
        <v>124</v>
      </c>
      <c r="B151" s="39" t="n">
        <v>2</v>
      </c>
      <c r="C151" s="40" t="n">
        <v>30</v>
      </c>
      <c r="D151" s="41" t="n">
        <v>0.9357</v>
      </c>
      <c r="E151" s="41" t="n">
        <v>1.3773</v>
      </c>
      <c r="F151" s="39" t="n">
        <f aca="false">ROUND(B151*E151,2)</f>
        <v>2.75</v>
      </c>
      <c r="G151" s="42"/>
      <c r="H151" s="43" t="n">
        <v>2</v>
      </c>
      <c r="I151" s="44" t="n">
        <v>1.3773</v>
      </c>
      <c r="J151" s="43" t="n">
        <f aca="false">ROUND(H151*I151,2)</f>
        <v>2.75</v>
      </c>
      <c r="K151" s="42"/>
      <c r="L151" s="45" t="n">
        <v>2</v>
      </c>
      <c r="M151" s="46" t="n">
        <v>1.3773</v>
      </c>
      <c r="N151" s="45" t="n">
        <f aca="false">ROUND(L151*M151,2)</f>
        <v>2.75</v>
      </c>
      <c r="R151" s="48" t="s">
        <v>217</v>
      </c>
      <c r="S151" s="48"/>
      <c r="T151" s="48"/>
      <c r="U151" s="48"/>
      <c r="V151" s="48"/>
    </row>
    <row r="152" customFormat="false" ht="15" hidden="false" customHeight="true" outlineLevel="0" collapsed="false">
      <c r="A152" s="20" t="s">
        <v>126</v>
      </c>
      <c r="B152" s="39" t="n">
        <v>2</v>
      </c>
      <c r="C152" s="40" t="n">
        <v>30</v>
      </c>
      <c r="D152" s="41" t="n">
        <v>0.43137</v>
      </c>
      <c r="E152" s="41" t="n">
        <v>0.6286</v>
      </c>
      <c r="F152" s="39" t="n">
        <f aca="false">ROUND(B152*E152,2)</f>
        <v>1.26</v>
      </c>
      <c r="G152" s="42"/>
      <c r="H152" s="43" t="n">
        <v>2</v>
      </c>
      <c r="I152" s="44" t="n">
        <v>0.6286</v>
      </c>
      <c r="J152" s="43" t="n">
        <f aca="false">ROUND(H152*I152,2)</f>
        <v>1.26</v>
      </c>
      <c r="K152" s="42"/>
      <c r="L152" s="45" t="n">
        <v>2</v>
      </c>
      <c r="M152" s="46" t="n">
        <v>0.6286</v>
      </c>
      <c r="N152" s="45" t="n">
        <f aca="false">ROUND(L152*M152,2)</f>
        <v>1.26</v>
      </c>
      <c r="R152" s="48" t="s">
        <v>218</v>
      </c>
      <c r="S152" s="48"/>
      <c r="T152" s="48"/>
      <c r="U152" s="48"/>
      <c r="V152" s="48"/>
    </row>
    <row r="153" customFormat="false" ht="15" hidden="false" customHeight="true" outlineLevel="0" collapsed="false">
      <c r="A153" s="20" t="s">
        <v>128</v>
      </c>
      <c r="B153" s="39" t="n">
        <v>2</v>
      </c>
      <c r="C153" s="40" t="n">
        <v>30</v>
      </c>
      <c r="D153" s="41" t="n">
        <v>0.38244</v>
      </c>
      <c r="E153" s="41" t="n">
        <v>0.5561</v>
      </c>
      <c r="F153" s="39" t="n">
        <f aca="false">ROUND(B153*E153,2)</f>
        <v>1.11</v>
      </c>
      <c r="G153" s="42"/>
      <c r="H153" s="43" t="n">
        <v>2</v>
      </c>
      <c r="I153" s="44" t="n">
        <v>0.5561</v>
      </c>
      <c r="J153" s="43" t="n">
        <f aca="false">ROUND(H153*I153,2)</f>
        <v>1.11</v>
      </c>
      <c r="K153" s="42"/>
      <c r="L153" s="45" t="n">
        <v>2</v>
      </c>
      <c r="M153" s="46" t="n">
        <v>0.5561</v>
      </c>
      <c r="N153" s="45" t="n">
        <f aca="false">ROUND(L153*M153,2)</f>
        <v>1.11</v>
      </c>
      <c r="R153" s="69" t="s">
        <v>162</v>
      </c>
      <c r="S153" s="69"/>
      <c r="T153" s="69"/>
      <c r="U153" s="69"/>
      <c r="V153" s="69"/>
    </row>
    <row r="154" customFormat="false" ht="15" hidden="false" customHeight="true" outlineLevel="0" collapsed="false">
      <c r="A154" s="20" t="s">
        <v>130</v>
      </c>
      <c r="B154" s="39" t="n">
        <v>2</v>
      </c>
      <c r="C154" s="40" t="n">
        <v>30</v>
      </c>
      <c r="D154" s="41" t="n">
        <v>0.26964</v>
      </c>
      <c r="E154" s="41" t="n">
        <v>0.3868</v>
      </c>
      <c r="F154" s="39" t="n">
        <f aca="false">ROUND(B154*E154,2)</f>
        <v>0.77</v>
      </c>
      <c r="G154" s="42"/>
      <c r="H154" s="43" t="n">
        <v>2</v>
      </c>
      <c r="I154" s="44" t="n">
        <v>0.3868</v>
      </c>
      <c r="J154" s="43" t="n">
        <f aca="false">ROUND(H154*I154,2)</f>
        <v>0.77</v>
      </c>
      <c r="K154" s="42"/>
      <c r="L154" s="45" t="n">
        <v>2</v>
      </c>
      <c r="M154" s="46" t="n">
        <v>0.3868</v>
      </c>
      <c r="N154" s="45" t="n">
        <f aca="false">ROUND(L154*M154,2)</f>
        <v>0.77</v>
      </c>
      <c r="R154" s="50" t="s">
        <v>131</v>
      </c>
      <c r="S154" s="50"/>
      <c r="T154" s="50"/>
      <c r="U154" s="50"/>
      <c r="V154" s="50"/>
    </row>
    <row r="155" customFormat="false" ht="15" hidden="false" customHeight="true" outlineLevel="0" collapsed="false">
      <c r="A155" s="20" t="s">
        <v>132</v>
      </c>
      <c r="B155" s="39" t="n">
        <v>15.01</v>
      </c>
      <c r="C155" s="40" t="n">
        <v>30</v>
      </c>
      <c r="D155" s="41" t="n">
        <v>0.18156</v>
      </c>
      <c r="E155" s="41" t="n">
        <v>0.2653</v>
      </c>
      <c r="F155" s="39" t="n">
        <f aca="false">ROUND(B155*E155,2)</f>
        <v>3.98</v>
      </c>
      <c r="G155" s="42"/>
      <c r="H155" s="43" t="n">
        <v>15.01</v>
      </c>
      <c r="I155" s="44" t="n">
        <v>0.2653</v>
      </c>
      <c r="J155" s="43" t="n">
        <f aca="false">ROUND(H155*I155,2)</f>
        <v>3.98</v>
      </c>
      <c r="K155" s="42"/>
      <c r="L155" s="45" t="n">
        <v>15.01</v>
      </c>
      <c r="M155" s="46" t="n">
        <v>0.2653</v>
      </c>
      <c r="N155" s="45" t="n">
        <f aca="false">ROUND(L155*M155,2)</f>
        <v>3.98</v>
      </c>
    </row>
    <row r="156" customFormat="false" ht="15" hidden="false" customHeight="true" outlineLevel="0" collapsed="false">
      <c r="A156" s="51" t="s">
        <v>133</v>
      </c>
      <c r="B156" s="52" t="n">
        <f aca="false">IF($P$156="",29.98,ROUND(29.98*((28.2654/(1-$P$156))-14.98)/25.88,2))</f>
        <v>29.98</v>
      </c>
      <c r="C156" s="40"/>
      <c r="D156" s="53" t="n">
        <v>0.128336</v>
      </c>
      <c r="E156" s="41" t="n">
        <v>0.173</v>
      </c>
      <c r="F156" s="39" t="n">
        <f aca="false">ROUND(B156*E156,2)</f>
        <v>5.19</v>
      </c>
      <c r="G156" s="42"/>
      <c r="H156" s="54" t="n">
        <v>70.044</v>
      </c>
      <c r="I156" s="44" t="n">
        <v>0.18804</v>
      </c>
      <c r="J156" s="43" t="n">
        <f aca="false">ROUND(H156*I156,2)</f>
        <v>13.17</v>
      </c>
      <c r="K156" s="42"/>
      <c r="L156" s="55" t="n">
        <v>4.716</v>
      </c>
      <c r="M156" s="46" t="n">
        <v>0.173</v>
      </c>
      <c r="N156" s="45" t="n">
        <f aca="false">ROUND(L156*M156,2)</f>
        <v>0.82</v>
      </c>
      <c r="O156" s="56" t="s">
        <v>134</v>
      </c>
      <c r="P156" s="57"/>
    </row>
    <row r="157" customFormat="false" ht="15" hidden="false" customHeight="true" outlineLevel="0" collapsed="false">
      <c r="A157" s="51" t="s">
        <v>135</v>
      </c>
      <c r="B157" s="52" t="n">
        <f aca="false">IF($P$156="",14.188,ROUND(14.188*((28.2654/(1-$P$156))-14.98)/25.88,2))</f>
        <v>14.188</v>
      </c>
      <c r="C157" s="40"/>
      <c r="D157" s="53" t="n">
        <v>0.121544</v>
      </c>
      <c r="E157" s="41" t="n">
        <v>0.1707</v>
      </c>
      <c r="F157" s="39" t="n">
        <f aca="false">ROUND(B157*E157,2)</f>
        <v>2.42</v>
      </c>
      <c r="G157" s="42"/>
      <c r="H157" s="54" t="n">
        <v>52.462</v>
      </c>
      <c r="I157" s="44" t="n">
        <v>0.17506</v>
      </c>
      <c r="J157" s="43" t="n">
        <f aca="false">ROUND(H157*I157,2)</f>
        <v>9.18</v>
      </c>
      <c r="K157" s="42"/>
      <c r="L157" s="55" t="n">
        <v>2.67</v>
      </c>
      <c r="M157" s="46" t="n">
        <v>0.1707</v>
      </c>
      <c r="N157" s="45" t="n">
        <f aca="false">ROUND(L157*M157,2)</f>
        <v>0.46</v>
      </c>
      <c r="O157" s="58" t="s">
        <v>136</v>
      </c>
    </row>
    <row r="158" customFormat="false" ht="15" hidden="false" customHeight="true" outlineLevel="0" collapsed="false">
      <c r="A158" s="51" t="s">
        <v>137</v>
      </c>
      <c r="B158" s="52" t="n">
        <f aca="false">IF($P$156="",109.481,ROUND(109.481*((28.2654/(1-$P$156))-14.98)/25.88,2))</f>
        <v>109.481</v>
      </c>
      <c r="C158" s="40"/>
      <c r="D158" s="53" t="n">
        <v>0.113808</v>
      </c>
      <c r="E158" s="41" t="n">
        <v>0.1669</v>
      </c>
      <c r="F158" s="39" t="n">
        <f aca="false">ROUND(B158*E158,2)</f>
        <v>18.27</v>
      </c>
      <c r="G158" s="42"/>
      <c r="H158" s="54" t="n">
        <v>168.163</v>
      </c>
      <c r="I158" s="44" t="n">
        <v>0.1669</v>
      </c>
      <c r="J158" s="43" t="n">
        <f aca="false">ROUND(H158*I158,2)</f>
        <v>28.07</v>
      </c>
      <c r="K158" s="42"/>
      <c r="L158" s="55" t="n">
        <v>21.758</v>
      </c>
      <c r="M158" s="46" t="n">
        <v>0.1669</v>
      </c>
      <c r="N158" s="45" t="n">
        <f aca="false">ROUND(L158*M158,2)</f>
        <v>3.63</v>
      </c>
      <c r="O158" s="58" t="s">
        <v>138</v>
      </c>
    </row>
    <row r="159" customFormat="false" ht="15" hidden="false" customHeight="true" outlineLevel="0" collapsed="false">
      <c r="A159" s="20" t="s">
        <v>139</v>
      </c>
      <c r="B159" s="39" t="n">
        <v>1</v>
      </c>
      <c r="C159" s="59" t="n">
        <v>30</v>
      </c>
      <c r="D159" s="41" t="n">
        <v>17.615</v>
      </c>
      <c r="E159" s="41" t="n">
        <v>17.615</v>
      </c>
      <c r="F159" s="39" t="n">
        <f aca="false">ROUND(B159*E159,2)</f>
        <v>17.62</v>
      </c>
      <c r="G159" s="42"/>
      <c r="H159" s="43" t="n">
        <v>1</v>
      </c>
      <c r="I159" s="44" t="n">
        <v>17.615</v>
      </c>
      <c r="J159" s="43" t="n">
        <f aca="false">ROUND(H159*I159,2)</f>
        <v>17.62</v>
      </c>
      <c r="K159" s="42"/>
      <c r="L159" s="45" t="n">
        <v>1</v>
      </c>
      <c r="M159" s="46" t="n">
        <v>17.615</v>
      </c>
      <c r="N159" s="45" t="n">
        <f aca="false">ROUND(L159*M159,2)</f>
        <v>17.62</v>
      </c>
    </row>
    <row r="160" customFormat="false" ht="15" hidden="false" customHeight="true" outlineLevel="0" collapsed="false">
      <c r="A160" s="20" t="s">
        <v>140</v>
      </c>
      <c r="B160" s="39" t="n">
        <v>30</v>
      </c>
      <c r="C160" s="59" t="n">
        <v>30</v>
      </c>
      <c r="D160" s="41" t="n">
        <v>0.01274</v>
      </c>
      <c r="E160" s="41" t="n">
        <v>0.01274</v>
      </c>
      <c r="F160" s="39" t="n">
        <f aca="false">ROUND(B160*E160,2)</f>
        <v>0.38</v>
      </c>
      <c r="G160" s="42"/>
      <c r="H160" s="43" t="n">
        <v>30</v>
      </c>
      <c r="I160" s="44" t="n">
        <v>0.01274</v>
      </c>
      <c r="J160" s="43" t="n">
        <f aca="false">ROUND(H160*I160,2)</f>
        <v>0.38</v>
      </c>
      <c r="K160" s="42"/>
      <c r="L160" s="45" t="n">
        <v>30</v>
      </c>
      <c r="M160" s="46" t="n">
        <v>0.00629</v>
      </c>
      <c r="N160" s="45" t="n">
        <f aca="false">ROUND(L160*M160,2)</f>
        <v>0.19</v>
      </c>
    </row>
    <row r="161" customFormat="false" ht="15" hidden="false" customHeight="true" outlineLevel="0" collapsed="false">
      <c r="A161" s="20" t="s">
        <v>141</v>
      </c>
      <c r="B161" s="39" t="n">
        <v>0.78</v>
      </c>
      <c r="C161" s="40"/>
      <c r="D161" s="41" t="n">
        <v>1</v>
      </c>
      <c r="E161" s="41" t="n">
        <v>1</v>
      </c>
      <c r="F161" s="39" t="n">
        <f aca="false">ROUND(B161*E161,2)</f>
        <v>0.78</v>
      </c>
      <c r="G161" s="42"/>
      <c r="H161" s="43" t="n">
        <v>2.53</v>
      </c>
      <c r="I161" s="44" t="n">
        <v>1</v>
      </c>
      <c r="J161" s="43" t="n">
        <f aca="false">ROUND(H161*I161,2)</f>
        <v>2.53</v>
      </c>
      <c r="K161" s="42"/>
      <c r="L161" s="45" t="n">
        <v>0.78</v>
      </c>
      <c r="M161" s="46" t="n">
        <v>1</v>
      </c>
      <c r="N161" s="45" t="n">
        <f aca="false">ROUND(L161*M161,2)</f>
        <v>0.78</v>
      </c>
    </row>
    <row r="162" customFormat="false" ht="15" hidden="false" customHeight="true" outlineLevel="0" collapsed="false">
      <c r="A162" s="60" t="s">
        <v>142</v>
      </c>
      <c r="B162" s="61"/>
      <c r="C162" s="61"/>
      <c r="D162" s="61"/>
      <c r="E162" s="61"/>
      <c r="F162" s="62" t="n">
        <f aca="false">ROUND((SUM(F150:F161)-F161)*1.21+F161,2)</f>
        <v>72</v>
      </c>
      <c r="G162" s="61"/>
      <c r="H162" s="61"/>
      <c r="I162" s="61"/>
      <c r="J162" s="63" t="n">
        <f aca="false">ROUND((SUM(J150:J161)-J161)*1.21+J161,2)</f>
        <v>103.44</v>
      </c>
      <c r="K162" s="61"/>
      <c r="L162" s="61"/>
      <c r="M162" s="61"/>
      <c r="N162" s="64" t="n">
        <f aca="false">ROUND((SUM(N150:N161)-N161)*1.21+N161,2)</f>
        <v>46.4</v>
      </c>
    </row>
    <row r="163" customFormat="false" ht="15" hidden="false" customHeight="true" outlineLevel="0" collapsed="false">
      <c r="A163" s="65" t="s">
        <v>143</v>
      </c>
      <c r="B163" s="66" t="n">
        <f aca="false">(SUM(F150:F158)-28.2654)/SUM(F150:F158)</f>
        <v>0.308237885462555</v>
      </c>
      <c r="C163" s="66"/>
      <c r="D163" s="66"/>
      <c r="E163" s="66"/>
      <c r="F163" s="66"/>
      <c r="G163" s="67"/>
      <c r="H163" s="67"/>
      <c r="I163" s="67"/>
      <c r="J163" s="67"/>
      <c r="K163" s="67"/>
      <c r="L163" s="68" t="str">
        <f aca="false">IF(B163&gt;=0.3,"APROBAR",IF(B163&gt;=0.2,"REVISAR","RECHAZAR"))</f>
        <v>APROBAR</v>
      </c>
      <c r="M163" s="68"/>
      <c r="N163" s="68"/>
    </row>
    <row r="165" customFormat="false" ht="15" hidden="false" customHeight="true" outlineLevel="0" collapsed="false">
      <c r="A165" s="26" t="s">
        <v>219</v>
      </c>
      <c r="B165" s="26"/>
      <c r="C165" s="26"/>
      <c r="D165" s="26"/>
      <c r="E165" s="26"/>
      <c r="F165" s="26"/>
      <c r="G165" s="26"/>
      <c r="H165" s="26"/>
      <c r="I165" s="27" t="s">
        <v>220</v>
      </c>
      <c r="J165" s="27"/>
      <c r="K165" s="27"/>
      <c r="L165" s="27"/>
      <c r="M165" s="27"/>
      <c r="N165" s="27"/>
      <c r="R165" s="28" t="s">
        <v>110</v>
      </c>
      <c r="S165" s="28"/>
      <c r="T165" s="28"/>
      <c r="U165" s="28"/>
      <c r="V165" s="28"/>
    </row>
    <row r="166" customFormat="false" ht="15" hidden="false" customHeight="true" outlineLevel="0" collapsed="false">
      <c r="A166" s="29" t="s">
        <v>111</v>
      </c>
      <c r="B166" s="30" t="s">
        <v>112</v>
      </c>
      <c r="C166" s="30"/>
      <c r="D166" s="30"/>
      <c r="E166" s="30"/>
      <c r="F166" s="30"/>
      <c r="G166" s="31"/>
      <c r="H166" s="32" t="s">
        <v>221</v>
      </c>
      <c r="I166" s="32"/>
      <c r="J166" s="32"/>
      <c r="K166" s="31"/>
      <c r="L166" s="33" t="s">
        <v>222</v>
      </c>
      <c r="M166" s="33"/>
      <c r="N166" s="33"/>
      <c r="R166" s="34" t="s">
        <v>223</v>
      </c>
      <c r="S166" s="34"/>
      <c r="T166" s="34"/>
      <c r="U166" s="34"/>
      <c r="V166" s="34"/>
    </row>
    <row r="167" customFormat="false" ht="15" hidden="false" customHeight="true" outlineLevel="0" collapsed="false">
      <c r="A167" s="31"/>
      <c r="B167" s="35" t="s">
        <v>116</v>
      </c>
      <c r="C167" s="35" t="s">
        <v>117</v>
      </c>
      <c r="D167" s="35" t="s">
        <v>118</v>
      </c>
      <c r="E167" s="35" t="s">
        <v>119</v>
      </c>
      <c r="F167" s="35" t="s">
        <v>120</v>
      </c>
      <c r="G167" s="31"/>
      <c r="H167" s="36" t="s">
        <v>116</v>
      </c>
      <c r="I167" s="36" t="s">
        <v>119</v>
      </c>
      <c r="J167" s="36" t="s">
        <v>120</v>
      </c>
      <c r="K167" s="31"/>
      <c r="L167" s="37" t="s">
        <v>116</v>
      </c>
      <c r="M167" s="37" t="s">
        <v>119</v>
      </c>
      <c r="N167" s="37" t="s">
        <v>120</v>
      </c>
      <c r="R167" s="38" t="s">
        <v>224</v>
      </c>
      <c r="S167" s="38"/>
      <c r="T167" s="38"/>
      <c r="U167" s="38"/>
      <c r="V167" s="38"/>
    </row>
    <row r="168" customFormat="false" ht="15" hidden="false" customHeight="true" outlineLevel="0" collapsed="false">
      <c r="A168" s="20" t="s">
        <v>122</v>
      </c>
      <c r="B168" s="39" t="n">
        <v>16.78</v>
      </c>
      <c r="C168" s="40" t="n">
        <v>30</v>
      </c>
      <c r="D168" s="41" t="n">
        <v>1.76631</v>
      </c>
      <c r="E168" s="41" t="n">
        <v>2.1</v>
      </c>
      <c r="F168" s="39" t="n">
        <f aca="false">ROUND(B168*E168,2)</f>
        <v>35.24</v>
      </c>
      <c r="G168" s="42"/>
      <c r="H168" s="43" t="n">
        <v>16.78</v>
      </c>
      <c r="I168" s="44" t="n">
        <v>2.1</v>
      </c>
      <c r="J168" s="43" t="n">
        <f aca="false">ROUND(H168*I168,2)</f>
        <v>35.24</v>
      </c>
      <c r="K168" s="42"/>
      <c r="L168" s="45" t="n">
        <v>16.78</v>
      </c>
      <c r="M168" s="46" t="n">
        <v>2.1</v>
      </c>
      <c r="N168" s="45" t="n">
        <f aca="false">ROUND(L168*M168,2)</f>
        <v>35.24</v>
      </c>
      <c r="R168" s="47" t="s">
        <v>225</v>
      </c>
      <c r="S168" s="47"/>
      <c r="T168" s="47"/>
      <c r="U168" s="47"/>
      <c r="V168" s="47"/>
    </row>
    <row r="169" customFormat="false" ht="15" hidden="false" customHeight="true" outlineLevel="0" collapsed="false">
      <c r="A169" s="20" t="s">
        <v>124</v>
      </c>
      <c r="B169" s="39" t="n">
        <v>16.78</v>
      </c>
      <c r="C169" s="40" t="n">
        <v>30</v>
      </c>
      <c r="D169" s="41" t="n">
        <v>1.08498</v>
      </c>
      <c r="E169" s="41" t="n">
        <v>1.91</v>
      </c>
      <c r="F169" s="39" t="n">
        <f aca="false">ROUND(B169*E169,2)</f>
        <v>32.05</v>
      </c>
      <c r="G169" s="42"/>
      <c r="H169" s="43" t="n">
        <v>16.78</v>
      </c>
      <c r="I169" s="44" t="n">
        <v>1.91</v>
      </c>
      <c r="J169" s="43" t="n">
        <f aca="false">ROUND(H169*I169,2)</f>
        <v>32.05</v>
      </c>
      <c r="K169" s="42"/>
      <c r="L169" s="45" t="n">
        <v>16.78</v>
      </c>
      <c r="M169" s="46" t="n">
        <v>1.91</v>
      </c>
      <c r="N169" s="45" t="n">
        <f aca="false">ROUND(L169*M169,2)</f>
        <v>32.05</v>
      </c>
      <c r="R169" s="48" t="s">
        <v>226</v>
      </c>
      <c r="S169" s="48"/>
      <c r="T169" s="48"/>
      <c r="U169" s="48"/>
      <c r="V169" s="48"/>
    </row>
    <row r="170" customFormat="false" ht="15" hidden="false" customHeight="true" outlineLevel="0" collapsed="false">
      <c r="A170" s="20" t="s">
        <v>126</v>
      </c>
      <c r="B170" s="39" t="n">
        <v>16.78</v>
      </c>
      <c r="C170" s="40" t="n">
        <v>30</v>
      </c>
      <c r="D170" s="41" t="n">
        <v>0.49971</v>
      </c>
      <c r="E170" s="41" t="n">
        <v>0.71</v>
      </c>
      <c r="F170" s="39" t="n">
        <f aca="false">ROUND(B170*E170,2)</f>
        <v>11.91</v>
      </c>
      <c r="G170" s="42"/>
      <c r="H170" s="43" t="n">
        <v>16.78</v>
      </c>
      <c r="I170" s="44" t="n">
        <v>0.71</v>
      </c>
      <c r="J170" s="43" t="n">
        <f aca="false">ROUND(H170*I170,2)</f>
        <v>11.91</v>
      </c>
      <c r="K170" s="42"/>
      <c r="L170" s="45" t="n">
        <v>16.78</v>
      </c>
      <c r="M170" s="46" t="n">
        <v>0.71</v>
      </c>
      <c r="N170" s="45" t="n">
        <f aca="false">ROUND(L170*M170,2)</f>
        <v>11.91</v>
      </c>
      <c r="R170" s="48" t="s">
        <v>227</v>
      </c>
      <c r="S170" s="48"/>
      <c r="T170" s="48"/>
      <c r="U170" s="48"/>
      <c r="V170" s="48"/>
    </row>
    <row r="171" customFormat="false" ht="15" hidden="false" customHeight="true" outlineLevel="0" collapsed="false">
      <c r="A171" s="20" t="s">
        <v>128</v>
      </c>
      <c r="B171" s="39" t="n">
        <v>16.78</v>
      </c>
      <c r="C171" s="40" t="n">
        <v>30</v>
      </c>
      <c r="D171" s="41" t="n">
        <v>0.41658</v>
      </c>
      <c r="E171" s="41" t="n">
        <v>0.57</v>
      </c>
      <c r="F171" s="39" t="n">
        <f aca="false">ROUND(B171*E171,2)</f>
        <v>9.56</v>
      </c>
      <c r="G171" s="42"/>
      <c r="H171" s="43" t="n">
        <v>16.78</v>
      </c>
      <c r="I171" s="44" t="n">
        <v>0.57</v>
      </c>
      <c r="J171" s="43" t="n">
        <f aca="false">ROUND(H171*I171,2)</f>
        <v>9.56</v>
      </c>
      <c r="K171" s="42"/>
      <c r="L171" s="45" t="n">
        <v>16.78</v>
      </c>
      <c r="M171" s="46" t="n">
        <v>0.57</v>
      </c>
      <c r="N171" s="45" t="n">
        <f aca="false">ROUND(L171*M171,2)</f>
        <v>9.56</v>
      </c>
      <c r="R171" s="69" t="s">
        <v>162</v>
      </c>
      <c r="S171" s="69"/>
      <c r="T171" s="69"/>
      <c r="U171" s="69"/>
      <c r="V171" s="69"/>
    </row>
    <row r="172" customFormat="false" ht="15" hidden="false" customHeight="true" outlineLevel="0" collapsed="false">
      <c r="A172" s="20" t="s">
        <v>130</v>
      </c>
      <c r="B172" s="39" t="n">
        <v>16.78</v>
      </c>
      <c r="C172" s="40" t="n">
        <v>30</v>
      </c>
      <c r="D172" s="41" t="n">
        <v>0.33309</v>
      </c>
      <c r="E172" s="41" t="n">
        <v>0.55</v>
      </c>
      <c r="F172" s="39" t="n">
        <f aca="false">ROUND(B172*E172,2)</f>
        <v>9.23</v>
      </c>
      <c r="G172" s="42"/>
      <c r="H172" s="43" t="n">
        <v>16.78</v>
      </c>
      <c r="I172" s="44" t="n">
        <v>0.55</v>
      </c>
      <c r="J172" s="43" t="n">
        <f aca="false">ROUND(H172*I172,2)</f>
        <v>9.23</v>
      </c>
      <c r="K172" s="42"/>
      <c r="L172" s="45" t="n">
        <v>16.78</v>
      </c>
      <c r="M172" s="46" t="n">
        <v>0.55</v>
      </c>
      <c r="N172" s="45" t="n">
        <f aca="false">ROUND(L172*M172,2)</f>
        <v>9.23</v>
      </c>
      <c r="R172" s="50" t="s">
        <v>131</v>
      </c>
      <c r="S172" s="50"/>
      <c r="T172" s="50"/>
      <c r="U172" s="50"/>
      <c r="V172" s="50"/>
    </row>
    <row r="173" customFormat="false" ht="15" hidden="false" customHeight="true" outlineLevel="0" collapsed="false">
      <c r="A173" s="20" t="s">
        <v>132</v>
      </c>
      <c r="B173" s="39" t="n">
        <v>16.78</v>
      </c>
      <c r="C173" s="40" t="n">
        <v>30</v>
      </c>
      <c r="D173" s="41" t="n">
        <v>0.24417</v>
      </c>
      <c r="E173" s="41" t="n">
        <v>0.45</v>
      </c>
      <c r="F173" s="39" t="n">
        <f aca="false">ROUND(B173*E173,2)</f>
        <v>7.55</v>
      </c>
      <c r="G173" s="42"/>
      <c r="H173" s="43" t="n">
        <v>16.78</v>
      </c>
      <c r="I173" s="44" t="n">
        <v>0.45</v>
      </c>
      <c r="J173" s="43" t="n">
        <f aca="false">ROUND(H173*I173,2)</f>
        <v>7.55</v>
      </c>
      <c r="K173" s="42"/>
      <c r="L173" s="45" t="n">
        <v>16.78</v>
      </c>
      <c r="M173" s="46" t="n">
        <v>0.45</v>
      </c>
      <c r="N173" s="45" t="n">
        <f aca="false">ROUND(L173*M173,2)</f>
        <v>7.55</v>
      </c>
    </row>
    <row r="174" customFormat="false" ht="15" hidden="false" customHeight="true" outlineLevel="0" collapsed="false">
      <c r="A174" s="51" t="s">
        <v>133</v>
      </c>
      <c r="B174" s="52" t="n">
        <f aca="false">IF($P$174="",595.877,ROUND(595.877*((328.3749/(1-$P$174))-105.54)/273.24,2))</f>
        <v>595.877</v>
      </c>
      <c r="C174" s="40"/>
      <c r="D174" s="53" t="n">
        <v>0.130768</v>
      </c>
      <c r="E174" s="41" t="n">
        <v>0.141</v>
      </c>
      <c r="F174" s="39" t="n">
        <f aca="false">ROUND(B174*E174,2)</f>
        <v>84.02</v>
      </c>
      <c r="G174" s="42"/>
      <c r="H174" s="54" t="n">
        <v>1076.27</v>
      </c>
      <c r="I174" s="44" t="n">
        <v>0.141</v>
      </c>
      <c r="J174" s="43" t="n">
        <f aca="false">ROUND(H174*I174,2)</f>
        <v>151.75</v>
      </c>
      <c r="K174" s="42"/>
      <c r="L174" s="55" t="n">
        <v>560.74</v>
      </c>
      <c r="M174" s="46" t="n">
        <v>0.15833</v>
      </c>
      <c r="N174" s="45" t="n">
        <f aca="false">ROUND(L174*M174,2)</f>
        <v>88.78</v>
      </c>
      <c r="O174" s="56" t="s">
        <v>134</v>
      </c>
      <c r="P174" s="57"/>
    </row>
    <row r="175" customFormat="false" ht="15" hidden="false" customHeight="true" outlineLevel="0" collapsed="false">
      <c r="A175" s="51" t="s">
        <v>135</v>
      </c>
      <c r="B175" s="52" t="n">
        <f aca="false">IF($P$174="",615.733,ROUND(615.733*((328.3749/(1-$P$174))-105.54)/273.24,2))</f>
        <v>615.733</v>
      </c>
      <c r="C175" s="40"/>
      <c r="D175" s="53" t="n">
        <v>0.130768</v>
      </c>
      <c r="E175" s="41" t="n">
        <v>0.141</v>
      </c>
      <c r="F175" s="39" t="n">
        <f aca="false">ROUND(B175*E175,2)</f>
        <v>86.82</v>
      </c>
      <c r="G175" s="42"/>
      <c r="H175" s="54" t="n">
        <v>802.707</v>
      </c>
      <c r="I175" s="44" t="n">
        <v>0.141</v>
      </c>
      <c r="J175" s="43" t="n">
        <f aca="false">ROUND(H175*I175,2)</f>
        <v>113.18</v>
      </c>
      <c r="K175" s="42"/>
      <c r="L175" s="55" t="n">
        <v>340.706</v>
      </c>
      <c r="M175" s="46" t="n">
        <v>0.1535</v>
      </c>
      <c r="N175" s="45" t="n">
        <f aca="false">ROUND(L175*M175,2)</f>
        <v>52.3</v>
      </c>
      <c r="O175" s="58" t="s">
        <v>136</v>
      </c>
    </row>
    <row r="176" customFormat="false" ht="15" hidden="false" customHeight="true" outlineLevel="0" collapsed="false">
      <c r="A176" s="51" t="s">
        <v>137</v>
      </c>
      <c r="B176" s="52" t="n">
        <f aca="false">IF($P$174="",742.023,ROUND(742.023*((328.3749/(1-$P$174))-105.54)/273.24,2))</f>
        <v>742.023</v>
      </c>
      <c r="C176" s="40"/>
      <c r="D176" s="53" t="n">
        <v>0.130768</v>
      </c>
      <c r="E176" s="41" t="n">
        <v>0.138</v>
      </c>
      <c r="F176" s="39" t="n">
        <f aca="false">ROUND(B176*E176,2)</f>
        <v>102.4</v>
      </c>
      <c r="G176" s="42"/>
      <c r="H176" s="54" t="n">
        <v>583.014</v>
      </c>
      <c r="I176" s="44" t="n">
        <v>0.138</v>
      </c>
      <c r="J176" s="43" t="n">
        <f aca="false">ROUND(H176*I176,2)</f>
        <v>80.46</v>
      </c>
      <c r="K176" s="42"/>
      <c r="L176" s="55" t="n">
        <v>1515.849</v>
      </c>
      <c r="M176" s="46" t="n">
        <v>0.15</v>
      </c>
      <c r="N176" s="45" t="n">
        <f aca="false">ROUND(L176*M176,2)</f>
        <v>227.38</v>
      </c>
      <c r="O176" s="58" t="s">
        <v>138</v>
      </c>
    </row>
    <row r="177" customFormat="false" ht="15" hidden="false" customHeight="true" outlineLevel="0" collapsed="false">
      <c r="A177" s="20" t="s">
        <v>139</v>
      </c>
      <c r="B177" s="39" t="n">
        <v>1</v>
      </c>
      <c r="C177" s="59" t="n">
        <v>30</v>
      </c>
      <c r="D177" s="41" t="n">
        <v>4</v>
      </c>
      <c r="E177" s="41" t="n">
        <v>4</v>
      </c>
      <c r="F177" s="39" t="n">
        <f aca="false">ROUND(B177*E177,2)</f>
        <v>4</v>
      </c>
      <c r="G177" s="42"/>
      <c r="H177" s="43" t="n">
        <v>1</v>
      </c>
      <c r="I177" s="44" t="n">
        <v>4</v>
      </c>
      <c r="J177" s="43" t="n">
        <f aca="false">ROUND(H177*I177,2)</f>
        <v>4</v>
      </c>
      <c r="K177" s="42"/>
      <c r="L177" s="45" t="n">
        <v>1</v>
      </c>
      <c r="M177" s="46" t="n">
        <v>1</v>
      </c>
      <c r="N177" s="45" t="n">
        <f aca="false">ROUND(L177*M177,2)</f>
        <v>1</v>
      </c>
    </row>
    <row r="178" customFormat="false" ht="15" hidden="false" customHeight="true" outlineLevel="0" collapsed="false">
      <c r="A178" s="20" t="s">
        <v>140</v>
      </c>
      <c r="B178" s="39" t="n">
        <v>30</v>
      </c>
      <c r="C178" s="59" t="n">
        <v>30</v>
      </c>
      <c r="D178" s="41" t="n">
        <v>0.01274</v>
      </c>
      <c r="E178" s="41" t="n">
        <v>0.01274</v>
      </c>
      <c r="F178" s="39" t="n">
        <f aca="false">ROUND(B178*E178,2)</f>
        <v>0.38</v>
      </c>
      <c r="G178" s="42"/>
      <c r="H178" s="43" t="n">
        <v>30</v>
      </c>
      <c r="I178" s="44" t="n">
        <v>0.01274</v>
      </c>
      <c r="J178" s="43" t="n">
        <f aca="false">ROUND(H178*I178,2)</f>
        <v>0.38</v>
      </c>
      <c r="K178" s="42"/>
      <c r="L178" s="45" t="n">
        <v>30</v>
      </c>
      <c r="M178" s="46" t="n">
        <v>0.01274</v>
      </c>
      <c r="N178" s="45" t="n">
        <f aca="false">ROUND(L178*M178,2)</f>
        <v>0.38</v>
      </c>
    </row>
    <row r="179" customFormat="false" ht="15" hidden="false" customHeight="true" outlineLevel="0" collapsed="false">
      <c r="A179" s="20" t="s">
        <v>141</v>
      </c>
      <c r="B179" s="39" t="n">
        <v>16.67</v>
      </c>
      <c r="C179" s="40"/>
      <c r="D179" s="41" t="n">
        <v>1</v>
      </c>
      <c r="E179" s="41" t="n">
        <v>1</v>
      </c>
      <c r="F179" s="39" t="n">
        <f aca="false">ROUND(B179*E179,2)</f>
        <v>16.67</v>
      </c>
      <c r="G179" s="42"/>
      <c r="H179" s="43" t="n">
        <v>26.9</v>
      </c>
      <c r="I179" s="44" t="n">
        <v>1</v>
      </c>
      <c r="J179" s="43" t="n">
        <f aca="false">ROUND(H179*I179,2)</f>
        <v>26.9</v>
      </c>
      <c r="K179" s="42"/>
      <c r="L179" s="45" t="n">
        <v>17.91</v>
      </c>
      <c r="M179" s="46" t="n">
        <v>1</v>
      </c>
      <c r="N179" s="45" t="n">
        <f aca="false">ROUND(L179*M179,2)</f>
        <v>17.91</v>
      </c>
    </row>
    <row r="180" customFormat="false" ht="15" hidden="false" customHeight="true" outlineLevel="0" collapsed="false">
      <c r="A180" s="60" t="s">
        <v>142</v>
      </c>
      <c r="B180" s="61"/>
      <c r="C180" s="61"/>
      <c r="D180" s="61"/>
      <c r="E180" s="61"/>
      <c r="F180" s="62" t="n">
        <f aca="false">ROUND((SUM(F168:F179)-F179)*1.21+F179,2)</f>
        <v>480.29</v>
      </c>
      <c r="G180" s="61"/>
      <c r="H180" s="61"/>
      <c r="I180" s="61"/>
      <c r="J180" s="63" t="n">
        <f aca="false">ROUND((SUM(J168:J179)-J179)*1.21+J179,2)</f>
        <v>577.83</v>
      </c>
      <c r="K180" s="61"/>
      <c r="L180" s="61"/>
      <c r="M180" s="61"/>
      <c r="N180" s="64" t="n">
        <f aca="false">ROUND((SUM(N168:N179)-N179)*1.21+N179,2)</f>
        <v>593.12</v>
      </c>
    </row>
    <row r="181" customFormat="false" ht="15" hidden="false" customHeight="true" outlineLevel="0" collapsed="false">
      <c r="A181" s="65" t="s">
        <v>143</v>
      </c>
      <c r="B181" s="66" t="n">
        <f aca="false">(SUM(F168:F176)-328.3749)/SUM(F168:F176)</f>
        <v>0.133072231902423</v>
      </c>
      <c r="C181" s="66"/>
      <c r="D181" s="66"/>
      <c r="E181" s="66"/>
      <c r="F181" s="66"/>
      <c r="G181" s="67"/>
      <c r="H181" s="67"/>
      <c r="I181" s="67"/>
      <c r="J181" s="67"/>
      <c r="K181" s="67"/>
      <c r="L181" s="68" t="str">
        <f aca="false">IF(B181&gt;=0.3,"APROBAR",IF(B181&gt;=0.2,"REVISAR","RECHAZAR"))</f>
        <v>RECHAZAR</v>
      </c>
      <c r="M181" s="68"/>
      <c r="N181" s="68"/>
    </row>
    <row r="183" customFormat="false" ht="15" hidden="false" customHeight="true" outlineLevel="0" collapsed="false">
      <c r="A183" s="26" t="s">
        <v>228</v>
      </c>
      <c r="B183" s="26"/>
      <c r="C183" s="26"/>
      <c r="D183" s="26"/>
      <c r="E183" s="26"/>
      <c r="F183" s="26"/>
      <c r="G183" s="26"/>
      <c r="H183" s="26"/>
      <c r="I183" s="27" t="s">
        <v>229</v>
      </c>
      <c r="J183" s="27"/>
      <c r="K183" s="27"/>
      <c r="L183" s="27"/>
      <c r="M183" s="27"/>
      <c r="N183" s="27"/>
      <c r="R183" s="28" t="s">
        <v>110</v>
      </c>
      <c r="S183" s="28"/>
      <c r="T183" s="28"/>
      <c r="U183" s="28"/>
      <c r="V183" s="28"/>
    </row>
    <row r="184" customFormat="false" ht="15" hidden="false" customHeight="true" outlineLevel="0" collapsed="false">
      <c r="A184" s="29" t="s">
        <v>111</v>
      </c>
      <c r="B184" s="30" t="s">
        <v>112</v>
      </c>
      <c r="C184" s="30"/>
      <c r="D184" s="30"/>
      <c r="E184" s="30"/>
      <c r="F184" s="30"/>
      <c r="G184" s="31"/>
      <c r="H184" s="32" t="s">
        <v>230</v>
      </c>
      <c r="I184" s="32"/>
      <c r="J184" s="32"/>
      <c r="K184" s="31"/>
      <c r="L184" s="33" t="s">
        <v>231</v>
      </c>
      <c r="M184" s="33"/>
      <c r="N184" s="33"/>
      <c r="R184" s="34" t="s">
        <v>232</v>
      </c>
      <c r="S184" s="34"/>
      <c r="T184" s="34"/>
      <c r="U184" s="34"/>
      <c r="V184" s="34"/>
    </row>
    <row r="185" customFormat="false" ht="15" hidden="false" customHeight="true" outlineLevel="0" collapsed="false">
      <c r="A185" s="31"/>
      <c r="B185" s="35" t="s">
        <v>116</v>
      </c>
      <c r="C185" s="35" t="s">
        <v>117</v>
      </c>
      <c r="D185" s="35" t="s">
        <v>118</v>
      </c>
      <c r="E185" s="35" t="s">
        <v>119</v>
      </c>
      <c r="F185" s="35" t="s">
        <v>120</v>
      </c>
      <c r="G185" s="31"/>
      <c r="H185" s="36" t="s">
        <v>116</v>
      </c>
      <c r="I185" s="36" t="s">
        <v>119</v>
      </c>
      <c r="J185" s="36" t="s">
        <v>120</v>
      </c>
      <c r="K185" s="31"/>
      <c r="L185" s="37" t="s">
        <v>116</v>
      </c>
      <c r="M185" s="37" t="s">
        <v>119</v>
      </c>
      <c r="N185" s="37" t="s">
        <v>120</v>
      </c>
      <c r="R185" s="38" t="s">
        <v>233</v>
      </c>
      <c r="S185" s="38"/>
      <c r="T185" s="38"/>
      <c r="U185" s="38"/>
      <c r="V185" s="38"/>
    </row>
    <row r="186" customFormat="false" ht="15" hidden="false" customHeight="true" outlineLevel="0" collapsed="false">
      <c r="A186" s="20" t="s">
        <v>122</v>
      </c>
      <c r="B186" s="39" t="n">
        <v>12</v>
      </c>
      <c r="C186" s="40" t="n">
        <v>30</v>
      </c>
      <c r="D186" s="41" t="n">
        <v>1.73784</v>
      </c>
      <c r="E186" s="41" t="n">
        <v>2.5542</v>
      </c>
      <c r="F186" s="39" t="n">
        <f aca="false">ROUND(B186*E186,2)</f>
        <v>30.65</v>
      </c>
      <c r="G186" s="42"/>
      <c r="H186" s="43" t="n">
        <v>12</v>
      </c>
      <c r="I186" s="44" t="n">
        <v>2.5542</v>
      </c>
      <c r="J186" s="43" t="n">
        <f aca="false">ROUND(H186*I186,2)</f>
        <v>30.65</v>
      </c>
      <c r="K186" s="42"/>
      <c r="L186" s="45" t="n">
        <v>12</v>
      </c>
      <c r="M186" s="46" t="n">
        <v>2.5542</v>
      </c>
      <c r="N186" s="45" t="n">
        <f aca="false">ROUND(L186*M186,2)</f>
        <v>30.65</v>
      </c>
      <c r="R186" s="47" t="s">
        <v>234</v>
      </c>
      <c r="S186" s="47"/>
      <c r="T186" s="47"/>
      <c r="U186" s="47"/>
      <c r="V186" s="47"/>
    </row>
    <row r="187" customFormat="false" ht="15" hidden="false" customHeight="true" outlineLevel="0" collapsed="false">
      <c r="A187" s="20" t="s">
        <v>124</v>
      </c>
      <c r="B187" s="39" t="n">
        <v>12</v>
      </c>
      <c r="C187" s="40" t="n">
        <v>30</v>
      </c>
      <c r="D187" s="41" t="n">
        <v>0.9357</v>
      </c>
      <c r="E187" s="41" t="n">
        <v>1.3773</v>
      </c>
      <c r="F187" s="39" t="n">
        <f aca="false">ROUND(B187*E187,2)</f>
        <v>16.53</v>
      </c>
      <c r="G187" s="42"/>
      <c r="H187" s="43" t="n">
        <v>12</v>
      </c>
      <c r="I187" s="44" t="n">
        <v>1.3773</v>
      </c>
      <c r="J187" s="43" t="n">
        <f aca="false">ROUND(H187*I187,2)</f>
        <v>16.53</v>
      </c>
      <c r="K187" s="42"/>
      <c r="L187" s="45" t="n">
        <v>12</v>
      </c>
      <c r="M187" s="46" t="n">
        <v>1.3773</v>
      </c>
      <c r="N187" s="45" t="n">
        <f aca="false">ROUND(L187*M187,2)</f>
        <v>16.53</v>
      </c>
      <c r="R187" s="48" t="s">
        <v>235</v>
      </c>
      <c r="S187" s="48"/>
      <c r="T187" s="48"/>
      <c r="U187" s="48"/>
      <c r="V187" s="48"/>
    </row>
    <row r="188" customFormat="false" ht="15" hidden="false" customHeight="true" outlineLevel="0" collapsed="false">
      <c r="A188" s="20" t="s">
        <v>126</v>
      </c>
      <c r="B188" s="39" t="n">
        <v>12</v>
      </c>
      <c r="C188" s="40" t="n">
        <v>30</v>
      </c>
      <c r="D188" s="41" t="n">
        <v>0.43137</v>
      </c>
      <c r="E188" s="41" t="n">
        <v>0.6286</v>
      </c>
      <c r="F188" s="39" t="n">
        <f aca="false">ROUND(B188*E188,2)</f>
        <v>7.54</v>
      </c>
      <c r="G188" s="42"/>
      <c r="H188" s="43" t="n">
        <v>12</v>
      </c>
      <c r="I188" s="44" t="n">
        <v>0.6286</v>
      </c>
      <c r="J188" s="43" t="n">
        <f aca="false">ROUND(H188*I188,2)</f>
        <v>7.54</v>
      </c>
      <c r="K188" s="42"/>
      <c r="L188" s="45" t="n">
        <v>12</v>
      </c>
      <c r="M188" s="46" t="n">
        <v>0.6286</v>
      </c>
      <c r="N188" s="45" t="n">
        <f aca="false">ROUND(L188*M188,2)</f>
        <v>7.54</v>
      </c>
      <c r="R188" s="48" t="s">
        <v>236</v>
      </c>
      <c r="S188" s="48"/>
      <c r="T188" s="48"/>
      <c r="U188" s="48"/>
      <c r="V188" s="48"/>
    </row>
    <row r="189" customFormat="false" ht="15" hidden="false" customHeight="true" outlineLevel="0" collapsed="false">
      <c r="A189" s="20" t="s">
        <v>128</v>
      </c>
      <c r="B189" s="39" t="n">
        <v>12</v>
      </c>
      <c r="C189" s="40" t="n">
        <v>30</v>
      </c>
      <c r="D189" s="41" t="n">
        <v>0.38244</v>
      </c>
      <c r="E189" s="41" t="n">
        <v>0.5561</v>
      </c>
      <c r="F189" s="39" t="n">
        <f aca="false">ROUND(B189*E189,2)</f>
        <v>6.67</v>
      </c>
      <c r="G189" s="42"/>
      <c r="H189" s="43" t="n">
        <v>12</v>
      </c>
      <c r="I189" s="44" t="n">
        <v>0.5561</v>
      </c>
      <c r="J189" s="43" t="n">
        <f aca="false">ROUND(H189*I189,2)</f>
        <v>6.67</v>
      </c>
      <c r="K189" s="42"/>
      <c r="L189" s="45" t="n">
        <v>12</v>
      </c>
      <c r="M189" s="46" t="n">
        <v>0.5561</v>
      </c>
      <c r="N189" s="45" t="n">
        <f aca="false">ROUND(L189*M189,2)</f>
        <v>6.67</v>
      </c>
      <c r="R189" s="69" t="s">
        <v>162</v>
      </c>
      <c r="S189" s="69"/>
      <c r="T189" s="69"/>
      <c r="U189" s="69"/>
      <c r="V189" s="69"/>
    </row>
    <row r="190" customFormat="false" ht="15" hidden="false" customHeight="true" outlineLevel="0" collapsed="false">
      <c r="A190" s="20" t="s">
        <v>130</v>
      </c>
      <c r="B190" s="39" t="n">
        <v>12</v>
      </c>
      <c r="C190" s="40" t="n">
        <v>30</v>
      </c>
      <c r="D190" s="41" t="n">
        <v>0.26964</v>
      </c>
      <c r="E190" s="41" t="n">
        <v>0.3868</v>
      </c>
      <c r="F190" s="39" t="n">
        <f aca="false">ROUND(B190*E190,2)</f>
        <v>4.64</v>
      </c>
      <c r="G190" s="42"/>
      <c r="H190" s="43" t="n">
        <v>12</v>
      </c>
      <c r="I190" s="44" t="n">
        <v>0.3868</v>
      </c>
      <c r="J190" s="43" t="n">
        <f aca="false">ROUND(H190*I190,2)</f>
        <v>4.64</v>
      </c>
      <c r="K190" s="42"/>
      <c r="L190" s="45" t="n">
        <v>12</v>
      </c>
      <c r="M190" s="46" t="n">
        <v>0.3868</v>
      </c>
      <c r="N190" s="45" t="n">
        <f aca="false">ROUND(L190*M190,2)</f>
        <v>4.64</v>
      </c>
      <c r="R190" s="50" t="s">
        <v>131</v>
      </c>
      <c r="S190" s="50"/>
      <c r="T190" s="50"/>
      <c r="U190" s="50"/>
      <c r="V190" s="50"/>
    </row>
    <row r="191" customFormat="false" ht="15" hidden="false" customHeight="true" outlineLevel="0" collapsed="false">
      <c r="A191" s="20" t="s">
        <v>132</v>
      </c>
      <c r="B191" s="39" t="n">
        <v>15.001</v>
      </c>
      <c r="C191" s="40" t="n">
        <v>30</v>
      </c>
      <c r="D191" s="41" t="n">
        <v>0.18156</v>
      </c>
      <c r="E191" s="41" t="n">
        <v>0.2653</v>
      </c>
      <c r="F191" s="39" t="n">
        <f aca="false">ROUND(B191*E191,2)</f>
        <v>3.98</v>
      </c>
      <c r="G191" s="42"/>
      <c r="H191" s="43" t="n">
        <v>15.001</v>
      </c>
      <c r="I191" s="44" t="n">
        <v>0.2653</v>
      </c>
      <c r="J191" s="43" t="n">
        <f aca="false">ROUND(H191*I191,2)</f>
        <v>3.98</v>
      </c>
      <c r="K191" s="42"/>
      <c r="L191" s="45" t="n">
        <v>15.001</v>
      </c>
      <c r="M191" s="46" t="n">
        <v>0.2653</v>
      </c>
      <c r="N191" s="45" t="n">
        <f aca="false">ROUND(L191*M191,2)</f>
        <v>3.98</v>
      </c>
    </row>
    <row r="192" customFormat="false" ht="15" hidden="false" customHeight="true" outlineLevel="0" collapsed="false">
      <c r="A192" s="51" t="s">
        <v>133</v>
      </c>
      <c r="B192" s="52" t="n">
        <f aca="false">IF($P$192="",12.402,ROUND(12.402*((52.3084/(1-$P$192))-70.01)/4.49,2))</f>
        <v>12.402</v>
      </c>
      <c r="C192" s="40"/>
      <c r="D192" s="53" t="n">
        <v>0.130339</v>
      </c>
      <c r="E192" s="41" t="n">
        <v>0.13</v>
      </c>
      <c r="F192" s="39" t="n">
        <f aca="false">ROUND(B192*E192,2)</f>
        <v>1.61</v>
      </c>
      <c r="G192" s="42"/>
      <c r="H192" s="54" t="n">
        <v>19.021</v>
      </c>
      <c r="I192" s="44" t="n">
        <v>0.18804</v>
      </c>
      <c r="J192" s="43" t="n">
        <f aca="false">ROUND(H192*I192,2)</f>
        <v>3.58</v>
      </c>
      <c r="K192" s="42"/>
      <c r="L192" s="55" t="n">
        <v>8.05</v>
      </c>
      <c r="M192" s="46" t="n">
        <v>0.173</v>
      </c>
      <c r="N192" s="45" t="n">
        <f aca="false">ROUND(L192*M192,2)</f>
        <v>1.39</v>
      </c>
      <c r="O192" s="56" t="s">
        <v>134</v>
      </c>
      <c r="P192" s="57"/>
    </row>
    <row r="193" customFormat="false" ht="15" hidden="false" customHeight="true" outlineLevel="0" collapsed="false">
      <c r="A193" s="51" t="s">
        <v>135</v>
      </c>
      <c r="B193" s="52" t="n">
        <f aca="false">IF($P$192="",7.552,ROUND(7.552*((52.3084/(1-$P$192))-70.01)/4.49,2))</f>
        <v>7.552</v>
      </c>
      <c r="C193" s="40"/>
      <c r="D193" s="53" t="n">
        <v>0.130339</v>
      </c>
      <c r="E193" s="41" t="n">
        <v>0.13</v>
      </c>
      <c r="F193" s="39" t="n">
        <f aca="false">ROUND(B193*E193,2)</f>
        <v>0.98</v>
      </c>
      <c r="G193" s="42"/>
      <c r="H193" s="54" t="n">
        <v>6.86</v>
      </c>
      <c r="I193" s="44" t="n">
        <v>0.17506</v>
      </c>
      <c r="J193" s="43" t="n">
        <f aca="false">ROUND(H193*I193,2)</f>
        <v>1.2</v>
      </c>
      <c r="K193" s="42"/>
      <c r="L193" s="55" t="n">
        <v>12.656</v>
      </c>
      <c r="M193" s="46" t="n">
        <v>0.1707</v>
      </c>
      <c r="N193" s="45" t="n">
        <f aca="false">ROUND(L193*M193,2)</f>
        <v>2.16</v>
      </c>
      <c r="O193" s="58" t="s">
        <v>136</v>
      </c>
    </row>
    <row r="194" customFormat="false" ht="15" hidden="false" customHeight="true" outlineLevel="0" collapsed="false">
      <c r="A194" s="51" t="s">
        <v>137</v>
      </c>
      <c r="B194" s="52" t="n">
        <f aca="false">IF($P$192="",14.609,ROUND(14.609*((52.3084/(1-$P$192))-70.01)/4.49,2))</f>
        <v>14.609</v>
      </c>
      <c r="C194" s="40"/>
      <c r="D194" s="53" t="n">
        <v>0.130339</v>
      </c>
      <c r="E194" s="41" t="n">
        <v>0.13</v>
      </c>
      <c r="F194" s="39" t="n">
        <f aca="false">ROUND(B194*E194,2)</f>
        <v>1.9</v>
      </c>
      <c r="G194" s="42"/>
      <c r="H194" s="54" t="n">
        <v>28.042</v>
      </c>
      <c r="I194" s="44" t="n">
        <v>0.1669</v>
      </c>
      <c r="J194" s="43" t="n">
        <f aca="false">ROUND(H194*I194,2)</f>
        <v>4.68</v>
      </c>
      <c r="K194" s="42"/>
      <c r="L194" s="55" t="n">
        <v>17.828</v>
      </c>
      <c r="M194" s="46" t="n">
        <v>0.1669</v>
      </c>
      <c r="N194" s="45" t="n">
        <f aca="false">ROUND(L194*M194,2)</f>
        <v>2.98</v>
      </c>
      <c r="O194" s="58" t="s">
        <v>138</v>
      </c>
    </row>
    <row r="195" customFormat="false" ht="15" hidden="false" customHeight="true" outlineLevel="0" collapsed="false">
      <c r="A195" s="20" t="s">
        <v>139</v>
      </c>
      <c r="B195" s="39" t="n">
        <v>1</v>
      </c>
      <c r="C195" s="59" t="n">
        <v>30</v>
      </c>
      <c r="D195" s="41" t="n">
        <v>17.615</v>
      </c>
      <c r="E195" s="41" t="n">
        <v>17.615</v>
      </c>
      <c r="F195" s="39" t="n">
        <f aca="false">ROUND(B195*E195,2)</f>
        <v>17.62</v>
      </c>
      <c r="G195" s="42"/>
      <c r="H195" s="43" t="n">
        <v>1</v>
      </c>
      <c r="I195" s="44" t="n">
        <v>17.615</v>
      </c>
      <c r="J195" s="43" t="n">
        <f aca="false">ROUND(H195*I195,2)</f>
        <v>17.62</v>
      </c>
      <c r="K195" s="42"/>
      <c r="L195" s="45" t="n">
        <v>1</v>
      </c>
      <c r="M195" s="46" t="n">
        <v>17.615</v>
      </c>
      <c r="N195" s="45" t="n">
        <f aca="false">ROUND(L195*M195,2)</f>
        <v>17.62</v>
      </c>
    </row>
    <row r="196" customFormat="false" ht="15" hidden="false" customHeight="true" outlineLevel="0" collapsed="false">
      <c r="A196" s="20" t="s">
        <v>140</v>
      </c>
      <c r="B196" s="39" t="n">
        <v>30</v>
      </c>
      <c r="C196" s="59" t="n">
        <v>30</v>
      </c>
      <c r="D196" s="41" t="n">
        <v>0.01274</v>
      </c>
      <c r="E196" s="41" t="n">
        <v>0.01274</v>
      </c>
      <c r="F196" s="39" t="n">
        <f aca="false">ROUND(B196*E196,2)</f>
        <v>0.38</v>
      </c>
      <c r="G196" s="42"/>
      <c r="H196" s="43" t="n">
        <v>30</v>
      </c>
      <c r="I196" s="44" t="n">
        <v>0.01274</v>
      </c>
      <c r="J196" s="43" t="n">
        <f aca="false">ROUND(H196*I196,2)</f>
        <v>0.38</v>
      </c>
      <c r="K196" s="42"/>
      <c r="L196" s="45" t="n">
        <v>30</v>
      </c>
      <c r="M196" s="46" t="n">
        <v>0.00629</v>
      </c>
      <c r="N196" s="45" t="n">
        <f aca="false">ROUND(L196*M196,2)</f>
        <v>0.19</v>
      </c>
    </row>
    <row r="197" customFormat="false" ht="15" hidden="false" customHeight="true" outlineLevel="0" collapsed="false">
      <c r="A197" s="20" t="s">
        <v>141</v>
      </c>
      <c r="B197" s="39" t="n">
        <v>3.92</v>
      </c>
      <c r="C197" s="40"/>
      <c r="D197" s="41" t="n">
        <v>1</v>
      </c>
      <c r="E197" s="41" t="n">
        <v>1</v>
      </c>
      <c r="F197" s="39" t="n">
        <f aca="false">ROUND(B197*E197,2)</f>
        <v>3.92</v>
      </c>
      <c r="G197" s="42"/>
      <c r="H197" s="43" t="n">
        <v>4.08</v>
      </c>
      <c r="I197" s="44" t="n">
        <v>1</v>
      </c>
      <c r="J197" s="43" t="n">
        <f aca="false">ROUND(H197*I197,2)</f>
        <v>4.08</v>
      </c>
      <c r="K197" s="42"/>
      <c r="L197" s="45" t="n">
        <v>3.95</v>
      </c>
      <c r="M197" s="46" t="n">
        <v>1</v>
      </c>
      <c r="N197" s="45" t="n">
        <f aca="false">ROUND(L197*M197,2)</f>
        <v>3.95</v>
      </c>
    </row>
    <row r="198" customFormat="false" ht="15" hidden="false" customHeight="true" outlineLevel="0" collapsed="false">
      <c r="A198" s="60" t="s">
        <v>142</v>
      </c>
      <c r="B198" s="61"/>
      <c r="C198" s="61"/>
      <c r="D198" s="61"/>
      <c r="E198" s="61"/>
      <c r="F198" s="62" t="n">
        <f aca="false">ROUND((SUM(F186:F197)-F197)*1.21+F197,2)</f>
        <v>115.85</v>
      </c>
      <c r="G198" s="61"/>
      <c r="H198" s="61"/>
      <c r="I198" s="61"/>
      <c r="J198" s="63" t="n">
        <f aca="false">ROUND((SUM(J186:J197)-J197)*1.21+J197,2)</f>
        <v>122.02</v>
      </c>
      <c r="K198" s="61"/>
      <c r="L198" s="61"/>
      <c r="M198" s="61"/>
      <c r="N198" s="64" t="n">
        <f aca="false">ROUND((SUM(N186:N197)-N197)*1.21+N197,2)</f>
        <v>118.11</v>
      </c>
    </row>
    <row r="199" customFormat="false" ht="15" hidden="false" customHeight="true" outlineLevel="0" collapsed="false">
      <c r="A199" s="65" t="s">
        <v>143</v>
      </c>
      <c r="B199" s="66" t="n">
        <f aca="false">(SUM(F186:F194)-52.3084)/SUM(F186:F194)</f>
        <v>0.297873825503356</v>
      </c>
      <c r="C199" s="66"/>
      <c r="D199" s="66"/>
      <c r="E199" s="66"/>
      <c r="F199" s="66"/>
      <c r="G199" s="67"/>
      <c r="H199" s="67"/>
      <c r="I199" s="67"/>
      <c r="J199" s="67"/>
      <c r="K199" s="67"/>
      <c r="L199" s="68" t="str">
        <f aca="false">IF(B199&gt;=0.3,"APROBAR",IF(B199&gt;=0.2,"REVISAR","RECHAZAR"))</f>
        <v>REVISAR</v>
      </c>
      <c r="M199" s="68"/>
      <c r="N199" s="68"/>
    </row>
    <row r="201" customFormat="false" ht="15" hidden="false" customHeight="true" outlineLevel="0" collapsed="false">
      <c r="A201" s="26" t="s">
        <v>237</v>
      </c>
      <c r="B201" s="26"/>
      <c r="C201" s="26"/>
      <c r="D201" s="26"/>
      <c r="E201" s="26"/>
      <c r="F201" s="26"/>
      <c r="G201" s="26"/>
      <c r="H201" s="26"/>
      <c r="I201" s="27" t="s">
        <v>238</v>
      </c>
      <c r="J201" s="27"/>
      <c r="K201" s="27"/>
      <c r="L201" s="27"/>
      <c r="M201" s="27"/>
      <c r="N201" s="27"/>
      <c r="R201" s="28" t="s">
        <v>110</v>
      </c>
      <c r="S201" s="28"/>
      <c r="T201" s="28"/>
      <c r="U201" s="28"/>
      <c r="V201" s="28"/>
    </row>
    <row r="202" customFormat="false" ht="15" hidden="false" customHeight="true" outlineLevel="0" collapsed="false">
      <c r="A202" s="29" t="s">
        <v>111</v>
      </c>
      <c r="B202" s="30" t="s">
        <v>112</v>
      </c>
      <c r="C202" s="30"/>
      <c r="D202" s="30"/>
      <c r="E202" s="30"/>
      <c r="F202" s="30"/>
      <c r="G202" s="31"/>
      <c r="H202" s="32" t="s">
        <v>239</v>
      </c>
      <c r="I202" s="32"/>
      <c r="J202" s="32"/>
      <c r="K202" s="31"/>
      <c r="L202" s="33" t="s">
        <v>240</v>
      </c>
      <c r="M202" s="33"/>
      <c r="N202" s="33"/>
      <c r="R202" s="34" t="s">
        <v>241</v>
      </c>
      <c r="S202" s="34"/>
      <c r="T202" s="34"/>
      <c r="U202" s="34"/>
      <c r="V202" s="34"/>
    </row>
    <row r="203" customFormat="false" ht="15" hidden="false" customHeight="true" outlineLevel="0" collapsed="false">
      <c r="A203" s="31"/>
      <c r="B203" s="35" t="s">
        <v>116</v>
      </c>
      <c r="C203" s="35" t="s">
        <v>117</v>
      </c>
      <c r="D203" s="35" t="s">
        <v>118</v>
      </c>
      <c r="E203" s="35" t="s">
        <v>119</v>
      </c>
      <c r="F203" s="35" t="s">
        <v>120</v>
      </c>
      <c r="G203" s="31"/>
      <c r="H203" s="36" t="s">
        <v>116</v>
      </c>
      <c r="I203" s="36" t="s">
        <v>119</v>
      </c>
      <c r="J203" s="36" t="s">
        <v>120</v>
      </c>
      <c r="K203" s="31"/>
      <c r="L203" s="37" t="s">
        <v>116</v>
      </c>
      <c r="M203" s="37" t="s">
        <v>119</v>
      </c>
      <c r="N203" s="37" t="s">
        <v>120</v>
      </c>
      <c r="R203" s="38" t="s">
        <v>242</v>
      </c>
      <c r="S203" s="38"/>
      <c r="T203" s="38"/>
      <c r="U203" s="38"/>
      <c r="V203" s="38"/>
    </row>
    <row r="204" customFormat="false" ht="15" hidden="false" customHeight="true" outlineLevel="0" collapsed="false">
      <c r="A204" s="20" t="s">
        <v>122</v>
      </c>
      <c r="B204" s="39" t="n">
        <v>16.5</v>
      </c>
      <c r="C204" s="40" t="n">
        <v>30</v>
      </c>
      <c r="D204" s="41" t="n">
        <v>1.73784</v>
      </c>
      <c r="E204" s="41" t="n">
        <v>2.5542</v>
      </c>
      <c r="F204" s="39" t="n">
        <f aca="false">ROUND(B204*E204,2)</f>
        <v>42.14</v>
      </c>
      <c r="G204" s="42"/>
      <c r="H204" s="43" t="n">
        <v>16.5</v>
      </c>
      <c r="I204" s="44" t="n">
        <v>2.5542</v>
      </c>
      <c r="J204" s="43" t="n">
        <f aca="false">ROUND(H204*I204,2)</f>
        <v>42.14</v>
      </c>
      <c r="K204" s="42"/>
      <c r="L204" s="45" t="n">
        <v>16.5</v>
      </c>
      <c r="M204" s="46" t="n">
        <v>2.5542</v>
      </c>
      <c r="N204" s="45" t="n">
        <f aca="false">ROUND(L204*M204,2)</f>
        <v>42.14</v>
      </c>
      <c r="R204" s="47" t="s">
        <v>243</v>
      </c>
      <c r="S204" s="47"/>
      <c r="T204" s="47"/>
      <c r="U204" s="47"/>
      <c r="V204" s="47"/>
    </row>
    <row r="205" customFormat="false" ht="15" hidden="false" customHeight="true" outlineLevel="0" collapsed="false">
      <c r="A205" s="20" t="s">
        <v>124</v>
      </c>
      <c r="B205" s="39" t="n">
        <v>16.5</v>
      </c>
      <c r="C205" s="40" t="n">
        <v>30</v>
      </c>
      <c r="D205" s="41" t="n">
        <v>0.9357</v>
      </c>
      <c r="E205" s="41" t="n">
        <v>1.37733</v>
      </c>
      <c r="F205" s="39" t="n">
        <f aca="false">ROUND(B205*E205,2)</f>
        <v>22.73</v>
      </c>
      <c r="G205" s="42"/>
      <c r="H205" s="43" t="n">
        <v>16.5</v>
      </c>
      <c r="I205" s="44" t="n">
        <v>1.37733</v>
      </c>
      <c r="J205" s="43" t="n">
        <f aca="false">ROUND(H205*I205,2)</f>
        <v>22.73</v>
      </c>
      <c r="K205" s="42"/>
      <c r="L205" s="45" t="n">
        <v>16.5</v>
      </c>
      <c r="M205" s="46" t="n">
        <v>1.37733</v>
      </c>
      <c r="N205" s="45" t="n">
        <f aca="false">ROUND(L205*M205,2)</f>
        <v>22.73</v>
      </c>
      <c r="R205" s="48" t="s">
        <v>244</v>
      </c>
      <c r="S205" s="48"/>
      <c r="T205" s="48"/>
      <c r="U205" s="48"/>
      <c r="V205" s="48"/>
    </row>
    <row r="206" customFormat="false" ht="15" hidden="false" customHeight="true" outlineLevel="0" collapsed="false">
      <c r="A206" s="20" t="s">
        <v>126</v>
      </c>
      <c r="B206" s="39" t="n">
        <v>16.5</v>
      </c>
      <c r="C206" s="40" t="n">
        <v>30</v>
      </c>
      <c r="D206" s="41" t="n">
        <v>0.43137</v>
      </c>
      <c r="E206" s="41" t="n">
        <v>0.62868</v>
      </c>
      <c r="F206" s="39" t="n">
        <f aca="false">ROUND(B206*E206,2)</f>
        <v>10.37</v>
      </c>
      <c r="G206" s="42"/>
      <c r="H206" s="43" t="n">
        <v>16.5</v>
      </c>
      <c r="I206" s="44" t="n">
        <v>0.62868</v>
      </c>
      <c r="J206" s="43" t="n">
        <f aca="false">ROUND(H206*I206,2)</f>
        <v>10.37</v>
      </c>
      <c r="K206" s="42"/>
      <c r="L206" s="45" t="n">
        <v>16.5</v>
      </c>
      <c r="M206" s="46" t="n">
        <v>0.62868</v>
      </c>
      <c r="N206" s="45" t="n">
        <f aca="false">ROUND(L206*M206,2)</f>
        <v>10.37</v>
      </c>
      <c r="R206" s="48" t="s">
        <v>245</v>
      </c>
      <c r="S206" s="48"/>
      <c r="T206" s="48"/>
      <c r="U206" s="48"/>
      <c r="V206" s="48"/>
    </row>
    <row r="207" customFormat="false" ht="15" hidden="false" customHeight="true" outlineLevel="0" collapsed="false">
      <c r="A207" s="20" t="s">
        <v>128</v>
      </c>
      <c r="B207" s="39" t="n">
        <v>16.5</v>
      </c>
      <c r="C207" s="40" t="n">
        <v>30</v>
      </c>
      <c r="D207" s="41" t="n">
        <v>0.38244</v>
      </c>
      <c r="E207" s="41" t="n">
        <v>0.5561</v>
      </c>
      <c r="F207" s="39" t="n">
        <f aca="false">ROUND(B207*E207,2)</f>
        <v>9.18</v>
      </c>
      <c r="G207" s="42"/>
      <c r="H207" s="43" t="n">
        <v>16.5</v>
      </c>
      <c r="I207" s="44" t="n">
        <v>0.5561</v>
      </c>
      <c r="J207" s="43" t="n">
        <f aca="false">ROUND(H207*I207,2)</f>
        <v>9.18</v>
      </c>
      <c r="K207" s="42"/>
      <c r="L207" s="45" t="n">
        <v>16.5</v>
      </c>
      <c r="M207" s="46" t="n">
        <v>0.5561</v>
      </c>
      <c r="N207" s="45" t="n">
        <f aca="false">ROUND(L207*M207,2)</f>
        <v>9.18</v>
      </c>
      <c r="R207" s="69" t="s">
        <v>162</v>
      </c>
      <c r="S207" s="69"/>
      <c r="T207" s="69"/>
      <c r="U207" s="69"/>
      <c r="V207" s="69"/>
    </row>
    <row r="208" customFormat="false" ht="15" hidden="false" customHeight="true" outlineLevel="0" collapsed="false">
      <c r="A208" s="20" t="s">
        <v>130</v>
      </c>
      <c r="B208" s="39" t="n">
        <v>16.5</v>
      </c>
      <c r="C208" s="40" t="n">
        <v>30</v>
      </c>
      <c r="D208" s="41" t="n">
        <v>0.26964</v>
      </c>
      <c r="E208" s="41" t="n">
        <v>0.3868</v>
      </c>
      <c r="F208" s="39" t="n">
        <f aca="false">ROUND(B208*E208,2)</f>
        <v>6.38</v>
      </c>
      <c r="G208" s="42"/>
      <c r="H208" s="43" t="n">
        <v>16.5</v>
      </c>
      <c r="I208" s="44" t="n">
        <v>0.3868</v>
      </c>
      <c r="J208" s="43" t="n">
        <f aca="false">ROUND(H208*I208,2)</f>
        <v>6.38</v>
      </c>
      <c r="K208" s="42"/>
      <c r="L208" s="45" t="n">
        <v>16.5</v>
      </c>
      <c r="M208" s="46" t="n">
        <v>0.3868</v>
      </c>
      <c r="N208" s="45" t="n">
        <f aca="false">ROUND(L208*M208,2)</f>
        <v>6.38</v>
      </c>
      <c r="R208" s="50" t="s">
        <v>131</v>
      </c>
      <c r="S208" s="50"/>
      <c r="T208" s="50"/>
      <c r="U208" s="50"/>
      <c r="V208" s="50"/>
    </row>
    <row r="209" customFormat="false" ht="15" hidden="false" customHeight="true" outlineLevel="0" collapsed="false">
      <c r="A209" s="20" t="s">
        <v>132</v>
      </c>
      <c r="B209" s="39" t="n">
        <v>16.5</v>
      </c>
      <c r="C209" s="40" t="n">
        <v>30</v>
      </c>
      <c r="D209" s="41" t="n">
        <v>0.18156</v>
      </c>
      <c r="E209" s="41" t="n">
        <v>0.2653</v>
      </c>
      <c r="F209" s="39" t="n">
        <f aca="false">ROUND(B209*E209,2)</f>
        <v>4.38</v>
      </c>
      <c r="G209" s="42"/>
      <c r="H209" s="43" t="n">
        <v>16.5</v>
      </c>
      <c r="I209" s="44" t="n">
        <v>0.2653</v>
      </c>
      <c r="J209" s="43" t="n">
        <f aca="false">ROUND(H209*I209,2)</f>
        <v>4.38</v>
      </c>
      <c r="K209" s="42"/>
      <c r="L209" s="45" t="n">
        <v>16.5</v>
      </c>
      <c r="M209" s="46" t="n">
        <v>0.2653</v>
      </c>
      <c r="N209" s="45" t="n">
        <f aca="false">ROUND(L209*M209,2)</f>
        <v>4.38</v>
      </c>
    </row>
    <row r="210" customFormat="false" ht="15" hidden="false" customHeight="true" outlineLevel="0" collapsed="false">
      <c r="A210" s="51" t="s">
        <v>133</v>
      </c>
      <c r="B210" s="52" t="n">
        <f aca="false">IF($P$210="",968.977,ROUND(968.977*((407.3317/(1-$P$210))-95.18)/394.43,2))</f>
        <v>968.977</v>
      </c>
      <c r="C210" s="40"/>
      <c r="D210" s="53" t="n">
        <v>0.121236</v>
      </c>
      <c r="E210" s="41" t="n">
        <v>0.13</v>
      </c>
      <c r="F210" s="39" t="n">
        <f aca="false">ROUND(B210*E210,2)</f>
        <v>125.97</v>
      </c>
      <c r="G210" s="42"/>
      <c r="H210" s="54" t="n">
        <v>809.231</v>
      </c>
      <c r="I210" s="44" t="n">
        <v>0.13</v>
      </c>
      <c r="J210" s="43" t="n">
        <f aca="false">ROUND(H210*I210,2)</f>
        <v>105.2</v>
      </c>
      <c r="K210" s="42"/>
      <c r="L210" s="55" t="n">
        <v>893.416</v>
      </c>
      <c r="M210" s="46" t="n">
        <v>0.16</v>
      </c>
      <c r="N210" s="45" t="n">
        <f aca="false">ROUND(L210*M210,2)</f>
        <v>142.95</v>
      </c>
      <c r="O210" s="56" t="s">
        <v>134</v>
      </c>
      <c r="P210" s="57"/>
    </row>
    <row r="211" customFormat="false" ht="15" hidden="false" customHeight="true" outlineLevel="0" collapsed="false">
      <c r="A211" s="51" t="s">
        <v>135</v>
      </c>
      <c r="B211" s="52" t="n">
        <f aca="false">IF($P$210="",563.416,ROUND(563.416*((407.3317/(1-$P$210))-95.18)/394.43,2))</f>
        <v>563.416</v>
      </c>
      <c r="C211" s="40"/>
      <c r="D211" s="53" t="n">
        <v>0.114444</v>
      </c>
      <c r="E211" s="41" t="n">
        <v>0.13</v>
      </c>
      <c r="F211" s="39" t="n">
        <f aca="false">ROUND(B211*E211,2)</f>
        <v>73.24</v>
      </c>
      <c r="G211" s="42"/>
      <c r="H211" s="54" t="n">
        <v>545.075</v>
      </c>
      <c r="I211" s="44" t="n">
        <v>0.13</v>
      </c>
      <c r="J211" s="43" t="n">
        <f aca="false">ROUND(H211*I211,2)</f>
        <v>70.86</v>
      </c>
      <c r="K211" s="42"/>
      <c r="L211" s="55" t="n">
        <v>522.737</v>
      </c>
      <c r="M211" s="46" t="n">
        <v>0.158</v>
      </c>
      <c r="N211" s="45" t="n">
        <f aca="false">ROUND(L211*M211,2)</f>
        <v>82.59</v>
      </c>
      <c r="O211" s="58" t="s">
        <v>136</v>
      </c>
    </row>
    <row r="212" customFormat="false" ht="15" hidden="false" customHeight="true" outlineLevel="0" collapsed="false">
      <c r="A212" s="51" t="s">
        <v>137</v>
      </c>
      <c r="B212" s="52" t="n">
        <f aca="false">IF($P$210="",1501.67,ROUND(1501.67*((407.3317/(1-$P$210))-95.18)/394.43,2))</f>
        <v>1501.67</v>
      </c>
      <c r="C212" s="40"/>
      <c r="D212" s="53" t="n">
        <v>0.106808</v>
      </c>
      <c r="E212" s="41" t="n">
        <v>0.13</v>
      </c>
      <c r="F212" s="39" t="n">
        <f aca="false">ROUND(B212*E212,2)</f>
        <v>195.22</v>
      </c>
      <c r="G212" s="42"/>
      <c r="H212" s="54" t="n">
        <v>1059.201</v>
      </c>
      <c r="I212" s="44" t="n">
        <v>0.13</v>
      </c>
      <c r="J212" s="43" t="n">
        <f aca="false">ROUND(H212*I212,2)</f>
        <v>137.7</v>
      </c>
      <c r="K212" s="42"/>
      <c r="L212" s="55" t="n">
        <v>1211.58</v>
      </c>
      <c r="M212" s="46" t="n">
        <v>0.156</v>
      </c>
      <c r="N212" s="45" t="n">
        <f aca="false">ROUND(L212*M212,2)</f>
        <v>189.01</v>
      </c>
      <c r="O212" s="58" t="s">
        <v>138</v>
      </c>
    </row>
    <row r="213" customFormat="false" ht="15" hidden="false" customHeight="true" outlineLevel="0" collapsed="false">
      <c r="A213" s="20" t="s">
        <v>139</v>
      </c>
      <c r="B213" s="39" t="n">
        <v>1</v>
      </c>
      <c r="C213" s="59" t="n">
        <v>30</v>
      </c>
      <c r="D213" s="41" t="n">
        <v>17.615</v>
      </c>
      <c r="E213" s="41" t="n">
        <v>17.615</v>
      </c>
      <c r="F213" s="39" t="n">
        <f aca="false">ROUND(B213*E213,2)</f>
        <v>17.62</v>
      </c>
      <c r="G213" s="42"/>
      <c r="H213" s="43" t="n">
        <v>1</v>
      </c>
      <c r="I213" s="44" t="n">
        <v>17.615</v>
      </c>
      <c r="J213" s="43" t="n">
        <f aca="false">ROUND(H213*I213,2)</f>
        <v>17.62</v>
      </c>
      <c r="K213" s="42"/>
      <c r="L213" s="45" t="n">
        <v>1</v>
      </c>
      <c r="M213" s="46" t="n">
        <v>17.615</v>
      </c>
      <c r="N213" s="45" t="n">
        <f aca="false">ROUND(L213*M213,2)</f>
        <v>17.62</v>
      </c>
    </row>
    <row r="214" customFormat="false" ht="15" hidden="false" customHeight="true" outlineLevel="0" collapsed="false">
      <c r="A214" s="20" t="s">
        <v>140</v>
      </c>
      <c r="B214" s="39" t="n">
        <v>30</v>
      </c>
      <c r="C214" s="59" t="n">
        <v>30</v>
      </c>
      <c r="D214" s="41" t="n">
        <v>0.01274</v>
      </c>
      <c r="E214" s="41" t="n">
        <v>0.01274</v>
      </c>
      <c r="F214" s="39" t="n">
        <f aca="false">ROUND(B214*E214,2)</f>
        <v>0.38</v>
      </c>
      <c r="G214" s="42"/>
      <c r="H214" s="43" t="n">
        <v>30</v>
      </c>
      <c r="I214" s="44" t="n">
        <v>0.01912</v>
      </c>
      <c r="J214" s="43" t="n">
        <f aca="false">ROUND(H214*I214,2)</f>
        <v>0.57</v>
      </c>
      <c r="K214" s="42"/>
      <c r="L214" s="45" t="n">
        <v>30</v>
      </c>
      <c r="M214" s="46" t="n">
        <v>0.01274</v>
      </c>
      <c r="N214" s="45" t="n">
        <f aca="false">ROUND(L214*M214,2)</f>
        <v>0.38</v>
      </c>
    </row>
    <row r="215" customFormat="false" ht="15" hidden="false" customHeight="true" outlineLevel="0" collapsed="false">
      <c r="A215" s="20" t="s">
        <v>141</v>
      </c>
      <c r="B215" s="39" t="n">
        <v>27.36</v>
      </c>
      <c r="C215" s="40"/>
      <c r="D215" s="41" t="n">
        <v>1</v>
      </c>
      <c r="E215" s="41" t="n">
        <v>1</v>
      </c>
      <c r="F215" s="39" t="n">
        <f aca="false">ROUND(B215*E215,2)</f>
        <v>27.36</v>
      </c>
      <c r="G215" s="42"/>
      <c r="H215" s="43" t="n">
        <v>25.78</v>
      </c>
      <c r="I215" s="44" t="n">
        <v>1</v>
      </c>
      <c r="J215" s="43" t="n">
        <f aca="false">ROUND(H215*I215,2)</f>
        <v>25.78</v>
      </c>
      <c r="K215" s="42"/>
      <c r="L215" s="45" t="n">
        <v>30.51</v>
      </c>
      <c r="M215" s="46" t="n">
        <v>1</v>
      </c>
      <c r="N215" s="45" t="n">
        <f aca="false">ROUND(L215*M215,2)</f>
        <v>30.51</v>
      </c>
    </row>
    <row r="216" customFormat="false" ht="15" hidden="false" customHeight="true" outlineLevel="0" collapsed="false">
      <c r="A216" s="60" t="s">
        <v>142</v>
      </c>
      <c r="B216" s="61"/>
      <c r="C216" s="61"/>
      <c r="D216" s="61"/>
      <c r="E216" s="61"/>
      <c r="F216" s="62" t="n">
        <f aca="false">ROUND((SUM(F204:F215)-F215)*1.21+F215,2)</f>
        <v>641.57</v>
      </c>
      <c r="G216" s="61"/>
      <c r="H216" s="61"/>
      <c r="I216" s="61"/>
      <c r="J216" s="63" t="n">
        <f aca="false">ROUND((SUM(J204:J215)-J215)*1.21+J215,2)</f>
        <v>542.61</v>
      </c>
      <c r="K216" s="61"/>
      <c r="L216" s="61"/>
      <c r="M216" s="61"/>
      <c r="N216" s="64" t="n">
        <f aca="false">ROUND((SUM(N204:N215)-N215)*1.21+N215,2)</f>
        <v>669.06</v>
      </c>
    </row>
    <row r="217" customFormat="false" ht="15" hidden="false" customHeight="true" outlineLevel="0" collapsed="false">
      <c r="A217" s="65" t="s">
        <v>143</v>
      </c>
      <c r="B217" s="66" t="n">
        <f aca="false">(SUM(F204:F212)-407.3317)/SUM(F204:F212)</f>
        <v>0.168048650967096</v>
      </c>
      <c r="C217" s="66"/>
      <c r="D217" s="66"/>
      <c r="E217" s="66"/>
      <c r="F217" s="66"/>
      <c r="G217" s="67"/>
      <c r="H217" s="67"/>
      <c r="I217" s="67"/>
      <c r="J217" s="67"/>
      <c r="K217" s="67"/>
      <c r="L217" s="68" t="str">
        <f aca="false">IF(B217&gt;=0.3,"APROBAR",IF(B217&gt;=0.2,"REVISAR","RECHAZAR"))</f>
        <v>RECHAZAR</v>
      </c>
      <c r="M217" s="68"/>
      <c r="N217" s="68"/>
    </row>
    <row r="219" customFormat="false" ht="15" hidden="false" customHeight="true" outlineLevel="0" collapsed="false">
      <c r="A219" s="26" t="s">
        <v>246</v>
      </c>
      <c r="B219" s="26"/>
      <c r="C219" s="26"/>
      <c r="D219" s="26"/>
      <c r="E219" s="26"/>
      <c r="F219" s="26"/>
      <c r="G219" s="26"/>
      <c r="H219" s="26"/>
      <c r="I219" s="27" t="s">
        <v>247</v>
      </c>
      <c r="J219" s="27"/>
      <c r="K219" s="27"/>
      <c r="L219" s="27"/>
      <c r="M219" s="27"/>
      <c r="N219" s="27"/>
      <c r="R219" s="28" t="s">
        <v>110</v>
      </c>
      <c r="S219" s="28"/>
      <c r="T219" s="28"/>
      <c r="U219" s="28"/>
      <c r="V219" s="28"/>
    </row>
    <row r="220" customFormat="false" ht="15" hidden="false" customHeight="true" outlineLevel="0" collapsed="false">
      <c r="A220" s="29" t="s">
        <v>111</v>
      </c>
      <c r="B220" s="30" t="s">
        <v>112</v>
      </c>
      <c r="C220" s="30"/>
      <c r="D220" s="30"/>
      <c r="E220" s="30"/>
      <c r="F220" s="30"/>
      <c r="G220" s="31"/>
      <c r="H220" s="32" t="s">
        <v>248</v>
      </c>
      <c r="I220" s="32"/>
      <c r="J220" s="32"/>
      <c r="K220" s="31"/>
      <c r="L220" s="33" t="s">
        <v>249</v>
      </c>
      <c r="M220" s="33"/>
      <c r="N220" s="33"/>
      <c r="R220" s="34" t="s">
        <v>250</v>
      </c>
      <c r="S220" s="34"/>
      <c r="T220" s="34"/>
      <c r="U220" s="34"/>
      <c r="V220" s="34"/>
    </row>
    <row r="221" customFormat="false" ht="15" hidden="false" customHeight="true" outlineLevel="0" collapsed="false">
      <c r="A221" s="31"/>
      <c r="B221" s="35" t="s">
        <v>116</v>
      </c>
      <c r="C221" s="35" t="s">
        <v>117</v>
      </c>
      <c r="D221" s="35" t="s">
        <v>118</v>
      </c>
      <c r="E221" s="35" t="s">
        <v>119</v>
      </c>
      <c r="F221" s="35" t="s">
        <v>120</v>
      </c>
      <c r="G221" s="31"/>
      <c r="H221" s="36" t="s">
        <v>116</v>
      </c>
      <c r="I221" s="36" t="s">
        <v>119</v>
      </c>
      <c r="J221" s="36" t="s">
        <v>120</v>
      </c>
      <c r="K221" s="31"/>
      <c r="L221" s="37" t="s">
        <v>116</v>
      </c>
      <c r="M221" s="37" t="s">
        <v>119</v>
      </c>
      <c r="N221" s="37" t="s">
        <v>120</v>
      </c>
      <c r="R221" s="38" t="s">
        <v>251</v>
      </c>
      <c r="S221" s="38"/>
      <c r="T221" s="38"/>
      <c r="U221" s="38"/>
      <c r="V221" s="38"/>
    </row>
    <row r="222" customFormat="false" ht="15" hidden="false" customHeight="true" outlineLevel="0" collapsed="false">
      <c r="A222" s="20" t="s">
        <v>122</v>
      </c>
      <c r="B222" s="39" t="n">
        <v>9</v>
      </c>
      <c r="C222" s="40" t="n">
        <v>30</v>
      </c>
      <c r="D222" s="41" t="n">
        <v>1.7178</v>
      </c>
      <c r="E222" s="41" t="n">
        <v>2.5542</v>
      </c>
      <c r="F222" s="39" t="n">
        <f aca="false">ROUND(B222*E222,2)</f>
        <v>22.99</v>
      </c>
      <c r="G222" s="42"/>
      <c r="H222" s="43" t="n">
        <v>9</v>
      </c>
      <c r="I222" s="44" t="n">
        <v>2.5542</v>
      </c>
      <c r="J222" s="43" t="n">
        <f aca="false">ROUND(H222*I222,2)</f>
        <v>22.99</v>
      </c>
      <c r="K222" s="42"/>
      <c r="L222" s="45" t="n">
        <v>9</v>
      </c>
      <c r="M222" s="46" t="n">
        <v>2.5542</v>
      </c>
      <c r="N222" s="45" t="n">
        <f aca="false">ROUND(L222*M222,2)</f>
        <v>22.99</v>
      </c>
      <c r="R222" s="47" t="s">
        <v>252</v>
      </c>
      <c r="S222" s="47"/>
      <c r="T222" s="47"/>
      <c r="U222" s="47"/>
      <c r="V222" s="47"/>
    </row>
    <row r="223" customFormat="false" ht="15" hidden="false" customHeight="true" outlineLevel="0" collapsed="false">
      <c r="A223" s="20" t="s">
        <v>124</v>
      </c>
      <c r="B223" s="39" t="n">
        <v>10</v>
      </c>
      <c r="C223" s="40" t="n">
        <v>30</v>
      </c>
      <c r="D223" s="41" t="n">
        <v>1.06026</v>
      </c>
      <c r="E223" s="41" t="n">
        <v>1.37733</v>
      </c>
      <c r="F223" s="39" t="n">
        <f aca="false">ROUND(B223*E223,2)</f>
        <v>13.77</v>
      </c>
      <c r="G223" s="42"/>
      <c r="H223" s="43" t="n">
        <v>10</v>
      </c>
      <c r="I223" s="44" t="n">
        <v>1.37733</v>
      </c>
      <c r="J223" s="43" t="n">
        <f aca="false">ROUND(H223*I223,2)</f>
        <v>13.77</v>
      </c>
      <c r="K223" s="42"/>
      <c r="L223" s="45" t="n">
        <v>10</v>
      </c>
      <c r="M223" s="46" t="n">
        <v>1.37733</v>
      </c>
      <c r="N223" s="45" t="n">
        <f aca="false">ROUND(L223*M223,2)</f>
        <v>13.77</v>
      </c>
      <c r="R223" s="48" t="s">
        <v>253</v>
      </c>
      <c r="S223" s="48"/>
      <c r="T223" s="48"/>
      <c r="U223" s="48"/>
      <c r="V223" s="48"/>
    </row>
    <row r="224" customFormat="false" ht="15" hidden="false" customHeight="true" outlineLevel="0" collapsed="false">
      <c r="A224" s="20" t="s">
        <v>126</v>
      </c>
      <c r="B224" s="39" t="n">
        <v>10</v>
      </c>
      <c r="C224" s="40" t="n">
        <v>30</v>
      </c>
      <c r="D224" s="41" t="n">
        <v>0.48492</v>
      </c>
      <c r="E224" s="41" t="n">
        <v>0.62868</v>
      </c>
      <c r="F224" s="39" t="n">
        <f aca="false">ROUND(B224*E224,2)</f>
        <v>6.29</v>
      </c>
      <c r="G224" s="42"/>
      <c r="H224" s="43" t="n">
        <v>10</v>
      </c>
      <c r="I224" s="44" t="n">
        <v>0.62868</v>
      </c>
      <c r="J224" s="43" t="n">
        <f aca="false">ROUND(H224*I224,2)</f>
        <v>6.29</v>
      </c>
      <c r="K224" s="42"/>
      <c r="L224" s="45" t="n">
        <v>10</v>
      </c>
      <c r="M224" s="46" t="n">
        <v>0.62868</v>
      </c>
      <c r="N224" s="45" t="n">
        <f aca="false">ROUND(L224*M224,2)</f>
        <v>6.29</v>
      </c>
      <c r="R224" s="48" t="s">
        <v>254</v>
      </c>
      <c r="S224" s="48"/>
      <c r="T224" s="48"/>
      <c r="U224" s="48"/>
      <c r="V224" s="48"/>
    </row>
    <row r="225" customFormat="false" ht="15" hidden="false" customHeight="true" outlineLevel="0" collapsed="false">
      <c r="A225" s="20" t="s">
        <v>128</v>
      </c>
      <c r="B225" s="39" t="n">
        <v>10</v>
      </c>
      <c r="C225" s="40" t="n">
        <v>30</v>
      </c>
      <c r="D225" s="41" t="n">
        <v>0.40275</v>
      </c>
      <c r="E225" s="41" t="n">
        <v>0.5561</v>
      </c>
      <c r="F225" s="39" t="n">
        <f aca="false">ROUND(B225*E225,2)</f>
        <v>5.56</v>
      </c>
      <c r="G225" s="42"/>
      <c r="H225" s="43" t="n">
        <v>10</v>
      </c>
      <c r="I225" s="44" t="n">
        <v>0.5561</v>
      </c>
      <c r="J225" s="43" t="n">
        <f aca="false">ROUND(H225*I225,2)</f>
        <v>5.56</v>
      </c>
      <c r="K225" s="42"/>
      <c r="L225" s="45" t="n">
        <v>10</v>
      </c>
      <c r="M225" s="46" t="n">
        <v>0.5561</v>
      </c>
      <c r="N225" s="45" t="n">
        <f aca="false">ROUND(L225*M225,2)</f>
        <v>5.56</v>
      </c>
      <c r="R225" s="69" t="s">
        <v>162</v>
      </c>
      <c r="S225" s="69"/>
      <c r="T225" s="69"/>
      <c r="U225" s="69"/>
      <c r="V225" s="69"/>
    </row>
    <row r="226" customFormat="false" ht="15" hidden="false" customHeight="true" outlineLevel="0" collapsed="false">
      <c r="A226" s="20" t="s">
        <v>130</v>
      </c>
      <c r="B226" s="39" t="n">
        <v>10</v>
      </c>
      <c r="C226" s="40" t="n">
        <v>30</v>
      </c>
      <c r="D226" s="41" t="n">
        <v>0.32055</v>
      </c>
      <c r="E226" s="41" t="n">
        <v>0.3868</v>
      </c>
      <c r="F226" s="39" t="n">
        <f aca="false">ROUND(B226*E226,2)</f>
        <v>3.87</v>
      </c>
      <c r="G226" s="42"/>
      <c r="H226" s="43" t="n">
        <v>10</v>
      </c>
      <c r="I226" s="44" t="n">
        <v>0.3868</v>
      </c>
      <c r="J226" s="43" t="n">
        <f aca="false">ROUND(H226*I226,2)</f>
        <v>3.87</v>
      </c>
      <c r="K226" s="42"/>
      <c r="L226" s="45" t="n">
        <v>10</v>
      </c>
      <c r="M226" s="46" t="n">
        <v>0.3868</v>
      </c>
      <c r="N226" s="45" t="n">
        <f aca="false">ROUND(L226*M226,2)</f>
        <v>3.87</v>
      </c>
      <c r="R226" s="50" t="s">
        <v>131</v>
      </c>
      <c r="S226" s="50"/>
      <c r="T226" s="50"/>
      <c r="U226" s="50"/>
      <c r="V226" s="50"/>
    </row>
    <row r="227" customFormat="false" ht="15" hidden="false" customHeight="true" outlineLevel="0" collapsed="false">
      <c r="A227" s="20" t="s">
        <v>132</v>
      </c>
      <c r="B227" s="39" t="n">
        <v>23.1</v>
      </c>
      <c r="C227" s="40" t="n">
        <v>30</v>
      </c>
      <c r="D227" s="41" t="n">
        <v>0.23835</v>
      </c>
      <c r="E227" s="41" t="n">
        <v>0.2653</v>
      </c>
      <c r="F227" s="39" t="n">
        <f aca="false">ROUND(B227*E227,2)</f>
        <v>6.13</v>
      </c>
      <c r="G227" s="42"/>
      <c r="H227" s="43" t="n">
        <v>23.1</v>
      </c>
      <c r="I227" s="44" t="n">
        <v>0.2653</v>
      </c>
      <c r="J227" s="43" t="n">
        <f aca="false">ROUND(H227*I227,2)</f>
        <v>6.13</v>
      </c>
      <c r="K227" s="42"/>
      <c r="L227" s="45" t="n">
        <v>23.1</v>
      </c>
      <c r="M227" s="46" t="n">
        <v>0.2653</v>
      </c>
      <c r="N227" s="45" t="n">
        <f aca="false">ROUND(L227*M227,2)</f>
        <v>6.13</v>
      </c>
    </row>
    <row r="228" customFormat="false" ht="15" hidden="false" customHeight="true" outlineLevel="0" collapsed="false">
      <c r="A228" s="51" t="s">
        <v>133</v>
      </c>
      <c r="B228" s="52" t="n">
        <f aca="false">IF($P$228="",134.003,ROUND(134.003*((91.4788/(1-$P$228))-58.61)/51.18,2))</f>
        <v>134.003</v>
      </c>
      <c r="C228" s="40"/>
      <c r="D228" s="53" t="n">
        <v>0.1299</v>
      </c>
      <c r="E228" s="41" t="n">
        <v>0.139</v>
      </c>
      <c r="F228" s="39" t="n">
        <f aca="false">ROUND(B228*E228,2)</f>
        <v>18.63</v>
      </c>
      <c r="G228" s="42"/>
      <c r="H228" s="54" t="n">
        <v>615.962</v>
      </c>
      <c r="I228" s="44" t="n">
        <v>0.149</v>
      </c>
      <c r="J228" s="43" t="n">
        <f aca="false">ROUND(H228*I228,2)</f>
        <v>91.78</v>
      </c>
      <c r="K228" s="42"/>
      <c r="L228" s="55" t="n">
        <v>343.867</v>
      </c>
      <c r="M228" s="46" t="n">
        <v>0.1829</v>
      </c>
      <c r="N228" s="45" t="n">
        <f aca="false">ROUND(L228*M228,2)</f>
        <v>62.89</v>
      </c>
      <c r="O228" s="56" t="s">
        <v>134</v>
      </c>
      <c r="P228" s="57"/>
    </row>
    <row r="229" customFormat="false" ht="15" hidden="false" customHeight="true" outlineLevel="0" collapsed="false">
      <c r="A229" s="51" t="s">
        <v>135</v>
      </c>
      <c r="B229" s="52" t="n">
        <f aca="false">IF($P$228="",111.408,ROUND(111.408*((91.4788/(1-$P$228))-58.61)/51.18,2))</f>
        <v>111.408</v>
      </c>
      <c r="C229" s="40"/>
      <c r="D229" s="53" t="n">
        <v>0.1299</v>
      </c>
      <c r="E229" s="41" t="n">
        <v>0.139</v>
      </c>
      <c r="F229" s="39" t="n">
        <f aca="false">ROUND(B229*E229,2)</f>
        <v>15.49</v>
      </c>
      <c r="G229" s="42"/>
      <c r="H229" s="54" t="n">
        <v>425.804</v>
      </c>
      <c r="I229" s="44" t="n">
        <v>0.139</v>
      </c>
      <c r="J229" s="43" t="n">
        <f aca="false">ROUND(H229*I229,2)</f>
        <v>59.19</v>
      </c>
      <c r="K229" s="42"/>
      <c r="L229" s="55" t="n">
        <v>262.574</v>
      </c>
      <c r="M229" s="46" t="n">
        <v>0.1615</v>
      </c>
      <c r="N229" s="45" t="n">
        <f aca="false">ROUND(L229*M229,2)</f>
        <v>42.41</v>
      </c>
      <c r="O229" s="58" t="s">
        <v>136</v>
      </c>
    </row>
    <row r="230" customFormat="false" ht="15" hidden="false" customHeight="true" outlineLevel="0" collapsed="false">
      <c r="A230" s="51" t="s">
        <v>137</v>
      </c>
      <c r="B230" s="52" t="n">
        <f aca="false">IF($P$228="",122.75,ROUND(122.75*((91.4788/(1-$P$228))-58.61)/51.18,2))</f>
        <v>122.75</v>
      </c>
      <c r="C230" s="40"/>
      <c r="D230" s="53" t="n">
        <v>0.1299</v>
      </c>
      <c r="E230" s="41" t="n">
        <v>0.139</v>
      </c>
      <c r="F230" s="39" t="n">
        <f aca="false">ROUND(B230*E230,2)</f>
        <v>17.06</v>
      </c>
      <c r="G230" s="42"/>
      <c r="H230" s="54" t="n">
        <v>372.62</v>
      </c>
      <c r="I230" s="44" t="n">
        <v>0.139</v>
      </c>
      <c r="J230" s="43" t="n">
        <f aca="false">ROUND(H230*I230,2)</f>
        <v>51.79</v>
      </c>
      <c r="K230" s="42"/>
      <c r="L230" s="55" t="n">
        <v>294.225</v>
      </c>
      <c r="M230" s="46" t="n">
        <v>0.156</v>
      </c>
      <c r="N230" s="45" t="n">
        <f aca="false">ROUND(L230*M230,2)</f>
        <v>45.9</v>
      </c>
      <c r="O230" s="58" t="s">
        <v>138</v>
      </c>
    </row>
    <row r="231" customFormat="false" ht="15" hidden="false" customHeight="true" outlineLevel="0" collapsed="false">
      <c r="A231" s="20" t="s">
        <v>139</v>
      </c>
      <c r="B231" s="39" t="n">
        <v>1</v>
      </c>
      <c r="C231" s="59" t="n">
        <v>30</v>
      </c>
      <c r="D231" s="41" t="n">
        <v>17.615</v>
      </c>
      <c r="E231" s="41" t="n">
        <v>17.615</v>
      </c>
      <c r="F231" s="39" t="n">
        <f aca="false">ROUND(B231*E231,2)</f>
        <v>17.62</v>
      </c>
      <c r="G231" s="42"/>
      <c r="H231" s="43" t="n">
        <v>1</v>
      </c>
      <c r="I231" s="44" t="n">
        <v>17.615</v>
      </c>
      <c r="J231" s="43" t="n">
        <f aca="false">ROUND(H231*I231,2)</f>
        <v>17.62</v>
      </c>
      <c r="K231" s="42"/>
      <c r="L231" s="45" t="n">
        <v>1</v>
      </c>
      <c r="M231" s="46" t="n">
        <v>17.615</v>
      </c>
      <c r="N231" s="45" t="n">
        <f aca="false">ROUND(L231*M231,2)</f>
        <v>17.62</v>
      </c>
    </row>
    <row r="232" customFormat="false" ht="15" hidden="false" customHeight="true" outlineLevel="0" collapsed="false">
      <c r="A232" s="20" t="s">
        <v>140</v>
      </c>
      <c r="B232" s="39" t="n">
        <v>30</v>
      </c>
      <c r="C232" s="59" t="n">
        <v>30</v>
      </c>
      <c r="D232" s="41" t="n">
        <v>0.01274</v>
      </c>
      <c r="E232" s="41" t="n">
        <v>0.01274</v>
      </c>
      <c r="F232" s="39" t="n">
        <f aca="false">ROUND(B232*E232,2)</f>
        <v>0.38</v>
      </c>
      <c r="G232" s="42"/>
      <c r="H232" s="43" t="n">
        <v>30</v>
      </c>
      <c r="I232" s="44" t="n">
        <v>0.01274</v>
      </c>
      <c r="J232" s="43" t="n">
        <f aca="false">ROUND(H232*I232,2)</f>
        <v>0.38</v>
      </c>
      <c r="K232" s="42"/>
      <c r="L232" s="45" t="n">
        <v>30</v>
      </c>
      <c r="M232" s="46" t="n">
        <v>0.00629</v>
      </c>
      <c r="N232" s="45" t="n">
        <f aca="false">ROUND(L232*M232,2)</f>
        <v>0.19</v>
      </c>
    </row>
    <row r="233" customFormat="false" ht="15" hidden="false" customHeight="true" outlineLevel="0" collapsed="false">
      <c r="A233" s="20" t="s">
        <v>141</v>
      </c>
      <c r="B233" s="39" t="n">
        <v>6.85</v>
      </c>
      <c r="C233" s="40"/>
      <c r="D233" s="41" t="n">
        <v>1</v>
      </c>
      <c r="E233" s="41" t="n">
        <v>1</v>
      </c>
      <c r="F233" s="39" t="n">
        <f aca="false">ROUND(B233*E233,2)</f>
        <v>6.85</v>
      </c>
      <c r="G233" s="42"/>
      <c r="H233" s="43" t="n">
        <v>15.15</v>
      </c>
      <c r="I233" s="44" t="n">
        <v>1</v>
      </c>
      <c r="J233" s="43" t="n">
        <f aca="false">ROUND(H233*I233,2)</f>
        <v>15.15</v>
      </c>
      <c r="K233" s="42"/>
      <c r="L233" s="45" t="n">
        <v>12.42</v>
      </c>
      <c r="M233" s="46" t="n">
        <v>1</v>
      </c>
      <c r="N233" s="45" t="n">
        <f aca="false">ROUND(L233*M233,2)</f>
        <v>12.42</v>
      </c>
    </row>
    <row r="234" customFormat="false" ht="15" hidden="false" customHeight="true" outlineLevel="0" collapsed="false">
      <c r="A234" s="60" t="s">
        <v>142</v>
      </c>
      <c r="B234" s="61"/>
      <c r="C234" s="61"/>
      <c r="D234" s="61"/>
      <c r="E234" s="61"/>
      <c r="F234" s="62" t="n">
        <f aca="false">ROUND((SUM(F222:F233)-F233)*1.21+F233,2)</f>
        <v>161.48</v>
      </c>
      <c r="G234" s="61"/>
      <c r="H234" s="61"/>
      <c r="I234" s="61"/>
      <c r="J234" s="63" t="n">
        <f aca="false">ROUND((SUM(J222:J233)-J233)*1.21+J233,2)</f>
        <v>353.19</v>
      </c>
      <c r="K234" s="61"/>
      <c r="L234" s="61"/>
      <c r="M234" s="61"/>
      <c r="N234" s="64" t="n">
        <f aca="false">ROUND((SUM(N222:N233)-N233)*1.21+N233,2)</f>
        <v>287.84</v>
      </c>
    </row>
    <row r="235" customFormat="false" ht="15" hidden="false" customHeight="true" outlineLevel="0" collapsed="false">
      <c r="A235" s="65" t="s">
        <v>143</v>
      </c>
      <c r="B235" s="66" t="n">
        <f aca="false">(SUM(F222:F230)-91.4788)/SUM(F222:F230)</f>
        <v>0.166783860096548</v>
      </c>
      <c r="C235" s="66"/>
      <c r="D235" s="66"/>
      <c r="E235" s="66"/>
      <c r="F235" s="66"/>
      <c r="G235" s="67"/>
      <c r="H235" s="67"/>
      <c r="I235" s="67"/>
      <c r="J235" s="67"/>
      <c r="K235" s="67"/>
      <c r="L235" s="68" t="str">
        <f aca="false">IF(B235&gt;=0.3,"APROBAR",IF(B235&gt;=0.2,"REVISAR","RECHAZAR"))</f>
        <v>RECHAZAR</v>
      </c>
      <c r="M235" s="68"/>
      <c r="N235" s="68"/>
    </row>
    <row r="237" customFormat="false" ht="15" hidden="false" customHeight="true" outlineLevel="0" collapsed="false">
      <c r="A237" s="26" t="s">
        <v>255</v>
      </c>
      <c r="B237" s="26"/>
      <c r="C237" s="26"/>
      <c r="D237" s="26"/>
      <c r="E237" s="26"/>
      <c r="F237" s="26"/>
      <c r="G237" s="26"/>
      <c r="H237" s="26"/>
      <c r="I237" s="27" t="s">
        <v>256</v>
      </c>
      <c r="J237" s="27"/>
      <c r="K237" s="27"/>
      <c r="L237" s="27"/>
      <c r="M237" s="27"/>
      <c r="N237" s="27"/>
      <c r="R237" s="28" t="s">
        <v>110</v>
      </c>
      <c r="S237" s="28"/>
      <c r="T237" s="28"/>
      <c r="U237" s="28"/>
      <c r="V237" s="28"/>
    </row>
    <row r="238" customFormat="false" ht="15" hidden="false" customHeight="true" outlineLevel="0" collapsed="false">
      <c r="A238" s="29" t="s">
        <v>111</v>
      </c>
      <c r="B238" s="30" t="s">
        <v>112</v>
      </c>
      <c r="C238" s="30"/>
      <c r="D238" s="30"/>
      <c r="E238" s="30"/>
      <c r="F238" s="30"/>
      <c r="G238" s="31"/>
      <c r="H238" s="32" t="s">
        <v>257</v>
      </c>
      <c r="I238" s="32"/>
      <c r="J238" s="32"/>
      <c r="K238" s="31"/>
      <c r="L238" s="33" t="s">
        <v>258</v>
      </c>
      <c r="M238" s="33"/>
      <c r="N238" s="33"/>
      <c r="R238" s="34" t="s">
        <v>259</v>
      </c>
      <c r="S238" s="34"/>
      <c r="T238" s="34"/>
      <c r="U238" s="34"/>
      <c r="V238" s="34"/>
    </row>
    <row r="239" customFormat="false" ht="15" hidden="false" customHeight="true" outlineLevel="0" collapsed="false">
      <c r="A239" s="31"/>
      <c r="B239" s="35" t="s">
        <v>116</v>
      </c>
      <c r="C239" s="35" t="s">
        <v>117</v>
      </c>
      <c r="D239" s="35" t="s">
        <v>118</v>
      </c>
      <c r="E239" s="35" t="s">
        <v>119</v>
      </c>
      <c r="F239" s="35" t="s">
        <v>120</v>
      </c>
      <c r="G239" s="31"/>
      <c r="H239" s="36" t="s">
        <v>116</v>
      </c>
      <c r="I239" s="36" t="s">
        <v>119</v>
      </c>
      <c r="J239" s="36" t="s">
        <v>120</v>
      </c>
      <c r="K239" s="31"/>
      <c r="L239" s="37" t="s">
        <v>116</v>
      </c>
      <c r="M239" s="37" t="s">
        <v>119</v>
      </c>
      <c r="N239" s="37" t="s">
        <v>120</v>
      </c>
      <c r="R239" s="38" t="s">
        <v>260</v>
      </c>
      <c r="S239" s="38"/>
      <c r="T239" s="38"/>
      <c r="U239" s="38"/>
      <c r="V239" s="38"/>
    </row>
    <row r="240" customFormat="false" ht="15" hidden="false" customHeight="true" outlineLevel="0" collapsed="false">
      <c r="A240" s="20" t="s">
        <v>122</v>
      </c>
      <c r="B240" s="39" t="n">
        <v>4.2</v>
      </c>
      <c r="C240" s="40" t="n">
        <v>30</v>
      </c>
      <c r="D240" s="41" t="n">
        <v>1.73784</v>
      </c>
      <c r="E240" s="41" t="n">
        <v>2.5542</v>
      </c>
      <c r="F240" s="39" t="n">
        <f aca="false">ROUND(B240*E240,2)</f>
        <v>10.73</v>
      </c>
      <c r="G240" s="42"/>
      <c r="H240" s="43" t="n">
        <v>4.2</v>
      </c>
      <c r="I240" s="44" t="n">
        <v>2.5542</v>
      </c>
      <c r="J240" s="43" t="n">
        <f aca="false">ROUND(H240*I240,2)</f>
        <v>10.73</v>
      </c>
      <c r="K240" s="42"/>
      <c r="L240" s="45" t="n">
        <v>4.2</v>
      </c>
      <c r="M240" s="46" t="n">
        <v>2.5542</v>
      </c>
      <c r="N240" s="45" t="n">
        <f aca="false">ROUND(L240*M240,2)</f>
        <v>10.73</v>
      </c>
      <c r="R240" s="47" t="s">
        <v>261</v>
      </c>
      <c r="S240" s="47"/>
      <c r="T240" s="47"/>
      <c r="U240" s="47"/>
      <c r="V240" s="47"/>
    </row>
    <row r="241" customFormat="false" ht="15" hidden="false" customHeight="true" outlineLevel="0" collapsed="false">
      <c r="A241" s="20" t="s">
        <v>124</v>
      </c>
      <c r="B241" s="39" t="n">
        <v>4.2</v>
      </c>
      <c r="C241" s="40" t="n">
        <v>30</v>
      </c>
      <c r="D241" s="41" t="n">
        <v>0.9357</v>
      </c>
      <c r="E241" s="41" t="n">
        <v>1.37733</v>
      </c>
      <c r="F241" s="39" t="n">
        <f aca="false">ROUND(B241*E241,2)</f>
        <v>5.78</v>
      </c>
      <c r="G241" s="42"/>
      <c r="H241" s="43" t="n">
        <v>4.2</v>
      </c>
      <c r="I241" s="44" t="n">
        <v>1.37733</v>
      </c>
      <c r="J241" s="43" t="n">
        <f aca="false">ROUND(H241*I241,2)</f>
        <v>5.78</v>
      </c>
      <c r="K241" s="42"/>
      <c r="L241" s="45" t="n">
        <v>4.2</v>
      </c>
      <c r="M241" s="46" t="n">
        <v>1.37733</v>
      </c>
      <c r="N241" s="45" t="n">
        <f aca="false">ROUND(L241*M241,2)</f>
        <v>5.78</v>
      </c>
      <c r="R241" s="48" t="s">
        <v>262</v>
      </c>
      <c r="S241" s="48"/>
      <c r="T241" s="48"/>
      <c r="U241" s="48"/>
      <c r="V241" s="48"/>
    </row>
    <row r="242" customFormat="false" ht="15" hidden="false" customHeight="true" outlineLevel="0" collapsed="false">
      <c r="A242" s="20" t="s">
        <v>126</v>
      </c>
      <c r="B242" s="39" t="n">
        <v>4.2</v>
      </c>
      <c r="C242" s="40" t="n">
        <v>30</v>
      </c>
      <c r="D242" s="41" t="n">
        <v>0.43137</v>
      </c>
      <c r="E242" s="41" t="n">
        <v>0.62868</v>
      </c>
      <c r="F242" s="39" t="n">
        <f aca="false">ROUND(B242*E242,2)</f>
        <v>2.64</v>
      </c>
      <c r="G242" s="42"/>
      <c r="H242" s="43" t="n">
        <v>4.2</v>
      </c>
      <c r="I242" s="44" t="n">
        <v>0.62868</v>
      </c>
      <c r="J242" s="43" t="n">
        <f aca="false">ROUND(H242*I242,2)</f>
        <v>2.64</v>
      </c>
      <c r="K242" s="42"/>
      <c r="L242" s="45" t="n">
        <v>4.2</v>
      </c>
      <c r="M242" s="46" t="n">
        <v>0.62868</v>
      </c>
      <c r="N242" s="45" t="n">
        <f aca="false">ROUND(L242*M242,2)</f>
        <v>2.64</v>
      </c>
      <c r="R242" s="48" t="s">
        <v>263</v>
      </c>
      <c r="S242" s="48"/>
      <c r="T242" s="48"/>
      <c r="U242" s="48"/>
      <c r="V242" s="48"/>
    </row>
    <row r="243" customFormat="false" ht="15" hidden="false" customHeight="true" outlineLevel="0" collapsed="false">
      <c r="A243" s="20" t="s">
        <v>128</v>
      </c>
      <c r="B243" s="39" t="n">
        <v>4.2</v>
      </c>
      <c r="C243" s="40" t="n">
        <v>30</v>
      </c>
      <c r="D243" s="41" t="n">
        <v>0.38244</v>
      </c>
      <c r="E243" s="41" t="n">
        <v>0.5561</v>
      </c>
      <c r="F243" s="39" t="n">
        <f aca="false">ROUND(B243*E243,2)</f>
        <v>2.34</v>
      </c>
      <c r="G243" s="42"/>
      <c r="H243" s="43" t="n">
        <v>4.2</v>
      </c>
      <c r="I243" s="44" t="n">
        <v>0.5561</v>
      </c>
      <c r="J243" s="43" t="n">
        <f aca="false">ROUND(H243*I243,2)</f>
        <v>2.34</v>
      </c>
      <c r="K243" s="42"/>
      <c r="L243" s="45" t="n">
        <v>4.2</v>
      </c>
      <c r="M243" s="46" t="n">
        <v>0.5561</v>
      </c>
      <c r="N243" s="45" t="n">
        <f aca="false">ROUND(L243*M243,2)</f>
        <v>2.34</v>
      </c>
      <c r="R243" s="69" t="s">
        <v>162</v>
      </c>
      <c r="S243" s="69"/>
      <c r="T243" s="69"/>
      <c r="U243" s="69"/>
      <c r="V243" s="69"/>
    </row>
    <row r="244" customFormat="false" ht="15" hidden="false" customHeight="true" outlineLevel="0" collapsed="false">
      <c r="A244" s="20" t="s">
        <v>130</v>
      </c>
      <c r="B244" s="39" t="n">
        <v>4.2</v>
      </c>
      <c r="C244" s="40" t="n">
        <v>30</v>
      </c>
      <c r="D244" s="41" t="n">
        <v>0.26964</v>
      </c>
      <c r="E244" s="41" t="n">
        <v>0.3868</v>
      </c>
      <c r="F244" s="39" t="n">
        <f aca="false">ROUND(B244*E244,2)</f>
        <v>1.62</v>
      </c>
      <c r="G244" s="42"/>
      <c r="H244" s="43" t="n">
        <v>4.2</v>
      </c>
      <c r="I244" s="44" t="n">
        <v>0.3868</v>
      </c>
      <c r="J244" s="43" t="n">
        <f aca="false">ROUND(H244*I244,2)</f>
        <v>1.62</v>
      </c>
      <c r="K244" s="42"/>
      <c r="L244" s="45" t="n">
        <v>4.2</v>
      </c>
      <c r="M244" s="46" t="n">
        <v>0.3868</v>
      </c>
      <c r="N244" s="45" t="n">
        <f aca="false">ROUND(L244*M244,2)</f>
        <v>1.62</v>
      </c>
      <c r="R244" s="50" t="s">
        <v>131</v>
      </c>
      <c r="S244" s="50"/>
      <c r="T244" s="50"/>
      <c r="U244" s="50"/>
      <c r="V244" s="50"/>
    </row>
    <row r="245" customFormat="false" ht="15" hidden="false" customHeight="true" outlineLevel="0" collapsed="false">
      <c r="A245" s="20" t="s">
        <v>132</v>
      </c>
      <c r="B245" s="39" t="n">
        <v>16.5</v>
      </c>
      <c r="C245" s="40" t="n">
        <v>30</v>
      </c>
      <c r="D245" s="41" t="n">
        <v>0.18156</v>
      </c>
      <c r="E245" s="41" t="n">
        <v>0.2653</v>
      </c>
      <c r="F245" s="39" t="n">
        <f aca="false">ROUND(B245*E245,2)</f>
        <v>4.38</v>
      </c>
      <c r="G245" s="42"/>
      <c r="H245" s="43" t="n">
        <v>16.5</v>
      </c>
      <c r="I245" s="44" t="n">
        <v>0.2653</v>
      </c>
      <c r="J245" s="43" t="n">
        <f aca="false">ROUND(H245*I245,2)</f>
        <v>4.38</v>
      </c>
      <c r="K245" s="42"/>
      <c r="L245" s="45" t="n">
        <v>16.5</v>
      </c>
      <c r="M245" s="46" t="n">
        <v>0.2653</v>
      </c>
      <c r="N245" s="45" t="n">
        <f aca="false">ROUND(L245*M245,2)</f>
        <v>4.38</v>
      </c>
    </row>
    <row r="246" customFormat="false" ht="15" hidden="false" customHeight="true" outlineLevel="0" collapsed="false">
      <c r="A246" s="51" t="s">
        <v>133</v>
      </c>
      <c r="B246" s="52" t="n">
        <f aca="false">IF($P$246="",129.089,ROUND(129.089*((51.1377/(1-$P$246))-27.49)/49.42,2))</f>
        <v>129.089</v>
      </c>
      <c r="C246" s="40"/>
      <c r="D246" s="53" t="n">
        <v>0.117193</v>
      </c>
      <c r="E246" s="41" t="n">
        <v>0.1829</v>
      </c>
      <c r="F246" s="39" t="n">
        <f aca="false">ROUND(B246*E246,2)</f>
        <v>23.61</v>
      </c>
      <c r="G246" s="42"/>
      <c r="H246" s="54" t="n">
        <v>110.489</v>
      </c>
      <c r="I246" s="44" t="n">
        <v>0.1829</v>
      </c>
      <c r="J246" s="43" t="n">
        <f aca="false">ROUND(H246*I246,2)</f>
        <v>20.21</v>
      </c>
      <c r="K246" s="42"/>
      <c r="L246" s="55" t="n">
        <v>75.415</v>
      </c>
      <c r="M246" s="46" t="n">
        <v>0.1829</v>
      </c>
      <c r="N246" s="45" t="n">
        <f aca="false">ROUND(L246*M246,2)</f>
        <v>13.79</v>
      </c>
      <c r="O246" s="56" t="s">
        <v>134</v>
      </c>
      <c r="P246" s="57"/>
    </row>
    <row r="247" customFormat="false" ht="15" hidden="false" customHeight="true" outlineLevel="0" collapsed="false">
      <c r="A247" s="51" t="s">
        <v>135</v>
      </c>
      <c r="B247" s="52" t="n">
        <f aca="false">IF($P$246="",62.671,ROUND(62.671*((51.1377/(1-$P$246))-27.49)/49.42,2))</f>
        <v>62.671</v>
      </c>
      <c r="C247" s="40"/>
      <c r="D247" s="53" t="n">
        <v>0.110433</v>
      </c>
      <c r="E247" s="41" t="n">
        <v>0.1615</v>
      </c>
      <c r="F247" s="39" t="n">
        <f aca="false">ROUND(B247*E247,2)</f>
        <v>10.12</v>
      </c>
      <c r="G247" s="42"/>
      <c r="H247" s="54" t="n">
        <v>51.751</v>
      </c>
      <c r="I247" s="44" t="n">
        <v>0.1615</v>
      </c>
      <c r="J247" s="43" t="n">
        <f aca="false">ROUND(H247*I247,2)</f>
        <v>8.36</v>
      </c>
      <c r="K247" s="42"/>
      <c r="L247" s="55" t="n">
        <v>31.988</v>
      </c>
      <c r="M247" s="46" t="n">
        <v>0.1615</v>
      </c>
      <c r="N247" s="45" t="n">
        <f aca="false">ROUND(L247*M247,2)</f>
        <v>5.17</v>
      </c>
      <c r="O247" s="58" t="s">
        <v>136</v>
      </c>
    </row>
    <row r="248" customFormat="false" ht="15" hidden="false" customHeight="true" outlineLevel="0" collapsed="false">
      <c r="A248" s="51" t="s">
        <v>137</v>
      </c>
      <c r="B248" s="52" t="n">
        <f aca="false">IF($P$246="",100.583,ROUND(100.583*((51.1377/(1-$P$246))-27.49)/49.42,2))</f>
        <v>100.583</v>
      </c>
      <c r="C248" s="40"/>
      <c r="D248" s="53" t="n">
        <v>0.102539</v>
      </c>
      <c r="E248" s="41" t="n">
        <v>0.156</v>
      </c>
      <c r="F248" s="39" t="n">
        <f aca="false">ROUND(B248*E248,2)</f>
        <v>15.69</v>
      </c>
      <c r="G248" s="42"/>
      <c r="H248" s="54" t="n">
        <v>63.628</v>
      </c>
      <c r="I248" s="44" t="n">
        <v>0.156</v>
      </c>
      <c r="J248" s="43" t="n">
        <f aca="false">ROUND(H248*I248,2)</f>
        <v>9.93</v>
      </c>
      <c r="K248" s="42"/>
      <c r="L248" s="55" t="n">
        <v>51.979</v>
      </c>
      <c r="M248" s="46" t="n">
        <v>0.156</v>
      </c>
      <c r="N248" s="45" t="n">
        <f aca="false">ROUND(L248*M248,2)</f>
        <v>8.11</v>
      </c>
      <c r="O248" s="58" t="s">
        <v>138</v>
      </c>
    </row>
    <row r="249" customFormat="false" ht="15" hidden="false" customHeight="true" outlineLevel="0" collapsed="false">
      <c r="A249" s="20" t="s">
        <v>139</v>
      </c>
      <c r="B249" s="39" t="n">
        <v>1</v>
      </c>
      <c r="C249" s="59" t="n">
        <v>30</v>
      </c>
      <c r="D249" s="41" t="n">
        <v>17.615</v>
      </c>
      <c r="E249" s="41" t="n">
        <v>17.615</v>
      </c>
      <c r="F249" s="39" t="n">
        <f aca="false">ROUND(B249*E249,2)</f>
        <v>17.62</v>
      </c>
      <c r="G249" s="42"/>
      <c r="H249" s="43" t="n">
        <v>1</v>
      </c>
      <c r="I249" s="44" t="n">
        <v>17.615</v>
      </c>
      <c r="J249" s="43" t="n">
        <f aca="false">ROUND(H249*I249,2)</f>
        <v>17.62</v>
      </c>
      <c r="K249" s="42"/>
      <c r="L249" s="45" t="n">
        <v>1</v>
      </c>
      <c r="M249" s="46" t="n">
        <v>17.615</v>
      </c>
      <c r="N249" s="45" t="n">
        <f aca="false">ROUND(L249*M249,2)</f>
        <v>17.62</v>
      </c>
    </row>
    <row r="250" customFormat="false" ht="15" hidden="false" customHeight="true" outlineLevel="0" collapsed="false">
      <c r="A250" s="20" t="s">
        <v>140</v>
      </c>
      <c r="B250" s="39" t="n">
        <v>30</v>
      </c>
      <c r="C250" s="59" t="n">
        <v>30</v>
      </c>
      <c r="D250" s="41" t="n">
        <v>0.01274</v>
      </c>
      <c r="E250" s="41" t="n">
        <v>0.01274</v>
      </c>
      <c r="F250" s="39" t="n">
        <f aca="false">ROUND(B250*E250,2)</f>
        <v>0.38</v>
      </c>
      <c r="G250" s="42"/>
      <c r="H250" s="43" t="n">
        <v>30</v>
      </c>
      <c r="I250" s="44" t="n">
        <v>0.01274</v>
      </c>
      <c r="J250" s="43" t="n">
        <f aca="false">ROUND(H250*I250,2)</f>
        <v>0.38</v>
      </c>
      <c r="K250" s="42"/>
      <c r="L250" s="45" t="n">
        <v>30</v>
      </c>
      <c r="M250" s="46" t="n">
        <v>0.00629</v>
      </c>
      <c r="N250" s="45" t="n">
        <f aca="false">ROUND(L250*M250,2)</f>
        <v>0.19</v>
      </c>
    </row>
    <row r="251" customFormat="false" ht="15" hidden="false" customHeight="true" outlineLevel="0" collapsed="false">
      <c r="A251" s="20" t="s">
        <v>141</v>
      </c>
      <c r="B251" s="39" t="n">
        <v>4.48</v>
      </c>
      <c r="C251" s="40"/>
      <c r="D251" s="41" t="n">
        <v>1</v>
      </c>
      <c r="E251" s="41" t="n">
        <v>1</v>
      </c>
      <c r="F251" s="39" t="n">
        <f aca="false">ROUND(B251*E251,2)</f>
        <v>4.48</v>
      </c>
      <c r="G251" s="42"/>
      <c r="H251" s="43" t="n">
        <v>3.8</v>
      </c>
      <c r="I251" s="44" t="n">
        <v>1</v>
      </c>
      <c r="J251" s="43" t="n">
        <f aca="false">ROUND(H251*I251,2)</f>
        <v>3.8</v>
      </c>
      <c r="K251" s="42"/>
      <c r="L251" s="45" t="n">
        <v>2.24</v>
      </c>
      <c r="M251" s="46" t="n">
        <v>1</v>
      </c>
      <c r="N251" s="45" t="n">
        <f aca="false">ROUND(L251*M251,2)</f>
        <v>2.24</v>
      </c>
    </row>
    <row r="252" customFormat="false" ht="15" hidden="false" customHeight="true" outlineLevel="0" collapsed="false">
      <c r="A252" s="60" t="s">
        <v>142</v>
      </c>
      <c r="B252" s="61"/>
      <c r="C252" s="61"/>
      <c r="D252" s="61"/>
      <c r="E252" s="61"/>
      <c r="F252" s="62" t="n">
        <f aca="false">ROUND((SUM(F240:F251)-F251)*1.21+F251,2)</f>
        <v>119.32</v>
      </c>
      <c r="G252" s="61"/>
      <c r="H252" s="61"/>
      <c r="I252" s="61"/>
      <c r="J252" s="63" t="n">
        <f aca="false">ROUND((SUM(J240:J251)-J251)*1.21+J251,2)</f>
        <v>105.43</v>
      </c>
      <c r="K252" s="61"/>
      <c r="L252" s="61"/>
      <c r="M252" s="61"/>
      <c r="N252" s="64" t="n">
        <f aca="false">ROUND((SUM(N240:N251)-N251)*1.21+N251,2)</f>
        <v>89.81</v>
      </c>
    </row>
    <row r="253" customFormat="false" ht="15" hidden="false" customHeight="true" outlineLevel="0" collapsed="false">
      <c r="A253" s="65" t="s">
        <v>143</v>
      </c>
      <c r="B253" s="66" t="n">
        <f aca="false">(SUM(F240:F248)-51.1377)/SUM(F240:F248)</f>
        <v>0.335096866467299</v>
      </c>
      <c r="C253" s="66"/>
      <c r="D253" s="66"/>
      <c r="E253" s="66"/>
      <c r="F253" s="66"/>
      <c r="G253" s="67"/>
      <c r="H253" s="67"/>
      <c r="I253" s="67"/>
      <c r="J253" s="67"/>
      <c r="K253" s="67"/>
      <c r="L253" s="68" t="str">
        <f aca="false">IF(B253&gt;=0.3,"APROBAR",IF(B253&gt;=0.2,"REVISAR","RECHAZAR"))</f>
        <v>APROBAR</v>
      </c>
      <c r="M253" s="68"/>
      <c r="N253" s="68"/>
    </row>
    <row r="255" customFormat="false" ht="15" hidden="false" customHeight="true" outlineLevel="0" collapsed="false">
      <c r="A255" s="26" t="s">
        <v>264</v>
      </c>
      <c r="B255" s="26"/>
      <c r="C255" s="26"/>
      <c r="D255" s="26"/>
      <c r="E255" s="26"/>
      <c r="F255" s="26"/>
      <c r="G255" s="26"/>
      <c r="H255" s="26"/>
      <c r="I255" s="27" t="s">
        <v>265</v>
      </c>
      <c r="J255" s="27"/>
      <c r="K255" s="27"/>
      <c r="L255" s="27"/>
      <c r="M255" s="27"/>
      <c r="N255" s="27"/>
      <c r="R255" s="28" t="s">
        <v>110</v>
      </c>
      <c r="S255" s="28"/>
      <c r="T255" s="28"/>
      <c r="U255" s="28"/>
      <c r="V255" s="28"/>
    </row>
    <row r="256" customFormat="false" ht="15" hidden="false" customHeight="true" outlineLevel="0" collapsed="false">
      <c r="A256" s="29" t="s">
        <v>111</v>
      </c>
      <c r="B256" s="30" t="s">
        <v>112</v>
      </c>
      <c r="C256" s="30"/>
      <c r="D256" s="30"/>
      <c r="E256" s="30"/>
      <c r="F256" s="30"/>
      <c r="G256" s="31"/>
      <c r="H256" s="32" t="s">
        <v>266</v>
      </c>
      <c r="I256" s="32"/>
      <c r="J256" s="32"/>
      <c r="K256" s="31"/>
      <c r="L256" s="33" t="s">
        <v>267</v>
      </c>
      <c r="M256" s="33"/>
      <c r="N256" s="33"/>
      <c r="R256" s="34" t="s">
        <v>268</v>
      </c>
      <c r="S256" s="34"/>
      <c r="T256" s="34"/>
      <c r="U256" s="34"/>
      <c r="V256" s="34"/>
    </row>
    <row r="257" customFormat="false" ht="15" hidden="false" customHeight="true" outlineLevel="0" collapsed="false">
      <c r="A257" s="31"/>
      <c r="B257" s="35" t="s">
        <v>116</v>
      </c>
      <c r="C257" s="35" t="s">
        <v>117</v>
      </c>
      <c r="D257" s="35" t="s">
        <v>118</v>
      </c>
      <c r="E257" s="35" t="s">
        <v>119</v>
      </c>
      <c r="F257" s="35" t="s">
        <v>120</v>
      </c>
      <c r="G257" s="31"/>
      <c r="H257" s="36" t="s">
        <v>116</v>
      </c>
      <c r="I257" s="36" t="s">
        <v>119</v>
      </c>
      <c r="J257" s="36" t="s">
        <v>120</v>
      </c>
      <c r="K257" s="31"/>
      <c r="L257" s="37" t="s">
        <v>116</v>
      </c>
      <c r="M257" s="37" t="s">
        <v>119</v>
      </c>
      <c r="N257" s="37" t="s">
        <v>120</v>
      </c>
      <c r="R257" s="38" t="s">
        <v>269</v>
      </c>
      <c r="S257" s="38"/>
      <c r="T257" s="38"/>
      <c r="U257" s="38"/>
      <c r="V257" s="38"/>
    </row>
    <row r="258" customFormat="false" ht="15" hidden="false" customHeight="true" outlineLevel="0" collapsed="false">
      <c r="A258" s="20" t="s">
        <v>122</v>
      </c>
      <c r="B258" s="39" t="n">
        <v>22</v>
      </c>
      <c r="C258" s="40" t="n">
        <v>30</v>
      </c>
      <c r="D258" s="41" t="n">
        <v>1.77687</v>
      </c>
      <c r="E258" s="41" t="n">
        <v>2.5542</v>
      </c>
      <c r="F258" s="39" t="n">
        <f aca="false">ROUND(B258*E258,2)</f>
        <v>56.19</v>
      </c>
      <c r="G258" s="42"/>
      <c r="H258" s="43" t="n">
        <v>22</v>
      </c>
      <c r="I258" s="44" t="n">
        <v>2.5542</v>
      </c>
      <c r="J258" s="43" t="n">
        <f aca="false">ROUND(H258*I258,2)</f>
        <v>56.19</v>
      </c>
      <c r="K258" s="42"/>
      <c r="L258" s="45" t="n">
        <v>22</v>
      </c>
      <c r="M258" s="46" t="n">
        <v>2.5542</v>
      </c>
      <c r="N258" s="45" t="n">
        <f aca="false">ROUND(L258*M258,2)</f>
        <v>56.19</v>
      </c>
      <c r="R258" s="47" t="s">
        <v>270</v>
      </c>
      <c r="S258" s="47"/>
      <c r="T258" s="47"/>
      <c r="U258" s="47"/>
      <c r="V258" s="47"/>
    </row>
    <row r="259" customFormat="false" ht="15" hidden="false" customHeight="true" outlineLevel="0" collapsed="false">
      <c r="A259" s="20" t="s">
        <v>124</v>
      </c>
      <c r="B259" s="39" t="n">
        <v>25</v>
      </c>
      <c r="C259" s="40" t="n">
        <v>30</v>
      </c>
      <c r="D259" s="41" t="n">
        <v>1.09035</v>
      </c>
      <c r="E259" s="41" t="n">
        <v>1.3773</v>
      </c>
      <c r="F259" s="39" t="n">
        <f aca="false">ROUND(B259*E259,2)</f>
        <v>34.43</v>
      </c>
      <c r="G259" s="42"/>
      <c r="H259" s="43" t="n">
        <v>25</v>
      </c>
      <c r="I259" s="44" t="n">
        <v>1.3773</v>
      </c>
      <c r="J259" s="43" t="n">
        <f aca="false">ROUND(H259*I259,2)</f>
        <v>34.43</v>
      </c>
      <c r="K259" s="42"/>
      <c r="L259" s="45" t="n">
        <v>25</v>
      </c>
      <c r="M259" s="46" t="n">
        <v>1.3773</v>
      </c>
      <c r="N259" s="45" t="n">
        <f aca="false">ROUND(L259*M259,2)</f>
        <v>34.43</v>
      </c>
      <c r="R259" s="48" t="s">
        <v>271</v>
      </c>
      <c r="S259" s="48"/>
      <c r="T259" s="48"/>
      <c r="U259" s="48"/>
      <c r="V259" s="48"/>
    </row>
    <row r="260" customFormat="false" ht="15" hidden="false" customHeight="true" outlineLevel="0" collapsed="false">
      <c r="A260" s="20" t="s">
        <v>126</v>
      </c>
      <c r="B260" s="39" t="n">
        <v>25</v>
      </c>
      <c r="C260" s="40" t="n">
        <v>30</v>
      </c>
      <c r="D260" s="41" t="n">
        <v>0.50292</v>
      </c>
      <c r="E260" s="41" t="n">
        <v>0.6286</v>
      </c>
      <c r="F260" s="39" t="n">
        <f aca="false">ROUND(B260*E260,2)</f>
        <v>15.72</v>
      </c>
      <c r="G260" s="42"/>
      <c r="H260" s="43" t="n">
        <v>25</v>
      </c>
      <c r="I260" s="44" t="n">
        <v>0.6286</v>
      </c>
      <c r="J260" s="43" t="n">
        <f aca="false">ROUND(H260*I260,2)</f>
        <v>15.72</v>
      </c>
      <c r="K260" s="42"/>
      <c r="L260" s="45" t="n">
        <v>25</v>
      </c>
      <c r="M260" s="46" t="n">
        <v>0.6286</v>
      </c>
      <c r="N260" s="45" t="n">
        <f aca="false">ROUND(L260*M260,2)</f>
        <v>15.72</v>
      </c>
      <c r="R260" s="48" t="s">
        <v>272</v>
      </c>
      <c r="S260" s="48"/>
      <c r="T260" s="48"/>
      <c r="U260" s="48"/>
      <c r="V260" s="48"/>
    </row>
    <row r="261" customFormat="false" ht="15" hidden="false" customHeight="true" outlineLevel="0" collapsed="false">
      <c r="A261" s="20" t="s">
        <v>128</v>
      </c>
      <c r="B261" s="39" t="n">
        <v>25</v>
      </c>
      <c r="C261" s="40" t="n">
        <v>30</v>
      </c>
      <c r="D261" s="41" t="n">
        <v>0.41958</v>
      </c>
      <c r="E261" s="41" t="n">
        <v>0.5561</v>
      </c>
      <c r="F261" s="39" t="n">
        <f aca="false">ROUND(B261*E261,2)</f>
        <v>13.9</v>
      </c>
      <c r="G261" s="42"/>
      <c r="H261" s="43" t="n">
        <v>25</v>
      </c>
      <c r="I261" s="44" t="n">
        <v>0.5561</v>
      </c>
      <c r="J261" s="43" t="n">
        <f aca="false">ROUND(H261*I261,2)</f>
        <v>13.9</v>
      </c>
      <c r="K261" s="42"/>
      <c r="L261" s="45" t="n">
        <v>25</v>
      </c>
      <c r="M261" s="46" t="n">
        <v>0.5561</v>
      </c>
      <c r="N261" s="45" t="n">
        <f aca="false">ROUND(L261*M261,2)</f>
        <v>13.9</v>
      </c>
      <c r="R261" s="69" t="s">
        <v>162</v>
      </c>
      <c r="S261" s="69"/>
      <c r="T261" s="69"/>
      <c r="U261" s="69"/>
      <c r="V261" s="69"/>
    </row>
    <row r="262" customFormat="false" ht="15" hidden="false" customHeight="true" outlineLevel="0" collapsed="false">
      <c r="A262" s="20" t="s">
        <v>130</v>
      </c>
      <c r="B262" s="39" t="n">
        <v>25</v>
      </c>
      <c r="C262" s="40" t="n">
        <v>30</v>
      </c>
      <c r="D262" s="41" t="n">
        <v>0.33582</v>
      </c>
      <c r="E262" s="41" t="n">
        <v>0.3868</v>
      </c>
      <c r="F262" s="39" t="n">
        <f aca="false">ROUND(B262*E262,2)</f>
        <v>9.67</v>
      </c>
      <c r="G262" s="42"/>
      <c r="H262" s="43" t="n">
        <v>25</v>
      </c>
      <c r="I262" s="44" t="n">
        <v>0.3868</v>
      </c>
      <c r="J262" s="43" t="n">
        <f aca="false">ROUND(H262*I262,2)</f>
        <v>9.67</v>
      </c>
      <c r="K262" s="42"/>
      <c r="L262" s="45" t="n">
        <v>25</v>
      </c>
      <c r="M262" s="46" t="n">
        <v>0.3868</v>
      </c>
      <c r="N262" s="45" t="n">
        <f aca="false">ROUND(L262*M262,2)</f>
        <v>9.67</v>
      </c>
      <c r="R262" s="50" t="s">
        <v>131</v>
      </c>
      <c r="S262" s="50"/>
      <c r="T262" s="50"/>
      <c r="U262" s="50"/>
      <c r="V262" s="50"/>
    </row>
    <row r="263" customFormat="false" ht="15" hidden="false" customHeight="true" outlineLevel="0" collapsed="false">
      <c r="A263" s="20" t="s">
        <v>132</v>
      </c>
      <c r="B263" s="39" t="n">
        <v>25</v>
      </c>
      <c r="C263" s="40" t="n">
        <v>30</v>
      </c>
      <c r="D263" s="41" t="n">
        <v>0.24543</v>
      </c>
      <c r="E263" s="41" t="n">
        <v>0.2653</v>
      </c>
      <c r="F263" s="39" t="n">
        <f aca="false">ROUND(B263*E263,2)</f>
        <v>6.63</v>
      </c>
      <c r="G263" s="42"/>
      <c r="H263" s="43" t="n">
        <v>25</v>
      </c>
      <c r="I263" s="44" t="n">
        <v>0.2653</v>
      </c>
      <c r="J263" s="43" t="n">
        <f aca="false">ROUND(H263*I263,2)</f>
        <v>6.63</v>
      </c>
      <c r="K263" s="42"/>
      <c r="L263" s="45" t="n">
        <v>25</v>
      </c>
      <c r="M263" s="46" t="n">
        <v>0.2653</v>
      </c>
      <c r="N263" s="45" t="n">
        <f aca="false">ROUND(L263*M263,2)</f>
        <v>6.63</v>
      </c>
    </row>
    <row r="264" customFormat="false" ht="15" hidden="false" customHeight="true" outlineLevel="0" collapsed="false">
      <c r="A264" s="51" t="s">
        <v>133</v>
      </c>
      <c r="B264" s="52" t="n">
        <f aca="false">IF($P$264="",1093.799,ROUND(1093.799*((307.9651/(1-$P$264))-136.54)/258.03,2))</f>
        <v>1093.799</v>
      </c>
      <c r="C264" s="40"/>
      <c r="D264" s="53" t="n">
        <v>0.10995</v>
      </c>
      <c r="E264" s="41" t="n">
        <v>0.15</v>
      </c>
      <c r="F264" s="39" t="n">
        <f aca="false">ROUND(B264*E264,2)</f>
        <v>164.07</v>
      </c>
      <c r="G264" s="42"/>
      <c r="H264" s="54" t="n">
        <v>919.727</v>
      </c>
      <c r="I264" s="44" t="n">
        <v>0.15</v>
      </c>
      <c r="J264" s="43" t="n">
        <f aca="false">ROUND(H264*I264,2)</f>
        <v>137.96</v>
      </c>
      <c r="K264" s="42"/>
      <c r="L264" s="55" t="n">
        <v>1000.922</v>
      </c>
      <c r="M264" s="46" t="n">
        <v>0.16</v>
      </c>
      <c r="N264" s="45" t="n">
        <f aca="false">ROUND(L264*M264,2)</f>
        <v>160.15</v>
      </c>
      <c r="O264" s="56" t="s">
        <v>134</v>
      </c>
      <c r="P264" s="57"/>
    </row>
    <row r="265" customFormat="false" ht="15" hidden="false" customHeight="true" outlineLevel="0" collapsed="false">
      <c r="A265" s="51" t="s">
        <v>135</v>
      </c>
      <c r="B265" s="52" t="n">
        <f aca="false">IF($P$264="",517.466,ROUND(517.466*((307.9651/(1-$P$264))-136.54)/258.03,2))</f>
        <v>517.466</v>
      </c>
      <c r="C265" s="40"/>
      <c r="D265" s="53" t="n">
        <v>0.10995</v>
      </c>
      <c r="E265" s="41" t="n">
        <v>0.149</v>
      </c>
      <c r="F265" s="39" t="n">
        <f aca="false">ROUND(B265*E265,2)</f>
        <v>77.1</v>
      </c>
      <c r="G265" s="42"/>
      <c r="H265" s="54" t="n">
        <v>547.792</v>
      </c>
      <c r="I265" s="44" t="n">
        <v>0.149</v>
      </c>
      <c r="J265" s="43" t="n">
        <f aca="false">ROUND(H265*I265,2)</f>
        <v>81.62</v>
      </c>
      <c r="K265" s="42"/>
      <c r="L265" s="55" t="n">
        <v>741.434</v>
      </c>
      <c r="M265" s="46" t="n">
        <v>0.16</v>
      </c>
      <c r="N265" s="45" t="n">
        <f aca="false">ROUND(L265*M265,2)</f>
        <v>118.63</v>
      </c>
      <c r="O265" s="58" t="s">
        <v>136</v>
      </c>
    </row>
    <row r="266" customFormat="false" ht="15" hidden="false" customHeight="true" outlineLevel="0" collapsed="false">
      <c r="A266" s="51" t="s">
        <v>137</v>
      </c>
      <c r="B266" s="52" t="n">
        <f aca="false">IF($P$264="",122.177,ROUND(122.177*((307.9651/(1-$P$264))-136.54)/258.03,2))</f>
        <v>122.177</v>
      </c>
      <c r="C266" s="40"/>
      <c r="D266" s="53" t="n">
        <v>0.2199</v>
      </c>
      <c r="E266" s="41" t="n">
        <v>0.138</v>
      </c>
      <c r="F266" s="39" t="n">
        <f aca="false">ROUND(B266*E266,2)</f>
        <v>16.86</v>
      </c>
      <c r="G266" s="42"/>
      <c r="H266" s="54" t="n">
        <v>70.849</v>
      </c>
      <c r="I266" s="44" t="n">
        <v>0.138</v>
      </c>
      <c r="J266" s="43" t="n">
        <f aca="false">ROUND(H266*I266,2)</f>
        <v>9.78</v>
      </c>
      <c r="K266" s="42"/>
      <c r="L266" s="55" t="n">
        <v>165.189</v>
      </c>
      <c r="M266" s="46" t="n">
        <v>0.15</v>
      </c>
      <c r="N266" s="45" t="n">
        <f aca="false">ROUND(L266*M266,2)</f>
        <v>24.78</v>
      </c>
      <c r="O266" s="58" t="s">
        <v>138</v>
      </c>
    </row>
    <row r="267" customFormat="false" ht="15" hidden="false" customHeight="true" outlineLevel="0" collapsed="false">
      <c r="A267" s="20" t="s">
        <v>139</v>
      </c>
      <c r="B267" s="39" t="n">
        <v>1</v>
      </c>
      <c r="C267" s="59" t="n">
        <v>30</v>
      </c>
      <c r="D267" s="41" t="n">
        <v>17.615</v>
      </c>
      <c r="E267" s="41" t="n">
        <v>17.615</v>
      </c>
      <c r="F267" s="39" t="n">
        <f aca="false">ROUND(B267*E267,2)</f>
        <v>17.62</v>
      </c>
      <c r="G267" s="42"/>
      <c r="H267" s="43" t="n">
        <v>1</v>
      </c>
      <c r="I267" s="44" t="n">
        <v>17.615</v>
      </c>
      <c r="J267" s="43" t="n">
        <f aca="false">ROUND(H267*I267,2)</f>
        <v>17.62</v>
      </c>
      <c r="K267" s="42"/>
      <c r="L267" s="45" t="n">
        <v>1</v>
      </c>
      <c r="M267" s="46" t="n">
        <v>17.615</v>
      </c>
      <c r="N267" s="45" t="n">
        <f aca="false">ROUND(L267*M267,2)</f>
        <v>17.62</v>
      </c>
    </row>
    <row r="268" customFormat="false" ht="15" hidden="false" customHeight="true" outlineLevel="0" collapsed="false">
      <c r="A268" s="20" t="s">
        <v>140</v>
      </c>
      <c r="B268" s="39" t="n">
        <v>30</v>
      </c>
      <c r="C268" s="59" t="n">
        <v>30</v>
      </c>
      <c r="D268" s="41" t="n">
        <v>0.01912</v>
      </c>
      <c r="E268" s="41" t="n">
        <v>0.01912</v>
      </c>
      <c r="F268" s="39" t="n">
        <f aca="false">ROUND(B268*E268,2)</f>
        <v>0.57</v>
      </c>
      <c r="G268" s="42"/>
      <c r="H268" s="43" t="n">
        <v>30</v>
      </c>
      <c r="I268" s="44" t="n">
        <v>0.01912</v>
      </c>
      <c r="J268" s="43" t="n">
        <f aca="false">ROUND(H268*I268,2)</f>
        <v>0.57</v>
      </c>
      <c r="K268" s="42"/>
      <c r="L268" s="45" t="n">
        <v>30</v>
      </c>
      <c r="M268" s="46" t="n">
        <v>0.00629</v>
      </c>
      <c r="N268" s="45" t="n">
        <f aca="false">ROUND(L268*M268,2)</f>
        <v>0.19</v>
      </c>
    </row>
    <row r="269" customFormat="false" ht="15" hidden="false" customHeight="true" outlineLevel="0" collapsed="false">
      <c r="A269" s="20" t="s">
        <v>141</v>
      </c>
      <c r="B269" s="39" t="n">
        <v>23.53</v>
      </c>
      <c r="C269" s="40"/>
      <c r="D269" s="41" t="n">
        <v>1</v>
      </c>
      <c r="E269" s="41" t="n">
        <v>1</v>
      </c>
      <c r="F269" s="39" t="n">
        <f aca="false">ROUND(B269*E269,2)</f>
        <v>23.53</v>
      </c>
      <c r="G269" s="42"/>
      <c r="H269" s="43" t="n">
        <v>22.64</v>
      </c>
      <c r="I269" s="44" t="n">
        <v>1</v>
      </c>
      <c r="J269" s="43" t="n">
        <f aca="false">ROUND(H269*I269,2)</f>
        <v>22.64</v>
      </c>
      <c r="K269" s="42"/>
      <c r="L269" s="45" t="n">
        <v>25.82</v>
      </c>
      <c r="M269" s="46" t="n">
        <v>1</v>
      </c>
      <c r="N269" s="45" t="n">
        <f aca="false">ROUND(L269*M269,2)</f>
        <v>25.82</v>
      </c>
    </row>
    <row r="270" customFormat="false" ht="15" hidden="false" customHeight="true" outlineLevel="0" collapsed="false">
      <c r="A270" s="60" t="s">
        <v>142</v>
      </c>
      <c r="B270" s="61"/>
      <c r="C270" s="61"/>
      <c r="D270" s="61"/>
      <c r="E270" s="61"/>
      <c r="F270" s="62" t="n">
        <f aca="false">ROUND((SUM(F258:F269)-F269)*1.21+F269,2)</f>
        <v>522.97</v>
      </c>
      <c r="G270" s="61"/>
      <c r="H270" s="61"/>
      <c r="I270" s="61"/>
      <c r="J270" s="63" t="n">
        <f aca="false">ROUND((SUM(J258:J269)-J269)*1.21+J269,2)</f>
        <v>487.39</v>
      </c>
      <c r="K270" s="61"/>
      <c r="L270" s="61"/>
      <c r="M270" s="61"/>
      <c r="N270" s="64" t="n">
        <f aca="false">ROUND((SUM(N258:N269)-N269)*1.21+N269,2)</f>
        <v>579.89</v>
      </c>
    </row>
    <row r="271" customFormat="false" ht="15" hidden="false" customHeight="true" outlineLevel="0" collapsed="false">
      <c r="A271" s="65" t="s">
        <v>143</v>
      </c>
      <c r="B271" s="66" t="n">
        <f aca="false">(SUM(F258:F266)-307.9651)/SUM(F258:F266)</f>
        <v>0.219491851889399</v>
      </c>
      <c r="C271" s="66"/>
      <c r="D271" s="66"/>
      <c r="E271" s="66"/>
      <c r="F271" s="66"/>
      <c r="G271" s="67"/>
      <c r="H271" s="67"/>
      <c r="I271" s="67"/>
      <c r="J271" s="67"/>
      <c r="K271" s="67"/>
      <c r="L271" s="68" t="str">
        <f aca="false">IF(B271&gt;=0.3,"APROBAR",IF(B271&gt;=0.2,"REVISAR","RECHAZAR"))</f>
        <v>REVISAR</v>
      </c>
      <c r="M271" s="68"/>
      <c r="N271" s="68"/>
    </row>
    <row r="273" customFormat="false" ht="15" hidden="false" customHeight="true" outlineLevel="0" collapsed="false">
      <c r="A273" s="26" t="s">
        <v>273</v>
      </c>
      <c r="B273" s="26"/>
      <c r="C273" s="26"/>
      <c r="D273" s="26"/>
      <c r="E273" s="26"/>
      <c r="F273" s="26"/>
      <c r="G273" s="26"/>
      <c r="H273" s="26"/>
      <c r="I273" s="27" t="s">
        <v>211</v>
      </c>
      <c r="J273" s="27"/>
      <c r="K273" s="27"/>
      <c r="L273" s="27"/>
      <c r="M273" s="27"/>
      <c r="N273" s="27"/>
      <c r="R273" s="28" t="s">
        <v>110</v>
      </c>
      <c r="S273" s="28"/>
      <c r="T273" s="28"/>
      <c r="U273" s="28"/>
      <c r="V273" s="28"/>
    </row>
    <row r="274" customFormat="false" ht="15" hidden="false" customHeight="true" outlineLevel="0" collapsed="false">
      <c r="A274" s="29" t="s">
        <v>111</v>
      </c>
      <c r="B274" s="30" t="s">
        <v>112</v>
      </c>
      <c r="C274" s="30"/>
      <c r="D274" s="30"/>
      <c r="E274" s="30"/>
      <c r="F274" s="30"/>
      <c r="G274" s="31"/>
      <c r="H274" s="32" t="s">
        <v>212</v>
      </c>
      <c r="I274" s="32"/>
      <c r="J274" s="32"/>
      <c r="K274" s="31"/>
      <c r="L274" s="33" t="s">
        <v>213</v>
      </c>
      <c r="M274" s="33"/>
      <c r="N274" s="33"/>
      <c r="R274" s="34" t="s">
        <v>214</v>
      </c>
      <c r="S274" s="34"/>
      <c r="T274" s="34"/>
      <c r="U274" s="34"/>
      <c r="V274" s="34"/>
    </row>
    <row r="275" customFormat="false" ht="15" hidden="false" customHeight="true" outlineLevel="0" collapsed="false">
      <c r="A275" s="31"/>
      <c r="B275" s="35" t="s">
        <v>116</v>
      </c>
      <c r="C275" s="35" t="s">
        <v>117</v>
      </c>
      <c r="D275" s="35" t="s">
        <v>118</v>
      </c>
      <c r="E275" s="35" t="s">
        <v>119</v>
      </c>
      <c r="F275" s="35" t="s">
        <v>120</v>
      </c>
      <c r="G275" s="31"/>
      <c r="H275" s="36" t="s">
        <v>116</v>
      </c>
      <c r="I275" s="36" t="s">
        <v>119</v>
      </c>
      <c r="J275" s="36" t="s">
        <v>120</v>
      </c>
      <c r="K275" s="31"/>
      <c r="L275" s="37" t="s">
        <v>116</v>
      </c>
      <c r="M275" s="37" t="s">
        <v>119</v>
      </c>
      <c r="N275" s="37" t="s">
        <v>120</v>
      </c>
      <c r="R275" s="38" t="s">
        <v>215</v>
      </c>
      <c r="S275" s="38"/>
      <c r="T275" s="38"/>
      <c r="U275" s="38"/>
      <c r="V275" s="38"/>
    </row>
    <row r="276" customFormat="false" ht="15" hidden="false" customHeight="true" outlineLevel="0" collapsed="false">
      <c r="A276" s="20" t="s">
        <v>122</v>
      </c>
      <c r="B276" s="39" t="n">
        <v>2</v>
      </c>
      <c r="C276" s="40" t="n">
        <v>30</v>
      </c>
      <c r="D276" s="41" t="n">
        <v>1.73784</v>
      </c>
      <c r="E276" s="41" t="n">
        <v>2.5542</v>
      </c>
      <c r="F276" s="39" t="n">
        <f aca="false">ROUND(B276*E276,2)</f>
        <v>5.11</v>
      </c>
      <c r="G276" s="42"/>
      <c r="H276" s="43" t="n">
        <v>2</v>
      </c>
      <c r="I276" s="44" t="n">
        <v>2.5542</v>
      </c>
      <c r="J276" s="43" t="n">
        <f aca="false">ROUND(H276*I276,2)</f>
        <v>5.11</v>
      </c>
      <c r="K276" s="42"/>
      <c r="L276" s="45" t="n">
        <v>2</v>
      </c>
      <c r="M276" s="46" t="n">
        <v>2.5542</v>
      </c>
      <c r="N276" s="45" t="n">
        <f aca="false">ROUND(L276*M276,2)</f>
        <v>5.11</v>
      </c>
      <c r="R276" s="47" t="s">
        <v>216</v>
      </c>
      <c r="S276" s="47"/>
      <c r="T276" s="47"/>
      <c r="U276" s="47"/>
      <c r="V276" s="47"/>
    </row>
    <row r="277" customFormat="false" ht="15" hidden="false" customHeight="true" outlineLevel="0" collapsed="false">
      <c r="A277" s="20" t="s">
        <v>124</v>
      </c>
      <c r="B277" s="39" t="n">
        <v>2</v>
      </c>
      <c r="C277" s="40" t="n">
        <v>30</v>
      </c>
      <c r="D277" s="41" t="n">
        <v>0.9357</v>
      </c>
      <c r="E277" s="41" t="n">
        <v>1.3773</v>
      </c>
      <c r="F277" s="39" t="n">
        <f aca="false">ROUND(B277*E277,2)</f>
        <v>2.75</v>
      </c>
      <c r="G277" s="42"/>
      <c r="H277" s="43" t="n">
        <v>2</v>
      </c>
      <c r="I277" s="44" t="n">
        <v>1.3773</v>
      </c>
      <c r="J277" s="43" t="n">
        <f aca="false">ROUND(H277*I277,2)</f>
        <v>2.75</v>
      </c>
      <c r="K277" s="42"/>
      <c r="L277" s="45" t="n">
        <v>2</v>
      </c>
      <c r="M277" s="46" t="n">
        <v>1.3773</v>
      </c>
      <c r="N277" s="45" t="n">
        <f aca="false">ROUND(L277*M277,2)</f>
        <v>2.75</v>
      </c>
      <c r="R277" s="48" t="s">
        <v>217</v>
      </c>
      <c r="S277" s="48"/>
      <c r="T277" s="48"/>
      <c r="U277" s="48"/>
      <c r="V277" s="48"/>
    </row>
    <row r="278" customFormat="false" ht="15" hidden="false" customHeight="true" outlineLevel="0" collapsed="false">
      <c r="A278" s="20" t="s">
        <v>126</v>
      </c>
      <c r="B278" s="39" t="n">
        <v>2</v>
      </c>
      <c r="C278" s="40" t="n">
        <v>30</v>
      </c>
      <c r="D278" s="41" t="n">
        <v>0.43137</v>
      </c>
      <c r="E278" s="41" t="n">
        <v>0.6286</v>
      </c>
      <c r="F278" s="39" t="n">
        <f aca="false">ROUND(B278*E278,2)</f>
        <v>1.26</v>
      </c>
      <c r="G278" s="42"/>
      <c r="H278" s="43" t="n">
        <v>2</v>
      </c>
      <c r="I278" s="44" t="n">
        <v>0.6286</v>
      </c>
      <c r="J278" s="43" t="n">
        <f aca="false">ROUND(H278*I278,2)</f>
        <v>1.26</v>
      </c>
      <c r="K278" s="42"/>
      <c r="L278" s="45" t="n">
        <v>2</v>
      </c>
      <c r="M278" s="46" t="n">
        <v>0.6286</v>
      </c>
      <c r="N278" s="45" t="n">
        <f aca="false">ROUND(L278*M278,2)</f>
        <v>1.26</v>
      </c>
      <c r="R278" s="48" t="s">
        <v>218</v>
      </c>
      <c r="S278" s="48"/>
      <c r="T278" s="48"/>
      <c r="U278" s="48"/>
      <c r="V278" s="48"/>
    </row>
    <row r="279" customFormat="false" ht="15" hidden="false" customHeight="true" outlineLevel="0" collapsed="false">
      <c r="A279" s="20" t="s">
        <v>128</v>
      </c>
      <c r="B279" s="39" t="n">
        <v>2</v>
      </c>
      <c r="C279" s="40" t="n">
        <v>30</v>
      </c>
      <c r="D279" s="41" t="n">
        <v>0.38244</v>
      </c>
      <c r="E279" s="41" t="n">
        <v>0.5561</v>
      </c>
      <c r="F279" s="39" t="n">
        <f aca="false">ROUND(B279*E279,2)</f>
        <v>1.11</v>
      </c>
      <c r="G279" s="42"/>
      <c r="H279" s="43" t="n">
        <v>2</v>
      </c>
      <c r="I279" s="44" t="n">
        <v>0.5561</v>
      </c>
      <c r="J279" s="43" t="n">
        <f aca="false">ROUND(H279*I279,2)</f>
        <v>1.11</v>
      </c>
      <c r="K279" s="42"/>
      <c r="L279" s="45" t="n">
        <v>2</v>
      </c>
      <c r="M279" s="46" t="n">
        <v>0.5561</v>
      </c>
      <c r="N279" s="45" t="n">
        <f aca="false">ROUND(L279*M279,2)</f>
        <v>1.11</v>
      </c>
      <c r="R279" s="69" t="s">
        <v>162</v>
      </c>
      <c r="S279" s="69"/>
      <c r="T279" s="69"/>
      <c r="U279" s="69"/>
      <c r="V279" s="69"/>
    </row>
    <row r="280" customFormat="false" ht="15" hidden="false" customHeight="true" outlineLevel="0" collapsed="false">
      <c r="A280" s="20" t="s">
        <v>130</v>
      </c>
      <c r="B280" s="39" t="n">
        <v>2</v>
      </c>
      <c r="C280" s="40" t="n">
        <v>30</v>
      </c>
      <c r="D280" s="41" t="n">
        <v>0.26964</v>
      </c>
      <c r="E280" s="41" t="n">
        <v>0.3868</v>
      </c>
      <c r="F280" s="39" t="n">
        <f aca="false">ROUND(B280*E280,2)</f>
        <v>0.77</v>
      </c>
      <c r="G280" s="42"/>
      <c r="H280" s="43" t="n">
        <v>2</v>
      </c>
      <c r="I280" s="44" t="n">
        <v>0.3868</v>
      </c>
      <c r="J280" s="43" t="n">
        <f aca="false">ROUND(H280*I280,2)</f>
        <v>0.77</v>
      </c>
      <c r="K280" s="42"/>
      <c r="L280" s="45" t="n">
        <v>2</v>
      </c>
      <c r="M280" s="46" t="n">
        <v>0.3868</v>
      </c>
      <c r="N280" s="45" t="n">
        <f aca="false">ROUND(L280*M280,2)</f>
        <v>0.77</v>
      </c>
      <c r="R280" s="50" t="s">
        <v>131</v>
      </c>
      <c r="S280" s="50"/>
      <c r="T280" s="50"/>
      <c r="U280" s="50"/>
      <c r="V280" s="50"/>
    </row>
    <row r="281" customFormat="false" ht="15" hidden="false" customHeight="true" outlineLevel="0" collapsed="false">
      <c r="A281" s="20" t="s">
        <v>132</v>
      </c>
      <c r="B281" s="39" t="n">
        <v>15.01</v>
      </c>
      <c r="C281" s="40" t="n">
        <v>30</v>
      </c>
      <c r="D281" s="41" t="n">
        <v>0.18156</v>
      </c>
      <c r="E281" s="41" t="n">
        <v>0.2653</v>
      </c>
      <c r="F281" s="39" t="n">
        <f aca="false">ROUND(B281*E281,2)</f>
        <v>3.98</v>
      </c>
      <c r="G281" s="42"/>
      <c r="H281" s="43" t="n">
        <v>15.01</v>
      </c>
      <c r="I281" s="44" t="n">
        <v>0.2653</v>
      </c>
      <c r="J281" s="43" t="n">
        <f aca="false">ROUND(H281*I281,2)</f>
        <v>3.98</v>
      </c>
      <c r="K281" s="42"/>
      <c r="L281" s="45" t="n">
        <v>15.01</v>
      </c>
      <c r="M281" s="46" t="n">
        <v>0.2653</v>
      </c>
      <c r="N281" s="45" t="n">
        <f aca="false">ROUND(L281*M281,2)</f>
        <v>3.98</v>
      </c>
    </row>
    <row r="282" customFormat="false" ht="15" hidden="false" customHeight="true" outlineLevel="0" collapsed="false">
      <c r="A282" s="51" t="s">
        <v>133</v>
      </c>
      <c r="B282" s="52" t="n">
        <f aca="false">IF($P$282="",29.98,ROUND(29.98*((28.2654/(1-$P$282))-14.98)/25.88,2))</f>
        <v>29.98</v>
      </c>
      <c r="C282" s="40"/>
      <c r="D282" s="53" t="n">
        <v>0.128336</v>
      </c>
      <c r="E282" s="41" t="n">
        <v>0.173</v>
      </c>
      <c r="F282" s="39" t="n">
        <f aca="false">ROUND(B282*E282,2)</f>
        <v>5.19</v>
      </c>
      <c r="G282" s="42"/>
      <c r="H282" s="54" t="n">
        <v>70.044</v>
      </c>
      <c r="I282" s="44" t="n">
        <v>0.18804</v>
      </c>
      <c r="J282" s="43" t="n">
        <f aca="false">ROUND(H282*I282,2)</f>
        <v>13.17</v>
      </c>
      <c r="K282" s="42"/>
      <c r="L282" s="55" t="n">
        <v>4.716</v>
      </c>
      <c r="M282" s="46" t="n">
        <v>0.173</v>
      </c>
      <c r="N282" s="45" t="n">
        <f aca="false">ROUND(L282*M282,2)</f>
        <v>0.82</v>
      </c>
      <c r="O282" s="56" t="s">
        <v>134</v>
      </c>
      <c r="P282" s="57"/>
    </row>
    <row r="283" customFormat="false" ht="15" hidden="false" customHeight="true" outlineLevel="0" collapsed="false">
      <c r="A283" s="51" t="s">
        <v>135</v>
      </c>
      <c r="B283" s="52" t="n">
        <f aca="false">IF($P$282="",14.188,ROUND(14.188*((28.2654/(1-$P$282))-14.98)/25.88,2))</f>
        <v>14.188</v>
      </c>
      <c r="C283" s="40"/>
      <c r="D283" s="53" t="n">
        <v>0.121544</v>
      </c>
      <c r="E283" s="41" t="n">
        <v>0.1707</v>
      </c>
      <c r="F283" s="39" t="n">
        <f aca="false">ROUND(B283*E283,2)</f>
        <v>2.42</v>
      </c>
      <c r="G283" s="42"/>
      <c r="H283" s="54" t="n">
        <v>52.462</v>
      </c>
      <c r="I283" s="44" t="n">
        <v>0.17506</v>
      </c>
      <c r="J283" s="43" t="n">
        <f aca="false">ROUND(H283*I283,2)</f>
        <v>9.18</v>
      </c>
      <c r="K283" s="42"/>
      <c r="L283" s="55" t="n">
        <v>2.67</v>
      </c>
      <c r="M283" s="46" t="n">
        <v>0.1707</v>
      </c>
      <c r="N283" s="45" t="n">
        <f aca="false">ROUND(L283*M283,2)</f>
        <v>0.46</v>
      </c>
      <c r="O283" s="58" t="s">
        <v>136</v>
      </c>
    </row>
    <row r="284" customFormat="false" ht="15" hidden="false" customHeight="true" outlineLevel="0" collapsed="false">
      <c r="A284" s="51" t="s">
        <v>137</v>
      </c>
      <c r="B284" s="52" t="n">
        <f aca="false">IF($P$282="",109.481,ROUND(109.481*((28.2654/(1-$P$282))-14.98)/25.88,2))</f>
        <v>109.481</v>
      </c>
      <c r="C284" s="40"/>
      <c r="D284" s="53" t="n">
        <v>0.113808</v>
      </c>
      <c r="E284" s="41" t="n">
        <v>0.1669</v>
      </c>
      <c r="F284" s="39" t="n">
        <f aca="false">ROUND(B284*E284,2)</f>
        <v>18.27</v>
      </c>
      <c r="G284" s="42"/>
      <c r="H284" s="54" t="n">
        <v>168.163</v>
      </c>
      <c r="I284" s="44" t="n">
        <v>0.1669</v>
      </c>
      <c r="J284" s="43" t="n">
        <f aca="false">ROUND(H284*I284,2)</f>
        <v>28.07</v>
      </c>
      <c r="K284" s="42"/>
      <c r="L284" s="55" t="n">
        <v>21.758</v>
      </c>
      <c r="M284" s="46" t="n">
        <v>0.1669</v>
      </c>
      <c r="N284" s="45" t="n">
        <f aca="false">ROUND(L284*M284,2)</f>
        <v>3.63</v>
      </c>
      <c r="O284" s="58" t="s">
        <v>138</v>
      </c>
    </row>
    <row r="285" customFormat="false" ht="15" hidden="false" customHeight="true" outlineLevel="0" collapsed="false">
      <c r="A285" s="20" t="s">
        <v>139</v>
      </c>
      <c r="B285" s="39" t="n">
        <v>1</v>
      </c>
      <c r="C285" s="59" t="n">
        <v>30</v>
      </c>
      <c r="D285" s="41" t="n">
        <v>17.615</v>
      </c>
      <c r="E285" s="41" t="n">
        <v>17.615</v>
      </c>
      <c r="F285" s="39" t="n">
        <f aca="false">ROUND(B285*E285,2)</f>
        <v>17.62</v>
      </c>
      <c r="G285" s="42"/>
      <c r="H285" s="43" t="n">
        <v>1</v>
      </c>
      <c r="I285" s="44" t="n">
        <v>17.615</v>
      </c>
      <c r="J285" s="43" t="n">
        <f aca="false">ROUND(H285*I285,2)</f>
        <v>17.62</v>
      </c>
      <c r="K285" s="42"/>
      <c r="L285" s="45" t="n">
        <v>1</v>
      </c>
      <c r="M285" s="46" t="n">
        <v>17.615</v>
      </c>
      <c r="N285" s="45" t="n">
        <f aca="false">ROUND(L285*M285,2)</f>
        <v>17.62</v>
      </c>
    </row>
    <row r="286" customFormat="false" ht="15" hidden="false" customHeight="true" outlineLevel="0" collapsed="false">
      <c r="A286" s="20" t="s">
        <v>140</v>
      </c>
      <c r="B286" s="39" t="n">
        <v>30</v>
      </c>
      <c r="C286" s="59" t="n">
        <v>30</v>
      </c>
      <c r="D286" s="41" t="n">
        <v>0.01274</v>
      </c>
      <c r="E286" s="41" t="n">
        <v>0.01274</v>
      </c>
      <c r="F286" s="39" t="n">
        <f aca="false">ROUND(B286*E286,2)</f>
        <v>0.38</v>
      </c>
      <c r="G286" s="42"/>
      <c r="H286" s="43" t="n">
        <v>30</v>
      </c>
      <c r="I286" s="44" t="n">
        <v>0.01274</v>
      </c>
      <c r="J286" s="43" t="n">
        <f aca="false">ROUND(H286*I286,2)</f>
        <v>0.38</v>
      </c>
      <c r="K286" s="42"/>
      <c r="L286" s="45" t="n">
        <v>30</v>
      </c>
      <c r="M286" s="46" t="n">
        <v>0.00629</v>
      </c>
      <c r="N286" s="45" t="n">
        <f aca="false">ROUND(L286*M286,2)</f>
        <v>0.19</v>
      </c>
    </row>
    <row r="287" customFormat="false" ht="15" hidden="false" customHeight="true" outlineLevel="0" collapsed="false">
      <c r="A287" s="20" t="s">
        <v>141</v>
      </c>
      <c r="B287" s="39" t="n">
        <v>0.78</v>
      </c>
      <c r="C287" s="40"/>
      <c r="D287" s="41" t="n">
        <v>1</v>
      </c>
      <c r="E287" s="41" t="n">
        <v>1</v>
      </c>
      <c r="F287" s="39" t="n">
        <f aca="false">ROUND(B287*E287,2)</f>
        <v>0.78</v>
      </c>
      <c r="G287" s="42"/>
      <c r="H287" s="43" t="n">
        <v>2.53</v>
      </c>
      <c r="I287" s="44" t="n">
        <v>1</v>
      </c>
      <c r="J287" s="43" t="n">
        <f aca="false">ROUND(H287*I287,2)</f>
        <v>2.53</v>
      </c>
      <c r="K287" s="42"/>
      <c r="L287" s="45" t="n">
        <v>0.78</v>
      </c>
      <c r="M287" s="46" t="n">
        <v>1</v>
      </c>
      <c r="N287" s="45" t="n">
        <f aca="false">ROUND(L287*M287,2)</f>
        <v>0.78</v>
      </c>
    </row>
    <row r="288" customFormat="false" ht="15" hidden="false" customHeight="true" outlineLevel="0" collapsed="false">
      <c r="A288" s="60" t="s">
        <v>142</v>
      </c>
      <c r="B288" s="61"/>
      <c r="C288" s="61"/>
      <c r="D288" s="61"/>
      <c r="E288" s="61"/>
      <c r="F288" s="62" t="n">
        <f aca="false">ROUND((SUM(F276:F287)-F287)*1.21+F287,2)</f>
        <v>72</v>
      </c>
      <c r="G288" s="61"/>
      <c r="H288" s="61"/>
      <c r="I288" s="61"/>
      <c r="J288" s="63" t="n">
        <f aca="false">ROUND((SUM(J276:J287)-J287)*1.21+J287,2)</f>
        <v>103.44</v>
      </c>
      <c r="K288" s="61"/>
      <c r="L288" s="61"/>
      <c r="M288" s="61"/>
      <c r="N288" s="64" t="n">
        <f aca="false">ROUND((SUM(N276:N287)-N287)*1.21+N287,2)</f>
        <v>46.4</v>
      </c>
    </row>
    <row r="289" customFormat="false" ht="15" hidden="false" customHeight="true" outlineLevel="0" collapsed="false">
      <c r="A289" s="65" t="s">
        <v>143</v>
      </c>
      <c r="B289" s="66" t="n">
        <f aca="false">(SUM(F276:F284)-28.2654)/SUM(F276:F284)</f>
        <v>0.308237885462555</v>
      </c>
      <c r="C289" s="66"/>
      <c r="D289" s="66"/>
      <c r="E289" s="66"/>
      <c r="F289" s="66"/>
      <c r="G289" s="67"/>
      <c r="H289" s="67"/>
      <c r="I289" s="67"/>
      <c r="J289" s="67"/>
      <c r="K289" s="67"/>
      <c r="L289" s="68" t="str">
        <f aca="false">IF(B289&gt;=0.3,"APROBAR",IF(B289&gt;=0.2,"REVISAR","RECHAZAR"))</f>
        <v>APROBAR</v>
      </c>
      <c r="M289" s="68"/>
      <c r="N289" s="68"/>
    </row>
    <row r="291" customFormat="false" ht="15" hidden="false" customHeight="true" outlineLevel="0" collapsed="false">
      <c r="A291" s="26" t="s">
        <v>274</v>
      </c>
      <c r="B291" s="26"/>
      <c r="C291" s="26"/>
      <c r="D291" s="26"/>
      <c r="E291" s="26"/>
      <c r="F291" s="26"/>
      <c r="G291" s="26"/>
      <c r="H291" s="26"/>
      <c r="I291" s="27" t="s">
        <v>275</v>
      </c>
      <c r="J291" s="27"/>
      <c r="K291" s="27"/>
      <c r="L291" s="27"/>
      <c r="M291" s="27"/>
      <c r="N291" s="27"/>
      <c r="R291" s="28" t="s">
        <v>110</v>
      </c>
      <c r="S291" s="28"/>
      <c r="T291" s="28"/>
      <c r="U291" s="28"/>
      <c r="V291" s="28"/>
    </row>
    <row r="292" customFormat="false" ht="15" hidden="false" customHeight="true" outlineLevel="0" collapsed="false">
      <c r="A292" s="29" t="s">
        <v>111</v>
      </c>
      <c r="B292" s="30" t="s">
        <v>112</v>
      </c>
      <c r="C292" s="30"/>
      <c r="D292" s="30"/>
      <c r="E292" s="30"/>
      <c r="F292" s="30"/>
      <c r="G292" s="31"/>
      <c r="H292" s="32" t="s">
        <v>276</v>
      </c>
      <c r="I292" s="32"/>
      <c r="J292" s="32"/>
      <c r="K292" s="31"/>
      <c r="L292" s="33" t="s">
        <v>277</v>
      </c>
      <c r="M292" s="33"/>
      <c r="N292" s="33"/>
      <c r="R292" s="34" t="s">
        <v>278</v>
      </c>
      <c r="S292" s="34"/>
      <c r="T292" s="34"/>
      <c r="U292" s="34"/>
      <c r="V292" s="34"/>
    </row>
    <row r="293" customFormat="false" ht="15" hidden="false" customHeight="true" outlineLevel="0" collapsed="false">
      <c r="A293" s="31"/>
      <c r="B293" s="35" t="s">
        <v>116</v>
      </c>
      <c r="C293" s="35" t="s">
        <v>117</v>
      </c>
      <c r="D293" s="35" t="s">
        <v>118</v>
      </c>
      <c r="E293" s="35" t="s">
        <v>119</v>
      </c>
      <c r="F293" s="35" t="s">
        <v>120</v>
      </c>
      <c r="G293" s="31"/>
      <c r="H293" s="36" t="s">
        <v>116</v>
      </c>
      <c r="I293" s="36" t="s">
        <v>119</v>
      </c>
      <c r="J293" s="36" t="s">
        <v>120</v>
      </c>
      <c r="K293" s="31"/>
      <c r="L293" s="37" t="s">
        <v>116</v>
      </c>
      <c r="M293" s="37" t="s">
        <v>119</v>
      </c>
      <c r="N293" s="37" t="s">
        <v>120</v>
      </c>
      <c r="R293" s="38" t="s">
        <v>279</v>
      </c>
      <c r="S293" s="38"/>
      <c r="T293" s="38"/>
      <c r="U293" s="38"/>
      <c r="V293" s="38"/>
    </row>
    <row r="294" customFormat="false" ht="15" hidden="false" customHeight="true" outlineLevel="0" collapsed="false">
      <c r="A294" s="20" t="s">
        <v>122</v>
      </c>
      <c r="B294" s="39" t="n">
        <v>15.1</v>
      </c>
      <c r="C294" s="40" t="n">
        <v>30</v>
      </c>
      <c r="D294" s="41" t="n">
        <v>1.73784</v>
      </c>
      <c r="E294" s="41" t="n">
        <v>2.5542</v>
      </c>
      <c r="F294" s="39" t="n">
        <f aca="false">ROUND(B294*E294,2)</f>
        <v>38.57</v>
      </c>
      <c r="G294" s="42"/>
      <c r="H294" s="43" t="n">
        <v>15.1</v>
      </c>
      <c r="I294" s="44" t="n">
        <v>2.5542</v>
      </c>
      <c r="J294" s="43" t="n">
        <f aca="false">ROUND(H294*I294,2)</f>
        <v>38.57</v>
      </c>
      <c r="K294" s="42"/>
      <c r="L294" s="45" t="n">
        <v>15.1</v>
      </c>
      <c r="M294" s="46" t="n">
        <v>2.5542</v>
      </c>
      <c r="N294" s="45" t="n">
        <f aca="false">ROUND(L294*M294,2)</f>
        <v>38.57</v>
      </c>
      <c r="R294" s="47" t="s">
        <v>280</v>
      </c>
      <c r="S294" s="47"/>
      <c r="T294" s="47"/>
      <c r="U294" s="47"/>
      <c r="V294" s="47"/>
    </row>
    <row r="295" customFormat="false" ht="15" hidden="false" customHeight="true" outlineLevel="0" collapsed="false">
      <c r="A295" s="20" t="s">
        <v>124</v>
      </c>
      <c r="B295" s="39" t="n">
        <v>15.1</v>
      </c>
      <c r="C295" s="40" t="n">
        <v>30</v>
      </c>
      <c r="D295" s="41" t="n">
        <v>0.9357</v>
      </c>
      <c r="E295" s="41" t="n">
        <v>1.37733</v>
      </c>
      <c r="F295" s="39" t="n">
        <f aca="false">ROUND(B295*E295,2)</f>
        <v>20.8</v>
      </c>
      <c r="G295" s="42"/>
      <c r="H295" s="43" t="n">
        <v>15.1</v>
      </c>
      <c r="I295" s="44" t="n">
        <v>1.37733</v>
      </c>
      <c r="J295" s="43" t="n">
        <f aca="false">ROUND(H295*I295,2)</f>
        <v>20.8</v>
      </c>
      <c r="K295" s="42"/>
      <c r="L295" s="45" t="n">
        <v>15.1</v>
      </c>
      <c r="M295" s="46" t="n">
        <v>1.37733</v>
      </c>
      <c r="N295" s="45" t="n">
        <f aca="false">ROUND(L295*M295,2)</f>
        <v>20.8</v>
      </c>
      <c r="R295" s="48" t="s">
        <v>281</v>
      </c>
      <c r="S295" s="48"/>
      <c r="T295" s="48"/>
      <c r="U295" s="48"/>
      <c r="V295" s="48"/>
    </row>
    <row r="296" customFormat="false" ht="15" hidden="false" customHeight="true" outlineLevel="0" collapsed="false">
      <c r="A296" s="20" t="s">
        <v>126</v>
      </c>
      <c r="B296" s="39" t="n">
        <v>15.1</v>
      </c>
      <c r="C296" s="40" t="n">
        <v>30</v>
      </c>
      <c r="D296" s="41" t="n">
        <v>0.43137</v>
      </c>
      <c r="E296" s="41" t="n">
        <v>0.62868</v>
      </c>
      <c r="F296" s="39" t="n">
        <f aca="false">ROUND(B296*E296,2)</f>
        <v>9.49</v>
      </c>
      <c r="G296" s="42"/>
      <c r="H296" s="43" t="n">
        <v>15.1</v>
      </c>
      <c r="I296" s="44" t="n">
        <v>0.62868</v>
      </c>
      <c r="J296" s="43" t="n">
        <f aca="false">ROUND(H296*I296,2)</f>
        <v>9.49</v>
      </c>
      <c r="K296" s="42"/>
      <c r="L296" s="45" t="n">
        <v>15.1</v>
      </c>
      <c r="M296" s="46" t="n">
        <v>0.62868</v>
      </c>
      <c r="N296" s="45" t="n">
        <f aca="false">ROUND(L296*M296,2)</f>
        <v>9.49</v>
      </c>
      <c r="R296" s="48" t="s">
        <v>282</v>
      </c>
      <c r="S296" s="48"/>
      <c r="T296" s="48"/>
      <c r="U296" s="48"/>
      <c r="V296" s="48"/>
    </row>
    <row r="297" customFormat="false" ht="15" hidden="false" customHeight="true" outlineLevel="0" collapsed="false">
      <c r="A297" s="20" t="s">
        <v>128</v>
      </c>
      <c r="B297" s="39" t="n">
        <v>15.1</v>
      </c>
      <c r="C297" s="40" t="n">
        <v>30</v>
      </c>
      <c r="D297" s="41" t="n">
        <v>0.38244</v>
      </c>
      <c r="E297" s="41" t="n">
        <v>0.5561</v>
      </c>
      <c r="F297" s="39" t="n">
        <f aca="false">ROUND(B297*E297,2)</f>
        <v>8.4</v>
      </c>
      <c r="G297" s="42"/>
      <c r="H297" s="43" t="n">
        <v>15.1</v>
      </c>
      <c r="I297" s="44" t="n">
        <v>0.5561</v>
      </c>
      <c r="J297" s="43" t="n">
        <f aca="false">ROUND(H297*I297,2)</f>
        <v>8.4</v>
      </c>
      <c r="K297" s="42"/>
      <c r="L297" s="45" t="n">
        <v>15.1</v>
      </c>
      <c r="M297" s="46" t="n">
        <v>0.5561</v>
      </c>
      <c r="N297" s="45" t="n">
        <f aca="false">ROUND(L297*M297,2)</f>
        <v>8.4</v>
      </c>
      <c r="R297" s="69" t="s">
        <v>162</v>
      </c>
      <c r="S297" s="69"/>
      <c r="T297" s="69"/>
      <c r="U297" s="69"/>
      <c r="V297" s="69"/>
    </row>
    <row r="298" customFormat="false" ht="15" hidden="false" customHeight="true" outlineLevel="0" collapsed="false">
      <c r="A298" s="20" t="s">
        <v>130</v>
      </c>
      <c r="B298" s="39" t="n">
        <v>15.1</v>
      </c>
      <c r="C298" s="40" t="n">
        <v>30</v>
      </c>
      <c r="D298" s="41" t="n">
        <v>0.26964</v>
      </c>
      <c r="E298" s="41" t="n">
        <v>0.3868</v>
      </c>
      <c r="F298" s="39" t="n">
        <f aca="false">ROUND(B298*E298,2)</f>
        <v>5.84</v>
      </c>
      <c r="G298" s="42"/>
      <c r="H298" s="43" t="n">
        <v>15.1</v>
      </c>
      <c r="I298" s="44" t="n">
        <v>0.3868</v>
      </c>
      <c r="J298" s="43" t="n">
        <f aca="false">ROUND(H298*I298,2)</f>
        <v>5.84</v>
      </c>
      <c r="K298" s="42"/>
      <c r="L298" s="45" t="n">
        <v>15.1</v>
      </c>
      <c r="M298" s="46" t="n">
        <v>0.3868</v>
      </c>
      <c r="N298" s="45" t="n">
        <f aca="false">ROUND(L298*M298,2)</f>
        <v>5.84</v>
      </c>
      <c r="R298" s="50" t="s">
        <v>131</v>
      </c>
      <c r="S298" s="50"/>
      <c r="T298" s="50"/>
      <c r="U298" s="50"/>
      <c r="V298" s="50"/>
    </row>
    <row r="299" customFormat="false" ht="15" hidden="false" customHeight="true" outlineLevel="0" collapsed="false">
      <c r="A299" s="20" t="s">
        <v>132</v>
      </c>
      <c r="B299" s="39" t="n">
        <v>15.1</v>
      </c>
      <c r="C299" s="40" t="n">
        <v>30</v>
      </c>
      <c r="D299" s="41" t="n">
        <v>0.18156</v>
      </c>
      <c r="E299" s="41" t="n">
        <v>0.2653</v>
      </c>
      <c r="F299" s="39" t="n">
        <f aca="false">ROUND(B299*E299,2)</f>
        <v>4.01</v>
      </c>
      <c r="G299" s="42"/>
      <c r="H299" s="43" t="n">
        <v>15.1</v>
      </c>
      <c r="I299" s="44" t="n">
        <v>0.2653</v>
      </c>
      <c r="J299" s="43" t="n">
        <f aca="false">ROUND(H299*I299,2)</f>
        <v>4.01</v>
      </c>
      <c r="K299" s="42"/>
      <c r="L299" s="45" t="n">
        <v>15.1</v>
      </c>
      <c r="M299" s="46" t="n">
        <v>0.2653</v>
      </c>
      <c r="N299" s="45" t="n">
        <f aca="false">ROUND(L299*M299,2)</f>
        <v>4.01</v>
      </c>
    </row>
    <row r="300" customFormat="false" ht="15" hidden="false" customHeight="true" outlineLevel="0" collapsed="false">
      <c r="A300" s="51" t="s">
        <v>133</v>
      </c>
      <c r="B300" s="52" t="n">
        <f aca="false">IF($P$300="",276.865,ROUND(276.865*((134.8015/(1-$P$300))-87.11)/89.34,2))</f>
        <v>276.865</v>
      </c>
      <c r="C300" s="40"/>
      <c r="D300" s="53" t="n">
        <v>0.123193</v>
      </c>
      <c r="E300" s="41" t="n">
        <v>0.139</v>
      </c>
      <c r="F300" s="39" t="n">
        <f aca="false">ROUND(B300*E300,2)</f>
        <v>38.48</v>
      </c>
      <c r="G300" s="42"/>
      <c r="H300" s="54" t="n">
        <v>302.591</v>
      </c>
      <c r="I300" s="44" t="n">
        <v>0.2037</v>
      </c>
      <c r="J300" s="43" t="n">
        <f aca="false">ROUND(H300*I300,2)</f>
        <v>61.64</v>
      </c>
      <c r="K300" s="42"/>
      <c r="L300" s="55" t="n">
        <v>297.343</v>
      </c>
      <c r="M300" s="46" t="n">
        <v>0.1829</v>
      </c>
      <c r="N300" s="45" t="n">
        <f aca="false">ROUND(L300*M300,2)</f>
        <v>54.38</v>
      </c>
      <c r="O300" s="56" t="s">
        <v>134</v>
      </c>
      <c r="P300" s="57"/>
    </row>
    <row r="301" customFormat="false" ht="15" hidden="false" customHeight="true" outlineLevel="0" collapsed="false">
      <c r="A301" s="51" t="s">
        <v>135</v>
      </c>
      <c r="B301" s="52" t="n">
        <f aca="false">IF($P$300="",194.477,ROUND(194.477*((134.8015/(1-$P$300))-87.11)/89.34,2))</f>
        <v>194.477</v>
      </c>
      <c r="C301" s="40"/>
      <c r="D301" s="53" t="n">
        <v>0.116431</v>
      </c>
      <c r="E301" s="41" t="n">
        <v>0.139</v>
      </c>
      <c r="F301" s="39" t="n">
        <f aca="false">ROUND(B301*E301,2)</f>
        <v>27.03</v>
      </c>
      <c r="G301" s="42"/>
      <c r="H301" s="54" t="n">
        <v>233.412</v>
      </c>
      <c r="I301" s="44" t="n">
        <v>0.1885</v>
      </c>
      <c r="J301" s="43" t="n">
        <f aca="false">ROUND(H301*I301,2)</f>
        <v>44</v>
      </c>
      <c r="K301" s="42"/>
      <c r="L301" s="55" t="n">
        <v>266.092</v>
      </c>
      <c r="M301" s="46" t="n">
        <v>0.1615</v>
      </c>
      <c r="N301" s="45" t="n">
        <f aca="false">ROUND(L301*M301,2)</f>
        <v>42.97</v>
      </c>
      <c r="O301" s="58" t="s">
        <v>136</v>
      </c>
    </row>
    <row r="302" customFormat="false" ht="15" hidden="false" customHeight="true" outlineLevel="0" collapsed="false">
      <c r="A302" s="51" t="s">
        <v>137</v>
      </c>
      <c r="B302" s="52" t="n">
        <f aca="false">IF($P$300="",171.442,ROUND(171.442*((134.8015/(1-$P$300))-87.11)/89.34,2))</f>
        <v>171.442</v>
      </c>
      <c r="C302" s="40"/>
      <c r="D302" s="53" t="n">
        <v>0.108338</v>
      </c>
      <c r="E302" s="41" t="n">
        <v>0.139</v>
      </c>
      <c r="F302" s="39" t="n">
        <f aca="false">ROUND(B302*E302,2)</f>
        <v>23.83</v>
      </c>
      <c r="G302" s="42"/>
      <c r="H302" s="54" t="n">
        <v>163.174</v>
      </c>
      <c r="I302" s="44" t="n">
        <v>0.156</v>
      </c>
      <c r="J302" s="43" t="n">
        <f aca="false">ROUND(H302*I302,2)</f>
        <v>25.46</v>
      </c>
      <c r="K302" s="42"/>
      <c r="L302" s="55" t="n">
        <v>168.558</v>
      </c>
      <c r="M302" s="46" t="n">
        <v>0.156</v>
      </c>
      <c r="N302" s="45" t="n">
        <f aca="false">ROUND(L302*M302,2)</f>
        <v>26.3</v>
      </c>
      <c r="O302" s="58" t="s">
        <v>138</v>
      </c>
    </row>
    <row r="303" customFormat="false" ht="15" hidden="false" customHeight="true" outlineLevel="0" collapsed="false">
      <c r="A303" s="20" t="s">
        <v>139</v>
      </c>
      <c r="B303" s="39" t="n">
        <v>1</v>
      </c>
      <c r="C303" s="59" t="n">
        <v>30</v>
      </c>
      <c r="D303" s="41" t="n">
        <v>17.615</v>
      </c>
      <c r="E303" s="41" t="n">
        <v>17.615</v>
      </c>
      <c r="F303" s="39" t="n">
        <f aca="false">ROUND(B303*E303,2)</f>
        <v>17.62</v>
      </c>
      <c r="G303" s="42"/>
      <c r="H303" s="43" t="n">
        <v>1</v>
      </c>
      <c r="I303" s="44" t="n">
        <v>17.615</v>
      </c>
      <c r="J303" s="43" t="n">
        <f aca="false">ROUND(H303*I303,2)</f>
        <v>17.62</v>
      </c>
      <c r="K303" s="42"/>
      <c r="L303" s="45" t="n">
        <v>1</v>
      </c>
      <c r="M303" s="46" t="n">
        <v>17.615</v>
      </c>
      <c r="N303" s="45" t="n">
        <f aca="false">ROUND(L303*M303,2)</f>
        <v>17.62</v>
      </c>
    </row>
    <row r="304" customFormat="false" ht="15" hidden="false" customHeight="true" outlineLevel="0" collapsed="false">
      <c r="A304" s="20" t="s">
        <v>140</v>
      </c>
      <c r="B304" s="39" t="n">
        <v>30</v>
      </c>
      <c r="C304" s="59" t="n">
        <v>30</v>
      </c>
      <c r="D304" s="41" t="n">
        <v>0.01274</v>
      </c>
      <c r="E304" s="41" t="n">
        <v>0.01274</v>
      </c>
      <c r="F304" s="39" t="n">
        <f aca="false">ROUND(B304*E304,2)</f>
        <v>0.38</v>
      </c>
      <c r="G304" s="42"/>
      <c r="H304" s="43" t="n">
        <v>30</v>
      </c>
      <c r="I304" s="44" t="n">
        <v>0.01274</v>
      </c>
      <c r="J304" s="43" t="n">
        <f aca="false">ROUND(H304*I304,2)</f>
        <v>0.38</v>
      </c>
      <c r="K304" s="42"/>
      <c r="L304" s="45" t="n">
        <v>30</v>
      </c>
      <c r="M304" s="46" t="n">
        <v>0.00629</v>
      </c>
      <c r="N304" s="45" t="n">
        <f aca="false">ROUND(L304*M304,2)</f>
        <v>0.19</v>
      </c>
    </row>
    <row r="305" customFormat="false" ht="15" hidden="false" customHeight="true" outlineLevel="0" collapsed="false">
      <c r="A305" s="20" t="s">
        <v>141</v>
      </c>
      <c r="B305" s="39" t="n">
        <v>11.23</v>
      </c>
      <c r="C305" s="40"/>
      <c r="D305" s="41" t="n">
        <v>1</v>
      </c>
      <c r="E305" s="41" t="n">
        <v>1</v>
      </c>
      <c r="F305" s="39" t="n">
        <f aca="false">ROUND(B305*E305,2)</f>
        <v>11.23</v>
      </c>
      <c r="G305" s="42"/>
      <c r="H305" s="43" t="n">
        <v>11.43</v>
      </c>
      <c r="I305" s="44" t="n">
        <v>1</v>
      </c>
      <c r="J305" s="43" t="n">
        <f aca="false">ROUND(H305*I305,2)</f>
        <v>11.43</v>
      </c>
      <c r="K305" s="42"/>
      <c r="L305" s="45" t="n">
        <v>11.66</v>
      </c>
      <c r="M305" s="46" t="n">
        <v>1</v>
      </c>
      <c r="N305" s="45" t="n">
        <f aca="false">ROUND(L305*M305,2)</f>
        <v>11.66</v>
      </c>
    </row>
    <row r="306" customFormat="false" ht="15" hidden="false" customHeight="true" outlineLevel="0" collapsed="false">
      <c r="A306" s="60" t="s">
        <v>142</v>
      </c>
      <c r="B306" s="61"/>
      <c r="C306" s="61"/>
      <c r="D306" s="61"/>
      <c r="E306" s="61"/>
      <c r="F306" s="62" t="n">
        <f aca="false">ROUND((SUM(F294:F305)-F305)*1.21+F305,2)</f>
        <v>246.51</v>
      </c>
      <c r="G306" s="61"/>
      <c r="H306" s="61"/>
      <c r="I306" s="61"/>
      <c r="J306" s="63" t="n">
        <f aca="false">ROUND((SUM(J294:J305)-J305)*1.21+J305,2)</f>
        <v>297.24</v>
      </c>
      <c r="K306" s="61"/>
      <c r="L306" s="61"/>
      <c r="M306" s="61"/>
      <c r="N306" s="64" t="n">
        <f aca="false">ROUND((SUM(N294:N305)-N305)*1.21+N305,2)</f>
        <v>288.23</v>
      </c>
    </row>
    <row r="307" customFormat="false" ht="15" hidden="false" customHeight="true" outlineLevel="0" collapsed="false">
      <c r="A307" s="65" t="s">
        <v>143</v>
      </c>
      <c r="B307" s="66" t="n">
        <f aca="false">(SUM(F294:F302)-134.8015)/SUM(F294:F302)</f>
        <v>0.236035704165486</v>
      </c>
      <c r="C307" s="66"/>
      <c r="D307" s="66"/>
      <c r="E307" s="66"/>
      <c r="F307" s="66"/>
      <c r="G307" s="67"/>
      <c r="H307" s="67"/>
      <c r="I307" s="67"/>
      <c r="J307" s="67"/>
      <c r="K307" s="67"/>
      <c r="L307" s="68" t="str">
        <f aca="false">IF(B307&gt;=0.3,"APROBAR",IF(B307&gt;=0.2,"REVISAR","RECHAZAR"))</f>
        <v>REVISAR</v>
      </c>
      <c r="M307" s="68"/>
      <c r="N307" s="68"/>
    </row>
    <row r="309" customFormat="false" ht="15" hidden="false" customHeight="true" outlineLevel="0" collapsed="false">
      <c r="A309" s="26" t="s">
        <v>283</v>
      </c>
      <c r="B309" s="26"/>
      <c r="C309" s="26"/>
      <c r="D309" s="26"/>
      <c r="E309" s="26"/>
      <c r="F309" s="26"/>
      <c r="G309" s="26"/>
      <c r="H309" s="26"/>
      <c r="I309" s="27" t="s">
        <v>284</v>
      </c>
      <c r="J309" s="27"/>
      <c r="K309" s="27"/>
      <c r="L309" s="27"/>
      <c r="M309" s="27"/>
      <c r="N309" s="27"/>
      <c r="R309" s="28" t="s">
        <v>110</v>
      </c>
      <c r="S309" s="28"/>
      <c r="T309" s="28"/>
      <c r="U309" s="28"/>
      <c r="V309" s="28"/>
    </row>
    <row r="310" customFormat="false" ht="15" hidden="false" customHeight="true" outlineLevel="0" collapsed="false">
      <c r="A310" s="29" t="s">
        <v>111</v>
      </c>
      <c r="B310" s="30" t="s">
        <v>112</v>
      </c>
      <c r="C310" s="30"/>
      <c r="D310" s="30"/>
      <c r="E310" s="30"/>
      <c r="F310" s="30"/>
      <c r="G310" s="31"/>
      <c r="H310" s="32" t="s">
        <v>285</v>
      </c>
      <c r="I310" s="32"/>
      <c r="J310" s="32"/>
      <c r="K310" s="31"/>
      <c r="L310" s="33" t="s">
        <v>156</v>
      </c>
      <c r="M310" s="33"/>
      <c r="N310" s="33"/>
      <c r="R310" s="34" t="s">
        <v>286</v>
      </c>
      <c r="S310" s="34"/>
      <c r="T310" s="34"/>
      <c r="U310" s="34"/>
      <c r="V310" s="34"/>
    </row>
    <row r="311" customFormat="false" ht="15" hidden="false" customHeight="true" outlineLevel="0" collapsed="false">
      <c r="A311" s="31"/>
      <c r="B311" s="35" t="s">
        <v>116</v>
      </c>
      <c r="C311" s="35" t="s">
        <v>117</v>
      </c>
      <c r="D311" s="35" t="s">
        <v>118</v>
      </c>
      <c r="E311" s="35" t="s">
        <v>119</v>
      </c>
      <c r="F311" s="35" t="s">
        <v>120</v>
      </c>
      <c r="G311" s="31"/>
      <c r="H311" s="36" t="s">
        <v>116</v>
      </c>
      <c r="I311" s="36" t="s">
        <v>119</v>
      </c>
      <c r="J311" s="36" t="s">
        <v>120</v>
      </c>
      <c r="K311" s="31"/>
      <c r="L311" s="37" t="s">
        <v>116</v>
      </c>
      <c r="M311" s="37" t="s">
        <v>119</v>
      </c>
      <c r="N311" s="37" t="s">
        <v>120</v>
      </c>
      <c r="R311" s="38" t="s">
        <v>287</v>
      </c>
      <c r="S311" s="38"/>
      <c r="T311" s="38"/>
      <c r="U311" s="38"/>
      <c r="V311" s="38"/>
    </row>
    <row r="312" customFormat="false" ht="15" hidden="false" customHeight="true" outlineLevel="0" collapsed="false">
      <c r="A312" s="20" t="s">
        <v>122</v>
      </c>
      <c r="B312" s="39" t="n">
        <v>17.32</v>
      </c>
      <c r="C312" s="40" t="n">
        <v>30</v>
      </c>
      <c r="D312" s="41" t="n">
        <v>1.52838</v>
      </c>
      <c r="E312" s="41" t="n">
        <v>2.5542</v>
      </c>
      <c r="F312" s="39" t="n">
        <f aca="false">ROUND(B312*E312,2)</f>
        <v>44.24</v>
      </c>
      <c r="G312" s="42"/>
      <c r="H312" s="43" t="n">
        <v>17.32</v>
      </c>
      <c r="I312" s="44" t="n">
        <v>2.5542</v>
      </c>
      <c r="J312" s="43" t="n">
        <f aca="false">ROUND(H312*I312,2)</f>
        <v>44.24</v>
      </c>
      <c r="K312" s="42"/>
      <c r="L312" s="45"/>
      <c r="M312" s="46"/>
      <c r="N312" s="45"/>
      <c r="R312" s="47" t="s">
        <v>288</v>
      </c>
      <c r="S312" s="47"/>
      <c r="T312" s="47"/>
      <c r="U312" s="47"/>
      <c r="V312" s="47"/>
    </row>
    <row r="313" customFormat="false" ht="15" hidden="false" customHeight="true" outlineLevel="0" collapsed="false">
      <c r="A313" s="20" t="s">
        <v>124</v>
      </c>
      <c r="B313" s="39" t="n">
        <v>17.32</v>
      </c>
      <c r="C313" s="40" t="n">
        <v>30</v>
      </c>
      <c r="D313" s="41" t="n">
        <v>1.01328</v>
      </c>
      <c r="E313" s="41" t="n">
        <v>1.3773</v>
      </c>
      <c r="F313" s="39" t="n">
        <f aca="false">ROUND(B313*E313,2)</f>
        <v>23.85</v>
      </c>
      <c r="G313" s="42"/>
      <c r="H313" s="43" t="n">
        <v>17.32</v>
      </c>
      <c r="I313" s="44" t="n">
        <v>1.3773</v>
      </c>
      <c r="J313" s="43" t="n">
        <f aca="false">ROUND(H313*I313,2)</f>
        <v>23.85</v>
      </c>
      <c r="K313" s="42"/>
      <c r="L313" s="45"/>
      <c r="M313" s="46"/>
      <c r="N313" s="45"/>
      <c r="R313" s="48" t="s">
        <v>289</v>
      </c>
      <c r="S313" s="48"/>
      <c r="T313" s="48"/>
      <c r="U313" s="48"/>
      <c r="V313" s="48"/>
    </row>
    <row r="314" customFormat="false" ht="15" hidden="false" customHeight="true" outlineLevel="0" collapsed="false">
      <c r="A314" s="20" t="s">
        <v>126</v>
      </c>
      <c r="B314" s="39" t="n">
        <v>17.32</v>
      </c>
      <c r="C314" s="40" t="n">
        <v>30</v>
      </c>
      <c r="D314" s="41" t="n">
        <v>0.71964</v>
      </c>
      <c r="E314" s="41" t="n">
        <v>0.6286</v>
      </c>
      <c r="F314" s="39" t="n">
        <f aca="false">ROUND(B314*E314,2)</f>
        <v>10.89</v>
      </c>
      <c r="G314" s="42"/>
      <c r="H314" s="43" t="n">
        <v>17.32</v>
      </c>
      <c r="I314" s="44" t="n">
        <v>0.6286</v>
      </c>
      <c r="J314" s="43" t="n">
        <f aca="false">ROUND(H314*I314,2)</f>
        <v>10.89</v>
      </c>
      <c r="K314" s="42"/>
      <c r="L314" s="45"/>
      <c r="M314" s="46"/>
      <c r="N314" s="45"/>
      <c r="R314" s="48" t="s">
        <v>290</v>
      </c>
      <c r="S314" s="48"/>
      <c r="T314" s="48"/>
      <c r="U314" s="48"/>
      <c r="V314" s="48"/>
    </row>
    <row r="315" customFormat="false" ht="15" hidden="false" customHeight="true" outlineLevel="0" collapsed="false">
      <c r="A315" s="20" t="s">
        <v>128</v>
      </c>
      <c r="B315" s="39" t="n">
        <v>17.32</v>
      </c>
      <c r="C315" s="40" t="n">
        <v>30</v>
      </c>
      <c r="D315" s="41" t="n">
        <v>0.50346</v>
      </c>
      <c r="E315" s="41" t="n">
        <v>0.5561</v>
      </c>
      <c r="F315" s="39" t="n">
        <f aca="false">ROUND(B315*E315,2)</f>
        <v>9.63</v>
      </c>
      <c r="G315" s="42"/>
      <c r="H315" s="43" t="n">
        <v>17.32</v>
      </c>
      <c r="I315" s="44" t="n">
        <v>0.5561</v>
      </c>
      <c r="J315" s="43" t="n">
        <f aca="false">ROUND(H315*I315,2)</f>
        <v>9.63</v>
      </c>
      <c r="K315" s="42"/>
      <c r="L315" s="45"/>
      <c r="M315" s="46"/>
      <c r="N315" s="45"/>
      <c r="R315" s="69" t="s">
        <v>162</v>
      </c>
      <c r="S315" s="69"/>
      <c r="T315" s="69"/>
      <c r="U315" s="69"/>
      <c r="V315" s="69"/>
    </row>
    <row r="316" customFormat="false" ht="15" hidden="false" customHeight="true" outlineLevel="0" collapsed="false">
      <c r="A316" s="20" t="s">
        <v>130</v>
      </c>
      <c r="B316" s="39" t="n">
        <v>17.32</v>
      </c>
      <c r="C316" s="40" t="n">
        <v>30</v>
      </c>
      <c r="D316" s="41" t="n">
        <v>0.31041</v>
      </c>
      <c r="E316" s="41" t="n">
        <v>0.3868</v>
      </c>
      <c r="F316" s="39" t="n">
        <f aca="false">ROUND(B316*E316,2)</f>
        <v>6.7</v>
      </c>
      <c r="G316" s="42"/>
      <c r="H316" s="43" t="n">
        <v>17.32</v>
      </c>
      <c r="I316" s="44" t="n">
        <v>0.3868</v>
      </c>
      <c r="J316" s="43" t="n">
        <f aca="false">ROUND(H316*I316,2)</f>
        <v>6.7</v>
      </c>
      <c r="K316" s="42"/>
      <c r="L316" s="45"/>
      <c r="M316" s="46"/>
      <c r="N316" s="45"/>
      <c r="R316" s="50" t="s">
        <v>131</v>
      </c>
      <c r="S316" s="50"/>
      <c r="T316" s="50"/>
      <c r="U316" s="50"/>
      <c r="V316" s="50"/>
    </row>
    <row r="317" customFormat="false" ht="15" hidden="false" customHeight="true" outlineLevel="0" collapsed="false">
      <c r="A317" s="20" t="s">
        <v>132</v>
      </c>
      <c r="B317" s="39" t="n">
        <v>17.32</v>
      </c>
      <c r="C317" s="40" t="n">
        <v>30</v>
      </c>
      <c r="D317" s="41" t="n">
        <v>0.2511</v>
      </c>
      <c r="E317" s="41" t="n">
        <v>0.2653</v>
      </c>
      <c r="F317" s="39" t="n">
        <f aca="false">ROUND(B317*E317,2)</f>
        <v>4.59</v>
      </c>
      <c r="G317" s="42"/>
      <c r="H317" s="43" t="n">
        <v>17.32</v>
      </c>
      <c r="I317" s="44" t="n">
        <v>0.2653</v>
      </c>
      <c r="J317" s="43" t="n">
        <f aca="false">ROUND(H317*I317,2)</f>
        <v>4.59</v>
      </c>
      <c r="K317" s="42"/>
      <c r="L317" s="45"/>
      <c r="M317" s="46"/>
      <c r="N317" s="45"/>
    </row>
    <row r="318" customFormat="false" ht="15" hidden="false" customHeight="true" outlineLevel="0" collapsed="false">
      <c r="A318" s="51" t="s">
        <v>133</v>
      </c>
      <c r="B318" s="52" t="n">
        <f aca="false">IF($P$318="",74.431,ROUND(74.431*((125.53/(1-$P$318))-99.9)/67.88,2))</f>
        <v>74.431</v>
      </c>
      <c r="C318" s="40"/>
      <c r="D318" s="53" t="n">
        <v>0.130429</v>
      </c>
      <c r="E318" s="41" t="n">
        <v>0.175</v>
      </c>
      <c r="F318" s="39" t="n">
        <f aca="false">ROUND(B318*E318,2)</f>
        <v>13.03</v>
      </c>
      <c r="G318" s="42"/>
      <c r="H318" s="54" t="n">
        <v>132.918</v>
      </c>
      <c r="I318" s="44" t="n">
        <v>0.175</v>
      </c>
      <c r="J318" s="43" t="n">
        <f aca="false">ROUND(H318*I318,2)</f>
        <v>23.26</v>
      </c>
      <c r="K318" s="42"/>
      <c r="L318" s="55"/>
      <c r="M318" s="46"/>
      <c r="N318" s="45"/>
      <c r="O318" s="56" t="s">
        <v>134</v>
      </c>
      <c r="P318" s="57"/>
    </row>
    <row r="319" customFormat="false" ht="15" hidden="false" customHeight="true" outlineLevel="0" collapsed="false">
      <c r="A319" s="51" t="s">
        <v>135</v>
      </c>
      <c r="B319" s="52" t="n">
        <f aca="false">IF($P$318="",47.079,ROUND(47.079*((125.53/(1-$P$318))-99.9)/67.88,2))</f>
        <v>47.079</v>
      </c>
      <c r="C319" s="40"/>
      <c r="D319" s="53" t="n">
        <v>0.130429</v>
      </c>
      <c r="E319" s="41" t="n">
        <v>0.175</v>
      </c>
      <c r="F319" s="39" t="n">
        <f aca="false">ROUND(B319*E319,2)</f>
        <v>8.24</v>
      </c>
      <c r="G319" s="42"/>
      <c r="H319" s="54" t="n">
        <v>85.324</v>
      </c>
      <c r="I319" s="44" t="n">
        <v>0.175</v>
      </c>
      <c r="J319" s="43" t="n">
        <f aca="false">ROUND(H319*I319,2)</f>
        <v>14.93</v>
      </c>
      <c r="K319" s="42"/>
      <c r="L319" s="55"/>
      <c r="M319" s="46"/>
      <c r="N319" s="45"/>
      <c r="O319" s="58" t="s">
        <v>136</v>
      </c>
    </row>
    <row r="320" customFormat="false" ht="15" hidden="false" customHeight="true" outlineLevel="0" collapsed="false">
      <c r="A320" s="51" t="s">
        <v>137</v>
      </c>
      <c r="B320" s="52" t="n">
        <f aca="false">IF($P$318="",266.322,ROUND(266.322*((125.53/(1-$P$318))-99.9)/67.88,2))</f>
        <v>266.322</v>
      </c>
      <c r="C320" s="40"/>
      <c r="D320" s="53" t="n">
        <v>0.130504</v>
      </c>
      <c r="E320" s="41" t="n">
        <v>0.175</v>
      </c>
      <c r="F320" s="39" t="n">
        <f aca="false">ROUND(B320*E320,2)</f>
        <v>46.61</v>
      </c>
      <c r="G320" s="42"/>
      <c r="H320" s="54" t="n">
        <v>342.529</v>
      </c>
      <c r="I320" s="44" t="n">
        <v>0.175</v>
      </c>
      <c r="J320" s="43" t="n">
        <f aca="false">ROUND(H320*I320,2)</f>
        <v>59.94</v>
      </c>
      <c r="K320" s="42"/>
      <c r="L320" s="55"/>
      <c r="M320" s="46"/>
      <c r="N320" s="45"/>
      <c r="O320" s="58" t="s">
        <v>138</v>
      </c>
    </row>
    <row r="321" customFormat="false" ht="15" hidden="false" customHeight="true" outlineLevel="0" collapsed="false">
      <c r="A321" s="20" t="s">
        <v>139</v>
      </c>
      <c r="B321" s="39" t="n">
        <v>1</v>
      </c>
      <c r="C321" s="59" t="n">
        <v>30</v>
      </c>
      <c r="D321" s="41" t="n">
        <v>6</v>
      </c>
      <c r="E321" s="41" t="n">
        <v>6</v>
      </c>
      <c r="F321" s="39" t="n">
        <f aca="false">ROUND(B321*E321,2)</f>
        <v>6</v>
      </c>
      <c r="G321" s="42"/>
      <c r="H321" s="43" t="n">
        <v>1</v>
      </c>
      <c r="I321" s="44" t="n">
        <v>6</v>
      </c>
      <c r="J321" s="43" t="n">
        <f aca="false">ROUND(H321*I321,2)</f>
        <v>6</v>
      </c>
      <c r="K321" s="42"/>
      <c r="L321" s="45"/>
      <c r="M321" s="46"/>
      <c r="N321" s="45"/>
    </row>
    <row r="322" customFormat="false" ht="15" hidden="false" customHeight="true" outlineLevel="0" collapsed="false">
      <c r="A322" s="20" t="s">
        <v>140</v>
      </c>
      <c r="B322" s="39" t="n">
        <v>30</v>
      </c>
      <c r="C322" s="59" t="n">
        <v>30</v>
      </c>
      <c r="D322" s="41" t="n">
        <v>0.01724</v>
      </c>
      <c r="E322" s="41" t="n">
        <v>0.01724</v>
      </c>
      <c r="F322" s="39" t="n">
        <f aca="false">ROUND(B322*E322,2)</f>
        <v>0.52</v>
      </c>
      <c r="G322" s="42"/>
      <c r="H322" s="43" t="n">
        <v>30</v>
      </c>
      <c r="I322" s="44" t="n">
        <v>0.01724</v>
      </c>
      <c r="J322" s="43" t="n">
        <f aca="false">ROUND(H322*I322,2)</f>
        <v>0.52</v>
      </c>
      <c r="K322" s="42"/>
      <c r="L322" s="45"/>
      <c r="M322" s="46"/>
      <c r="N322" s="45"/>
    </row>
    <row r="323" customFormat="false" ht="15" hidden="false" customHeight="true" outlineLevel="0" collapsed="false">
      <c r="A323" s="20" t="s">
        <v>141</v>
      </c>
      <c r="B323" s="39" t="n">
        <v>8.58</v>
      </c>
      <c r="C323" s="40"/>
      <c r="D323" s="41" t="n">
        <v>1</v>
      </c>
      <c r="E323" s="41" t="n">
        <v>1</v>
      </c>
      <c r="F323" s="39" t="n">
        <f aca="false">ROUND(B323*E323,2)</f>
        <v>8.58</v>
      </c>
      <c r="G323" s="42"/>
      <c r="H323" s="43" t="n">
        <v>10.13</v>
      </c>
      <c r="I323" s="44" t="n">
        <v>1</v>
      </c>
      <c r="J323" s="43" t="n">
        <f aca="false">ROUND(H323*I323,2)</f>
        <v>10.13</v>
      </c>
      <c r="K323" s="42"/>
      <c r="L323" s="45"/>
      <c r="M323" s="46"/>
      <c r="N323" s="45"/>
    </row>
    <row r="324" customFormat="false" ht="15" hidden="false" customHeight="true" outlineLevel="0" collapsed="false">
      <c r="A324" s="60" t="s">
        <v>142</v>
      </c>
      <c r="B324" s="61"/>
      <c r="C324" s="61"/>
      <c r="D324" s="61"/>
      <c r="E324" s="61"/>
      <c r="F324" s="62" t="n">
        <f aca="false">ROUND((SUM(F312:F323)-F323)*1.21+F323,2)</f>
        <v>219.48</v>
      </c>
      <c r="G324" s="61"/>
      <c r="H324" s="61"/>
      <c r="I324" s="61"/>
      <c r="J324" s="63" t="n">
        <f aca="false">ROUND((SUM(J312:J323)-J323)*1.21+J323,2)</f>
        <v>257.64</v>
      </c>
      <c r="K324" s="61"/>
      <c r="L324" s="61"/>
      <c r="M324" s="61"/>
      <c r="N324" s="61"/>
    </row>
    <row r="325" customFormat="false" ht="15" hidden="false" customHeight="true" outlineLevel="0" collapsed="false">
      <c r="A325" s="65" t="s">
        <v>143</v>
      </c>
      <c r="B325" s="66" t="n">
        <f aca="false">(SUM(F312:F320)-125.53)/SUM(F312:F320)</f>
        <v>0.25181785671713</v>
      </c>
      <c r="C325" s="66"/>
      <c r="D325" s="66"/>
      <c r="E325" s="66"/>
      <c r="F325" s="66"/>
      <c r="G325" s="67"/>
      <c r="H325" s="67"/>
      <c r="I325" s="67"/>
      <c r="J325" s="67"/>
      <c r="K325" s="67"/>
      <c r="L325" s="68" t="str">
        <f aca="false">IF(B325&gt;=0.3,"APROBAR",IF(B325&gt;=0.2,"REVISAR","RECHAZAR"))</f>
        <v>REVISAR</v>
      </c>
      <c r="M325" s="68"/>
      <c r="N325" s="68"/>
    </row>
    <row r="327" customFormat="false" ht="15" hidden="false" customHeight="true" outlineLevel="0" collapsed="false">
      <c r="A327" s="26" t="s">
        <v>291</v>
      </c>
      <c r="B327" s="26"/>
      <c r="C327" s="26"/>
      <c r="D327" s="26"/>
      <c r="E327" s="26"/>
      <c r="F327" s="26"/>
      <c r="G327" s="26"/>
      <c r="H327" s="26"/>
      <c r="I327" s="27" t="s">
        <v>292</v>
      </c>
      <c r="J327" s="27"/>
      <c r="K327" s="27"/>
      <c r="L327" s="27"/>
      <c r="M327" s="27"/>
      <c r="N327" s="27"/>
      <c r="R327" s="28" t="s">
        <v>110</v>
      </c>
      <c r="S327" s="28"/>
      <c r="T327" s="28"/>
      <c r="U327" s="28"/>
      <c r="V327" s="28"/>
    </row>
    <row r="328" customFormat="false" ht="15" hidden="false" customHeight="true" outlineLevel="0" collapsed="false">
      <c r="A328" s="29" t="s">
        <v>111</v>
      </c>
      <c r="B328" s="30" t="s">
        <v>112</v>
      </c>
      <c r="C328" s="30"/>
      <c r="D328" s="30"/>
      <c r="E328" s="30"/>
      <c r="F328" s="30"/>
      <c r="G328" s="31"/>
      <c r="H328" s="32" t="s">
        <v>293</v>
      </c>
      <c r="I328" s="32"/>
      <c r="J328" s="32"/>
      <c r="K328" s="31"/>
      <c r="L328" s="33" t="s">
        <v>156</v>
      </c>
      <c r="M328" s="33"/>
      <c r="N328" s="33"/>
      <c r="R328" s="34" t="s">
        <v>294</v>
      </c>
      <c r="S328" s="34"/>
      <c r="T328" s="34"/>
      <c r="U328" s="34"/>
      <c r="V328" s="34"/>
    </row>
    <row r="329" customFormat="false" ht="15" hidden="false" customHeight="true" outlineLevel="0" collapsed="false">
      <c r="A329" s="31"/>
      <c r="B329" s="35" t="s">
        <v>116</v>
      </c>
      <c r="C329" s="35" t="s">
        <v>117</v>
      </c>
      <c r="D329" s="35" t="s">
        <v>118</v>
      </c>
      <c r="E329" s="35" t="s">
        <v>119</v>
      </c>
      <c r="F329" s="35" t="s">
        <v>120</v>
      </c>
      <c r="G329" s="31"/>
      <c r="H329" s="36" t="s">
        <v>116</v>
      </c>
      <c r="I329" s="36" t="s">
        <v>119</v>
      </c>
      <c r="J329" s="36" t="s">
        <v>120</v>
      </c>
      <c r="K329" s="31"/>
      <c r="L329" s="37" t="s">
        <v>116</v>
      </c>
      <c r="M329" s="37" t="s">
        <v>119</v>
      </c>
      <c r="N329" s="37" t="s">
        <v>120</v>
      </c>
      <c r="R329" s="38" t="s">
        <v>295</v>
      </c>
      <c r="S329" s="38"/>
      <c r="T329" s="38"/>
      <c r="U329" s="38"/>
      <c r="V329" s="38"/>
    </row>
    <row r="330" customFormat="false" ht="15" hidden="false" customHeight="true" outlineLevel="0" collapsed="false">
      <c r="A330" s="20" t="s">
        <v>122</v>
      </c>
      <c r="B330" s="39" t="n">
        <v>9.6</v>
      </c>
      <c r="C330" s="40" t="n">
        <v>30</v>
      </c>
      <c r="D330" s="41" t="n">
        <v>1.76841</v>
      </c>
      <c r="E330" s="41" t="n">
        <v>2.5542</v>
      </c>
      <c r="F330" s="39" t="n">
        <f aca="false">ROUND(B330*E330,2)</f>
        <v>24.52</v>
      </c>
      <c r="G330" s="42"/>
      <c r="H330" s="43" t="n">
        <v>9.6</v>
      </c>
      <c r="I330" s="44" t="n">
        <v>2.5542</v>
      </c>
      <c r="J330" s="43" t="n">
        <f aca="false">ROUND(H330*I330,2)</f>
        <v>24.52</v>
      </c>
      <c r="K330" s="42"/>
      <c r="L330" s="45"/>
      <c r="M330" s="46"/>
      <c r="N330" s="45"/>
      <c r="R330" s="47" t="s">
        <v>296</v>
      </c>
      <c r="S330" s="47"/>
      <c r="T330" s="47"/>
      <c r="U330" s="47"/>
      <c r="V330" s="47"/>
    </row>
    <row r="331" customFormat="false" ht="15" hidden="false" customHeight="true" outlineLevel="0" collapsed="false">
      <c r="A331" s="20" t="s">
        <v>124</v>
      </c>
      <c r="B331" s="39" t="n">
        <v>9.6</v>
      </c>
      <c r="C331" s="40" t="n">
        <v>30</v>
      </c>
      <c r="D331" s="41" t="n">
        <v>1.08606</v>
      </c>
      <c r="E331" s="41" t="n">
        <v>1.37733</v>
      </c>
      <c r="F331" s="39" t="n">
        <f aca="false">ROUND(B331*E331,2)</f>
        <v>13.22</v>
      </c>
      <c r="G331" s="42"/>
      <c r="H331" s="43" t="n">
        <v>9.6</v>
      </c>
      <c r="I331" s="44" t="n">
        <v>1.37733</v>
      </c>
      <c r="J331" s="43" t="n">
        <f aca="false">ROUND(H331*I331,2)</f>
        <v>13.22</v>
      </c>
      <c r="K331" s="42"/>
      <c r="L331" s="45"/>
      <c r="M331" s="46"/>
      <c r="N331" s="45"/>
      <c r="R331" s="48" t="s">
        <v>297</v>
      </c>
      <c r="S331" s="48"/>
      <c r="T331" s="48"/>
      <c r="U331" s="48"/>
      <c r="V331" s="48"/>
    </row>
    <row r="332" customFormat="false" ht="15" hidden="false" customHeight="true" outlineLevel="0" collapsed="false">
      <c r="A332" s="20" t="s">
        <v>126</v>
      </c>
      <c r="B332" s="39" t="n">
        <v>9.6</v>
      </c>
      <c r="C332" s="40" t="n">
        <v>30</v>
      </c>
      <c r="D332" s="41" t="n">
        <v>0.50037</v>
      </c>
      <c r="E332" s="41" t="n">
        <v>0.62868</v>
      </c>
      <c r="F332" s="39" t="n">
        <f aca="false">ROUND(B332*E332,2)</f>
        <v>6.04</v>
      </c>
      <c r="G332" s="42"/>
      <c r="H332" s="43" t="n">
        <v>9.6</v>
      </c>
      <c r="I332" s="44" t="n">
        <v>0.62868</v>
      </c>
      <c r="J332" s="43" t="n">
        <f aca="false">ROUND(H332*I332,2)</f>
        <v>6.04</v>
      </c>
      <c r="K332" s="42"/>
      <c r="L332" s="45"/>
      <c r="M332" s="46"/>
      <c r="N332" s="45"/>
      <c r="R332" s="48" t="s">
        <v>298</v>
      </c>
      <c r="S332" s="48"/>
      <c r="T332" s="48"/>
      <c r="U332" s="48"/>
      <c r="V332" s="48"/>
    </row>
    <row r="333" customFormat="false" ht="15" hidden="false" customHeight="true" outlineLevel="0" collapsed="false">
      <c r="A333" s="20" t="s">
        <v>128</v>
      </c>
      <c r="B333" s="39" t="n">
        <v>9.6</v>
      </c>
      <c r="C333" s="40" t="n">
        <v>30</v>
      </c>
      <c r="D333" s="41" t="n">
        <v>0.41718</v>
      </c>
      <c r="E333" s="41" t="n">
        <v>0.5561</v>
      </c>
      <c r="F333" s="39" t="n">
        <f aca="false">ROUND(B333*E333,2)</f>
        <v>5.34</v>
      </c>
      <c r="G333" s="42"/>
      <c r="H333" s="43" t="n">
        <v>9.6</v>
      </c>
      <c r="I333" s="44" t="n">
        <v>0.5561</v>
      </c>
      <c r="J333" s="43" t="n">
        <f aca="false">ROUND(H333*I333,2)</f>
        <v>5.34</v>
      </c>
      <c r="K333" s="42"/>
      <c r="L333" s="45"/>
      <c r="M333" s="46"/>
      <c r="N333" s="45"/>
      <c r="R333" s="69" t="s">
        <v>162</v>
      </c>
      <c r="S333" s="69"/>
      <c r="T333" s="69"/>
      <c r="U333" s="69"/>
      <c r="V333" s="69"/>
    </row>
    <row r="334" customFormat="false" ht="15" hidden="false" customHeight="true" outlineLevel="0" collapsed="false">
      <c r="A334" s="20" t="s">
        <v>130</v>
      </c>
      <c r="B334" s="39" t="n">
        <v>9.6</v>
      </c>
      <c r="C334" s="40" t="n">
        <v>30</v>
      </c>
      <c r="D334" s="41" t="n">
        <v>0.33363</v>
      </c>
      <c r="E334" s="41" t="n">
        <v>0.3868</v>
      </c>
      <c r="F334" s="39" t="n">
        <f aca="false">ROUND(B334*E334,2)</f>
        <v>3.71</v>
      </c>
      <c r="G334" s="42"/>
      <c r="H334" s="43" t="n">
        <v>9.6</v>
      </c>
      <c r="I334" s="44" t="n">
        <v>0.3868</v>
      </c>
      <c r="J334" s="43" t="n">
        <f aca="false">ROUND(H334*I334,2)</f>
        <v>3.71</v>
      </c>
      <c r="K334" s="42"/>
      <c r="L334" s="45"/>
      <c r="M334" s="46"/>
      <c r="N334" s="45"/>
      <c r="R334" s="50" t="s">
        <v>131</v>
      </c>
      <c r="S334" s="50"/>
      <c r="T334" s="50"/>
      <c r="U334" s="50"/>
      <c r="V334" s="50"/>
    </row>
    <row r="335" customFormat="false" ht="15" hidden="false" customHeight="true" outlineLevel="0" collapsed="false">
      <c r="A335" s="20" t="s">
        <v>132</v>
      </c>
      <c r="B335" s="39" t="n">
        <v>15.1</v>
      </c>
      <c r="C335" s="40" t="n">
        <v>30</v>
      </c>
      <c r="D335" s="41" t="n">
        <v>0.24441</v>
      </c>
      <c r="E335" s="41" t="n">
        <v>0.2653</v>
      </c>
      <c r="F335" s="39" t="n">
        <f aca="false">ROUND(B335*E335,2)</f>
        <v>4.01</v>
      </c>
      <c r="G335" s="42"/>
      <c r="H335" s="43" t="n">
        <v>15.1</v>
      </c>
      <c r="I335" s="44" t="n">
        <v>0.2653</v>
      </c>
      <c r="J335" s="43" t="n">
        <f aca="false">ROUND(H335*I335,2)</f>
        <v>4.01</v>
      </c>
      <c r="K335" s="42"/>
      <c r="L335" s="45"/>
      <c r="M335" s="46"/>
      <c r="N335" s="45"/>
    </row>
    <row r="336" customFormat="false" ht="15" hidden="false" customHeight="true" outlineLevel="0" collapsed="false">
      <c r="A336" s="51" t="s">
        <v>133</v>
      </c>
      <c r="B336" s="52" t="n">
        <f aca="false">IF($P$336="",293.973,ROUND(293.973*((170.1521/(1-$P$336))-56.84)/126.46,2))</f>
        <v>293.973</v>
      </c>
      <c r="C336" s="40"/>
      <c r="D336" s="53" t="n">
        <v>0.130429</v>
      </c>
      <c r="E336" s="41" t="n">
        <v>0.13</v>
      </c>
      <c r="F336" s="39" t="n">
        <f aca="false">ROUND(B336*E336,2)</f>
        <v>38.22</v>
      </c>
      <c r="G336" s="42"/>
      <c r="H336" s="54" t="n">
        <v>424.103</v>
      </c>
      <c r="I336" s="44" t="n">
        <v>0.13</v>
      </c>
      <c r="J336" s="43" t="n">
        <f aca="false">ROUND(H336*I336,2)</f>
        <v>55.13</v>
      </c>
      <c r="K336" s="42"/>
      <c r="L336" s="55"/>
      <c r="M336" s="46"/>
      <c r="N336" s="45"/>
      <c r="O336" s="56" t="s">
        <v>134</v>
      </c>
      <c r="P336" s="57"/>
    </row>
    <row r="337" customFormat="false" ht="15" hidden="false" customHeight="true" outlineLevel="0" collapsed="false">
      <c r="A337" s="51" t="s">
        <v>135</v>
      </c>
      <c r="B337" s="52" t="n">
        <f aca="false">IF($P$336="",236.685,ROUND(236.685*((170.1521/(1-$P$336))-56.84)/126.46,2))</f>
        <v>236.685</v>
      </c>
      <c r="C337" s="40"/>
      <c r="D337" s="53" t="n">
        <v>0.130429</v>
      </c>
      <c r="E337" s="41" t="n">
        <v>0.13</v>
      </c>
      <c r="F337" s="39" t="n">
        <f aca="false">ROUND(B337*E337,2)</f>
        <v>30.77</v>
      </c>
      <c r="G337" s="42"/>
      <c r="H337" s="54" t="n">
        <v>365.305</v>
      </c>
      <c r="I337" s="44" t="n">
        <v>0.13</v>
      </c>
      <c r="J337" s="43" t="n">
        <f aca="false">ROUND(H337*I337,2)</f>
        <v>47.49</v>
      </c>
      <c r="K337" s="42"/>
      <c r="L337" s="55"/>
      <c r="M337" s="46"/>
      <c r="N337" s="45"/>
      <c r="O337" s="58" t="s">
        <v>136</v>
      </c>
    </row>
    <row r="338" customFormat="false" ht="15" hidden="false" customHeight="true" outlineLevel="0" collapsed="false">
      <c r="A338" s="51" t="s">
        <v>137</v>
      </c>
      <c r="B338" s="52" t="n">
        <f aca="false">IF($P$336="",442.109,ROUND(442.109*((170.1521/(1-$P$336))-56.84)/126.46,2))</f>
        <v>442.109</v>
      </c>
      <c r="C338" s="40"/>
      <c r="D338" s="53" t="n">
        <v>0.130806</v>
      </c>
      <c r="E338" s="41" t="n">
        <v>0.13</v>
      </c>
      <c r="F338" s="39" t="n">
        <f aca="false">ROUND(B338*E338,2)</f>
        <v>57.47</v>
      </c>
      <c r="G338" s="42"/>
      <c r="H338" s="54" t="n">
        <v>766.232</v>
      </c>
      <c r="I338" s="44" t="n">
        <v>0.13</v>
      </c>
      <c r="J338" s="43" t="n">
        <f aca="false">ROUND(H338*I338,2)</f>
        <v>99.61</v>
      </c>
      <c r="K338" s="42"/>
      <c r="L338" s="55"/>
      <c r="M338" s="46"/>
      <c r="N338" s="45"/>
      <c r="O338" s="58" t="s">
        <v>138</v>
      </c>
    </row>
    <row r="339" customFormat="false" ht="15" hidden="false" customHeight="true" outlineLevel="0" collapsed="false">
      <c r="A339" s="20" t="s">
        <v>139</v>
      </c>
      <c r="B339" s="39" t="n">
        <v>1</v>
      </c>
      <c r="C339" s="59" t="n">
        <v>30</v>
      </c>
      <c r="D339" s="41" t="n">
        <v>17.615</v>
      </c>
      <c r="E339" s="41" t="n">
        <v>17.615</v>
      </c>
      <c r="F339" s="39" t="n">
        <f aca="false">ROUND(B339*E339,2)</f>
        <v>17.62</v>
      </c>
      <c r="G339" s="42"/>
      <c r="H339" s="43" t="n">
        <v>1</v>
      </c>
      <c r="I339" s="44" t="n">
        <v>17.615</v>
      </c>
      <c r="J339" s="43" t="n">
        <f aca="false">ROUND(H339*I339,2)</f>
        <v>17.62</v>
      </c>
      <c r="K339" s="42"/>
      <c r="L339" s="45"/>
      <c r="M339" s="46"/>
      <c r="N339" s="45"/>
    </row>
    <row r="340" customFormat="false" ht="15" hidden="false" customHeight="true" outlineLevel="0" collapsed="false">
      <c r="A340" s="20" t="s">
        <v>140</v>
      </c>
      <c r="B340" s="39" t="n">
        <v>30</v>
      </c>
      <c r="C340" s="59" t="n">
        <v>30</v>
      </c>
      <c r="D340" s="41" t="n">
        <v>0.01912</v>
      </c>
      <c r="E340" s="41" t="n">
        <v>0.01912</v>
      </c>
      <c r="F340" s="39" t="n">
        <f aca="false">ROUND(B340*E340,2)</f>
        <v>0.57</v>
      </c>
      <c r="G340" s="42"/>
      <c r="H340" s="43" t="n">
        <v>30</v>
      </c>
      <c r="I340" s="44" t="n">
        <v>0.01912</v>
      </c>
      <c r="J340" s="43" t="n">
        <f aca="false">ROUND(H340*I340,2)</f>
        <v>0.57</v>
      </c>
      <c r="K340" s="42"/>
      <c r="L340" s="45"/>
      <c r="M340" s="46"/>
      <c r="N340" s="45"/>
    </row>
    <row r="341" customFormat="false" ht="15" hidden="false" customHeight="true" outlineLevel="0" collapsed="false">
      <c r="A341" s="20" t="s">
        <v>141</v>
      </c>
      <c r="B341" s="39" t="n">
        <v>12.93</v>
      </c>
      <c r="C341" s="40"/>
      <c r="D341" s="41" t="n">
        <v>1</v>
      </c>
      <c r="E341" s="41" t="n">
        <v>1</v>
      </c>
      <c r="F341" s="39" t="n">
        <f aca="false">ROUND(B341*E341,2)</f>
        <v>12.93</v>
      </c>
      <c r="G341" s="42"/>
      <c r="H341" s="43" t="n">
        <v>15.09</v>
      </c>
      <c r="I341" s="44" t="n">
        <v>1</v>
      </c>
      <c r="J341" s="43" t="n">
        <f aca="false">ROUND(H341*I341,2)</f>
        <v>15.09</v>
      </c>
      <c r="K341" s="42"/>
      <c r="L341" s="45"/>
      <c r="M341" s="46"/>
      <c r="N341" s="45"/>
    </row>
    <row r="342" customFormat="false" ht="15" hidden="false" customHeight="true" outlineLevel="0" collapsed="false">
      <c r="A342" s="60" t="s">
        <v>142</v>
      </c>
      <c r="B342" s="61"/>
      <c r="C342" s="61"/>
      <c r="D342" s="61"/>
      <c r="E342" s="61"/>
      <c r="F342" s="62" t="n">
        <f aca="false">ROUND((SUM(F330:F341)-F341)*1.21+F341,2)</f>
        <v>256.73</v>
      </c>
      <c r="G342" s="61"/>
      <c r="H342" s="61"/>
      <c r="I342" s="61"/>
      <c r="J342" s="63" t="n">
        <f aca="false">ROUND((SUM(J330:J341)-J341)*1.21+J341,2)</f>
        <v>350.57</v>
      </c>
      <c r="K342" s="61"/>
      <c r="L342" s="61"/>
      <c r="M342" s="61"/>
      <c r="N342" s="61"/>
    </row>
    <row r="343" customFormat="false" ht="15" hidden="false" customHeight="true" outlineLevel="0" collapsed="false">
      <c r="A343" s="65" t="s">
        <v>143</v>
      </c>
      <c r="B343" s="66" t="n">
        <f aca="false">(SUM(F330:F338)-170.1521)/SUM(F330:F338)</f>
        <v>0.0717288597926897</v>
      </c>
      <c r="C343" s="66"/>
      <c r="D343" s="66"/>
      <c r="E343" s="66"/>
      <c r="F343" s="66"/>
      <c r="G343" s="67"/>
      <c r="H343" s="67"/>
      <c r="I343" s="67"/>
      <c r="J343" s="67"/>
      <c r="K343" s="67"/>
      <c r="L343" s="68" t="str">
        <f aca="false">IF(B343&gt;=0.3,"APROBAR",IF(B343&gt;=0.2,"REVISAR","RECHAZAR"))</f>
        <v>RECHAZAR</v>
      </c>
      <c r="M343" s="68"/>
      <c r="N343" s="68"/>
    </row>
    <row r="345" customFormat="false" ht="15" hidden="false" customHeight="true" outlineLevel="0" collapsed="false">
      <c r="A345" s="26" t="s">
        <v>299</v>
      </c>
      <c r="B345" s="26"/>
      <c r="C345" s="26"/>
      <c r="D345" s="26"/>
      <c r="E345" s="26"/>
      <c r="F345" s="26"/>
      <c r="G345" s="26"/>
      <c r="H345" s="26"/>
      <c r="I345" s="27" t="s">
        <v>300</v>
      </c>
      <c r="J345" s="27"/>
      <c r="K345" s="27"/>
      <c r="L345" s="27"/>
      <c r="M345" s="27"/>
      <c r="N345" s="27"/>
      <c r="R345" s="28" t="s">
        <v>110</v>
      </c>
      <c r="S345" s="28"/>
      <c r="T345" s="28"/>
      <c r="U345" s="28"/>
      <c r="V345" s="28"/>
    </row>
    <row r="346" customFormat="false" ht="15" hidden="false" customHeight="true" outlineLevel="0" collapsed="false">
      <c r="A346" s="29" t="s">
        <v>111</v>
      </c>
      <c r="B346" s="30" t="s">
        <v>112</v>
      </c>
      <c r="C346" s="30"/>
      <c r="D346" s="30"/>
      <c r="E346" s="30"/>
      <c r="F346" s="30"/>
      <c r="G346" s="31"/>
      <c r="H346" s="32" t="s">
        <v>301</v>
      </c>
      <c r="I346" s="32"/>
      <c r="J346" s="32"/>
      <c r="K346" s="31"/>
      <c r="L346" s="33" t="s">
        <v>156</v>
      </c>
      <c r="M346" s="33"/>
      <c r="N346" s="33"/>
      <c r="R346" s="34" t="s">
        <v>302</v>
      </c>
      <c r="S346" s="34"/>
      <c r="T346" s="34"/>
      <c r="U346" s="34"/>
      <c r="V346" s="34"/>
    </row>
    <row r="347" customFormat="false" ht="15" hidden="false" customHeight="true" outlineLevel="0" collapsed="false">
      <c r="A347" s="31"/>
      <c r="B347" s="35" t="s">
        <v>116</v>
      </c>
      <c r="C347" s="35" t="s">
        <v>117</v>
      </c>
      <c r="D347" s="35" t="s">
        <v>118</v>
      </c>
      <c r="E347" s="35" t="s">
        <v>119</v>
      </c>
      <c r="F347" s="35" t="s">
        <v>120</v>
      </c>
      <c r="G347" s="31"/>
      <c r="H347" s="36" t="s">
        <v>116</v>
      </c>
      <c r="I347" s="36" t="s">
        <v>119</v>
      </c>
      <c r="J347" s="36" t="s">
        <v>120</v>
      </c>
      <c r="K347" s="31"/>
      <c r="L347" s="37" t="s">
        <v>116</v>
      </c>
      <c r="M347" s="37" t="s">
        <v>119</v>
      </c>
      <c r="N347" s="37" t="s">
        <v>120</v>
      </c>
      <c r="R347" s="38" t="s">
        <v>303</v>
      </c>
      <c r="S347" s="38"/>
      <c r="T347" s="38"/>
      <c r="U347" s="38"/>
      <c r="V347" s="38"/>
    </row>
    <row r="348" customFormat="false" ht="15" hidden="false" customHeight="true" outlineLevel="0" collapsed="false">
      <c r="A348" s="20" t="s">
        <v>122</v>
      </c>
      <c r="B348" s="39" t="n">
        <v>25</v>
      </c>
      <c r="C348" s="40" t="n">
        <v>30</v>
      </c>
      <c r="D348" s="41" t="n">
        <v>1.7178</v>
      </c>
      <c r="E348" s="41" t="n">
        <v>2.6099</v>
      </c>
      <c r="F348" s="39" t="n">
        <f aca="false">ROUND(B348*E348,2)</f>
        <v>65.25</v>
      </c>
      <c r="G348" s="42"/>
      <c r="H348" s="43" t="n">
        <v>25</v>
      </c>
      <c r="I348" s="44" t="n">
        <v>2.6099</v>
      </c>
      <c r="J348" s="43" t="n">
        <f aca="false">ROUND(H348*I348,2)</f>
        <v>65.25</v>
      </c>
      <c r="K348" s="42"/>
      <c r="L348" s="45"/>
      <c r="M348" s="46"/>
      <c r="N348" s="45"/>
      <c r="R348" s="47" t="s">
        <v>304</v>
      </c>
      <c r="S348" s="47"/>
      <c r="T348" s="47"/>
      <c r="U348" s="47"/>
      <c r="V348" s="47"/>
    </row>
    <row r="349" customFormat="false" ht="15" hidden="false" customHeight="true" outlineLevel="0" collapsed="false">
      <c r="A349" s="20" t="s">
        <v>124</v>
      </c>
      <c r="B349" s="39" t="n">
        <v>25</v>
      </c>
      <c r="C349" s="40" t="n">
        <v>30</v>
      </c>
      <c r="D349" s="41" t="n">
        <v>1.06026</v>
      </c>
      <c r="E349" s="41" t="n">
        <v>1.3899</v>
      </c>
      <c r="F349" s="39" t="n">
        <f aca="false">ROUND(B349*E349,2)</f>
        <v>34.75</v>
      </c>
      <c r="G349" s="42"/>
      <c r="H349" s="43" t="n">
        <v>25</v>
      </c>
      <c r="I349" s="44" t="n">
        <v>1.3899</v>
      </c>
      <c r="J349" s="43" t="n">
        <f aca="false">ROUND(H349*I349,2)</f>
        <v>34.75</v>
      </c>
      <c r="K349" s="42"/>
      <c r="L349" s="45"/>
      <c r="M349" s="46"/>
      <c r="N349" s="45"/>
      <c r="R349" s="48" t="s">
        <v>305</v>
      </c>
      <c r="S349" s="48"/>
      <c r="T349" s="48"/>
      <c r="U349" s="48"/>
      <c r="V349" s="48"/>
    </row>
    <row r="350" customFormat="false" ht="15" hidden="false" customHeight="true" outlineLevel="0" collapsed="false">
      <c r="A350" s="20" t="s">
        <v>126</v>
      </c>
      <c r="B350" s="39" t="n">
        <v>25</v>
      </c>
      <c r="C350" s="40" t="n">
        <v>30</v>
      </c>
      <c r="D350" s="41" t="n">
        <v>0.48492</v>
      </c>
      <c r="E350" s="41" t="n">
        <v>0.7099</v>
      </c>
      <c r="F350" s="39" t="n">
        <f aca="false">ROUND(B350*E350,2)</f>
        <v>17.75</v>
      </c>
      <c r="G350" s="42"/>
      <c r="H350" s="43" t="n">
        <v>25</v>
      </c>
      <c r="I350" s="44" t="n">
        <v>0.7099</v>
      </c>
      <c r="J350" s="43" t="n">
        <f aca="false">ROUND(H350*I350,2)</f>
        <v>17.75</v>
      </c>
      <c r="K350" s="42"/>
      <c r="L350" s="45"/>
      <c r="M350" s="46"/>
      <c r="N350" s="45"/>
      <c r="R350" s="48" t="s">
        <v>306</v>
      </c>
      <c r="S350" s="48"/>
      <c r="T350" s="48"/>
      <c r="U350" s="48"/>
      <c r="V350" s="48"/>
    </row>
    <row r="351" customFormat="false" ht="15" hidden="false" customHeight="true" outlineLevel="0" collapsed="false">
      <c r="A351" s="20" t="s">
        <v>128</v>
      </c>
      <c r="B351" s="39" t="n">
        <v>25</v>
      </c>
      <c r="C351" s="40" t="n">
        <v>30</v>
      </c>
      <c r="D351" s="41" t="n">
        <v>0.40275</v>
      </c>
      <c r="E351" s="41" t="n">
        <v>0.6099</v>
      </c>
      <c r="F351" s="39" t="n">
        <f aca="false">ROUND(B351*E351,2)</f>
        <v>15.25</v>
      </c>
      <c r="G351" s="42"/>
      <c r="H351" s="43" t="n">
        <v>25</v>
      </c>
      <c r="I351" s="44" t="n">
        <v>0.6099</v>
      </c>
      <c r="J351" s="43" t="n">
        <f aca="false">ROUND(H351*I351,2)</f>
        <v>15.25</v>
      </c>
      <c r="K351" s="42"/>
      <c r="L351" s="45"/>
      <c r="M351" s="46"/>
      <c r="N351" s="45"/>
      <c r="R351" s="69" t="s">
        <v>162</v>
      </c>
      <c r="S351" s="69"/>
      <c r="T351" s="69"/>
      <c r="U351" s="69"/>
      <c r="V351" s="69"/>
    </row>
    <row r="352" customFormat="false" ht="15" hidden="false" customHeight="true" outlineLevel="0" collapsed="false">
      <c r="A352" s="20" t="s">
        <v>130</v>
      </c>
      <c r="B352" s="39" t="n">
        <v>25</v>
      </c>
      <c r="C352" s="40" t="n">
        <v>30</v>
      </c>
      <c r="D352" s="41" t="n">
        <v>0.32055</v>
      </c>
      <c r="E352" s="41" t="n">
        <v>0.4999</v>
      </c>
      <c r="F352" s="39" t="n">
        <f aca="false">ROUND(B352*E352,2)</f>
        <v>12.5</v>
      </c>
      <c r="G352" s="42"/>
      <c r="H352" s="43" t="n">
        <v>25</v>
      </c>
      <c r="I352" s="44" t="n">
        <v>0.4999</v>
      </c>
      <c r="J352" s="43" t="n">
        <f aca="false">ROUND(H352*I352,2)</f>
        <v>12.5</v>
      </c>
      <c r="K352" s="42"/>
      <c r="L352" s="45"/>
      <c r="M352" s="46"/>
      <c r="N352" s="45"/>
      <c r="R352" s="50" t="s">
        <v>131</v>
      </c>
      <c r="S352" s="50"/>
      <c r="T352" s="50"/>
      <c r="U352" s="50"/>
      <c r="V352" s="50"/>
    </row>
    <row r="353" customFormat="false" ht="15" hidden="false" customHeight="true" outlineLevel="0" collapsed="false">
      <c r="A353" s="20" t="s">
        <v>132</v>
      </c>
      <c r="B353" s="39" t="n">
        <v>25</v>
      </c>
      <c r="C353" s="40" t="n">
        <v>30</v>
      </c>
      <c r="D353" s="41" t="n">
        <v>0.23835</v>
      </c>
      <c r="E353" s="41" t="n">
        <v>0.3999</v>
      </c>
      <c r="F353" s="39" t="n">
        <f aca="false">ROUND(B353*E353,2)</f>
        <v>10</v>
      </c>
      <c r="G353" s="42"/>
      <c r="H353" s="43" t="n">
        <v>25</v>
      </c>
      <c r="I353" s="44" t="n">
        <v>0.3999</v>
      </c>
      <c r="J353" s="43" t="n">
        <f aca="false">ROUND(H353*I353,2)</f>
        <v>10</v>
      </c>
      <c r="K353" s="42"/>
      <c r="L353" s="45"/>
      <c r="M353" s="46"/>
      <c r="N353" s="45"/>
    </row>
    <row r="354" customFormat="false" ht="15" hidden="false" customHeight="true" outlineLevel="0" collapsed="false">
      <c r="A354" s="51" t="s">
        <v>133</v>
      </c>
      <c r="B354" s="52" t="n">
        <f aca="false">IF($P$354="",1575.25,ROUND(1575.25*((736.3019/(1-$P$354))-155.5)/635.38,2))</f>
        <v>1575.25</v>
      </c>
      <c r="C354" s="40"/>
      <c r="D354" s="53" t="n">
        <v>0.1299</v>
      </c>
      <c r="E354" s="41" t="n">
        <v>0.15</v>
      </c>
      <c r="F354" s="39" t="n">
        <f aca="false">ROUND(B354*E354,2)</f>
        <v>236.29</v>
      </c>
      <c r="G354" s="42"/>
      <c r="H354" s="54" t="n">
        <v>1135.53</v>
      </c>
      <c r="I354" s="44" t="n">
        <v>0.16</v>
      </c>
      <c r="J354" s="43" t="n">
        <f aca="false">ROUND(H354*I354,2)</f>
        <v>181.68</v>
      </c>
      <c r="K354" s="42"/>
      <c r="L354" s="55"/>
      <c r="M354" s="46"/>
      <c r="N354" s="45"/>
      <c r="O354" s="56" t="s">
        <v>134</v>
      </c>
      <c r="P354" s="57"/>
    </row>
    <row r="355" customFormat="false" ht="15" hidden="false" customHeight="true" outlineLevel="0" collapsed="false">
      <c r="A355" s="51" t="s">
        <v>135</v>
      </c>
      <c r="B355" s="52" t="n">
        <f aca="false">IF($P$354="",1054.3,ROUND(1054.3*((736.3019/(1-$P$354))-155.5)/635.38,2))</f>
        <v>1054.3</v>
      </c>
      <c r="C355" s="40"/>
      <c r="D355" s="53" t="n">
        <v>0.1299</v>
      </c>
      <c r="E355" s="41" t="n">
        <v>0.14</v>
      </c>
      <c r="F355" s="39" t="n">
        <f aca="false">ROUND(B355*E355,2)</f>
        <v>147.6</v>
      </c>
      <c r="G355" s="42"/>
      <c r="H355" s="54" t="n">
        <v>771.988</v>
      </c>
      <c r="I355" s="44" t="n">
        <v>0.15</v>
      </c>
      <c r="J355" s="43" t="n">
        <f aca="false">ROUND(H355*I355,2)</f>
        <v>115.8</v>
      </c>
      <c r="K355" s="42"/>
      <c r="L355" s="55"/>
      <c r="M355" s="46"/>
      <c r="N355" s="45"/>
      <c r="O355" s="58" t="s">
        <v>136</v>
      </c>
    </row>
    <row r="356" customFormat="false" ht="15" hidden="false" customHeight="true" outlineLevel="0" collapsed="false">
      <c r="A356" s="51" t="s">
        <v>137</v>
      </c>
      <c r="B356" s="52" t="n">
        <f aca="false">IF($P$354="",2225.54,ROUND(2225.54*((736.3019/(1-$P$354))-155.5)/635.38,2))</f>
        <v>2225.54</v>
      </c>
      <c r="C356" s="40"/>
      <c r="D356" s="53" t="n">
        <v>0.1299</v>
      </c>
      <c r="E356" s="41" t="n">
        <v>0.113</v>
      </c>
      <c r="F356" s="39" t="n">
        <f aca="false">ROUND(B356*E356,2)</f>
        <v>251.49</v>
      </c>
      <c r="G356" s="42"/>
      <c r="H356" s="54" t="n">
        <v>2170.53</v>
      </c>
      <c r="I356" s="44" t="n">
        <v>0.113</v>
      </c>
      <c r="J356" s="43" t="n">
        <f aca="false">ROUND(H356*I356,2)</f>
        <v>245.27</v>
      </c>
      <c r="K356" s="42"/>
      <c r="L356" s="55"/>
      <c r="M356" s="46"/>
      <c r="N356" s="45"/>
      <c r="O356" s="58" t="s">
        <v>138</v>
      </c>
    </row>
    <row r="357" customFormat="false" ht="15" hidden="false" customHeight="true" outlineLevel="0" collapsed="false">
      <c r="A357" s="20" t="s">
        <v>139</v>
      </c>
      <c r="B357" s="39" t="n">
        <v>1</v>
      </c>
      <c r="C357" s="59" t="n">
        <v>30</v>
      </c>
      <c r="D357" s="41" t="n">
        <v>5.8</v>
      </c>
      <c r="E357" s="41" t="n">
        <v>5.8</v>
      </c>
      <c r="F357" s="39" t="n">
        <f aca="false">ROUND(B357*E357,2)</f>
        <v>5.8</v>
      </c>
      <c r="G357" s="42"/>
      <c r="H357" s="43" t="n">
        <v>1</v>
      </c>
      <c r="I357" s="44" t="n">
        <v>5.8</v>
      </c>
      <c r="J357" s="43" t="n">
        <f aca="false">ROUND(H357*I357,2)</f>
        <v>5.8</v>
      </c>
      <c r="K357" s="42"/>
      <c r="L357" s="45"/>
      <c r="M357" s="46"/>
      <c r="N357" s="45"/>
    </row>
    <row r="358" customFormat="false" ht="15" hidden="false" customHeight="true" outlineLevel="0" collapsed="false">
      <c r="A358" s="20" t="s">
        <v>140</v>
      </c>
      <c r="B358" s="39" t="n">
        <v>30</v>
      </c>
      <c r="C358" s="59" t="n">
        <v>30</v>
      </c>
      <c r="D358" s="41" t="n">
        <v>0.01274</v>
      </c>
      <c r="E358" s="41" t="n">
        <v>0.01274</v>
      </c>
      <c r="F358" s="39" t="n">
        <f aca="false">ROUND(B358*E358,2)</f>
        <v>0.38</v>
      </c>
      <c r="G358" s="42"/>
      <c r="H358" s="43" t="n">
        <v>30</v>
      </c>
      <c r="I358" s="44" t="n">
        <v>0.01274</v>
      </c>
      <c r="J358" s="43" t="n">
        <f aca="false">ROUND(H358*I358,2)</f>
        <v>0.38</v>
      </c>
      <c r="K358" s="42"/>
      <c r="L358" s="45"/>
      <c r="M358" s="46"/>
      <c r="N358" s="45"/>
    </row>
    <row r="359" customFormat="false" ht="15" hidden="false" customHeight="true" outlineLevel="0" collapsed="false">
      <c r="A359" s="20" t="s">
        <v>141</v>
      </c>
      <c r="B359" s="39" t="n">
        <v>52.15</v>
      </c>
      <c r="C359" s="40"/>
      <c r="D359" s="41" t="n">
        <v>1</v>
      </c>
      <c r="E359" s="41" t="n">
        <v>1</v>
      </c>
      <c r="F359" s="39" t="n">
        <f aca="false">ROUND(B359*E359,2)</f>
        <v>52.15</v>
      </c>
      <c r="G359" s="42"/>
      <c r="H359" s="43" t="n">
        <v>38.15</v>
      </c>
      <c r="I359" s="44" t="n">
        <v>1</v>
      </c>
      <c r="J359" s="43" t="n">
        <f aca="false">ROUND(H359*I359,2)</f>
        <v>38.15</v>
      </c>
      <c r="K359" s="42"/>
      <c r="L359" s="45"/>
      <c r="M359" s="46"/>
      <c r="N359" s="45"/>
    </row>
    <row r="360" customFormat="false" ht="15" hidden="false" customHeight="true" outlineLevel="0" collapsed="false">
      <c r="A360" s="60" t="s">
        <v>142</v>
      </c>
      <c r="B360" s="61"/>
      <c r="C360" s="61"/>
      <c r="D360" s="61"/>
      <c r="E360" s="61"/>
      <c r="F360" s="62" t="n">
        <f aca="false">ROUND((SUM(F348:F359)-F359)*1.21+F359,2)</f>
        <v>1016.59</v>
      </c>
      <c r="G360" s="61"/>
      <c r="H360" s="61"/>
      <c r="I360" s="61"/>
      <c r="J360" s="63" t="n">
        <f aca="false">ROUND((SUM(J348:J359)-J359)*1.21+J359,2)</f>
        <v>890.51</v>
      </c>
      <c r="K360" s="61"/>
      <c r="L360" s="61"/>
      <c r="M360" s="61"/>
      <c r="N360" s="61"/>
    </row>
    <row r="361" customFormat="false" ht="15" hidden="false" customHeight="true" outlineLevel="0" collapsed="false">
      <c r="A361" s="65" t="s">
        <v>143</v>
      </c>
      <c r="B361" s="66" t="n">
        <f aca="false">(SUM(F348:F356)-736.3019)/SUM(F348:F356)</f>
        <v>0.0690093313777058</v>
      </c>
      <c r="C361" s="66"/>
      <c r="D361" s="66"/>
      <c r="E361" s="66"/>
      <c r="F361" s="66"/>
      <c r="G361" s="67"/>
      <c r="H361" s="67"/>
      <c r="I361" s="67"/>
      <c r="J361" s="67"/>
      <c r="K361" s="67"/>
      <c r="L361" s="68" t="str">
        <f aca="false">IF(B361&gt;=0.3,"APROBAR",IF(B361&gt;=0.2,"REVISAR","RECHAZAR"))</f>
        <v>RECHAZAR</v>
      </c>
      <c r="M361" s="68"/>
      <c r="N361" s="68"/>
    </row>
    <row r="363" customFormat="false" ht="15" hidden="false" customHeight="true" outlineLevel="0" collapsed="false">
      <c r="A363" s="26" t="s">
        <v>307</v>
      </c>
      <c r="B363" s="26"/>
      <c r="C363" s="26"/>
      <c r="D363" s="26"/>
      <c r="E363" s="26"/>
      <c r="F363" s="26"/>
      <c r="G363" s="26"/>
      <c r="H363" s="26"/>
      <c r="I363" s="27" t="s">
        <v>308</v>
      </c>
      <c r="J363" s="27"/>
      <c r="K363" s="27"/>
      <c r="L363" s="27"/>
      <c r="M363" s="27"/>
      <c r="N363" s="27"/>
      <c r="R363" s="28" t="s">
        <v>110</v>
      </c>
      <c r="S363" s="28"/>
      <c r="T363" s="28"/>
      <c r="U363" s="28"/>
      <c r="V363" s="28"/>
    </row>
    <row r="364" customFormat="false" ht="15" hidden="false" customHeight="true" outlineLevel="0" collapsed="false">
      <c r="A364" s="29" t="s">
        <v>111</v>
      </c>
      <c r="B364" s="30" t="s">
        <v>112</v>
      </c>
      <c r="C364" s="30"/>
      <c r="D364" s="30"/>
      <c r="E364" s="30"/>
      <c r="F364" s="30"/>
      <c r="G364" s="31"/>
      <c r="H364" s="32" t="s">
        <v>309</v>
      </c>
      <c r="I364" s="32"/>
      <c r="J364" s="32"/>
      <c r="K364" s="31"/>
      <c r="L364" s="33" t="s">
        <v>310</v>
      </c>
      <c r="M364" s="33"/>
      <c r="N364" s="33"/>
      <c r="R364" s="34" t="s">
        <v>311</v>
      </c>
      <c r="S364" s="34"/>
      <c r="T364" s="34"/>
      <c r="U364" s="34"/>
      <c r="V364" s="34"/>
    </row>
    <row r="365" customFormat="false" ht="15" hidden="false" customHeight="true" outlineLevel="0" collapsed="false">
      <c r="A365" s="31"/>
      <c r="B365" s="35" t="s">
        <v>116</v>
      </c>
      <c r="C365" s="35" t="s">
        <v>117</v>
      </c>
      <c r="D365" s="35" t="s">
        <v>118</v>
      </c>
      <c r="E365" s="35" t="s">
        <v>119</v>
      </c>
      <c r="F365" s="35" t="s">
        <v>120</v>
      </c>
      <c r="G365" s="31"/>
      <c r="H365" s="36" t="s">
        <v>116</v>
      </c>
      <c r="I365" s="36" t="s">
        <v>119</v>
      </c>
      <c r="J365" s="36" t="s">
        <v>120</v>
      </c>
      <c r="K365" s="31"/>
      <c r="L365" s="37" t="s">
        <v>116</v>
      </c>
      <c r="M365" s="37" t="s">
        <v>119</v>
      </c>
      <c r="N365" s="37" t="s">
        <v>120</v>
      </c>
      <c r="R365" s="38" t="s">
        <v>312</v>
      </c>
      <c r="S365" s="38"/>
      <c r="T365" s="38"/>
      <c r="U365" s="38"/>
      <c r="V365" s="38"/>
    </row>
    <row r="366" customFormat="false" ht="15" hidden="false" customHeight="true" outlineLevel="0" collapsed="false">
      <c r="A366" s="20" t="s">
        <v>122</v>
      </c>
      <c r="B366" s="39" t="n">
        <v>20</v>
      </c>
      <c r="C366" s="40" t="n">
        <v>30</v>
      </c>
      <c r="D366" s="41" t="n">
        <v>1.7178</v>
      </c>
      <c r="E366" s="41" t="n">
        <v>2.5542</v>
      </c>
      <c r="F366" s="39" t="n">
        <f aca="false">ROUND(B366*E366,2)</f>
        <v>51.08</v>
      </c>
      <c r="G366" s="42"/>
      <c r="H366" s="43" t="n">
        <v>20</v>
      </c>
      <c r="I366" s="44" t="n">
        <v>2.5542</v>
      </c>
      <c r="J366" s="43" t="n">
        <f aca="false">ROUND(H366*I366,2)</f>
        <v>51.08</v>
      </c>
      <c r="K366" s="42"/>
      <c r="L366" s="45" t="n">
        <v>20</v>
      </c>
      <c r="M366" s="46" t="n">
        <v>2.5542</v>
      </c>
      <c r="N366" s="45" t="n">
        <f aca="false">ROUND(L366*M366,2)</f>
        <v>51.08</v>
      </c>
      <c r="R366" s="47" t="s">
        <v>313</v>
      </c>
      <c r="S366" s="47"/>
      <c r="T366" s="47"/>
      <c r="U366" s="47"/>
      <c r="V366" s="47"/>
    </row>
    <row r="367" customFormat="false" ht="15" hidden="false" customHeight="true" outlineLevel="0" collapsed="false">
      <c r="A367" s="20" t="s">
        <v>124</v>
      </c>
      <c r="B367" s="39" t="n">
        <v>20</v>
      </c>
      <c r="C367" s="40" t="n">
        <v>30</v>
      </c>
      <c r="D367" s="41" t="n">
        <v>1.06026</v>
      </c>
      <c r="E367" s="41" t="n">
        <v>1.3773</v>
      </c>
      <c r="F367" s="39" t="n">
        <f aca="false">ROUND(B367*E367,2)</f>
        <v>27.55</v>
      </c>
      <c r="G367" s="42"/>
      <c r="H367" s="43" t="n">
        <v>20</v>
      </c>
      <c r="I367" s="44" t="n">
        <v>1.3773</v>
      </c>
      <c r="J367" s="43" t="n">
        <f aca="false">ROUND(H367*I367,2)</f>
        <v>27.55</v>
      </c>
      <c r="K367" s="42"/>
      <c r="L367" s="45" t="n">
        <v>20</v>
      </c>
      <c r="M367" s="46" t="n">
        <v>1.3773</v>
      </c>
      <c r="N367" s="45" t="n">
        <f aca="false">ROUND(L367*M367,2)</f>
        <v>27.55</v>
      </c>
      <c r="R367" s="48" t="s">
        <v>314</v>
      </c>
      <c r="S367" s="48"/>
      <c r="T367" s="48"/>
      <c r="U367" s="48"/>
      <c r="V367" s="48"/>
    </row>
    <row r="368" customFormat="false" ht="15" hidden="false" customHeight="true" outlineLevel="0" collapsed="false">
      <c r="A368" s="20" t="s">
        <v>126</v>
      </c>
      <c r="B368" s="39" t="n">
        <v>20</v>
      </c>
      <c r="C368" s="40" t="n">
        <v>30</v>
      </c>
      <c r="D368" s="41" t="n">
        <v>0.48492</v>
      </c>
      <c r="E368" s="41" t="n">
        <v>0.6286</v>
      </c>
      <c r="F368" s="39" t="n">
        <f aca="false">ROUND(B368*E368,2)</f>
        <v>12.57</v>
      </c>
      <c r="G368" s="42"/>
      <c r="H368" s="43" t="n">
        <v>20</v>
      </c>
      <c r="I368" s="44" t="n">
        <v>0.6286</v>
      </c>
      <c r="J368" s="43" t="n">
        <f aca="false">ROUND(H368*I368,2)</f>
        <v>12.57</v>
      </c>
      <c r="K368" s="42"/>
      <c r="L368" s="45" t="n">
        <v>20</v>
      </c>
      <c r="M368" s="46" t="n">
        <v>0.6286</v>
      </c>
      <c r="N368" s="45" t="n">
        <f aca="false">ROUND(L368*M368,2)</f>
        <v>12.57</v>
      </c>
      <c r="R368" s="48" t="s">
        <v>315</v>
      </c>
      <c r="S368" s="48"/>
      <c r="T368" s="48"/>
      <c r="U368" s="48"/>
      <c r="V368" s="48"/>
    </row>
    <row r="369" customFormat="false" ht="15" hidden="false" customHeight="true" outlineLevel="0" collapsed="false">
      <c r="A369" s="20" t="s">
        <v>128</v>
      </c>
      <c r="B369" s="39" t="n">
        <v>20</v>
      </c>
      <c r="C369" s="40" t="n">
        <v>30</v>
      </c>
      <c r="D369" s="41" t="n">
        <v>0.40275</v>
      </c>
      <c r="E369" s="41" t="n">
        <v>0.5561</v>
      </c>
      <c r="F369" s="39" t="n">
        <f aca="false">ROUND(B369*E369,2)</f>
        <v>11.12</v>
      </c>
      <c r="G369" s="42"/>
      <c r="H369" s="43" t="n">
        <v>20</v>
      </c>
      <c r="I369" s="44" t="n">
        <v>0.5561</v>
      </c>
      <c r="J369" s="43" t="n">
        <f aca="false">ROUND(H369*I369,2)</f>
        <v>11.12</v>
      </c>
      <c r="K369" s="42"/>
      <c r="L369" s="45" t="n">
        <v>20</v>
      </c>
      <c r="M369" s="46" t="n">
        <v>0.5561</v>
      </c>
      <c r="N369" s="45" t="n">
        <f aca="false">ROUND(L369*M369,2)</f>
        <v>11.12</v>
      </c>
      <c r="R369" s="69" t="s">
        <v>162</v>
      </c>
      <c r="S369" s="69"/>
      <c r="T369" s="69"/>
      <c r="U369" s="69"/>
      <c r="V369" s="69"/>
    </row>
    <row r="370" customFormat="false" ht="15" hidden="false" customHeight="true" outlineLevel="0" collapsed="false">
      <c r="A370" s="20" t="s">
        <v>130</v>
      </c>
      <c r="B370" s="39" t="n">
        <v>20</v>
      </c>
      <c r="C370" s="40" t="n">
        <v>30</v>
      </c>
      <c r="D370" s="41" t="n">
        <v>0.32055</v>
      </c>
      <c r="E370" s="41" t="n">
        <v>0.3868</v>
      </c>
      <c r="F370" s="39" t="n">
        <f aca="false">ROUND(B370*E370,2)</f>
        <v>7.74</v>
      </c>
      <c r="G370" s="42"/>
      <c r="H370" s="43" t="n">
        <v>20</v>
      </c>
      <c r="I370" s="44" t="n">
        <v>0.3868</v>
      </c>
      <c r="J370" s="43" t="n">
        <f aca="false">ROUND(H370*I370,2)</f>
        <v>7.74</v>
      </c>
      <c r="K370" s="42"/>
      <c r="L370" s="45" t="n">
        <v>20</v>
      </c>
      <c r="M370" s="46" t="n">
        <v>0.3868</v>
      </c>
      <c r="N370" s="45" t="n">
        <f aca="false">ROUND(L370*M370,2)</f>
        <v>7.74</v>
      </c>
      <c r="R370" s="50" t="s">
        <v>131</v>
      </c>
      <c r="S370" s="50"/>
      <c r="T370" s="50"/>
      <c r="U370" s="50"/>
      <c r="V370" s="50"/>
    </row>
    <row r="371" customFormat="false" ht="15" hidden="false" customHeight="true" outlineLevel="0" collapsed="false">
      <c r="A371" s="20" t="s">
        <v>132</v>
      </c>
      <c r="B371" s="39" t="n">
        <v>20</v>
      </c>
      <c r="C371" s="40" t="n">
        <v>30</v>
      </c>
      <c r="D371" s="41" t="n">
        <v>0.23835</v>
      </c>
      <c r="E371" s="41" t="n">
        <v>0.2653</v>
      </c>
      <c r="F371" s="39" t="n">
        <f aca="false">ROUND(B371*E371,2)</f>
        <v>5.31</v>
      </c>
      <c r="G371" s="42"/>
      <c r="H371" s="43" t="n">
        <v>20</v>
      </c>
      <c r="I371" s="44" t="n">
        <v>0.2653</v>
      </c>
      <c r="J371" s="43" t="n">
        <f aca="false">ROUND(H371*I371,2)</f>
        <v>5.31</v>
      </c>
      <c r="K371" s="42"/>
      <c r="L371" s="45" t="n">
        <v>20</v>
      </c>
      <c r="M371" s="46" t="n">
        <v>0.2653</v>
      </c>
      <c r="N371" s="45" t="n">
        <f aca="false">ROUND(L371*M371,2)</f>
        <v>5.31</v>
      </c>
    </row>
    <row r="372" customFormat="false" ht="15" hidden="false" customHeight="true" outlineLevel="0" collapsed="false">
      <c r="A372" s="51" t="s">
        <v>133</v>
      </c>
      <c r="B372" s="52" t="n">
        <f aca="false">IF($P$372="",1734.94,ROUND(1734.94*((532.1382/(1-$P$372))-115.37)/520.78,2))</f>
        <v>1734.94</v>
      </c>
      <c r="C372" s="40"/>
      <c r="D372" s="53" t="n">
        <v>0.110688</v>
      </c>
      <c r="E372" s="41" t="n">
        <v>0.135</v>
      </c>
      <c r="F372" s="39" t="n">
        <f aca="false">ROUND(B372*E372,2)</f>
        <v>234.22</v>
      </c>
      <c r="G372" s="42"/>
      <c r="H372" s="54" t="n">
        <v>1534.94</v>
      </c>
      <c r="I372" s="44" t="n">
        <v>0.13</v>
      </c>
      <c r="J372" s="43" t="n">
        <f aca="false">ROUND(H372*I372,2)</f>
        <v>199.54</v>
      </c>
      <c r="K372" s="42"/>
      <c r="L372" s="55" t="n">
        <v>254.865</v>
      </c>
      <c r="M372" s="46" t="n">
        <v>0.14</v>
      </c>
      <c r="N372" s="45" t="n">
        <f aca="false">ROUND(L372*M372,2)</f>
        <v>35.68</v>
      </c>
      <c r="O372" s="56" t="s">
        <v>134</v>
      </c>
      <c r="P372" s="57"/>
    </row>
    <row r="373" customFormat="false" ht="15" hidden="false" customHeight="true" outlineLevel="0" collapsed="false">
      <c r="A373" s="51" t="s">
        <v>135</v>
      </c>
      <c r="B373" s="52" t="n">
        <f aca="false">IF($P$372="",1936.058,ROUND(1936.058*((532.1382/(1-$P$372))-115.37)/520.78,2))</f>
        <v>1936.058</v>
      </c>
      <c r="C373" s="40"/>
      <c r="D373" s="53" t="n">
        <v>0.110688</v>
      </c>
      <c r="E373" s="41" t="n">
        <v>0.135</v>
      </c>
      <c r="F373" s="39" t="n">
        <f aca="false">ROUND(B373*E373,2)</f>
        <v>261.37</v>
      </c>
      <c r="G373" s="42"/>
      <c r="H373" s="54" t="n">
        <v>836.058</v>
      </c>
      <c r="I373" s="44" t="n">
        <v>0.13</v>
      </c>
      <c r="J373" s="43" t="n">
        <f aca="false">ROUND(H373*I373,2)</f>
        <v>108.69</v>
      </c>
      <c r="K373" s="42"/>
      <c r="L373" s="55" t="n">
        <v>1488.69</v>
      </c>
      <c r="M373" s="46" t="n">
        <v>0.135</v>
      </c>
      <c r="N373" s="45" t="n">
        <f aca="false">ROUND(L373*M373,2)</f>
        <v>200.97</v>
      </c>
      <c r="O373" s="58" t="s">
        <v>136</v>
      </c>
    </row>
    <row r="374" customFormat="false" ht="15" hidden="false" customHeight="true" outlineLevel="0" collapsed="false">
      <c r="A374" s="51" t="s">
        <v>137</v>
      </c>
      <c r="B374" s="52" t="n">
        <f aca="false">IF($P$372="",186.587,ROUND(186.587*((532.1382/(1-$P$372))-115.37)/520.78,2))</f>
        <v>186.587</v>
      </c>
      <c r="C374" s="40"/>
      <c r="D374" s="53" t="n">
        <v>0.221376</v>
      </c>
      <c r="E374" s="41" t="n">
        <v>0.135</v>
      </c>
      <c r="F374" s="39" t="n">
        <f aca="false">ROUND(B374*E374,2)</f>
        <v>25.19</v>
      </c>
      <c r="G374" s="42"/>
      <c r="H374" s="54" t="n">
        <v>86.587</v>
      </c>
      <c r="I374" s="44" t="n">
        <v>0.13</v>
      </c>
      <c r="J374" s="43" t="n">
        <f aca="false">ROUND(H374*I374,2)</f>
        <v>11.26</v>
      </c>
      <c r="K374" s="42"/>
      <c r="L374" s="55" t="n">
        <v>894.693</v>
      </c>
      <c r="M374" s="46" t="n">
        <v>0.135</v>
      </c>
      <c r="N374" s="45" t="n">
        <f aca="false">ROUND(L374*M374,2)</f>
        <v>120.78</v>
      </c>
      <c r="O374" s="58" t="s">
        <v>138</v>
      </c>
    </row>
    <row r="375" customFormat="false" ht="15" hidden="false" customHeight="true" outlineLevel="0" collapsed="false">
      <c r="A375" s="20" t="s">
        <v>139</v>
      </c>
      <c r="B375" s="39" t="n">
        <v>1</v>
      </c>
      <c r="C375" s="59" t="n">
        <v>30</v>
      </c>
      <c r="D375" s="41" t="n">
        <v>17.615</v>
      </c>
      <c r="E375" s="41" t="n">
        <v>17.615</v>
      </c>
      <c r="F375" s="39" t="n">
        <f aca="false">ROUND(B375*E375,2)</f>
        <v>17.62</v>
      </c>
      <c r="G375" s="42"/>
      <c r="H375" s="43" t="n">
        <v>1</v>
      </c>
      <c r="I375" s="44" t="n">
        <v>17.615</v>
      </c>
      <c r="J375" s="43" t="n">
        <f aca="false">ROUND(H375*I375,2)</f>
        <v>17.62</v>
      </c>
      <c r="K375" s="42"/>
      <c r="L375" s="45" t="n">
        <v>1</v>
      </c>
      <c r="M375" s="46" t="n">
        <v>17.615</v>
      </c>
      <c r="N375" s="45" t="n">
        <f aca="false">ROUND(L375*M375,2)</f>
        <v>17.62</v>
      </c>
    </row>
    <row r="376" customFormat="false" ht="15" hidden="false" customHeight="true" outlineLevel="0" collapsed="false">
      <c r="A376" s="20" t="s">
        <v>140</v>
      </c>
      <c r="B376" s="39" t="n">
        <v>30</v>
      </c>
      <c r="C376" s="59" t="n">
        <v>30</v>
      </c>
      <c r="D376" s="41" t="n">
        <v>0.01912</v>
      </c>
      <c r="E376" s="41" t="n">
        <v>0.01912</v>
      </c>
      <c r="F376" s="39" t="n">
        <f aca="false">ROUND(B376*E376,2)</f>
        <v>0.57</v>
      </c>
      <c r="G376" s="42"/>
      <c r="H376" s="43" t="n">
        <v>30</v>
      </c>
      <c r="I376" s="44" t="n">
        <v>0.01912</v>
      </c>
      <c r="J376" s="43" t="n">
        <f aca="false">ROUND(H376*I376,2)</f>
        <v>0.57</v>
      </c>
      <c r="K376" s="42"/>
      <c r="L376" s="45" t="n">
        <v>30</v>
      </c>
      <c r="M376" s="46" t="n">
        <v>0.00629</v>
      </c>
      <c r="N376" s="45" t="n">
        <f aca="false">ROUND(L376*M376,2)</f>
        <v>0.19</v>
      </c>
    </row>
    <row r="377" customFormat="false" ht="15" hidden="false" customHeight="true" outlineLevel="0" collapsed="false">
      <c r="A377" s="20" t="s">
        <v>141</v>
      </c>
      <c r="B377" s="39" t="n">
        <v>45.06</v>
      </c>
      <c r="C377" s="40"/>
      <c r="D377" s="41" t="n">
        <v>1</v>
      </c>
      <c r="E377" s="41" t="n">
        <v>1</v>
      </c>
      <c r="F377" s="39" t="n">
        <f aca="false">ROUND(B377*E377,2)</f>
        <v>45.06</v>
      </c>
      <c r="G377" s="42"/>
      <c r="H377" s="43" t="n">
        <v>30.8</v>
      </c>
      <c r="I377" s="44" t="n">
        <v>1</v>
      </c>
      <c r="J377" s="43" t="n">
        <f aca="false">ROUND(H377*I377,2)</f>
        <v>30.8</v>
      </c>
      <c r="K377" s="42"/>
      <c r="L377" s="45" t="n">
        <v>46.1</v>
      </c>
      <c r="M377" s="46" t="n">
        <v>1</v>
      </c>
      <c r="N377" s="45" t="n">
        <f aca="false">ROUND(L377*M377,2)</f>
        <v>46.1</v>
      </c>
    </row>
    <row r="378" customFormat="false" ht="15" hidden="false" customHeight="true" outlineLevel="0" collapsed="false">
      <c r="A378" s="60" t="s">
        <v>142</v>
      </c>
      <c r="B378" s="61"/>
      <c r="C378" s="61"/>
      <c r="D378" s="61"/>
      <c r="E378" s="61"/>
      <c r="F378" s="62" t="n">
        <f aca="false">ROUND((SUM(F366:F377)-F377)*1.21+F377,2)</f>
        <v>836.81</v>
      </c>
      <c r="G378" s="61"/>
      <c r="H378" s="61"/>
      <c r="I378" s="61"/>
      <c r="J378" s="63" t="n">
        <f aca="false">ROUND((SUM(J366:J377)-J377)*1.21+J377,2)</f>
        <v>578.99</v>
      </c>
      <c r="K378" s="61"/>
      <c r="L378" s="61"/>
      <c r="M378" s="61"/>
      <c r="N378" s="64" t="n">
        <f aca="false">ROUND((SUM(N366:N377)-N377)*1.21+N377,2)</f>
        <v>639.74</v>
      </c>
    </row>
    <row r="379" customFormat="false" ht="15" hidden="false" customHeight="true" outlineLevel="0" collapsed="false">
      <c r="A379" s="65" t="s">
        <v>143</v>
      </c>
      <c r="B379" s="66" t="n">
        <f aca="false">(SUM(F366:F374)-532.1382)/SUM(F366:F374)</f>
        <v>0.163502004244282</v>
      </c>
      <c r="C379" s="66"/>
      <c r="D379" s="66"/>
      <c r="E379" s="66"/>
      <c r="F379" s="66"/>
      <c r="G379" s="67"/>
      <c r="H379" s="67"/>
      <c r="I379" s="67"/>
      <c r="J379" s="67"/>
      <c r="K379" s="67"/>
      <c r="L379" s="68" t="str">
        <f aca="false">IF(B379&gt;=0.3,"APROBAR",IF(B379&gt;=0.2,"REVISAR","RECHAZAR"))</f>
        <v>RECHAZAR</v>
      </c>
      <c r="M379" s="68"/>
      <c r="N379" s="68"/>
    </row>
    <row r="381" customFormat="false" ht="15" hidden="false" customHeight="true" outlineLevel="0" collapsed="false">
      <c r="A381" s="26" t="s">
        <v>316</v>
      </c>
      <c r="B381" s="26"/>
      <c r="C381" s="26"/>
      <c r="D381" s="26"/>
      <c r="E381" s="26"/>
      <c r="F381" s="26"/>
      <c r="G381" s="26"/>
      <c r="H381" s="26"/>
      <c r="I381" s="27" t="s">
        <v>317</v>
      </c>
      <c r="J381" s="27"/>
      <c r="K381" s="27"/>
      <c r="L381" s="27"/>
      <c r="M381" s="27"/>
      <c r="N381" s="27"/>
      <c r="R381" s="28" t="s">
        <v>110</v>
      </c>
      <c r="S381" s="28"/>
      <c r="T381" s="28"/>
      <c r="U381" s="28"/>
      <c r="V381" s="28"/>
    </row>
    <row r="382" customFormat="false" ht="15" hidden="false" customHeight="true" outlineLevel="0" collapsed="false">
      <c r="A382" s="29" t="s">
        <v>111</v>
      </c>
      <c r="B382" s="30" t="s">
        <v>112</v>
      </c>
      <c r="C382" s="30"/>
      <c r="D382" s="30"/>
      <c r="E382" s="30"/>
      <c r="F382" s="30"/>
      <c r="G382" s="31"/>
      <c r="H382" s="32" t="s">
        <v>318</v>
      </c>
      <c r="I382" s="32"/>
      <c r="J382" s="32"/>
      <c r="K382" s="31"/>
      <c r="L382" s="33" t="s">
        <v>319</v>
      </c>
      <c r="M382" s="33"/>
      <c r="N382" s="33"/>
      <c r="R382" s="34" t="s">
        <v>320</v>
      </c>
      <c r="S382" s="34"/>
      <c r="T382" s="34"/>
      <c r="U382" s="34"/>
      <c r="V382" s="34"/>
    </row>
    <row r="383" customFormat="false" ht="15" hidden="false" customHeight="true" outlineLevel="0" collapsed="false">
      <c r="A383" s="31"/>
      <c r="B383" s="35" t="s">
        <v>116</v>
      </c>
      <c r="C383" s="35" t="s">
        <v>117</v>
      </c>
      <c r="D383" s="35" t="s">
        <v>118</v>
      </c>
      <c r="E383" s="35" t="s">
        <v>119</v>
      </c>
      <c r="F383" s="35" t="s">
        <v>120</v>
      </c>
      <c r="G383" s="31"/>
      <c r="H383" s="36" t="s">
        <v>116</v>
      </c>
      <c r="I383" s="36" t="s">
        <v>119</v>
      </c>
      <c r="J383" s="36" t="s">
        <v>120</v>
      </c>
      <c r="K383" s="31"/>
      <c r="L383" s="37" t="s">
        <v>116</v>
      </c>
      <c r="M383" s="37" t="s">
        <v>119</v>
      </c>
      <c r="N383" s="37" t="s">
        <v>120</v>
      </c>
      <c r="R383" s="38" t="s">
        <v>321</v>
      </c>
      <c r="S383" s="38"/>
      <c r="T383" s="38"/>
      <c r="U383" s="38"/>
      <c r="V383" s="38"/>
    </row>
    <row r="384" customFormat="false" ht="15" hidden="false" customHeight="true" outlineLevel="0" collapsed="false">
      <c r="A384" s="20" t="s">
        <v>122</v>
      </c>
      <c r="B384" s="39" t="n">
        <v>27.71</v>
      </c>
      <c r="C384" s="40" t="n">
        <v>30</v>
      </c>
      <c r="D384" s="41" t="n">
        <v>1.73784</v>
      </c>
      <c r="E384" s="41" t="n">
        <v>2.5542</v>
      </c>
      <c r="F384" s="39" t="n">
        <f aca="false">ROUND(B384*E384,2)</f>
        <v>70.78</v>
      </c>
      <c r="G384" s="42"/>
      <c r="H384" s="43" t="n">
        <v>27.71</v>
      </c>
      <c r="I384" s="44" t="n">
        <v>2.5542</v>
      </c>
      <c r="J384" s="43" t="n">
        <f aca="false">ROUND(H384*I384,2)</f>
        <v>70.78</v>
      </c>
      <c r="K384" s="42"/>
      <c r="L384" s="45" t="n">
        <v>27.71</v>
      </c>
      <c r="M384" s="46" t="n">
        <v>2.5542</v>
      </c>
      <c r="N384" s="45" t="n">
        <f aca="false">ROUND(L384*M384,2)</f>
        <v>70.78</v>
      </c>
      <c r="R384" s="47" t="s">
        <v>322</v>
      </c>
      <c r="S384" s="47"/>
      <c r="T384" s="47"/>
      <c r="U384" s="47"/>
      <c r="V384" s="47"/>
    </row>
    <row r="385" customFormat="false" ht="15" hidden="false" customHeight="true" outlineLevel="0" collapsed="false">
      <c r="A385" s="20" t="s">
        <v>124</v>
      </c>
      <c r="B385" s="39" t="n">
        <v>27.71</v>
      </c>
      <c r="C385" s="40" t="n">
        <v>30</v>
      </c>
      <c r="D385" s="41" t="n">
        <v>0.9357</v>
      </c>
      <c r="E385" s="41" t="n">
        <v>1.3773</v>
      </c>
      <c r="F385" s="39" t="n">
        <f aca="false">ROUND(B385*E385,2)</f>
        <v>38.16</v>
      </c>
      <c r="G385" s="42"/>
      <c r="H385" s="43" t="n">
        <v>27.71</v>
      </c>
      <c r="I385" s="44" t="n">
        <v>1.3773</v>
      </c>
      <c r="J385" s="43" t="n">
        <f aca="false">ROUND(H385*I385,2)</f>
        <v>38.16</v>
      </c>
      <c r="K385" s="42"/>
      <c r="L385" s="45" t="n">
        <v>27.71</v>
      </c>
      <c r="M385" s="46" t="n">
        <v>1.3773</v>
      </c>
      <c r="N385" s="45" t="n">
        <f aca="false">ROUND(L385*M385,2)</f>
        <v>38.16</v>
      </c>
      <c r="R385" s="48" t="s">
        <v>323</v>
      </c>
      <c r="S385" s="48"/>
      <c r="T385" s="48"/>
      <c r="U385" s="48"/>
      <c r="V385" s="48"/>
    </row>
    <row r="386" customFormat="false" ht="15" hidden="false" customHeight="true" outlineLevel="0" collapsed="false">
      <c r="A386" s="20" t="s">
        <v>126</v>
      </c>
      <c r="B386" s="39" t="n">
        <v>27.71</v>
      </c>
      <c r="C386" s="40" t="n">
        <v>30</v>
      </c>
      <c r="D386" s="41" t="n">
        <v>0.43137</v>
      </c>
      <c r="E386" s="41" t="n">
        <v>0.6286</v>
      </c>
      <c r="F386" s="39" t="n">
        <f aca="false">ROUND(B386*E386,2)</f>
        <v>17.42</v>
      </c>
      <c r="G386" s="42"/>
      <c r="H386" s="43" t="n">
        <v>27.71</v>
      </c>
      <c r="I386" s="44" t="n">
        <v>0.6286</v>
      </c>
      <c r="J386" s="43" t="n">
        <f aca="false">ROUND(H386*I386,2)</f>
        <v>17.42</v>
      </c>
      <c r="K386" s="42"/>
      <c r="L386" s="45" t="n">
        <v>27.71</v>
      </c>
      <c r="M386" s="46" t="n">
        <v>0.6286</v>
      </c>
      <c r="N386" s="45" t="n">
        <f aca="false">ROUND(L386*M386,2)</f>
        <v>17.42</v>
      </c>
      <c r="R386" s="48" t="s">
        <v>324</v>
      </c>
      <c r="S386" s="48"/>
      <c r="T386" s="48"/>
      <c r="U386" s="48"/>
      <c r="V386" s="48"/>
    </row>
    <row r="387" customFormat="false" ht="15" hidden="false" customHeight="true" outlineLevel="0" collapsed="false">
      <c r="A387" s="20" t="s">
        <v>128</v>
      </c>
      <c r="B387" s="39" t="n">
        <v>27.71</v>
      </c>
      <c r="C387" s="40" t="n">
        <v>30</v>
      </c>
      <c r="D387" s="41" t="n">
        <v>0.38244</v>
      </c>
      <c r="E387" s="41" t="n">
        <v>0.5561</v>
      </c>
      <c r="F387" s="39" t="n">
        <f aca="false">ROUND(B387*E387,2)</f>
        <v>15.41</v>
      </c>
      <c r="G387" s="42"/>
      <c r="H387" s="43" t="n">
        <v>27.71</v>
      </c>
      <c r="I387" s="44" t="n">
        <v>0.5561</v>
      </c>
      <c r="J387" s="43" t="n">
        <f aca="false">ROUND(H387*I387,2)</f>
        <v>15.41</v>
      </c>
      <c r="K387" s="42"/>
      <c r="L387" s="45" t="n">
        <v>27.71</v>
      </c>
      <c r="M387" s="46" t="n">
        <v>0.5561</v>
      </c>
      <c r="N387" s="45" t="n">
        <f aca="false">ROUND(L387*M387,2)</f>
        <v>15.41</v>
      </c>
      <c r="R387" s="69" t="s">
        <v>162</v>
      </c>
      <c r="S387" s="69"/>
      <c r="T387" s="69"/>
      <c r="U387" s="69"/>
      <c r="V387" s="69"/>
    </row>
    <row r="388" customFormat="false" ht="15" hidden="false" customHeight="true" outlineLevel="0" collapsed="false">
      <c r="A388" s="20" t="s">
        <v>130</v>
      </c>
      <c r="B388" s="39" t="n">
        <v>27.71</v>
      </c>
      <c r="C388" s="40" t="n">
        <v>30</v>
      </c>
      <c r="D388" s="41" t="n">
        <v>0.26964</v>
      </c>
      <c r="E388" s="41" t="n">
        <v>0.3868</v>
      </c>
      <c r="F388" s="39" t="n">
        <f aca="false">ROUND(B388*E388,2)</f>
        <v>10.72</v>
      </c>
      <c r="G388" s="42"/>
      <c r="H388" s="43" t="n">
        <v>27.71</v>
      </c>
      <c r="I388" s="44" t="n">
        <v>0.3868</v>
      </c>
      <c r="J388" s="43" t="n">
        <f aca="false">ROUND(H388*I388,2)</f>
        <v>10.72</v>
      </c>
      <c r="K388" s="42"/>
      <c r="L388" s="45" t="n">
        <v>27.71</v>
      </c>
      <c r="M388" s="46" t="n">
        <v>0.3868</v>
      </c>
      <c r="N388" s="45" t="n">
        <f aca="false">ROUND(L388*M388,2)</f>
        <v>10.72</v>
      </c>
      <c r="R388" s="50" t="s">
        <v>131</v>
      </c>
      <c r="S388" s="50"/>
      <c r="T388" s="50"/>
      <c r="U388" s="50"/>
      <c r="V388" s="50"/>
    </row>
    <row r="389" customFormat="false" ht="15" hidden="false" customHeight="true" outlineLevel="0" collapsed="false">
      <c r="A389" s="20" t="s">
        <v>132</v>
      </c>
      <c r="B389" s="39" t="n">
        <v>27.71</v>
      </c>
      <c r="C389" s="40" t="n">
        <v>30</v>
      </c>
      <c r="D389" s="41" t="n">
        <v>0.18156</v>
      </c>
      <c r="E389" s="41" t="n">
        <v>0.2653</v>
      </c>
      <c r="F389" s="39" t="n">
        <f aca="false">ROUND(B389*E389,2)</f>
        <v>7.35</v>
      </c>
      <c r="G389" s="42"/>
      <c r="H389" s="43" t="n">
        <v>27.71</v>
      </c>
      <c r="I389" s="44" t="n">
        <v>0.2653</v>
      </c>
      <c r="J389" s="43" t="n">
        <f aca="false">ROUND(H389*I389,2)</f>
        <v>7.35</v>
      </c>
      <c r="K389" s="42"/>
      <c r="L389" s="45" t="n">
        <v>27.71</v>
      </c>
      <c r="M389" s="46" t="n">
        <v>0.2653</v>
      </c>
      <c r="N389" s="45" t="n">
        <f aca="false">ROUND(L389*M389,2)</f>
        <v>7.35</v>
      </c>
    </row>
    <row r="390" customFormat="false" ht="15" hidden="false" customHeight="true" outlineLevel="0" collapsed="false">
      <c r="A390" s="51" t="s">
        <v>133</v>
      </c>
      <c r="B390" s="52" t="n">
        <f aca="false">IF($P$390="",418.33,ROUND(418.33*((316.2685/(1-$P$390))-159.84)/268.73,2))</f>
        <v>418.33</v>
      </c>
      <c r="C390" s="40"/>
      <c r="D390" s="53" t="n">
        <v>0.121236</v>
      </c>
      <c r="E390" s="41" t="n">
        <v>0.145</v>
      </c>
      <c r="F390" s="39" t="n">
        <f aca="false">ROUND(B390*E390,2)</f>
        <v>60.66</v>
      </c>
      <c r="G390" s="42"/>
      <c r="H390" s="54" t="n">
        <v>789.33</v>
      </c>
      <c r="I390" s="44" t="n">
        <v>0.15</v>
      </c>
      <c r="J390" s="43" t="n">
        <f aca="false">ROUND(H390*I390,2)</f>
        <v>118.4</v>
      </c>
      <c r="K390" s="42"/>
      <c r="L390" s="55" t="n">
        <v>618.398</v>
      </c>
      <c r="M390" s="46" t="n">
        <v>0.1768</v>
      </c>
      <c r="N390" s="45" t="n">
        <f aca="false">ROUND(L390*M390,2)</f>
        <v>109.33</v>
      </c>
      <c r="O390" s="56" t="s">
        <v>134</v>
      </c>
      <c r="P390" s="57"/>
    </row>
    <row r="391" customFormat="false" ht="15" hidden="false" customHeight="true" outlineLevel="0" collapsed="false">
      <c r="A391" s="51" t="s">
        <v>135</v>
      </c>
      <c r="B391" s="52" t="n">
        <f aca="false">IF($P$390="",412.3,ROUND(412.3*((316.2685/(1-$P$390))-159.84)/268.73,2))</f>
        <v>412.3</v>
      </c>
      <c r="C391" s="40"/>
      <c r="D391" s="53" t="n">
        <v>0.114444</v>
      </c>
      <c r="E391" s="41" t="n">
        <v>0.145</v>
      </c>
      <c r="F391" s="39" t="n">
        <f aca="false">ROUND(B391*E391,2)</f>
        <v>59.78</v>
      </c>
      <c r="G391" s="42"/>
      <c r="H391" s="54" t="n">
        <v>684.112</v>
      </c>
      <c r="I391" s="44" t="n">
        <v>0.15</v>
      </c>
      <c r="J391" s="43" t="n">
        <f aca="false">ROUND(H391*I391,2)</f>
        <v>102.62</v>
      </c>
      <c r="K391" s="42"/>
      <c r="L391" s="55" t="n">
        <v>517.452</v>
      </c>
      <c r="M391" s="46" t="n">
        <v>0.16731</v>
      </c>
      <c r="N391" s="45" t="n">
        <f aca="false">ROUND(L391*M391,2)</f>
        <v>86.57</v>
      </c>
      <c r="O391" s="58" t="s">
        <v>136</v>
      </c>
    </row>
    <row r="392" customFormat="false" ht="15" hidden="false" customHeight="true" outlineLevel="0" collapsed="false">
      <c r="A392" s="51" t="s">
        <v>137</v>
      </c>
      <c r="B392" s="52" t="n">
        <f aca="false">IF($P$390="",1022.67,ROUND(1022.67*((316.2685/(1-$P$390))-159.84)/268.73,2))</f>
        <v>1022.67</v>
      </c>
      <c r="C392" s="40"/>
      <c r="D392" s="53" t="n">
        <v>0.106808</v>
      </c>
      <c r="E392" s="41" t="n">
        <v>0.145</v>
      </c>
      <c r="F392" s="39" t="n">
        <f aca="false">ROUND(B392*E392,2)</f>
        <v>148.29</v>
      </c>
      <c r="G392" s="42"/>
      <c r="H392" s="54" t="n">
        <v>1456.79</v>
      </c>
      <c r="I392" s="44" t="n">
        <v>0.15</v>
      </c>
      <c r="J392" s="43" t="n">
        <f aca="false">ROUND(H392*I392,2)</f>
        <v>218.52</v>
      </c>
      <c r="K392" s="42"/>
      <c r="L392" s="55" t="n">
        <v>935.339</v>
      </c>
      <c r="M392" s="46" t="n">
        <v>0.16483</v>
      </c>
      <c r="N392" s="45" t="n">
        <f aca="false">ROUND(L392*M392,2)</f>
        <v>154.17</v>
      </c>
      <c r="O392" s="58" t="s">
        <v>138</v>
      </c>
    </row>
    <row r="393" customFormat="false" ht="15" hidden="false" customHeight="true" outlineLevel="0" collapsed="false">
      <c r="A393" s="20" t="s">
        <v>139</v>
      </c>
      <c r="B393" s="39" t="n">
        <v>1</v>
      </c>
      <c r="C393" s="59" t="n">
        <v>30</v>
      </c>
      <c r="D393" s="41" t="n">
        <v>17.615</v>
      </c>
      <c r="E393" s="41" t="n">
        <v>17.615</v>
      </c>
      <c r="F393" s="39" t="n">
        <f aca="false">ROUND(B393*E393,2)</f>
        <v>17.62</v>
      </c>
      <c r="G393" s="42"/>
      <c r="H393" s="43" t="n">
        <v>1</v>
      </c>
      <c r="I393" s="44" t="n">
        <v>17.615</v>
      </c>
      <c r="J393" s="43" t="n">
        <f aca="false">ROUND(H393*I393,2)</f>
        <v>17.62</v>
      </c>
      <c r="K393" s="42"/>
      <c r="L393" s="45" t="n">
        <v>1</v>
      </c>
      <c r="M393" s="46" t="n">
        <v>17.615</v>
      </c>
      <c r="N393" s="45" t="n">
        <f aca="false">ROUND(L393*M393,2)</f>
        <v>17.62</v>
      </c>
    </row>
    <row r="394" customFormat="false" ht="15" hidden="false" customHeight="true" outlineLevel="0" collapsed="false">
      <c r="A394" s="20" t="s">
        <v>140</v>
      </c>
      <c r="B394" s="39" t="n">
        <v>30</v>
      </c>
      <c r="C394" s="59" t="n">
        <v>30</v>
      </c>
      <c r="D394" s="41" t="n">
        <v>0.01912</v>
      </c>
      <c r="E394" s="41" t="n">
        <v>0.01912</v>
      </c>
      <c r="F394" s="39" t="n">
        <f aca="false">ROUND(B394*E394,2)</f>
        <v>0.57</v>
      </c>
      <c r="G394" s="42"/>
      <c r="H394" s="43" t="n">
        <v>30</v>
      </c>
      <c r="I394" s="44" t="n">
        <v>0.01912</v>
      </c>
      <c r="J394" s="43" t="n">
        <f aca="false">ROUND(H394*I394,2)</f>
        <v>0.57</v>
      </c>
      <c r="K394" s="42"/>
      <c r="L394" s="45" t="n">
        <v>30</v>
      </c>
      <c r="M394" s="46" t="n">
        <v>0.00629</v>
      </c>
      <c r="N394" s="45" t="n">
        <f aca="false">ROUND(L394*M394,2)</f>
        <v>0.19</v>
      </c>
    </row>
    <row r="395" customFormat="false" ht="15" hidden="false" customHeight="true" outlineLevel="0" collapsed="false">
      <c r="A395" s="20" t="s">
        <v>141</v>
      </c>
      <c r="B395" s="39" t="n">
        <v>23.13</v>
      </c>
      <c r="C395" s="40"/>
      <c r="D395" s="41" t="n">
        <v>1</v>
      </c>
      <c r="E395" s="41" t="n">
        <v>1</v>
      </c>
      <c r="F395" s="39" t="n">
        <f aca="false">ROUND(B395*E395,2)</f>
        <v>23.13</v>
      </c>
      <c r="G395" s="42"/>
      <c r="H395" s="43" t="n">
        <v>31.64</v>
      </c>
      <c r="I395" s="44" t="n">
        <v>1</v>
      </c>
      <c r="J395" s="43" t="n">
        <f aca="false">ROUND(H395*I395,2)</f>
        <v>31.64</v>
      </c>
      <c r="K395" s="42"/>
      <c r="L395" s="45" t="n">
        <v>26</v>
      </c>
      <c r="M395" s="46" t="n">
        <v>1</v>
      </c>
      <c r="N395" s="45" t="n">
        <f aca="false">ROUND(L395*M395,2)</f>
        <v>26</v>
      </c>
    </row>
    <row r="396" customFormat="false" ht="15" hidden="false" customHeight="true" outlineLevel="0" collapsed="false">
      <c r="A396" s="51" t="s">
        <v>172</v>
      </c>
      <c r="B396" s="70"/>
      <c r="C396" s="40"/>
      <c r="D396" s="41" t="n">
        <v>0.06</v>
      </c>
      <c r="E396" s="71" t="s">
        <v>173</v>
      </c>
      <c r="F396" s="40"/>
      <c r="G396" s="42"/>
      <c r="H396" s="72"/>
      <c r="I396" s="72"/>
      <c r="J396" s="72"/>
      <c r="K396" s="42"/>
      <c r="L396" s="73"/>
      <c r="M396" s="73"/>
      <c r="N396" s="73"/>
    </row>
    <row r="397" customFormat="false" ht="15" hidden="false" customHeight="true" outlineLevel="0" collapsed="false">
      <c r="A397" s="60" t="s">
        <v>142</v>
      </c>
      <c r="B397" s="61"/>
      <c r="C397" s="61"/>
      <c r="D397" s="61"/>
      <c r="E397" s="61"/>
      <c r="F397" s="62" t="n">
        <f aca="false">ROUND((SUM(F384:F396)-F395)*1.21+F395,2)</f>
        <v>563.71</v>
      </c>
      <c r="G397" s="61"/>
      <c r="H397" s="61"/>
      <c r="I397" s="61"/>
      <c r="J397" s="63" t="n">
        <f aca="false">ROUND((SUM(J384:J396)-J395)*1.21+J395,2)</f>
        <v>778.9</v>
      </c>
      <c r="K397" s="61"/>
      <c r="L397" s="61"/>
      <c r="M397" s="61"/>
      <c r="N397" s="64" t="n">
        <f aca="false">ROUND((SUM(N384:N396)-N395)*1.21+N395,2)</f>
        <v>664.54</v>
      </c>
    </row>
    <row r="398" customFormat="false" ht="15" hidden="false" customHeight="true" outlineLevel="0" collapsed="false">
      <c r="A398" s="65" t="s">
        <v>143</v>
      </c>
      <c r="B398" s="66" t="n">
        <f aca="false">(SUM(F384:F392)-316.2685)/SUM(F384:F392)</f>
        <v>0.262037706792356</v>
      </c>
      <c r="C398" s="66"/>
      <c r="D398" s="66"/>
      <c r="E398" s="66"/>
      <c r="F398" s="66"/>
      <c r="G398" s="67"/>
      <c r="H398" s="67"/>
      <c r="I398" s="67"/>
      <c r="J398" s="67"/>
      <c r="K398" s="67"/>
      <c r="L398" s="68" t="str">
        <f aca="false">IF(B398&gt;=0.3,"APROBAR",IF(B398&gt;=0.2,"REVISAR","RECHAZAR"))</f>
        <v>REVISAR</v>
      </c>
      <c r="M398" s="68"/>
      <c r="N398" s="68"/>
    </row>
    <row r="400" customFormat="false" ht="15" hidden="false" customHeight="true" outlineLevel="0" collapsed="false">
      <c r="A400" s="26" t="s">
        <v>325</v>
      </c>
      <c r="B400" s="26"/>
      <c r="C400" s="26"/>
      <c r="D400" s="26"/>
      <c r="E400" s="26"/>
      <c r="F400" s="26"/>
      <c r="G400" s="26"/>
      <c r="H400" s="26"/>
      <c r="I400" s="27" t="s">
        <v>326</v>
      </c>
      <c r="J400" s="27"/>
      <c r="K400" s="27"/>
      <c r="L400" s="27"/>
      <c r="M400" s="27"/>
      <c r="N400" s="27"/>
      <c r="R400" s="28" t="s">
        <v>110</v>
      </c>
      <c r="S400" s="28"/>
      <c r="T400" s="28"/>
      <c r="U400" s="28"/>
      <c r="V400" s="28"/>
    </row>
    <row r="401" customFormat="false" ht="15" hidden="false" customHeight="true" outlineLevel="0" collapsed="false">
      <c r="A401" s="29" t="s">
        <v>111</v>
      </c>
      <c r="B401" s="30" t="s">
        <v>112</v>
      </c>
      <c r="C401" s="30"/>
      <c r="D401" s="30"/>
      <c r="E401" s="30"/>
      <c r="F401" s="30"/>
      <c r="G401" s="31"/>
      <c r="H401" s="32" t="s">
        <v>327</v>
      </c>
      <c r="I401" s="32"/>
      <c r="J401" s="32"/>
      <c r="K401" s="31"/>
      <c r="L401" s="33" t="s">
        <v>156</v>
      </c>
      <c r="M401" s="33"/>
      <c r="N401" s="33"/>
      <c r="R401" s="34" t="s">
        <v>328</v>
      </c>
      <c r="S401" s="34"/>
      <c r="T401" s="34"/>
      <c r="U401" s="34"/>
      <c r="V401" s="34"/>
    </row>
    <row r="402" customFormat="false" ht="15" hidden="false" customHeight="true" outlineLevel="0" collapsed="false">
      <c r="A402" s="31"/>
      <c r="B402" s="35" t="s">
        <v>116</v>
      </c>
      <c r="C402" s="35" t="s">
        <v>117</v>
      </c>
      <c r="D402" s="35" t="s">
        <v>118</v>
      </c>
      <c r="E402" s="35" t="s">
        <v>119</v>
      </c>
      <c r="F402" s="35" t="s">
        <v>120</v>
      </c>
      <c r="G402" s="31"/>
      <c r="H402" s="36" t="s">
        <v>116</v>
      </c>
      <c r="I402" s="36" t="s">
        <v>119</v>
      </c>
      <c r="J402" s="36" t="s">
        <v>120</v>
      </c>
      <c r="K402" s="31"/>
      <c r="L402" s="37" t="s">
        <v>116</v>
      </c>
      <c r="M402" s="37" t="s">
        <v>119</v>
      </c>
      <c r="N402" s="37" t="s">
        <v>120</v>
      </c>
      <c r="R402" s="38" t="s">
        <v>329</v>
      </c>
      <c r="S402" s="38"/>
      <c r="T402" s="38"/>
      <c r="U402" s="38"/>
      <c r="V402" s="38"/>
    </row>
    <row r="403" customFormat="false" ht="15" hidden="false" customHeight="true" outlineLevel="0" collapsed="false">
      <c r="A403" s="20" t="s">
        <v>122</v>
      </c>
      <c r="B403" s="39" t="n">
        <v>45.4</v>
      </c>
      <c r="C403" s="40" t="n">
        <v>30</v>
      </c>
      <c r="D403" s="41" t="n">
        <v>1.73784</v>
      </c>
      <c r="E403" s="41" t="n">
        <v>2.5542</v>
      </c>
      <c r="F403" s="39" t="n">
        <f aca="false">ROUND(B403*E403,2)</f>
        <v>115.96</v>
      </c>
      <c r="G403" s="42"/>
      <c r="H403" s="43" t="n">
        <v>45.4</v>
      </c>
      <c r="I403" s="44" t="n">
        <v>2.5542</v>
      </c>
      <c r="J403" s="43" t="n">
        <f aca="false">ROUND(H403*I403,2)</f>
        <v>115.96</v>
      </c>
      <c r="K403" s="42"/>
      <c r="L403" s="45"/>
      <c r="M403" s="46"/>
      <c r="N403" s="45"/>
      <c r="R403" s="47" t="s">
        <v>330</v>
      </c>
      <c r="S403" s="47"/>
      <c r="T403" s="47"/>
      <c r="U403" s="47"/>
      <c r="V403" s="47"/>
    </row>
    <row r="404" customFormat="false" ht="15" hidden="false" customHeight="true" outlineLevel="0" collapsed="false">
      <c r="A404" s="20" t="s">
        <v>124</v>
      </c>
      <c r="B404" s="39" t="n">
        <v>46.68</v>
      </c>
      <c r="C404" s="40" t="n">
        <v>30</v>
      </c>
      <c r="D404" s="41" t="n">
        <v>0.9357</v>
      </c>
      <c r="E404" s="41" t="n">
        <v>1.37733</v>
      </c>
      <c r="F404" s="39" t="n">
        <f aca="false">ROUND(B404*E404,2)</f>
        <v>64.29</v>
      </c>
      <c r="G404" s="42"/>
      <c r="H404" s="43" t="n">
        <v>46.68</v>
      </c>
      <c r="I404" s="44" t="n">
        <v>1.37733</v>
      </c>
      <c r="J404" s="43" t="n">
        <f aca="false">ROUND(H404*I404,2)</f>
        <v>64.29</v>
      </c>
      <c r="K404" s="42"/>
      <c r="L404" s="45"/>
      <c r="M404" s="46"/>
      <c r="N404" s="45"/>
      <c r="R404" s="48" t="s">
        <v>331</v>
      </c>
      <c r="S404" s="48"/>
      <c r="T404" s="48"/>
      <c r="U404" s="48"/>
      <c r="V404" s="48"/>
    </row>
    <row r="405" customFormat="false" ht="15" hidden="false" customHeight="true" outlineLevel="0" collapsed="false">
      <c r="A405" s="20" t="s">
        <v>126</v>
      </c>
      <c r="B405" s="39" t="n">
        <v>46.6</v>
      </c>
      <c r="C405" s="40" t="n">
        <v>30</v>
      </c>
      <c r="D405" s="41" t="n">
        <v>0.43137</v>
      </c>
      <c r="E405" s="41" t="n">
        <v>0.62868</v>
      </c>
      <c r="F405" s="39" t="n">
        <f aca="false">ROUND(B405*E405,2)</f>
        <v>29.3</v>
      </c>
      <c r="G405" s="42"/>
      <c r="H405" s="43" t="n">
        <v>46.6</v>
      </c>
      <c r="I405" s="44" t="n">
        <v>0.62868</v>
      </c>
      <c r="J405" s="43" t="n">
        <f aca="false">ROUND(H405*I405,2)</f>
        <v>29.3</v>
      </c>
      <c r="K405" s="42"/>
      <c r="L405" s="45"/>
      <c r="M405" s="46"/>
      <c r="N405" s="45"/>
      <c r="R405" s="48" t="s">
        <v>332</v>
      </c>
      <c r="S405" s="48"/>
      <c r="T405" s="48"/>
      <c r="U405" s="48"/>
      <c r="V405" s="48"/>
    </row>
    <row r="406" customFormat="false" ht="15" hidden="false" customHeight="true" outlineLevel="0" collapsed="false">
      <c r="A406" s="20" t="s">
        <v>128</v>
      </c>
      <c r="B406" s="39" t="n">
        <v>46.6</v>
      </c>
      <c r="C406" s="40" t="n">
        <v>30</v>
      </c>
      <c r="D406" s="41" t="n">
        <v>0.38244</v>
      </c>
      <c r="E406" s="41" t="n">
        <v>0.5561</v>
      </c>
      <c r="F406" s="39" t="n">
        <f aca="false">ROUND(B406*E406,2)</f>
        <v>25.91</v>
      </c>
      <c r="G406" s="42"/>
      <c r="H406" s="43" t="n">
        <v>46.6</v>
      </c>
      <c r="I406" s="44" t="n">
        <v>0.5561</v>
      </c>
      <c r="J406" s="43" t="n">
        <f aca="false">ROUND(H406*I406,2)</f>
        <v>25.91</v>
      </c>
      <c r="K406" s="42"/>
      <c r="L406" s="45"/>
      <c r="M406" s="46"/>
      <c r="N406" s="45"/>
      <c r="R406" s="49" t="s">
        <v>333</v>
      </c>
      <c r="S406" s="49"/>
      <c r="T406" s="49"/>
      <c r="U406" s="49"/>
      <c r="V406" s="49"/>
    </row>
    <row r="407" customFormat="false" ht="15" hidden="false" customHeight="true" outlineLevel="0" collapsed="false">
      <c r="A407" s="20" t="s">
        <v>130</v>
      </c>
      <c r="B407" s="39" t="n">
        <v>46.6</v>
      </c>
      <c r="C407" s="40" t="n">
        <v>30</v>
      </c>
      <c r="D407" s="41" t="n">
        <v>0.26964</v>
      </c>
      <c r="E407" s="41" t="n">
        <v>0.3868</v>
      </c>
      <c r="F407" s="39" t="n">
        <f aca="false">ROUND(B407*E407,2)</f>
        <v>18.02</v>
      </c>
      <c r="G407" s="42"/>
      <c r="H407" s="43" t="n">
        <v>46.6</v>
      </c>
      <c r="I407" s="44" t="n">
        <v>0.3868</v>
      </c>
      <c r="J407" s="43" t="n">
        <f aca="false">ROUND(H407*I407,2)</f>
        <v>18.02</v>
      </c>
      <c r="K407" s="42"/>
      <c r="L407" s="45"/>
      <c r="M407" s="46"/>
      <c r="N407" s="45"/>
      <c r="R407" s="50" t="s">
        <v>131</v>
      </c>
      <c r="S407" s="50"/>
      <c r="T407" s="50"/>
      <c r="U407" s="50"/>
      <c r="V407" s="50"/>
    </row>
    <row r="408" customFormat="false" ht="15" hidden="false" customHeight="true" outlineLevel="0" collapsed="false">
      <c r="A408" s="20" t="s">
        <v>132</v>
      </c>
      <c r="B408" s="39" t="n">
        <v>46.6</v>
      </c>
      <c r="C408" s="40" t="n">
        <v>30</v>
      </c>
      <c r="D408" s="41" t="n">
        <v>0.18156</v>
      </c>
      <c r="E408" s="41" t="n">
        <v>0.2653</v>
      </c>
      <c r="F408" s="39" t="n">
        <f aca="false">ROUND(B408*E408,2)</f>
        <v>12.36</v>
      </c>
      <c r="G408" s="42"/>
      <c r="H408" s="43" t="n">
        <v>46.6</v>
      </c>
      <c r="I408" s="44" t="n">
        <v>0.2653</v>
      </c>
      <c r="J408" s="43" t="n">
        <f aca="false">ROUND(H408*I408,2)</f>
        <v>12.36</v>
      </c>
      <c r="K408" s="42"/>
      <c r="L408" s="45"/>
      <c r="M408" s="46"/>
      <c r="N408" s="45"/>
    </row>
    <row r="409" customFormat="false" ht="15" hidden="false" customHeight="true" outlineLevel="0" collapsed="false">
      <c r="A409" s="51" t="s">
        <v>133</v>
      </c>
      <c r="B409" s="52" t="n">
        <f aca="false">IF($P$409="",3561.5,ROUND(3561.5*((1593.3795/(1-$P$409))-265.84)/1678.01,2))</f>
        <v>3561.5</v>
      </c>
      <c r="C409" s="40"/>
      <c r="D409" s="53" t="n">
        <v>0.121236</v>
      </c>
      <c r="E409" s="41" t="n">
        <v>0.139</v>
      </c>
      <c r="F409" s="39" t="n">
        <f aca="false">ROUND(B409*E409,2)</f>
        <v>495.05</v>
      </c>
      <c r="G409" s="42"/>
      <c r="H409" s="54" t="n">
        <v>911.017</v>
      </c>
      <c r="I409" s="44" t="n">
        <v>0.139</v>
      </c>
      <c r="J409" s="43" t="n">
        <f aca="false">ROUND(H409*I409,2)</f>
        <v>126.63</v>
      </c>
      <c r="K409" s="42"/>
      <c r="L409" s="55"/>
      <c r="M409" s="46"/>
      <c r="N409" s="45"/>
      <c r="O409" s="56" t="s">
        <v>134</v>
      </c>
      <c r="P409" s="57"/>
    </row>
    <row r="410" customFormat="false" ht="15" hidden="false" customHeight="true" outlineLevel="0" collapsed="false">
      <c r="A410" s="51" t="s">
        <v>135</v>
      </c>
      <c r="B410" s="52" t="n">
        <f aca="false">IF($P$409="",3410.65,ROUND(3410.65*((1593.3795/(1-$P$409))-265.84)/1678.01,2))</f>
        <v>3410.65</v>
      </c>
      <c r="C410" s="40"/>
      <c r="D410" s="53" t="n">
        <v>0.114444</v>
      </c>
      <c r="E410" s="41" t="n">
        <v>0.138</v>
      </c>
      <c r="F410" s="39" t="n">
        <f aca="false">ROUND(B410*E410,2)</f>
        <v>470.67</v>
      </c>
      <c r="G410" s="42"/>
      <c r="H410" s="54" t="n">
        <v>763.662</v>
      </c>
      <c r="I410" s="44" t="n">
        <v>0.138</v>
      </c>
      <c r="J410" s="43" t="n">
        <f aca="false">ROUND(H410*I410,2)</f>
        <v>105.39</v>
      </c>
      <c r="K410" s="42"/>
      <c r="L410" s="55"/>
      <c r="M410" s="46"/>
      <c r="N410" s="45"/>
      <c r="O410" s="58" t="s">
        <v>136</v>
      </c>
    </row>
    <row r="411" customFormat="false" ht="15" hidden="false" customHeight="true" outlineLevel="0" collapsed="false">
      <c r="A411" s="51" t="s">
        <v>137</v>
      </c>
      <c r="B411" s="52" t="n">
        <f aca="false">IF($P$409="",5521.61,ROUND(5521.61*((1593.3795/(1-$P$409))-265.84)/1678.01,2))</f>
        <v>5521.61</v>
      </c>
      <c r="C411" s="40"/>
      <c r="D411" s="53" t="n">
        <v>0.106808</v>
      </c>
      <c r="E411" s="41" t="n">
        <v>0.129</v>
      </c>
      <c r="F411" s="39" t="n">
        <f aca="false">ROUND(B411*E411,2)</f>
        <v>712.29</v>
      </c>
      <c r="G411" s="42"/>
      <c r="H411" s="54" t="n">
        <v>1210.72</v>
      </c>
      <c r="I411" s="44" t="n">
        <v>0.129</v>
      </c>
      <c r="J411" s="43" t="n">
        <f aca="false">ROUND(H411*I411,2)</f>
        <v>156.18</v>
      </c>
      <c r="K411" s="42"/>
      <c r="L411" s="55"/>
      <c r="M411" s="46"/>
      <c r="N411" s="45"/>
      <c r="O411" s="58" t="s">
        <v>138</v>
      </c>
    </row>
    <row r="412" customFormat="false" ht="15" hidden="false" customHeight="true" outlineLevel="0" collapsed="false">
      <c r="A412" s="20" t="s">
        <v>139</v>
      </c>
      <c r="B412" s="39" t="n">
        <v>1</v>
      </c>
      <c r="C412" s="59" t="n">
        <v>30</v>
      </c>
      <c r="D412" s="41" t="n">
        <v>17.615</v>
      </c>
      <c r="E412" s="41" t="n">
        <v>17.615</v>
      </c>
      <c r="F412" s="39" t="n">
        <f aca="false">ROUND(B412*E412,2)</f>
        <v>17.62</v>
      </c>
      <c r="G412" s="42"/>
      <c r="H412" s="43" t="n">
        <v>1</v>
      </c>
      <c r="I412" s="44" t="n">
        <v>17.615</v>
      </c>
      <c r="J412" s="43" t="n">
        <f aca="false">ROUND(H412*I412,2)</f>
        <v>17.62</v>
      </c>
      <c r="K412" s="42"/>
      <c r="L412" s="45"/>
      <c r="M412" s="46"/>
      <c r="N412" s="45"/>
    </row>
    <row r="413" customFormat="false" ht="15" hidden="false" customHeight="true" outlineLevel="0" collapsed="false">
      <c r="A413" s="20" t="s">
        <v>140</v>
      </c>
      <c r="B413" s="39" t="n">
        <v>30</v>
      </c>
      <c r="C413" s="59" t="n">
        <v>30</v>
      </c>
      <c r="D413" s="41" t="n">
        <v>0.01912</v>
      </c>
      <c r="E413" s="41" t="n">
        <v>0.01912</v>
      </c>
      <c r="F413" s="39" t="n">
        <f aca="false">ROUND(B413*E413,2)</f>
        <v>0.57</v>
      </c>
      <c r="G413" s="42"/>
      <c r="H413" s="43" t="n">
        <v>30</v>
      </c>
      <c r="I413" s="44" t="n">
        <v>0.01912</v>
      </c>
      <c r="J413" s="43" t="n">
        <f aca="false">ROUND(H413*I413,2)</f>
        <v>0.57</v>
      </c>
      <c r="K413" s="42"/>
      <c r="L413" s="45"/>
      <c r="M413" s="46"/>
      <c r="N413" s="45"/>
    </row>
    <row r="414" customFormat="false" ht="15" hidden="false" customHeight="true" outlineLevel="0" collapsed="false">
      <c r="A414" s="20" t="s">
        <v>141</v>
      </c>
      <c r="B414" s="39" t="n">
        <v>102.11</v>
      </c>
      <c r="C414" s="40"/>
      <c r="D414" s="41" t="n">
        <v>1</v>
      </c>
      <c r="E414" s="41" t="n">
        <v>1</v>
      </c>
      <c r="F414" s="39" t="n">
        <f aca="false">ROUND(B414*E414,2)</f>
        <v>102.11</v>
      </c>
      <c r="G414" s="42"/>
      <c r="H414" s="43" t="n">
        <v>36.24</v>
      </c>
      <c r="I414" s="44" t="n">
        <v>1</v>
      </c>
      <c r="J414" s="43" t="n">
        <f aca="false">ROUND(H414*I414,2)</f>
        <v>36.24</v>
      </c>
      <c r="K414" s="42"/>
      <c r="L414" s="45"/>
      <c r="M414" s="46"/>
      <c r="N414" s="45"/>
    </row>
    <row r="415" customFormat="false" ht="15" hidden="false" customHeight="true" outlineLevel="0" collapsed="false">
      <c r="A415" s="60" t="s">
        <v>142</v>
      </c>
      <c r="B415" s="61"/>
      <c r="C415" s="61"/>
      <c r="D415" s="61"/>
      <c r="E415" s="61"/>
      <c r="F415" s="62" t="n">
        <f aca="false">ROUND((SUM(F403:F414)-F414)*1.21+F414,2)</f>
        <v>2476.18</v>
      </c>
      <c r="G415" s="61"/>
      <c r="H415" s="61"/>
      <c r="I415" s="61"/>
      <c r="J415" s="63" t="n">
        <f aca="false">ROUND((SUM(J403:J414)-J414)*1.21+J414,2)</f>
        <v>849.64</v>
      </c>
      <c r="K415" s="61"/>
      <c r="L415" s="61"/>
      <c r="M415" s="61"/>
      <c r="N415" s="61"/>
    </row>
    <row r="416" customFormat="false" ht="15" hidden="false" customHeight="true" outlineLevel="0" collapsed="false">
      <c r="A416" s="65" t="s">
        <v>143</v>
      </c>
      <c r="B416" s="66" t="n">
        <f aca="false">(SUM(F403:F411)-1593.3795)/SUM(F403:F411)</f>
        <v>0.180297090824909</v>
      </c>
      <c r="C416" s="66"/>
      <c r="D416" s="66"/>
      <c r="E416" s="66"/>
      <c r="F416" s="66"/>
      <c r="G416" s="67"/>
      <c r="H416" s="67"/>
      <c r="I416" s="67"/>
      <c r="J416" s="67"/>
      <c r="K416" s="67"/>
      <c r="L416" s="68" t="str">
        <f aca="false">IF(B416&gt;=0.3,"APROBAR",IF(B416&gt;=0.2,"REVISAR","RECHAZAR"))</f>
        <v>RECHAZAR</v>
      </c>
      <c r="M416" s="68"/>
      <c r="N416" s="68"/>
    </row>
    <row r="418" customFormat="false" ht="15" hidden="false" customHeight="true" outlineLevel="0" collapsed="false">
      <c r="A418" s="26" t="s">
        <v>334</v>
      </c>
      <c r="B418" s="26"/>
      <c r="C418" s="26"/>
      <c r="D418" s="26"/>
      <c r="E418" s="26"/>
      <c r="F418" s="26"/>
      <c r="G418" s="26"/>
      <c r="H418" s="26"/>
      <c r="I418" s="27" t="s">
        <v>335</v>
      </c>
      <c r="J418" s="27"/>
      <c r="K418" s="27"/>
      <c r="L418" s="27"/>
      <c r="M418" s="27"/>
      <c r="N418" s="27"/>
      <c r="R418" s="28" t="s">
        <v>110</v>
      </c>
      <c r="S418" s="28"/>
      <c r="T418" s="28"/>
      <c r="U418" s="28"/>
      <c r="V418" s="28"/>
    </row>
    <row r="419" customFormat="false" ht="15" hidden="false" customHeight="true" outlineLevel="0" collapsed="false">
      <c r="A419" s="29" t="s">
        <v>111</v>
      </c>
      <c r="B419" s="30" t="s">
        <v>112</v>
      </c>
      <c r="C419" s="30"/>
      <c r="D419" s="30"/>
      <c r="E419" s="30"/>
      <c r="F419" s="30"/>
      <c r="G419" s="31"/>
      <c r="H419" s="32" t="s">
        <v>336</v>
      </c>
      <c r="I419" s="32"/>
      <c r="J419" s="32"/>
      <c r="K419" s="31"/>
      <c r="L419" s="33" t="s">
        <v>337</v>
      </c>
      <c r="M419" s="33"/>
      <c r="N419" s="33"/>
      <c r="R419" s="34" t="s">
        <v>338</v>
      </c>
      <c r="S419" s="34"/>
      <c r="T419" s="34"/>
      <c r="U419" s="34"/>
      <c r="V419" s="34"/>
    </row>
    <row r="420" customFormat="false" ht="15" hidden="false" customHeight="true" outlineLevel="0" collapsed="false">
      <c r="A420" s="31"/>
      <c r="B420" s="35" t="s">
        <v>116</v>
      </c>
      <c r="C420" s="35" t="s">
        <v>117</v>
      </c>
      <c r="D420" s="35" t="s">
        <v>118</v>
      </c>
      <c r="E420" s="35" t="s">
        <v>119</v>
      </c>
      <c r="F420" s="35" t="s">
        <v>120</v>
      </c>
      <c r="G420" s="31"/>
      <c r="H420" s="36" t="s">
        <v>116</v>
      </c>
      <c r="I420" s="36" t="s">
        <v>119</v>
      </c>
      <c r="J420" s="36" t="s">
        <v>120</v>
      </c>
      <c r="K420" s="31"/>
      <c r="L420" s="37" t="s">
        <v>116</v>
      </c>
      <c r="M420" s="37" t="s">
        <v>119</v>
      </c>
      <c r="N420" s="37" t="s">
        <v>120</v>
      </c>
      <c r="R420" s="38" t="s">
        <v>339</v>
      </c>
      <c r="S420" s="38"/>
      <c r="T420" s="38"/>
      <c r="U420" s="38"/>
      <c r="V420" s="38"/>
    </row>
    <row r="421" customFormat="false" ht="15" hidden="false" customHeight="true" outlineLevel="0" collapsed="false">
      <c r="A421" s="20" t="s">
        <v>122</v>
      </c>
      <c r="B421" s="39" t="n">
        <v>29.7</v>
      </c>
      <c r="C421" s="40" t="n">
        <v>30</v>
      </c>
      <c r="D421" s="41" t="n">
        <v>1.73784</v>
      </c>
      <c r="E421" s="41" t="n">
        <v>2.5542</v>
      </c>
      <c r="F421" s="39" t="n">
        <f aca="false">ROUND(B421*E421,2)</f>
        <v>75.86</v>
      </c>
      <c r="G421" s="42"/>
      <c r="H421" s="43" t="n">
        <v>29.7</v>
      </c>
      <c r="I421" s="44" t="n">
        <v>2.5542</v>
      </c>
      <c r="J421" s="43" t="n">
        <f aca="false">ROUND(H421*I421,2)</f>
        <v>75.86</v>
      </c>
      <c r="K421" s="42"/>
      <c r="L421" s="45" t="n">
        <v>29.7</v>
      </c>
      <c r="M421" s="46" t="n">
        <v>2.5542</v>
      </c>
      <c r="N421" s="45" t="n">
        <f aca="false">ROUND(L421*M421,2)</f>
        <v>75.86</v>
      </c>
      <c r="R421" s="47" t="s">
        <v>340</v>
      </c>
      <c r="S421" s="47"/>
      <c r="T421" s="47"/>
      <c r="U421" s="47"/>
      <c r="V421" s="47"/>
    </row>
    <row r="422" customFormat="false" ht="15" hidden="false" customHeight="true" outlineLevel="0" collapsed="false">
      <c r="A422" s="20" t="s">
        <v>124</v>
      </c>
      <c r="B422" s="39" t="n">
        <v>29.7</v>
      </c>
      <c r="C422" s="40" t="n">
        <v>30</v>
      </c>
      <c r="D422" s="41" t="n">
        <v>0.93572</v>
      </c>
      <c r="E422" s="41" t="n">
        <v>1.37733</v>
      </c>
      <c r="F422" s="39" t="n">
        <f aca="false">ROUND(B422*E422,2)</f>
        <v>40.91</v>
      </c>
      <c r="G422" s="42"/>
      <c r="H422" s="43" t="n">
        <v>29.7</v>
      </c>
      <c r="I422" s="44" t="n">
        <v>1.37733</v>
      </c>
      <c r="J422" s="43" t="n">
        <f aca="false">ROUND(H422*I422,2)</f>
        <v>40.91</v>
      </c>
      <c r="K422" s="42"/>
      <c r="L422" s="45" t="n">
        <v>29.7</v>
      </c>
      <c r="M422" s="46" t="n">
        <v>1.37733</v>
      </c>
      <c r="N422" s="45" t="n">
        <f aca="false">ROUND(L422*M422,2)</f>
        <v>40.91</v>
      </c>
      <c r="R422" s="48" t="s">
        <v>341</v>
      </c>
      <c r="S422" s="48"/>
      <c r="T422" s="48"/>
      <c r="U422" s="48"/>
      <c r="V422" s="48"/>
    </row>
    <row r="423" customFormat="false" ht="15" hidden="false" customHeight="true" outlineLevel="0" collapsed="false">
      <c r="A423" s="20" t="s">
        <v>126</v>
      </c>
      <c r="B423" s="39" t="n">
        <v>29.7</v>
      </c>
      <c r="C423" s="40" t="n">
        <v>30</v>
      </c>
      <c r="D423" s="41" t="n">
        <v>0.43142</v>
      </c>
      <c r="E423" s="41" t="n">
        <v>0.62868</v>
      </c>
      <c r="F423" s="39" t="n">
        <f aca="false">ROUND(B423*E423,2)</f>
        <v>18.67</v>
      </c>
      <c r="G423" s="42"/>
      <c r="H423" s="43" t="n">
        <v>29.7</v>
      </c>
      <c r="I423" s="44" t="n">
        <v>0.62868</v>
      </c>
      <c r="J423" s="43" t="n">
        <f aca="false">ROUND(H423*I423,2)</f>
        <v>18.67</v>
      </c>
      <c r="K423" s="42"/>
      <c r="L423" s="45" t="n">
        <v>29.7</v>
      </c>
      <c r="M423" s="46" t="n">
        <v>0.62868</v>
      </c>
      <c r="N423" s="45" t="n">
        <f aca="false">ROUND(L423*M423,2)</f>
        <v>18.67</v>
      </c>
      <c r="R423" s="48" t="s">
        <v>342</v>
      </c>
      <c r="S423" s="48"/>
      <c r="T423" s="48"/>
      <c r="U423" s="48"/>
      <c r="V423" s="48"/>
    </row>
    <row r="424" customFormat="false" ht="15" hidden="false" customHeight="true" outlineLevel="0" collapsed="false">
      <c r="A424" s="20" t="s">
        <v>128</v>
      </c>
      <c r="B424" s="39" t="n">
        <v>29.7</v>
      </c>
      <c r="C424" s="40" t="n">
        <v>30</v>
      </c>
      <c r="D424" s="41" t="n">
        <v>0.38244</v>
      </c>
      <c r="E424" s="41" t="n">
        <v>0.5561</v>
      </c>
      <c r="F424" s="39" t="n">
        <f aca="false">ROUND(B424*E424,2)</f>
        <v>16.52</v>
      </c>
      <c r="G424" s="42"/>
      <c r="H424" s="43" t="n">
        <v>29.7</v>
      </c>
      <c r="I424" s="44" t="n">
        <v>0.5561</v>
      </c>
      <c r="J424" s="43" t="n">
        <f aca="false">ROUND(H424*I424,2)</f>
        <v>16.52</v>
      </c>
      <c r="K424" s="42"/>
      <c r="L424" s="45" t="n">
        <v>29.7</v>
      </c>
      <c r="M424" s="46" t="n">
        <v>0.5561</v>
      </c>
      <c r="N424" s="45" t="n">
        <f aca="false">ROUND(L424*M424,2)</f>
        <v>16.52</v>
      </c>
      <c r="R424" s="69" t="s">
        <v>162</v>
      </c>
      <c r="S424" s="69"/>
      <c r="T424" s="69"/>
      <c r="U424" s="69"/>
      <c r="V424" s="69"/>
    </row>
    <row r="425" customFormat="false" ht="15" hidden="false" customHeight="true" outlineLevel="0" collapsed="false">
      <c r="A425" s="20" t="s">
        <v>130</v>
      </c>
      <c r="B425" s="39" t="n">
        <v>29.7</v>
      </c>
      <c r="C425" s="40" t="n">
        <v>30</v>
      </c>
      <c r="D425" s="41" t="n">
        <v>0.26964</v>
      </c>
      <c r="E425" s="41" t="n">
        <v>0.3868</v>
      </c>
      <c r="F425" s="39" t="n">
        <f aca="false">ROUND(B425*E425,2)</f>
        <v>11.49</v>
      </c>
      <c r="G425" s="42"/>
      <c r="H425" s="43" t="n">
        <v>29.7</v>
      </c>
      <c r="I425" s="44" t="n">
        <v>0.3868</v>
      </c>
      <c r="J425" s="43" t="n">
        <f aca="false">ROUND(H425*I425,2)</f>
        <v>11.49</v>
      </c>
      <c r="K425" s="42"/>
      <c r="L425" s="45" t="n">
        <v>29.7</v>
      </c>
      <c r="M425" s="46" t="n">
        <v>0.3868</v>
      </c>
      <c r="N425" s="45" t="n">
        <f aca="false">ROUND(L425*M425,2)</f>
        <v>11.49</v>
      </c>
      <c r="R425" s="50" t="s">
        <v>131</v>
      </c>
      <c r="S425" s="50"/>
      <c r="T425" s="50"/>
      <c r="U425" s="50"/>
      <c r="V425" s="50"/>
    </row>
    <row r="426" customFormat="false" ht="15" hidden="false" customHeight="true" outlineLevel="0" collapsed="false">
      <c r="A426" s="20" t="s">
        <v>132</v>
      </c>
      <c r="B426" s="39" t="n">
        <v>29.7</v>
      </c>
      <c r="C426" s="40" t="n">
        <v>30</v>
      </c>
      <c r="D426" s="41" t="n">
        <v>0.18156</v>
      </c>
      <c r="E426" s="41" t="n">
        <v>0.2653</v>
      </c>
      <c r="F426" s="39" t="n">
        <f aca="false">ROUND(B426*E426,2)</f>
        <v>7.88</v>
      </c>
      <c r="G426" s="42"/>
      <c r="H426" s="43" t="n">
        <v>29.7</v>
      </c>
      <c r="I426" s="44" t="n">
        <v>0.2653</v>
      </c>
      <c r="J426" s="43" t="n">
        <f aca="false">ROUND(H426*I426,2)</f>
        <v>7.88</v>
      </c>
      <c r="K426" s="42"/>
      <c r="L426" s="45" t="n">
        <v>29.7</v>
      </c>
      <c r="M426" s="46" t="n">
        <v>0.2653</v>
      </c>
      <c r="N426" s="45" t="n">
        <f aca="false">ROUND(L426*M426,2)</f>
        <v>7.88</v>
      </c>
    </row>
    <row r="427" customFormat="false" ht="15" hidden="false" customHeight="true" outlineLevel="0" collapsed="false">
      <c r="A427" s="51" t="s">
        <v>133</v>
      </c>
      <c r="B427" s="52" t="n">
        <f aca="false">IF($P$427="",1256.57,ROUND(1256.57*((705.3956/(1-$P$427))-171.33)/726.62,2))</f>
        <v>1256.57</v>
      </c>
      <c r="C427" s="40"/>
      <c r="D427" s="53" t="n">
        <v>0.106808</v>
      </c>
      <c r="E427" s="41" t="n">
        <v>0.135</v>
      </c>
      <c r="F427" s="39" t="n">
        <f aca="false">ROUND(B427*E427,2)</f>
        <v>169.64</v>
      </c>
      <c r="G427" s="42"/>
      <c r="H427" s="54" t="n">
        <v>1280.77</v>
      </c>
      <c r="I427" s="44" t="n">
        <v>0.16</v>
      </c>
      <c r="J427" s="43" t="n">
        <f aca="false">ROUND(H427*I427,2)</f>
        <v>204.92</v>
      </c>
      <c r="K427" s="42"/>
      <c r="L427" s="55" t="n">
        <v>1556.652</v>
      </c>
      <c r="M427" s="46" t="n">
        <v>0.17</v>
      </c>
      <c r="N427" s="45" t="n">
        <f aca="false">ROUND(L427*M427,2)</f>
        <v>264.63</v>
      </c>
      <c r="O427" s="56" t="s">
        <v>134</v>
      </c>
      <c r="P427" s="57"/>
    </row>
    <row r="428" customFormat="false" ht="15" hidden="false" customHeight="true" outlineLevel="0" collapsed="false">
      <c r="A428" s="51" t="s">
        <v>135</v>
      </c>
      <c r="B428" s="52" t="n">
        <f aca="false">IF($P$427="",1401.3,ROUND(1401.3*((705.3956/(1-$P$427))-171.33)/726.62,2))</f>
        <v>1401.3</v>
      </c>
      <c r="C428" s="40"/>
      <c r="D428" s="53" t="n">
        <v>0.106808</v>
      </c>
      <c r="E428" s="41" t="n">
        <v>0.135</v>
      </c>
      <c r="F428" s="39" t="n">
        <f aca="false">ROUND(B428*E428,2)</f>
        <v>189.18</v>
      </c>
      <c r="G428" s="42"/>
      <c r="H428" s="54" t="n">
        <v>1101.34</v>
      </c>
      <c r="I428" s="44" t="n">
        <v>0.15</v>
      </c>
      <c r="J428" s="43" t="n">
        <f aca="false">ROUND(H428*I428,2)</f>
        <v>165.2</v>
      </c>
      <c r="K428" s="42"/>
      <c r="L428" s="55" t="n">
        <v>1297.021</v>
      </c>
      <c r="M428" s="46" t="n">
        <v>0.16</v>
      </c>
      <c r="N428" s="45" t="n">
        <f aca="false">ROUND(L428*M428,2)</f>
        <v>207.52</v>
      </c>
      <c r="O428" s="58" t="s">
        <v>136</v>
      </c>
    </row>
    <row r="429" customFormat="false" ht="15" hidden="false" customHeight="true" outlineLevel="0" collapsed="false">
      <c r="A429" s="51" t="s">
        <v>137</v>
      </c>
      <c r="B429" s="52" t="n">
        <f aca="false">IF($P$427="",2851.2,ROUND(2851.2*((705.3956/(1-$P$427))-171.33)/726.62,2))</f>
        <v>2851.2</v>
      </c>
      <c r="C429" s="40"/>
      <c r="D429" s="53" t="n">
        <v>0.106808</v>
      </c>
      <c r="E429" s="41" t="n">
        <v>0.129</v>
      </c>
      <c r="F429" s="39" t="n">
        <f aca="false">ROUND(B429*E429,2)</f>
        <v>367.8</v>
      </c>
      <c r="G429" s="42"/>
      <c r="H429" s="54" t="n">
        <v>1558.3</v>
      </c>
      <c r="I429" s="44" t="n">
        <v>0.139</v>
      </c>
      <c r="J429" s="43" t="n">
        <f aca="false">ROUND(H429*I429,2)</f>
        <v>216.6</v>
      </c>
      <c r="K429" s="42"/>
      <c r="L429" s="55" t="n">
        <v>1708.53</v>
      </c>
      <c r="M429" s="46" t="n">
        <v>0.135</v>
      </c>
      <c r="N429" s="45" t="n">
        <f aca="false">ROUND(L429*M429,2)</f>
        <v>230.65</v>
      </c>
      <c r="O429" s="58" t="s">
        <v>138</v>
      </c>
    </row>
    <row r="430" customFormat="false" ht="15" hidden="false" customHeight="true" outlineLevel="0" collapsed="false">
      <c r="A430" s="20" t="s">
        <v>139</v>
      </c>
      <c r="B430" s="39" t="n">
        <v>1</v>
      </c>
      <c r="C430" s="59" t="n">
        <v>30</v>
      </c>
      <c r="D430" s="41" t="n">
        <v>17.615</v>
      </c>
      <c r="E430" s="41" t="n">
        <v>17.615</v>
      </c>
      <c r="F430" s="39" t="n">
        <f aca="false">ROUND(B430*E430,2)</f>
        <v>17.62</v>
      </c>
      <c r="G430" s="42"/>
      <c r="H430" s="43" t="n">
        <v>1</v>
      </c>
      <c r="I430" s="44" t="n">
        <v>17.615</v>
      </c>
      <c r="J430" s="43" t="n">
        <f aca="false">ROUND(H430*I430,2)</f>
        <v>17.62</v>
      </c>
      <c r="K430" s="42"/>
      <c r="L430" s="45" t="n">
        <v>1</v>
      </c>
      <c r="M430" s="46" t="n">
        <v>17.615</v>
      </c>
      <c r="N430" s="45" t="n">
        <f aca="false">ROUND(L430*M430,2)</f>
        <v>17.62</v>
      </c>
    </row>
    <row r="431" customFormat="false" ht="15" hidden="false" customHeight="true" outlineLevel="0" collapsed="false">
      <c r="A431" s="20" t="s">
        <v>140</v>
      </c>
      <c r="B431" s="39" t="n">
        <v>30</v>
      </c>
      <c r="C431" s="59" t="n">
        <v>30</v>
      </c>
      <c r="D431" s="41" t="n">
        <v>0.01274</v>
      </c>
      <c r="E431" s="41" t="n">
        <v>0.01274</v>
      </c>
      <c r="F431" s="39" t="n">
        <f aca="false">ROUND(B431*E431,2)</f>
        <v>0.38</v>
      </c>
      <c r="G431" s="42"/>
      <c r="H431" s="43" t="n">
        <v>30</v>
      </c>
      <c r="I431" s="44" t="n">
        <v>0.01274</v>
      </c>
      <c r="J431" s="43" t="n">
        <f aca="false">ROUND(H431*I431,2)</f>
        <v>0.38</v>
      </c>
      <c r="K431" s="42"/>
      <c r="L431" s="45" t="n">
        <v>30</v>
      </c>
      <c r="M431" s="46" t="n">
        <v>0.01274</v>
      </c>
      <c r="N431" s="45" t="n">
        <f aca="false">ROUND(L431*M431,2)</f>
        <v>0.38</v>
      </c>
    </row>
    <row r="432" customFormat="false" ht="15" hidden="false" customHeight="true" outlineLevel="0" collapsed="false">
      <c r="A432" s="20" t="s">
        <v>141</v>
      </c>
      <c r="B432" s="39" t="n">
        <v>48.85</v>
      </c>
      <c r="C432" s="40"/>
      <c r="D432" s="41" t="n">
        <v>1</v>
      </c>
      <c r="E432" s="41" t="n">
        <v>1</v>
      </c>
      <c r="F432" s="39" t="n">
        <f aca="false">ROUND(B432*E432,2)</f>
        <v>48.85</v>
      </c>
      <c r="G432" s="42"/>
      <c r="H432" s="43" t="n">
        <v>40.1</v>
      </c>
      <c r="I432" s="44" t="n">
        <v>1</v>
      </c>
      <c r="J432" s="43" t="n">
        <f aca="false">ROUND(H432*I432,2)</f>
        <v>40.1</v>
      </c>
      <c r="K432" s="42"/>
      <c r="L432" s="45" t="n">
        <v>50.26</v>
      </c>
      <c r="M432" s="46" t="n">
        <v>1</v>
      </c>
      <c r="N432" s="45" t="n">
        <f aca="false">ROUND(L432*M432,2)</f>
        <v>50.26</v>
      </c>
    </row>
    <row r="433" customFormat="false" ht="15" hidden="false" customHeight="true" outlineLevel="0" collapsed="false">
      <c r="A433" s="60" t="s">
        <v>142</v>
      </c>
      <c r="B433" s="61"/>
      <c r="C433" s="61"/>
      <c r="D433" s="61"/>
      <c r="E433" s="61"/>
      <c r="F433" s="62" t="n">
        <f aca="false">ROUND((SUM(F421:F432)-F432)*1.21+F432,2)</f>
        <v>1157.15</v>
      </c>
      <c r="G433" s="61"/>
      <c r="H433" s="61"/>
      <c r="I433" s="61"/>
      <c r="J433" s="63" t="n">
        <f aca="false">ROUND((SUM(J421:J432)-J432)*1.21+J432,2)</f>
        <v>979.12</v>
      </c>
      <c r="K433" s="61"/>
      <c r="L433" s="61"/>
      <c r="M433" s="61"/>
      <c r="N433" s="64" t="n">
        <f aca="false">ROUND((SUM(N421:N432)-N432)*1.21+N432,2)</f>
        <v>1129.74</v>
      </c>
    </row>
    <row r="434" customFormat="false" ht="15" hidden="false" customHeight="true" outlineLevel="0" collapsed="false">
      <c r="A434" s="65" t="s">
        <v>143</v>
      </c>
      <c r="B434" s="66" t="n">
        <f aca="false">(SUM(F421:F429)-705.3956)/SUM(F421:F429)</f>
        <v>0.214437774931789</v>
      </c>
      <c r="C434" s="66"/>
      <c r="D434" s="66"/>
      <c r="E434" s="66"/>
      <c r="F434" s="66"/>
      <c r="G434" s="67"/>
      <c r="H434" s="67"/>
      <c r="I434" s="67"/>
      <c r="J434" s="67"/>
      <c r="K434" s="67"/>
      <c r="L434" s="68" t="str">
        <f aca="false">IF(B434&gt;=0.3,"APROBAR",IF(B434&gt;=0.2,"REVISAR","RECHAZAR"))</f>
        <v>REVISAR</v>
      </c>
      <c r="M434" s="68"/>
      <c r="N434" s="68"/>
    </row>
    <row r="436" customFormat="false" ht="15" hidden="false" customHeight="true" outlineLevel="0" collapsed="false">
      <c r="A436" s="26" t="s">
        <v>343</v>
      </c>
      <c r="B436" s="26"/>
      <c r="C436" s="26"/>
      <c r="D436" s="26"/>
      <c r="E436" s="26"/>
      <c r="F436" s="26"/>
      <c r="G436" s="26"/>
      <c r="H436" s="26"/>
      <c r="I436" s="27" t="s">
        <v>344</v>
      </c>
      <c r="J436" s="27"/>
      <c r="K436" s="27"/>
      <c r="L436" s="27"/>
      <c r="M436" s="27"/>
      <c r="N436" s="27"/>
      <c r="R436" s="28" t="s">
        <v>110</v>
      </c>
      <c r="S436" s="28"/>
      <c r="T436" s="28"/>
      <c r="U436" s="28"/>
      <c r="V436" s="28"/>
    </row>
    <row r="437" customFormat="false" ht="15" hidden="false" customHeight="true" outlineLevel="0" collapsed="false">
      <c r="A437" s="29" t="s">
        <v>111</v>
      </c>
      <c r="B437" s="30" t="s">
        <v>112</v>
      </c>
      <c r="C437" s="30"/>
      <c r="D437" s="30"/>
      <c r="E437" s="30"/>
      <c r="F437" s="30"/>
      <c r="G437" s="31"/>
      <c r="H437" s="32" t="s">
        <v>345</v>
      </c>
      <c r="I437" s="32"/>
      <c r="J437" s="32"/>
      <c r="K437" s="31"/>
      <c r="L437" s="33" t="s">
        <v>346</v>
      </c>
      <c r="M437" s="33"/>
      <c r="N437" s="33"/>
      <c r="R437" s="34" t="s">
        <v>347</v>
      </c>
      <c r="S437" s="34"/>
      <c r="T437" s="34"/>
      <c r="U437" s="34"/>
      <c r="V437" s="34"/>
    </row>
    <row r="438" customFormat="false" ht="15" hidden="false" customHeight="true" outlineLevel="0" collapsed="false">
      <c r="A438" s="31"/>
      <c r="B438" s="35" t="s">
        <v>116</v>
      </c>
      <c r="C438" s="35" t="s">
        <v>117</v>
      </c>
      <c r="D438" s="35" t="s">
        <v>118</v>
      </c>
      <c r="E438" s="35" t="s">
        <v>119</v>
      </c>
      <c r="F438" s="35" t="s">
        <v>120</v>
      </c>
      <c r="G438" s="31"/>
      <c r="H438" s="36" t="s">
        <v>116</v>
      </c>
      <c r="I438" s="36" t="s">
        <v>119</v>
      </c>
      <c r="J438" s="36" t="s">
        <v>120</v>
      </c>
      <c r="K438" s="31"/>
      <c r="L438" s="37" t="s">
        <v>116</v>
      </c>
      <c r="M438" s="37" t="s">
        <v>119</v>
      </c>
      <c r="N438" s="37" t="s">
        <v>120</v>
      </c>
      <c r="R438" s="38" t="s">
        <v>348</v>
      </c>
      <c r="S438" s="38"/>
      <c r="T438" s="38"/>
      <c r="U438" s="38"/>
      <c r="V438" s="38"/>
    </row>
    <row r="439" customFormat="false" ht="15" hidden="false" customHeight="true" outlineLevel="0" collapsed="false">
      <c r="A439" s="20" t="s">
        <v>122</v>
      </c>
      <c r="B439" s="39" t="n">
        <v>36</v>
      </c>
      <c r="C439" s="40" t="n">
        <v>30</v>
      </c>
      <c r="D439" s="41" t="n">
        <v>1.44549</v>
      </c>
      <c r="E439" s="41" t="n">
        <v>1.7</v>
      </c>
      <c r="F439" s="39" t="n">
        <f aca="false">ROUND(B439*E439,2)</f>
        <v>61.2</v>
      </c>
      <c r="G439" s="42"/>
      <c r="H439" s="43" t="n">
        <v>36</v>
      </c>
      <c r="I439" s="44" t="n">
        <v>1.7</v>
      </c>
      <c r="J439" s="43" t="n">
        <f aca="false">ROUND(H439*I439,2)</f>
        <v>61.2</v>
      </c>
      <c r="K439" s="42"/>
      <c r="L439" s="45" t="n">
        <v>36</v>
      </c>
      <c r="M439" s="46" t="n">
        <v>1.7</v>
      </c>
      <c r="N439" s="45" t="n">
        <f aca="false">ROUND(L439*M439,2)</f>
        <v>61.2</v>
      </c>
      <c r="R439" s="47" t="s">
        <v>349</v>
      </c>
      <c r="S439" s="47"/>
      <c r="T439" s="47"/>
      <c r="U439" s="47"/>
      <c r="V439" s="47"/>
    </row>
    <row r="440" customFormat="false" ht="15" hidden="false" customHeight="true" outlineLevel="0" collapsed="false">
      <c r="A440" s="20" t="s">
        <v>124</v>
      </c>
      <c r="B440" s="39" t="n">
        <v>37</v>
      </c>
      <c r="C440" s="40" t="n">
        <v>30</v>
      </c>
      <c r="D440" s="41" t="n">
        <v>0.9927</v>
      </c>
      <c r="E440" s="41" t="n">
        <v>1.3733</v>
      </c>
      <c r="F440" s="39" t="n">
        <f aca="false">ROUND(B440*E440,2)</f>
        <v>50.81</v>
      </c>
      <c r="G440" s="42"/>
      <c r="H440" s="43" t="n">
        <v>37</v>
      </c>
      <c r="I440" s="44" t="n">
        <v>1.3733</v>
      </c>
      <c r="J440" s="43" t="n">
        <f aca="false">ROUND(H440*I440,2)</f>
        <v>50.81</v>
      </c>
      <c r="K440" s="42"/>
      <c r="L440" s="45" t="n">
        <v>37</v>
      </c>
      <c r="M440" s="46" t="n">
        <v>1.3733</v>
      </c>
      <c r="N440" s="45" t="n">
        <f aca="false">ROUND(L440*M440,2)</f>
        <v>50.81</v>
      </c>
      <c r="R440" s="48" t="s">
        <v>350</v>
      </c>
      <c r="S440" s="48"/>
      <c r="T440" s="48"/>
      <c r="U440" s="48"/>
      <c r="V440" s="48"/>
    </row>
    <row r="441" customFormat="false" ht="15" hidden="false" customHeight="true" outlineLevel="0" collapsed="false">
      <c r="A441" s="20" t="s">
        <v>126</v>
      </c>
      <c r="B441" s="39" t="n">
        <v>37</v>
      </c>
      <c r="C441" s="40" t="n">
        <v>30</v>
      </c>
      <c r="D441" s="41" t="n">
        <v>0.82233</v>
      </c>
      <c r="E441" s="41" t="n">
        <v>0.4</v>
      </c>
      <c r="F441" s="39" t="n">
        <f aca="false">ROUND(B441*E441,2)</f>
        <v>14.8</v>
      </c>
      <c r="G441" s="42"/>
      <c r="H441" s="43" t="n">
        <v>37</v>
      </c>
      <c r="I441" s="44" t="n">
        <v>0.4</v>
      </c>
      <c r="J441" s="43" t="n">
        <f aca="false">ROUND(H441*I441,2)</f>
        <v>14.8</v>
      </c>
      <c r="K441" s="42"/>
      <c r="L441" s="45" t="n">
        <v>37</v>
      </c>
      <c r="M441" s="46" t="n">
        <v>0.4</v>
      </c>
      <c r="N441" s="45" t="n">
        <f aca="false">ROUND(L441*M441,2)</f>
        <v>14.8</v>
      </c>
      <c r="R441" s="48" t="s">
        <v>351</v>
      </c>
      <c r="S441" s="48"/>
      <c r="T441" s="48"/>
      <c r="U441" s="48"/>
      <c r="V441" s="48"/>
    </row>
    <row r="442" customFormat="false" ht="15" hidden="false" customHeight="true" outlineLevel="0" collapsed="false">
      <c r="A442" s="20" t="s">
        <v>128</v>
      </c>
      <c r="B442" s="39" t="n">
        <v>37</v>
      </c>
      <c r="C442" s="40" t="n">
        <v>30</v>
      </c>
      <c r="D442" s="41" t="n">
        <v>0.54753</v>
      </c>
      <c r="E442" s="41" t="n">
        <v>0.36</v>
      </c>
      <c r="F442" s="39" t="n">
        <f aca="false">ROUND(B442*E442,2)</f>
        <v>13.32</v>
      </c>
      <c r="G442" s="42"/>
      <c r="H442" s="43" t="n">
        <v>37</v>
      </c>
      <c r="I442" s="44" t="n">
        <v>0.36</v>
      </c>
      <c r="J442" s="43" t="n">
        <f aca="false">ROUND(H442*I442,2)</f>
        <v>13.32</v>
      </c>
      <c r="K442" s="42"/>
      <c r="L442" s="45" t="n">
        <v>37</v>
      </c>
      <c r="M442" s="46" t="n">
        <v>0.36</v>
      </c>
      <c r="N442" s="45" t="n">
        <f aca="false">ROUND(L442*M442,2)</f>
        <v>13.32</v>
      </c>
      <c r="R442" s="69" t="s">
        <v>162</v>
      </c>
      <c r="S442" s="69"/>
      <c r="T442" s="69"/>
      <c r="U442" s="69"/>
      <c r="V442" s="69"/>
    </row>
    <row r="443" customFormat="false" ht="15" hidden="false" customHeight="true" outlineLevel="0" collapsed="false">
      <c r="A443" s="20" t="s">
        <v>130</v>
      </c>
      <c r="B443" s="39" t="n">
        <v>37</v>
      </c>
      <c r="C443" s="40" t="n">
        <v>30</v>
      </c>
      <c r="D443" s="41" t="n">
        <v>0.30594</v>
      </c>
      <c r="E443" s="41" t="n">
        <v>0.22</v>
      </c>
      <c r="F443" s="39" t="n">
        <f aca="false">ROUND(B443*E443,2)</f>
        <v>8.14</v>
      </c>
      <c r="G443" s="42"/>
      <c r="H443" s="43" t="n">
        <v>37</v>
      </c>
      <c r="I443" s="44" t="n">
        <v>0.22</v>
      </c>
      <c r="J443" s="43" t="n">
        <f aca="false">ROUND(H443*I443,2)</f>
        <v>8.14</v>
      </c>
      <c r="K443" s="42"/>
      <c r="L443" s="45" t="n">
        <v>37</v>
      </c>
      <c r="M443" s="46" t="n">
        <v>0.22</v>
      </c>
      <c r="N443" s="45" t="n">
        <f aca="false">ROUND(L443*M443,2)</f>
        <v>8.14</v>
      </c>
      <c r="R443" s="50" t="s">
        <v>131</v>
      </c>
      <c r="S443" s="50"/>
      <c r="T443" s="50"/>
      <c r="U443" s="50"/>
      <c r="V443" s="50"/>
    </row>
    <row r="444" customFormat="false" ht="15" hidden="false" customHeight="true" outlineLevel="0" collapsed="false">
      <c r="A444" s="20" t="s">
        <v>132</v>
      </c>
      <c r="B444" s="39" t="n">
        <v>37</v>
      </c>
      <c r="C444" s="40" t="n">
        <v>30</v>
      </c>
      <c r="D444" s="41" t="n">
        <v>0.25668</v>
      </c>
      <c r="E444" s="41" t="n">
        <v>0.18</v>
      </c>
      <c r="F444" s="39" t="n">
        <f aca="false">ROUND(B444*E444,2)</f>
        <v>6.66</v>
      </c>
      <c r="G444" s="42"/>
      <c r="H444" s="43" t="n">
        <v>37</v>
      </c>
      <c r="I444" s="44" t="n">
        <v>0.18</v>
      </c>
      <c r="J444" s="43" t="n">
        <f aca="false">ROUND(H444*I444,2)</f>
        <v>6.66</v>
      </c>
      <c r="K444" s="42"/>
      <c r="L444" s="45" t="n">
        <v>37</v>
      </c>
      <c r="M444" s="46" t="n">
        <v>0.18</v>
      </c>
      <c r="N444" s="45" t="n">
        <f aca="false">ROUND(L444*M444,2)</f>
        <v>6.66</v>
      </c>
    </row>
    <row r="445" customFormat="false" ht="15" hidden="false" customHeight="true" outlineLevel="0" collapsed="false">
      <c r="A445" s="51" t="s">
        <v>133</v>
      </c>
      <c r="B445" s="52" t="n">
        <f aca="false">IF($P$445="",2261.11,ROUND(2261.11*((793.4509/(1-$P$445))-154.93)/678.08,2))</f>
        <v>2261.11</v>
      </c>
      <c r="C445" s="40"/>
      <c r="D445" s="53" t="n">
        <v>0.130429</v>
      </c>
      <c r="E445" s="41" t="n">
        <v>0.14</v>
      </c>
      <c r="F445" s="39" t="n">
        <f aca="false">ROUND(B445*E445,2)</f>
        <v>316.56</v>
      </c>
      <c r="G445" s="42"/>
      <c r="H445" s="54" t="n">
        <v>2167.11</v>
      </c>
      <c r="I445" s="44" t="n">
        <v>0.149</v>
      </c>
      <c r="J445" s="43" t="n">
        <f aca="false">ROUND(H445*I445,2)</f>
        <v>322.9</v>
      </c>
      <c r="K445" s="42"/>
      <c r="L445" s="55" t="n">
        <v>1389.72</v>
      </c>
      <c r="M445" s="46" t="n">
        <v>0.15</v>
      </c>
      <c r="N445" s="45" t="n">
        <f aca="false">ROUND(L445*M445,2)</f>
        <v>208.46</v>
      </c>
      <c r="O445" s="56" t="s">
        <v>134</v>
      </c>
      <c r="P445" s="57"/>
    </row>
    <row r="446" customFormat="false" ht="15" hidden="false" customHeight="true" outlineLevel="0" collapsed="false">
      <c r="A446" s="51" t="s">
        <v>135</v>
      </c>
      <c r="B446" s="52" t="n">
        <f aca="false">IF($P$445="",1435.19,ROUND(1435.19*((793.4509/(1-$P$445))-154.93)/678.08,2))</f>
        <v>1435.19</v>
      </c>
      <c r="C446" s="40"/>
      <c r="D446" s="53" t="n">
        <v>0.130429</v>
      </c>
      <c r="E446" s="41" t="n">
        <v>0.14</v>
      </c>
      <c r="F446" s="39" t="n">
        <f aca="false">ROUND(B446*E446,2)</f>
        <v>200.93</v>
      </c>
      <c r="G446" s="42"/>
      <c r="H446" s="54" t="n">
        <v>1456.19</v>
      </c>
      <c r="I446" s="44" t="n">
        <v>0.149</v>
      </c>
      <c r="J446" s="43" t="n">
        <f aca="false">ROUND(H446*I446,2)</f>
        <v>216.97</v>
      </c>
      <c r="K446" s="42"/>
      <c r="L446" s="55" t="n">
        <v>995.207</v>
      </c>
      <c r="M446" s="46" t="n">
        <v>0.15</v>
      </c>
      <c r="N446" s="45" t="n">
        <f aca="false">ROUND(L446*M446,2)</f>
        <v>149.28</v>
      </c>
      <c r="O446" s="58" t="s">
        <v>136</v>
      </c>
    </row>
    <row r="447" customFormat="false" ht="15" hidden="false" customHeight="true" outlineLevel="0" collapsed="false">
      <c r="A447" s="51" t="s">
        <v>137</v>
      </c>
      <c r="B447" s="52" t="n">
        <f aca="false">IF($P$445="",1155.316,ROUND(1155.316*((793.4509/(1-$P$445))-154.93)/678.08,2))</f>
        <v>1155.316</v>
      </c>
      <c r="C447" s="40"/>
      <c r="D447" s="53" t="n">
        <v>0.130768</v>
      </c>
      <c r="E447" s="41" t="n">
        <v>0.139</v>
      </c>
      <c r="F447" s="39" t="n">
        <f aca="false">ROUND(B447*E447,2)</f>
        <v>160.59</v>
      </c>
      <c r="G447" s="42"/>
      <c r="H447" s="54" t="n">
        <v>1117.316</v>
      </c>
      <c r="I447" s="44" t="n">
        <v>0.135</v>
      </c>
      <c r="J447" s="43" t="n">
        <f aca="false">ROUND(H447*I447,2)</f>
        <v>150.84</v>
      </c>
      <c r="K447" s="42"/>
      <c r="L447" s="55" t="n">
        <v>881.134</v>
      </c>
      <c r="M447" s="46" t="n">
        <v>0.14</v>
      </c>
      <c r="N447" s="45" t="n">
        <f aca="false">ROUND(L447*M447,2)</f>
        <v>123.36</v>
      </c>
      <c r="O447" s="58" t="s">
        <v>138</v>
      </c>
    </row>
    <row r="448" customFormat="false" ht="15" hidden="false" customHeight="true" outlineLevel="0" collapsed="false">
      <c r="A448" s="20" t="s">
        <v>139</v>
      </c>
      <c r="B448" s="39" t="n">
        <v>1</v>
      </c>
      <c r="C448" s="59" t="n">
        <v>30</v>
      </c>
      <c r="D448" s="41" t="n">
        <v>6</v>
      </c>
      <c r="E448" s="41" t="n">
        <v>6</v>
      </c>
      <c r="F448" s="39" t="n">
        <f aca="false">ROUND(B448*E448,2)</f>
        <v>6</v>
      </c>
      <c r="G448" s="42"/>
      <c r="H448" s="43" t="n">
        <v>1</v>
      </c>
      <c r="I448" s="44" t="n">
        <v>6</v>
      </c>
      <c r="J448" s="43" t="n">
        <f aca="false">ROUND(H448*I448,2)</f>
        <v>6</v>
      </c>
      <c r="K448" s="42"/>
      <c r="L448" s="45" t="n">
        <v>1</v>
      </c>
      <c r="M448" s="46" t="n">
        <v>6</v>
      </c>
      <c r="N448" s="45" t="n">
        <f aca="false">ROUND(L448*M448,2)</f>
        <v>6</v>
      </c>
    </row>
    <row r="449" customFormat="false" ht="15" hidden="false" customHeight="true" outlineLevel="0" collapsed="false">
      <c r="A449" s="20" t="s">
        <v>140</v>
      </c>
      <c r="B449" s="39" t="n">
        <v>30</v>
      </c>
      <c r="C449" s="59" t="n">
        <v>30</v>
      </c>
      <c r="D449" s="41" t="n">
        <v>0.01912</v>
      </c>
      <c r="E449" s="41" t="n">
        <v>0.01912</v>
      </c>
      <c r="F449" s="39" t="n">
        <f aca="false">ROUND(B449*E449,2)</f>
        <v>0.57</v>
      </c>
      <c r="G449" s="42"/>
      <c r="H449" s="43" t="n">
        <v>30</v>
      </c>
      <c r="I449" s="44" t="n">
        <v>0.01912</v>
      </c>
      <c r="J449" s="43" t="n">
        <f aca="false">ROUND(H449*I449,2)</f>
        <v>0.57</v>
      </c>
      <c r="K449" s="42"/>
      <c r="L449" s="45" t="n">
        <v>30</v>
      </c>
      <c r="M449" s="46" t="n">
        <v>0.01274</v>
      </c>
      <c r="N449" s="45" t="n">
        <f aca="false">ROUND(L449*M449,2)</f>
        <v>0.38</v>
      </c>
    </row>
    <row r="450" customFormat="false" ht="15" hidden="false" customHeight="true" outlineLevel="0" collapsed="false">
      <c r="A450" s="20" t="s">
        <v>141</v>
      </c>
      <c r="B450" s="39" t="n">
        <v>45.27</v>
      </c>
      <c r="C450" s="40"/>
      <c r="D450" s="41" t="n">
        <v>1</v>
      </c>
      <c r="E450" s="41" t="n">
        <v>1</v>
      </c>
      <c r="F450" s="39" t="n">
        <f aca="false">ROUND(B450*E450,2)</f>
        <v>45.27</v>
      </c>
      <c r="G450" s="42"/>
      <c r="H450" s="43" t="n">
        <v>46.08</v>
      </c>
      <c r="I450" s="44" t="n">
        <v>1</v>
      </c>
      <c r="J450" s="43" t="n">
        <f aca="false">ROUND(H450*I450,2)</f>
        <v>46.08</v>
      </c>
      <c r="K450" s="42"/>
      <c r="L450" s="45" t="n">
        <v>42.92</v>
      </c>
      <c r="M450" s="46" t="n">
        <v>1</v>
      </c>
      <c r="N450" s="45" t="n">
        <f aca="false">ROUND(L450*M450,2)</f>
        <v>42.92</v>
      </c>
    </row>
    <row r="451" customFormat="false" ht="15" hidden="false" customHeight="true" outlineLevel="0" collapsed="false">
      <c r="A451" s="60" t="s">
        <v>142</v>
      </c>
      <c r="B451" s="61"/>
      <c r="C451" s="61"/>
      <c r="D451" s="61"/>
      <c r="E451" s="61"/>
      <c r="F451" s="62" t="n">
        <f aca="false">ROUND((SUM(F439:F450)-F450)*1.21+F450,2)</f>
        <v>1061.16</v>
      </c>
      <c r="G451" s="61"/>
      <c r="H451" s="61"/>
      <c r="I451" s="61"/>
      <c r="J451" s="63" t="n">
        <f aca="false">ROUND((SUM(J439:J450)-J450)*1.21+J450,2)</f>
        <v>1077.25</v>
      </c>
      <c r="K451" s="61"/>
      <c r="L451" s="61"/>
      <c r="M451" s="61"/>
      <c r="N451" s="64" t="n">
        <f aca="false">ROUND((SUM(N439:N450)-N450)*1.21+N450,2)</f>
        <v>820.24</v>
      </c>
    </row>
    <row r="452" customFormat="false" ht="15" hidden="false" customHeight="true" outlineLevel="0" collapsed="false">
      <c r="A452" s="65" t="s">
        <v>143</v>
      </c>
      <c r="B452" s="66" t="n">
        <f aca="false">(SUM(F439:F447)-793.4509)/SUM(F439:F447)</f>
        <v>0.0474893458661961</v>
      </c>
      <c r="C452" s="66"/>
      <c r="D452" s="66"/>
      <c r="E452" s="66"/>
      <c r="F452" s="66"/>
      <c r="G452" s="67"/>
      <c r="H452" s="67"/>
      <c r="I452" s="67"/>
      <c r="J452" s="67"/>
      <c r="K452" s="67"/>
      <c r="L452" s="68" t="str">
        <f aca="false">IF(B452&gt;=0.3,"APROBAR",IF(B452&gt;=0.2,"REVISAR","RECHAZAR"))</f>
        <v>RECHAZAR</v>
      </c>
      <c r="M452" s="68"/>
      <c r="N452" s="68"/>
    </row>
    <row r="454" customFormat="false" ht="15" hidden="false" customHeight="true" outlineLevel="0" collapsed="false">
      <c r="A454" s="26" t="s">
        <v>352</v>
      </c>
      <c r="B454" s="26"/>
      <c r="C454" s="26"/>
      <c r="D454" s="26"/>
      <c r="E454" s="26"/>
      <c r="F454" s="26"/>
      <c r="G454" s="26"/>
      <c r="H454" s="26"/>
      <c r="I454" s="27" t="s">
        <v>353</v>
      </c>
      <c r="J454" s="27"/>
      <c r="K454" s="27"/>
      <c r="L454" s="27"/>
      <c r="M454" s="27"/>
      <c r="N454" s="27"/>
      <c r="R454" s="28" t="s">
        <v>110</v>
      </c>
      <c r="S454" s="28"/>
      <c r="T454" s="28"/>
      <c r="U454" s="28"/>
      <c r="V454" s="28"/>
    </row>
    <row r="455" customFormat="false" ht="15" hidden="false" customHeight="true" outlineLevel="0" collapsed="false">
      <c r="A455" s="29" t="s">
        <v>111</v>
      </c>
      <c r="B455" s="30" t="s">
        <v>112</v>
      </c>
      <c r="C455" s="30"/>
      <c r="D455" s="30"/>
      <c r="E455" s="30"/>
      <c r="F455" s="30"/>
      <c r="G455" s="31"/>
      <c r="H455" s="32" t="s">
        <v>354</v>
      </c>
      <c r="I455" s="32"/>
      <c r="J455" s="32"/>
      <c r="K455" s="31"/>
      <c r="L455" s="33" t="s">
        <v>355</v>
      </c>
      <c r="M455" s="33"/>
      <c r="N455" s="33"/>
      <c r="R455" s="34" t="s">
        <v>356</v>
      </c>
      <c r="S455" s="34"/>
      <c r="T455" s="34"/>
      <c r="U455" s="34"/>
      <c r="V455" s="34"/>
    </row>
    <row r="456" customFormat="false" ht="15" hidden="false" customHeight="true" outlineLevel="0" collapsed="false">
      <c r="A456" s="31"/>
      <c r="B456" s="35" t="s">
        <v>116</v>
      </c>
      <c r="C456" s="35" t="s">
        <v>117</v>
      </c>
      <c r="D456" s="35" t="s">
        <v>118</v>
      </c>
      <c r="E456" s="35" t="s">
        <v>119</v>
      </c>
      <c r="F456" s="35" t="s">
        <v>120</v>
      </c>
      <c r="G456" s="31"/>
      <c r="H456" s="36" t="s">
        <v>116</v>
      </c>
      <c r="I456" s="36" t="s">
        <v>119</v>
      </c>
      <c r="J456" s="36" t="s">
        <v>120</v>
      </c>
      <c r="K456" s="31"/>
      <c r="L456" s="37" t="s">
        <v>116</v>
      </c>
      <c r="M456" s="37" t="s">
        <v>119</v>
      </c>
      <c r="N456" s="37" t="s">
        <v>120</v>
      </c>
      <c r="R456" s="38" t="s">
        <v>357</v>
      </c>
      <c r="S456" s="38"/>
      <c r="T456" s="38"/>
      <c r="U456" s="38"/>
      <c r="V456" s="38"/>
    </row>
    <row r="457" customFormat="false" ht="15" hidden="false" customHeight="true" outlineLevel="0" collapsed="false">
      <c r="A457" s="20" t="s">
        <v>122</v>
      </c>
      <c r="B457" s="39" t="n">
        <v>27</v>
      </c>
      <c r="C457" s="40" t="n">
        <v>30</v>
      </c>
      <c r="D457" s="41" t="n">
        <v>1.73784</v>
      </c>
      <c r="E457" s="41" t="n">
        <v>2.5542</v>
      </c>
      <c r="F457" s="39" t="n">
        <f aca="false">ROUND(B457*E457,2)</f>
        <v>68.96</v>
      </c>
      <c r="G457" s="42"/>
      <c r="H457" s="43" t="n">
        <v>27</v>
      </c>
      <c r="I457" s="44" t="n">
        <v>2.5542</v>
      </c>
      <c r="J457" s="43" t="n">
        <f aca="false">ROUND(H457*I457,2)</f>
        <v>68.96</v>
      </c>
      <c r="K457" s="42"/>
      <c r="L457" s="45" t="n">
        <v>27</v>
      </c>
      <c r="M457" s="46" t="n">
        <v>2.5542</v>
      </c>
      <c r="N457" s="45" t="n">
        <f aca="false">ROUND(L457*M457,2)</f>
        <v>68.96</v>
      </c>
      <c r="R457" s="47" t="s">
        <v>358</v>
      </c>
      <c r="S457" s="47"/>
      <c r="T457" s="47"/>
      <c r="U457" s="47"/>
      <c r="V457" s="47"/>
    </row>
    <row r="458" customFormat="false" ht="15" hidden="false" customHeight="true" outlineLevel="0" collapsed="false">
      <c r="A458" s="20" t="s">
        <v>124</v>
      </c>
      <c r="B458" s="39" t="n">
        <v>27</v>
      </c>
      <c r="C458" s="40" t="n">
        <v>30</v>
      </c>
      <c r="D458" s="41" t="n">
        <v>0.9357</v>
      </c>
      <c r="E458" s="41" t="n">
        <v>1.37733</v>
      </c>
      <c r="F458" s="39" t="n">
        <f aca="false">ROUND(B458*E458,2)</f>
        <v>37.19</v>
      </c>
      <c r="G458" s="42"/>
      <c r="H458" s="43" t="n">
        <v>27</v>
      </c>
      <c r="I458" s="44" t="n">
        <v>1.37733</v>
      </c>
      <c r="J458" s="43" t="n">
        <f aca="false">ROUND(H458*I458,2)</f>
        <v>37.19</v>
      </c>
      <c r="K458" s="42"/>
      <c r="L458" s="45" t="n">
        <v>27</v>
      </c>
      <c r="M458" s="46" t="n">
        <v>1.37733</v>
      </c>
      <c r="N458" s="45" t="n">
        <f aca="false">ROUND(L458*M458,2)</f>
        <v>37.19</v>
      </c>
      <c r="R458" s="48" t="s">
        <v>359</v>
      </c>
      <c r="S458" s="48"/>
      <c r="T458" s="48"/>
      <c r="U458" s="48"/>
      <c r="V458" s="48"/>
    </row>
    <row r="459" customFormat="false" ht="15" hidden="false" customHeight="true" outlineLevel="0" collapsed="false">
      <c r="A459" s="20" t="s">
        <v>126</v>
      </c>
      <c r="B459" s="39" t="n">
        <v>27</v>
      </c>
      <c r="C459" s="40" t="n">
        <v>30</v>
      </c>
      <c r="D459" s="41" t="n">
        <v>0.43137</v>
      </c>
      <c r="E459" s="41" t="n">
        <v>0.62868</v>
      </c>
      <c r="F459" s="39" t="n">
        <f aca="false">ROUND(B459*E459,2)</f>
        <v>16.97</v>
      </c>
      <c r="G459" s="42"/>
      <c r="H459" s="43" t="n">
        <v>27</v>
      </c>
      <c r="I459" s="44" t="n">
        <v>0.62868</v>
      </c>
      <c r="J459" s="43" t="n">
        <f aca="false">ROUND(H459*I459,2)</f>
        <v>16.97</v>
      </c>
      <c r="K459" s="42"/>
      <c r="L459" s="45" t="n">
        <v>27</v>
      </c>
      <c r="M459" s="46" t="n">
        <v>0.62868</v>
      </c>
      <c r="N459" s="45" t="n">
        <f aca="false">ROUND(L459*M459,2)</f>
        <v>16.97</v>
      </c>
      <c r="R459" s="48" t="s">
        <v>360</v>
      </c>
      <c r="S459" s="48"/>
      <c r="T459" s="48"/>
      <c r="U459" s="48"/>
      <c r="V459" s="48"/>
    </row>
    <row r="460" customFormat="false" ht="15" hidden="false" customHeight="true" outlineLevel="0" collapsed="false">
      <c r="A460" s="20" t="s">
        <v>128</v>
      </c>
      <c r="B460" s="39" t="n">
        <v>27</v>
      </c>
      <c r="C460" s="40" t="n">
        <v>30</v>
      </c>
      <c r="D460" s="41" t="n">
        <v>0.38244</v>
      </c>
      <c r="E460" s="41" t="n">
        <v>0.5561</v>
      </c>
      <c r="F460" s="39" t="n">
        <f aca="false">ROUND(B460*E460,2)</f>
        <v>15.01</v>
      </c>
      <c r="G460" s="42"/>
      <c r="H460" s="43" t="n">
        <v>27</v>
      </c>
      <c r="I460" s="44" t="n">
        <v>0.5561</v>
      </c>
      <c r="J460" s="43" t="n">
        <f aca="false">ROUND(H460*I460,2)</f>
        <v>15.01</v>
      </c>
      <c r="K460" s="42"/>
      <c r="L460" s="45" t="n">
        <v>27</v>
      </c>
      <c r="M460" s="46" t="n">
        <v>0.5561</v>
      </c>
      <c r="N460" s="45" t="n">
        <f aca="false">ROUND(L460*M460,2)</f>
        <v>15.01</v>
      </c>
      <c r="R460" s="69" t="s">
        <v>162</v>
      </c>
      <c r="S460" s="69"/>
      <c r="T460" s="69"/>
      <c r="U460" s="69"/>
      <c r="V460" s="69"/>
    </row>
    <row r="461" customFormat="false" ht="15" hidden="false" customHeight="true" outlineLevel="0" collapsed="false">
      <c r="A461" s="20" t="s">
        <v>130</v>
      </c>
      <c r="B461" s="39" t="n">
        <v>27</v>
      </c>
      <c r="C461" s="40" t="n">
        <v>30</v>
      </c>
      <c r="D461" s="41" t="n">
        <v>0.26964</v>
      </c>
      <c r="E461" s="41" t="n">
        <v>0.3868</v>
      </c>
      <c r="F461" s="39" t="n">
        <f aca="false">ROUND(B461*E461,2)</f>
        <v>10.44</v>
      </c>
      <c r="G461" s="42"/>
      <c r="H461" s="43" t="n">
        <v>27</v>
      </c>
      <c r="I461" s="44" t="n">
        <v>0.3868</v>
      </c>
      <c r="J461" s="43" t="n">
        <f aca="false">ROUND(H461*I461,2)</f>
        <v>10.44</v>
      </c>
      <c r="K461" s="42"/>
      <c r="L461" s="45" t="n">
        <v>27</v>
      </c>
      <c r="M461" s="46" t="n">
        <v>0.3868</v>
      </c>
      <c r="N461" s="45" t="n">
        <f aca="false">ROUND(L461*M461,2)</f>
        <v>10.44</v>
      </c>
      <c r="R461" s="50" t="s">
        <v>131</v>
      </c>
      <c r="S461" s="50"/>
      <c r="T461" s="50"/>
      <c r="U461" s="50"/>
      <c r="V461" s="50"/>
    </row>
    <row r="462" customFormat="false" ht="15" hidden="false" customHeight="true" outlineLevel="0" collapsed="false">
      <c r="A462" s="20" t="s">
        <v>132</v>
      </c>
      <c r="B462" s="39" t="n">
        <v>27</v>
      </c>
      <c r="C462" s="40" t="n">
        <v>30</v>
      </c>
      <c r="D462" s="41" t="n">
        <v>0.18156</v>
      </c>
      <c r="E462" s="41" t="n">
        <v>0.2653</v>
      </c>
      <c r="F462" s="39" t="n">
        <f aca="false">ROUND(B462*E462,2)</f>
        <v>7.16</v>
      </c>
      <c r="G462" s="42"/>
      <c r="H462" s="43" t="n">
        <v>27</v>
      </c>
      <c r="I462" s="44" t="n">
        <v>0.2653</v>
      </c>
      <c r="J462" s="43" t="n">
        <f aca="false">ROUND(H462*I462,2)</f>
        <v>7.16</v>
      </c>
      <c r="K462" s="42"/>
      <c r="L462" s="45" t="n">
        <v>27</v>
      </c>
      <c r="M462" s="46" t="n">
        <v>0.2653</v>
      </c>
      <c r="N462" s="45" t="n">
        <f aca="false">ROUND(L462*M462,2)</f>
        <v>7.16</v>
      </c>
    </row>
    <row r="463" customFormat="false" ht="15" hidden="false" customHeight="true" outlineLevel="0" collapsed="false">
      <c r="A463" s="51" t="s">
        <v>133</v>
      </c>
      <c r="B463" s="52" t="n">
        <f aca="false">IF($P$463="",1816.22,ROUND(1816.22*((924.6661/(1-$P$463))-155.73)/1000.37,2))</f>
        <v>1816.22</v>
      </c>
      <c r="C463" s="40"/>
      <c r="D463" s="53" t="n">
        <v>0.121236</v>
      </c>
      <c r="E463" s="41" t="n">
        <v>0.14</v>
      </c>
      <c r="F463" s="39" t="n">
        <f aca="false">ROUND(B463*E463,2)</f>
        <v>254.27</v>
      </c>
      <c r="G463" s="42"/>
      <c r="H463" s="54" t="n">
        <v>1590.15</v>
      </c>
      <c r="I463" s="44" t="n">
        <v>0.147</v>
      </c>
      <c r="J463" s="43" t="n">
        <f aca="false">ROUND(H463*I463,2)</f>
        <v>233.75</v>
      </c>
      <c r="K463" s="42"/>
      <c r="L463" s="55" t="n">
        <v>1140.96</v>
      </c>
      <c r="M463" s="46" t="n">
        <v>0.16</v>
      </c>
      <c r="N463" s="45" t="n">
        <f aca="false">ROUND(L463*M463,2)</f>
        <v>182.55</v>
      </c>
      <c r="O463" s="56" t="s">
        <v>134</v>
      </c>
      <c r="P463" s="57"/>
    </row>
    <row r="464" customFormat="false" ht="15" hidden="false" customHeight="true" outlineLevel="0" collapsed="false">
      <c r="A464" s="51" t="s">
        <v>135</v>
      </c>
      <c r="B464" s="52" t="n">
        <f aca="false">IF($P$463="",1757.47,ROUND(1757.47*((924.6661/(1-$P$463))-155.73)/1000.37,2))</f>
        <v>1757.47</v>
      </c>
      <c r="C464" s="40"/>
      <c r="D464" s="53" t="n">
        <v>0.114444</v>
      </c>
      <c r="E464" s="41" t="n">
        <v>0.139</v>
      </c>
      <c r="F464" s="39" t="n">
        <f aca="false">ROUND(B464*E464,2)</f>
        <v>244.29</v>
      </c>
      <c r="G464" s="42"/>
      <c r="H464" s="54" t="n">
        <v>2221.94</v>
      </c>
      <c r="I464" s="44" t="n">
        <v>0.145</v>
      </c>
      <c r="J464" s="43" t="n">
        <f aca="false">ROUND(H464*I464,2)</f>
        <v>322.18</v>
      </c>
      <c r="K464" s="42"/>
      <c r="L464" s="55" t="n">
        <v>1673.727</v>
      </c>
      <c r="M464" s="46" t="n">
        <v>0.15</v>
      </c>
      <c r="N464" s="45" t="n">
        <f aca="false">ROUND(L464*M464,2)</f>
        <v>251.06</v>
      </c>
      <c r="O464" s="58" t="s">
        <v>136</v>
      </c>
    </row>
    <row r="465" customFormat="false" ht="15" hidden="false" customHeight="true" outlineLevel="0" collapsed="false">
      <c r="A465" s="51" t="s">
        <v>137</v>
      </c>
      <c r="B465" s="52" t="n">
        <f aca="false">IF($P$463="",3717.08,ROUND(3717.08*((924.6661/(1-$P$463))-155.73)/1000.37,2))</f>
        <v>3717.08</v>
      </c>
      <c r="C465" s="40"/>
      <c r="D465" s="53" t="n">
        <v>0.106808</v>
      </c>
      <c r="E465" s="41" t="n">
        <v>0.135</v>
      </c>
      <c r="F465" s="39" t="n">
        <f aca="false">ROUND(B465*E465,2)</f>
        <v>501.81</v>
      </c>
      <c r="G465" s="42"/>
      <c r="H465" s="54" t="n">
        <v>4621.51</v>
      </c>
      <c r="I465" s="44" t="n">
        <v>0.135</v>
      </c>
      <c r="J465" s="43" t="n">
        <f aca="false">ROUND(H465*I465,2)</f>
        <v>623.9</v>
      </c>
      <c r="K465" s="42"/>
      <c r="L465" s="55" t="n">
        <v>2990.97</v>
      </c>
      <c r="M465" s="46" t="n">
        <v>0.135</v>
      </c>
      <c r="N465" s="45" t="n">
        <f aca="false">ROUND(L465*M465,2)</f>
        <v>403.78</v>
      </c>
      <c r="O465" s="58" t="s">
        <v>138</v>
      </c>
    </row>
    <row r="466" customFormat="false" ht="15" hidden="false" customHeight="true" outlineLevel="0" collapsed="false">
      <c r="A466" s="20" t="s">
        <v>139</v>
      </c>
      <c r="B466" s="39" t="n">
        <v>1</v>
      </c>
      <c r="C466" s="59" t="n">
        <v>30</v>
      </c>
      <c r="D466" s="41" t="n">
        <v>17.615</v>
      </c>
      <c r="E466" s="41" t="n">
        <v>17.615</v>
      </c>
      <c r="F466" s="39" t="n">
        <f aca="false">ROUND(B466*E466,2)</f>
        <v>17.62</v>
      </c>
      <c r="G466" s="42"/>
      <c r="H466" s="43" t="n">
        <v>1</v>
      </c>
      <c r="I466" s="44" t="n">
        <v>17.615</v>
      </c>
      <c r="J466" s="43" t="n">
        <f aca="false">ROUND(H466*I466,2)</f>
        <v>17.62</v>
      </c>
      <c r="K466" s="42"/>
      <c r="L466" s="45" t="n">
        <v>1</v>
      </c>
      <c r="M466" s="46" t="n">
        <v>17.615</v>
      </c>
      <c r="N466" s="45" t="n">
        <f aca="false">ROUND(L466*M466,2)</f>
        <v>17.62</v>
      </c>
    </row>
    <row r="467" customFormat="false" ht="15" hidden="false" customHeight="true" outlineLevel="0" collapsed="false">
      <c r="A467" s="20" t="s">
        <v>140</v>
      </c>
      <c r="B467" s="39" t="n">
        <v>30</v>
      </c>
      <c r="C467" s="59" t="n">
        <v>30</v>
      </c>
      <c r="D467" s="41" t="n">
        <v>0.01274</v>
      </c>
      <c r="E467" s="41" t="n">
        <v>0.01274</v>
      </c>
      <c r="F467" s="39" t="n">
        <f aca="false">ROUND(B467*E467,2)</f>
        <v>0.38</v>
      </c>
      <c r="G467" s="42"/>
      <c r="H467" s="43" t="n">
        <v>30</v>
      </c>
      <c r="I467" s="44" t="n">
        <v>0.01274</v>
      </c>
      <c r="J467" s="43" t="n">
        <f aca="false">ROUND(H467*I467,2)</f>
        <v>0.38</v>
      </c>
      <c r="K467" s="42"/>
      <c r="L467" s="45" t="n">
        <v>30</v>
      </c>
      <c r="M467" s="46" t="n">
        <v>0.01274</v>
      </c>
      <c r="N467" s="45" t="n">
        <f aca="false">ROUND(L467*M467,2)</f>
        <v>0.38</v>
      </c>
    </row>
    <row r="468" customFormat="false" ht="15" hidden="false" customHeight="true" outlineLevel="0" collapsed="false">
      <c r="A468" s="20" t="s">
        <v>141</v>
      </c>
      <c r="B468" s="39" t="n">
        <v>75.63</v>
      </c>
      <c r="C468" s="40"/>
      <c r="D468" s="41" t="n">
        <v>1</v>
      </c>
      <c r="E468" s="41" t="n">
        <v>1</v>
      </c>
      <c r="F468" s="39" t="n">
        <f aca="false">ROUND(B468*E468,2)</f>
        <v>75.63</v>
      </c>
      <c r="G468" s="42"/>
      <c r="H468" s="43" t="n">
        <v>84.74</v>
      </c>
      <c r="I468" s="44" t="n">
        <v>1</v>
      </c>
      <c r="J468" s="43" t="n">
        <f aca="false">ROUND(H468*I468,2)</f>
        <v>84.74</v>
      </c>
      <c r="K468" s="42"/>
      <c r="L468" s="45" t="n">
        <v>63</v>
      </c>
      <c r="M468" s="46" t="n">
        <v>1</v>
      </c>
      <c r="N468" s="45" t="n">
        <f aca="false">ROUND(L468*M468,2)</f>
        <v>63</v>
      </c>
    </row>
    <row r="469" customFormat="false" ht="15" hidden="false" customHeight="true" outlineLevel="0" collapsed="false">
      <c r="A469" s="60" t="s">
        <v>142</v>
      </c>
      <c r="B469" s="61"/>
      <c r="C469" s="61"/>
      <c r="D469" s="61"/>
      <c r="E469" s="61"/>
      <c r="F469" s="62" t="n">
        <f aca="false">ROUND((SUM(F457:F468)-F468)*1.21+F468,2)</f>
        <v>1496.29</v>
      </c>
      <c r="G469" s="61"/>
      <c r="H469" s="61"/>
      <c r="I469" s="61"/>
      <c r="J469" s="63" t="n">
        <f aca="false">ROUND((SUM(J457:J468)-J468)*1.21+J468,2)</f>
        <v>1722.55</v>
      </c>
      <c r="K469" s="61"/>
      <c r="L469" s="61"/>
      <c r="M469" s="61"/>
      <c r="N469" s="64" t="n">
        <f aca="false">ROUND((SUM(N457:N468)-N468)*1.21+N468,2)</f>
        <v>1286.46</v>
      </c>
    </row>
    <row r="470" customFormat="false" ht="15" hidden="false" customHeight="true" outlineLevel="0" collapsed="false">
      <c r="A470" s="65" t="s">
        <v>143</v>
      </c>
      <c r="B470" s="66" t="n">
        <f aca="false">(SUM(F457:F465)-924.6661)/SUM(F457:F465)</f>
        <v>0.200185018597007</v>
      </c>
      <c r="C470" s="66"/>
      <c r="D470" s="66"/>
      <c r="E470" s="66"/>
      <c r="F470" s="66"/>
      <c r="G470" s="67"/>
      <c r="H470" s="67"/>
      <c r="I470" s="67"/>
      <c r="J470" s="67"/>
      <c r="K470" s="67"/>
      <c r="L470" s="68" t="str">
        <f aca="false">IF(B470&gt;=0.3,"APROBAR",IF(B470&gt;=0.2,"REVISAR","RECHAZAR"))</f>
        <v>REVISAR</v>
      </c>
      <c r="M470" s="68"/>
      <c r="N470" s="68"/>
    </row>
    <row r="472" customFormat="false" ht="15" hidden="false" customHeight="true" outlineLevel="0" collapsed="false">
      <c r="A472" s="26" t="s">
        <v>361</v>
      </c>
      <c r="B472" s="26"/>
      <c r="C472" s="26"/>
      <c r="D472" s="26"/>
      <c r="E472" s="26"/>
      <c r="F472" s="26"/>
      <c r="G472" s="26"/>
      <c r="H472" s="26"/>
      <c r="I472" s="27" t="s">
        <v>362</v>
      </c>
      <c r="J472" s="27"/>
      <c r="K472" s="27"/>
      <c r="L472" s="27"/>
      <c r="M472" s="27"/>
      <c r="N472" s="27"/>
      <c r="R472" s="28" t="s">
        <v>110</v>
      </c>
      <c r="S472" s="28"/>
      <c r="T472" s="28"/>
      <c r="U472" s="28"/>
      <c r="V472" s="28"/>
    </row>
    <row r="473" customFormat="false" ht="15" hidden="false" customHeight="true" outlineLevel="0" collapsed="false">
      <c r="A473" s="29" t="s">
        <v>111</v>
      </c>
      <c r="B473" s="30" t="s">
        <v>112</v>
      </c>
      <c r="C473" s="30"/>
      <c r="D473" s="30"/>
      <c r="E473" s="30"/>
      <c r="F473" s="30"/>
      <c r="G473" s="31"/>
      <c r="H473" s="32" t="s">
        <v>363</v>
      </c>
      <c r="I473" s="32"/>
      <c r="J473" s="32"/>
      <c r="K473" s="31"/>
      <c r="L473" s="33" t="s">
        <v>364</v>
      </c>
      <c r="M473" s="33"/>
      <c r="N473" s="33"/>
      <c r="R473" s="34" t="s">
        <v>365</v>
      </c>
      <c r="S473" s="34"/>
      <c r="T473" s="34"/>
      <c r="U473" s="34"/>
      <c r="V473" s="34"/>
    </row>
    <row r="474" customFormat="false" ht="15" hidden="false" customHeight="true" outlineLevel="0" collapsed="false">
      <c r="A474" s="31"/>
      <c r="B474" s="35" t="s">
        <v>116</v>
      </c>
      <c r="C474" s="35" t="s">
        <v>117</v>
      </c>
      <c r="D474" s="35" t="s">
        <v>118</v>
      </c>
      <c r="E474" s="35" t="s">
        <v>119</v>
      </c>
      <c r="F474" s="35" t="s">
        <v>120</v>
      </c>
      <c r="G474" s="31"/>
      <c r="H474" s="36" t="s">
        <v>116</v>
      </c>
      <c r="I474" s="36" t="s">
        <v>119</v>
      </c>
      <c r="J474" s="36" t="s">
        <v>120</v>
      </c>
      <c r="K474" s="31"/>
      <c r="L474" s="37" t="s">
        <v>116</v>
      </c>
      <c r="M474" s="37" t="s">
        <v>119</v>
      </c>
      <c r="N474" s="37" t="s">
        <v>120</v>
      </c>
      <c r="R474" s="38" t="s">
        <v>366</v>
      </c>
      <c r="S474" s="38"/>
      <c r="T474" s="38"/>
      <c r="U474" s="38"/>
      <c r="V474" s="38"/>
    </row>
    <row r="475" customFormat="false" ht="15" hidden="false" customHeight="true" outlineLevel="0" collapsed="false">
      <c r="A475" s="20" t="s">
        <v>122</v>
      </c>
      <c r="B475" s="39" t="n">
        <v>20</v>
      </c>
      <c r="C475" s="40" t="n">
        <v>30</v>
      </c>
      <c r="D475" s="41" t="n">
        <v>1.73784</v>
      </c>
      <c r="E475" s="41" t="n">
        <v>2.5542</v>
      </c>
      <c r="F475" s="39" t="n">
        <f aca="false">ROUND(B475*E475,2)</f>
        <v>51.08</v>
      </c>
      <c r="G475" s="42"/>
      <c r="H475" s="43" t="n">
        <v>20</v>
      </c>
      <c r="I475" s="44" t="n">
        <v>2.5542</v>
      </c>
      <c r="J475" s="43" t="n">
        <f aca="false">ROUND(H475*I475,2)</f>
        <v>51.08</v>
      </c>
      <c r="K475" s="42"/>
      <c r="L475" s="45" t="n">
        <v>20</v>
      </c>
      <c r="M475" s="46" t="n">
        <v>1.999</v>
      </c>
      <c r="N475" s="45" t="n">
        <f aca="false">ROUND(L475*M475,2)</f>
        <v>39.98</v>
      </c>
      <c r="R475" s="47" t="s">
        <v>367</v>
      </c>
      <c r="S475" s="47"/>
      <c r="T475" s="47"/>
      <c r="U475" s="47"/>
      <c r="V475" s="47"/>
    </row>
    <row r="476" customFormat="false" ht="15" hidden="false" customHeight="true" outlineLevel="0" collapsed="false">
      <c r="A476" s="20" t="s">
        <v>124</v>
      </c>
      <c r="B476" s="39" t="n">
        <v>20</v>
      </c>
      <c r="C476" s="40" t="n">
        <v>30</v>
      </c>
      <c r="D476" s="41" t="n">
        <v>0.9357</v>
      </c>
      <c r="E476" s="41" t="n">
        <v>1.3773</v>
      </c>
      <c r="F476" s="39" t="n">
        <f aca="false">ROUND(B476*E476,2)</f>
        <v>27.55</v>
      </c>
      <c r="G476" s="42"/>
      <c r="H476" s="43" t="n">
        <v>20</v>
      </c>
      <c r="I476" s="44" t="n">
        <v>1.3773</v>
      </c>
      <c r="J476" s="43" t="n">
        <f aca="false">ROUND(H476*I476,2)</f>
        <v>27.55</v>
      </c>
      <c r="K476" s="42"/>
      <c r="L476" s="45" t="n">
        <v>20</v>
      </c>
      <c r="M476" s="46" t="n">
        <v>1.811</v>
      </c>
      <c r="N476" s="45" t="n">
        <f aca="false">ROUND(L476*M476,2)</f>
        <v>36.22</v>
      </c>
      <c r="R476" s="48" t="s">
        <v>368</v>
      </c>
      <c r="S476" s="48"/>
      <c r="T476" s="48"/>
      <c r="U476" s="48"/>
      <c r="V476" s="48"/>
    </row>
    <row r="477" customFormat="false" ht="15" hidden="false" customHeight="true" outlineLevel="0" collapsed="false">
      <c r="A477" s="20" t="s">
        <v>126</v>
      </c>
      <c r="B477" s="39" t="n">
        <v>20</v>
      </c>
      <c r="C477" s="40" t="n">
        <v>30</v>
      </c>
      <c r="D477" s="41" t="n">
        <v>0.43137</v>
      </c>
      <c r="E477" s="41" t="n">
        <v>0.6286</v>
      </c>
      <c r="F477" s="39" t="n">
        <f aca="false">ROUND(B477*E477,2)</f>
        <v>12.57</v>
      </c>
      <c r="G477" s="42"/>
      <c r="H477" s="43" t="n">
        <v>20</v>
      </c>
      <c r="I477" s="44" t="n">
        <v>0.6286</v>
      </c>
      <c r="J477" s="43" t="n">
        <f aca="false">ROUND(H477*I477,2)</f>
        <v>12.57</v>
      </c>
      <c r="K477" s="42"/>
      <c r="L477" s="45" t="n">
        <v>20</v>
      </c>
      <c r="M477" s="46" t="n">
        <v>0.6161</v>
      </c>
      <c r="N477" s="45" t="n">
        <f aca="false">ROUND(L477*M477,2)</f>
        <v>12.32</v>
      </c>
      <c r="R477" s="48" t="s">
        <v>369</v>
      </c>
      <c r="S477" s="48"/>
      <c r="T477" s="48"/>
      <c r="U477" s="48"/>
      <c r="V477" s="48"/>
    </row>
    <row r="478" customFormat="false" ht="15" hidden="false" customHeight="true" outlineLevel="0" collapsed="false">
      <c r="A478" s="20" t="s">
        <v>128</v>
      </c>
      <c r="B478" s="39" t="n">
        <v>20</v>
      </c>
      <c r="C478" s="40" t="n">
        <v>30</v>
      </c>
      <c r="D478" s="41" t="n">
        <v>0.38244</v>
      </c>
      <c r="E478" s="41" t="n">
        <v>0.5561</v>
      </c>
      <c r="F478" s="39" t="n">
        <f aca="false">ROUND(B478*E478,2)</f>
        <v>11.12</v>
      </c>
      <c r="G478" s="42"/>
      <c r="H478" s="43" t="n">
        <v>20</v>
      </c>
      <c r="I478" s="44" t="n">
        <v>0.5561</v>
      </c>
      <c r="J478" s="43" t="n">
        <f aca="false">ROUND(H478*I478,2)</f>
        <v>11.12</v>
      </c>
      <c r="K478" s="42"/>
      <c r="L478" s="45" t="n">
        <v>20</v>
      </c>
      <c r="M478" s="46" t="n">
        <v>0.5551</v>
      </c>
      <c r="N478" s="45" t="n">
        <f aca="false">ROUND(L478*M478,2)</f>
        <v>11.1</v>
      </c>
      <c r="R478" s="69" t="s">
        <v>162</v>
      </c>
      <c r="S478" s="69"/>
      <c r="T478" s="69"/>
      <c r="U478" s="69"/>
      <c r="V478" s="69"/>
    </row>
    <row r="479" customFormat="false" ht="15" hidden="false" customHeight="true" outlineLevel="0" collapsed="false">
      <c r="A479" s="20" t="s">
        <v>130</v>
      </c>
      <c r="B479" s="39" t="n">
        <v>20</v>
      </c>
      <c r="C479" s="40" t="n">
        <v>30</v>
      </c>
      <c r="D479" s="41" t="n">
        <v>0.26964</v>
      </c>
      <c r="E479" s="41" t="n">
        <v>0.3868</v>
      </c>
      <c r="F479" s="39" t="n">
        <f aca="false">ROUND(B479*E479,2)</f>
        <v>7.74</v>
      </c>
      <c r="G479" s="42"/>
      <c r="H479" s="43" t="n">
        <v>20</v>
      </c>
      <c r="I479" s="44" t="n">
        <v>0.3868</v>
      </c>
      <c r="J479" s="43" t="n">
        <f aca="false">ROUND(H479*I479,2)</f>
        <v>7.74</v>
      </c>
      <c r="K479" s="42"/>
      <c r="L479" s="45" t="n">
        <v>20</v>
      </c>
      <c r="M479" s="46" t="n">
        <v>0.595</v>
      </c>
      <c r="N479" s="45" t="n">
        <f aca="false">ROUND(L479*M479,2)</f>
        <v>11.9</v>
      </c>
      <c r="R479" s="50" t="s">
        <v>131</v>
      </c>
      <c r="S479" s="50"/>
      <c r="T479" s="50"/>
      <c r="U479" s="50"/>
      <c r="V479" s="50"/>
    </row>
    <row r="480" customFormat="false" ht="15" hidden="false" customHeight="true" outlineLevel="0" collapsed="false">
      <c r="A480" s="20" t="s">
        <v>132</v>
      </c>
      <c r="B480" s="39" t="n">
        <v>20</v>
      </c>
      <c r="C480" s="40" t="n">
        <v>30</v>
      </c>
      <c r="D480" s="41" t="n">
        <v>0.18156</v>
      </c>
      <c r="E480" s="41" t="n">
        <v>0.2653</v>
      </c>
      <c r="F480" s="39" t="n">
        <f aca="false">ROUND(B480*E480,2)</f>
        <v>5.31</v>
      </c>
      <c r="G480" s="42"/>
      <c r="H480" s="43" t="n">
        <v>20</v>
      </c>
      <c r="I480" s="44" t="n">
        <v>0.2653</v>
      </c>
      <c r="J480" s="43" t="n">
        <f aca="false">ROUND(H480*I480,2)</f>
        <v>5.31</v>
      </c>
      <c r="K480" s="42"/>
      <c r="L480" s="45" t="n">
        <v>20</v>
      </c>
      <c r="M480" s="46" t="n">
        <v>0.4523</v>
      </c>
      <c r="N480" s="45" t="n">
        <f aca="false">ROUND(L480*M480,2)</f>
        <v>9.05</v>
      </c>
    </row>
    <row r="481" customFormat="false" ht="15" hidden="false" customHeight="true" outlineLevel="0" collapsed="false">
      <c r="A481" s="51" t="s">
        <v>133</v>
      </c>
      <c r="B481" s="52" t="n">
        <f aca="false">IF($P$481="",3873.35,ROUND(3873.35*((1425.867/(1-$P$481))-115.37)/1595.71,2))</f>
        <v>3873.35</v>
      </c>
      <c r="C481" s="40"/>
      <c r="D481" s="53" t="n">
        <v>0.121236</v>
      </c>
      <c r="E481" s="41" t="n">
        <v>0.135</v>
      </c>
      <c r="F481" s="39" t="n">
        <f aca="false">ROUND(B481*E481,2)</f>
        <v>522.9</v>
      </c>
      <c r="G481" s="42"/>
      <c r="H481" s="54" t="n">
        <v>3152.18</v>
      </c>
      <c r="I481" s="44" t="n">
        <v>0.139</v>
      </c>
      <c r="J481" s="43" t="n">
        <f aca="false">ROUND(H481*I481,2)</f>
        <v>438.15</v>
      </c>
      <c r="K481" s="42"/>
      <c r="L481" s="55" t="n">
        <v>2934.71</v>
      </c>
      <c r="M481" s="46" t="n">
        <v>0.18</v>
      </c>
      <c r="N481" s="45" t="n">
        <f aca="false">ROUND(L481*M481,2)</f>
        <v>528.25</v>
      </c>
      <c r="O481" s="56" t="s">
        <v>134</v>
      </c>
      <c r="P481" s="57"/>
    </row>
    <row r="482" customFormat="false" ht="15" hidden="false" customHeight="true" outlineLevel="0" collapsed="false">
      <c r="A482" s="51" t="s">
        <v>135</v>
      </c>
      <c r="B482" s="52" t="n">
        <f aca="false">IF($P$481="",3762.22,ROUND(3762.22*((1425.867/(1-$P$481))-115.37)/1595.71,2))</f>
        <v>3762.22</v>
      </c>
      <c r="C482" s="40"/>
      <c r="D482" s="53" t="n">
        <v>0.114444</v>
      </c>
      <c r="E482" s="41" t="n">
        <v>0.135</v>
      </c>
      <c r="F482" s="39" t="n">
        <f aca="false">ROUND(B482*E482,2)</f>
        <v>507.9</v>
      </c>
      <c r="G482" s="42"/>
      <c r="H482" s="54" t="n">
        <v>3262.35</v>
      </c>
      <c r="I482" s="44" t="n">
        <v>0.139</v>
      </c>
      <c r="J482" s="43" t="n">
        <f aca="false">ROUND(H482*I482,2)</f>
        <v>453.47</v>
      </c>
      <c r="K482" s="42"/>
      <c r="L482" s="55" t="n">
        <v>2049.53</v>
      </c>
      <c r="M482" s="46" t="n">
        <v>0.18</v>
      </c>
      <c r="N482" s="45" t="n">
        <f aca="false">ROUND(L482*M482,2)</f>
        <v>368.92</v>
      </c>
      <c r="O482" s="58" t="s">
        <v>136</v>
      </c>
    </row>
    <row r="483" customFormat="false" ht="15" hidden="false" customHeight="true" outlineLevel="0" collapsed="false">
      <c r="A483" s="51" t="s">
        <v>137</v>
      </c>
      <c r="B483" s="52" t="n">
        <f aca="false">IF($P$481="",4184.52,ROUND(4184.52*((1425.867/(1-$P$481))-115.37)/1595.71,2))</f>
        <v>4184.52</v>
      </c>
      <c r="C483" s="40"/>
      <c r="D483" s="53" t="n">
        <v>0.106808</v>
      </c>
      <c r="E483" s="41" t="n">
        <v>0.135</v>
      </c>
      <c r="F483" s="39" t="n">
        <f aca="false">ROUND(B483*E483,2)</f>
        <v>564.91</v>
      </c>
      <c r="G483" s="42"/>
      <c r="H483" s="54" t="n">
        <v>4288.73</v>
      </c>
      <c r="I483" s="44" t="n">
        <v>0.135</v>
      </c>
      <c r="J483" s="43" t="n">
        <f aca="false">ROUND(H483*I483,2)</f>
        <v>578.98</v>
      </c>
      <c r="K483" s="42"/>
      <c r="L483" s="55" t="n">
        <v>2240.37</v>
      </c>
      <c r="M483" s="46" t="n">
        <v>0.18</v>
      </c>
      <c r="N483" s="45" t="n">
        <f aca="false">ROUND(L483*M483,2)</f>
        <v>403.27</v>
      </c>
      <c r="O483" s="58" t="s">
        <v>138</v>
      </c>
    </row>
    <row r="484" customFormat="false" ht="15" hidden="false" customHeight="true" outlineLevel="0" collapsed="false">
      <c r="A484" s="20" t="s">
        <v>139</v>
      </c>
      <c r="B484" s="39" t="n">
        <v>1</v>
      </c>
      <c r="C484" s="59" t="n">
        <v>30</v>
      </c>
      <c r="D484" s="41" t="n">
        <v>17.615</v>
      </c>
      <c r="E484" s="41" t="n">
        <v>17.615</v>
      </c>
      <c r="F484" s="39" t="n">
        <f aca="false">ROUND(B484*E484,2)</f>
        <v>17.62</v>
      </c>
      <c r="G484" s="42"/>
      <c r="H484" s="43" t="n">
        <v>1</v>
      </c>
      <c r="I484" s="44" t="n">
        <v>17.615</v>
      </c>
      <c r="J484" s="43" t="n">
        <f aca="false">ROUND(H484*I484,2)</f>
        <v>17.62</v>
      </c>
      <c r="K484" s="42"/>
      <c r="L484" s="45" t="n">
        <v>1</v>
      </c>
      <c r="M484" s="46" t="n">
        <v>17.6715</v>
      </c>
      <c r="N484" s="45" t="n">
        <f aca="false">ROUND(L484*M484,2)</f>
        <v>17.67</v>
      </c>
    </row>
    <row r="485" customFormat="false" ht="15" hidden="false" customHeight="true" outlineLevel="0" collapsed="false">
      <c r="A485" s="20" t="s">
        <v>140</v>
      </c>
      <c r="B485" s="39" t="n">
        <v>30</v>
      </c>
      <c r="C485" s="59" t="n">
        <v>30</v>
      </c>
      <c r="D485" s="41" t="n">
        <v>0.01274</v>
      </c>
      <c r="E485" s="41" t="n">
        <v>0.01274</v>
      </c>
      <c r="F485" s="39" t="n">
        <f aca="false">ROUND(B485*E485,2)</f>
        <v>0.38</v>
      </c>
      <c r="G485" s="42"/>
      <c r="H485" s="43" t="n">
        <v>29</v>
      </c>
      <c r="I485" s="44" t="n">
        <v>0.01912</v>
      </c>
      <c r="J485" s="43" t="n">
        <f aca="false">ROUND(H485*I485,2)</f>
        <v>0.55</v>
      </c>
      <c r="K485" s="42"/>
      <c r="L485" s="45" t="n">
        <v>30</v>
      </c>
      <c r="M485" s="46" t="n">
        <v>0.00629</v>
      </c>
      <c r="N485" s="45" t="n">
        <f aca="false">ROUND(L485*M485,2)</f>
        <v>0.19</v>
      </c>
    </row>
    <row r="486" customFormat="false" ht="15" hidden="false" customHeight="true" outlineLevel="0" collapsed="false">
      <c r="A486" s="20" t="s">
        <v>141</v>
      </c>
      <c r="B486" s="39" t="n">
        <v>104.53</v>
      </c>
      <c r="C486" s="40"/>
      <c r="D486" s="41" t="n">
        <v>1</v>
      </c>
      <c r="E486" s="41" t="n">
        <v>1</v>
      </c>
      <c r="F486" s="39" t="n">
        <f aca="false">ROUND(B486*E486,2)</f>
        <v>104.53</v>
      </c>
      <c r="G486" s="42"/>
      <c r="H486" s="43" t="n">
        <v>110.54</v>
      </c>
      <c r="I486" s="44" t="n">
        <v>1</v>
      </c>
      <c r="J486" s="43" t="n">
        <f aca="false">ROUND(H486*I486,2)</f>
        <v>110.54</v>
      </c>
      <c r="K486" s="42"/>
      <c r="L486" s="45" t="n">
        <v>76.29</v>
      </c>
      <c r="M486" s="46" t="n">
        <v>1</v>
      </c>
      <c r="N486" s="45" t="n">
        <f aca="false">ROUND(L486*M486,2)</f>
        <v>76.29</v>
      </c>
    </row>
    <row r="487" customFormat="false" ht="15" hidden="false" customHeight="true" outlineLevel="0" collapsed="false">
      <c r="A487" s="60" t="s">
        <v>142</v>
      </c>
      <c r="B487" s="61"/>
      <c r="C487" s="61"/>
      <c r="D487" s="61"/>
      <c r="E487" s="61"/>
      <c r="F487" s="62" t="n">
        <f aca="false">ROUND((SUM(F475:F486)-F486)*1.21+F486,2)</f>
        <v>2196.72</v>
      </c>
      <c r="G487" s="61"/>
      <c r="H487" s="61"/>
      <c r="I487" s="61"/>
      <c r="J487" s="63" t="n">
        <f aca="false">ROUND((SUM(J475:J486)-J486)*1.21+J486,2)</f>
        <v>2051.55</v>
      </c>
      <c r="K487" s="61"/>
      <c r="L487" s="61"/>
      <c r="M487" s="61"/>
      <c r="N487" s="64" t="n">
        <f aca="false">ROUND((SUM(N475:N486)-N486)*1.21+N486,2)</f>
        <v>1817.32</v>
      </c>
    </row>
    <row r="488" customFormat="false" ht="15" hidden="false" customHeight="true" outlineLevel="0" collapsed="false">
      <c r="A488" s="65" t="s">
        <v>143</v>
      </c>
      <c r="B488" s="66" t="n">
        <f aca="false">(SUM(F475:F483)-1425.867)/SUM(F475:F483)</f>
        <v>0.166685952731608</v>
      </c>
      <c r="C488" s="66"/>
      <c r="D488" s="66"/>
      <c r="E488" s="66"/>
      <c r="F488" s="66"/>
      <c r="G488" s="67"/>
      <c r="H488" s="67"/>
      <c r="I488" s="67"/>
      <c r="J488" s="67"/>
      <c r="K488" s="67"/>
      <c r="L488" s="68" t="str">
        <f aca="false">IF(B488&gt;=0.3,"APROBAR",IF(B488&gt;=0.2,"REVISAR","RECHAZAR"))</f>
        <v>RECHAZAR</v>
      </c>
      <c r="M488" s="68"/>
      <c r="N488" s="68"/>
    </row>
  </sheetData>
  <mergeCells count="432">
    <mergeCell ref="A1:H1"/>
    <mergeCell ref="I1:N1"/>
    <mergeCell ref="R1:V1"/>
    <mergeCell ref="B2:F2"/>
    <mergeCell ref="H2:J2"/>
    <mergeCell ref="L2:N2"/>
    <mergeCell ref="R2:V2"/>
    <mergeCell ref="R3:V3"/>
    <mergeCell ref="R4:V4"/>
    <mergeCell ref="R5:V5"/>
    <mergeCell ref="R6:V6"/>
    <mergeCell ref="R7:V7"/>
    <mergeCell ref="R8:V8"/>
    <mergeCell ref="B17:F17"/>
    <mergeCell ref="H17:J17"/>
    <mergeCell ref="L17:N17"/>
    <mergeCell ref="A19:H19"/>
    <mergeCell ref="I19:N19"/>
    <mergeCell ref="R19:V19"/>
    <mergeCell ref="B20:F20"/>
    <mergeCell ref="H20:J20"/>
    <mergeCell ref="L20:N20"/>
    <mergeCell ref="R20:V20"/>
    <mergeCell ref="R21:V21"/>
    <mergeCell ref="R22:V22"/>
    <mergeCell ref="R23:V23"/>
    <mergeCell ref="R24:V24"/>
    <mergeCell ref="R25:V25"/>
    <mergeCell ref="R26:V26"/>
    <mergeCell ref="B35:F35"/>
    <mergeCell ref="H35:J35"/>
    <mergeCell ref="L35:N35"/>
    <mergeCell ref="A37:H37"/>
    <mergeCell ref="I37:N37"/>
    <mergeCell ref="R37:V37"/>
    <mergeCell ref="B38:F38"/>
    <mergeCell ref="H38:J38"/>
    <mergeCell ref="L38:N38"/>
    <mergeCell ref="R38:V38"/>
    <mergeCell ref="R39:V39"/>
    <mergeCell ref="R40:V40"/>
    <mergeCell ref="R41:V41"/>
    <mergeCell ref="R42:V42"/>
    <mergeCell ref="R43:V43"/>
    <mergeCell ref="R44:V44"/>
    <mergeCell ref="B53:F53"/>
    <mergeCell ref="H53:J53"/>
    <mergeCell ref="L53:N53"/>
    <mergeCell ref="A55:H55"/>
    <mergeCell ref="I55:N55"/>
    <mergeCell ref="R55:V55"/>
    <mergeCell ref="B56:F56"/>
    <mergeCell ref="H56:J56"/>
    <mergeCell ref="L56:N56"/>
    <mergeCell ref="R56:V56"/>
    <mergeCell ref="R57:V57"/>
    <mergeCell ref="R58:V58"/>
    <mergeCell ref="R59:V59"/>
    <mergeCell ref="R60:V60"/>
    <mergeCell ref="R61:V61"/>
    <mergeCell ref="R62:V62"/>
    <mergeCell ref="B72:F72"/>
    <mergeCell ref="H72:J72"/>
    <mergeCell ref="L72:N72"/>
    <mergeCell ref="A74:H74"/>
    <mergeCell ref="I74:N74"/>
    <mergeCell ref="R74:V74"/>
    <mergeCell ref="B75:F75"/>
    <mergeCell ref="H75:J75"/>
    <mergeCell ref="L75:N75"/>
    <mergeCell ref="R75:V75"/>
    <mergeCell ref="R76:V76"/>
    <mergeCell ref="R77:V77"/>
    <mergeCell ref="R78:V78"/>
    <mergeCell ref="R79:V79"/>
    <mergeCell ref="R80:V80"/>
    <mergeCell ref="R81:V81"/>
    <mergeCell ref="B90:F90"/>
    <mergeCell ref="H90:J90"/>
    <mergeCell ref="L90:N90"/>
    <mergeCell ref="A92:H92"/>
    <mergeCell ref="I92:N92"/>
    <mergeCell ref="R92:V92"/>
    <mergeCell ref="B93:F93"/>
    <mergeCell ref="H93:J93"/>
    <mergeCell ref="L93:N93"/>
    <mergeCell ref="R93:V93"/>
    <mergeCell ref="R94:V94"/>
    <mergeCell ref="R95:V95"/>
    <mergeCell ref="R96:V96"/>
    <mergeCell ref="R97:V97"/>
    <mergeCell ref="R98:V98"/>
    <mergeCell ref="R99:V99"/>
    <mergeCell ref="B108:F108"/>
    <mergeCell ref="H108:J108"/>
    <mergeCell ref="L108:N108"/>
    <mergeCell ref="A110:H110"/>
    <mergeCell ref="I110:N110"/>
    <mergeCell ref="R110:V110"/>
    <mergeCell ref="B111:F111"/>
    <mergeCell ref="H111:J111"/>
    <mergeCell ref="L111:N111"/>
    <mergeCell ref="R111:V111"/>
    <mergeCell ref="R112:V112"/>
    <mergeCell ref="R113:V113"/>
    <mergeCell ref="R114:V114"/>
    <mergeCell ref="R115:V115"/>
    <mergeCell ref="R116:V116"/>
    <mergeCell ref="R117:V117"/>
    <mergeCell ref="B126:F126"/>
    <mergeCell ref="H126:J126"/>
    <mergeCell ref="L126:N126"/>
    <mergeCell ref="A128:H128"/>
    <mergeCell ref="I128:N128"/>
    <mergeCell ref="R128:V128"/>
    <mergeCell ref="B129:F129"/>
    <mergeCell ref="H129:J129"/>
    <mergeCell ref="L129:N129"/>
    <mergeCell ref="R129:V129"/>
    <mergeCell ref="R130:V130"/>
    <mergeCell ref="R131:V131"/>
    <mergeCell ref="R132:V132"/>
    <mergeCell ref="R133:V133"/>
    <mergeCell ref="R134:V134"/>
    <mergeCell ref="R135:V135"/>
    <mergeCell ref="B145:F145"/>
    <mergeCell ref="H145:J145"/>
    <mergeCell ref="L145:N145"/>
    <mergeCell ref="A147:H147"/>
    <mergeCell ref="I147:N147"/>
    <mergeCell ref="R147:V147"/>
    <mergeCell ref="B148:F148"/>
    <mergeCell ref="H148:J148"/>
    <mergeCell ref="L148:N148"/>
    <mergeCell ref="R148:V148"/>
    <mergeCell ref="R149:V149"/>
    <mergeCell ref="R150:V150"/>
    <mergeCell ref="R151:V151"/>
    <mergeCell ref="R152:V152"/>
    <mergeCell ref="R153:V153"/>
    <mergeCell ref="R154:V154"/>
    <mergeCell ref="B163:F163"/>
    <mergeCell ref="H163:J163"/>
    <mergeCell ref="L163:N163"/>
    <mergeCell ref="A165:H165"/>
    <mergeCell ref="I165:N165"/>
    <mergeCell ref="R165:V165"/>
    <mergeCell ref="B166:F166"/>
    <mergeCell ref="H166:J166"/>
    <mergeCell ref="L166:N166"/>
    <mergeCell ref="R166:V166"/>
    <mergeCell ref="R167:V167"/>
    <mergeCell ref="R168:V168"/>
    <mergeCell ref="R169:V169"/>
    <mergeCell ref="R170:V170"/>
    <mergeCell ref="R171:V171"/>
    <mergeCell ref="R172:V172"/>
    <mergeCell ref="B181:F181"/>
    <mergeCell ref="H181:J181"/>
    <mergeCell ref="L181:N181"/>
    <mergeCell ref="A183:H183"/>
    <mergeCell ref="I183:N183"/>
    <mergeCell ref="R183:V183"/>
    <mergeCell ref="B184:F184"/>
    <mergeCell ref="H184:J184"/>
    <mergeCell ref="L184:N184"/>
    <mergeCell ref="R184:V184"/>
    <mergeCell ref="R185:V185"/>
    <mergeCell ref="R186:V186"/>
    <mergeCell ref="R187:V187"/>
    <mergeCell ref="R188:V188"/>
    <mergeCell ref="R189:V189"/>
    <mergeCell ref="R190:V190"/>
    <mergeCell ref="B199:F199"/>
    <mergeCell ref="H199:J199"/>
    <mergeCell ref="L199:N199"/>
    <mergeCell ref="A201:H201"/>
    <mergeCell ref="I201:N201"/>
    <mergeCell ref="R201:V201"/>
    <mergeCell ref="B202:F202"/>
    <mergeCell ref="H202:J202"/>
    <mergeCell ref="L202:N202"/>
    <mergeCell ref="R202:V202"/>
    <mergeCell ref="R203:V203"/>
    <mergeCell ref="R204:V204"/>
    <mergeCell ref="R205:V205"/>
    <mergeCell ref="R206:V206"/>
    <mergeCell ref="R207:V207"/>
    <mergeCell ref="R208:V208"/>
    <mergeCell ref="B217:F217"/>
    <mergeCell ref="H217:J217"/>
    <mergeCell ref="L217:N217"/>
    <mergeCell ref="A219:H219"/>
    <mergeCell ref="I219:N219"/>
    <mergeCell ref="R219:V219"/>
    <mergeCell ref="B220:F220"/>
    <mergeCell ref="H220:J220"/>
    <mergeCell ref="L220:N220"/>
    <mergeCell ref="R220:V220"/>
    <mergeCell ref="R221:V221"/>
    <mergeCell ref="R222:V222"/>
    <mergeCell ref="R223:V223"/>
    <mergeCell ref="R224:V224"/>
    <mergeCell ref="R225:V225"/>
    <mergeCell ref="R226:V226"/>
    <mergeCell ref="B235:F235"/>
    <mergeCell ref="H235:J235"/>
    <mergeCell ref="L235:N235"/>
    <mergeCell ref="A237:H237"/>
    <mergeCell ref="I237:N237"/>
    <mergeCell ref="R237:V237"/>
    <mergeCell ref="B238:F238"/>
    <mergeCell ref="H238:J238"/>
    <mergeCell ref="L238:N238"/>
    <mergeCell ref="R238:V238"/>
    <mergeCell ref="R239:V239"/>
    <mergeCell ref="R240:V240"/>
    <mergeCell ref="R241:V241"/>
    <mergeCell ref="R242:V242"/>
    <mergeCell ref="R243:V243"/>
    <mergeCell ref="R244:V244"/>
    <mergeCell ref="B253:F253"/>
    <mergeCell ref="H253:J253"/>
    <mergeCell ref="L253:N253"/>
    <mergeCell ref="A255:H255"/>
    <mergeCell ref="I255:N255"/>
    <mergeCell ref="R255:V255"/>
    <mergeCell ref="B256:F256"/>
    <mergeCell ref="H256:J256"/>
    <mergeCell ref="L256:N256"/>
    <mergeCell ref="R256:V256"/>
    <mergeCell ref="R257:V257"/>
    <mergeCell ref="R258:V258"/>
    <mergeCell ref="R259:V259"/>
    <mergeCell ref="R260:V260"/>
    <mergeCell ref="R261:V261"/>
    <mergeCell ref="R262:V262"/>
    <mergeCell ref="B271:F271"/>
    <mergeCell ref="H271:J271"/>
    <mergeCell ref="L271:N271"/>
    <mergeCell ref="A273:H273"/>
    <mergeCell ref="I273:N273"/>
    <mergeCell ref="R273:V273"/>
    <mergeCell ref="B274:F274"/>
    <mergeCell ref="H274:J274"/>
    <mergeCell ref="L274:N274"/>
    <mergeCell ref="R274:V274"/>
    <mergeCell ref="R275:V275"/>
    <mergeCell ref="R276:V276"/>
    <mergeCell ref="R277:V277"/>
    <mergeCell ref="R278:V278"/>
    <mergeCell ref="R279:V279"/>
    <mergeCell ref="R280:V280"/>
    <mergeCell ref="B289:F289"/>
    <mergeCell ref="H289:J289"/>
    <mergeCell ref="L289:N289"/>
    <mergeCell ref="A291:H291"/>
    <mergeCell ref="I291:N291"/>
    <mergeCell ref="R291:V291"/>
    <mergeCell ref="B292:F292"/>
    <mergeCell ref="H292:J292"/>
    <mergeCell ref="L292:N292"/>
    <mergeCell ref="R292:V292"/>
    <mergeCell ref="R293:V293"/>
    <mergeCell ref="R294:V294"/>
    <mergeCell ref="R295:V295"/>
    <mergeCell ref="R296:V296"/>
    <mergeCell ref="R297:V297"/>
    <mergeCell ref="R298:V298"/>
    <mergeCell ref="B307:F307"/>
    <mergeCell ref="H307:J307"/>
    <mergeCell ref="L307:N307"/>
    <mergeCell ref="A309:H309"/>
    <mergeCell ref="I309:N309"/>
    <mergeCell ref="R309:V309"/>
    <mergeCell ref="B310:F310"/>
    <mergeCell ref="H310:J310"/>
    <mergeCell ref="L310:N310"/>
    <mergeCell ref="R310:V310"/>
    <mergeCell ref="R311:V311"/>
    <mergeCell ref="R312:V312"/>
    <mergeCell ref="R313:V313"/>
    <mergeCell ref="R314:V314"/>
    <mergeCell ref="R315:V315"/>
    <mergeCell ref="R316:V316"/>
    <mergeCell ref="B325:F325"/>
    <mergeCell ref="H325:J325"/>
    <mergeCell ref="L325:N325"/>
    <mergeCell ref="A327:H327"/>
    <mergeCell ref="I327:N327"/>
    <mergeCell ref="R327:V327"/>
    <mergeCell ref="B328:F328"/>
    <mergeCell ref="H328:J328"/>
    <mergeCell ref="L328:N328"/>
    <mergeCell ref="R328:V328"/>
    <mergeCell ref="R329:V329"/>
    <mergeCell ref="R330:V330"/>
    <mergeCell ref="R331:V331"/>
    <mergeCell ref="R332:V332"/>
    <mergeCell ref="R333:V333"/>
    <mergeCell ref="R334:V334"/>
    <mergeCell ref="B343:F343"/>
    <mergeCell ref="H343:J343"/>
    <mergeCell ref="L343:N343"/>
    <mergeCell ref="A345:H345"/>
    <mergeCell ref="I345:N345"/>
    <mergeCell ref="R345:V345"/>
    <mergeCell ref="B346:F346"/>
    <mergeCell ref="H346:J346"/>
    <mergeCell ref="L346:N346"/>
    <mergeCell ref="R346:V346"/>
    <mergeCell ref="R347:V347"/>
    <mergeCell ref="R348:V348"/>
    <mergeCell ref="R349:V349"/>
    <mergeCell ref="R350:V350"/>
    <mergeCell ref="R351:V351"/>
    <mergeCell ref="R352:V352"/>
    <mergeCell ref="B361:F361"/>
    <mergeCell ref="H361:J361"/>
    <mergeCell ref="L361:N361"/>
    <mergeCell ref="A363:H363"/>
    <mergeCell ref="I363:N363"/>
    <mergeCell ref="R363:V363"/>
    <mergeCell ref="B364:F364"/>
    <mergeCell ref="H364:J364"/>
    <mergeCell ref="L364:N364"/>
    <mergeCell ref="R364:V364"/>
    <mergeCell ref="R365:V365"/>
    <mergeCell ref="R366:V366"/>
    <mergeCell ref="R367:V367"/>
    <mergeCell ref="R368:V368"/>
    <mergeCell ref="R369:V369"/>
    <mergeCell ref="R370:V370"/>
    <mergeCell ref="B379:F379"/>
    <mergeCell ref="H379:J379"/>
    <mergeCell ref="L379:N379"/>
    <mergeCell ref="A381:H381"/>
    <mergeCell ref="I381:N381"/>
    <mergeCell ref="R381:V381"/>
    <mergeCell ref="B382:F382"/>
    <mergeCell ref="H382:J382"/>
    <mergeCell ref="L382:N382"/>
    <mergeCell ref="R382:V382"/>
    <mergeCell ref="R383:V383"/>
    <mergeCell ref="R384:V384"/>
    <mergeCell ref="R385:V385"/>
    <mergeCell ref="R386:V386"/>
    <mergeCell ref="R387:V387"/>
    <mergeCell ref="R388:V388"/>
    <mergeCell ref="B398:F398"/>
    <mergeCell ref="H398:J398"/>
    <mergeCell ref="L398:N398"/>
    <mergeCell ref="A400:H400"/>
    <mergeCell ref="I400:N400"/>
    <mergeCell ref="R400:V400"/>
    <mergeCell ref="B401:F401"/>
    <mergeCell ref="H401:J401"/>
    <mergeCell ref="L401:N401"/>
    <mergeCell ref="R401:V401"/>
    <mergeCell ref="R402:V402"/>
    <mergeCell ref="R403:V403"/>
    <mergeCell ref="R404:V404"/>
    <mergeCell ref="R405:V405"/>
    <mergeCell ref="R406:V406"/>
    <mergeCell ref="R407:V407"/>
    <mergeCell ref="B416:F416"/>
    <mergeCell ref="H416:J416"/>
    <mergeCell ref="L416:N416"/>
    <mergeCell ref="A418:H418"/>
    <mergeCell ref="I418:N418"/>
    <mergeCell ref="R418:V418"/>
    <mergeCell ref="B419:F419"/>
    <mergeCell ref="H419:J419"/>
    <mergeCell ref="L419:N419"/>
    <mergeCell ref="R419:V419"/>
    <mergeCell ref="R420:V420"/>
    <mergeCell ref="R421:V421"/>
    <mergeCell ref="R422:V422"/>
    <mergeCell ref="R423:V423"/>
    <mergeCell ref="R424:V424"/>
    <mergeCell ref="R425:V425"/>
    <mergeCell ref="B434:F434"/>
    <mergeCell ref="H434:J434"/>
    <mergeCell ref="L434:N434"/>
    <mergeCell ref="A436:H436"/>
    <mergeCell ref="I436:N436"/>
    <mergeCell ref="R436:V436"/>
    <mergeCell ref="B437:F437"/>
    <mergeCell ref="H437:J437"/>
    <mergeCell ref="L437:N437"/>
    <mergeCell ref="R437:V437"/>
    <mergeCell ref="R438:V438"/>
    <mergeCell ref="R439:V439"/>
    <mergeCell ref="R440:V440"/>
    <mergeCell ref="R441:V441"/>
    <mergeCell ref="R442:V442"/>
    <mergeCell ref="R443:V443"/>
    <mergeCell ref="B452:F452"/>
    <mergeCell ref="H452:J452"/>
    <mergeCell ref="L452:N452"/>
    <mergeCell ref="A454:H454"/>
    <mergeCell ref="I454:N454"/>
    <mergeCell ref="R454:V454"/>
    <mergeCell ref="B455:F455"/>
    <mergeCell ref="H455:J455"/>
    <mergeCell ref="L455:N455"/>
    <mergeCell ref="R455:V455"/>
    <mergeCell ref="R456:V456"/>
    <mergeCell ref="R457:V457"/>
    <mergeCell ref="R458:V458"/>
    <mergeCell ref="R459:V459"/>
    <mergeCell ref="R460:V460"/>
    <mergeCell ref="R461:V461"/>
    <mergeCell ref="B470:F470"/>
    <mergeCell ref="H470:J470"/>
    <mergeCell ref="L470:N470"/>
    <mergeCell ref="A472:H472"/>
    <mergeCell ref="I472:N472"/>
    <mergeCell ref="R472:V472"/>
    <mergeCell ref="B473:F473"/>
    <mergeCell ref="H473:J473"/>
    <mergeCell ref="L473:N473"/>
    <mergeCell ref="R473:V473"/>
    <mergeCell ref="R474:V474"/>
    <mergeCell ref="R475:V475"/>
    <mergeCell ref="R476:V476"/>
    <mergeCell ref="R477:V477"/>
    <mergeCell ref="R478:V478"/>
    <mergeCell ref="R479:V479"/>
    <mergeCell ref="B488:F488"/>
    <mergeCell ref="H488:J488"/>
    <mergeCell ref="L488:N488"/>
  </mergeCells>
  <conditionalFormatting sqref="B17">
    <cfRule type="cellIs" priority="2" operator="lessThan" aboveAverage="0" equalAverage="0" bottom="0" percent="0" rank="0" text="" dxfId="0">
      <formula>0.2</formula>
    </cfRule>
    <cfRule type="cellIs" priority="3" operator="between" aboveAverage="0" equalAverage="0" bottom="0" percent="0" rank="0" text="" dxfId="1">
      <formula>0.2</formula>
      <formula>0.29999</formula>
    </cfRule>
    <cfRule type="cellIs" priority="4" operator="greaterThanOrEqual" aboveAverage="0" equalAverage="0" bottom="0" percent="0" rank="0" text="" dxfId="2">
      <formula>0.3</formula>
    </cfRule>
  </conditionalFormatting>
  <conditionalFormatting sqref="L17">
    <cfRule type="expression" priority="5" aboveAverage="0" equalAverage="0" bottom="0" percent="0" rank="0" text="" dxfId="0">
      <formula>$B$17&lt;0.2</formula>
    </cfRule>
    <cfRule type="expression" priority="6" aboveAverage="0" equalAverage="0" bottom="0" percent="0" rank="0" text="" dxfId="1">
      <formula>AND($B$17&gt;=0.2,$B$17&lt;0.3)</formula>
    </cfRule>
    <cfRule type="expression" priority="7" aboveAverage="0" equalAverage="0" bottom="0" percent="0" rank="0" text="" dxfId="2">
      <formula>$B$17&gt;=0.3</formula>
    </cfRule>
  </conditionalFormatting>
  <conditionalFormatting sqref="B35">
    <cfRule type="cellIs" priority="8" operator="lessThan" aboveAverage="0" equalAverage="0" bottom="0" percent="0" rank="0" text="" dxfId="0">
      <formula>0.2</formula>
    </cfRule>
    <cfRule type="cellIs" priority="9" operator="between" aboveAverage="0" equalAverage="0" bottom="0" percent="0" rank="0" text="" dxfId="1">
      <formula>0.2</formula>
      <formula>0.29999</formula>
    </cfRule>
    <cfRule type="cellIs" priority="10" operator="greaterThanOrEqual" aboveAverage="0" equalAverage="0" bottom="0" percent="0" rank="0" text="" dxfId="2">
      <formula>0.3</formula>
    </cfRule>
  </conditionalFormatting>
  <conditionalFormatting sqref="L35">
    <cfRule type="expression" priority="11" aboveAverage="0" equalAverage="0" bottom="0" percent="0" rank="0" text="" dxfId="0">
      <formula>$B$35&lt;0.2</formula>
    </cfRule>
    <cfRule type="expression" priority="12" aboveAverage="0" equalAverage="0" bottom="0" percent="0" rank="0" text="" dxfId="1">
      <formula>AND($B$35&gt;=0.2,$B$35&lt;0.3)</formula>
    </cfRule>
    <cfRule type="expression" priority="13" aboveAverage="0" equalAverage="0" bottom="0" percent="0" rank="0" text="" dxfId="2">
      <formula>$B$35&gt;=0.3</formula>
    </cfRule>
  </conditionalFormatting>
  <conditionalFormatting sqref="B53">
    <cfRule type="cellIs" priority="14" operator="lessThan" aboveAverage="0" equalAverage="0" bottom="0" percent="0" rank="0" text="" dxfId="0">
      <formula>0.2</formula>
    </cfRule>
    <cfRule type="cellIs" priority="15" operator="between" aboveAverage="0" equalAverage="0" bottom="0" percent="0" rank="0" text="" dxfId="1">
      <formula>0.2</formula>
      <formula>0.29999</formula>
    </cfRule>
    <cfRule type="cellIs" priority="16" operator="greaterThanOrEqual" aboveAverage="0" equalAverage="0" bottom="0" percent="0" rank="0" text="" dxfId="2">
      <formula>0.3</formula>
    </cfRule>
  </conditionalFormatting>
  <conditionalFormatting sqref="L53">
    <cfRule type="expression" priority="17" aboveAverage="0" equalAverage="0" bottom="0" percent="0" rank="0" text="" dxfId="0">
      <formula>$B$53&lt;0.2</formula>
    </cfRule>
    <cfRule type="expression" priority="18" aboveAverage="0" equalAverage="0" bottom="0" percent="0" rank="0" text="" dxfId="1">
      <formula>AND($B$53&gt;=0.2,$B$53&lt;0.3)</formula>
    </cfRule>
    <cfRule type="expression" priority="19" aboveAverage="0" equalAverage="0" bottom="0" percent="0" rank="0" text="" dxfId="2">
      <formula>$B$53&gt;=0.3</formula>
    </cfRule>
  </conditionalFormatting>
  <conditionalFormatting sqref="B72">
    <cfRule type="cellIs" priority="20" operator="lessThan" aboveAverage="0" equalAverage="0" bottom="0" percent="0" rank="0" text="" dxfId="0">
      <formula>0.2</formula>
    </cfRule>
    <cfRule type="cellIs" priority="21" operator="between" aboveAverage="0" equalAverage="0" bottom="0" percent="0" rank="0" text="" dxfId="1">
      <formula>0.2</formula>
      <formula>0.29999</formula>
    </cfRule>
    <cfRule type="cellIs" priority="22" operator="greaterThanOrEqual" aboveAverage="0" equalAverage="0" bottom="0" percent="0" rank="0" text="" dxfId="2">
      <formula>0.3</formula>
    </cfRule>
  </conditionalFormatting>
  <conditionalFormatting sqref="L72">
    <cfRule type="expression" priority="23" aboveAverage="0" equalAverage="0" bottom="0" percent="0" rank="0" text="" dxfId="0">
      <formula>$B$72&lt;0.2</formula>
    </cfRule>
    <cfRule type="expression" priority="24" aboveAverage="0" equalAverage="0" bottom="0" percent="0" rank="0" text="" dxfId="1">
      <formula>AND($B$72&gt;=0.2,$B$72&lt;0.3)</formula>
    </cfRule>
    <cfRule type="expression" priority="25" aboveAverage="0" equalAverage="0" bottom="0" percent="0" rank="0" text="" dxfId="2">
      <formula>$B$72&gt;=0.3</formula>
    </cfRule>
  </conditionalFormatting>
  <conditionalFormatting sqref="B90">
    <cfRule type="cellIs" priority="26" operator="lessThan" aboveAverage="0" equalAverage="0" bottom="0" percent="0" rank="0" text="" dxfId="0">
      <formula>0.2</formula>
    </cfRule>
    <cfRule type="cellIs" priority="27" operator="between" aboveAverage="0" equalAverage="0" bottom="0" percent="0" rank="0" text="" dxfId="1">
      <formula>0.2</formula>
      <formula>0.29999</formula>
    </cfRule>
    <cfRule type="cellIs" priority="28" operator="greaterThanOrEqual" aboveAverage="0" equalAverage="0" bottom="0" percent="0" rank="0" text="" dxfId="2">
      <formula>0.3</formula>
    </cfRule>
  </conditionalFormatting>
  <conditionalFormatting sqref="L90">
    <cfRule type="expression" priority="29" aboveAverage="0" equalAverage="0" bottom="0" percent="0" rank="0" text="" dxfId="0">
      <formula>$B$90&lt;0.2</formula>
    </cfRule>
    <cfRule type="expression" priority="30" aboveAverage="0" equalAverage="0" bottom="0" percent="0" rank="0" text="" dxfId="1">
      <formula>AND($B$90&gt;=0.2,$B$90&lt;0.3)</formula>
    </cfRule>
    <cfRule type="expression" priority="31" aboveAverage="0" equalAverage="0" bottom="0" percent="0" rank="0" text="" dxfId="2">
      <formula>$B$90&gt;=0.3</formula>
    </cfRule>
  </conditionalFormatting>
  <conditionalFormatting sqref="B108">
    <cfRule type="cellIs" priority="32" operator="lessThan" aboveAverage="0" equalAverage="0" bottom="0" percent="0" rank="0" text="" dxfId="0">
      <formula>0.2</formula>
    </cfRule>
    <cfRule type="cellIs" priority="33" operator="between" aboveAverage="0" equalAverage="0" bottom="0" percent="0" rank="0" text="" dxfId="1">
      <formula>0.2</formula>
      <formula>0.29999</formula>
    </cfRule>
    <cfRule type="cellIs" priority="34" operator="greaterThanOrEqual" aboveAverage="0" equalAverage="0" bottom="0" percent="0" rank="0" text="" dxfId="2">
      <formula>0.3</formula>
    </cfRule>
  </conditionalFormatting>
  <conditionalFormatting sqref="L108">
    <cfRule type="expression" priority="35" aboveAverage="0" equalAverage="0" bottom="0" percent="0" rank="0" text="" dxfId="0">
      <formula>$B$108&lt;0.2</formula>
    </cfRule>
    <cfRule type="expression" priority="36" aboveAverage="0" equalAverage="0" bottom="0" percent="0" rank="0" text="" dxfId="1">
      <formula>AND($B$108&gt;=0.2,$B$108&lt;0.3)</formula>
    </cfRule>
    <cfRule type="expression" priority="37" aboveAverage="0" equalAverage="0" bottom="0" percent="0" rank="0" text="" dxfId="2">
      <formula>$B$108&gt;=0.3</formula>
    </cfRule>
  </conditionalFormatting>
  <conditionalFormatting sqref="B126">
    <cfRule type="cellIs" priority="38" operator="lessThan" aboveAverage="0" equalAverage="0" bottom="0" percent="0" rank="0" text="" dxfId="0">
      <formula>0.2</formula>
    </cfRule>
    <cfRule type="cellIs" priority="39" operator="between" aboveAverage="0" equalAverage="0" bottom="0" percent="0" rank="0" text="" dxfId="1">
      <formula>0.2</formula>
      <formula>0.29999</formula>
    </cfRule>
    <cfRule type="cellIs" priority="40" operator="greaterThanOrEqual" aboveAverage="0" equalAverage="0" bottom="0" percent="0" rank="0" text="" dxfId="2">
      <formula>0.3</formula>
    </cfRule>
  </conditionalFormatting>
  <conditionalFormatting sqref="L126">
    <cfRule type="expression" priority="41" aboveAverage="0" equalAverage="0" bottom="0" percent="0" rank="0" text="" dxfId="0">
      <formula>$B$126&lt;0.2</formula>
    </cfRule>
    <cfRule type="expression" priority="42" aboveAverage="0" equalAverage="0" bottom="0" percent="0" rank="0" text="" dxfId="1">
      <formula>AND($B$126&gt;=0.2,$B$126&lt;0.3)</formula>
    </cfRule>
    <cfRule type="expression" priority="43" aboveAverage="0" equalAverage="0" bottom="0" percent="0" rank="0" text="" dxfId="2">
      <formula>$B$126&gt;=0.3</formula>
    </cfRule>
  </conditionalFormatting>
  <conditionalFormatting sqref="B145">
    <cfRule type="cellIs" priority="44" operator="lessThan" aboveAverage="0" equalAverage="0" bottom="0" percent="0" rank="0" text="" dxfId="0">
      <formula>0.2</formula>
    </cfRule>
    <cfRule type="cellIs" priority="45" operator="between" aboveAverage="0" equalAverage="0" bottom="0" percent="0" rank="0" text="" dxfId="1">
      <formula>0.2</formula>
      <formula>0.29999</formula>
    </cfRule>
    <cfRule type="cellIs" priority="46" operator="greaterThanOrEqual" aboveAverage="0" equalAverage="0" bottom="0" percent="0" rank="0" text="" dxfId="2">
      <formula>0.3</formula>
    </cfRule>
  </conditionalFormatting>
  <conditionalFormatting sqref="L145">
    <cfRule type="expression" priority="47" aboveAverage="0" equalAverage="0" bottom="0" percent="0" rank="0" text="" dxfId="0">
      <formula>$B$145&lt;0.2</formula>
    </cfRule>
    <cfRule type="expression" priority="48" aboveAverage="0" equalAverage="0" bottom="0" percent="0" rank="0" text="" dxfId="1">
      <formula>AND($B$145&gt;=0.2,$B$145&lt;0.3)</formula>
    </cfRule>
    <cfRule type="expression" priority="49" aboveAverage="0" equalAverage="0" bottom="0" percent="0" rank="0" text="" dxfId="2">
      <formula>$B$145&gt;=0.3</formula>
    </cfRule>
  </conditionalFormatting>
  <conditionalFormatting sqref="B163">
    <cfRule type="cellIs" priority="50" operator="lessThan" aboveAverage="0" equalAverage="0" bottom="0" percent="0" rank="0" text="" dxfId="0">
      <formula>0.2</formula>
    </cfRule>
    <cfRule type="cellIs" priority="51" operator="between" aboveAverage="0" equalAverage="0" bottom="0" percent="0" rank="0" text="" dxfId="1">
      <formula>0.2</formula>
      <formula>0.29999</formula>
    </cfRule>
    <cfRule type="cellIs" priority="52" operator="greaterThanOrEqual" aboveAverage="0" equalAverage="0" bottom="0" percent="0" rank="0" text="" dxfId="2">
      <formula>0.3</formula>
    </cfRule>
  </conditionalFormatting>
  <conditionalFormatting sqref="L163">
    <cfRule type="expression" priority="53" aboveAverage="0" equalAverage="0" bottom="0" percent="0" rank="0" text="" dxfId="0">
      <formula>$B$163&lt;0.2</formula>
    </cfRule>
    <cfRule type="expression" priority="54" aboveAverage="0" equalAverage="0" bottom="0" percent="0" rank="0" text="" dxfId="1">
      <formula>AND($B$163&gt;=0.2,$B$163&lt;0.3)</formula>
    </cfRule>
    <cfRule type="expression" priority="55" aboveAverage="0" equalAverage="0" bottom="0" percent="0" rank="0" text="" dxfId="2">
      <formula>$B$163&gt;=0.3</formula>
    </cfRule>
  </conditionalFormatting>
  <conditionalFormatting sqref="B181">
    <cfRule type="cellIs" priority="56" operator="lessThan" aboveAverage="0" equalAverage="0" bottom="0" percent="0" rank="0" text="" dxfId="0">
      <formula>0.2</formula>
    </cfRule>
    <cfRule type="cellIs" priority="57" operator="between" aboveAverage="0" equalAverage="0" bottom="0" percent="0" rank="0" text="" dxfId="1">
      <formula>0.2</formula>
      <formula>0.29999</formula>
    </cfRule>
    <cfRule type="cellIs" priority="58" operator="greaterThanOrEqual" aboveAverage="0" equalAverage="0" bottom="0" percent="0" rank="0" text="" dxfId="2">
      <formula>0.3</formula>
    </cfRule>
  </conditionalFormatting>
  <conditionalFormatting sqref="L181">
    <cfRule type="expression" priority="59" aboveAverage="0" equalAverage="0" bottom="0" percent="0" rank="0" text="" dxfId="0">
      <formula>$B$181&lt;0.2</formula>
    </cfRule>
    <cfRule type="expression" priority="60" aboveAverage="0" equalAverage="0" bottom="0" percent="0" rank="0" text="" dxfId="1">
      <formula>AND($B$181&gt;=0.2,$B$181&lt;0.3)</formula>
    </cfRule>
    <cfRule type="expression" priority="61" aboveAverage="0" equalAverage="0" bottom="0" percent="0" rank="0" text="" dxfId="2">
      <formula>$B$181&gt;=0.3</formula>
    </cfRule>
  </conditionalFormatting>
  <conditionalFormatting sqref="B199">
    <cfRule type="cellIs" priority="62" operator="lessThan" aboveAverage="0" equalAverage="0" bottom="0" percent="0" rank="0" text="" dxfId="0">
      <formula>0.2</formula>
    </cfRule>
    <cfRule type="cellIs" priority="63" operator="between" aboveAverage="0" equalAverage="0" bottom="0" percent="0" rank="0" text="" dxfId="1">
      <formula>0.2</formula>
      <formula>0.29999</formula>
    </cfRule>
    <cfRule type="cellIs" priority="64" operator="greaterThanOrEqual" aboveAverage="0" equalAverage="0" bottom="0" percent="0" rank="0" text="" dxfId="2">
      <formula>0.3</formula>
    </cfRule>
  </conditionalFormatting>
  <conditionalFormatting sqref="L199">
    <cfRule type="expression" priority="65" aboveAverage="0" equalAverage="0" bottom="0" percent="0" rank="0" text="" dxfId="0">
      <formula>$B$199&lt;0.2</formula>
    </cfRule>
    <cfRule type="expression" priority="66" aboveAverage="0" equalAverage="0" bottom="0" percent="0" rank="0" text="" dxfId="1">
      <formula>AND($B$199&gt;=0.2,$B$199&lt;0.3)</formula>
    </cfRule>
    <cfRule type="expression" priority="67" aboveAverage="0" equalAverage="0" bottom="0" percent="0" rank="0" text="" dxfId="2">
      <formula>$B$199&gt;=0.3</formula>
    </cfRule>
  </conditionalFormatting>
  <conditionalFormatting sqref="B217">
    <cfRule type="cellIs" priority="68" operator="lessThan" aboveAverage="0" equalAverage="0" bottom="0" percent="0" rank="0" text="" dxfId="0">
      <formula>0.2</formula>
    </cfRule>
    <cfRule type="cellIs" priority="69" operator="between" aboveAverage="0" equalAverage="0" bottom="0" percent="0" rank="0" text="" dxfId="1">
      <formula>0.2</formula>
      <formula>0.29999</formula>
    </cfRule>
    <cfRule type="cellIs" priority="70" operator="greaterThanOrEqual" aboveAverage="0" equalAverage="0" bottom="0" percent="0" rank="0" text="" dxfId="2">
      <formula>0.3</formula>
    </cfRule>
  </conditionalFormatting>
  <conditionalFormatting sqref="L217">
    <cfRule type="expression" priority="71" aboveAverage="0" equalAverage="0" bottom="0" percent="0" rank="0" text="" dxfId="0">
      <formula>$B$217&lt;0.2</formula>
    </cfRule>
    <cfRule type="expression" priority="72" aboveAverage="0" equalAverage="0" bottom="0" percent="0" rank="0" text="" dxfId="1">
      <formula>AND($B$217&gt;=0.2,$B$217&lt;0.3)</formula>
    </cfRule>
    <cfRule type="expression" priority="73" aboveAverage="0" equalAverage="0" bottom="0" percent="0" rank="0" text="" dxfId="2">
      <formula>$B$217&gt;=0.3</formula>
    </cfRule>
  </conditionalFormatting>
  <conditionalFormatting sqref="B235">
    <cfRule type="cellIs" priority="74" operator="lessThan" aboveAverage="0" equalAverage="0" bottom="0" percent="0" rank="0" text="" dxfId="0">
      <formula>0.2</formula>
    </cfRule>
    <cfRule type="cellIs" priority="75" operator="between" aboveAverage="0" equalAverage="0" bottom="0" percent="0" rank="0" text="" dxfId="1">
      <formula>0.2</formula>
      <formula>0.29999</formula>
    </cfRule>
    <cfRule type="cellIs" priority="76" operator="greaterThanOrEqual" aboveAverage="0" equalAverage="0" bottom="0" percent="0" rank="0" text="" dxfId="2">
      <formula>0.3</formula>
    </cfRule>
  </conditionalFormatting>
  <conditionalFormatting sqref="L235">
    <cfRule type="expression" priority="77" aboveAverage="0" equalAverage="0" bottom="0" percent="0" rank="0" text="" dxfId="0">
      <formula>$B$235&lt;0.2</formula>
    </cfRule>
    <cfRule type="expression" priority="78" aboveAverage="0" equalAverage="0" bottom="0" percent="0" rank="0" text="" dxfId="1">
      <formula>AND($B$235&gt;=0.2,$B$235&lt;0.3)</formula>
    </cfRule>
    <cfRule type="expression" priority="79" aboveAverage="0" equalAverage="0" bottom="0" percent="0" rank="0" text="" dxfId="2">
      <formula>$B$235&gt;=0.3</formula>
    </cfRule>
  </conditionalFormatting>
  <conditionalFormatting sqref="B253">
    <cfRule type="cellIs" priority="80" operator="lessThan" aboveAverage="0" equalAverage="0" bottom="0" percent="0" rank="0" text="" dxfId="0">
      <formula>0.2</formula>
    </cfRule>
    <cfRule type="cellIs" priority="81" operator="between" aboveAverage="0" equalAverage="0" bottom="0" percent="0" rank="0" text="" dxfId="1">
      <formula>0.2</formula>
      <formula>0.29999</formula>
    </cfRule>
    <cfRule type="cellIs" priority="82" operator="greaterThanOrEqual" aboveAverage="0" equalAverage="0" bottom="0" percent="0" rank="0" text="" dxfId="2">
      <formula>0.3</formula>
    </cfRule>
  </conditionalFormatting>
  <conditionalFormatting sqref="L253">
    <cfRule type="expression" priority="83" aboveAverage="0" equalAverage="0" bottom="0" percent="0" rank="0" text="" dxfId="0">
      <formula>$B$253&lt;0.2</formula>
    </cfRule>
    <cfRule type="expression" priority="84" aboveAverage="0" equalAverage="0" bottom="0" percent="0" rank="0" text="" dxfId="1">
      <formula>AND($B$253&gt;=0.2,$B$253&lt;0.3)</formula>
    </cfRule>
    <cfRule type="expression" priority="85" aboveAverage="0" equalAverage="0" bottom="0" percent="0" rank="0" text="" dxfId="2">
      <formula>$B$253&gt;=0.3</formula>
    </cfRule>
  </conditionalFormatting>
  <conditionalFormatting sqref="B271">
    <cfRule type="cellIs" priority="86" operator="lessThan" aboveAverage="0" equalAverage="0" bottom="0" percent="0" rank="0" text="" dxfId="0">
      <formula>0.2</formula>
    </cfRule>
    <cfRule type="cellIs" priority="87" operator="between" aboveAverage="0" equalAverage="0" bottom="0" percent="0" rank="0" text="" dxfId="1">
      <formula>0.2</formula>
      <formula>0.29999</formula>
    </cfRule>
    <cfRule type="cellIs" priority="88" operator="greaterThanOrEqual" aboveAverage="0" equalAverage="0" bottom="0" percent="0" rank="0" text="" dxfId="2">
      <formula>0.3</formula>
    </cfRule>
  </conditionalFormatting>
  <conditionalFormatting sqref="L271">
    <cfRule type="expression" priority="89" aboveAverage="0" equalAverage="0" bottom="0" percent="0" rank="0" text="" dxfId="0">
      <formula>$B$271&lt;0.2</formula>
    </cfRule>
    <cfRule type="expression" priority="90" aboveAverage="0" equalAverage="0" bottom="0" percent="0" rank="0" text="" dxfId="1">
      <formula>AND($B$271&gt;=0.2,$B$271&lt;0.3)</formula>
    </cfRule>
    <cfRule type="expression" priority="91" aboveAverage="0" equalAverage="0" bottom="0" percent="0" rank="0" text="" dxfId="2">
      <formula>$B$271&gt;=0.3</formula>
    </cfRule>
  </conditionalFormatting>
  <conditionalFormatting sqref="B289">
    <cfRule type="cellIs" priority="92" operator="lessThan" aboveAverage="0" equalAverage="0" bottom="0" percent="0" rank="0" text="" dxfId="0">
      <formula>0.2</formula>
    </cfRule>
    <cfRule type="cellIs" priority="93" operator="between" aboveAverage="0" equalAverage="0" bottom="0" percent="0" rank="0" text="" dxfId="1">
      <formula>0.2</formula>
      <formula>0.29999</formula>
    </cfRule>
    <cfRule type="cellIs" priority="94" operator="greaterThanOrEqual" aboveAverage="0" equalAverage="0" bottom="0" percent="0" rank="0" text="" dxfId="2">
      <formula>0.3</formula>
    </cfRule>
  </conditionalFormatting>
  <conditionalFormatting sqref="L289">
    <cfRule type="expression" priority="95" aboveAverage="0" equalAverage="0" bottom="0" percent="0" rank="0" text="" dxfId="0">
      <formula>$B$289&lt;0.2</formula>
    </cfRule>
    <cfRule type="expression" priority="96" aboveAverage="0" equalAverage="0" bottom="0" percent="0" rank="0" text="" dxfId="1">
      <formula>AND($B$289&gt;=0.2,$B$289&lt;0.3)</formula>
    </cfRule>
    <cfRule type="expression" priority="97" aboveAverage="0" equalAverage="0" bottom="0" percent="0" rank="0" text="" dxfId="2">
      <formula>$B$289&gt;=0.3</formula>
    </cfRule>
  </conditionalFormatting>
  <conditionalFormatting sqref="B307">
    <cfRule type="cellIs" priority="98" operator="lessThan" aboveAverage="0" equalAverage="0" bottom="0" percent="0" rank="0" text="" dxfId="0">
      <formula>0.2</formula>
    </cfRule>
    <cfRule type="cellIs" priority="99" operator="between" aboveAverage="0" equalAverage="0" bottom="0" percent="0" rank="0" text="" dxfId="1">
      <formula>0.2</formula>
      <formula>0.29999</formula>
    </cfRule>
    <cfRule type="cellIs" priority="100" operator="greaterThanOrEqual" aboveAverage="0" equalAverage="0" bottom="0" percent="0" rank="0" text="" dxfId="2">
      <formula>0.3</formula>
    </cfRule>
  </conditionalFormatting>
  <conditionalFormatting sqref="L307">
    <cfRule type="expression" priority="101" aboveAverage="0" equalAverage="0" bottom="0" percent="0" rank="0" text="" dxfId="0">
      <formula>$B$307&lt;0.2</formula>
    </cfRule>
    <cfRule type="expression" priority="102" aboveAverage="0" equalAverage="0" bottom="0" percent="0" rank="0" text="" dxfId="1">
      <formula>AND($B$307&gt;=0.2,$B$307&lt;0.3)</formula>
    </cfRule>
    <cfRule type="expression" priority="103" aboveAverage="0" equalAverage="0" bottom="0" percent="0" rank="0" text="" dxfId="2">
      <formula>$B$307&gt;=0.3</formula>
    </cfRule>
  </conditionalFormatting>
  <conditionalFormatting sqref="B325">
    <cfRule type="cellIs" priority="104" operator="lessThan" aboveAverage="0" equalAverage="0" bottom="0" percent="0" rank="0" text="" dxfId="0">
      <formula>0.2</formula>
    </cfRule>
    <cfRule type="cellIs" priority="105" operator="between" aboveAverage="0" equalAverage="0" bottom="0" percent="0" rank="0" text="" dxfId="1">
      <formula>0.2</formula>
      <formula>0.29999</formula>
    </cfRule>
    <cfRule type="cellIs" priority="106" operator="greaterThanOrEqual" aboveAverage="0" equalAverage="0" bottom="0" percent="0" rank="0" text="" dxfId="2">
      <formula>0.3</formula>
    </cfRule>
  </conditionalFormatting>
  <conditionalFormatting sqref="L325">
    <cfRule type="expression" priority="107" aboveAverage="0" equalAverage="0" bottom="0" percent="0" rank="0" text="" dxfId="0">
      <formula>$B$325&lt;0.2</formula>
    </cfRule>
    <cfRule type="expression" priority="108" aboveAverage="0" equalAverage="0" bottom="0" percent="0" rank="0" text="" dxfId="1">
      <formula>AND($B$325&gt;=0.2,$B$325&lt;0.3)</formula>
    </cfRule>
    <cfRule type="expression" priority="109" aboveAverage="0" equalAverage="0" bottom="0" percent="0" rank="0" text="" dxfId="2">
      <formula>$B$325&gt;=0.3</formula>
    </cfRule>
  </conditionalFormatting>
  <conditionalFormatting sqref="B343">
    <cfRule type="cellIs" priority="110" operator="lessThan" aboveAverage="0" equalAverage="0" bottom="0" percent="0" rank="0" text="" dxfId="0">
      <formula>0.2</formula>
    </cfRule>
    <cfRule type="cellIs" priority="111" operator="between" aboveAverage="0" equalAverage="0" bottom="0" percent="0" rank="0" text="" dxfId="1">
      <formula>0.2</formula>
      <formula>0.29999</formula>
    </cfRule>
    <cfRule type="cellIs" priority="112" operator="greaterThanOrEqual" aboveAverage="0" equalAverage="0" bottom="0" percent="0" rank="0" text="" dxfId="2">
      <formula>0.3</formula>
    </cfRule>
  </conditionalFormatting>
  <conditionalFormatting sqref="L343">
    <cfRule type="expression" priority="113" aboveAverage="0" equalAverage="0" bottom="0" percent="0" rank="0" text="" dxfId="0">
      <formula>$B$343&lt;0.2</formula>
    </cfRule>
    <cfRule type="expression" priority="114" aboveAverage="0" equalAverage="0" bottom="0" percent="0" rank="0" text="" dxfId="1">
      <formula>AND($B$343&gt;=0.2,$B$343&lt;0.3)</formula>
    </cfRule>
    <cfRule type="expression" priority="115" aboveAverage="0" equalAverage="0" bottom="0" percent="0" rank="0" text="" dxfId="2">
      <formula>$B$343&gt;=0.3</formula>
    </cfRule>
  </conditionalFormatting>
  <conditionalFormatting sqref="B361">
    <cfRule type="cellIs" priority="116" operator="lessThan" aboveAverage="0" equalAverage="0" bottom="0" percent="0" rank="0" text="" dxfId="0">
      <formula>0.2</formula>
    </cfRule>
    <cfRule type="cellIs" priority="117" operator="between" aboveAverage="0" equalAverage="0" bottom="0" percent="0" rank="0" text="" dxfId="1">
      <formula>0.2</formula>
      <formula>0.29999</formula>
    </cfRule>
    <cfRule type="cellIs" priority="118" operator="greaterThanOrEqual" aboveAverage="0" equalAverage="0" bottom="0" percent="0" rank="0" text="" dxfId="2">
      <formula>0.3</formula>
    </cfRule>
  </conditionalFormatting>
  <conditionalFormatting sqref="L361">
    <cfRule type="expression" priority="119" aboveAverage="0" equalAverage="0" bottom="0" percent="0" rank="0" text="" dxfId="0">
      <formula>$B$361&lt;0.2</formula>
    </cfRule>
    <cfRule type="expression" priority="120" aboveAverage="0" equalAverage="0" bottom="0" percent="0" rank="0" text="" dxfId="1">
      <formula>AND($B$361&gt;=0.2,$B$361&lt;0.3)</formula>
    </cfRule>
    <cfRule type="expression" priority="121" aboveAverage="0" equalAverage="0" bottom="0" percent="0" rank="0" text="" dxfId="2">
      <formula>$B$361&gt;=0.3</formula>
    </cfRule>
  </conditionalFormatting>
  <conditionalFormatting sqref="B379">
    <cfRule type="cellIs" priority="122" operator="lessThan" aboveAverage="0" equalAverage="0" bottom="0" percent="0" rank="0" text="" dxfId="0">
      <formula>0.2</formula>
    </cfRule>
    <cfRule type="cellIs" priority="123" operator="between" aboveAverage="0" equalAverage="0" bottom="0" percent="0" rank="0" text="" dxfId="1">
      <formula>0.2</formula>
      <formula>0.29999</formula>
    </cfRule>
    <cfRule type="cellIs" priority="124" operator="greaterThanOrEqual" aboveAverage="0" equalAverage="0" bottom="0" percent="0" rank="0" text="" dxfId="2">
      <formula>0.3</formula>
    </cfRule>
  </conditionalFormatting>
  <conditionalFormatting sqref="L379">
    <cfRule type="expression" priority="125" aboveAverage="0" equalAverage="0" bottom="0" percent="0" rank="0" text="" dxfId="0">
      <formula>$B$379&lt;0.2</formula>
    </cfRule>
    <cfRule type="expression" priority="126" aboveAverage="0" equalAverage="0" bottom="0" percent="0" rank="0" text="" dxfId="1">
      <formula>AND($B$379&gt;=0.2,$B$379&lt;0.3)</formula>
    </cfRule>
    <cfRule type="expression" priority="127" aboveAverage="0" equalAverage="0" bottom="0" percent="0" rank="0" text="" dxfId="2">
      <formula>$B$379&gt;=0.3</formula>
    </cfRule>
  </conditionalFormatting>
  <conditionalFormatting sqref="B398">
    <cfRule type="cellIs" priority="128" operator="lessThan" aboveAverage="0" equalAverage="0" bottom="0" percent="0" rank="0" text="" dxfId="0">
      <formula>0.2</formula>
    </cfRule>
    <cfRule type="cellIs" priority="129" operator="between" aboveAverage="0" equalAverage="0" bottom="0" percent="0" rank="0" text="" dxfId="1">
      <formula>0.2</formula>
      <formula>0.29999</formula>
    </cfRule>
    <cfRule type="cellIs" priority="130" operator="greaterThanOrEqual" aboveAverage="0" equalAverage="0" bottom="0" percent="0" rank="0" text="" dxfId="2">
      <formula>0.3</formula>
    </cfRule>
  </conditionalFormatting>
  <conditionalFormatting sqref="L398">
    <cfRule type="expression" priority="131" aboveAverage="0" equalAverage="0" bottom="0" percent="0" rank="0" text="" dxfId="0">
      <formula>$B$398&lt;0.2</formula>
    </cfRule>
    <cfRule type="expression" priority="132" aboveAverage="0" equalAverage="0" bottom="0" percent="0" rank="0" text="" dxfId="1">
      <formula>AND($B$398&gt;=0.2,$B$398&lt;0.3)</formula>
    </cfRule>
    <cfRule type="expression" priority="133" aboveAverage="0" equalAverage="0" bottom="0" percent="0" rank="0" text="" dxfId="2">
      <formula>$B$398&gt;=0.3</formula>
    </cfRule>
  </conditionalFormatting>
  <conditionalFormatting sqref="B416">
    <cfRule type="cellIs" priority="134" operator="lessThan" aboveAverage="0" equalAverage="0" bottom="0" percent="0" rank="0" text="" dxfId="0">
      <formula>0.2</formula>
    </cfRule>
    <cfRule type="cellIs" priority="135" operator="between" aboveAverage="0" equalAverage="0" bottom="0" percent="0" rank="0" text="" dxfId="1">
      <formula>0.2</formula>
      <formula>0.29999</formula>
    </cfRule>
    <cfRule type="cellIs" priority="136" operator="greaterThanOrEqual" aboveAverage="0" equalAverage="0" bottom="0" percent="0" rank="0" text="" dxfId="2">
      <formula>0.3</formula>
    </cfRule>
  </conditionalFormatting>
  <conditionalFormatting sqref="L416">
    <cfRule type="expression" priority="137" aboveAverage="0" equalAverage="0" bottom="0" percent="0" rank="0" text="" dxfId="0">
      <formula>$B$416&lt;0.2</formula>
    </cfRule>
    <cfRule type="expression" priority="138" aboveAverage="0" equalAverage="0" bottom="0" percent="0" rank="0" text="" dxfId="1">
      <formula>AND($B$416&gt;=0.2,$B$416&lt;0.3)</formula>
    </cfRule>
    <cfRule type="expression" priority="139" aboveAverage="0" equalAverage="0" bottom="0" percent="0" rank="0" text="" dxfId="2">
      <formula>$B$416&gt;=0.3</formula>
    </cfRule>
  </conditionalFormatting>
  <conditionalFormatting sqref="B434">
    <cfRule type="cellIs" priority="140" operator="lessThan" aboveAverage="0" equalAverage="0" bottom="0" percent="0" rank="0" text="" dxfId="0">
      <formula>0.2</formula>
    </cfRule>
    <cfRule type="cellIs" priority="141" operator="between" aboveAverage="0" equalAverage="0" bottom="0" percent="0" rank="0" text="" dxfId="1">
      <formula>0.2</formula>
      <formula>0.29999</formula>
    </cfRule>
    <cfRule type="cellIs" priority="142" operator="greaterThanOrEqual" aboveAverage="0" equalAverage="0" bottom="0" percent="0" rank="0" text="" dxfId="2">
      <formula>0.3</formula>
    </cfRule>
  </conditionalFormatting>
  <conditionalFormatting sqref="L434">
    <cfRule type="expression" priority="143" aboveAverage="0" equalAverage="0" bottom="0" percent="0" rank="0" text="" dxfId="0">
      <formula>$B$434&lt;0.2</formula>
    </cfRule>
    <cfRule type="expression" priority="144" aboveAverage="0" equalAverage="0" bottom="0" percent="0" rank="0" text="" dxfId="1">
      <formula>AND($B$434&gt;=0.2,$B$434&lt;0.3)</formula>
    </cfRule>
    <cfRule type="expression" priority="145" aboveAverage="0" equalAverage="0" bottom="0" percent="0" rank="0" text="" dxfId="2">
      <formula>$B$434&gt;=0.3</formula>
    </cfRule>
  </conditionalFormatting>
  <conditionalFormatting sqref="B452">
    <cfRule type="cellIs" priority="146" operator="lessThan" aboveAverage="0" equalAverage="0" bottom="0" percent="0" rank="0" text="" dxfId="0">
      <formula>0.2</formula>
    </cfRule>
    <cfRule type="cellIs" priority="147" operator="between" aboveAverage="0" equalAverage="0" bottom="0" percent="0" rank="0" text="" dxfId="1">
      <formula>0.2</formula>
      <formula>0.29999</formula>
    </cfRule>
    <cfRule type="cellIs" priority="148" operator="greaterThanOrEqual" aboveAverage="0" equalAverage="0" bottom="0" percent="0" rank="0" text="" dxfId="2">
      <formula>0.3</formula>
    </cfRule>
  </conditionalFormatting>
  <conditionalFormatting sqref="L452">
    <cfRule type="expression" priority="149" aboveAverage="0" equalAverage="0" bottom="0" percent="0" rank="0" text="" dxfId="0">
      <formula>$B$452&lt;0.2</formula>
    </cfRule>
    <cfRule type="expression" priority="150" aboveAverage="0" equalAverage="0" bottom="0" percent="0" rank="0" text="" dxfId="1">
      <formula>AND($B$452&gt;=0.2,$B$452&lt;0.3)</formula>
    </cfRule>
    <cfRule type="expression" priority="151" aboveAverage="0" equalAverage="0" bottom="0" percent="0" rank="0" text="" dxfId="2">
      <formula>$B$452&gt;=0.3</formula>
    </cfRule>
  </conditionalFormatting>
  <conditionalFormatting sqref="B470">
    <cfRule type="cellIs" priority="152" operator="lessThan" aboveAverage="0" equalAverage="0" bottom="0" percent="0" rank="0" text="" dxfId="0">
      <formula>0.2</formula>
    </cfRule>
    <cfRule type="cellIs" priority="153" operator="between" aboveAverage="0" equalAverage="0" bottom="0" percent="0" rank="0" text="" dxfId="1">
      <formula>0.2</formula>
      <formula>0.29999</formula>
    </cfRule>
    <cfRule type="cellIs" priority="154" operator="greaterThanOrEqual" aboveAverage="0" equalAverage="0" bottom="0" percent="0" rank="0" text="" dxfId="2">
      <formula>0.3</formula>
    </cfRule>
  </conditionalFormatting>
  <conditionalFormatting sqref="L470">
    <cfRule type="expression" priority="155" aboveAverage="0" equalAverage="0" bottom="0" percent="0" rank="0" text="" dxfId="0">
      <formula>$B$470&lt;0.2</formula>
    </cfRule>
    <cfRule type="expression" priority="156" aboveAverage="0" equalAverage="0" bottom="0" percent="0" rank="0" text="" dxfId="1">
      <formula>AND($B$470&gt;=0.2,$B$470&lt;0.3)</formula>
    </cfRule>
    <cfRule type="expression" priority="157" aboveAverage="0" equalAverage="0" bottom="0" percent="0" rank="0" text="" dxfId="2">
      <formula>$B$470&gt;=0.3</formula>
    </cfRule>
  </conditionalFormatting>
  <conditionalFormatting sqref="B488">
    <cfRule type="cellIs" priority="158" operator="lessThan" aboveAverage="0" equalAverage="0" bottom="0" percent="0" rank="0" text="" dxfId="0">
      <formula>0.2</formula>
    </cfRule>
    <cfRule type="cellIs" priority="159" operator="between" aboveAverage="0" equalAverage="0" bottom="0" percent="0" rank="0" text="" dxfId="1">
      <formula>0.2</formula>
      <formula>0.29999</formula>
    </cfRule>
    <cfRule type="cellIs" priority="160" operator="greaterThanOrEqual" aboveAverage="0" equalAverage="0" bottom="0" percent="0" rank="0" text="" dxfId="2">
      <formula>0.3</formula>
    </cfRule>
  </conditionalFormatting>
  <conditionalFormatting sqref="L488">
    <cfRule type="expression" priority="161" aboveAverage="0" equalAverage="0" bottom="0" percent="0" rank="0" text="" dxfId="0">
      <formula>$B$488&lt;0.2</formula>
    </cfRule>
    <cfRule type="expression" priority="162" aboveAverage="0" equalAverage="0" bottom="0" percent="0" rank="0" text="" dxfId="1">
      <formula>AND($B$488&gt;=0.2,$B$488&lt;0.3)</formula>
    </cfRule>
    <cfRule type="expression" priority="163" aboveAverage="0" equalAverage="0" bottom="0" percent="0" rank="0" text="" dxfId="2">
      <formula>$B$488&gt;=0.3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true" outlineLevel="0" max="11" min="11" style="0" width="13"/>
  </cols>
  <sheetData>
    <row r="1" customFormat="false" ht="25.5" hidden="false" customHeight="true" outlineLevel="0" collapsed="false">
      <c r="A1" s="74" t="s">
        <v>370</v>
      </c>
      <c r="B1" s="74"/>
      <c r="C1" s="74"/>
      <c r="D1" s="74"/>
      <c r="E1" s="74"/>
      <c r="F1" s="74"/>
      <c r="G1" s="74"/>
      <c r="H1" s="74"/>
      <c r="I1" s="74"/>
    </row>
    <row r="2" customFormat="false" ht="25.5" hidden="false" customHeight="true" outlineLevel="0" collapsed="false">
      <c r="A2" s="75" t="s">
        <v>371</v>
      </c>
      <c r="B2" s="75"/>
      <c r="C2" s="75"/>
      <c r="D2" s="75"/>
      <c r="E2" s="75"/>
      <c r="F2" s="75"/>
      <c r="G2" s="75"/>
      <c r="H2" s="75"/>
      <c r="I2" s="75"/>
    </row>
    <row r="3" customFormat="false" ht="19.5" hidden="false" customHeight="true" outlineLevel="0" collapsed="false">
      <c r="A3" s="76" t="s">
        <v>372</v>
      </c>
      <c r="B3" s="76"/>
      <c r="C3" s="76"/>
      <c r="D3" s="77" t="s">
        <v>373</v>
      </c>
      <c r="E3" s="78" t="s">
        <v>374</v>
      </c>
      <c r="F3" s="79" t="n">
        <v>0.3</v>
      </c>
      <c r="G3" s="78" t="s">
        <v>375</v>
      </c>
      <c r="H3" s="80" t="n">
        <f aca="false">SUM(K5:K140)</f>
        <v>0.0458999999998612</v>
      </c>
      <c r="I3" s="80"/>
    </row>
    <row r="4" customFormat="false" ht="15" hidden="false" customHeight="false" outlineLevel="0" collapsed="false">
      <c r="A4" s="81" t="s">
        <v>18</v>
      </c>
      <c r="B4" s="81" t="s">
        <v>19</v>
      </c>
      <c r="C4" s="81" t="s">
        <v>20</v>
      </c>
      <c r="D4" s="81" t="s">
        <v>21</v>
      </c>
      <c r="E4" s="81" t="s">
        <v>22</v>
      </c>
      <c r="F4" s="81" t="s">
        <v>23</v>
      </c>
      <c r="G4" s="81" t="s">
        <v>24</v>
      </c>
      <c r="H4" s="81" t="s">
        <v>25</v>
      </c>
      <c r="I4" s="81" t="s">
        <v>26</v>
      </c>
    </row>
    <row r="5" customFormat="false" ht="15" hidden="false" customHeight="false" outlineLevel="0" collapsed="false">
      <c r="A5" s="82" t="n">
        <v>8550</v>
      </c>
      <c r="B5" s="82" t="s">
        <v>376</v>
      </c>
      <c r="C5" s="83" t="s">
        <v>377</v>
      </c>
      <c r="D5" s="82" t="s">
        <v>30</v>
      </c>
      <c r="E5" s="84" t="n">
        <f aca="false">'Detalle 2.0TD'!B15</f>
        <v>0.329065354776358</v>
      </c>
      <c r="F5" s="85" t="str">
        <f aca="false">'Detalle 2.0TD'!D15</f>
        <v>APROBAR</v>
      </c>
      <c r="G5" s="86" t="n">
        <v>0.2802</v>
      </c>
      <c r="H5" s="87" t="n">
        <v>2435.51</v>
      </c>
      <c r="I5" s="88" t="str">
        <f aca="false">IF('Detalle 2.0TD'!B15="","Falta PC real",IF('Detalle 2.0TD'!B15&gt;=0.3,"OK · registrar",IF('Detalle 2.0TD'!B15&gt;=0.2,"Revisar margen","Revisar PC/PV")))</f>
        <v>OK · registrar</v>
      </c>
      <c r="K5" s="0" t="n">
        <f aca="false">'Detalle 2.0TD'!AD15</f>
        <v>-0.00790000000000646</v>
      </c>
    </row>
    <row r="6" customFormat="false" ht="15" hidden="false" customHeight="false" outlineLevel="0" collapsed="false">
      <c r="A6" s="82" t="n">
        <v>8551</v>
      </c>
      <c r="B6" s="82" t="s">
        <v>378</v>
      </c>
      <c r="C6" s="83" t="s">
        <v>377</v>
      </c>
      <c r="D6" s="82" t="s">
        <v>30</v>
      </c>
      <c r="E6" s="84" t="n">
        <f aca="false">'Detalle 2.0TD'!B29</f>
        <v>0.327914542063266</v>
      </c>
      <c r="F6" s="85" t="str">
        <f aca="false">'Detalle 2.0TD'!D29</f>
        <v>APROBAR</v>
      </c>
      <c r="G6" s="86" t="n">
        <v>0.2374</v>
      </c>
      <c r="H6" s="87" t="n">
        <v>2120.45</v>
      </c>
      <c r="I6" s="88" t="str">
        <f aca="false">IF('Detalle 2.0TD'!B29="","Falta PC real",IF('Detalle 2.0TD'!B29&gt;=0.3,"OK · registrar",IF('Detalle 2.0TD'!B29&gt;=0.2,"Revisar margen","Revisar PC/PV")))</f>
        <v>OK · registrar</v>
      </c>
      <c r="K6" s="0" t="n">
        <f aca="false">'Detalle 2.0TD'!AD29</f>
        <v>0.00410000000000821</v>
      </c>
    </row>
    <row r="7" customFormat="false" ht="15" hidden="false" customHeight="false" outlineLevel="0" collapsed="false">
      <c r="A7" s="82" t="n">
        <v>8552</v>
      </c>
      <c r="B7" s="82" t="s">
        <v>379</v>
      </c>
      <c r="C7" s="83" t="s">
        <v>377</v>
      </c>
      <c r="D7" s="82" t="s">
        <v>30</v>
      </c>
      <c r="E7" s="84" t="n">
        <f aca="false">'Detalle 2.0TD'!B43</f>
        <v>0.337766147717455</v>
      </c>
      <c r="F7" s="85" t="str">
        <f aca="false">'Detalle 2.0TD'!D43</f>
        <v>APROBAR</v>
      </c>
      <c r="G7" s="86" t="n">
        <v>0.3004</v>
      </c>
      <c r="H7" s="87" t="n">
        <v>3194.42</v>
      </c>
      <c r="I7" s="88" t="str">
        <f aca="false">IF('Detalle 2.0TD'!B43="","Falta PC real",IF('Detalle 2.0TD'!B43&gt;=0.3,"OK · registrar",IF('Detalle 2.0TD'!B43&gt;=0.2,"Revisar margen","Revisar PC/PV")))</f>
        <v>OK · registrar</v>
      </c>
      <c r="K7" s="0" t="n">
        <f aca="false">'Detalle 2.0TD'!AD43</f>
        <v>-0.00570000000001869</v>
      </c>
    </row>
    <row r="8" customFormat="false" ht="15" hidden="false" customHeight="false" outlineLevel="0" collapsed="false">
      <c r="A8" s="82" t="n">
        <v>8553</v>
      </c>
      <c r="B8" s="82" t="s">
        <v>380</v>
      </c>
      <c r="C8" s="83" t="s">
        <v>377</v>
      </c>
      <c r="D8" s="82" t="s">
        <v>30</v>
      </c>
      <c r="E8" s="84" t="n">
        <f aca="false">'Detalle 2.0TD'!B57</f>
        <v>0.186520252837403</v>
      </c>
      <c r="F8" s="85" t="str">
        <f aca="false">'Detalle 2.0TD'!D57</f>
        <v>RECHAZAR</v>
      </c>
      <c r="G8" s="86" t="n">
        <v>0.2933</v>
      </c>
      <c r="H8" s="87" t="n">
        <v>2606.28</v>
      </c>
      <c r="I8" s="88" t="str">
        <f aca="false">IF('Detalle 2.0TD'!B57="","Falta PC real",IF('Detalle 2.0TD'!B57&gt;=0.3,"OK · registrar",IF('Detalle 2.0TD'!B57&gt;=0.2,"Revisar margen","Revisar PC/PV")))</f>
        <v>Revisar PC/PV</v>
      </c>
      <c r="K8" s="0" t="n">
        <f aca="false">'Detalle 2.0TD'!AD57</f>
        <v>0.00720000000001164</v>
      </c>
    </row>
    <row r="9" customFormat="false" ht="15" hidden="false" customHeight="false" outlineLevel="0" collapsed="false">
      <c r="A9" s="82" t="n">
        <v>8554</v>
      </c>
      <c r="B9" s="82" t="s">
        <v>381</v>
      </c>
      <c r="C9" s="83" t="s">
        <v>377</v>
      </c>
      <c r="D9" s="82" t="s">
        <v>30</v>
      </c>
      <c r="E9" s="84" t="n">
        <f aca="false">'Detalle 2.0TD'!B71</f>
        <v>0.338841935061628</v>
      </c>
      <c r="F9" s="85" t="str">
        <f aca="false">'Detalle 2.0TD'!D71</f>
        <v>APROBAR</v>
      </c>
      <c r="G9" s="86" t="n">
        <v>0.3099</v>
      </c>
      <c r="H9" s="87" t="n">
        <v>5248.88</v>
      </c>
      <c r="I9" s="88" t="str">
        <f aca="false">IF('Detalle 2.0TD'!B71="","Falta PC real",IF('Detalle 2.0TD'!B71&gt;=0.3,"OK · registrar",IF('Detalle 2.0TD'!B71&gt;=0.2,"Revisar margen","Revisar PC/PV")))</f>
        <v>OK · registrar</v>
      </c>
      <c r="K9" s="0" t="n">
        <f aca="false">'Detalle 2.0TD'!AD71</f>
        <v>0.00279999999997926</v>
      </c>
    </row>
    <row r="10" customFormat="false" ht="15" hidden="false" customHeight="false" outlineLevel="0" collapsed="false">
      <c r="A10" s="82" t="n">
        <v>8555</v>
      </c>
      <c r="B10" s="82" t="s">
        <v>382</v>
      </c>
      <c r="C10" s="83" t="s">
        <v>377</v>
      </c>
      <c r="D10" s="82" t="s">
        <v>30</v>
      </c>
      <c r="E10" s="84" t="n">
        <f aca="false">'Detalle 2.0TD'!B85</f>
        <v>0.336048930694543</v>
      </c>
      <c r="F10" s="85" t="str">
        <f aca="false">'Detalle 2.0TD'!D85</f>
        <v>APROBAR</v>
      </c>
      <c r="G10" s="86" t="n">
        <v>0.3022</v>
      </c>
      <c r="H10" s="87" t="n">
        <v>1841.6</v>
      </c>
      <c r="I10" s="88" t="str">
        <f aca="false">IF('Detalle 2.0TD'!B85="","Falta PC real",IF('Detalle 2.0TD'!B85&gt;=0.3,"OK · registrar",IF('Detalle 2.0TD'!B85&gt;=0.2,"Revisar margen","Revisar PC/PV")))</f>
        <v>OK · registrar</v>
      </c>
      <c r="K10" s="0" t="n">
        <f aca="false">'Detalle 2.0TD'!AD85</f>
        <v>0.00479999999998881</v>
      </c>
    </row>
    <row r="11" customFormat="false" ht="15" hidden="false" customHeight="false" outlineLevel="0" collapsed="false">
      <c r="A11" s="82" t="n">
        <v>8556</v>
      </c>
      <c r="B11" s="82" t="s">
        <v>383</v>
      </c>
      <c r="C11" s="83" t="s">
        <v>377</v>
      </c>
      <c r="D11" s="82" t="s">
        <v>30</v>
      </c>
      <c r="E11" s="84" t="n">
        <f aca="false">'Detalle 2.0TD'!B99</f>
        <v>0.338923364300858</v>
      </c>
      <c r="F11" s="85" t="str">
        <f aca="false">'Detalle 2.0TD'!D99</f>
        <v>APROBAR</v>
      </c>
      <c r="G11" s="86" t="n">
        <v>0.2895</v>
      </c>
      <c r="H11" s="87" t="n">
        <v>2954.17</v>
      </c>
      <c r="I11" s="88" t="str">
        <f aca="false">IF('Detalle 2.0TD'!B99="","Falta PC real",IF('Detalle 2.0TD'!B99&gt;=0.3,"OK · registrar",IF('Detalle 2.0TD'!B99&gt;=0.2,"Revisar margen","Revisar PC/PV")))</f>
        <v>OK · registrar</v>
      </c>
      <c r="K11" s="0" t="n">
        <f aca="false">'Detalle 2.0TD'!AD99</f>
        <v>0.0107000000000141</v>
      </c>
    </row>
    <row r="12" customFormat="false" ht="15" hidden="false" customHeight="false" outlineLevel="0" collapsed="false">
      <c r="A12" s="82" t="n">
        <v>8557</v>
      </c>
      <c r="B12" s="82" t="s">
        <v>384</v>
      </c>
      <c r="C12" s="83" t="s">
        <v>377</v>
      </c>
      <c r="D12" s="82" t="s">
        <v>30</v>
      </c>
      <c r="E12" s="84" t="n">
        <f aca="false">'Detalle 2.0TD'!B113</f>
        <v>0.332461014726159</v>
      </c>
      <c r="F12" s="85" t="str">
        <f aca="false">'Detalle 2.0TD'!D113</f>
        <v>APROBAR</v>
      </c>
      <c r="G12" s="83"/>
      <c r="H12" s="83"/>
      <c r="I12" s="88" t="str">
        <f aca="false">IF('Detalle 2.0TD'!B113="","Falta PC real",IF('Detalle 2.0TD'!B113&gt;=0.3,"OK · registrar",IF('Detalle 2.0TD'!B113&gt;=0.2,"Revisar margen","Revisar PC/PV")))</f>
        <v>OK · registrar</v>
      </c>
      <c r="K12" s="0" t="n">
        <f aca="false">'Detalle 2.0TD'!AD113</f>
        <v>-0.00570000000000448</v>
      </c>
    </row>
    <row r="13" customFormat="false" ht="15" hidden="false" customHeight="false" outlineLevel="0" collapsed="false">
      <c r="A13" s="82" t="n">
        <v>8558</v>
      </c>
      <c r="B13" s="82" t="s">
        <v>385</v>
      </c>
      <c r="C13" s="83" t="s">
        <v>377</v>
      </c>
      <c r="D13" s="82" t="s">
        <v>30</v>
      </c>
      <c r="E13" s="84" t="n">
        <f aca="false">'Detalle 2.0TD'!B127</f>
        <v>0.335609702525054</v>
      </c>
      <c r="F13" s="85" t="str">
        <f aca="false">'Detalle 2.0TD'!D127</f>
        <v>APROBAR</v>
      </c>
      <c r="G13" s="86" t="n">
        <v>0.293</v>
      </c>
      <c r="H13" s="87" t="n">
        <v>3233.11</v>
      </c>
      <c r="I13" s="88" t="str">
        <f aca="false">IF('Detalle 2.0TD'!B127="","Falta PC real",IF('Detalle 2.0TD'!B127&gt;=0.3,"OK · registrar",IF('Detalle 2.0TD'!B127&gt;=0.2,"Revisar margen","Revisar PC/PV")))</f>
        <v>OK · registrar</v>
      </c>
      <c r="K13" s="0" t="n">
        <f aca="false">'Detalle 2.0TD'!AD127</f>
        <v>-0.000400000000013279</v>
      </c>
    </row>
    <row r="14" customFormat="false" ht="15" hidden="false" customHeight="false" outlineLevel="0" collapsed="false">
      <c r="A14" s="82" t="n">
        <v>8559</v>
      </c>
      <c r="B14" s="82" t="s">
        <v>386</v>
      </c>
      <c r="C14" s="83" t="s">
        <v>377</v>
      </c>
      <c r="D14" s="82" t="s">
        <v>30</v>
      </c>
      <c r="E14" s="84" t="n">
        <f aca="false">'Detalle 2.0TD'!B141</f>
        <v>0.321777018724824</v>
      </c>
      <c r="F14" s="85" t="str">
        <f aca="false">'Detalle 2.0TD'!D141</f>
        <v>APROBAR</v>
      </c>
      <c r="G14" s="86" t="n">
        <v>0.3314</v>
      </c>
      <c r="H14" s="87" t="n">
        <v>989.5</v>
      </c>
      <c r="I14" s="88" t="str">
        <f aca="false">IF('Detalle 2.0TD'!B141="","Falta PC real",IF('Detalle 2.0TD'!B141&gt;=0.3,"OK · registrar",IF('Detalle 2.0TD'!B141&gt;=0.2,"Revisar margen","Revisar PC/PV")))</f>
        <v>OK · registrar</v>
      </c>
      <c r="K14" s="0" t="n">
        <f aca="false">'Detalle 2.0TD'!AD141</f>
        <v>0.0104000000000042</v>
      </c>
    </row>
    <row r="15" customFormat="false" ht="15" hidden="false" customHeight="false" outlineLevel="0" collapsed="false">
      <c r="A15" s="82" t="n">
        <v>8560</v>
      </c>
      <c r="B15" s="82" t="s">
        <v>387</v>
      </c>
      <c r="C15" s="83" t="s">
        <v>377</v>
      </c>
      <c r="D15" s="82" t="s">
        <v>30</v>
      </c>
      <c r="E15" s="84" t="n">
        <f aca="false">'Detalle 2.0TD'!B155</f>
        <v>0.326544549875862</v>
      </c>
      <c r="F15" s="85" t="str">
        <f aca="false">'Detalle 2.0TD'!D155</f>
        <v>APROBAR</v>
      </c>
      <c r="G15" s="86" t="n">
        <v>0.2482</v>
      </c>
      <c r="H15" s="87" t="n">
        <v>837.32</v>
      </c>
      <c r="I15" s="88" t="str">
        <f aca="false">IF('Detalle 2.0TD'!B155="","Falta PC real",IF('Detalle 2.0TD'!B155&gt;=0.3,"OK · registrar",IF('Detalle 2.0TD'!B155&gt;=0.2,"Revisar margen","Revisar PC/PV")))</f>
        <v>OK · registrar</v>
      </c>
      <c r="K15" s="0" t="n">
        <f aca="false">'Detalle 2.0TD'!AD155</f>
        <v>-0.00829999999999842</v>
      </c>
    </row>
    <row r="16" customFormat="false" ht="15" hidden="false" customHeight="false" outlineLevel="0" collapsed="false">
      <c r="A16" s="82" t="n">
        <v>8561</v>
      </c>
      <c r="B16" s="82" t="s">
        <v>388</v>
      </c>
      <c r="C16" s="83" t="s">
        <v>377</v>
      </c>
      <c r="D16" s="82" t="s">
        <v>30</v>
      </c>
      <c r="E16" s="84" t="n">
        <f aca="false">'Detalle 2.0TD'!B169</f>
        <v>0.337098530941534</v>
      </c>
      <c r="F16" s="85" t="str">
        <f aca="false">'Detalle 2.0TD'!D169</f>
        <v>APROBAR</v>
      </c>
      <c r="G16" s="86" t="n">
        <v>0.2981</v>
      </c>
      <c r="H16" s="87" t="n">
        <v>3102.69</v>
      </c>
      <c r="I16" s="88" t="str">
        <f aca="false">IF('Detalle 2.0TD'!B169="","Falta PC real",IF('Detalle 2.0TD'!B169&gt;=0.3,"OK · registrar",IF('Detalle 2.0TD'!B169&gt;=0.2,"Revisar margen","Revisar PC/PV")))</f>
        <v>OK · registrar</v>
      </c>
      <c r="K16" s="0" t="n">
        <f aca="false">'Detalle 2.0TD'!AD169</f>
        <v>0.00430000000000064</v>
      </c>
    </row>
    <row r="17" customFormat="false" ht="15" hidden="false" customHeight="false" outlineLevel="0" collapsed="false">
      <c r="A17" s="82" t="n">
        <v>8562</v>
      </c>
      <c r="B17" s="82" t="s">
        <v>389</v>
      </c>
      <c r="C17" s="83" t="s">
        <v>377</v>
      </c>
      <c r="D17" s="82" t="s">
        <v>30</v>
      </c>
      <c r="E17" s="84" t="n">
        <f aca="false">'Detalle 2.0TD'!B183</f>
        <v>0.331034299076433</v>
      </c>
      <c r="F17" s="85" t="str">
        <f aca="false">'Detalle 2.0TD'!D183</f>
        <v>APROBAR</v>
      </c>
      <c r="G17" s="86" t="n">
        <v>0.295</v>
      </c>
      <c r="H17" s="87" t="n">
        <v>2842.61</v>
      </c>
      <c r="I17" s="88" t="str">
        <f aca="false">IF('Detalle 2.0TD'!B183="","Falta PC real",IF('Detalle 2.0TD'!B183&gt;=0.3,"OK · registrar",IF('Detalle 2.0TD'!B183&gt;=0.2,"Revisar margen","Revisar PC/PV")))</f>
        <v>OK · registrar</v>
      </c>
      <c r="K17" s="0" t="n">
        <f aca="false">'Detalle 2.0TD'!AD183</f>
        <v>0.000500000000016598</v>
      </c>
    </row>
    <row r="18" customFormat="false" ht="15" hidden="false" customHeight="false" outlineLevel="0" collapsed="false">
      <c r="A18" s="82" t="n">
        <v>8563</v>
      </c>
      <c r="B18" s="82" t="s">
        <v>390</v>
      </c>
      <c r="C18" s="83" t="s">
        <v>377</v>
      </c>
      <c r="D18" s="82" t="s">
        <v>30</v>
      </c>
      <c r="E18" s="84" t="n">
        <f aca="false">'Detalle 2.0TD'!B197</f>
        <v>0.333065862546633</v>
      </c>
      <c r="F18" s="85" t="str">
        <f aca="false">'Detalle 2.0TD'!D197</f>
        <v>APROBAR</v>
      </c>
      <c r="G18" s="86" t="n">
        <v>0.3206</v>
      </c>
      <c r="H18" s="87" t="n">
        <v>3731.12</v>
      </c>
      <c r="I18" s="88" t="str">
        <f aca="false">IF('Detalle 2.0TD'!B197="","Falta PC real",IF('Detalle 2.0TD'!B197&gt;=0.3,"OK · registrar",IF('Detalle 2.0TD'!B197&gt;=0.2,"Revisar margen","Revisar PC/PV")))</f>
        <v>OK · registrar</v>
      </c>
      <c r="K18" s="0" t="n">
        <f aca="false">'Detalle 2.0TD'!AD197</f>
        <v>-0.00370000000000914</v>
      </c>
    </row>
    <row r="19" customFormat="false" ht="15" hidden="false" customHeight="false" outlineLevel="0" collapsed="false">
      <c r="A19" s="82" t="n">
        <v>8568</v>
      </c>
      <c r="B19" s="82" t="s">
        <v>391</v>
      </c>
      <c r="C19" s="83" t="s">
        <v>392</v>
      </c>
      <c r="D19" s="82" t="s">
        <v>30</v>
      </c>
      <c r="E19" s="84" t="n">
        <f aca="false">'Detalle 2.0TD'!B211</f>
        <v>0.242606592736269</v>
      </c>
      <c r="F19" s="85" t="str">
        <f aca="false">'Detalle 2.0TD'!D211</f>
        <v>REVISAR</v>
      </c>
      <c r="G19" s="86" t="n">
        <v>0.3031</v>
      </c>
      <c r="H19" s="87" t="n">
        <v>2280.53</v>
      </c>
      <c r="I19" s="88" t="str">
        <f aca="false">IF('Detalle 2.0TD'!B211="","Falta PC real",IF('Detalle 2.0TD'!B211&gt;=0.3,"OK · registrar",IF('Detalle 2.0TD'!B211&gt;=0.2,"Revisar margen","Revisar PC/PV")))</f>
        <v>Revisar margen</v>
      </c>
      <c r="K19" s="0" t="n">
        <f aca="false">'Detalle 2.0TD'!AD211</f>
        <v>-0.00270000000000437</v>
      </c>
    </row>
    <row r="20" customFormat="false" ht="15" hidden="false" customHeight="false" outlineLevel="0" collapsed="false">
      <c r="A20" s="82" t="n">
        <v>8569</v>
      </c>
      <c r="B20" s="82" t="s">
        <v>393</v>
      </c>
      <c r="C20" s="83" t="s">
        <v>394</v>
      </c>
      <c r="D20" s="82" t="s">
        <v>30</v>
      </c>
      <c r="E20" s="84" t="n">
        <f aca="false">'Detalle 2.0TD'!B230</f>
        <v>0.136279773993095</v>
      </c>
      <c r="F20" s="85" t="str">
        <f aca="false">'Detalle 2.0TD'!D230</f>
        <v>RECHAZAR</v>
      </c>
      <c r="G20" s="86" t="n">
        <v>0.354</v>
      </c>
      <c r="H20" s="87" t="n">
        <v>452.94</v>
      </c>
      <c r="I20" s="88" t="str">
        <f aca="false">IF('Detalle 2.0TD'!B230="","Falta PC real",IF('Detalle 2.0TD'!B230&gt;=0.3,"OK · registrar",IF('Detalle 2.0TD'!B230&gt;=0.2,"Revisar margen","Revisar PC/PV")))</f>
        <v>Revisar PC/PV</v>
      </c>
      <c r="K20" s="0" t="n">
        <f aca="false">'Detalle 2.0TD'!AD230</f>
        <v>-0.00249999999999773</v>
      </c>
    </row>
    <row r="21" customFormat="false" ht="15" hidden="false" customHeight="false" outlineLevel="0" collapsed="false">
      <c r="A21" s="82" t="n">
        <v>8570</v>
      </c>
      <c r="B21" s="82" t="s">
        <v>395</v>
      </c>
      <c r="C21" s="83" t="s">
        <v>396</v>
      </c>
      <c r="D21" s="82" t="s">
        <v>30</v>
      </c>
      <c r="E21" s="84" t="n">
        <f aca="false">'Detalle 2.0TD'!B244</f>
        <v>0.158524325928208</v>
      </c>
      <c r="F21" s="85" t="str">
        <f aca="false">'Detalle 2.0TD'!D244</f>
        <v>RECHAZAR</v>
      </c>
      <c r="G21" s="86" t="n">
        <v>1</v>
      </c>
      <c r="H21" s="87" t="n">
        <v>2.65</v>
      </c>
      <c r="I21" s="88" t="str">
        <f aca="false">IF('Detalle 2.0TD'!B244="","Falta PC real",IF('Detalle 2.0TD'!B244&gt;=0.3,"OK · registrar",IF('Detalle 2.0TD'!B244&gt;=0.2,"Revisar margen","Revisar PC/PV")))</f>
        <v>Revisar PC/PV</v>
      </c>
      <c r="K21" s="0" t="n">
        <f aca="false">'Detalle 2.0TD'!AD244</f>
        <v>-0.000800000000012346</v>
      </c>
    </row>
    <row r="22" customFormat="false" ht="15" hidden="false" customHeight="false" outlineLevel="0" collapsed="false">
      <c r="A22" s="82" t="n">
        <v>8571</v>
      </c>
      <c r="B22" s="82" t="s">
        <v>397</v>
      </c>
      <c r="C22" s="83" t="s">
        <v>398</v>
      </c>
      <c r="D22" s="82" t="s">
        <v>30</v>
      </c>
      <c r="E22" s="84" t="n">
        <f aca="false">'Detalle 2.0TD'!B258</f>
        <v>0.227176953546713</v>
      </c>
      <c r="F22" s="85" t="str">
        <f aca="false">'Detalle 2.0TD'!D258</f>
        <v>REVISAR</v>
      </c>
      <c r="G22" s="86" t="n">
        <v>0.1991</v>
      </c>
      <c r="H22" s="87" t="n">
        <v>1674.46</v>
      </c>
      <c r="I22" s="88" t="str">
        <f aca="false">IF('Detalle 2.0TD'!B258="","Falta PC real",IF('Detalle 2.0TD'!B258&gt;=0.3,"OK · registrar",IF('Detalle 2.0TD'!B258&gt;=0.2,"Revisar margen","Revisar PC/PV")))</f>
        <v>Revisar margen</v>
      </c>
      <c r="K22" s="0" t="n">
        <f aca="false">'Detalle 2.0TD'!AD258</f>
        <v>-0.00189999999999912</v>
      </c>
    </row>
    <row r="23" customFormat="false" ht="15" hidden="false" customHeight="false" outlineLevel="0" collapsed="false">
      <c r="A23" s="82" t="n">
        <v>8572</v>
      </c>
      <c r="B23" s="82" t="s">
        <v>399</v>
      </c>
      <c r="C23" s="83" t="s">
        <v>400</v>
      </c>
      <c r="D23" s="82" t="s">
        <v>30</v>
      </c>
      <c r="E23" s="84" t="n">
        <f aca="false">'Detalle 2.0TD'!B277</f>
        <v>0.217128804139054</v>
      </c>
      <c r="F23" s="85" t="str">
        <f aca="false">'Detalle 2.0TD'!D277</f>
        <v>REVISAR</v>
      </c>
      <c r="G23" s="86" t="n">
        <v>0.3077</v>
      </c>
      <c r="H23" s="87" t="n">
        <v>2373.43</v>
      </c>
      <c r="I23" s="88" t="str">
        <f aca="false">IF('Detalle 2.0TD'!B277="","Falta PC real",IF('Detalle 2.0TD'!B277&gt;=0.3,"OK · registrar",IF('Detalle 2.0TD'!B277&gt;=0.2,"Revisar margen","Revisar PC/PV")))</f>
        <v>Revisar margen</v>
      </c>
      <c r="K23" s="0" t="n">
        <f aca="false">'Detalle 2.0TD'!AD277</f>
        <v>0.00389999999999446</v>
      </c>
    </row>
    <row r="24" customFormat="false" ht="15" hidden="false" customHeight="false" outlineLevel="0" collapsed="false">
      <c r="A24" s="82" t="n">
        <v>8573</v>
      </c>
      <c r="B24" s="82" t="s">
        <v>401</v>
      </c>
      <c r="C24" s="83" t="s">
        <v>402</v>
      </c>
      <c r="D24" s="82" t="s">
        <v>30</v>
      </c>
      <c r="E24" s="84" t="n">
        <f aca="false">'Detalle 2.0TD'!B296</f>
        <v>0.267331945138563</v>
      </c>
      <c r="F24" s="85" t="str">
        <f aca="false">'Detalle 2.0TD'!D296</f>
        <v>REVISAR</v>
      </c>
      <c r="G24" s="86" t="n">
        <v>0.0538</v>
      </c>
      <c r="H24" s="87" t="n">
        <v>609.46</v>
      </c>
      <c r="I24" s="88" t="str">
        <f aca="false">IF('Detalle 2.0TD'!B296="","Falta PC real",IF('Detalle 2.0TD'!B296&gt;=0.3,"OK · registrar",IF('Detalle 2.0TD'!B296&gt;=0.2,"Revisar margen","Revisar PC/PV")))</f>
        <v>Revisar margen</v>
      </c>
      <c r="K24" s="0" t="n">
        <f aca="false">'Detalle 2.0TD'!AD296</f>
        <v>-0.00189999999999912</v>
      </c>
    </row>
    <row r="25" customFormat="false" ht="15" hidden="false" customHeight="false" outlineLevel="0" collapsed="false">
      <c r="A25" s="82" t="n">
        <v>8574</v>
      </c>
      <c r="B25" s="82" t="s">
        <v>403</v>
      </c>
      <c r="C25" s="83" t="s">
        <v>404</v>
      </c>
      <c r="D25" s="82" t="s">
        <v>30</v>
      </c>
      <c r="E25" s="84" t="n">
        <f aca="false">'Detalle 2.0TD'!B315</f>
        <v>0.0984627675844805</v>
      </c>
      <c r="F25" s="85" t="str">
        <f aca="false">'Detalle 2.0TD'!D315</f>
        <v>RECHAZAR</v>
      </c>
      <c r="G25" s="86" t="n">
        <v>1</v>
      </c>
      <c r="H25" s="87" t="n">
        <v>0.86</v>
      </c>
      <c r="I25" s="88" t="str">
        <f aca="false">IF('Detalle 2.0TD'!B315="","Falta PC real",IF('Detalle 2.0TD'!B315&gt;=0.3,"OK · registrar",IF('Detalle 2.0TD'!B315&gt;=0.2,"Revisar margen","Revisar PC/PV")))</f>
        <v>Revisar PC/PV</v>
      </c>
      <c r="K25" s="0" t="n">
        <f aca="false">'Detalle 2.0TD'!AD315</f>
        <v>0.00139999999999674</v>
      </c>
    </row>
    <row r="26" customFormat="false" ht="15" hidden="false" customHeight="false" outlineLevel="0" collapsed="false">
      <c r="A26" s="82" t="n">
        <v>8575</v>
      </c>
      <c r="B26" s="82" t="s">
        <v>405</v>
      </c>
      <c r="C26" s="83" t="s">
        <v>406</v>
      </c>
      <c r="D26" s="82" t="s">
        <v>30</v>
      </c>
      <c r="E26" s="84" t="n">
        <f aca="false">'Detalle 2.0TD'!B329</f>
        <v>0.14690105256082</v>
      </c>
      <c r="F26" s="85" t="str">
        <f aca="false">'Detalle 2.0TD'!D329</f>
        <v>RECHAZAR</v>
      </c>
      <c r="G26" s="86" t="n">
        <v>0.2556</v>
      </c>
      <c r="H26" s="87" t="n">
        <v>1316.57</v>
      </c>
      <c r="I26" s="88" t="str">
        <f aca="false">IF('Detalle 2.0TD'!B329="","Falta PC real",IF('Detalle 2.0TD'!B329&gt;=0.3,"OK · registrar",IF('Detalle 2.0TD'!B329&gt;=0.2,"Revisar margen","Revisar PC/PV")))</f>
        <v>Revisar PC/PV</v>
      </c>
      <c r="K26" s="0" t="n">
        <f aca="false">'Detalle 2.0TD'!AD329</f>
        <v>0.0108999999999995</v>
      </c>
    </row>
    <row r="27" customFormat="false" ht="15" hidden="false" customHeight="false" outlineLevel="0" collapsed="false">
      <c r="A27" s="82" t="n">
        <v>8579</v>
      </c>
      <c r="B27" s="82" t="s">
        <v>407</v>
      </c>
      <c r="C27" s="83" t="s">
        <v>408</v>
      </c>
      <c r="D27" s="82" t="s">
        <v>30</v>
      </c>
      <c r="E27" s="84" t="n">
        <f aca="false">'Detalle 2.0TD'!B348</f>
        <v>0.133977635813084</v>
      </c>
      <c r="F27" s="85" t="str">
        <f aca="false">'Detalle 2.0TD'!D348</f>
        <v>RECHAZAR</v>
      </c>
      <c r="G27" s="86" t="n">
        <v>0.0004</v>
      </c>
      <c r="H27" s="87" t="n">
        <v>638.64</v>
      </c>
      <c r="I27" s="88" t="str">
        <f aca="false">IF('Detalle 2.0TD'!B348="","Falta PC real",IF('Detalle 2.0TD'!B348&gt;=0.3,"OK · registrar",IF('Detalle 2.0TD'!B348&gt;=0.2,"Revisar margen","Revisar PC/PV")))</f>
        <v>Revisar PC/PV</v>
      </c>
      <c r="K27" s="0" t="n">
        <f aca="false">'Detalle 2.0TD'!AD348</f>
        <v>0.000899999999999901</v>
      </c>
    </row>
    <row r="28" customFormat="false" ht="15" hidden="false" customHeight="false" outlineLevel="0" collapsed="false">
      <c r="A28" s="82" t="n">
        <v>8580</v>
      </c>
      <c r="B28" s="82" t="s">
        <v>409</v>
      </c>
      <c r="C28" s="83" t="s">
        <v>410</v>
      </c>
      <c r="D28" s="82" t="s">
        <v>30</v>
      </c>
      <c r="E28" s="84" t="n">
        <f aca="false">'Detalle 2.0TD'!B367</f>
        <v>0.227712782761053</v>
      </c>
      <c r="F28" s="85" t="str">
        <f aca="false">'Detalle 2.0TD'!D367</f>
        <v>REVISAR</v>
      </c>
      <c r="G28" s="86" t="n">
        <v>0.4727</v>
      </c>
      <c r="H28" s="87" t="n">
        <v>1556.34</v>
      </c>
      <c r="I28" s="88" t="str">
        <f aca="false">IF('Detalle 2.0TD'!B367="","Falta PC real",IF('Detalle 2.0TD'!B367&gt;=0.3,"OK · registrar",IF('Detalle 2.0TD'!B367&gt;=0.2,"Revisar margen","Revisar PC/PV")))</f>
        <v>Revisar margen</v>
      </c>
      <c r="K28" s="0" t="n">
        <f aca="false">'Detalle 2.0TD'!AD367</f>
        <v>0.000399999999999068</v>
      </c>
    </row>
    <row r="29" customFormat="false" ht="15" hidden="false" customHeight="false" outlineLevel="0" collapsed="false">
      <c r="A29" s="82" t="n">
        <v>8581</v>
      </c>
      <c r="B29" s="82"/>
      <c r="C29" s="83" t="s">
        <v>411</v>
      </c>
      <c r="D29" s="82" t="s">
        <v>30</v>
      </c>
      <c r="E29" s="84" t="n">
        <f aca="false">'Detalle 2.0TD'!B386</f>
        <v>0.0907712722148538</v>
      </c>
      <c r="F29" s="85" t="str">
        <f aca="false">'Detalle 2.0TD'!D386</f>
        <v>RECHAZAR</v>
      </c>
      <c r="G29" s="86" t="n">
        <v>0.178</v>
      </c>
      <c r="H29" s="87" t="n">
        <v>3463.21</v>
      </c>
      <c r="I29" s="88" t="str">
        <f aca="false">IF('Detalle 2.0TD'!B386="","Falta PC real",IF('Detalle 2.0TD'!B386&gt;=0.3,"OK · registrar",IF('Detalle 2.0TD'!B386&gt;=0.2,"Revisar margen","Revisar PC/PV")))</f>
        <v>Revisar PC/PV</v>
      </c>
      <c r="K29" s="0" t="n">
        <f aca="false">'Detalle 2.0TD'!AD386</f>
        <v>0.0046999999999997</v>
      </c>
    </row>
    <row r="30" customFormat="false" ht="15" hidden="false" customHeight="false" outlineLevel="0" collapsed="false">
      <c r="A30" s="82" t="n">
        <v>8584</v>
      </c>
      <c r="B30" s="82" t="s">
        <v>412</v>
      </c>
      <c r="C30" s="83" t="s">
        <v>413</v>
      </c>
      <c r="D30" s="82" t="s">
        <v>30</v>
      </c>
      <c r="E30" s="84" t="n">
        <f aca="false">'Detalle 2.0TD'!B400</f>
        <v>0.213798965379494</v>
      </c>
      <c r="F30" s="85" t="str">
        <f aca="false">'Detalle 2.0TD'!D400</f>
        <v>REVISAR</v>
      </c>
      <c r="G30" s="86" t="n">
        <v>0.3577</v>
      </c>
      <c r="H30" s="87" t="n">
        <v>10840.8</v>
      </c>
      <c r="I30" s="88" t="str">
        <f aca="false">IF('Detalle 2.0TD'!B400="","Falta PC real",IF('Detalle 2.0TD'!B400&gt;=0.3,"OK · registrar",IF('Detalle 2.0TD'!B400&gt;=0.2,"Revisar margen","Revisar PC/PV")))</f>
        <v>Revisar margen</v>
      </c>
      <c r="K30" s="0" t="n">
        <f aca="false">'Detalle 2.0TD'!AD400</f>
        <v>-0.00179999999999936</v>
      </c>
    </row>
    <row r="31" customFormat="false" ht="15" hidden="false" customHeight="false" outlineLevel="0" collapsed="false">
      <c r="A31" s="82" t="n">
        <v>8585</v>
      </c>
      <c r="B31" s="82" t="s">
        <v>414</v>
      </c>
      <c r="C31" s="83" t="s">
        <v>415</v>
      </c>
      <c r="D31" s="82" t="s">
        <v>30</v>
      </c>
      <c r="E31" s="84" t="n">
        <f aca="false">'Detalle 2.0TD'!B419</f>
        <v>0.185112305335716</v>
      </c>
      <c r="F31" s="85" t="str">
        <f aca="false">'Detalle 2.0TD'!D419</f>
        <v>RECHAZAR</v>
      </c>
      <c r="G31" s="86" t="n">
        <v>0.301</v>
      </c>
      <c r="H31" s="87" t="n">
        <v>5330.72</v>
      </c>
      <c r="I31" s="88" t="str">
        <f aca="false">IF('Detalle 2.0TD'!B419="","Falta PC real",IF('Detalle 2.0TD'!B419&gt;=0.3,"OK · registrar",IF('Detalle 2.0TD'!B419&gt;=0.2,"Revisar margen","Revisar PC/PV")))</f>
        <v>Revisar PC/PV</v>
      </c>
      <c r="K31" s="0" t="n">
        <f aca="false">'Detalle 2.0TD'!AD419</f>
        <v>-0.00269999999999015</v>
      </c>
    </row>
    <row r="32" customFormat="false" ht="15" hidden="false" customHeight="false" outlineLevel="0" collapsed="false">
      <c r="A32" s="82" t="n">
        <v>8586</v>
      </c>
      <c r="B32" s="82" t="s">
        <v>409</v>
      </c>
      <c r="C32" s="83" t="s">
        <v>410</v>
      </c>
      <c r="D32" s="82" t="s">
        <v>30</v>
      </c>
      <c r="E32" s="84" t="n">
        <f aca="false">'Detalle 2.0TD'!B438</f>
        <v>0.227712782761053</v>
      </c>
      <c r="F32" s="85" t="str">
        <f aca="false">'Detalle 2.0TD'!D438</f>
        <v>REVISAR</v>
      </c>
      <c r="G32" s="86" t="n">
        <v>0.4727</v>
      </c>
      <c r="H32" s="87" t="n">
        <v>1556.34</v>
      </c>
      <c r="I32" s="88" t="str">
        <f aca="false">IF('Detalle 2.0TD'!B438="","Falta PC real",IF('Detalle 2.0TD'!B438&gt;=0.3,"OK · registrar",IF('Detalle 2.0TD'!B438&gt;=0.2,"Revisar margen","Revisar PC/PV")))</f>
        <v>Revisar margen</v>
      </c>
      <c r="K32" s="0" t="n">
        <f aca="false">'Detalle 2.0TD'!AD438</f>
        <v>0.000399999999999068</v>
      </c>
    </row>
    <row r="33" customFormat="false" ht="15" hidden="false" customHeight="false" outlineLevel="0" collapsed="false">
      <c r="A33" s="82" t="n">
        <v>8588</v>
      </c>
      <c r="B33" s="82" t="s">
        <v>416</v>
      </c>
      <c r="C33" s="83" t="s">
        <v>417</v>
      </c>
      <c r="D33" s="82" t="s">
        <v>30</v>
      </c>
      <c r="E33" s="84" t="n">
        <f aca="false">'Detalle 2.0TD'!B457</f>
        <v>0.371566347704793</v>
      </c>
      <c r="F33" s="85" t="str">
        <f aca="false">'Detalle 2.0TD'!D457</f>
        <v>APROBAR</v>
      </c>
      <c r="G33" s="86" t="n">
        <v>0.4676</v>
      </c>
      <c r="H33" s="87" t="n">
        <v>1874.26</v>
      </c>
      <c r="I33" s="88" t="str">
        <f aca="false">IF('Detalle 2.0TD'!B457="","Falta PC real",IF('Detalle 2.0TD'!B457&gt;=0.3,"OK · registrar",IF('Detalle 2.0TD'!B457&gt;=0.2,"Revisar margen","Revisar PC/PV")))</f>
        <v>OK · registrar</v>
      </c>
      <c r="K33" s="0" t="n">
        <f aca="false">'Detalle 2.0TD'!AD457</f>
        <v>0.00689999999999991</v>
      </c>
    </row>
    <row r="34" customFormat="false" ht="15" hidden="false" customHeight="false" outlineLevel="0" collapsed="false">
      <c r="A34" s="82" t="n">
        <v>8589</v>
      </c>
      <c r="B34" s="82" t="s">
        <v>418</v>
      </c>
      <c r="C34" s="83" t="s">
        <v>419</v>
      </c>
      <c r="D34" s="82" t="s">
        <v>30</v>
      </c>
      <c r="E34" s="84" t="n">
        <f aca="false">'Detalle 2.0TD'!B476</f>
        <v>0.321050905113531</v>
      </c>
      <c r="F34" s="85" t="str">
        <f aca="false">'Detalle 2.0TD'!D476</f>
        <v>APROBAR</v>
      </c>
      <c r="G34" s="86" t="n">
        <v>0.3197</v>
      </c>
      <c r="H34" s="87" t="n">
        <v>3583.48</v>
      </c>
      <c r="I34" s="88" t="str">
        <f aca="false">IF('Detalle 2.0TD'!B476="","Falta PC real",IF('Detalle 2.0TD'!B476&gt;=0.3,"OK · registrar",IF('Detalle 2.0TD'!B476&gt;=0.2,"Revisar margen","Revisar PC/PV")))</f>
        <v>OK · registrar</v>
      </c>
      <c r="K34" s="0" t="n">
        <f aca="false">'Detalle 2.0TD'!AD476</f>
        <v>-0.000499999999995282</v>
      </c>
    </row>
    <row r="35" customFormat="false" ht="15" hidden="false" customHeight="false" outlineLevel="0" collapsed="false">
      <c r="A35" s="82" t="n">
        <v>8590</v>
      </c>
      <c r="B35" s="82" t="s">
        <v>420</v>
      </c>
      <c r="C35" s="83" t="s">
        <v>421</v>
      </c>
      <c r="D35" s="82" t="s">
        <v>30</v>
      </c>
      <c r="E35" s="84" t="n">
        <f aca="false">'Detalle 2.0TD'!B495</f>
        <v>0.232063584594393</v>
      </c>
      <c r="F35" s="85" t="str">
        <f aca="false">'Detalle 2.0TD'!D495</f>
        <v>REVISAR</v>
      </c>
      <c r="G35" s="86" t="n">
        <v>0.4296</v>
      </c>
      <c r="H35" s="87" t="n">
        <v>3448.6</v>
      </c>
      <c r="I35" s="88" t="str">
        <f aca="false">IF('Detalle 2.0TD'!B495="","Falta PC real",IF('Detalle 2.0TD'!B495&gt;=0.3,"OK · registrar",IF('Detalle 2.0TD'!B495&gt;=0.2,"Revisar margen","Revisar PC/PV")))</f>
        <v>Revisar margen</v>
      </c>
      <c r="K35" s="0" t="n">
        <f aca="false">'Detalle 2.0TD'!AD495</f>
        <v>0.00790000000000646</v>
      </c>
    </row>
    <row r="36" customFormat="false" ht="15" hidden="false" customHeight="false" outlineLevel="0" collapsed="false">
      <c r="A36" s="82" t="n">
        <v>8593</v>
      </c>
      <c r="B36" s="82" t="s">
        <v>422</v>
      </c>
      <c r="C36" s="83" t="s">
        <v>423</v>
      </c>
      <c r="D36" s="82" t="s">
        <v>30</v>
      </c>
      <c r="E36" s="84" t="n">
        <f aca="false">'Detalle 2.0TD'!B514</f>
        <v>0.167577744220881</v>
      </c>
      <c r="F36" s="85" t="str">
        <f aca="false">'Detalle 2.0TD'!D514</f>
        <v>RECHAZAR</v>
      </c>
      <c r="G36" s="86" t="n">
        <v>0.46</v>
      </c>
      <c r="H36" s="87" t="n">
        <v>4468.12</v>
      </c>
      <c r="I36" s="88" t="str">
        <f aca="false">IF('Detalle 2.0TD'!B514="","Falta PC real",IF('Detalle 2.0TD'!B514&gt;=0.3,"OK · registrar",IF('Detalle 2.0TD'!B514&gt;=0.2,"Revisar margen","Revisar PC/PV")))</f>
        <v>Revisar PC/PV</v>
      </c>
      <c r="K36" s="0" t="n">
        <f aca="false">'Detalle 2.0TD'!AD514</f>
        <v>-0.00590000000000401</v>
      </c>
    </row>
    <row r="37" customFormat="false" ht="15" hidden="false" customHeight="false" outlineLevel="0" collapsed="false">
      <c r="A37" s="82" t="n">
        <v>8594</v>
      </c>
      <c r="B37" s="82" t="s">
        <v>424</v>
      </c>
      <c r="C37" s="83" t="s">
        <v>425</v>
      </c>
      <c r="D37" s="82" t="s">
        <v>30</v>
      </c>
      <c r="E37" s="84" t="n">
        <f aca="false">'Detalle 2.0TD'!B533</f>
        <v>0.122669696225854</v>
      </c>
      <c r="F37" s="85" t="str">
        <f aca="false">'Detalle 2.0TD'!D533</f>
        <v>RECHAZAR</v>
      </c>
      <c r="G37" s="86" t="n">
        <v>0.5097</v>
      </c>
      <c r="H37" s="87" t="n">
        <v>1087.08</v>
      </c>
      <c r="I37" s="88" t="str">
        <f aca="false">IF('Detalle 2.0TD'!B533="","Falta PC real",IF('Detalle 2.0TD'!B533&gt;=0.3,"OK · registrar",IF('Detalle 2.0TD'!B533&gt;=0.2,"Revisar margen","Revisar PC/PV")))</f>
        <v>Revisar PC/PV</v>
      </c>
      <c r="K37" s="0" t="n">
        <f aca="false">'Detalle 2.0TD'!AD533</f>
        <v>-0.00219999999999487</v>
      </c>
    </row>
    <row r="38" customFormat="false" ht="15" hidden="false" customHeight="false" outlineLevel="0" collapsed="false">
      <c r="A38" s="82" t="n">
        <v>8597</v>
      </c>
      <c r="B38" s="82" t="s">
        <v>426</v>
      </c>
      <c r="C38" s="83" t="s">
        <v>427</v>
      </c>
      <c r="D38" s="82" t="s">
        <v>30</v>
      </c>
      <c r="E38" s="84" t="n">
        <f aca="false">'Detalle 2.0TD'!B552</f>
        <v>0.171872719421065</v>
      </c>
      <c r="F38" s="85" t="str">
        <f aca="false">'Detalle 2.0TD'!D552</f>
        <v>RECHAZAR</v>
      </c>
      <c r="G38" s="86" t="n">
        <v>0.3904</v>
      </c>
      <c r="H38" s="87" t="n">
        <v>3173.99</v>
      </c>
      <c r="I38" s="88" t="str">
        <f aca="false">IF('Detalle 2.0TD'!B552="","Falta PC real",IF('Detalle 2.0TD'!B552&gt;=0.3,"OK · registrar",IF('Detalle 2.0TD'!B552&gt;=0.2,"Revisar margen","Revisar PC/PV")))</f>
        <v>Revisar PC/PV</v>
      </c>
      <c r="K38" s="0" t="n">
        <f aca="false">'Detalle 2.0TD'!AD552</f>
        <v>0.00190000000000623</v>
      </c>
    </row>
    <row r="39" customFormat="false" ht="15" hidden="false" customHeight="false" outlineLevel="0" collapsed="false">
      <c r="A39" s="82" t="n">
        <v>8599</v>
      </c>
      <c r="B39" s="82" t="s">
        <v>428</v>
      </c>
      <c r="C39" s="83" t="s">
        <v>429</v>
      </c>
      <c r="D39" s="82" t="s">
        <v>30</v>
      </c>
      <c r="E39" s="84" t="n">
        <f aca="false">'Detalle 2.0TD'!B571</f>
        <v>0.159099250666244</v>
      </c>
      <c r="F39" s="85" t="str">
        <f aca="false">'Detalle 2.0TD'!D571</f>
        <v>RECHAZAR</v>
      </c>
      <c r="G39" s="86" t="n">
        <v>0.2884</v>
      </c>
      <c r="H39" s="87" t="n">
        <v>910.46</v>
      </c>
      <c r="I39" s="88" t="str">
        <f aca="false">IF('Detalle 2.0TD'!B571="","Falta PC real",IF('Detalle 2.0TD'!B571&gt;=0.3,"OK · registrar",IF('Detalle 2.0TD'!B571&gt;=0.2,"Revisar margen","Revisar PC/PV")))</f>
        <v>Revisar PC/PV</v>
      </c>
      <c r="K39" s="0" t="n">
        <f aca="false">'Detalle 2.0TD'!AD571</f>
        <v>0.00389999999999802</v>
      </c>
    </row>
    <row r="40" customFormat="false" ht="15" hidden="false" customHeight="false" outlineLevel="0" collapsed="false">
      <c r="A40" s="82" t="n">
        <v>8600</v>
      </c>
      <c r="B40" s="82" t="s">
        <v>430</v>
      </c>
      <c r="C40" s="83" t="s">
        <v>431</v>
      </c>
      <c r="D40" s="82" t="s">
        <v>30</v>
      </c>
      <c r="E40" s="84" t="n">
        <f aca="false">'Detalle 2.0TD'!B590</f>
        <v>0.1895594727781</v>
      </c>
      <c r="F40" s="85" t="str">
        <f aca="false">'Detalle 2.0TD'!D590</f>
        <v>RECHAZAR</v>
      </c>
      <c r="G40" s="86" t="n">
        <v>0.4352</v>
      </c>
      <c r="H40" s="87" t="n">
        <v>5027.47</v>
      </c>
      <c r="I40" s="88" t="str">
        <f aca="false">IF('Detalle 2.0TD'!B590="","Falta PC real",IF('Detalle 2.0TD'!B590&gt;=0.3,"OK · registrar",IF('Detalle 2.0TD'!B590&gt;=0.2,"Revisar margen","Revisar PC/PV")))</f>
        <v>Revisar PC/PV</v>
      </c>
      <c r="K40" s="0" t="n">
        <f aca="false">'Detalle 2.0TD'!AD590</f>
        <v>-0.00659999999999172</v>
      </c>
    </row>
    <row r="41" customFormat="false" ht="15" hidden="false" customHeight="false" outlineLevel="0" collapsed="false">
      <c r="A41" s="82" t="n">
        <v>8601</v>
      </c>
      <c r="B41" s="82" t="s">
        <v>397</v>
      </c>
      <c r="C41" s="83" t="s">
        <v>398</v>
      </c>
      <c r="D41" s="82" t="s">
        <v>30</v>
      </c>
      <c r="E41" s="84" t="n">
        <f aca="false">'Detalle 2.0TD'!B604</f>
        <v>0.227176953546713</v>
      </c>
      <c r="F41" s="85" t="str">
        <f aca="false">'Detalle 2.0TD'!D604</f>
        <v>REVISAR</v>
      </c>
      <c r="G41" s="86" t="n">
        <v>0.1991</v>
      </c>
      <c r="H41" s="87" t="n">
        <v>1674.46</v>
      </c>
      <c r="I41" s="88" t="str">
        <f aca="false">IF('Detalle 2.0TD'!B604="","Falta PC real",IF('Detalle 2.0TD'!B604&gt;=0.3,"OK · registrar",IF('Detalle 2.0TD'!B604&gt;=0.2,"Revisar margen","Revisar PC/PV")))</f>
        <v>Revisar margen</v>
      </c>
      <c r="K41" s="0" t="n">
        <f aca="false">'Detalle 2.0TD'!AD604</f>
        <v>-0.00189999999999912</v>
      </c>
    </row>
    <row r="42" customFormat="false" ht="15" hidden="false" customHeight="false" outlineLevel="0" collapsed="false">
      <c r="A42" s="82" t="n">
        <v>8604</v>
      </c>
      <c r="B42" s="82" t="s">
        <v>432</v>
      </c>
      <c r="C42" s="83" t="s">
        <v>433</v>
      </c>
      <c r="D42" s="82" t="s">
        <v>30</v>
      </c>
      <c r="E42" s="84" t="n">
        <f aca="false">'Detalle 2.0TD'!B623</f>
        <v>0.185784712511374</v>
      </c>
      <c r="F42" s="85" t="str">
        <f aca="false">'Detalle 2.0TD'!D623</f>
        <v>RECHAZAR</v>
      </c>
      <c r="G42" s="86" t="n">
        <v>0.0918</v>
      </c>
      <c r="H42" s="87" t="n">
        <v>1103.81</v>
      </c>
      <c r="I42" s="88" t="str">
        <f aca="false">IF('Detalle 2.0TD'!B623="","Falta PC real",IF('Detalle 2.0TD'!B623&gt;=0.3,"OK · registrar",IF('Detalle 2.0TD'!B623&gt;=0.2,"Revisar margen","Revisar PC/PV")))</f>
        <v>Revisar PC/PV</v>
      </c>
      <c r="K42" s="0" t="n">
        <f aca="false">'Detalle 2.0TD'!AD623</f>
        <v>0.000599999999991496</v>
      </c>
    </row>
    <row r="43" customFormat="false" ht="15" hidden="false" customHeight="false" outlineLevel="0" collapsed="false">
      <c r="A43" s="82" t="n">
        <v>8605</v>
      </c>
      <c r="B43" s="82" t="s">
        <v>434</v>
      </c>
      <c r="C43" s="83" t="s">
        <v>435</v>
      </c>
      <c r="D43" s="82" t="s">
        <v>30</v>
      </c>
      <c r="E43" s="84" t="n">
        <f aca="false">'Detalle 2.0TD'!B642</f>
        <v>0.158905089676599</v>
      </c>
      <c r="F43" s="85" t="str">
        <f aca="false">'Detalle 2.0TD'!D642</f>
        <v>RECHAZAR</v>
      </c>
      <c r="G43" s="86" t="n">
        <v>0.3695</v>
      </c>
      <c r="H43" s="87" t="n">
        <v>1904.3</v>
      </c>
      <c r="I43" s="88" t="str">
        <f aca="false">IF('Detalle 2.0TD'!B642="","Falta PC real",IF('Detalle 2.0TD'!B642&gt;=0.3,"OK · registrar",IF('Detalle 2.0TD'!B642&gt;=0.2,"Revisar margen","Revisar PC/PV")))</f>
        <v>Revisar PC/PV</v>
      </c>
      <c r="K43" s="0" t="n">
        <f aca="false">'Detalle 2.0TD'!AD642</f>
        <v>0.00349999999999895</v>
      </c>
    </row>
    <row r="44" customFormat="false" ht="15" hidden="false" customHeight="false" outlineLevel="0" collapsed="false">
      <c r="A44" s="82" t="n">
        <v>8606</v>
      </c>
      <c r="B44" s="82" t="s">
        <v>436</v>
      </c>
      <c r="C44" s="83" t="s">
        <v>437</v>
      </c>
      <c r="D44" s="82" t="s">
        <v>30</v>
      </c>
      <c r="E44" s="84" t="n">
        <f aca="false">'Detalle 2.0TD'!B661</f>
        <v>0.313911340334361</v>
      </c>
      <c r="F44" s="85" t="str">
        <f aca="false">'Detalle 2.0TD'!D661</f>
        <v>APROBAR</v>
      </c>
      <c r="G44" s="86" t="n">
        <v>0.4652</v>
      </c>
      <c r="H44" s="87" t="n">
        <v>1466.53</v>
      </c>
      <c r="I44" s="88" t="str">
        <f aca="false">IF('Detalle 2.0TD'!B661="","Falta PC real",IF('Detalle 2.0TD'!B661&gt;=0.3,"OK · registrar",IF('Detalle 2.0TD'!B661&gt;=0.2,"Revisar margen","Revisar PC/PV")))</f>
        <v>OK · registrar</v>
      </c>
      <c r="K44" s="0" t="n">
        <f aca="false">'Detalle 2.0TD'!AD661</f>
        <v>0.00339999999999918</v>
      </c>
    </row>
    <row r="45" customFormat="false" ht="15" hidden="false" customHeight="false" outlineLevel="0" collapsed="false">
      <c r="A45" s="82" t="n">
        <v>8607</v>
      </c>
      <c r="B45" s="82" t="s">
        <v>438</v>
      </c>
      <c r="C45" s="83" t="s">
        <v>439</v>
      </c>
      <c r="D45" s="82" t="s">
        <v>30</v>
      </c>
      <c r="E45" s="84" t="n">
        <f aca="false">'Detalle 2.0TD'!B680</f>
        <v>0.230211897019668</v>
      </c>
      <c r="F45" s="85" t="str">
        <f aca="false">'Detalle 2.0TD'!D680</f>
        <v>REVISAR</v>
      </c>
      <c r="G45" s="86" t="n">
        <v>0.4936</v>
      </c>
      <c r="H45" s="87" t="n">
        <v>2318.26</v>
      </c>
      <c r="I45" s="88" t="str">
        <f aca="false">IF('Detalle 2.0TD'!B680="","Falta PC real",IF('Detalle 2.0TD'!B680&gt;=0.3,"OK · registrar",IF('Detalle 2.0TD'!B680&gt;=0.2,"Revisar margen","Revisar PC/PV")))</f>
        <v>Revisar margen</v>
      </c>
      <c r="K45" s="0" t="n">
        <f aca="false">'Detalle 2.0TD'!AD680</f>
        <v>-0.00279999999999347</v>
      </c>
    </row>
    <row r="46" customFormat="false" ht="15" hidden="false" customHeight="false" outlineLevel="0" collapsed="false">
      <c r="A46" s="82" t="n">
        <v>8611</v>
      </c>
      <c r="B46" s="82" t="s">
        <v>405</v>
      </c>
      <c r="C46" s="83" t="s">
        <v>406</v>
      </c>
      <c r="D46" s="82" t="s">
        <v>30</v>
      </c>
      <c r="E46" s="84" t="n">
        <f aca="false">'Detalle 2.0TD'!B699</f>
        <v>0.14690105256082</v>
      </c>
      <c r="F46" s="85" t="str">
        <f aca="false">'Detalle 2.0TD'!D699</f>
        <v>RECHAZAR</v>
      </c>
      <c r="G46" s="86" t="n">
        <v>0.2556</v>
      </c>
      <c r="H46" s="87" t="n">
        <v>1316.57</v>
      </c>
      <c r="I46" s="88" t="str">
        <f aca="false">IF('Detalle 2.0TD'!B699="","Falta PC real",IF('Detalle 2.0TD'!B699&gt;=0.3,"OK · registrar",IF('Detalle 2.0TD'!B699&gt;=0.2,"Revisar margen","Revisar PC/PV")))</f>
        <v>Revisar PC/PV</v>
      </c>
      <c r="K46" s="0" t="n">
        <f aca="false">'Detalle 2.0TD'!AD699</f>
        <v>0.0108999999999995</v>
      </c>
    </row>
    <row r="47" customFormat="false" ht="15" hidden="false" customHeight="false" outlineLevel="0" collapsed="false">
      <c r="A47" s="82" t="n">
        <v>8612</v>
      </c>
      <c r="B47" s="82" t="s">
        <v>440</v>
      </c>
      <c r="C47" s="83" t="s">
        <v>441</v>
      </c>
      <c r="D47" s="82" t="s">
        <v>30</v>
      </c>
      <c r="E47" s="84" t="n">
        <f aca="false">'Detalle 2.0TD'!B718</f>
        <v>0.177009507142857</v>
      </c>
      <c r="F47" s="85" t="str">
        <f aca="false">'Detalle 2.0TD'!D718</f>
        <v>RECHAZAR</v>
      </c>
      <c r="G47" s="86" t="n">
        <v>0.3724</v>
      </c>
      <c r="H47" s="87" t="n">
        <v>2947.02</v>
      </c>
      <c r="I47" s="88" t="str">
        <f aca="false">IF('Detalle 2.0TD'!B718="","Falta PC real",IF('Detalle 2.0TD'!B718&gt;=0.3,"OK · registrar",IF('Detalle 2.0TD'!B718&gt;=0.2,"Revisar margen","Revisar PC/PV")))</f>
        <v>Revisar PC/PV</v>
      </c>
      <c r="K47" s="0" t="n">
        <f aca="false">'Detalle 2.0TD'!AD718</f>
        <v>-0.000700000000009027</v>
      </c>
    </row>
    <row r="48" customFormat="false" ht="15" hidden="false" customHeight="false" outlineLevel="0" collapsed="false">
      <c r="A48" s="82" t="n">
        <v>8613</v>
      </c>
      <c r="B48" s="82" t="s">
        <v>442</v>
      </c>
      <c r="C48" s="83" t="s">
        <v>443</v>
      </c>
      <c r="D48" s="82" t="s">
        <v>30</v>
      </c>
      <c r="E48" s="84" t="n">
        <f aca="false">'Detalle 2.0TD'!B737</f>
        <v>0.143597523518164</v>
      </c>
      <c r="F48" s="85" t="str">
        <f aca="false">'Detalle 2.0TD'!D737</f>
        <v>RECHAZAR</v>
      </c>
      <c r="G48" s="86" t="n">
        <v>0.4239</v>
      </c>
      <c r="H48" s="87" t="n">
        <v>3342.92</v>
      </c>
      <c r="I48" s="88" t="str">
        <f aca="false">IF('Detalle 2.0TD'!B737="","Falta PC real",IF('Detalle 2.0TD'!B737&gt;=0.3,"OK · registrar",IF('Detalle 2.0TD'!B737&gt;=0.2,"Revisar margen","Revisar PC/PV")))</f>
        <v>Revisar PC/PV</v>
      </c>
      <c r="K48" s="0" t="n">
        <f aca="false">'Detalle 2.0TD'!AD737</f>
        <v>-0.00629999999999598</v>
      </c>
    </row>
    <row r="49" customFormat="false" ht="15" hidden="false" customHeight="false" outlineLevel="0" collapsed="false">
      <c r="A49" s="82" t="n">
        <v>8614</v>
      </c>
      <c r="B49" s="82" t="s">
        <v>444</v>
      </c>
      <c r="C49" s="83" t="s">
        <v>445</v>
      </c>
      <c r="D49" s="82" t="s">
        <v>30</v>
      </c>
      <c r="E49" s="84" t="n">
        <f aca="false">'Detalle 2.0TD'!B756</f>
        <v>0.201680610684211</v>
      </c>
      <c r="F49" s="85" t="str">
        <f aca="false">'Detalle 2.0TD'!D756</f>
        <v>REVISAR</v>
      </c>
      <c r="G49" s="86" t="n">
        <v>0.323</v>
      </c>
      <c r="H49" s="87" t="n">
        <v>755.04</v>
      </c>
      <c r="I49" s="88" t="str">
        <f aca="false">IF('Detalle 2.0TD'!B756="","Falta PC real",IF('Detalle 2.0TD'!B756&gt;=0.3,"OK · registrar",IF('Detalle 2.0TD'!B756&gt;=0.2,"Revisar margen","Revisar PC/PV")))</f>
        <v>Revisar margen</v>
      </c>
      <c r="K49" s="0" t="n">
        <f aca="false">'Detalle 2.0TD'!AD756</f>
        <v>-0.000600000000000378</v>
      </c>
    </row>
    <row r="50" customFormat="false" ht="15" hidden="false" customHeight="false" outlineLevel="0" collapsed="false">
      <c r="A50" s="82" t="n">
        <v>8617</v>
      </c>
      <c r="B50" s="82" t="s">
        <v>446</v>
      </c>
      <c r="C50" s="83" t="s">
        <v>447</v>
      </c>
      <c r="D50" s="82" t="s">
        <v>30</v>
      </c>
      <c r="E50" s="84" t="n">
        <f aca="false">'Detalle 2.0TD'!B775</f>
        <v>0.14238296377551</v>
      </c>
      <c r="F50" s="85" t="str">
        <f aca="false">'Detalle 2.0TD'!D775</f>
        <v>RECHAZAR</v>
      </c>
      <c r="G50" s="86" t="n">
        <v>0.3445</v>
      </c>
      <c r="H50" s="87" t="n">
        <v>840.98</v>
      </c>
      <c r="I50" s="88" t="str">
        <f aca="false">IF('Detalle 2.0TD'!B775="","Falta PC real",IF('Detalle 2.0TD'!B775&gt;=0.3,"OK · registrar",IF('Detalle 2.0TD'!B775&gt;=0.2,"Revisar margen","Revisar PC/PV")))</f>
        <v>Revisar PC/PV</v>
      </c>
      <c r="K50" s="0" t="n">
        <f aca="false">'Detalle 2.0TD'!AD775</f>
        <v>0.0033000000000003</v>
      </c>
    </row>
    <row r="51" customFormat="false" ht="15" hidden="false" customHeight="false" outlineLevel="0" collapsed="false">
      <c r="A51" s="82" t="n">
        <v>8618</v>
      </c>
      <c r="B51" s="82" t="s">
        <v>399</v>
      </c>
      <c r="C51" s="83" t="s">
        <v>400</v>
      </c>
      <c r="D51" s="82" t="s">
        <v>30</v>
      </c>
      <c r="E51" s="84" t="n">
        <f aca="false">'Detalle 2.0TD'!B794</f>
        <v>0.217128804139054</v>
      </c>
      <c r="F51" s="85" t="str">
        <f aca="false">'Detalle 2.0TD'!D794</f>
        <v>REVISAR</v>
      </c>
      <c r="G51" s="86" t="n">
        <v>0.3077</v>
      </c>
      <c r="H51" s="87" t="n">
        <v>2373.43</v>
      </c>
      <c r="I51" s="88" t="str">
        <f aca="false">IF('Detalle 2.0TD'!B794="","Falta PC real",IF('Detalle 2.0TD'!B794&gt;=0.3,"OK · registrar",IF('Detalle 2.0TD'!B794&gt;=0.2,"Revisar margen","Revisar PC/PV")))</f>
        <v>Revisar margen</v>
      </c>
      <c r="K51" s="0" t="n">
        <f aca="false">'Detalle 2.0TD'!AD794</f>
        <v>0.00389999999999446</v>
      </c>
    </row>
    <row r="52" customFormat="false" ht="15" hidden="false" customHeight="false" outlineLevel="0" collapsed="false">
      <c r="A52" s="82" t="n">
        <v>8620</v>
      </c>
      <c r="B52" s="82" t="s">
        <v>448</v>
      </c>
      <c r="C52" s="83" t="s">
        <v>449</v>
      </c>
      <c r="D52" s="82" t="s">
        <v>30</v>
      </c>
      <c r="E52" s="84" t="n">
        <f aca="false">'Detalle 2.0TD'!B813</f>
        <v>0.212339619367418</v>
      </c>
      <c r="F52" s="85" t="str">
        <f aca="false">'Detalle 2.0TD'!D813</f>
        <v>REVISAR</v>
      </c>
      <c r="G52" s="86" t="n">
        <v>0.3424</v>
      </c>
      <c r="H52" s="87" t="n">
        <v>1175.92</v>
      </c>
      <c r="I52" s="88" t="str">
        <f aca="false">IF('Detalle 2.0TD'!B813="","Falta PC real",IF('Detalle 2.0TD'!B813&gt;=0.3,"OK · registrar",IF('Detalle 2.0TD'!B813&gt;=0.2,"Revisar margen","Revisar PC/PV")))</f>
        <v>Revisar margen</v>
      </c>
      <c r="K52" s="0" t="n">
        <f aca="false">'Detalle 2.0TD'!AD813</f>
        <v>0.0044000000000004</v>
      </c>
    </row>
    <row r="53" customFormat="false" ht="15" hidden="false" customHeight="false" outlineLevel="0" collapsed="false">
      <c r="A53" s="82" t="n">
        <v>8621</v>
      </c>
      <c r="B53" s="82" t="s">
        <v>407</v>
      </c>
      <c r="C53" s="83" t="s">
        <v>408</v>
      </c>
      <c r="D53" s="82" t="s">
        <v>30</v>
      </c>
      <c r="E53" s="84" t="n">
        <f aca="false">'Detalle 2.0TD'!B832</f>
        <v>0.133977635813084</v>
      </c>
      <c r="F53" s="85" t="str">
        <f aca="false">'Detalle 2.0TD'!D832</f>
        <v>RECHAZAR</v>
      </c>
      <c r="G53" s="86" t="n">
        <v>0.0004</v>
      </c>
      <c r="H53" s="87" t="n">
        <v>638.64</v>
      </c>
      <c r="I53" s="88" t="str">
        <f aca="false">IF('Detalle 2.0TD'!B832="","Falta PC real",IF('Detalle 2.0TD'!B832&gt;=0.3,"OK · registrar",IF('Detalle 2.0TD'!B832&gt;=0.2,"Revisar margen","Revisar PC/PV")))</f>
        <v>Revisar PC/PV</v>
      </c>
      <c r="K53" s="0" t="n">
        <f aca="false">'Detalle 2.0TD'!AD832</f>
        <v>0.000899999999999901</v>
      </c>
    </row>
    <row r="54" customFormat="false" ht="15" hidden="false" customHeight="false" outlineLevel="0" collapsed="false">
      <c r="A54" s="82" t="n">
        <v>8622</v>
      </c>
      <c r="B54" s="82" t="s">
        <v>450</v>
      </c>
      <c r="C54" s="83" t="s">
        <v>451</v>
      </c>
      <c r="D54" s="82" t="s">
        <v>30</v>
      </c>
      <c r="E54" s="84" t="n">
        <f aca="false">'Detalle 2.0TD'!B851</f>
        <v>0.364280907780117</v>
      </c>
      <c r="F54" s="85" t="str">
        <f aca="false">'Detalle 2.0TD'!D851</f>
        <v>APROBAR</v>
      </c>
      <c r="G54" s="86" t="n">
        <v>0.3128</v>
      </c>
      <c r="H54" s="87" t="n">
        <v>4238.97</v>
      </c>
      <c r="I54" s="88" t="str">
        <f aca="false">IF('Detalle 2.0TD'!B851="","Falta PC real",IF('Detalle 2.0TD'!B851&gt;=0.3,"OK · registrar",IF('Detalle 2.0TD'!B851&gt;=0.2,"Revisar margen","Revisar PC/PV")))</f>
        <v>OK · registrar</v>
      </c>
      <c r="K54" s="0" t="n">
        <f aca="false">'Detalle 2.0TD'!AD851</f>
        <v>0.00980000000001269</v>
      </c>
    </row>
    <row r="55" customFormat="false" ht="15" hidden="false" customHeight="false" outlineLevel="0" collapsed="false">
      <c r="A55" s="82" t="n">
        <v>8623</v>
      </c>
      <c r="B55" s="82" t="s">
        <v>391</v>
      </c>
      <c r="C55" s="83" t="s">
        <v>392</v>
      </c>
      <c r="D55" s="82" t="s">
        <v>30</v>
      </c>
      <c r="E55" s="84" t="n">
        <f aca="false">'Detalle 2.0TD'!B870</f>
        <v>0.242606592736269</v>
      </c>
      <c r="F55" s="85" t="str">
        <f aca="false">'Detalle 2.0TD'!D870</f>
        <v>REVISAR</v>
      </c>
      <c r="G55" s="86" t="n">
        <v>0.3031</v>
      </c>
      <c r="H55" s="87" t="n">
        <v>2280.53</v>
      </c>
      <c r="I55" s="88" t="str">
        <f aca="false">IF('Detalle 2.0TD'!B870="","Falta PC real",IF('Detalle 2.0TD'!B870&gt;=0.3,"OK · registrar",IF('Detalle 2.0TD'!B870&gt;=0.2,"Revisar margen","Revisar PC/PV")))</f>
        <v>Revisar margen</v>
      </c>
      <c r="K55" s="0" t="n">
        <f aca="false">'Detalle 2.0TD'!AD870</f>
        <v>-0.00270000000000437</v>
      </c>
    </row>
    <row r="56" customFormat="false" ht="15" hidden="false" customHeight="false" outlineLevel="0" collapsed="false">
      <c r="A56" s="82" t="n">
        <v>8624</v>
      </c>
      <c r="B56" s="82" t="s">
        <v>452</v>
      </c>
      <c r="C56" s="83" t="s">
        <v>453</v>
      </c>
      <c r="D56" s="82" t="s">
        <v>30</v>
      </c>
      <c r="E56" s="84" t="n">
        <f aca="false">'Detalle 2.0TD'!B889</f>
        <v>0.109579418225039</v>
      </c>
      <c r="F56" s="85" t="str">
        <f aca="false">'Detalle 2.0TD'!D889</f>
        <v>RECHAZAR</v>
      </c>
      <c r="G56" s="86" t="n">
        <v>0.271</v>
      </c>
      <c r="H56" s="87" t="n">
        <v>3219.58</v>
      </c>
      <c r="I56" s="88" t="str">
        <f aca="false">IF('Detalle 2.0TD'!B889="","Falta PC real",IF('Detalle 2.0TD'!B889&gt;=0.3,"OK · registrar",IF('Detalle 2.0TD'!B889&gt;=0.2,"Revisar margen","Revisar PC/PV")))</f>
        <v>Revisar PC/PV</v>
      </c>
      <c r="K56" s="0" t="n">
        <f aca="false">'Detalle 2.0TD'!AD889</f>
        <v>0.00189999999999912</v>
      </c>
    </row>
    <row r="57" customFormat="false" ht="15" hidden="false" customHeight="false" outlineLevel="0" collapsed="false">
      <c r="A57" s="82" t="n">
        <v>8625</v>
      </c>
      <c r="B57" s="82" t="s">
        <v>454</v>
      </c>
      <c r="C57" s="83" t="s">
        <v>455</v>
      </c>
      <c r="D57" s="82" t="s">
        <v>30</v>
      </c>
      <c r="E57" s="84" t="n">
        <f aca="false">'Detalle 2.0TD'!B903</f>
        <v>0.115084150370005</v>
      </c>
      <c r="F57" s="85" t="str">
        <f aca="false">'Detalle 2.0TD'!D903</f>
        <v>RECHAZAR</v>
      </c>
      <c r="G57" s="86" t="n">
        <v>0.2944</v>
      </c>
      <c r="H57" s="87" t="n">
        <v>1840.65</v>
      </c>
      <c r="I57" s="88" t="str">
        <f aca="false">IF('Detalle 2.0TD'!B903="","Falta PC real",IF('Detalle 2.0TD'!B903&gt;=0.3,"OK · registrar",IF('Detalle 2.0TD'!B903&gt;=0.2,"Revisar margen","Revisar PC/PV")))</f>
        <v>Revisar PC/PV</v>
      </c>
      <c r="K57" s="0" t="n">
        <f aca="false">'Detalle 2.0TD'!AD903</f>
        <v>-0.00239999999999796</v>
      </c>
    </row>
    <row r="58" customFormat="false" ht="15" hidden="false" customHeight="false" outlineLevel="0" collapsed="false">
      <c r="A58" s="82" t="n">
        <v>8626</v>
      </c>
      <c r="B58" s="82" t="s">
        <v>456</v>
      </c>
      <c r="C58" s="83" t="s">
        <v>457</v>
      </c>
      <c r="D58" s="82" t="s">
        <v>30</v>
      </c>
      <c r="E58" s="84" t="n">
        <f aca="false">'Detalle 2.0TD'!B917</f>
        <v>0.125979427242768</v>
      </c>
      <c r="F58" s="85" t="str">
        <f aca="false">'Detalle 2.0TD'!D917</f>
        <v>RECHAZAR</v>
      </c>
      <c r="G58" s="86" t="n">
        <v>0.0856</v>
      </c>
      <c r="H58" s="87" t="n">
        <v>936.83</v>
      </c>
      <c r="I58" s="88" t="str">
        <f aca="false">IF('Detalle 2.0TD'!B917="","Falta PC real",IF('Detalle 2.0TD'!B917&gt;=0.3,"OK · registrar",IF('Detalle 2.0TD'!B917&gt;=0.2,"Revisar margen","Revisar PC/PV")))</f>
        <v>Revisar PC/PV</v>
      </c>
      <c r="K58" s="0" t="n">
        <f aca="false">'Detalle 2.0TD'!AD917</f>
        <v>-0.00709999999999944</v>
      </c>
    </row>
    <row r="59" customFormat="false" ht="15" hidden="false" customHeight="false" outlineLevel="0" collapsed="false">
      <c r="A59" s="82" t="n">
        <v>8627</v>
      </c>
      <c r="B59" s="82" t="s">
        <v>458</v>
      </c>
      <c r="C59" s="83" t="s">
        <v>459</v>
      </c>
      <c r="D59" s="82" t="s">
        <v>30</v>
      </c>
      <c r="E59" s="84" t="n">
        <f aca="false">'Detalle 2.0TD'!B936</f>
        <v>0.160259769889186</v>
      </c>
      <c r="F59" s="85" t="str">
        <f aca="false">'Detalle 2.0TD'!D936</f>
        <v>RECHAZAR</v>
      </c>
      <c r="G59" s="86" t="n">
        <v>0.3038</v>
      </c>
      <c r="H59" s="87" t="n">
        <v>1173.88</v>
      </c>
      <c r="I59" s="88" t="str">
        <f aca="false">IF('Detalle 2.0TD'!B936="","Falta PC real",IF('Detalle 2.0TD'!B936&gt;=0.3,"OK · registrar",IF('Detalle 2.0TD'!B936&gt;=0.2,"Revisar margen","Revisar PC/PV")))</f>
        <v>Revisar PC/PV</v>
      </c>
      <c r="K59" s="0" t="n">
        <f aca="false">'Detalle 2.0TD'!AD936</f>
        <v>-0.00359999999999872</v>
      </c>
    </row>
    <row r="60" customFormat="false" ht="15" hidden="false" customHeight="false" outlineLevel="0" collapsed="false">
      <c r="A60" s="82" t="n">
        <v>8628</v>
      </c>
      <c r="B60" s="82" t="s">
        <v>460</v>
      </c>
      <c r="C60" s="83" t="s">
        <v>461</v>
      </c>
      <c r="D60" s="82" t="s">
        <v>30</v>
      </c>
      <c r="E60" s="84" t="n">
        <f aca="false">'Detalle 2.0TD'!B955</f>
        <v>0.142618133297673</v>
      </c>
      <c r="F60" s="85" t="str">
        <f aca="false">'Detalle 2.0TD'!D955</f>
        <v>RECHAZAR</v>
      </c>
      <c r="G60" s="86" t="n">
        <v>0.2292</v>
      </c>
      <c r="H60" s="87" t="n">
        <v>3231.67</v>
      </c>
      <c r="I60" s="88" t="str">
        <f aca="false">IF('Detalle 2.0TD'!B955="","Falta PC real",IF('Detalle 2.0TD'!B955&gt;=0.3,"OK · registrar",IF('Detalle 2.0TD'!B955&gt;=0.2,"Revisar margen","Revisar PC/PV")))</f>
        <v>Revisar PC/PV</v>
      </c>
      <c r="K60" s="0" t="n">
        <f aca="false">'Detalle 2.0TD'!AD955</f>
        <v>0.00300000000000011</v>
      </c>
    </row>
    <row r="61" customFormat="false" ht="15" hidden="false" customHeight="false" outlineLevel="0" collapsed="false">
      <c r="A61" s="82" t="n">
        <v>8630</v>
      </c>
      <c r="B61" s="82" t="s">
        <v>462</v>
      </c>
      <c r="C61" s="83" t="s">
        <v>463</v>
      </c>
      <c r="D61" s="82" t="s">
        <v>30</v>
      </c>
      <c r="E61" s="84" t="n">
        <f aca="false">'Detalle 2.0TD'!B969</f>
        <v>0.232499332300527</v>
      </c>
      <c r="F61" s="85" t="str">
        <f aca="false">'Detalle 2.0TD'!D969</f>
        <v>REVISAR</v>
      </c>
      <c r="G61" s="86" t="n">
        <v>0.378</v>
      </c>
      <c r="H61" s="87" t="n">
        <v>2148.32</v>
      </c>
      <c r="I61" s="88" t="str">
        <f aca="false">IF('Detalle 2.0TD'!B969="","Falta PC real",IF('Detalle 2.0TD'!B969&gt;=0.3,"OK · registrar",IF('Detalle 2.0TD'!B969&gt;=0.2,"Revisar margen","Revisar PC/PV")))</f>
        <v>Revisar margen</v>
      </c>
      <c r="K61" s="0" t="n">
        <f aca="false">'Detalle 2.0TD'!AD969</f>
        <v>-0.000699999999994816</v>
      </c>
    </row>
    <row r="62" customFormat="false" ht="15" hidden="false" customHeight="false" outlineLevel="0" collapsed="false">
      <c r="A62" s="82" t="n">
        <v>8631</v>
      </c>
      <c r="B62" s="82" t="s">
        <v>464</v>
      </c>
      <c r="C62" s="83" t="s">
        <v>465</v>
      </c>
      <c r="D62" s="82" t="s">
        <v>30</v>
      </c>
      <c r="E62" s="84" t="n">
        <f aca="false">'Detalle 2.0TD'!B988</f>
        <v>0.00224380846871406</v>
      </c>
      <c r="F62" s="85" t="str">
        <f aca="false">'Detalle 2.0TD'!D988</f>
        <v>RECHAZAR</v>
      </c>
      <c r="G62" s="86" t="n">
        <v>0.3244</v>
      </c>
      <c r="H62" s="87" t="n">
        <v>13789.11</v>
      </c>
      <c r="I62" s="88" t="str">
        <f aca="false">IF('Detalle 2.0TD'!B988="","Falta PC real",IF('Detalle 2.0TD'!B988&gt;=0.3,"OK · registrar",IF('Detalle 2.0TD'!B988&gt;=0.2,"Revisar margen","Revisar PC/PV")))</f>
        <v>Revisar PC/PV</v>
      </c>
      <c r="K62" s="0" t="n">
        <f aca="false">'Detalle 2.0TD'!AD988</f>
        <v>0.00380000000001246</v>
      </c>
    </row>
    <row r="63" customFormat="false" ht="15" hidden="false" customHeight="false" outlineLevel="0" collapsed="false">
      <c r="A63" s="82" t="n">
        <v>8632</v>
      </c>
      <c r="B63" s="82" t="s">
        <v>466</v>
      </c>
      <c r="C63" s="83" t="s">
        <v>467</v>
      </c>
      <c r="D63" s="82" t="s">
        <v>30</v>
      </c>
      <c r="E63" s="84" t="n">
        <f aca="false">'Detalle 2.0TD'!B1002</f>
        <v>0.193803887853881</v>
      </c>
      <c r="F63" s="85" t="str">
        <f aca="false">'Detalle 2.0TD'!D1002</f>
        <v>RECHAZAR</v>
      </c>
      <c r="G63" s="86" t="n">
        <v>0.368</v>
      </c>
      <c r="H63" s="87" t="n">
        <v>1850.34</v>
      </c>
      <c r="I63" s="88" t="str">
        <f aca="false">IF('Detalle 2.0TD'!B1002="","Falta PC real",IF('Detalle 2.0TD'!B1002&gt;=0.3,"OK · registrar",IF('Detalle 2.0TD'!B1002&gt;=0.2,"Revisar margen","Revisar PC/PV")))</f>
        <v>Revisar PC/PV</v>
      </c>
      <c r="K63" s="0" t="n">
        <f aca="false">'Detalle 2.0TD'!AD1002</f>
        <v>0.00840000000000174</v>
      </c>
    </row>
    <row r="64" customFormat="false" ht="15" hidden="false" customHeight="false" outlineLevel="0" collapsed="false">
      <c r="A64" s="82" t="n">
        <v>8633</v>
      </c>
      <c r="B64" s="82" t="s">
        <v>468</v>
      </c>
      <c r="C64" s="83" t="s">
        <v>469</v>
      </c>
      <c r="D64" s="82" t="s">
        <v>30</v>
      </c>
      <c r="E64" s="84" t="n">
        <f aca="false">'Detalle 2.0TD'!B1016</f>
        <v>0.204745880126349</v>
      </c>
      <c r="F64" s="85" t="str">
        <f aca="false">'Detalle 2.0TD'!D1016</f>
        <v>REVISAR</v>
      </c>
      <c r="G64" s="86" t="n">
        <v>0.2792</v>
      </c>
      <c r="H64" s="87" t="n">
        <v>2070.05</v>
      </c>
      <c r="I64" s="88" t="str">
        <f aca="false">IF('Detalle 2.0TD'!B1016="","Falta PC real",IF('Detalle 2.0TD'!B1016&gt;=0.3,"OK · registrar",IF('Detalle 2.0TD'!B1016&gt;=0.2,"Revisar margen","Revisar PC/PV")))</f>
        <v>Revisar margen</v>
      </c>
      <c r="K64" s="0" t="n">
        <f aca="false">'Detalle 2.0TD'!AD1016</f>
        <v>-0.00400000000000134</v>
      </c>
    </row>
    <row r="65" customFormat="false" ht="15" hidden="false" customHeight="false" outlineLevel="0" collapsed="false">
      <c r="A65" s="82" t="n">
        <v>8634</v>
      </c>
      <c r="B65" s="82" t="s">
        <v>470</v>
      </c>
      <c r="C65" s="83" t="s">
        <v>471</v>
      </c>
      <c r="D65" s="82" t="s">
        <v>30</v>
      </c>
      <c r="E65" s="84" t="n">
        <f aca="false">'Detalle 2.0TD'!B1035</f>
        <v>0.207212503537285</v>
      </c>
      <c r="F65" s="85" t="str">
        <f aca="false">'Detalle 2.0TD'!D1035</f>
        <v>REVISAR</v>
      </c>
      <c r="G65" s="86" t="n">
        <v>-0.824</v>
      </c>
      <c r="H65" s="87" t="n">
        <v>282.36</v>
      </c>
      <c r="I65" s="88" t="str">
        <f aca="false">IF('Detalle 2.0TD'!B1035="","Falta PC real",IF('Detalle 2.0TD'!B1035&gt;=0.3,"OK · registrar",IF('Detalle 2.0TD'!B1035&gt;=0.2,"Revisar margen","Revisar PC/PV")))</f>
        <v>Revisar margen</v>
      </c>
      <c r="K65" s="0" t="n">
        <f aca="false">'Detalle 2.0TD'!AD1035</f>
        <v>0.00159999999999982</v>
      </c>
    </row>
    <row r="66" customFormat="false" ht="15" hidden="false" customHeight="false" outlineLevel="0" collapsed="false">
      <c r="A66" s="82" t="n">
        <v>8636</v>
      </c>
      <c r="B66" s="82" t="s">
        <v>472</v>
      </c>
      <c r="C66" s="83" t="s">
        <v>473</v>
      </c>
      <c r="D66" s="82" t="s">
        <v>30</v>
      </c>
      <c r="E66" s="84" t="n">
        <f aca="false">'Detalle 2.0TD'!B1054</f>
        <v>0.166645734048977</v>
      </c>
      <c r="F66" s="85" t="str">
        <f aca="false">'Detalle 2.0TD'!D1054</f>
        <v>RECHAZAR</v>
      </c>
      <c r="G66" s="86" t="n">
        <v>0.2775</v>
      </c>
      <c r="H66" s="87" t="n">
        <v>2326.68</v>
      </c>
      <c r="I66" s="88" t="str">
        <f aca="false">IF('Detalle 2.0TD'!B1054="","Falta PC real",IF('Detalle 2.0TD'!B1054&gt;=0.3,"OK · registrar",IF('Detalle 2.0TD'!B1054&gt;=0.2,"Revisar margen","Revisar PC/PV")))</f>
        <v>Revisar PC/PV</v>
      </c>
      <c r="K66" s="0" t="n">
        <f aca="false">'Detalle 2.0TD'!AD1054</f>
        <v>-0.00720000000000098</v>
      </c>
    </row>
    <row r="67" customFormat="false" ht="15" hidden="false" customHeight="false" outlineLevel="0" collapsed="false">
      <c r="A67" s="82" t="n">
        <v>8637</v>
      </c>
      <c r="B67" s="82" t="s">
        <v>474</v>
      </c>
      <c r="C67" s="83" t="s">
        <v>475</v>
      </c>
      <c r="D67" s="82" t="s">
        <v>30</v>
      </c>
      <c r="E67" s="84" t="n">
        <f aca="false">'Detalle 2.0TD'!B1073</f>
        <v>0.233593952464084</v>
      </c>
      <c r="F67" s="85" t="str">
        <f aca="false">'Detalle 2.0TD'!D1073</f>
        <v>REVISAR</v>
      </c>
      <c r="G67" s="86" t="n">
        <v>0.3087</v>
      </c>
      <c r="H67" s="87" t="n">
        <v>5393.13</v>
      </c>
      <c r="I67" s="88" t="str">
        <f aca="false">IF('Detalle 2.0TD'!B1073="","Falta PC real",IF('Detalle 2.0TD'!B1073&gt;=0.3,"OK · registrar",IF('Detalle 2.0TD'!B1073&gt;=0.2,"Revisar margen","Revisar PC/PV")))</f>
        <v>Revisar margen</v>
      </c>
      <c r="K67" s="0" t="n">
        <f aca="false">'Detalle 2.0TD'!AD1073</f>
        <v>0.00110000000000809</v>
      </c>
    </row>
    <row r="68" customFormat="false" ht="15" hidden="false" customHeight="false" outlineLevel="0" collapsed="false">
      <c r="A68" s="82" t="n">
        <v>8639</v>
      </c>
      <c r="B68" s="82" t="s">
        <v>476</v>
      </c>
      <c r="C68" s="83" t="s">
        <v>477</v>
      </c>
      <c r="D68" s="82" t="s">
        <v>30</v>
      </c>
      <c r="E68" s="84" t="n">
        <f aca="false">'Detalle 2.0TD'!B1087</f>
        <v>0.140000074252305</v>
      </c>
      <c r="F68" s="85" t="str">
        <f aca="false">'Detalle 2.0TD'!D1087</f>
        <v>RECHAZAR</v>
      </c>
      <c r="G68" s="86" t="n">
        <v>0.336</v>
      </c>
      <c r="H68" s="87" t="n">
        <v>1989.67</v>
      </c>
      <c r="I68" s="88" t="str">
        <f aca="false">IF('Detalle 2.0TD'!B1087="","Falta PC real",IF('Detalle 2.0TD'!B1087&gt;=0.3,"OK · registrar",IF('Detalle 2.0TD'!B1087&gt;=0.2,"Revisar margen","Revisar PC/PV")))</f>
        <v>Revisar PC/PV</v>
      </c>
      <c r="K68" s="0" t="n">
        <f aca="false">'Detalle 2.0TD'!AD1087</f>
        <v>0.00280000000000769</v>
      </c>
    </row>
    <row r="69" customFormat="false" ht="15" hidden="false" customHeight="false" outlineLevel="0" collapsed="false">
      <c r="A69" s="82" t="n">
        <v>8640</v>
      </c>
      <c r="B69" s="82" t="s">
        <v>478</v>
      </c>
      <c r="C69" s="83" t="s">
        <v>479</v>
      </c>
      <c r="D69" s="82" t="s">
        <v>30</v>
      </c>
      <c r="E69" s="84" t="n">
        <f aca="false">'Detalle 2.0TD'!B1101</f>
        <v>0.174200792842046</v>
      </c>
      <c r="F69" s="85" t="str">
        <f aca="false">'Detalle 2.0TD'!D1101</f>
        <v>RECHAZAR</v>
      </c>
      <c r="G69" s="86" t="n">
        <v>0.3488</v>
      </c>
      <c r="H69" s="87" t="n">
        <v>7310.54</v>
      </c>
      <c r="I69" s="88" t="str">
        <f aca="false">IF('Detalle 2.0TD'!B1101="","Falta PC real",IF('Detalle 2.0TD'!B1101&gt;=0.3,"OK · registrar",IF('Detalle 2.0TD'!B1101&gt;=0.2,"Revisar margen","Revisar PC/PV")))</f>
        <v>Revisar PC/PV</v>
      </c>
      <c r="K69" s="0" t="n">
        <f aca="false">'Detalle 2.0TD'!AD1101</f>
        <v>0.0132999999999583</v>
      </c>
    </row>
    <row r="70" customFormat="false" ht="15" hidden="false" customHeight="false" outlineLevel="0" collapsed="false">
      <c r="A70" s="82" t="n">
        <v>8642</v>
      </c>
      <c r="B70" s="82" t="s">
        <v>480</v>
      </c>
      <c r="C70" s="83" t="s">
        <v>481</v>
      </c>
      <c r="D70" s="82" t="s">
        <v>30</v>
      </c>
      <c r="E70" s="84" t="n">
        <f aca="false">'Detalle 2.0TD'!B1115</f>
        <v>0.20638692813266</v>
      </c>
      <c r="F70" s="85" t="str">
        <f aca="false">'Detalle 2.0TD'!D1115</f>
        <v>REVISAR</v>
      </c>
      <c r="G70" s="86" t="n">
        <v>0.2251</v>
      </c>
      <c r="H70" s="87" t="n">
        <v>1291.58</v>
      </c>
      <c r="I70" s="88" t="str">
        <f aca="false">IF('Detalle 2.0TD'!B1115="","Falta PC real",IF('Detalle 2.0TD'!B1115&gt;=0.3,"OK · registrar",IF('Detalle 2.0TD'!B1115&gt;=0.2,"Revisar margen","Revisar PC/PV")))</f>
        <v>Revisar margen</v>
      </c>
      <c r="K70" s="0" t="n">
        <f aca="false">'Detalle 2.0TD'!AD1115</f>
        <v>-0.00329999999999941</v>
      </c>
    </row>
    <row r="71" customFormat="false" ht="15" hidden="false" customHeight="false" outlineLevel="0" collapsed="false">
      <c r="A71" s="82" t="n">
        <v>8645</v>
      </c>
      <c r="B71" s="82" t="s">
        <v>482</v>
      </c>
      <c r="C71" s="83" t="s">
        <v>483</v>
      </c>
      <c r="D71" s="82" t="s">
        <v>30</v>
      </c>
      <c r="E71" s="84" t="n">
        <f aca="false">'Detalle 2.0TD'!B1134</f>
        <v>0.0850122676190476</v>
      </c>
      <c r="F71" s="85" t="str">
        <f aca="false">'Detalle 2.0TD'!D1134</f>
        <v>RECHAZAR</v>
      </c>
      <c r="G71" s="86" t="n">
        <v>0.2601</v>
      </c>
      <c r="H71" s="87" t="n">
        <v>669.11</v>
      </c>
      <c r="I71" s="88" t="str">
        <f aca="false">IF('Detalle 2.0TD'!B1134="","Falta PC real",IF('Detalle 2.0TD'!B1134&gt;=0.3,"OK · registrar",IF('Detalle 2.0TD'!B1134&gt;=0.2,"Revisar margen","Revisar PC/PV")))</f>
        <v>Revisar PC/PV</v>
      </c>
      <c r="K71" s="0" t="n">
        <f aca="false">'Detalle 2.0TD'!AD1134</f>
        <v>0.00150000000000006</v>
      </c>
    </row>
    <row r="72" customFormat="false" ht="15" hidden="false" customHeight="false" outlineLevel="0" collapsed="false">
      <c r="A72" s="82" t="n">
        <v>8646</v>
      </c>
      <c r="B72" s="82" t="s">
        <v>484</v>
      </c>
      <c r="C72" s="83" t="s">
        <v>483</v>
      </c>
      <c r="D72" s="82" t="s">
        <v>30</v>
      </c>
      <c r="E72" s="84" t="n">
        <f aca="false">'Detalle 2.0TD'!B1148</f>
        <v>0.162021296678344</v>
      </c>
      <c r="F72" s="85" t="str">
        <f aca="false">'Detalle 2.0TD'!D1148</f>
        <v>RECHAZAR</v>
      </c>
      <c r="G72" s="86" t="n">
        <v>0.1345</v>
      </c>
      <c r="H72" s="87" t="n">
        <v>3661.58</v>
      </c>
      <c r="I72" s="88" t="str">
        <f aca="false">IF('Detalle 2.0TD'!B1148="","Falta PC real",IF('Detalle 2.0TD'!B1148&gt;=0.3,"OK · registrar",IF('Detalle 2.0TD'!B1148&gt;=0.2,"Revisar margen","Revisar PC/PV")))</f>
        <v>Revisar PC/PV</v>
      </c>
      <c r="K72" s="0" t="n">
        <f aca="false">'Detalle 2.0TD'!AD1148</f>
        <v>-0.00399999999999068</v>
      </c>
    </row>
    <row r="73" customFormat="false" ht="15" hidden="false" customHeight="false" outlineLevel="0" collapsed="false">
      <c r="A73" s="82" t="n">
        <v>8647</v>
      </c>
      <c r="B73" s="82" t="s">
        <v>485</v>
      </c>
      <c r="C73" s="83" t="s">
        <v>483</v>
      </c>
      <c r="D73" s="82" t="s">
        <v>30</v>
      </c>
      <c r="E73" s="84" t="n">
        <f aca="false">'Detalle 2.0TD'!B1162</f>
        <v>0.124824766467662</v>
      </c>
      <c r="F73" s="85" t="str">
        <f aca="false">'Detalle 2.0TD'!D1162</f>
        <v>RECHAZAR</v>
      </c>
      <c r="G73" s="86" t="n">
        <v>0.1953</v>
      </c>
      <c r="H73" s="87" t="n">
        <v>1401.63</v>
      </c>
      <c r="I73" s="88" t="str">
        <f aca="false">IF('Detalle 2.0TD'!B1162="","Falta PC real",IF('Detalle 2.0TD'!B1162&gt;=0.3,"OK · registrar",IF('Detalle 2.0TD'!B1162&gt;=0.2,"Revisar margen","Revisar PC/PV")))</f>
        <v>Revisar PC/PV</v>
      </c>
      <c r="K73" s="0" t="n">
        <f aca="false">'Detalle 2.0TD'!AD1162</f>
        <v>0.00690000000000168</v>
      </c>
    </row>
    <row r="74" customFormat="false" ht="15" hidden="false" customHeight="false" outlineLevel="0" collapsed="false">
      <c r="A74" s="82" t="n">
        <v>8648</v>
      </c>
      <c r="B74" s="82" t="s">
        <v>486</v>
      </c>
      <c r="C74" s="83" t="s">
        <v>63</v>
      </c>
      <c r="D74" s="82" t="s">
        <v>30</v>
      </c>
      <c r="E74" s="84" t="n">
        <f aca="false">'Detalle 2.0TD'!B1176</f>
        <v>0.17853694586606</v>
      </c>
      <c r="F74" s="85" t="str">
        <f aca="false">'Detalle 2.0TD'!D1176</f>
        <v>RECHAZAR</v>
      </c>
      <c r="G74" s="86" t="n">
        <v>0.2432</v>
      </c>
      <c r="H74" s="87" t="n">
        <v>1364.97</v>
      </c>
      <c r="I74" s="88" t="str">
        <f aca="false">IF('Detalle 2.0TD'!B1176="","Falta PC real",IF('Detalle 2.0TD'!B1176&gt;=0.3,"OK · registrar",IF('Detalle 2.0TD'!B1176&gt;=0.2,"Revisar margen","Revisar PC/PV")))</f>
        <v>Revisar PC/PV</v>
      </c>
      <c r="K74" s="0" t="n">
        <f aca="false">'Detalle 2.0TD'!AD1176</f>
        <v>0.00130000000000052</v>
      </c>
    </row>
    <row r="75" customFormat="false" ht="15" hidden="false" customHeight="false" outlineLevel="0" collapsed="false">
      <c r="A75" s="82" t="n">
        <v>8650</v>
      </c>
      <c r="B75" s="82" t="s">
        <v>401</v>
      </c>
      <c r="C75" s="83" t="s">
        <v>402</v>
      </c>
      <c r="D75" s="82" t="s">
        <v>30</v>
      </c>
      <c r="E75" s="84" t="n">
        <f aca="false">'Detalle 2.0TD'!B1190</f>
        <v>0.267331945138563</v>
      </c>
      <c r="F75" s="85" t="str">
        <f aca="false">'Detalle 2.0TD'!D1190</f>
        <v>REVISAR</v>
      </c>
      <c r="G75" s="86" t="n">
        <v>0.0538</v>
      </c>
      <c r="H75" s="87" t="n">
        <v>609.46</v>
      </c>
      <c r="I75" s="88" t="str">
        <f aca="false">IF('Detalle 2.0TD'!B1190="","Falta PC real",IF('Detalle 2.0TD'!B1190&gt;=0.3,"OK · registrar",IF('Detalle 2.0TD'!B1190&gt;=0.2,"Revisar margen","Revisar PC/PV")))</f>
        <v>Revisar margen</v>
      </c>
      <c r="K75" s="0" t="n">
        <f aca="false">'Detalle 2.0TD'!AD1190</f>
        <v>-0.00189999999999912</v>
      </c>
    </row>
    <row r="76" customFormat="false" ht="15" hidden="false" customHeight="false" outlineLevel="0" collapsed="false">
      <c r="A76" s="82" t="n">
        <v>8651</v>
      </c>
      <c r="B76" s="82" t="s">
        <v>487</v>
      </c>
      <c r="C76" s="83" t="s">
        <v>488</v>
      </c>
      <c r="D76" s="82" t="s">
        <v>30</v>
      </c>
      <c r="E76" s="84" t="n">
        <f aca="false">'Detalle 2.0TD'!B1209</f>
        <v>0.152266393831353</v>
      </c>
      <c r="F76" s="85" t="str">
        <f aca="false">'Detalle 2.0TD'!D1209</f>
        <v>RECHAZAR</v>
      </c>
      <c r="G76" s="86" t="n">
        <v>0.3125</v>
      </c>
      <c r="H76" s="87" t="n">
        <v>2035.12</v>
      </c>
      <c r="I76" s="88" t="str">
        <f aca="false">IF('Detalle 2.0TD'!B1209="","Falta PC real",IF('Detalle 2.0TD'!B1209&gt;=0.3,"OK · registrar",IF('Detalle 2.0TD'!B1209&gt;=0.2,"Revisar margen","Revisar PC/PV")))</f>
        <v>Revisar PC/PV</v>
      </c>
      <c r="K76" s="0" t="n">
        <f aca="false">'Detalle 2.0TD'!AD1209</f>
        <v>-0.00979999999999848</v>
      </c>
    </row>
    <row r="77" customFormat="false" ht="15" hidden="false" customHeight="false" outlineLevel="0" collapsed="false">
      <c r="A77" s="82" t="n">
        <v>8653</v>
      </c>
      <c r="B77" s="82" t="s">
        <v>489</v>
      </c>
      <c r="C77" s="83" t="s">
        <v>490</v>
      </c>
      <c r="D77" s="82" t="s">
        <v>30</v>
      </c>
      <c r="E77" s="84" t="n">
        <f aca="false">'Detalle 2.0TD'!B1223</f>
        <v>0.0771951121682319</v>
      </c>
      <c r="F77" s="85" t="str">
        <f aca="false">'Detalle 2.0TD'!D1223</f>
        <v>RECHAZAR</v>
      </c>
      <c r="G77" s="86" t="n">
        <v>0.1189</v>
      </c>
      <c r="H77" s="87" t="n">
        <v>597.68</v>
      </c>
      <c r="I77" s="88" t="str">
        <f aca="false">IF('Detalle 2.0TD'!B1223="","Falta PC real",IF('Detalle 2.0TD'!B1223&gt;=0.3,"OK · registrar",IF('Detalle 2.0TD'!B1223&gt;=0.2,"Revisar margen","Revisar PC/PV")))</f>
        <v>Revisar PC/PV</v>
      </c>
      <c r="K77" s="0" t="n">
        <f aca="false">'Detalle 2.0TD'!AD1223</f>
        <v>-0.00339999999999918</v>
      </c>
    </row>
    <row r="78" customFormat="false" ht="15" hidden="false" customHeight="false" outlineLevel="0" collapsed="false">
      <c r="A78" s="82" t="n">
        <v>8655</v>
      </c>
      <c r="B78" s="82" t="s">
        <v>491</v>
      </c>
      <c r="C78" s="83" t="s">
        <v>492</v>
      </c>
      <c r="D78" s="82" t="s">
        <v>30</v>
      </c>
      <c r="E78" s="84" t="n">
        <f aca="false">'Detalle 2.0TD'!B1237</f>
        <v>0.159350299454501</v>
      </c>
      <c r="F78" s="85" t="str">
        <f aca="false">'Detalle 2.0TD'!D1237</f>
        <v>RECHAZAR</v>
      </c>
      <c r="G78" s="86" t="n">
        <v>-0.1267</v>
      </c>
      <c r="H78" s="87" t="n">
        <v>194.94</v>
      </c>
      <c r="I78" s="88" t="str">
        <f aca="false">IF('Detalle 2.0TD'!B1237="","Falta PC real",IF('Detalle 2.0TD'!B1237&gt;=0.3,"OK · registrar",IF('Detalle 2.0TD'!B1237&gt;=0.2,"Revisar margen","Revisar PC/PV")))</f>
        <v>Revisar PC/PV</v>
      </c>
      <c r="K78" s="0" t="n">
        <f aca="false">'Detalle 2.0TD'!AD1237</f>
        <v>0.00260000000000105</v>
      </c>
    </row>
    <row r="79" customFormat="false" ht="15" hidden="false" customHeight="false" outlineLevel="0" collapsed="false">
      <c r="A79" s="82" t="n">
        <v>8656</v>
      </c>
      <c r="B79" s="82" t="s">
        <v>493</v>
      </c>
      <c r="C79" s="83" t="s">
        <v>494</v>
      </c>
      <c r="D79" s="82" t="s">
        <v>30</v>
      </c>
      <c r="E79" s="84" t="n">
        <f aca="false">'Detalle 2.0TD'!B1251</f>
        <v>0.109552831526741</v>
      </c>
      <c r="F79" s="85" t="str">
        <f aca="false">'Detalle 2.0TD'!D1251</f>
        <v>RECHAZAR</v>
      </c>
      <c r="G79" s="86" t="n">
        <v>-0.017</v>
      </c>
      <c r="H79" s="87" t="n">
        <v>1439.26</v>
      </c>
      <c r="I79" s="88" t="str">
        <f aca="false">IF('Detalle 2.0TD'!B1251="","Falta PC real",IF('Detalle 2.0TD'!B1251&gt;=0.3,"OK · registrar",IF('Detalle 2.0TD'!B1251&gt;=0.2,"Revisar margen","Revisar PC/PV")))</f>
        <v>Revisar PC/PV</v>
      </c>
      <c r="K79" s="0" t="n">
        <f aca="false">'Detalle 2.0TD'!AD1251</f>
        <v>-0.000700000000001921</v>
      </c>
    </row>
    <row r="80" customFormat="false" ht="15" hidden="false" customHeight="false" outlineLevel="0" collapsed="false">
      <c r="A80" s="82" t="n">
        <v>8657</v>
      </c>
      <c r="B80" s="82" t="s">
        <v>495</v>
      </c>
      <c r="C80" s="83" t="s">
        <v>496</v>
      </c>
      <c r="D80" s="82" t="s">
        <v>30</v>
      </c>
      <c r="E80" s="84" t="n">
        <f aca="false">'Detalle 2.0TD'!B1265</f>
        <v>0.132662744484376</v>
      </c>
      <c r="F80" s="85" t="str">
        <f aca="false">'Detalle 2.0TD'!D1265</f>
        <v>RECHAZAR</v>
      </c>
      <c r="G80" s="86" t="n">
        <v>0.0806</v>
      </c>
      <c r="H80" s="87" t="n">
        <v>4242.23</v>
      </c>
      <c r="I80" s="88" t="str">
        <f aca="false">IF('Detalle 2.0TD'!B1265="","Falta PC real",IF('Detalle 2.0TD'!B1265&gt;=0.3,"OK · registrar",IF('Detalle 2.0TD'!B1265&gt;=0.2,"Revisar margen","Revisar PC/PV")))</f>
        <v>Revisar PC/PV</v>
      </c>
      <c r="K80" s="0" t="n">
        <f aca="false">'Detalle 2.0TD'!AD1265</f>
        <v>-0.00200000000000955</v>
      </c>
    </row>
    <row r="81" customFormat="false" ht="15" hidden="false" customHeight="false" outlineLevel="0" collapsed="false">
      <c r="A81" s="82" t="n">
        <v>8658</v>
      </c>
      <c r="B81" s="82" t="s">
        <v>497</v>
      </c>
      <c r="C81" s="83" t="s">
        <v>498</v>
      </c>
      <c r="D81" s="82" t="s">
        <v>30</v>
      </c>
      <c r="E81" s="84" t="n">
        <f aca="false">'Detalle 2.0TD'!B1279</f>
        <v>0.108585115596875</v>
      </c>
      <c r="F81" s="85" t="str">
        <f aca="false">'Detalle 2.0TD'!D1279</f>
        <v>RECHAZAR</v>
      </c>
      <c r="G81" s="86" t="n">
        <v>0.3502</v>
      </c>
      <c r="H81" s="87" t="n">
        <v>944.84</v>
      </c>
      <c r="I81" s="88" t="str">
        <f aca="false">IF('Detalle 2.0TD'!B1279="","Falta PC real",IF('Detalle 2.0TD'!B1279&gt;=0.3,"OK · registrar",IF('Detalle 2.0TD'!B1279&gt;=0.2,"Revisar margen","Revisar PC/PV")))</f>
        <v>Revisar PC/PV</v>
      </c>
      <c r="K81" s="0" t="n">
        <f aca="false">'Detalle 2.0TD'!AD1279</f>
        <v>-0.00120000000001141</v>
      </c>
    </row>
    <row r="82" customFormat="false" ht="15" hidden="false" customHeight="false" outlineLevel="0" collapsed="false">
      <c r="A82" s="82" t="n">
        <v>8659</v>
      </c>
      <c r="B82" s="82" t="s">
        <v>499</v>
      </c>
      <c r="C82" s="83" t="s">
        <v>500</v>
      </c>
      <c r="D82" s="82" t="s">
        <v>30</v>
      </c>
      <c r="E82" s="84" t="n">
        <f aca="false">'Detalle 2.0TD'!B1293</f>
        <v>0.103250510723075</v>
      </c>
      <c r="F82" s="85" t="str">
        <f aca="false">'Detalle 2.0TD'!D1293</f>
        <v>RECHAZAR</v>
      </c>
      <c r="G82" s="86" t="n">
        <v>0.2926</v>
      </c>
      <c r="H82" s="87" t="n">
        <v>416.78</v>
      </c>
      <c r="I82" s="88" t="str">
        <f aca="false">IF('Detalle 2.0TD'!B1293="","Falta PC real",IF('Detalle 2.0TD'!B1293&gt;=0.3,"OK · registrar",IF('Detalle 2.0TD'!B1293&gt;=0.2,"Revisar margen","Revisar PC/PV")))</f>
        <v>Revisar PC/PV</v>
      </c>
      <c r="K82" s="0" t="n">
        <f aca="false">'Detalle 2.0TD'!AD1293</f>
        <v>0.00289999999999679</v>
      </c>
    </row>
    <row r="83" customFormat="false" ht="15" hidden="false" customHeight="false" outlineLevel="0" collapsed="false">
      <c r="A83" s="82" t="n">
        <v>8660</v>
      </c>
      <c r="B83" s="82" t="s">
        <v>501</v>
      </c>
      <c r="C83" s="83" t="s">
        <v>502</v>
      </c>
      <c r="D83" s="82" t="s">
        <v>30</v>
      </c>
      <c r="E83" s="84" t="n">
        <f aca="false">'Detalle 2.0TD'!B1307</f>
        <v>0.170848679825487</v>
      </c>
      <c r="F83" s="85" t="str">
        <f aca="false">'Detalle 2.0TD'!D1307</f>
        <v>RECHAZAR</v>
      </c>
      <c r="G83" s="86" t="n">
        <v>0.2427</v>
      </c>
      <c r="H83" s="87" t="n">
        <v>1451.67</v>
      </c>
      <c r="I83" s="88" t="str">
        <f aca="false">IF('Detalle 2.0TD'!B1307="","Falta PC real",IF('Detalle 2.0TD'!B1307&gt;=0.3,"OK · registrar",IF('Detalle 2.0TD'!B1307&gt;=0.2,"Revisar margen","Revisar PC/PV")))</f>
        <v>Revisar PC/PV</v>
      </c>
      <c r="K83" s="0" t="n">
        <f aca="false">'Detalle 2.0TD'!AD1307</f>
        <v>-0.000399999999999068</v>
      </c>
    </row>
    <row r="84" customFormat="false" ht="15" hidden="false" customHeight="false" outlineLevel="0" collapsed="false">
      <c r="A84" s="82" t="n">
        <v>8662</v>
      </c>
      <c r="B84" s="82" t="s">
        <v>503</v>
      </c>
      <c r="C84" s="83" t="s">
        <v>504</v>
      </c>
      <c r="D84" s="82" t="s">
        <v>30</v>
      </c>
      <c r="E84" s="84" t="n">
        <f aca="false">'Detalle 2.0TD'!B1321</f>
        <v>0.158481454626203</v>
      </c>
      <c r="F84" s="85" t="str">
        <f aca="false">'Detalle 2.0TD'!D1321</f>
        <v>RECHAZAR</v>
      </c>
      <c r="G84" s="86" t="n">
        <v>0.2053</v>
      </c>
      <c r="H84" s="87" t="n">
        <v>338.33</v>
      </c>
      <c r="I84" s="88" t="str">
        <f aca="false">IF('Detalle 2.0TD'!B1321="","Falta PC real",IF('Detalle 2.0TD'!B1321&gt;=0.3,"OK · registrar",IF('Detalle 2.0TD'!B1321&gt;=0.2,"Revisar margen","Revisar PC/PV")))</f>
        <v>Revisar PC/PV</v>
      </c>
      <c r="K84" s="0" t="n">
        <f aca="false">'Detalle 2.0TD'!AD1321</f>
        <v>0.00460000000000349</v>
      </c>
    </row>
    <row r="85" customFormat="false" ht="15" hidden="false" customHeight="false" outlineLevel="0" collapsed="false">
      <c r="A85" s="82" t="n">
        <v>8663</v>
      </c>
      <c r="B85" s="82" t="s">
        <v>505</v>
      </c>
      <c r="C85" s="83" t="s">
        <v>506</v>
      </c>
      <c r="D85" s="82" t="s">
        <v>30</v>
      </c>
      <c r="E85" s="84" t="n">
        <f aca="false">'Detalle 2.0TD'!B1335</f>
        <v>0.085535830240821</v>
      </c>
      <c r="F85" s="85" t="str">
        <f aca="false">'Detalle 2.0TD'!D1335</f>
        <v>RECHAZAR</v>
      </c>
      <c r="G85" s="86" t="n">
        <v>0.1704</v>
      </c>
      <c r="H85" s="87" t="n">
        <v>233.61</v>
      </c>
      <c r="I85" s="88" t="str">
        <f aca="false">IF('Detalle 2.0TD'!B1335="","Falta PC real",IF('Detalle 2.0TD'!B1335&gt;=0.3,"OK · registrar",IF('Detalle 2.0TD'!B1335&gt;=0.2,"Revisar margen","Revisar PC/PV")))</f>
        <v>Revisar PC/PV</v>
      </c>
      <c r="K85" s="0" t="n">
        <f aca="false">'Detalle 2.0TD'!AD1335</f>
        <v>0.0111999999999952</v>
      </c>
    </row>
    <row r="86" customFormat="false" ht="15" hidden="false" customHeight="false" outlineLevel="0" collapsed="false">
      <c r="A86" s="82" t="n">
        <v>8665</v>
      </c>
      <c r="B86" s="82" t="s">
        <v>507</v>
      </c>
      <c r="C86" s="83" t="s">
        <v>508</v>
      </c>
      <c r="D86" s="82" t="s">
        <v>30</v>
      </c>
      <c r="E86" s="84" t="n">
        <f aca="false">'Detalle 2.0TD'!B1349</f>
        <v>0.093512525426087</v>
      </c>
      <c r="F86" s="85" t="str">
        <f aca="false">'Detalle 2.0TD'!D1349</f>
        <v>RECHAZAR</v>
      </c>
      <c r="G86" s="86" t="n">
        <v>0.1939</v>
      </c>
      <c r="H86" s="87" t="n">
        <v>274.94</v>
      </c>
      <c r="I86" s="88" t="str">
        <f aca="false">IF('Detalle 2.0TD'!B1349="","Falta PC real",IF('Detalle 2.0TD'!B1349&gt;=0.3,"OK · registrar",IF('Detalle 2.0TD'!B1349&gt;=0.2,"Revisar margen","Revisar PC/PV")))</f>
        <v>Revisar PC/PV</v>
      </c>
      <c r="K86" s="0" t="n">
        <f aca="false">'Detalle 2.0TD'!AD1349</f>
        <v>0.0041000000000011</v>
      </c>
    </row>
    <row r="87" customFormat="false" ht="15" hidden="false" customHeight="false" outlineLevel="0" collapsed="false">
      <c r="A87" s="82" t="n">
        <v>8666</v>
      </c>
      <c r="B87" s="82" t="s">
        <v>509</v>
      </c>
      <c r="C87" s="83" t="s">
        <v>510</v>
      </c>
      <c r="D87" s="82" t="s">
        <v>30</v>
      </c>
      <c r="E87" s="84" t="n">
        <f aca="false">'Detalle 2.0TD'!B1363</f>
        <v>0.121677250097635</v>
      </c>
      <c r="F87" s="85" t="str">
        <f aca="false">'Detalle 2.0TD'!D1363</f>
        <v>RECHAZAR</v>
      </c>
      <c r="G87" s="86" t="n">
        <v>0.2397</v>
      </c>
      <c r="H87" s="87" t="n">
        <v>167.54</v>
      </c>
      <c r="I87" s="88" t="str">
        <f aca="false">IF('Detalle 2.0TD'!B1363="","Falta PC real",IF('Detalle 2.0TD'!B1363&gt;=0.3,"OK · registrar",IF('Detalle 2.0TD'!B1363&gt;=0.2,"Revisar margen","Revisar PC/PV")))</f>
        <v>Revisar PC/PV</v>
      </c>
      <c r="K87" s="0" t="n">
        <f aca="false">'Detalle 2.0TD'!AD1363</f>
        <v>0.00929999999999609</v>
      </c>
    </row>
    <row r="88" customFormat="false" ht="15" hidden="false" customHeight="false" outlineLevel="0" collapsed="false">
      <c r="A88" s="82" t="n">
        <v>8667</v>
      </c>
      <c r="B88" s="82" t="s">
        <v>393</v>
      </c>
      <c r="C88" s="83" t="s">
        <v>394</v>
      </c>
      <c r="D88" s="82" t="s">
        <v>30</v>
      </c>
      <c r="E88" s="84" t="n">
        <f aca="false">'Detalle 2.0TD'!B1377</f>
        <v>0.136279773993095</v>
      </c>
      <c r="F88" s="85" t="str">
        <f aca="false">'Detalle 2.0TD'!D1377</f>
        <v>RECHAZAR</v>
      </c>
      <c r="G88" s="86" t="n">
        <v>0.354</v>
      </c>
      <c r="H88" s="87" t="n">
        <v>452.94</v>
      </c>
      <c r="I88" s="88" t="str">
        <f aca="false">IF('Detalle 2.0TD'!B1377="","Falta PC real",IF('Detalle 2.0TD'!B1377&gt;=0.3,"OK · registrar",IF('Detalle 2.0TD'!B1377&gt;=0.2,"Revisar margen","Revisar PC/PV")))</f>
        <v>Revisar PC/PV</v>
      </c>
      <c r="K88" s="0" t="n">
        <f aca="false">'Detalle 2.0TD'!AD1377</f>
        <v>-0.00249999999999773</v>
      </c>
    </row>
    <row r="89" customFormat="false" ht="15" hidden="false" customHeight="false" outlineLevel="0" collapsed="false">
      <c r="A89" s="82" t="n">
        <v>8670</v>
      </c>
      <c r="B89" s="82" t="s">
        <v>511</v>
      </c>
      <c r="C89" s="83" t="s">
        <v>512</v>
      </c>
      <c r="D89" s="82" t="s">
        <v>30</v>
      </c>
      <c r="E89" s="84" t="n">
        <f aca="false">'Detalle 2.0TD'!B1391</f>
        <v>0.148458998384728</v>
      </c>
      <c r="F89" s="85" t="str">
        <f aca="false">'Detalle 2.0TD'!D1391</f>
        <v>RECHAZAR</v>
      </c>
      <c r="G89" s="86" t="n">
        <v>0.28</v>
      </c>
      <c r="H89" s="87" t="n">
        <v>563.43</v>
      </c>
      <c r="I89" s="88" t="str">
        <f aca="false">IF('Detalle 2.0TD'!B1391="","Falta PC real",IF('Detalle 2.0TD'!B1391&gt;=0.3,"OK · registrar",IF('Detalle 2.0TD'!B1391&gt;=0.2,"Revisar margen","Revisar PC/PV")))</f>
        <v>Revisar PC/PV</v>
      </c>
      <c r="K89" s="0" t="n">
        <f aca="false">'Detalle 2.0TD'!AD1391</f>
        <v>-0.00210000000001287</v>
      </c>
    </row>
    <row r="90" customFormat="false" ht="15" hidden="false" customHeight="false" outlineLevel="0" collapsed="false">
      <c r="A90" s="82" t="n">
        <v>8671</v>
      </c>
      <c r="B90" s="82" t="s">
        <v>513</v>
      </c>
      <c r="C90" s="83" t="s">
        <v>514</v>
      </c>
      <c r="D90" s="82" t="s">
        <v>30</v>
      </c>
      <c r="E90" s="84" t="n">
        <f aca="false">'Detalle 2.0TD'!B1405</f>
        <v>0.133285347760121</v>
      </c>
      <c r="F90" s="85" t="str">
        <f aca="false">'Detalle 2.0TD'!D1405</f>
        <v>RECHAZAR</v>
      </c>
      <c r="G90" s="86" t="n">
        <v>0.2041</v>
      </c>
      <c r="H90" s="87" t="n">
        <v>145.2</v>
      </c>
      <c r="I90" s="88" t="str">
        <f aca="false">IF('Detalle 2.0TD'!B1405="","Falta PC real",IF('Detalle 2.0TD'!B1405&gt;=0.3,"OK · registrar",IF('Detalle 2.0TD'!B1405&gt;=0.2,"Revisar margen","Revisar PC/PV")))</f>
        <v>Revisar PC/PV</v>
      </c>
      <c r="K90" s="0" t="n">
        <f aca="false">'Detalle 2.0TD'!AD1405</f>
        <v>-0.00369999999999493</v>
      </c>
    </row>
    <row r="91" customFormat="false" ht="15" hidden="false" customHeight="false" outlineLevel="0" collapsed="false">
      <c r="A91" s="82" t="n">
        <v>8672</v>
      </c>
      <c r="B91" s="82" t="s">
        <v>515</v>
      </c>
      <c r="C91" s="83" t="s">
        <v>516</v>
      </c>
      <c r="D91" s="82" t="s">
        <v>30</v>
      </c>
      <c r="E91" s="84" t="n">
        <f aca="false">'Detalle 2.0TD'!B1419</f>
        <v>0.144306267365486</v>
      </c>
      <c r="F91" s="85" t="str">
        <f aca="false">'Detalle 2.0TD'!D1419</f>
        <v>RECHAZAR</v>
      </c>
      <c r="G91" s="83"/>
      <c r="H91" s="83"/>
      <c r="I91" s="88" t="str">
        <f aca="false">IF('Detalle 2.0TD'!B1419="","Falta PC real",IF('Detalle 2.0TD'!B1419&gt;=0.3,"OK · registrar",IF('Detalle 2.0TD'!B1419&gt;=0.2,"Revisar margen","Revisar PC/PV")))</f>
        <v>Revisar PC/PV</v>
      </c>
      <c r="K91" s="0" t="n">
        <f aca="false">'Detalle 2.0TD'!AD1419</f>
        <v>-0.00570000000000448</v>
      </c>
    </row>
    <row r="92" customFormat="false" ht="15" hidden="false" customHeight="false" outlineLevel="0" collapsed="false">
      <c r="A92" s="82" t="n">
        <v>8674</v>
      </c>
      <c r="B92" s="82" t="s">
        <v>395</v>
      </c>
      <c r="C92" s="83" t="s">
        <v>396</v>
      </c>
      <c r="D92" s="82" t="s">
        <v>30</v>
      </c>
      <c r="E92" s="84" t="n">
        <f aca="false">'Detalle 2.0TD'!B1433</f>
        <v>0.158524325928208</v>
      </c>
      <c r="F92" s="85" t="str">
        <f aca="false">'Detalle 2.0TD'!D1433</f>
        <v>RECHAZAR</v>
      </c>
      <c r="G92" s="86" t="n">
        <v>1</v>
      </c>
      <c r="H92" s="87" t="n">
        <v>2.65</v>
      </c>
      <c r="I92" s="88" t="str">
        <f aca="false">IF('Detalle 2.0TD'!B1433="","Falta PC real",IF('Detalle 2.0TD'!B1433&gt;=0.3,"OK · registrar",IF('Detalle 2.0TD'!B1433&gt;=0.2,"Revisar margen","Revisar PC/PV")))</f>
        <v>Revisar PC/PV</v>
      </c>
      <c r="K92" s="0" t="n">
        <f aca="false">'Detalle 2.0TD'!AD1433</f>
        <v>-0.000800000000012346</v>
      </c>
    </row>
    <row r="93" customFormat="false" ht="15" hidden="false" customHeight="false" outlineLevel="0" collapsed="false">
      <c r="A93" s="82" t="n">
        <v>8676</v>
      </c>
      <c r="B93" s="82" t="s">
        <v>517</v>
      </c>
      <c r="C93" s="83" t="s">
        <v>518</v>
      </c>
      <c r="D93" s="82" t="s">
        <v>30</v>
      </c>
      <c r="E93" s="84" t="n">
        <f aca="false">'Detalle 2.0TD'!B1447</f>
        <v>0.165257084333858</v>
      </c>
      <c r="F93" s="85" t="str">
        <f aca="false">'Detalle 2.0TD'!D1447</f>
        <v>RECHAZAR</v>
      </c>
      <c r="G93" s="86" t="n">
        <v>1</v>
      </c>
      <c r="H93" s="87" t="n">
        <v>3.77</v>
      </c>
      <c r="I93" s="88" t="str">
        <f aca="false">IF('Detalle 2.0TD'!B1447="","Falta PC real",IF('Detalle 2.0TD'!B1447&gt;=0.3,"OK · registrar",IF('Detalle 2.0TD'!B1447&gt;=0.2,"Revisar margen","Revisar PC/PV")))</f>
        <v>Revisar PC/PV</v>
      </c>
      <c r="K93" s="0" t="n">
        <f aca="false">'Detalle 2.0TD'!AD1447</f>
        <v>-0.00440000000003238</v>
      </c>
    </row>
    <row r="94" customFormat="false" ht="15" hidden="false" customHeight="false" outlineLevel="0" collapsed="false">
      <c r="A94" s="82" t="n">
        <v>8677</v>
      </c>
      <c r="B94" s="82" t="s">
        <v>519</v>
      </c>
      <c r="C94" s="83" t="s">
        <v>520</v>
      </c>
      <c r="D94" s="82" t="s">
        <v>30</v>
      </c>
      <c r="E94" s="84" t="n">
        <f aca="false">'Detalle 2.0TD'!B1461</f>
        <v>0.205493929165018</v>
      </c>
      <c r="F94" s="85" t="str">
        <f aca="false">'Detalle 2.0TD'!D1461</f>
        <v>REVISAR</v>
      </c>
      <c r="G94" s="86" t="n">
        <v>1</v>
      </c>
      <c r="H94" s="87" t="n">
        <v>3.17</v>
      </c>
      <c r="I94" s="88" t="str">
        <f aca="false">IF('Detalle 2.0TD'!B1461="","Falta PC real",IF('Detalle 2.0TD'!B1461&gt;=0.3,"OK · registrar",IF('Detalle 2.0TD'!B1461&gt;=0.2,"Revisar margen","Revisar PC/PV")))</f>
        <v>Revisar margen</v>
      </c>
      <c r="K94" s="0" t="n">
        <f aca="false">'Detalle 2.0TD'!AD1461</f>
        <v>0.0108999999999924</v>
      </c>
    </row>
    <row r="95" customFormat="false" ht="15" hidden="false" customHeight="false" outlineLevel="0" collapsed="false">
      <c r="A95" s="82" t="n">
        <v>8678</v>
      </c>
      <c r="B95" s="82" t="s">
        <v>521</v>
      </c>
      <c r="C95" s="83" t="s">
        <v>522</v>
      </c>
      <c r="D95" s="82" t="s">
        <v>30</v>
      </c>
      <c r="E95" s="84" t="n">
        <f aca="false">'Detalle 2.0TD'!B1475</f>
        <v>0.195027105230609</v>
      </c>
      <c r="F95" s="85" t="str">
        <f aca="false">'Detalle 2.0TD'!D1475</f>
        <v>RECHAZAR</v>
      </c>
      <c r="G95" s="86" t="n">
        <v>1</v>
      </c>
      <c r="H95" s="87" t="n">
        <v>3.07</v>
      </c>
      <c r="I95" s="88" t="str">
        <f aca="false">IF('Detalle 2.0TD'!B1475="","Falta PC real",IF('Detalle 2.0TD'!B1475&gt;=0.3,"OK · registrar",IF('Detalle 2.0TD'!B1475&gt;=0.2,"Revisar margen","Revisar PC/PV")))</f>
        <v>Revisar PC/PV</v>
      </c>
      <c r="K95" s="0" t="n">
        <f aca="false">'Detalle 2.0TD'!AD1475</f>
        <v>0.00360000000000582</v>
      </c>
    </row>
    <row r="96" customFormat="false" ht="15" hidden="false" customHeight="false" outlineLevel="0" collapsed="false">
      <c r="A96" s="82" t="n">
        <v>8679</v>
      </c>
      <c r="B96" s="82" t="s">
        <v>523</v>
      </c>
      <c r="C96" s="83" t="s">
        <v>524</v>
      </c>
      <c r="D96" s="82" t="s">
        <v>30</v>
      </c>
      <c r="E96" s="84" t="n">
        <f aca="false">'Detalle 2.0TD'!B1489</f>
        <v>0.140129333469666</v>
      </c>
      <c r="F96" s="85" t="str">
        <f aca="false">'Detalle 2.0TD'!D1489</f>
        <v>RECHAZAR</v>
      </c>
      <c r="G96" s="86" t="n">
        <v>1</v>
      </c>
      <c r="H96" s="87" t="n">
        <v>3.15</v>
      </c>
      <c r="I96" s="88" t="str">
        <f aca="false">IF('Detalle 2.0TD'!B1489="","Falta PC real",IF('Detalle 2.0TD'!B1489&gt;=0.3,"OK · registrar",IF('Detalle 2.0TD'!B1489&gt;=0.2,"Revisar margen","Revisar PC/PV")))</f>
        <v>Revisar PC/PV</v>
      </c>
      <c r="K96" s="0" t="n">
        <f aca="false">'Detalle 2.0TD'!AD1489</f>
        <v>-0.00179999999999936</v>
      </c>
    </row>
    <row r="97" customFormat="false" ht="15" hidden="false" customHeight="false" outlineLevel="0" collapsed="false">
      <c r="A97" s="82" t="n">
        <v>8680</v>
      </c>
      <c r="B97" s="82" t="s">
        <v>525</v>
      </c>
      <c r="C97" s="83" t="s">
        <v>526</v>
      </c>
      <c r="D97" s="82" t="s">
        <v>527</v>
      </c>
      <c r="E97" s="84" t="n">
        <f aca="false">'Detalle 2.0TD'!B1503</f>
        <v>-0.0444785080766909</v>
      </c>
      <c r="F97" s="85" t="str">
        <f aca="false">'Detalle 2.0TD'!D1503</f>
        <v>RECHAZAR</v>
      </c>
      <c r="G97" s="83"/>
      <c r="H97" s="83"/>
      <c r="I97" s="88" t="str">
        <f aca="false">IF('Detalle 2.0TD'!B1503="","Falta PC real",IF('Detalle 2.0TD'!B1503&gt;=0.3,"OK · registrar",IF('Detalle 2.0TD'!B1503&gt;=0.2,"Revisar margen","Revisar PC/PV")))</f>
        <v>Revisar PC/PV</v>
      </c>
      <c r="K97" s="0" t="n">
        <f aca="false">'Detalle 2.0TD'!AD1503</f>
        <v>-0.00140000000000384</v>
      </c>
    </row>
    <row r="98" customFormat="false" ht="15" hidden="false" customHeight="false" outlineLevel="0" collapsed="false">
      <c r="A98" s="82" t="n">
        <v>8681</v>
      </c>
      <c r="B98" s="82" t="s">
        <v>528</v>
      </c>
      <c r="C98" s="83" t="s">
        <v>520</v>
      </c>
      <c r="D98" s="82" t="s">
        <v>527</v>
      </c>
      <c r="E98" s="84" t="n">
        <f aca="false">'Detalle 2.0TD'!B1517</f>
        <v>-0.0912323278764123</v>
      </c>
      <c r="F98" s="85" t="str">
        <f aca="false">'Detalle 2.0TD'!D1517</f>
        <v>RECHAZAR</v>
      </c>
      <c r="G98" s="86" t="n">
        <v>1</v>
      </c>
      <c r="H98" s="87" t="n">
        <v>1.22</v>
      </c>
      <c r="I98" s="88" t="str">
        <f aca="false">IF('Detalle 2.0TD'!B1517="","Falta PC real",IF('Detalle 2.0TD'!B1517&gt;=0.3,"OK · registrar",IF('Detalle 2.0TD'!B1517&gt;=0.2,"Revisar margen","Revisar PC/PV")))</f>
        <v>Revisar PC/PV</v>
      </c>
      <c r="K98" s="0" t="n">
        <f aca="false">'Detalle 2.0TD'!AD1517</f>
        <v>0.00550000000000495</v>
      </c>
    </row>
    <row r="99" customFormat="false" ht="15" hidden="false" customHeight="false" outlineLevel="0" collapsed="false">
      <c r="A99" s="82" t="n">
        <v>8682</v>
      </c>
      <c r="B99" s="82" t="s">
        <v>529</v>
      </c>
      <c r="C99" s="83" t="s">
        <v>455</v>
      </c>
      <c r="D99" s="82" t="s">
        <v>30</v>
      </c>
      <c r="E99" s="84" t="n">
        <f aca="false">'Detalle 2.0TD'!B1531</f>
        <v>0.192007756920762</v>
      </c>
      <c r="F99" s="85" t="str">
        <f aca="false">'Detalle 2.0TD'!D1531</f>
        <v>RECHAZAR</v>
      </c>
      <c r="G99" s="86" t="n">
        <v>1</v>
      </c>
      <c r="H99" s="87" t="n">
        <v>3.47</v>
      </c>
      <c r="I99" s="88" t="str">
        <f aca="false">IF('Detalle 2.0TD'!B1531="","Falta PC real",IF('Detalle 2.0TD'!B1531&gt;=0.3,"OK · registrar",IF('Detalle 2.0TD'!B1531&gt;=0.2,"Revisar margen","Revisar PC/PV")))</f>
        <v>Revisar PC/PV</v>
      </c>
      <c r="K99" s="0" t="n">
        <f aca="false">'Detalle 2.0TD'!AD1531</f>
        <v>0.00479999999999592</v>
      </c>
    </row>
    <row r="100" customFormat="false" ht="15" hidden="false" customHeight="false" outlineLevel="0" collapsed="false">
      <c r="A100" s="82" t="n">
        <v>8683</v>
      </c>
      <c r="B100" s="82" t="s">
        <v>530</v>
      </c>
      <c r="C100" s="83" t="s">
        <v>531</v>
      </c>
      <c r="D100" s="82" t="s">
        <v>30</v>
      </c>
      <c r="E100" s="84" t="n">
        <f aca="false">'Detalle 2.0TD'!B1545</f>
        <v>0.209811025467246</v>
      </c>
      <c r="F100" s="85" t="str">
        <f aca="false">'Detalle 2.0TD'!D1545</f>
        <v>REVISAR</v>
      </c>
      <c r="G100" s="86" t="n">
        <v>1</v>
      </c>
      <c r="H100" s="87" t="n">
        <v>3.75</v>
      </c>
      <c r="I100" s="88" t="str">
        <f aca="false">IF('Detalle 2.0TD'!B1545="","Falta PC real",IF('Detalle 2.0TD'!B1545&gt;=0.3,"OK · registrar",IF('Detalle 2.0TD'!B1545&gt;=0.2,"Revisar margen","Revisar PC/PV")))</f>
        <v>Revisar margen</v>
      </c>
      <c r="K100" s="0" t="n">
        <f aca="false">'Detalle 2.0TD'!AD1545</f>
        <v>-0.00500000000000966</v>
      </c>
    </row>
    <row r="101" customFormat="false" ht="15" hidden="false" customHeight="false" outlineLevel="0" collapsed="false">
      <c r="A101" s="82" t="n">
        <v>8685</v>
      </c>
      <c r="B101" s="82" t="s">
        <v>532</v>
      </c>
      <c r="C101" s="83" t="s">
        <v>533</v>
      </c>
      <c r="D101" s="82" t="s">
        <v>30</v>
      </c>
      <c r="E101" s="84" t="n">
        <f aca="false">'Detalle 2.0TD'!B1559</f>
        <v>0.0937013902748415</v>
      </c>
      <c r="F101" s="85" t="str">
        <f aca="false">'Detalle 2.0TD'!D1559</f>
        <v>RECHAZAR</v>
      </c>
      <c r="G101" s="86" t="n">
        <v>1</v>
      </c>
      <c r="H101" s="87" t="n">
        <v>1.24</v>
      </c>
      <c r="I101" s="88" t="str">
        <f aca="false">IF('Detalle 2.0TD'!B1559="","Falta PC real",IF('Detalle 2.0TD'!B1559&gt;=0.3,"OK · registrar",IF('Detalle 2.0TD'!B1559&gt;=0.2,"Revisar margen","Revisar PC/PV")))</f>
        <v>Revisar PC/PV</v>
      </c>
      <c r="K101" s="0" t="n">
        <f aca="false">'Detalle 2.0TD'!AD1559</f>
        <v>0.00480000000000302</v>
      </c>
    </row>
    <row r="102" customFormat="false" ht="15" hidden="false" customHeight="false" outlineLevel="0" collapsed="false">
      <c r="A102" s="82" t="n">
        <v>8686</v>
      </c>
      <c r="B102" s="82" t="s">
        <v>534</v>
      </c>
      <c r="C102" s="83" t="s">
        <v>535</v>
      </c>
      <c r="D102" s="82" t="s">
        <v>30</v>
      </c>
      <c r="E102" s="84" t="n">
        <f aca="false">'Detalle 2.0TD'!B1573</f>
        <v>0.109408552021467</v>
      </c>
      <c r="F102" s="85" t="str">
        <f aca="false">'Detalle 2.0TD'!D1573</f>
        <v>RECHAZAR</v>
      </c>
      <c r="G102" s="86" t="n">
        <v>1</v>
      </c>
      <c r="H102" s="87" t="n">
        <v>2.17</v>
      </c>
      <c r="I102" s="88" t="str">
        <f aca="false">IF('Detalle 2.0TD'!B1573="","Falta PC real",IF('Detalle 2.0TD'!B1573&gt;=0.3,"OK · registrar",IF('Detalle 2.0TD'!B1573&gt;=0.2,"Revisar margen","Revisar PC/PV")))</f>
        <v>Revisar PC/PV</v>
      </c>
      <c r="K102" s="0" t="n">
        <f aca="false">'Detalle 2.0TD'!AD1573</f>
        <v>-0.00250000000000039</v>
      </c>
    </row>
    <row r="103" customFormat="false" ht="15" hidden="false" customHeight="false" outlineLevel="0" collapsed="false">
      <c r="A103" s="82" t="n">
        <v>8687</v>
      </c>
      <c r="B103" s="82" t="s">
        <v>536</v>
      </c>
      <c r="C103" s="83" t="s">
        <v>537</v>
      </c>
      <c r="D103" s="82" t="s">
        <v>30</v>
      </c>
      <c r="E103" s="84" t="n">
        <f aca="false">'Detalle 2.0TD'!B1587</f>
        <v>0.187186275223214</v>
      </c>
      <c r="F103" s="85" t="str">
        <f aca="false">'Detalle 2.0TD'!D1587</f>
        <v>RECHAZAR</v>
      </c>
      <c r="G103" s="86" t="n">
        <v>1</v>
      </c>
      <c r="H103" s="87" t="n">
        <v>-2.42</v>
      </c>
      <c r="I103" s="88" t="str">
        <f aca="false">IF('Detalle 2.0TD'!B1587="","Falta PC real",IF('Detalle 2.0TD'!B1587&gt;=0.3,"OK · registrar",IF('Detalle 2.0TD'!B1587&gt;=0.2,"Revisar margen","Revisar PC/PV")))</f>
        <v>Revisar PC/PV</v>
      </c>
      <c r="K103" s="0" t="n">
        <f aca="false">'Detalle 2.0TD'!AD1587</f>
        <v>-0.00550000000000139</v>
      </c>
    </row>
    <row r="104" customFormat="false" ht="15" hidden="false" customHeight="false" outlineLevel="0" collapsed="false">
      <c r="A104" s="82" t="n">
        <v>8688</v>
      </c>
      <c r="B104" s="82" t="s">
        <v>538</v>
      </c>
      <c r="C104" s="83" t="s">
        <v>539</v>
      </c>
      <c r="D104" s="82" t="s">
        <v>30</v>
      </c>
      <c r="E104" s="84" t="n">
        <f aca="false">'Detalle 2.0TD'!B1601</f>
        <v>0.0744185098381071</v>
      </c>
      <c r="F104" s="85" t="str">
        <f aca="false">'Detalle 2.0TD'!D1601</f>
        <v>RECHAZAR</v>
      </c>
      <c r="G104" s="86" t="n">
        <v>1</v>
      </c>
      <c r="H104" s="87" t="n">
        <v>2.19</v>
      </c>
      <c r="I104" s="88" t="str">
        <f aca="false">IF('Detalle 2.0TD'!B1601="","Falta PC real",IF('Detalle 2.0TD'!B1601&gt;=0.3,"OK · registrar",IF('Detalle 2.0TD'!B1601&gt;=0.2,"Revisar margen","Revisar PC/PV")))</f>
        <v>Revisar PC/PV</v>
      </c>
      <c r="K104" s="0" t="n">
        <f aca="false">'Detalle 2.0TD'!AD1601</f>
        <v>-0.00360000000000049</v>
      </c>
    </row>
    <row r="105" customFormat="false" ht="15" hidden="false" customHeight="false" outlineLevel="0" collapsed="false">
      <c r="A105" s="82" t="n">
        <v>8689</v>
      </c>
      <c r="B105" s="82" t="s">
        <v>540</v>
      </c>
      <c r="C105" s="83" t="s">
        <v>541</v>
      </c>
      <c r="D105" s="82" t="s">
        <v>527</v>
      </c>
      <c r="E105" s="84" t="n">
        <f aca="false">'Detalle 2.0TD'!B1615</f>
        <v>0.0623899404148545</v>
      </c>
      <c r="F105" s="85" t="str">
        <f aca="false">'Detalle 2.0TD'!D1615</f>
        <v>RECHAZAR</v>
      </c>
      <c r="G105" s="86" t="n">
        <v>1</v>
      </c>
      <c r="H105" s="87" t="n">
        <v>-0.04</v>
      </c>
      <c r="I105" s="88" t="str">
        <f aca="false">IF('Detalle 2.0TD'!B1615="","Falta PC real",IF('Detalle 2.0TD'!B1615&gt;=0.3,"OK · registrar",IF('Detalle 2.0TD'!B1615&gt;=0.2,"Revisar margen","Revisar PC/PV")))</f>
        <v>Revisar PC/PV</v>
      </c>
      <c r="K105" s="0" t="n">
        <f aca="false">'Detalle 2.0TD'!AD1615</f>
        <v>-0.00739999999999999</v>
      </c>
    </row>
    <row r="106" customFormat="false" ht="15" hidden="false" customHeight="false" outlineLevel="0" collapsed="false">
      <c r="A106" s="82" t="n">
        <v>8690</v>
      </c>
      <c r="B106" s="82" t="s">
        <v>542</v>
      </c>
      <c r="C106" s="83" t="s">
        <v>543</v>
      </c>
      <c r="D106" s="82" t="s">
        <v>30</v>
      </c>
      <c r="E106" s="84" t="n">
        <f aca="false">'Detalle 2.0TD'!B1634</f>
        <v>0.152944879655511</v>
      </c>
      <c r="F106" s="85" t="str">
        <f aca="false">'Detalle 2.0TD'!D1634</f>
        <v>RECHAZAR</v>
      </c>
      <c r="G106" s="86" t="n">
        <v>1</v>
      </c>
      <c r="H106" s="87" t="n">
        <v>1.71</v>
      </c>
      <c r="I106" s="88" t="str">
        <f aca="false">IF('Detalle 2.0TD'!B1634="","Falta PC real",IF('Detalle 2.0TD'!B1634&gt;=0.3,"OK · registrar",IF('Detalle 2.0TD'!B1634&gt;=0.2,"Revisar margen","Revisar PC/PV")))</f>
        <v>Revisar PC/PV</v>
      </c>
      <c r="K106" s="0" t="n">
        <f aca="false">'Detalle 2.0TD'!AD1634</f>
        <v>0.00699999999997658</v>
      </c>
    </row>
    <row r="107" customFormat="false" ht="15" hidden="false" customHeight="false" outlineLevel="0" collapsed="false">
      <c r="A107" s="82" t="n">
        <v>8692</v>
      </c>
      <c r="B107" s="82" t="s">
        <v>544</v>
      </c>
      <c r="C107" s="83" t="s">
        <v>545</v>
      </c>
      <c r="D107" s="82" t="s">
        <v>527</v>
      </c>
      <c r="E107" s="84" t="n">
        <f aca="false">'Detalle 2.0TD'!B1648</f>
        <v>0.116867320307988</v>
      </c>
      <c r="F107" s="85" t="str">
        <f aca="false">'Detalle 2.0TD'!D1648</f>
        <v>RECHAZAR</v>
      </c>
      <c r="G107" s="86" t="n">
        <v>1</v>
      </c>
      <c r="H107" s="87" t="n">
        <v>1.27</v>
      </c>
      <c r="I107" s="88" t="str">
        <f aca="false">IF('Detalle 2.0TD'!B1648="","Falta PC real",IF('Detalle 2.0TD'!B1648&gt;=0.3,"OK · registrar",IF('Detalle 2.0TD'!B1648&gt;=0.2,"Revisar margen","Revisar PC/PV")))</f>
        <v>Revisar PC/PV</v>
      </c>
      <c r="K107" s="0" t="n">
        <f aca="false">'Detalle 2.0TD'!AD1648</f>
        <v>-0.00940000000000119</v>
      </c>
    </row>
    <row r="108" customFormat="false" ht="15" hidden="false" customHeight="false" outlineLevel="0" collapsed="false">
      <c r="A108" s="82" t="n">
        <v>8693</v>
      </c>
      <c r="B108" s="82" t="s">
        <v>546</v>
      </c>
      <c r="C108" s="83" t="s">
        <v>545</v>
      </c>
      <c r="D108" s="82" t="s">
        <v>30</v>
      </c>
      <c r="E108" s="84" t="n">
        <f aca="false">'Detalle 2.0TD'!B1662</f>
        <v>0.110227364940693</v>
      </c>
      <c r="F108" s="85" t="str">
        <f aca="false">'Detalle 2.0TD'!D1662</f>
        <v>RECHAZAR</v>
      </c>
      <c r="G108" s="86" t="n">
        <v>1</v>
      </c>
      <c r="H108" s="87" t="n">
        <v>1.2</v>
      </c>
      <c r="I108" s="88" t="str">
        <f aca="false">IF('Detalle 2.0TD'!B1662="","Falta PC real",IF('Detalle 2.0TD'!B1662&gt;=0.3,"OK · registrar",IF('Detalle 2.0TD'!B1662&gt;=0.2,"Revisar margen","Revisar PC/PV")))</f>
        <v>Revisar PC/PV</v>
      </c>
      <c r="K108" s="0" t="n">
        <f aca="false">'Detalle 2.0TD'!AD1662</f>
        <v>0.00249999999999773</v>
      </c>
    </row>
    <row r="109" customFormat="false" ht="15" hidden="false" customHeight="false" outlineLevel="0" collapsed="false">
      <c r="A109" s="82" t="n">
        <v>8694</v>
      </c>
      <c r="B109" s="82" t="s">
        <v>547</v>
      </c>
      <c r="C109" s="83" t="s">
        <v>548</v>
      </c>
      <c r="D109" s="82" t="s">
        <v>30</v>
      </c>
      <c r="E109" s="84" t="n">
        <f aca="false">'Detalle 2.0TD'!B1676</f>
        <v>0.159946768999177</v>
      </c>
      <c r="F109" s="85" t="str">
        <f aca="false">'Detalle 2.0TD'!D1676</f>
        <v>RECHAZAR</v>
      </c>
      <c r="G109" s="86" t="n">
        <v>1</v>
      </c>
      <c r="H109" s="87" t="n">
        <v>1.77</v>
      </c>
      <c r="I109" s="88" t="str">
        <f aca="false">IF('Detalle 2.0TD'!B1676="","Falta PC real",IF('Detalle 2.0TD'!B1676&gt;=0.3,"OK · registrar",IF('Detalle 2.0TD'!B1676&gt;=0.2,"Revisar margen","Revisar PC/PV")))</f>
        <v>Revisar PC/PV</v>
      </c>
      <c r="K109" s="0" t="n">
        <f aca="false">'Detalle 2.0TD'!AD1676</f>
        <v>-0.000200000000006639</v>
      </c>
    </row>
    <row r="110" customFormat="false" ht="15" hidden="false" customHeight="false" outlineLevel="0" collapsed="false">
      <c r="A110" s="82" t="n">
        <v>8695</v>
      </c>
      <c r="B110" s="82" t="s">
        <v>549</v>
      </c>
      <c r="C110" s="83" t="s">
        <v>550</v>
      </c>
      <c r="D110" s="82" t="s">
        <v>30</v>
      </c>
      <c r="E110" s="84" t="n">
        <f aca="false">'Detalle 2.0TD'!B1690</f>
        <v>0.0630986790507367</v>
      </c>
      <c r="F110" s="85" t="str">
        <f aca="false">'Detalle 2.0TD'!D1690</f>
        <v>RECHAZAR</v>
      </c>
      <c r="G110" s="86" t="n">
        <v>1</v>
      </c>
      <c r="H110" s="87" t="n">
        <v>1.43</v>
      </c>
      <c r="I110" s="88" t="str">
        <f aca="false">IF('Detalle 2.0TD'!B1690="","Falta PC real",IF('Detalle 2.0TD'!B1690&gt;=0.3,"OK · registrar",IF('Detalle 2.0TD'!B1690&gt;=0.2,"Revisar margen","Revisar PC/PV")))</f>
        <v>Revisar PC/PV</v>
      </c>
      <c r="K110" s="0" t="n">
        <f aca="false">'Detalle 2.0TD'!AD1690</f>
        <v>-0.0110000000000001</v>
      </c>
    </row>
    <row r="111" customFormat="false" ht="15" hidden="false" customHeight="false" outlineLevel="0" collapsed="false">
      <c r="A111" s="82" t="n">
        <v>8696</v>
      </c>
      <c r="B111" s="82" t="s">
        <v>551</v>
      </c>
      <c r="C111" s="83" t="s">
        <v>552</v>
      </c>
      <c r="D111" s="82" t="s">
        <v>30</v>
      </c>
      <c r="E111" s="84" t="n">
        <f aca="false">'Detalle 2.0TD'!B1704</f>
        <v>0.0341464438877754</v>
      </c>
      <c r="F111" s="85" t="str">
        <f aca="false">'Detalle 2.0TD'!D1704</f>
        <v>RECHAZAR</v>
      </c>
      <c r="G111" s="86" t="n">
        <v>1</v>
      </c>
      <c r="H111" s="87" t="n">
        <v>1.01</v>
      </c>
      <c r="I111" s="88" t="str">
        <f aca="false">IF('Detalle 2.0TD'!B1704="","Falta PC real",IF('Detalle 2.0TD'!B1704&gt;=0.3,"OK · registrar",IF('Detalle 2.0TD'!B1704&gt;=0.2,"Revisar margen","Revisar PC/PV")))</f>
        <v>Revisar PC/PV</v>
      </c>
      <c r="K111" s="0" t="n">
        <f aca="false">'Detalle 2.0TD'!AD1704</f>
        <v>0.0025</v>
      </c>
    </row>
    <row r="112" customFormat="false" ht="15" hidden="false" customHeight="false" outlineLevel="0" collapsed="false">
      <c r="A112" s="82" t="n">
        <v>8697</v>
      </c>
      <c r="B112" s="82" t="s">
        <v>553</v>
      </c>
      <c r="C112" s="83" t="s">
        <v>554</v>
      </c>
      <c r="D112" s="82" t="s">
        <v>30</v>
      </c>
      <c r="E112" s="84" t="n">
        <f aca="false">'Detalle 2.0TD'!B1718</f>
        <v>0.160364740239779</v>
      </c>
      <c r="F112" s="85" t="str">
        <f aca="false">'Detalle 2.0TD'!D1718</f>
        <v>RECHAZAR</v>
      </c>
      <c r="G112" s="86" t="n">
        <v>1</v>
      </c>
      <c r="H112" s="87" t="n">
        <v>-0.06</v>
      </c>
      <c r="I112" s="88" t="str">
        <f aca="false">IF('Detalle 2.0TD'!B1718="","Falta PC real",IF('Detalle 2.0TD'!B1718&gt;=0.3,"OK · registrar",IF('Detalle 2.0TD'!B1718&gt;=0.2,"Revisar margen","Revisar PC/PV")))</f>
        <v>Revisar PC/PV</v>
      </c>
      <c r="K112" s="0" t="n">
        <f aca="false">'Detalle 2.0TD'!AD1718</f>
        <v>0.000399999999999068</v>
      </c>
    </row>
    <row r="113" customFormat="false" ht="15" hidden="false" customHeight="false" outlineLevel="0" collapsed="false">
      <c r="A113" s="82" t="n">
        <v>8698</v>
      </c>
      <c r="B113" s="82" t="s">
        <v>555</v>
      </c>
      <c r="C113" s="83" t="s">
        <v>556</v>
      </c>
      <c r="D113" s="82" t="s">
        <v>30</v>
      </c>
      <c r="E113" s="84" t="n">
        <f aca="false">'Detalle 2.0TD'!B1732</f>
        <v>0.116646477873551</v>
      </c>
      <c r="F113" s="85" t="str">
        <f aca="false">'Detalle 2.0TD'!D1732</f>
        <v>RECHAZAR</v>
      </c>
      <c r="G113" s="86" t="n">
        <v>1</v>
      </c>
      <c r="H113" s="87" t="n">
        <v>1.93</v>
      </c>
      <c r="I113" s="88" t="str">
        <f aca="false">IF('Detalle 2.0TD'!B1732="","Falta PC real",IF('Detalle 2.0TD'!B1732&gt;=0.3,"OK · registrar",IF('Detalle 2.0TD'!B1732&gt;=0.2,"Revisar margen","Revisar PC/PV")))</f>
        <v>Revisar PC/PV</v>
      </c>
      <c r="K113" s="0" t="n">
        <f aca="false">'Detalle 2.0TD'!AD1732</f>
        <v>0.00200000000000955</v>
      </c>
    </row>
    <row r="114" customFormat="false" ht="15" hidden="false" customHeight="false" outlineLevel="0" collapsed="false">
      <c r="A114" s="82" t="n">
        <v>8702</v>
      </c>
      <c r="B114" s="82" t="s">
        <v>557</v>
      </c>
      <c r="C114" s="83" t="s">
        <v>558</v>
      </c>
      <c r="D114" s="82" t="s">
        <v>30</v>
      </c>
      <c r="E114" s="84" t="n">
        <f aca="false">'Detalle 2.0TD'!B1751</f>
        <v>0.142999509169614</v>
      </c>
      <c r="F114" s="85" t="str">
        <f aca="false">'Detalle 2.0TD'!D1751</f>
        <v>RECHAZAR</v>
      </c>
      <c r="G114" s="86" t="n">
        <v>1</v>
      </c>
      <c r="H114" s="87" t="n">
        <v>1.42</v>
      </c>
      <c r="I114" s="88" t="str">
        <f aca="false">IF('Detalle 2.0TD'!B1751="","Falta PC real",IF('Detalle 2.0TD'!B1751&gt;=0.3,"OK · registrar",IF('Detalle 2.0TD'!B1751&gt;=0.2,"Revisar margen","Revisar PC/PV")))</f>
        <v>Revisar PC/PV</v>
      </c>
      <c r="K114" s="0" t="n">
        <f aca="false">'Detalle 2.0TD'!AD1751</f>
        <v>0.000700000000001921</v>
      </c>
    </row>
    <row r="115" customFormat="false" ht="15" hidden="false" customHeight="false" outlineLevel="0" collapsed="false">
      <c r="A115" s="82" t="n">
        <v>8703</v>
      </c>
      <c r="B115" s="82" t="s">
        <v>559</v>
      </c>
      <c r="C115" s="83" t="s">
        <v>560</v>
      </c>
      <c r="D115" s="82" t="s">
        <v>30</v>
      </c>
      <c r="E115" s="84" t="n">
        <f aca="false">'Detalle 2.0TD'!B1765</f>
        <v>0.135759027232785</v>
      </c>
      <c r="F115" s="85" t="str">
        <f aca="false">'Detalle 2.0TD'!D1765</f>
        <v>RECHAZAR</v>
      </c>
      <c r="G115" s="86" t="n">
        <v>1</v>
      </c>
      <c r="H115" s="87" t="n">
        <v>1.48</v>
      </c>
      <c r="I115" s="88" t="str">
        <f aca="false">IF('Detalle 2.0TD'!B1765="","Falta PC real",IF('Detalle 2.0TD'!B1765&gt;=0.3,"OK · registrar",IF('Detalle 2.0TD'!B1765&gt;=0.2,"Revisar margen","Revisar PC/PV")))</f>
        <v>Revisar PC/PV</v>
      </c>
      <c r="K115" s="0" t="n">
        <f aca="false">'Detalle 2.0TD'!AD1765</f>
        <v>-0.000200000000006639</v>
      </c>
    </row>
    <row r="116" customFormat="false" ht="15" hidden="false" customHeight="false" outlineLevel="0" collapsed="false">
      <c r="A116" s="82" t="n">
        <v>8704</v>
      </c>
      <c r="B116" s="82" t="s">
        <v>561</v>
      </c>
      <c r="C116" s="83" t="s">
        <v>562</v>
      </c>
      <c r="D116" s="82" t="s">
        <v>30</v>
      </c>
      <c r="E116" s="84" t="n">
        <f aca="false">'Detalle 2.0TD'!B1779</f>
        <v>0.120665456450839</v>
      </c>
      <c r="F116" s="85" t="str">
        <f aca="false">'Detalle 2.0TD'!D1779</f>
        <v>RECHAZAR</v>
      </c>
      <c r="G116" s="86" t="n">
        <v>1</v>
      </c>
      <c r="H116" s="87" t="n">
        <v>1.75</v>
      </c>
      <c r="I116" s="88" t="str">
        <f aca="false">IF('Detalle 2.0TD'!B1779="","Falta PC real",IF('Detalle 2.0TD'!B1779&gt;=0.3,"OK · registrar",IF('Detalle 2.0TD'!B1779&gt;=0.2,"Revisar margen","Revisar PC/PV")))</f>
        <v>Revisar PC/PV</v>
      </c>
      <c r="K116" s="0" t="n">
        <f aca="false">'Detalle 2.0TD'!AD1779</f>
        <v>-0.00209999999999866</v>
      </c>
    </row>
    <row r="117" customFormat="false" ht="15" hidden="false" customHeight="false" outlineLevel="0" collapsed="false">
      <c r="A117" s="82" t="n">
        <v>8706</v>
      </c>
      <c r="B117" s="82" t="s">
        <v>563</v>
      </c>
      <c r="C117" s="83" t="s">
        <v>564</v>
      </c>
      <c r="D117" s="82" t="s">
        <v>30</v>
      </c>
      <c r="E117" s="84" t="n">
        <f aca="false">'Detalle 2.0TD'!B1793</f>
        <v>0.0412018384492726</v>
      </c>
      <c r="F117" s="85" t="str">
        <f aca="false">'Detalle 2.0TD'!D1793</f>
        <v>RECHAZAR</v>
      </c>
      <c r="G117" s="86" t="n">
        <v>1</v>
      </c>
      <c r="H117" s="87" t="n">
        <v>0.61</v>
      </c>
      <c r="I117" s="88" t="str">
        <f aca="false">IF('Detalle 2.0TD'!B1793="","Falta PC real",IF('Detalle 2.0TD'!B1793&gt;=0.3,"OK · registrar",IF('Detalle 2.0TD'!B1793&gt;=0.2,"Revisar margen","Revisar PC/PV")))</f>
        <v>Revisar PC/PV</v>
      </c>
      <c r="K117" s="0" t="n">
        <f aca="false">'Detalle 2.0TD'!AD1793</f>
        <v>-0.00149999999999961</v>
      </c>
    </row>
    <row r="118" customFormat="false" ht="15" hidden="false" customHeight="false" outlineLevel="0" collapsed="false">
      <c r="A118" s="82" t="n">
        <v>8707</v>
      </c>
      <c r="B118" s="82" t="s">
        <v>565</v>
      </c>
      <c r="C118" s="83" t="s">
        <v>566</v>
      </c>
      <c r="D118" s="82" t="s">
        <v>30</v>
      </c>
      <c r="E118" s="84" t="n">
        <f aca="false">'Detalle 2.0TD'!B1807</f>
        <v>0.113183861732548</v>
      </c>
      <c r="F118" s="85" t="str">
        <f aca="false">'Detalle 2.0TD'!D1807</f>
        <v>RECHAZAR</v>
      </c>
      <c r="G118" s="86" t="n">
        <v>1</v>
      </c>
      <c r="H118" s="87" t="n">
        <v>0.65</v>
      </c>
      <c r="I118" s="88" t="str">
        <f aca="false">IF('Detalle 2.0TD'!B1807="","Falta PC real",IF('Detalle 2.0TD'!B1807&gt;=0.3,"OK · registrar",IF('Detalle 2.0TD'!B1807&gt;=0.2,"Revisar margen","Revisar PC/PV")))</f>
        <v>Revisar PC/PV</v>
      </c>
      <c r="K118" s="0" t="n">
        <f aca="false">'Detalle 2.0TD'!AD1807</f>
        <v>-0.00199999999999889</v>
      </c>
    </row>
    <row r="119" customFormat="false" ht="15" hidden="false" customHeight="false" outlineLevel="0" collapsed="false">
      <c r="A119" s="82" t="n">
        <v>8708</v>
      </c>
      <c r="B119" s="82" t="s">
        <v>567</v>
      </c>
      <c r="C119" s="83" t="s">
        <v>568</v>
      </c>
      <c r="D119" s="82" t="s">
        <v>30</v>
      </c>
      <c r="E119" s="84" t="n">
        <f aca="false">'Detalle 2.0TD'!B1821</f>
        <v>-0.0877121302263493</v>
      </c>
      <c r="F119" s="85" t="str">
        <f aca="false">'Detalle 2.0TD'!D1821</f>
        <v>RECHAZAR</v>
      </c>
      <c r="G119" s="86" t="n">
        <v>1</v>
      </c>
      <c r="H119" s="87" t="n">
        <v>0.57</v>
      </c>
      <c r="I119" s="88" t="str">
        <f aca="false">IF('Detalle 2.0TD'!B1821="","Falta PC real",IF('Detalle 2.0TD'!B1821&gt;=0.3,"OK · registrar",IF('Detalle 2.0TD'!B1821&gt;=0.2,"Revisar margen","Revisar PC/PV")))</f>
        <v>Revisar PC/PV</v>
      </c>
      <c r="K119" s="0" t="n">
        <f aca="false">'Detalle 2.0TD'!AD1821</f>
        <v>0.00129999999999342</v>
      </c>
    </row>
    <row r="120" customFormat="false" ht="15" hidden="false" customHeight="false" outlineLevel="0" collapsed="false">
      <c r="A120" s="82" t="n">
        <v>8709</v>
      </c>
      <c r="B120" s="82" t="s">
        <v>569</v>
      </c>
      <c r="C120" s="83" t="s">
        <v>570</v>
      </c>
      <c r="D120" s="82" t="s">
        <v>30</v>
      </c>
      <c r="E120" s="84" t="n">
        <f aca="false">'Detalle 2.0TD'!B1835</f>
        <v>0.149531369958391</v>
      </c>
      <c r="F120" s="85" t="str">
        <f aca="false">'Detalle 2.0TD'!D1835</f>
        <v>RECHAZAR</v>
      </c>
      <c r="G120" s="86" t="n">
        <v>1</v>
      </c>
      <c r="H120" s="87" t="n">
        <v>1.23</v>
      </c>
      <c r="I120" s="88" t="str">
        <f aca="false">IF('Detalle 2.0TD'!B1835="","Falta PC real",IF('Detalle 2.0TD'!B1835&gt;=0.3,"OK · registrar",IF('Detalle 2.0TD'!B1835&gt;=0.2,"Revisar margen","Revisar PC/PV")))</f>
        <v>Revisar PC/PV</v>
      </c>
      <c r="K120" s="0" t="n">
        <f aca="false">'Detalle 2.0TD'!AD1835</f>
        <v>0.00159999999999627</v>
      </c>
    </row>
    <row r="121" customFormat="false" ht="15" hidden="false" customHeight="false" outlineLevel="0" collapsed="false">
      <c r="A121" s="82" t="n">
        <v>8710</v>
      </c>
      <c r="B121" s="82" t="s">
        <v>571</v>
      </c>
      <c r="C121" s="83" t="s">
        <v>570</v>
      </c>
      <c r="D121" s="82" t="s">
        <v>30</v>
      </c>
      <c r="E121" s="84" t="n">
        <f aca="false">'Detalle 2.0TD'!B1849</f>
        <v>0.111901420533881</v>
      </c>
      <c r="F121" s="85" t="str">
        <f aca="false">'Detalle 2.0TD'!D1849</f>
        <v>RECHAZAR</v>
      </c>
      <c r="G121" s="86" t="n">
        <v>1</v>
      </c>
      <c r="H121" s="87" t="n">
        <v>1</v>
      </c>
      <c r="I121" s="88" t="str">
        <f aca="false">IF('Detalle 2.0TD'!B1849="","Falta PC real",IF('Detalle 2.0TD'!B1849&gt;=0.3,"OK · registrar",IF('Detalle 2.0TD'!B1849&gt;=0.2,"Revisar margen","Revisar PC/PV")))</f>
        <v>Revisar PC/PV</v>
      </c>
      <c r="K121" s="0" t="n">
        <f aca="false">'Detalle 2.0TD'!AD1849</f>
        <v>-0.00200000000000244</v>
      </c>
    </row>
    <row r="122" customFormat="false" ht="15" hidden="false" customHeight="false" outlineLevel="0" collapsed="false">
      <c r="A122" s="82" t="n">
        <v>8711</v>
      </c>
      <c r="B122" s="82" t="s">
        <v>403</v>
      </c>
      <c r="C122" s="83" t="s">
        <v>404</v>
      </c>
      <c r="D122" s="82" t="s">
        <v>30</v>
      </c>
      <c r="E122" s="84" t="n">
        <f aca="false">'Detalle 2.0TD'!B1863</f>
        <v>0.0984627675844805</v>
      </c>
      <c r="F122" s="85" t="str">
        <f aca="false">'Detalle 2.0TD'!D1863</f>
        <v>RECHAZAR</v>
      </c>
      <c r="G122" s="86" t="n">
        <v>1</v>
      </c>
      <c r="H122" s="87" t="n">
        <v>0.86</v>
      </c>
      <c r="I122" s="88" t="str">
        <f aca="false">IF('Detalle 2.0TD'!B1863="","Falta PC real",IF('Detalle 2.0TD'!B1863&gt;=0.3,"OK · registrar",IF('Detalle 2.0TD'!B1863&gt;=0.2,"Revisar margen","Revisar PC/PV")))</f>
        <v>Revisar PC/PV</v>
      </c>
      <c r="K122" s="0" t="n">
        <f aca="false">'Detalle 2.0TD'!AD1863</f>
        <v>0.00139999999999674</v>
      </c>
    </row>
    <row r="123" customFormat="false" ht="15" hidden="false" customHeight="false" outlineLevel="0" collapsed="false">
      <c r="A123" s="82" t="n">
        <v>8712</v>
      </c>
      <c r="B123" s="82" t="s">
        <v>572</v>
      </c>
      <c r="C123" s="83" t="s">
        <v>573</v>
      </c>
      <c r="D123" s="82" t="s">
        <v>30</v>
      </c>
      <c r="E123" s="84" t="n">
        <f aca="false">'Detalle 2.0TD'!B1877</f>
        <v>0.129074312920665</v>
      </c>
      <c r="F123" s="85" t="str">
        <f aca="false">'Detalle 2.0TD'!D1877</f>
        <v>RECHAZAR</v>
      </c>
      <c r="G123" s="86" t="n">
        <v>1</v>
      </c>
      <c r="H123" s="87" t="n">
        <v>1.39</v>
      </c>
      <c r="I123" s="88" t="str">
        <f aca="false">IF('Detalle 2.0TD'!B1877="","Falta PC real",IF('Detalle 2.0TD'!B1877&gt;=0.3,"OK · registrar",IF('Detalle 2.0TD'!B1877&gt;=0.2,"Revisar margen","Revisar PC/PV")))</f>
        <v>Revisar PC/PV</v>
      </c>
      <c r="K123" s="0" t="n">
        <f aca="false">'Detalle 2.0TD'!AD1877</f>
        <v>-0.00389999999999446</v>
      </c>
    </row>
    <row r="124" customFormat="false" ht="15" hidden="false" customHeight="false" outlineLevel="0" collapsed="false">
      <c r="A124" s="82" t="n">
        <v>8714</v>
      </c>
      <c r="B124" s="82" t="s">
        <v>574</v>
      </c>
      <c r="C124" s="83" t="s">
        <v>575</v>
      </c>
      <c r="D124" s="82" t="s">
        <v>30</v>
      </c>
      <c r="E124" s="84" t="n">
        <f aca="false">'Detalle 2.0TD'!B1891</f>
        <v>0.11655173867011</v>
      </c>
      <c r="F124" s="85" t="str">
        <f aca="false">'Detalle 2.0TD'!D1891</f>
        <v>RECHAZAR</v>
      </c>
      <c r="G124" s="86" t="n">
        <v>1</v>
      </c>
      <c r="H124" s="87" t="n">
        <v>1.21</v>
      </c>
      <c r="I124" s="88" t="str">
        <f aca="false">IF('Detalle 2.0TD'!B1891="","Falta PC real",IF('Detalle 2.0TD'!B1891&gt;=0.3,"OK · registrar",IF('Detalle 2.0TD'!B1891&gt;=0.2,"Revisar margen","Revisar PC/PV")))</f>
        <v>Revisar PC/PV</v>
      </c>
      <c r="K124" s="0" t="n">
        <f aca="false">'Detalle 2.0TD'!AD1891</f>
        <v>-0.00179999999999581</v>
      </c>
    </row>
    <row r="125" customFormat="false" ht="15" hidden="false" customHeight="false" outlineLevel="0" collapsed="false">
      <c r="A125" s="82" t="n">
        <v>8715</v>
      </c>
      <c r="B125" s="82" t="s">
        <v>576</v>
      </c>
      <c r="C125" s="83" t="s">
        <v>577</v>
      </c>
      <c r="D125" s="82" t="s">
        <v>30</v>
      </c>
      <c r="E125" s="84" t="n">
        <f aca="false">'Detalle 2.0TD'!B1905</f>
        <v>0.0853203129422941</v>
      </c>
      <c r="F125" s="85" t="str">
        <f aca="false">'Detalle 2.0TD'!D1905</f>
        <v>RECHAZAR</v>
      </c>
      <c r="G125" s="86" t="n">
        <v>1</v>
      </c>
      <c r="H125" s="87" t="n">
        <v>1.11</v>
      </c>
      <c r="I125" s="88" t="str">
        <f aca="false">IF('Detalle 2.0TD'!B1905="","Falta PC real",IF('Detalle 2.0TD'!B1905&gt;=0.3,"OK · registrar",IF('Detalle 2.0TD'!B1905&gt;=0.2,"Revisar margen","Revisar PC/PV")))</f>
        <v>Revisar PC/PV</v>
      </c>
      <c r="K125" s="0" t="n">
        <f aca="false">'Detalle 2.0TD'!AD1905</f>
        <v>0.00370000000000026</v>
      </c>
    </row>
    <row r="126" customFormat="false" ht="15" hidden="false" customHeight="false" outlineLevel="0" collapsed="false">
      <c r="A126" s="82" t="n">
        <v>8716</v>
      </c>
      <c r="B126" s="82" t="s">
        <v>578</v>
      </c>
      <c r="C126" s="83" t="s">
        <v>579</v>
      </c>
      <c r="D126" s="82" t="s">
        <v>30</v>
      </c>
      <c r="E126" s="84" t="n">
        <f aca="false">'Detalle 2.0TD'!B1919</f>
        <v>0.136350886403838</v>
      </c>
      <c r="F126" s="85" t="str">
        <f aca="false">'Detalle 2.0TD'!D1919</f>
        <v>RECHAZAR</v>
      </c>
      <c r="G126" s="86" t="n">
        <v>1</v>
      </c>
      <c r="H126" s="87" t="n">
        <v>0.92</v>
      </c>
      <c r="I126" s="88" t="str">
        <f aca="false">IF('Detalle 2.0TD'!B1919="","Falta PC real",IF('Detalle 2.0TD'!B1919&gt;=0.3,"OK · registrar",IF('Detalle 2.0TD'!B1919&gt;=0.2,"Revisar margen","Revisar PC/PV")))</f>
        <v>Revisar PC/PV</v>
      </c>
      <c r="K126" s="0" t="n">
        <f aca="false">'Detalle 2.0TD'!AD1919</f>
        <v>-0.00180000000000291</v>
      </c>
    </row>
    <row r="127" customFormat="false" ht="15" hidden="false" customHeight="false" outlineLevel="0" collapsed="false">
      <c r="A127" s="82" t="n">
        <v>8717</v>
      </c>
      <c r="B127" s="82" t="s">
        <v>580</v>
      </c>
      <c r="C127" s="83" t="s">
        <v>581</v>
      </c>
      <c r="D127" s="82" t="s">
        <v>30</v>
      </c>
      <c r="E127" s="84" t="n">
        <f aca="false">'Detalle 2.0TD'!B1933</f>
        <v>0.0879195656111465</v>
      </c>
      <c r="F127" s="85" t="str">
        <f aca="false">'Detalle 2.0TD'!D1933</f>
        <v>RECHAZAR</v>
      </c>
      <c r="G127" s="86" t="n">
        <v>1</v>
      </c>
      <c r="H127" s="87" t="n">
        <v>0.21</v>
      </c>
      <c r="I127" s="88" t="str">
        <f aca="false">IF('Detalle 2.0TD'!B1933="","Falta PC real",IF('Detalle 2.0TD'!B1933&gt;=0.3,"OK · registrar",IF('Detalle 2.0TD'!B1933&gt;=0.2,"Revisar margen","Revisar PC/PV")))</f>
        <v>Revisar PC/PV</v>
      </c>
      <c r="K127" s="0" t="n">
        <f aca="false">'Detalle 2.0TD'!AD1933</f>
        <v>0.00210000000000221</v>
      </c>
    </row>
    <row r="128" customFormat="false" ht="15" hidden="false" customHeight="false" outlineLevel="0" collapsed="false">
      <c r="A128" s="82" t="n">
        <v>8718</v>
      </c>
      <c r="B128" s="82" t="s">
        <v>582</v>
      </c>
      <c r="C128" s="83" t="s">
        <v>583</v>
      </c>
      <c r="D128" s="82" t="s">
        <v>30</v>
      </c>
      <c r="E128" s="84" t="n">
        <f aca="false">'Detalle 2.0TD'!B1947</f>
        <v>0.126435997610682</v>
      </c>
      <c r="F128" s="85" t="str">
        <f aca="false">'Detalle 2.0TD'!D1947</f>
        <v>RECHAZAR</v>
      </c>
      <c r="G128" s="86" t="n">
        <v>1</v>
      </c>
      <c r="H128" s="87" t="n">
        <v>0.7</v>
      </c>
      <c r="I128" s="88" t="str">
        <f aca="false">IF('Detalle 2.0TD'!B1947="","Falta PC real",IF('Detalle 2.0TD'!B1947&gt;=0.3,"OK · registrar",IF('Detalle 2.0TD'!B1947&gt;=0.2,"Revisar margen","Revisar PC/PV")))</f>
        <v>Revisar PC/PV</v>
      </c>
      <c r="K128" s="0" t="n">
        <f aca="false">'Detalle 2.0TD'!AD1947</f>
        <v>-0.00140000000000029</v>
      </c>
    </row>
    <row r="129" customFormat="false" ht="15" hidden="false" customHeight="false" outlineLevel="0" collapsed="false">
      <c r="A129" s="82" t="n">
        <v>8719</v>
      </c>
      <c r="B129" s="82" t="s">
        <v>584</v>
      </c>
      <c r="C129" s="83" t="s">
        <v>585</v>
      </c>
      <c r="D129" s="82" t="s">
        <v>30</v>
      </c>
      <c r="E129" s="84" t="n">
        <f aca="false">'Detalle 2.0TD'!B1961</f>
        <v>0.116299191209723</v>
      </c>
      <c r="F129" s="85" t="str">
        <f aca="false">'Detalle 2.0TD'!D1961</f>
        <v>RECHAZAR</v>
      </c>
      <c r="G129" s="86" t="n">
        <v>1</v>
      </c>
      <c r="H129" s="87" t="n">
        <v>0.48</v>
      </c>
      <c r="I129" s="88" t="str">
        <f aca="false">IF('Detalle 2.0TD'!B1961="","Falta PC real",IF('Detalle 2.0TD'!B1961&gt;=0.3,"OK · registrar",IF('Detalle 2.0TD'!B1961&gt;=0.2,"Revisar margen","Revisar PC/PV")))</f>
        <v>Revisar PC/PV</v>
      </c>
      <c r="K129" s="0" t="n">
        <f aca="false">'Detalle 2.0TD'!AD1961</f>
        <v>0.00190000000000268</v>
      </c>
    </row>
    <row r="130" customFormat="false" ht="15" hidden="false" customHeight="false" outlineLevel="0" collapsed="false">
      <c r="A130" s="82" t="n">
        <v>8720</v>
      </c>
      <c r="B130" s="82" t="s">
        <v>586</v>
      </c>
      <c r="C130" s="83" t="s">
        <v>587</v>
      </c>
      <c r="D130" s="82" t="s">
        <v>30</v>
      </c>
      <c r="E130" s="84" t="n">
        <f aca="false">'Detalle 2.0TD'!B1975</f>
        <v>0.115060465752129</v>
      </c>
      <c r="F130" s="85" t="str">
        <f aca="false">'Detalle 2.0TD'!D1975</f>
        <v>RECHAZAR</v>
      </c>
      <c r="G130" s="86" t="n">
        <v>1</v>
      </c>
      <c r="H130" s="87" t="n">
        <v>0.48</v>
      </c>
      <c r="I130" s="88" t="str">
        <f aca="false">IF('Detalle 2.0TD'!B1975="","Falta PC real",IF('Detalle 2.0TD'!B1975&gt;=0.3,"OK · registrar",IF('Detalle 2.0TD'!B1975&gt;=0.2,"Revisar margen","Revisar PC/PV")))</f>
        <v>Revisar PC/PV</v>
      </c>
      <c r="K130" s="0" t="n">
        <f aca="false">'Detalle 2.0TD'!AD1975</f>
        <v>0.00269999999999726</v>
      </c>
    </row>
    <row r="131" customFormat="false" ht="15" hidden="false" customHeight="false" outlineLevel="0" collapsed="false">
      <c r="A131" s="82" t="n">
        <v>8721</v>
      </c>
      <c r="B131" s="82" t="s">
        <v>588</v>
      </c>
      <c r="C131" s="83"/>
      <c r="D131" s="82" t="s">
        <v>30</v>
      </c>
      <c r="E131" s="84" t="n">
        <f aca="false">'Detalle 2.0TD'!B1989</f>
        <v>1</v>
      </c>
      <c r="F131" s="85" t="str">
        <f aca="false">'Detalle 2.0TD'!D1989</f>
        <v>APROBAR</v>
      </c>
      <c r="G131" s="86" t="n">
        <v>1</v>
      </c>
      <c r="H131" s="87" t="n">
        <v>1.16</v>
      </c>
      <c r="I131" s="88" t="str">
        <f aca="false">IF('Detalle 2.0TD'!B1989="","Falta PC real",IF('Detalle 2.0TD'!B1989&gt;=0.3,"OK · registrar",IF('Detalle 2.0TD'!B1989&gt;=0.2,"Revisar margen","Revisar PC/PV")))</f>
        <v>OK · registrar</v>
      </c>
      <c r="K131" s="0" t="n">
        <f aca="false">'Detalle 2.0TD'!AD1989</f>
        <v>-0.00450000000000017</v>
      </c>
    </row>
    <row r="132" customFormat="false" ht="15" hidden="false" customHeight="false" outlineLevel="0" collapsed="false">
      <c r="A132" s="82" t="n">
        <v>8722</v>
      </c>
      <c r="B132" s="82" t="s">
        <v>589</v>
      </c>
      <c r="C132" s="83" t="s">
        <v>590</v>
      </c>
      <c r="D132" s="82" t="s">
        <v>30</v>
      </c>
      <c r="E132" s="84" t="n">
        <f aca="false">'Detalle 2.0TD'!B2003</f>
        <v>0.102873086135413</v>
      </c>
      <c r="F132" s="85" t="str">
        <f aca="false">'Detalle 2.0TD'!D2003</f>
        <v>RECHAZAR</v>
      </c>
      <c r="G132" s="86" t="n">
        <v>1</v>
      </c>
      <c r="H132" s="87" t="n">
        <v>0.67</v>
      </c>
      <c r="I132" s="88" t="str">
        <f aca="false">IF('Detalle 2.0TD'!B2003="","Falta PC real",IF('Detalle 2.0TD'!B2003&gt;=0.3,"OK · registrar",IF('Detalle 2.0TD'!B2003&gt;=0.2,"Revisar margen","Revisar PC/PV")))</f>
        <v>Revisar PC/PV</v>
      </c>
      <c r="K132" s="0" t="n">
        <f aca="false">'Detalle 2.0TD'!AD2003</f>
        <v>0.00379999999999825</v>
      </c>
    </row>
    <row r="133" customFormat="false" ht="15" hidden="false" customHeight="false" outlineLevel="0" collapsed="false">
      <c r="A133" s="82" t="n">
        <v>8723</v>
      </c>
      <c r="B133" s="82" t="s">
        <v>591</v>
      </c>
      <c r="C133" s="83" t="s">
        <v>592</v>
      </c>
      <c r="D133" s="82" t="s">
        <v>30</v>
      </c>
      <c r="E133" s="84" t="n">
        <f aca="false">'Detalle 2.0TD'!B2017</f>
        <v>0.106451932651578</v>
      </c>
      <c r="F133" s="85" t="str">
        <f aca="false">'Detalle 2.0TD'!D2017</f>
        <v>RECHAZAR</v>
      </c>
      <c r="G133" s="86" t="n">
        <v>1</v>
      </c>
      <c r="H133" s="87" t="n">
        <v>0.68</v>
      </c>
      <c r="I133" s="88" t="str">
        <f aca="false">IF('Detalle 2.0TD'!B2017="","Falta PC real",IF('Detalle 2.0TD'!B2017&gt;=0.3,"OK · registrar",IF('Detalle 2.0TD'!B2017&gt;=0.2,"Revisar margen","Revisar PC/PV")))</f>
        <v>Revisar PC/PV</v>
      </c>
      <c r="K133" s="0" t="n">
        <f aca="false">'Detalle 2.0TD'!AD2017</f>
        <v>-0.00540000000000163</v>
      </c>
    </row>
    <row r="134" customFormat="false" ht="15" hidden="false" customHeight="false" outlineLevel="0" collapsed="false">
      <c r="A134" s="82" t="n">
        <v>8724</v>
      </c>
      <c r="B134" s="82" t="s">
        <v>593</v>
      </c>
      <c r="C134" s="83" t="s">
        <v>594</v>
      </c>
      <c r="D134" s="82" t="s">
        <v>30</v>
      </c>
      <c r="E134" s="84" t="n">
        <f aca="false">'Detalle 2.0TD'!B2031</f>
        <v>0.0605936175788495</v>
      </c>
      <c r="F134" s="85" t="str">
        <f aca="false">'Detalle 2.0TD'!D2031</f>
        <v>RECHAZAR</v>
      </c>
      <c r="G134" s="86" t="n">
        <v>1</v>
      </c>
      <c r="H134" s="87" t="n">
        <v>0.65</v>
      </c>
      <c r="I134" s="88" t="str">
        <f aca="false">IF('Detalle 2.0TD'!B2031="","Falta PC real",IF('Detalle 2.0TD'!B2031&gt;=0.3,"OK · registrar",IF('Detalle 2.0TD'!B2031&gt;=0.2,"Revisar margen","Revisar PC/PV")))</f>
        <v>Revisar PC/PV</v>
      </c>
      <c r="K134" s="0" t="n">
        <f aca="false">'Detalle 2.0TD'!AD2031</f>
        <v>0.00100000000000033</v>
      </c>
    </row>
    <row r="135" customFormat="false" ht="15" hidden="false" customHeight="false" outlineLevel="0" collapsed="false">
      <c r="A135" s="82" t="n">
        <v>8725</v>
      </c>
      <c r="B135" s="82" t="s">
        <v>595</v>
      </c>
      <c r="C135" s="83" t="s">
        <v>596</v>
      </c>
      <c r="D135" s="82" t="s">
        <v>30</v>
      </c>
      <c r="E135" s="84" t="n">
        <f aca="false">'Detalle 2.0TD'!B2045</f>
        <v>0.098800458506018</v>
      </c>
      <c r="F135" s="85" t="str">
        <f aca="false">'Detalle 2.0TD'!D2045</f>
        <v>RECHAZAR</v>
      </c>
      <c r="G135" s="86" t="n">
        <v>1</v>
      </c>
      <c r="H135" s="87" t="n">
        <v>0.41</v>
      </c>
      <c r="I135" s="88" t="str">
        <f aca="false">IF('Detalle 2.0TD'!B2045="","Falta PC real",IF('Detalle 2.0TD'!B2045&gt;=0.3,"OK · registrar",IF('Detalle 2.0TD'!B2045&gt;=0.2,"Revisar margen","Revisar PC/PV")))</f>
        <v>Revisar PC/PV</v>
      </c>
      <c r="K135" s="0" t="n">
        <f aca="false">'Detalle 2.0TD'!AD2045</f>
        <v>0.00159999999999627</v>
      </c>
    </row>
    <row r="136" customFormat="false" ht="15" hidden="false" customHeight="false" outlineLevel="0" collapsed="false">
      <c r="A136" s="82" t="n">
        <v>8726</v>
      </c>
      <c r="B136" s="82" t="s">
        <v>597</v>
      </c>
      <c r="C136" s="83" t="s">
        <v>598</v>
      </c>
      <c r="D136" s="82" t="s">
        <v>30</v>
      </c>
      <c r="E136" s="84" t="n">
        <f aca="false">'Detalle 2.0TD'!B2059</f>
        <v>0.0269192465889546</v>
      </c>
      <c r="F136" s="85" t="str">
        <f aca="false">'Detalle 2.0TD'!D2059</f>
        <v>RECHAZAR</v>
      </c>
      <c r="G136" s="86" t="n">
        <v>1</v>
      </c>
      <c r="H136" s="87" t="n">
        <v>0.54</v>
      </c>
      <c r="I136" s="88" t="str">
        <f aca="false">IF('Detalle 2.0TD'!B2059="","Falta PC real",IF('Detalle 2.0TD'!B2059&gt;=0.3,"OK · registrar",IF('Detalle 2.0TD'!B2059&gt;=0.2,"Revisar margen","Revisar PC/PV")))</f>
        <v>Revisar PC/PV</v>
      </c>
      <c r="K136" s="0" t="n">
        <f aca="false">'Detalle 2.0TD'!AD2059</f>
        <v>-0.011099999999999</v>
      </c>
    </row>
    <row r="137" customFormat="false" ht="15" hidden="false" customHeight="false" outlineLevel="0" collapsed="false">
      <c r="A137" s="82" t="n">
        <v>8727</v>
      </c>
      <c r="B137" s="82" t="s">
        <v>599</v>
      </c>
      <c r="C137" s="83" t="s">
        <v>600</v>
      </c>
      <c r="D137" s="82" t="s">
        <v>30</v>
      </c>
      <c r="E137" s="84" t="n">
        <f aca="false">'Detalle 2.0TD'!B2073</f>
        <v>-0.288828090858093</v>
      </c>
      <c r="F137" s="85" t="str">
        <f aca="false">'Detalle 2.0TD'!D2073</f>
        <v>RECHAZAR</v>
      </c>
      <c r="G137" s="86" t="n">
        <v>1</v>
      </c>
      <c r="H137" s="87" t="n">
        <v>0.3</v>
      </c>
      <c r="I137" s="88" t="str">
        <f aca="false">IF('Detalle 2.0TD'!B2073="","Falta PC real",IF('Detalle 2.0TD'!B2073&gt;=0.3,"OK · registrar",IF('Detalle 2.0TD'!B2073&gt;=0.2,"Revisar margen","Revisar PC/PV")))</f>
        <v>Revisar PC/PV</v>
      </c>
      <c r="K137" s="0" t="n">
        <f aca="false">'Detalle 2.0TD'!AD2073</f>
        <v>0.00379999999999825</v>
      </c>
    </row>
    <row r="138" customFormat="false" ht="15" hidden="false" customHeight="false" outlineLevel="0" collapsed="false">
      <c r="A138" s="82" t="n">
        <v>8728</v>
      </c>
      <c r="B138" s="82" t="s">
        <v>601</v>
      </c>
      <c r="C138" s="83"/>
      <c r="D138" s="82" t="s">
        <v>30</v>
      </c>
      <c r="E138" s="84" t="n">
        <f aca="false">'Detalle 2.0TD'!B2087</f>
        <v>1</v>
      </c>
      <c r="F138" s="85" t="str">
        <f aca="false">'Detalle 2.0TD'!D2087</f>
        <v>APROBAR</v>
      </c>
      <c r="G138" s="83"/>
      <c r="H138" s="83"/>
      <c r="I138" s="88" t="str">
        <f aca="false">IF('Detalle 2.0TD'!B2087="","Falta PC real",IF('Detalle 2.0TD'!B2087&gt;=0.3,"OK · registrar",IF('Detalle 2.0TD'!B2087&gt;=0.2,"Revisar margen","Revisar PC/PV")))</f>
        <v>OK · registrar</v>
      </c>
      <c r="K138" s="0" t="n">
        <f aca="false">'Detalle 2.0TD'!AD2087</f>
        <v>0</v>
      </c>
    </row>
    <row r="139" customFormat="false" ht="15" hidden="false" customHeight="false" outlineLevel="0" collapsed="false">
      <c r="A139" s="82" t="n">
        <v>8729</v>
      </c>
      <c r="B139" s="82" t="s">
        <v>602</v>
      </c>
      <c r="C139" s="83" t="s">
        <v>603</v>
      </c>
      <c r="D139" s="82" t="s">
        <v>30</v>
      </c>
      <c r="E139" s="84" t="n">
        <f aca="false">'Detalle 2.0TD'!B2101</f>
        <v>0.106413202119425</v>
      </c>
      <c r="F139" s="85" t="str">
        <f aca="false">'Detalle 2.0TD'!D2101</f>
        <v>RECHAZAR</v>
      </c>
      <c r="G139" s="86" t="n">
        <v>1</v>
      </c>
      <c r="H139" s="87" t="n">
        <v>0.69</v>
      </c>
      <c r="I139" s="88" t="str">
        <f aca="false">IF('Detalle 2.0TD'!B2101="","Falta PC real",IF('Detalle 2.0TD'!B2101&gt;=0.3,"OK · registrar",IF('Detalle 2.0TD'!B2101&gt;=0.2,"Revisar margen","Revisar PC/PV")))</f>
        <v>Revisar PC/PV</v>
      </c>
      <c r="K139" s="0" t="n">
        <f aca="false">'Detalle 2.0TD'!AD2101</f>
        <v>0.00220000000000198</v>
      </c>
    </row>
    <row r="140" customFormat="false" ht="15" hidden="false" customHeight="false" outlineLevel="0" collapsed="false">
      <c r="A140" s="82" t="n">
        <v>8730</v>
      </c>
      <c r="B140" s="82" t="s">
        <v>604</v>
      </c>
      <c r="C140" s="83" t="s">
        <v>531</v>
      </c>
      <c r="D140" s="82" t="s">
        <v>30</v>
      </c>
      <c r="E140" s="84" t="n">
        <f aca="false">'Detalle 2.0TD'!B2115</f>
        <v>0.17395845498991</v>
      </c>
      <c r="F140" s="85" t="str">
        <f aca="false">'Detalle 2.0TD'!D2115</f>
        <v>RECHAZAR</v>
      </c>
      <c r="G140" s="86" t="n">
        <v>0.2414</v>
      </c>
      <c r="H140" s="87" t="n">
        <v>17622.2</v>
      </c>
      <c r="I140" s="88" t="str">
        <f aca="false">IF('Detalle 2.0TD'!B2115="","Falta PC real",IF('Detalle 2.0TD'!B2115&gt;=0.3,"OK · registrar",IF('Detalle 2.0TD'!B2115&gt;=0.2,"Revisar margen","Revisar PC/PV")))</f>
        <v>Revisar PC/PV</v>
      </c>
      <c r="K140" s="0" t="n">
        <f aca="false">'Detalle 2.0TD'!AD2115</f>
        <v>-0.00229999999999109</v>
      </c>
    </row>
  </sheetData>
  <mergeCells count="4">
    <mergeCell ref="A1:I1"/>
    <mergeCell ref="A2:I2"/>
    <mergeCell ref="A3:C3"/>
    <mergeCell ref="H3:I3"/>
  </mergeCells>
  <conditionalFormatting sqref="D3">
    <cfRule type="cellIs" priority="2" operator="equal" aboveAverage="0" equalAverage="0" bottom="0" percent="0" rank="0" text="" dxfId="3">
      <formula>"OPTIMIZAR"</formula>
    </cfRule>
  </conditionalFormatting>
  <conditionalFormatting sqref="F5:F140">
    <cfRule type="cellIs" priority="3" operator="equal" aboveAverage="0" equalAverage="0" bottom="0" percent="0" rank="0" text="" dxfId="3">
      <formula>"APROBAR"</formula>
    </cfRule>
    <cfRule type="cellIs" priority="4" operator="equal" aboveAverage="0" equalAverage="0" bottom="0" percent="0" rank="0" text="" dxfId="4">
      <formula>"REVISAR"</formula>
    </cfRule>
    <cfRule type="cellIs" priority="5" operator="equal" aboveAverage="0" equalAverage="0" bottom="0" percent="0" rank="0" text="" dxfId="5">
      <formula>"RECHAZAR"</formula>
    </cfRule>
  </conditionalFormatting>
  <dataValidations count="1">
    <dataValidation allowBlank="false" errorStyle="stop" operator="between" showDropDown="false" showErrorMessage="false" showInputMessage="false" sqref="D3" type="list">
      <formula1>"INICIAL,OPTIMIZAR"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2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.51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.51"/>
    <col collapsed="false" customWidth="true" hidden="false" outlineLevel="0" max="12" min="12" style="0" width="9"/>
    <col collapsed="false" customWidth="true" hidden="false" outlineLevel="0" max="13" min="13" style="0" width="3"/>
    <col collapsed="false" customWidth="true" hidden="false" outlineLevel="0" max="14" min="14" style="0" width="9"/>
    <col collapsed="false" customWidth="true" hidden="false" outlineLevel="0" max="15" min="15" style="0" width="20"/>
    <col collapsed="false" customWidth="true" hidden="false" outlineLevel="0" max="16" min="16" style="0" width="9"/>
    <col collapsed="false" customWidth="true" hidden="false" outlineLevel="0" max="17" min="17" style="0" width="1.51"/>
    <col collapsed="false" customWidth="true" hidden="false" outlineLevel="0" max="18" min="18" style="0" width="26"/>
    <col collapsed="false" customWidth="true" hidden="true" outlineLevel="0" max="28" min="27" style="0" width="13"/>
    <col collapsed="false" customWidth="true" hidden="true" outlineLevel="0" max="30" min="30" style="0" width="13"/>
  </cols>
  <sheetData>
    <row r="1" customFormat="false" ht="15" hidden="false" customHeight="false" outlineLevel="0" collapsed="false">
      <c r="A1" s="89" t="s">
        <v>605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3" customFormat="false" ht="15" hidden="false" customHeight="false" outlineLevel="0" collapsed="false">
      <c r="A3" s="89" t="s">
        <v>606</v>
      </c>
      <c r="B3" s="89"/>
      <c r="C3" s="89"/>
      <c r="D3" s="89"/>
      <c r="E3" s="89"/>
      <c r="F3" s="89"/>
      <c r="H3" s="89" t="s">
        <v>607</v>
      </c>
      <c r="I3" s="89"/>
      <c r="J3" s="89"/>
      <c r="K3" s="89"/>
      <c r="L3" s="90" t="n">
        <v>46113</v>
      </c>
      <c r="M3" s="91" t="s">
        <v>608</v>
      </c>
      <c r="N3" s="90" t="n">
        <v>46142</v>
      </c>
      <c r="R3" s="92" t="s">
        <v>110</v>
      </c>
      <c r="S3" s="92"/>
      <c r="T3" s="92"/>
      <c r="U3" s="92"/>
      <c r="V3" s="92"/>
    </row>
    <row r="4" customFormat="false" ht="15" hidden="false" customHeight="false" outlineLevel="0" collapsed="false">
      <c r="A4" s="93" t="s">
        <v>111</v>
      </c>
      <c r="B4" s="94" t="s">
        <v>112</v>
      </c>
      <c r="C4" s="95"/>
      <c r="D4" s="95"/>
      <c r="E4" s="95"/>
      <c r="F4" s="95"/>
      <c r="H4" s="96" t="s">
        <v>609</v>
      </c>
      <c r="I4" s="97"/>
      <c r="J4" s="97"/>
      <c r="L4" s="98" t="s">
        <v>610</v>
      </c>
      <c r="M4" s="99"/>
      <c r="N4" s="99"/>
      <c r="R4" s="100" t="s">
        <v>611</v>
      </c>
    </row>
    <row r="5" customFormat="false" ht="15" hidden="false" customHeight="false" outlineLevel="0" collapsed="false">
      <c r="B5" s="81" t="s">
        <v>116</v>
      </c>
      <c r="C5" s="81" t="s">
        <v>117</v>
      </c>
      <c r="D5" s="81" t="s">
        <v>118</v>
      </c>
      <c r="E5" s="81" t="s">
        <v>119</v>
      </c>
      <c r="F5" s="81" t="s">
        <v>120</v>
      </c>
      <c r="H5" s="101" t="s">
        <v>116</v>
      </c>
      <c r="I5" s="101" t="s">
        <v>119</v>
      </c>
      <c r="J5" s="101" t="s">
        <v>120</v>
      </c>
      <c r="L5" s="102" t="s">
        <v>116</v>
      </c>
      <c r="M5" s="102" t="s">
        <v>119</v>
      </c>
      <c r="N5" s="102" t="s">
        <v>120</v>
      </c>
      <c r="R5" s="103" t="s">
        <v>612</v>
      </c>
    </row>
    <row r="6" customFormat="false" ht="15" hidden="false" customHeight="false" outlineLevel="0" collapsed="false">
      <c r="A6" s="104" t="s">
        <v>122</v>
      </c>
      <c r="B6" s="105" t="n">
        <v>10.392</v>
      </c>
      <c r="C6" s="106" t="n">
        <f aca="false">$N$3-$L$3+1</f>
        <v>30</v>
      </c>
      <c r="D6" s="107" t="n">
        <v>3.68919</v>
      </c>
      <c r="E6" s="108" t="n">
        <v>4.82</v>
      </c>
      <c r="F6" s="109" t="n">
        <f aca="false">ROUND(B6*E6,2)</f>
        <v>50.09</v>
      </c>
      <c r="H6" s="110" t="n">
        <v>10.392</v>
      </c>
      <c r="I6" s="111" t="n">
        <v>4.82</v>
      </c>
      <c r="J6" s="112" t="n">
        <f aca="false">ROUND(H6*I6,2)</f>
        <v>50.09</v>
      </c>
      <c r="L6" s="113" t="n">
        <v>10.392</v>
      </c>
      <c r="M6" s="114" t="n">
        <v>4.82</v>
      </c>
      <c r="N6" s="115" t="n">
        <f aca="false">ROUND(L6*M6,2)</f>
        <v>50.09</v>
      </c>
      <c r="R6" s="116" t="s">
        <v>613</v>
      </c>
    </row>
    <row r="7" customFormat="false" ht="15" hidden="false" customHeight="false" outlineLevel="0" collapsed="false">
      <c r="A7" s="104" t="s">
        <v>124</v>
      </c>
      <c r="B7" s="105" t="n">
        <v>10.392</v>
      </c>
      <c r="C7" s="106" t="n">
        <f aca="false">$N$3-$L$3+1</f>
        <v>30</v>
      </c>
      <c r="D7" s="107" t="n">
        <v>1.31928</v>
      </c>
      <c r="E7" s="108" t="n">
        <v>2.37</v>
      </c>
      <c r="F7" s="109" t="n">
        <f aca="false">ROUND(B7*E7,2)</f>
        <v>24.63</v>
      </c>
      <c r="H7" s="110" t="n">
        <v>10.392</v>
      </c>
      <c r="I7" s="111" t="n">
        <v>2.37</v>
      </c>
      <c r="J7" s="112" t="n">
        <f aca="false">ROUND(H7*I7,2)</f>
        <v>24.63</v>
      </c>
      <c r="L7" s="113" t="n">
        <v>10.392</v>
      </c>
      <c r="M7" s="114" t="n">
        <v>2.37</v>
      </c>
      <c r="N7" s="115" t="n">
        <f aca="false">ROUND(L7*M7,2)</f>
        <v>24.63</v>
      </c>
      <c r="R7" s="117" t="s">
        <v>614</v>
      </c>
    </row>
    <row r="8" customFormat="false" ht="15" hidden="false" customHeight="false" outlineLevel="0" collapsed="false">
      <c r="A8" s="104" t="s">
        <v>615</v>
      </c>
      <c r="B8" s="105" t="n">
        <f aca="false">IF($P$8&lt;&gt;"",ROUND(AA8*(($AB$8/(1-$P$8))-74.7185)/113.0879,2),IF('Resumen 2.0TD'!$D$3="OPTIMIZAR",ROUND(MAX(AA8,MIN(AA8*(($AB$8/(1-'Resumen 2.0TD'!$F$3))-74.7185)/113.0879,AA8*(439.4393)/113.0879)),3),AA8))</f>
        <v>195.263</v>
      </c>
      <c r="C8" s="118"/>
      <c r="D8" s="107" t="n">
        <v>0.111171</v>
      </c>
      <c r="E8" s="108" t="n">
        <v>0.17</v>
      </c>
      <c r="F8" s="109" t="n">
        <f aca="false">ROUND(B8*E8,2)</f>
        <v>33.19</v>
      </c>
      <c r="H8" s="110" t="n">
        <v>477.269</v>
      </c>
      <c r="I8" s="111" t="n">
        <v>0.175</v>
      </c>
      <c r="J8" s="112" t="n">
        <f aca="false">ROUND(H8*I8,2)</f>
        <v>83.52</v>
      </c>
      <c r="L8" s="113" t="n">
        <v>95.263</v>
      </c>
      <c r="M8" s="114" t="n">
        <v>0.175</v>
      </c>
      <c r="N8" s="115" t="n">
        <f aca="false">ROUND(L8*M8,2)</f>
        <v>16.67</v>
      </c>
      <c r="O8" s="119" t="s">
        <v>616</v>
      </c>
      <c r="P8" s="79"/>
      <c r="R8" s="117" t="s">
        <v>617</v>
      </c>
      <c r="AA8" s="0" t="n">
        <v>195.263</v>
      </c>
      <c r="AB8" s="0" t="n">
        <f aca="false">B6*D6+B7*D7+AA8*D8+AA9*D9+AA10*D10</f>
        <v>126.001526373</v>
      </c>
    </row>
    <row r="9" customFormat="false" ht="15" hidden="false" customHeight="false" outlineLevel="0" collapsed="false">
      <c r="A9" s="104" t="s">
        <v>618</v>
      </c>
      <c r="B9" s="105" t="n">
        <f aca="false">IF($P$8&lt;&gt;"",ROUND(AA9*(($AB$8/(1-$P$8))-74.7185)/113.0879,2),IF('Resumen 2.0TD'!$D$3="OPTIMIZAR",ROUND(MAX(AA9,MIN(AA9*(($AB$8/(1-'Resumen 2.0TD'!$F$3))-74.7185)/113.0879,AA9*(439.4393)/113.0879)),3),AA9))</f>
        <v>199.672</v>
      </c>
      <c r="C9" s="118"/>
      <c r="D9" s="107" t="n">
        <v>0.111171</v>
      </c>
      <c r="E9" s="108" t="n">
        <v>0.17</v>
      </c>
      <c r="F9" s="109" t="n">
        <f aca="false">ROUND(B9*E9,2)</f>
        <v>33.94</v>
      </c>
      <c r="H9" s="110" t="n">
        <v>460.686</v>
      </c>
      <c r="I9" s="111" t="n">
        <v>0.175</v>
      </c>
      <c r="J9" s="112" t="n">
        <f aca="false">ROUND(H9*I9,2)</f>
        <v>80.62</v>
      </c>
      <c r="L9" s="113" t="n">
        <v>99.672</v>
      </c>
      <c r="M9" s="114" t="n">
        <v>0.175</v>
      </c>
      <c r="N9" s="115" t="n">
        <f aca="false">ROUND(L9*M9,2)</f>
        <v>17.44</v>
      </c>
      <c r="O9" s="120" t="s">
        <v>619</v>
      </c>
      <c r="R9" s="117" t="s">
        <v>620</v>
      </c>
      <c r="AA9" s="0" t="n">
        <v>199.672</v>
      </c>
    </row>
    <row r="10" customFormat="false" ht="15" hidden="false" customHeight="false" outlineLevel="0" collapsed="false">
      <c r="A10" s="104" t="s">
        <v>621</v>
      </c>
      <c r="B10" s="105" t="n">
        <f aca="false">IF($P$8&lt;&gt;"",ROUND(AA10*(($AB$8/(1-$P$8))-74.7185)/113.0879,2),IF('Resumen 2.0TD'!$D$3="OPTIMIZAR",ROUND(MAX(AA10,MIN(AA10*(($AB$8/(1-'Resumen 2.0TD'!$F$3))-74.7185)/113.0879,AA10*(439.4393)/113.0879)),3),AA10))</f>
        <v>270.288</v>
      </c>
      <c r="C10" s="118"/>
      <c r="D10" s="107" t="n">
        <v>0.111171</v>
      </c>
      <c r="E10" s="108" t="n">
        <v>0.17</v>
      </c>
      <c r="F10" s="109" t="n">
        <f aca="false">ROUND(B10*E10,2)</f>
        <v>45.95</v>
      </c>
      <c r="H10" s="110" t="n">
        <v>525.938</v>
      </c>
      <c r="I10" s="111" t="n">
        <v>0.175</v>
      </c>
      <c r="J10" s="112" t="n">
        <f aca="false">ROUND(H10*I10,2)</f>
        <v>92.04</v>
      </c>
      <c r="L10" s="113" t="n">
        <v>170.288</v>
      </c>
      <c r="M10" s="114" t="n">
        <v>0.175</v>
      </c>
      <c r="N10" s="115" t="n">
        <f aca="false">ROUND(L10*M10,2)</f>
        <v>29.8</v>
      </c>
      <c r="O10" s="120" t="s">
        <v>622</v>
      </c>
      <c r="AA10" s="0" t="n">
        <v>270.288</v>
      </c>
    </row>
    <row r="11" customFormat="false" ht="15" hidden="false" customHeight="false" outlineLevel="0" collapsed="false">
      <c r="A11" s="104" t="s">
        <v>139</v>
      </c>
      <c r="B11" s="105" t="n">
        <v>1</v>
      </c>
      <c r="C11" s="106" t="n">
        <f aca="false">$N$3-$L$3+1</f>
        <v>30</v>
      </c>
      <c r="D11" s="107" t="n">
        <v>1.3414</v>
      </c>
      <c r="E11" s="108" t="n">
        <v>1</v>
      </c>
      <c r="F11" s="109" t="n">
        <f aca="false">ROUND(B11*E11,2)</f>
        <v>1</v>
      </c>
      <c r="H11" s="110" t="n">
        <v>1</v>
      </c>
      <c r="I11" s="111" t="n">
        <v>1</v>
      </c>
      <c r="J11" s="112" t="n">
        <f aca="false">ROUND(H11*I11,2)</f>
        <v>1</v>
      </c>
      <c r="L11" s="113" t="n">
        <v>1</v>
      </c>
      <c r="M11" s="114" t="n">
        <v>1</v>
      </c>
      <c r="N11" s="115" t="n">
        <f aca="false">ROUND(L11*M11,2)</f>
        <v>1</v>
      </c>
    </row>
    <row r="12" customFormat="false" ht="15" hidden="false" customHeight="false" outlineLevel="0" collapsed="false">
      <c r="A12" s="104" t="s">
        <v>140</v>
      </c>
      <c r="B12" s="105" t="n">
        <v>30</v>
      </c>
      <c r="C12" s="106" t="n">
        <f aca="false">$N$3-$L$3+1</f>
        <v>30</v>
      </c>
      <c r="D12" s="107" t="n">
        <v>0.5736</v>
      </c>
      <c r="E12" s="108" t="n">
        <v>0.01274</v>
      </c>
      <c r="F12" s="109" t="n">
        <f aca="false">ROUND(B12*E12,2)</f>
        <v>0.38</v>
      </c>
      <c r="H12" s="110" t="n">
        <v>30</v>
      </c>
      <c r="I12" s="111" t="n">
        <v>0.01274</v>
      </c>
      <c r="J12" s="112" t="n">
        <f aca="false">ROUND(H12*I12,2)</f>
        <v>0.38</v>
      </c>
      <c r="L12" s="113" t="n">
        <v>30</v>
      </c>
      <c r="M12" s="114" t="n">
        <v>0.00685</v>
      </c>
      <c r="N12" s="115" t="n">
        <f aca="false">ROUND(L12*M12,2)</f>
        <v>0.21</v>
      </c>
    </row>
    <row r="13" customFormat="false" ht="15" hidden="false" customHeight="false" outlineLevel="0" collapsed="false">
      <c r="A13" s="104" t="s">
        <v>141</v>
      </c>
      <c r="B13" s="105" t="n">
        <v>10.03</v>
      </c>
      <c r="C13" s="118"/>
      <c r="D13" s="107" t="n">
        <v>0.27312</v>
      </c>
      <c r="E13" s="108" t="n">
        <v>1</v>
      </c>
      <c r="F13" s="109" t="n">
        <f aca="false">ROUND(B13*E13,2)</f>
        <v>10.03</v>
      </c>
      <c r="H13" s="110" t="n">
        <v>17.16</v>
      </c>
      <c r="I13" s="111" t="n">
        <v>1</v>
      </c>
      <c r="J13" s="112" t="n">
        <f aca="false">ROUND(H13*I13,2)</f>
        <v>17.16</v>
      </c>
      <c r="L13" s="113" t="n">
        <v>7.09</v>
      </c>
      <c r="M13" s="114" t="n">
        <v>1</v>
      </c>
      <c r="N13" s="115" t="n">
        <f aca="false">ROUND(L13*M13,2)</f>
        <v>7.09</v>
      </c>
    </row>
    <row r="14" customFormat="false" ht="15" hidden="false" customHeight="false" outlineLevel="0" collapsed="false">
      <c r="A14" s="121" t="s">
        <v>142</v>
      </c>
      <c r="F14" s="122" t="n">
        <f aca="false">ROUND((SUM(F6:F13)-F13)*1.1+F13,2)</f>
        <v>218.13</v>
      </c>
      <c r="J14" s="123" t="n">
        <f aca="false">ROUND(SUM(J6:J13),2)</f>
        <v>349.44</v>
      </c>
      <c r="N14" s="124" t="n">
        <f aca="false">ROUND(SUM(N6:N13),2)</f>
        <v>146.93</v>
      </c>
    </row>
    <row r="15" customFormat="false" ht="15" hidden="false" customHeight="false" outlineLevel="0" collapsed="false">
      <c r="A15" s="93" t="s">
        <v>143</v>
      </c>
      <c r="B15" s="125" t="n">
        <f aca="false">IF((F10+F9+F8+F6+F7)=0,"",((F10+F9+F8+F6+F7)-$AB$8)/(F10+F9+F8+F6+F7))</f>
        <v>0.329065354776358</v>
      </c>
      <c r="D15" s="126" t="str">
        <f aca="false">IF(B15="","SIN PC",IF(B15&gt;=0.3,"APROBAR",IF(B15&gt;=0.2,"REVISAR","RECHAZAR")))</f>
        <v>APROBAR</v>
      </c>
      <c r="E15" s="126"/>
      <c r="F15" s="126"/>
      <c r="AD15" s="0" t="n">
        <f aca="false">SUM(F8:F10)-113.0879</f>
        <v>-0.00790000000000646</v>
      </c>
    </row>
    <row r="17" customFormat="false" ht="15" hidden="false" customHeight="false" outlineLevel="0" collapsed="false">
      <c r="A17" s="89" t="s">
        <v>623</v>
      </c>
      <c r="B17" s="89"/>
      <c r="C17" s="89"/>
      <c r="D17" s="89"/>
      <c r="E17" s="89"/>
      <c r="F17" s="89"/>
      <c r="H17" s="89" t="s">
        <v>624</v>
      </c>
      <c r="I17" s="89"/>
      <c r="J17" s="89"/>
      <c r="K17" s="89"/>
      <c r="L17" s="90" t="n">
        <v>46113</v>
      </c>
      <c r="M17" s="91" t="s">
        <v>608</v>
      </c>
      <c r="N17" s="90" t="n">
        <v>46142</v>
      </c>
      <c r="R17" s="92" t="s">
        <v>110</v>
      </c>
      <c r="S17" s="92"/>
      <c r="T17" s="92"/>
      <c r="U17" s="92"/>
      <c r="V17" s="92"/>
    </row>
    <row r="18" customFormat="false" ht="15" hidden="false" customHeight="false" outlineLevel="0" collapsed="false">
      <c r="A18" s="93" t="s">
        <v>111</v>
      </c>
      <c r="B18" s="94" t="s">
        <v>112</v>
      </c>
      <c r="C18" s="95"/>
      <c r="D18" s="95"/>
      <c r="E18" s="95"/>
      <c r="F18" s="95"/>
      <c r="H18" s="96" t="s">
        <v>625</v>
      </c>
      <c r="I18" s="97"/>
      <c r="J18" s="97"/>
      <c r="L18" s="98" t="s">
        <v>626</v>
      </c>
      <c r="M18" s="99"/>
      <c r="N18" s="99"/>
      <c r="R18" s="100" t="s">
        <v>627</v>
      </c>
    </row>
    <row r="19" customFormat="false" ht="15" hidden="false" customHeight="false" outlineLevel="0" collapsed="false">
      <c r="B19" s="81" t="s">
        <v>116</v>
      </c>
      <c r="C19" s="81" t="s">
        <v>117</v>
      </c>
      <c r="D19" s="81" t="s">
        <v>118</v>
      </c>
      <c r="E19" s="81" t="s">
        <v>119</v>
      </c>
      <c r="F19" s="81" t="s">
        <v>120</v>
      </c>
      <c r="H19" s="101" t="s">
        <v>116</v>
      </c>
      <c r="I19" s="101" t="s">
        <v>119</v>
      </c>
      <c r="J19" s="101" t="s">
        <v>120</v>
      </c>
      <c r="L19" s="102" t="s">
        <v>116</v>
      </c>
      <c r="M19" s="102" t="s">
        <v>119</v>
      </c>
      <c r="N19" s="102" t="s">
        <v>120</v>
      </c>
      <c r="R19" s="103" t="s">
        <v>628</v>
      </c>
    </row>
    <row r="20" customFormat="false" ht="15" hidden="false" customHeight="false" outlineLevel="0" collapsed="false">
      <c r="A20" s="104" t="s">
        <v>122</v>
      </c>
      <c r="B20" s="105" t="n">
        <v>10.392</v>
      </c>
      <c r="C20" s="106" t="n">
        <f aca="false">$N$17-$L$17+1</f>
        <v>30</v>
      </c>
      <c r="D20" s="107" t="n">
        <v>3.68919</v>
      </c>
      <c r="E20" s="108" t="n">
        <v>4.82</v>
      </c>
      <c r="F20" s="109" t="n">
        <f aca="false">ROUND(B20*E20,2)</f>
        <v>50.09</v>
      </c>
      <c r="H20" s="110" t="n">
        <v>10.392</v>
      </c>
      <c r="I20" s="111" t="n">
        <v>4.82</v>
      </c>
      <c r="J20" s="112" t="n">
        <f aca="false">ROUND(H20*I20,2)</f>
        <v>50.09</v>
      </c>
      <c r="L20" s="113" t="n">
        <v>10.392</v>
      </c>
      <c r="M20" s="114" t="n">
        <v>4.82</v>
      </c>
      <c r="N20" s="115" t="n">
        <f aca="false">ROUND(L20*M20,2)</f>
        <v>50.09</v>
      </c>
      <c r="R20" s="116" t="s">
        <v>629</v>
      </c>
    </row>
    <row r="21" customFormat="false" ht="15" hidden="false" customHeight="false" outlineLevel="0" collapsed="false">
      <c r="A21" s="104" t="s">
        <v>124</v>
      </c>
      <c r="B21" s="105" t="n">
        <v>10.392</v>
      </c>
      <c r="C21" s="106" t="n">
        <f aca="false">$N$17-$L$17+1</f>
        <v>30</v>
      </c>
      <c r="D21" s="107" t="n">
        <v>1.31928</v>
      </c>
      <c r="E21" s="108" t="n">
        <v>2.37</v>
      </c>
      <c r="F21" s="109" t="n">
        <f aca="false">ROUND(B21*E21,2)</f>
        <v>24.63</v>
      </c>
      <c r="H21" s="110" t="n">
        <v>10.392</v>
      </c>
      <c r="I21" s="111" t="n">
        <v>2.37</v>
      </c>
      <c r="J21" s="112" t="n">
        <f aca="false">ROUND(H21*I21,2)</f>
        <v>24.63</v>
      </c>
      <c r="L21" s="113" t="n">
        <v>10.392</v>
      </c>
      <c r="M21" s="114" t="n">
        <v>2.37</v>
      </c>
      <c r="N21" s="115" t="n">
        <f aca="false">ROUND(L21*M21,2)</f>
        <v>24.63</v>
      </c>
      <c r="R21" s="117" t="s">
        <v>630</v>
      </c>
    </row>
    <row r="22" customFormat="false" ht="15" hidden="false" customHeight="false" outlineLevel="0" collapsed="false">
      <c r="A22" s="104" t="s">
        <v>615</v>
      </c>
      <c r="B22" s="105" t="n">
        <f aca="false">IF($P$22&lt;&gt;"",ROUND(AA22*(($AB$22/(1-$P$22))-74.7185)/100.7259,2),IF('Resumen 2.0TD'!$D$3="OPTIMIZAR",ROUND(MAX(AA22,MIN(AA22*(($AB$22/(1-'Resumen 2.0TD'!$F$3))-74.7185)/100.7259,AA22*(259.0793)/100.7259)),3),AA22))</f>
        <v>177.5</v>
      </c>
      <c r="C22" s="118"/>
      <c r="D22" s="107" t="n">
        <v>0.111171</v>
      </c>
      <c r="E22" s="108" t="n">
        <v>0.17</v>
      </c>
      <c r="F22" s="109" t="n">
        <f aca="false">ROUND(B22*E22,2)</f>
        <v>30.18</v>
      </c>
      <c r="H22" s="110" t="n">
        <v>309.614</v>
      </c>
      <c r="I22" s="111" t="n">
        <v>0.175</v>
      </c>
      <c r="J22" s="112" t="n">
        <f aca="false">ROUND(H22*I22,2)</f>
        <v>54.18</v>
      </c>
      <c r="L22" s="113" t="n">
        <v>77.5</v>
      </c>
      <c r="M22" s="114" t="n">
        <v>0.175</v>
      </c>
      <c r="N22" s="115" t="n">
        <f aca="false">ROUND(L22*M22,2)</f>
        <v>13.56</v>
      </c>
      <c r="O22" s="119" t="s">
        <v>616</v>
      </c>
      <c r="P22" s="79"/>
      <c r="R22" s="117" t="s">
        <v>631</v>
      </c>
      <c r="AA22" s="0" t="n">
        <v>177.5</v>
      </c>
      <c r="AB22" s="0" t="n">
        <f aca="false">B20*D20+B21*D21+AA22*D22+AA23*D23+AA24*D24</f>
        <v>117.917393595</v>
      </c>
    </row>
    <row r="23" customFormat="false" ht="15" hidden="false" customHeight="false" outlineLevel="0" collapsed="false">
      <c r="A23" s="104" t="s">
        <v>618</v>
      </c>
      <c r="B23" s="105" t="n">
        <f aca="false">IF($P$22&lt;&gt;"",ROUND(AA23*(($AB$22/(1-$P$22))-74.7185)/100.7259,2),IF('Resumen 2.0TD'!$D$3="OPTIMIZAR",ROUND(MAX(AA23,MIN(AA23*(($AB$22/(1-'Resumen 2.0TD'!$F$3))-74.7185)/100.7259,AA23*(259.0793)/100.7259)),3),AA23))</f>
        <v>168.86</v>
      </c>
      <c r="C23" s="118"/>
      <c r="D23" s="107" t="n">
        <v>0.111171</v>
      </c>
      <c r="E23" s="108" t="n">
        <v>0.17</v>
      </c>
      <c r="F23" s="109" t="n">
        <f aca="false">ROUND(B23*E23,2)</f>
        <v>28.71</v>
      </c>
      <c r="H23" s="110" t="n">
        <v>186.461</v>
      </c>
      <c r="I23" s="111" t="n">
        <v>0.175</v>
      </c>
      <c r="J23" s="112" t="n">
        <f aca="false">ROUND(H23*I23,2)</f>
        <v>32.63</v>
      </c>
      <c r="L23" s="113" t="n">
        <v>68.86</v>
      </c>
      <c r="M23" s="114" t="n">
        <v>0.175</v>
      </c>
      <c r="N23" s="115" t="n">
        <f aca="false">ROUND(L23*M23,2)</f>
        <v>12.05</v>
      </c>
      <c r="O23" s="120" t="s">
        <v>619</v>
      </c>
      <c r="R23" s="117" t="s">
        <v>620</v>
      </c>
      <c r="AA23" s="0" t="n">
        <v>168.86</v>
      </c>
    </row>
    <row r="24" customFormat="false" ht="15" hidden="false" customHeight="false" outlineLevel="0" collapsed="false">
      <c r="A24" s="104" t="s">
        <v>621</v>
      </c>
      <c r="B24" s="105" t="n">
        <f aca="false">IF($P$22&lt;&gt;"",ROUND(AA24*(($AB$22/(1-$P$22))-74.7185)/100.7259,2),IF('Resumen 2.0TD'!$D$3="OPTIMIZAR",ROUND(MAX(AA24,MIN(AA24*(($AB$22/(1-'Resumen 2.0TD'!$F$3))-74.7185)/100.7259,AA24*(259.0793)/100.7259)),3),AA24))</f>
        <v>246.145</v>
      </c>
      <c r="C24" s="118"/>
      <c r="D24" s="107" t="n">
        <v>0.111171</v>
      </c>
      <c r="E24" s="108" t="n">
        <v>0.17</v>
      </c>
      <c r="F24" s="109" t="n">
        <f aca="false">ROUND(B24*E24,2)</f>
        <v>41.84</v>
      </c>
      <c r="H24" s="110" t="n">
        <v>355.272</v>
      </c>
      <c r="I24" s="111" t="n">
        <v>0.175</v>
      </c>
      <c r="J24" s="112" t="n">
        <f aca="false">ROUND(H24*I24,2)</f>
        <v>62.17</v>
      </c>
      <c r="L24" s="113" t="n">
        <v>146.145</v>
      </c>
      <c r="M24" s="114" t="n">
        <v>0.175</v>
      </c>
      <c r="N24" s="115" t="n">
        <f aca="false">ROUND(L24*M24,2)</f>
        <v>25.58</v>
      </c>
      <c r="O24" s="120" t="s">
        <v>622</v>
      </c>
      <c r="AA24" s="0" t="n">
        <v>246.145</v>
      </c>
    </row>
    <row r="25" customFormat="false" ht="15" hidden="false" customHeight="false" outlineLevel="0" collapsed="false">
      <c r="A25" s="104" t="s">
        <v>139</v>
      </c>
      <c r="B25" s="105" t="n">
        <v>1</v>
      </c>
      <c r="C25" s="106" t="n">
        <f aca="false">$N$17-$L$17+1</f>
        <v>30</v>
      </c>
      <c r="D25" s="107" t="n">
        <v>1.3414</v>
      </c>
      <c r="E25" s="108" t="n">
        <v>1</v>
      </c>
      <c r="F25" s="109" t="n">
        <f aca="false">ROUND(B25*E25,2)</f>
        <v>1</v>
      </c>
      <c r="H25" s="110" t="n">
        <v>1</v>
      </c>
      <c r="I25" s="111" t="n">
        <v>1</v>
      </c>
      <c r="J25" s="112" t="n">
        <f aca="false">ROUND(H25*I25,2)</f>
        <v>1</v>
      </c>
      <c r="L25" s="113" t="n">
        <v>1</v>
      </c>
      <c r="M25" s="114" t="n">
        <v>1</v>
      </c>
      <c r="N25" s="115" t="n">
        <f aca="false">ROUND(L25*M25,2)</f>
        <v>1</v>
      </c>
    </row>
    <row r="26" customFormat="false" ht="15" hidden="false" customHeight="false" outlineLevel="0" collapsed="false">
      <c r="A26" s="104" t="s">
        <v>140</v>
      </c>
      <c r="B26" s="105" t="n">
        <v>30</v>
      </c>
      <c r="C26" s="106" t="n">
        <f aca="false">$N$17-$L$17+1</f>
        <v>30</v>
      </c>
      <c r="D26" s="107" t="n">
        <v>0.5736</v>
      </c>
      <c r="E26" s="108" t="n">
        <v>0.01274</v>
      </c>
      <c r="F26" s="109" t="n">
        <f aca="false">ROUND(B26*E26,2)</f>
        <v>0.38</v>
      </c>
      <c r="H26" s="110" t="n">
        <v>30</v>
      </c>
      <c r="I26" s="111" t="n">
        <v>0.01274</v>
      </c>
      <c r="J26" s="112" t="n">
        <f aca="false">ROUND(H26*I26,2)</f>
        <v>0.38</v>
      </c>
      <c r="L26" s="113" t="n">
        <v>30</v>
      </c>
      <c r="M26" s="114" t="n">
        <v>0.00685</v>
      </c>
      <c r="N26" s="115" t="n">
        <f aca="false">ROUND(L26*M26,2)</f>
        <v>0.21</v>
      </c>
    </row>
    <row r="27" customFormat="false" ht="15" hidden="false" customHeight="false" outlineLevel="0" collapsed="false">
      <c r="A27" s="104" t="s">
        <v>141</v>
      </c>
      <c r="B27" s="105" t="n">
        <v>9.37</v>
      </c>
      <c r="C27" s="118"/>
      <c r="D27" s="107" t="n">
        <v>0.27312</v>
      </c>
      <c r="E27" s="108" t="n">
        <v>1</v>
      </c>
      <c r="F27" s="109" t="n">
        <f aca="false">ROUND(B27*E27,2)</f>
        <v>9.37</v>
      </c>
      <c r="H27" s="110" t="n">
        <v>12.1</v>
      </c>
      <c r="I27" s="111" t="n">
        <v>1</v>
      </c>
      <c r="J27" s="112" t="n">
        <f aca="false">ROUND(H27*I27,2)</f>
        <v>12.1</v>
      </c>
      <c r="L27" s="113" t="n">
        <v>6.44</v>
      </c>
      <c r="M27" s="114" t="n">
        <v>1</v>
      </c>
      <c r="N27" s="115" t="n">
        <f aca="false">ROUND(L27*M27,2)</f>
        <v>6.44</v>
      </c>
    </row>
    <row r="28" customFormat="false" ht="15" hidden="false" customHeight="false" outlineLevel="0" collapsed="false">
      <c r="A28" s="121" t="s">
        <v>142</v>
      </c>
      <c r="F28" s="122" t="n">
        <f aca="false">ROUND((SUM(F20:F27)-F27)*1.1+F27,2)</f>
        <v>203.88</v>
      </c>
      <c r="J28" s="123" t="n">
        <f aca="false">ROUND(SUM(J20:J27),2)</f>
        <v>237.18</v>
      </c>
      <c r="N28" s="124" t="n">
        <f aca="false">ROUND(SUM(N20:N27),2)</f>
        <v>133.56</v>
      </c>
    </row>
    <row r="29" customFormat="false" ht="15" hidden="false" customHeight="false" outlineLevel="0" collapsed="false">
      <c r="A29" s="93" t="s">
        <v>143</v>
      </c>
      <c r="B29" s="125" t="n">
        <f aca="false">IF((F24+F23+F22+F20+F21)=0,"",((F24+F23+F22+F20+F21)-$AB$22)/(F24+F23+F22+F20+F21))</f>
        <v>0.327914542063266</v>
      </c>
      <c r="D29" s="126" t="str">
        <f aca="false">IF(B29="","SIN PC",IF(B29&gt;=0.3,"APROBAR",IF(B29&gt;=0.2,"REVISAR","RECHAZAR")))</f>
        <v>APROBAR</v>
      </c>
      <c r="E29" s="126"/>
      <c r="F29" s="126"/>
      <c r="AD29" s="0" t="n">
        <f aca="false">SUM(F22:F24)-100.7259</f>
        <v>0.00410000000000821</v>
      </c>
    </row>
    <row r="31" customFormat="false" ht="15" hidden="false" customHeight="false" outlineLevel="0" collapsed="false">
      <c r="A31" s="89" t="s">
        <v>632</v>
      </c>
      <c r="B31" s="89"/>
      <c r="C31" s="89"/>
      <c r="D31" s="89"/>
      <c r="E31" s="89"/>
      <c r="F31" s="89"/>
      <c r="H31" s="89" t="s">
        <v>633</v>
      </c>
      <c r="I31" s="89"/>
      <c r="J31" s="89"/>
      <c r="K31" s="89"/>
      <c r="L31" s="90" t="n">
        <v>46113</v>
      </c>
      <c r="M31" s="91" t="s">
        <v>608</v>
      </c>
      <c r="N31" s="90" t="n">
        <v>46142</v>
      </c>
      <c r="R31" s="92" t="s">
        <v>110</v>
      </c>
      <c r="S31" s="92"/>
      <c r="T31" s="92"/>
      <c r="U31" s="92"/>
      <c r="V31" s="92"/>
    </row>
    <row r="32" customFormat="false" ht="15" hidden="false" customHeight="false" outlineLevel="0" collapsed="false">
      <c r="A32" s="93" t="s">
        <v>111</v>
      </c>
      <c r="B32" s="94" t="s">
        <v>112</v>
      </c>
      <c r="C32" s="95"/>
      <c r="D32" s="95"/>
      <c r="E32" s="95"/>
      <c r="F32" s="95"/>
      <c r="H32" s="96" t="s">
        <v>634</v>
      </c>
      <c r="I32" s="97"/>
      <c r="J32" s="97"/>
      <c r="L32" s="98" t="s">
        <v>635</v>
      </c>
      <c r="M32" s="99"/>
      <c r="N32" s="99"/>
      <c r="R32" s="100" t="s">
        <v>636</v>
      </c>
    </row>
    <row r="33" customFormat="false" ht="15" hidden="false" customHeight="false" outlineLevel="0" collapsed="false">
      <c r="B33" s="81" t="s">
        <v>116</v>
      </c>
      <c r="C33" s="81" t="s">
        <v>117</v>
      </c>
      <c r="D33" s="81" t="s">
        <v>118</v>
      </c>
      <c r="E33" s="81" t="s">
        <v>119</v>
      </c>
      <c r="F33" s="81" t="s">
        <v>120</v>
      </c>
      <c r="H33" s="101" t="s">
        <v>116</v>
      </c>
      <c r="I33" s="101" t="s">
        <v>119</v>
      </c>
      <c r="J33" s="101" t="s">
        <v>120</v>
      </c>
      <c r="L33" s="102" t="s">
        <v>116</v>
      </c>
      <c r="M33" s="102" t="s">
        <v>119</v>
      </c>
      <c r="N33" s="102" t="s">
        <v>120</v>
      </c>
      <c r="R33" s="103" t="s">
        <v>637</v>
      </c>
    </row>
    <row r="34" customFormat="false" ht="15" hidden="false" customHeight="false" outlineLevel="0" collapsed="false">
      <c r="A34" s="104" t="s">
        <v>122</v>
      </c>
      <c r="B34" s="105" t="n">
        <v>6.928</v>
      </c>
      <c r="C34" s="106" t="n">
        <f aca="false">$N$31-$L$31+1</f>
        <v>30</v>
      </c>
      <c r="D34" s="107" t="n">
        <v>3.68919</v>
      </c>
      <c r="E34" s="108" t="n">
        <v>4.82</v>
      </c>
      <c r="F34" s="109" t="n">
        <f aca="false">ROUND(B34*E34,2)</f>
        <v>33.39</v>
      </c>
      <c r="H34" s="110" t="n">
        <v>6.928</v>
      </c>
      <c r="I34" s="111" t="n">
        <v>4.82</v>
      </c>
      <c r="J34" s="112" t="n">
        <f aca="false">ROUND(H34*I34,2)</f>
        <v>33.39</v>
      </c>
      <c r="L34" s="113" t="n">
        <v>6.928</v>
      </c>
      <c r="M34" s="114" t="n">
        <v>4.82</v>
      </c>
      <c r="N34" s="115" t="n">
        <f aca="false">ROUND(L34*M34,2)</f>
        <v>33.39</v>
      </c>
      <c r="R34" s="116" t="s">
        <v>638</v>
      </c>
    </row>
    <row r="35" customFormat="false" ht="15" hidden="false" customHeight="false" outlineLevel="0" collapsed="false">
      <c r="A35" s="104" t="s">
        <v>124</v>
      </c>
      <c r="B35" s="105" t="n">
        <v>6.928</v>
      </c>
      <c r="C35" s="106" t="n">
        <f aca="false">$N$31-$L$31+1</f>
        <v>30</v>
      </c>
      <c r="D35" s="107" t="n">
        <v>1.31928</v>
      </c>
      <c r="E35" s="108" t="n">
        <v>2.37</v>
      </c>
      <c r="F35" s="109" t="n">
        <f aca="false">ROUND(B35*E35,2)</f>
        <v>16.42</v>
      </c>
      <c r="H35" s="110" t="n">
        <v>6.928</v>
      </c>
      <c r="I35" s="111" t="n">
        <v>2.37</v>
      </c>
      <c r="J35" s="112" t="n">
        <f aca="false">ROUND(H35*I35,2)</f>
        <v>16.42</v>
      </c>
      <c r="L35" s="113" t="n">
        <v>6.928</v>
      </c>
      <c r="M35" s="114" t="n">
        <v>2.37</v>
      </c>
      <c r="N35" s="115" t="n">
        <f aca="false">ROUND(L35*M35,2)</f>
        <v>16.42</v>
      </c>
      <c r="R35" s="117" t="s">
        <v>639</v>
      </c>
    </row>
    <row r="36" customFormat="false" ht="15" hidden="false" customHeight="false" outlineLevel="0" collapsed="false">
      <c r="A36" s="104" t="s">
        <v>615</v>
      </c>
      <c r="B36" s="105" t="n">
        <f aca="false">IF($P$36&lt;&gt;"",ROUND(AA36*(($AB$36/(1-$P$36))-49.8123)/207.1457,2),IF('Resumen 2.0TD'!$D$3="OPTIMIZAR",ROUND(MAX(AA36,MIN(AA36*(($AB$36/(1-'Resumen 2.0TD'!$F$3))-49.8123)/207.1457,AA36*(548.5955)/207.1457)),3),AA36))</f>
        <v>301.884</v>
      </c>
      <c r="C36" s="118"/>
      <c r="D36" s="107" t="n">
        <v>0.111171</v>
      </c>
      <c r="E36" s="108" t="n">
        <v>0.17</v>
      </c>
      <c r="F36" s="109" t="n">
        <f aca="false">ROUND(B36*E36,2)</f>
        <v>51.32</v>
      </c>
      <c r="H36" s="110" t="n">
        <v>250.417</v>
      </c>
      <c r="I36" s="111" t="n">
        <v>0.175</v>
      </c>
      <c r="J36" s="112" t="n">
        <f aca="false">ROUND(H36*I36,2)</f>
        <v>43.82</v>
      </c>
      <c r="L36" s="113" t="n">
        <v>201.884</v>
      </c>
      <c r="M36" s="114" t="n">
        <v>0.175</v>
      </c>
      <c r="N36" s="115" t="n">
        <f aca="false">ROUND(L36*M36,2)</f>
        <v>35.33</v>
      </c>
      <c r="O36" s="119" t="s">
        <v>616</v>
      </c>
      <c r="P36" s="79"/>
      <c r="R36" s="117" t="s">
        <v>640</v>
      </c>
      <c r="AA36" s="0" t="n">
        <v>301.884</v>
      </c>
      <c r="AB36" s="0" t="n">
        <f aca="false">B34*D34+B35*D35+AA36*D36+AA37*D37+AA38*D38</f>
        <v>170.160988344</v>
      </c>
    </row>
    <row r="37" customFormat="false" ht="15" hidden="false" customHeight="false" outlineLevel="0" collapsed="false">
      <c r="A37" s="104" t="s">
        <v>618</v>
      </c>
      <c r="B37" s="105" t="n">
        <f aca="false">IF($P$36&lt;&gt;"",ROUND(AA37*(($AB$36/(1-$P$36))-49.8123)/207.1457,2),IF('Resumen 2.0TD'!$D$3="OPTIMIZAR",ROUND(MAX(AA37,MIN(AA37*(($AB$36/(1-'Resumen 2.0TD'!$F$3))-49.8123)/207.1457,AA37*(548.5955)/207.1457)),3),AA37))</f>
        <v>374.313</v>
      </c>
      <c r="C37" s="118"/>
      <c r="D37" s="107" t="n">
        <v>0.111171</v>
      </c>
      <c r="E37" s="108" t="n">
        <v>0.17</v>
      </c>
      <c r="F37" s="109" t="n">
        <f aca="false">ROUND(B37*E37,2)</f>
        <v>63.63</v>
      </c>
      <c r="H37" s="110" t="n">
        <v>234.006</v>
      </c>
      <c r="I37" s="111" t="n">
        <v>0.175</v>
      </c>
      <c r="J37" s="112" t="n">
        <f aca="false">ROUND(H37*I37,2)</f>
        <v>40.95</v>
      </c>
      <c r="L37" s="113" t="n">
        <v>174.313</v>
      </c>
      <c r="M37" s="114" t="n">
        <v>0.175</v>
      </c>
      <c r="N37" s="115" t="n">
        <f aca="false">ROUND(L37*M37,2)</f>
        <v>30.5</v>
      </c>
      <c r="O37" s="120" t="s">
        <v>619</v>
      </c>
      <c r="R37" s="117" t="s">
        <v>620</v>
      </c>
      <c r="AA37" s="0" t="n">
        <v>374.313</v>
      </c>
    </row>
    <row r="38" customFormat="false" ht="15" hidden="false" customHeight="false" outlineLevel="0" collapsed="false">
      <c r="A38" s="104" t="s">
        <v>621</v>
      </c>
      <c r="B38" s="105" t="n">
        <f aca="false">IF($P$36&lt;&gt;"",ROUND(AA38*(($AB$36/(1-$P$36))-49.8123)/207.1457,2),IF('Resumen 2.0TD'!$D$3="OPTIMIZAR",ROUND(MAX(AA38,MIN(AA38*(($AB$36/(1-'Resumen 2.0TD'!$F$3))-49.8123)/207.1457,AA38*(548.5955)/207.1457)),3),AA38))</f>
        <v>542.307</v>
      </c>
      <c r="C38" s="118"/>
      <c r="D38" s="107" t="n">
        <v>0.111171</v>
      </c>
      <c r="E38" s="108" t="n">
        <v>0.17</v>
      </c>
      <c r="F38" s="109" t="n">
        <f aca="false">ROUND(B38*E38,2)</f>
        <v>92.19</v>
      </c>
      <c r="H38" s="110" t="n">
        <v>376.925</v>
      </c>
      <c r="I38" s="111" t="n">
        <v>0.175</v>
      </c>
      <c r="J38" s="112" t="n">
        <f aca="false">ROUND(H38*I38,2)</f>
        <v>65.96</v>
      </c>
      <c r="L38" s="113" t="n">
        <v>342.307</v>
      </c>
      <c r="M38" s="114" t="n">
        <v>0.175</v>
      </c>
      <c r="N38" s="115" t="n">
        <f aca="false">ROUND(L38*M38,2)</f>
        <v>59.9</v>
      </c>
      <c r="O38" s="120" t="s">
        <v>622</v>
      </c>
      <c r="AA38" s="0" t="n">
        <v>542.307</v>
      </c>
    </row>
    <row r="39" customFormat="false" ht="15" hidden="false" customHeight="false" outlineLevel="0" collapsed="false">
      <c r="A39" s="104" t="s">
        <v>139</v>
      </c>
      <c r="B39" s="105" t="n">
        <v>1</v>
      </c>
      <c r="C39" s="106" t="n">
        <f aca="false">$N$31-$L$31+1</f>
        <v>30</v>
      </c>
      <c r="D39" s="107" t="n">
        <v>1.3414</v>
      </c>
      <c r="E39" s="108" t="n">
        <v>1</v>
      </c>
      <c r="F39" s="109" t="n">
        <f aca="false">ROUND(B39*E39,2)</f>
        <v>1</v>
      </c>
      <c r="H39" s="110" t="n">
        <v>1</v>
      </c>
      <c r="I39" s="111" t="n">
        <v>1</v>
      </c>
      <c r="J39" s="112" t="n">
        <f aca="false">ROUND(H39*I39,2)</f>
        <v>1</v>
      </c>
      <c r="L39" s="113" t="n">
        <v>1</v>
      </c>
      <c r="M39" s="114" t="n">
        <v>1</v>
      </c>
      <c r="N39" s="115" t="n">
        <f aca="false">ROUND(L39*M39,2)</f>
        <v>1</v>
      </c>
    </row>
    <row r="40" customFormat="false" ht="15" hidden="false" customHeight="false" outlineLevel="0" collapsed="false">
      <c r="A40" s="104" t="s">
        <v>140</v>
      </c>
      <c r="B40" s="105" t="n">
        <v>30</v>
      </c>
      <c r="C40" s="106" t="n">
        <f aca="false">$N$31-$L$31+1</f>
        <v>30</v>
      </c>
      <c r="D40" s="107" t="n">
        <v>0.5736</v>
      </c>
      <c r="E40" s="108" t="n">
        <v>0.01274</v>
      </c>
      <c r="F40" s="109" t="n">
        <f aca="false">ROUND(B40*E40,2)</f>
        <v>0.38</v>
      </c>
      <c r="H40" s="110" t="n">
        <v>30</v>
      </c>
      <c r="I40" s="111" t="n">
        <v>0.01274</v>
      </c>
      <c r="J40" s="112" t="n">
        <f aca="false">ROUND(H40*I40,2)</f>
        <v>0.38</v>
      </c>
      <c r="L40" s="113" t="n">
        <v>30</v>
      </c>
      <c r="M40" s="114" t="n">
        <v>0.00685</v>
      </c>
      <c r="N40" s="115" t="n">
        <f aca="false">ROUND(L40*M40,2)</f>
        <v>0.21</v>
      </c>
    </row>
    <row r="41" customFormat="false" ht="15" hidden="false" customHeight="false" outlineLevel="0" collapsed="false">
      <c r="A41" s="104" t="s">
        <v>141</v>
      </c>
      <c r="B41" s="105" t="n">
        <v>13.65</v>
      </c>
      <c r="C41" s="118"/>
      <c r="D41" s="107" t="n">
        <v>0.27312</v>
      </c>
      <c r="E41" s="108" t="n">
        <v>1</v>
      </c>
      <c r="F41" s="109" t="n">
        <f aca="false">ROUND(B41*E41,2)</f>
        <v>13.65</v>
      </c>
      <c r="H41" s="110" t="n">
        <v>12.86</v>
      </c>
      <c r="I41" s="111" t="n">
        <v>1</v>
      </c>
      <c r="J41" s="112" t="n">
        <f aca="false">ROUND(H41*I41,2)</f>
        <v>12.86</v>
      </c>
      <c r="L41" s="113" t="n">
        <v>8.83</v>
      </c>
      <c r="M41" s="114" t="n">
        <v>1</v>
      </c>
      <c r="N41" s="115" t="n">
        <f aca="false">ROUND(L41*M41,2)</f>
        <v>8.83</v>
      </c>
    </row>
    <row r="42" customFormat="false" ht="15" hidden="false" customHeight="false" outlineLevel="0" collapsed="false">
      <c r="A42" s="121" t="s">
        <v>142</v>
      </c>
      <c r="F42" s="122" t="n">
        <f aca="false">ROUND((SUM(F34:F41)-F41)*1.1+F41,2)</f>
        <v>297.81</v>
      </c>
      <c r="J42" s="123" t="n">
        <f aca="false">ROUND(SUM(J34:J41),2)</f>
        <v>214.78</v>
      </c>
      <c r="N42" s="124" t="n">
        <f aca="false">ROUND(SUM(N34:N41),2)</f>
        <v>185.58</v>
      </c>
    </row>
    <row r="43" customFormat="false" ht="15" hidden="false" customHeight="false" outlineLevel="0" collapsed="false">
      <c r="A43" s="93" t="s">
        <v>143</v>
      </c>
      <c r="B43" s="125" t="n">
        <f aca="false">IF((F38+F37+F36+F34+F35)=0,"",((F38+F37+F36+F34+F35)-$AB$36)/(F38+F37+F36+F34+F35))</f>
        <v>0.337766147717455</v>
      </c>
      <c r="D43" s="126" t="str">
        <f aca="false">IF(B43="","SIN PC",IF(B43&gt;=0.3,"APROBAR",IF(B43&gt;=0.2,"REVISAR","RECHAZAR")))</f>
        <v>APROBAR</v>
      </c>
      <c r="E43" s="126"/>
      <c r="F43" s="126"/>
      <c r="AD43" s="0" t="n">
        <f aca="false">SUM(F36:F38)-207.1457</f>
        <v>-0.00570000000001869</v>
      </c>
    </row>
    <row r="45" customFormat="false" ht="15" hidden="false" customHeight="false" outlineLevel="0" collapsed="false">
      <c r="A45" s="89" t="s">
        <v>641</v>
      </c>
      <c r="B45" s="89"/>
      <c r="C45" s="89"/>
      <c r="D45" s="89"/>
      <c r="E45" s="89"/>
      <c r="F45" s="89"/>
      <c r="H45" s="89" t="s">
        <v>642</v>
      </c>
      <c r="I45" s="89"/>
      <c r="J45" s="89"/>
      <c r="K45" s="89"/>
      <c r="L45" s="90" t="n">
        <v>46113</v>
      </c>
      <c r="M45" s="91" t="s">
        <v>608</v>
      </c>
      <c r="N45" s="90" t="n">
        <v>46142</v>
      </c>
      <c r="R45" s="92" t="s">
        <v>110</v>
      </c>
      <c r="S45" s="92"/>
      <c r="T45" s="92"/>
      <c r="U45" s="92"/>
      <c r="V45" s="92"/>
    </row>
    <row r="46" customFormat="false" ht="15" hidden="false" customHeight="false" outlineLevel="0" collapsed="false">
      <c r="A46" s="93" t="s">
        <v>111</v>
      </c>
      <c r="B46" s="94" t="s">
        <v>112</v>
      </c>
      <c r="C46" s="95"/>
      <c r="D46" s="95"/>
      <c r="E46" s="95"/>
      <c r="F46" s="95"/>
      <c r="H46" s="96" t="s">
        <v>643</v>
      </c>
      <c r="I46" s="97"/>
      <c r="J46" s="97"/>
      <c r="L46" s="98" t="s">
        <v>644</v>
      </c>
      <c r="M46" s="99"/>
      <c r="N46" s="99"/>
      <c r="R46" s="100" t="s">
        <v>645</v>
      </c>
    </row>
    <row r="47" customFormat="false" ht="15" hidden="false" customHeight="false" outlineLevel="0" collapsed="false">
      <c r="B47" s="81" t="s">
        <v>116</v>
      </c>
      <c r="C47" s="81" t="s">
        <v>117</v>
      </c>
      <c r="D47" s="81" t="s">
        <v>118</v>
      </c>
      <c r="E47" s="81" t="s">
        <v>119</v>
      </c>
      <c r="F47" s="81" t="s">
        <v>120</v>
      </c>
      <c r="H47" s="101" t="s">
        <v>116</v>
      </c>
      <c r="I47" s="101" t="s">
        <v>119</v>
      </c>
      <c r="J47" s="101" t="s">
        <v>120</v>
      </c>
      <c r="L47" s="102" t="s">
        <v>116</v>
      </c>
      <c r="M47" s="102" t="s">
        <v>119</v>
      </c>
      <c r="N47" s="102" t="s">
        <v>120</v>
      </c>
      <c r="R47" s="103" t="s">
        <v>646</v>
      </c>
    </row>
    <row r="48" customFormat="false" ht="15" hidden="false" customHeight="false" outlineLevel="0" collapsed="false">
      <c r="A48" s="104" t="s">
        <v>122</v>
      </c>
      <c r="B48" s="105" t="n">
        <v>6.928</v>
      </c>
      <c r="C48" s="106" t="n">
        <f aca="false">$N$45-$L$45+1</f>
        <v>30</v>
      </c>
      <c r="D48" s="107" t="n">
        <v>3.68919</v>
      </c>
      <c r="E48" s="108" t="n">
        <v>4.82</v>
      </c>
      <c r="F48" s="109" t="n">
        <f aca="false">ROUND(B48*E48,2)</f>
        <v>33.39</v>
      </c>
      <c r="H48" s="110" t="n">
        <v>6.928</v>
      </c>
      <c r="I48" s="111" t="n">
        <v>4.82</v>
      </c>
      <c r="J48" s="112" t="n">
        <f aca="false">ROUND(H48*I48,2)</f>
        <v>33.39</v>
      </c>
      <c r="L48" s="113" t="n">
        <v>6.928</v>
      </c>
      <c r="M48" s="114" t="n">
        <v>4.82</v>
      </c>
      <c r="N48" s="115" t="n">
        <f aca="false">ROUND(L48*M48,2)</f>
        <v>33.39</v>
      </c>
      <c r="R48" s="116" t="s">
        <v>647</v>
      </c>
    </row>
    <row r="49" customFormat="false" ht="15" hidden="false" customHeight="false" outlineLevel="0" collapsed="false">
      <c r="A49" s="104" t="s">
        <v>124</v>
      </c>
      <c r="B49" s="105" t="n">
        <v>6.928</v>
      </c>
      <c r="C49" s="106" t="n">
        <f aca="false">$N$45-$L$45+1</f>
        <v>30</v>
      </c>
      <c r="D49" s="107" t="n">
        <v>1.31928</v>
      </c>
      <c r="E49" s="108" t="n">
        <v>2.37</v>
      </c>
      <c r="F49" s="109" t="n">
        <f aca="false">ROUND(B49*E49,2)</f>
        <v>16.42</v>
      </c>
      <c r="H49" s="110" t="n">
        <v>6.928</v>
      </c>
      <c r="I49" s="111" t="n">
        <v>2.37</v>
      </c>
      <c r="J49" s="112" t="n">
        <f aca="false">ROUND(H49*I49,2)</f>
        <v>16.42</v>
      </c>
      <c r="L49" s="113" t="n">
        <v>6.928</v>
      </c>
      <c r="M49" s="114" t="n">
        <v>2.37</v>
      </c>
      <c r="N49" s="115" t="n">
        <f aca="false">ROUND(L49*M49,2)</f>
        <v>16.42</v>
      </c>
      <c r="R49" s="117" t="s">
        <v>648</v>
      </c>
    </row>
    <row r="50" customFormat="false" ht="15" hidden="false" customHeight="false" outlineLevel="0" collapsed="false">
      <c r="A50" s="104" t="s">
        <v>615</v>
      </c>
      <c r="B50" s="105" t="n">
        <f aca="false">IF($P$50&lt;&gt;"",ROUND(AA50*(($AB$50/(1-$P$50))-49.8123)/214.3328,2),IF('Resumen 2.0TD'!$D$3="OPTIMIZAR",ROUND(MAX(AA50,MIN(AA50*(($AB$50/(1-'Resumen 2.0TD'!$F$3))-49.8123)/214.3328,AA50*(452.4655)/214.3328)),3),AA50))</f>
        <v>373.974</v>
      </c>
      <c r="C50" s="118"/>
      <c r="D50" s="107" t="n">
        <v>0.142913</v>
      </c>
      <c r="E50" s="108" t="n">
        <v>0.17</v>
      </c>
      <c r="F50" s="109" t="n">
        <f aca="false">ROUND(B50*E50,2)</f>
        <v>63.58</v>
      </c>
      <c r="H50" s="110" t="n">
        <v>258.447</v>
      </c>
      <c r="I50" s="111" t="n">
        <v>0.175</v>
      </c>
      <c r="J50" s="112" t="n">
        <f aca="false">ROUND(H50*I50,2)</f>
        <v>45.23</v>
      </c>
      <c r="L50" s="113" t="n">
        <v>173.974</v>
      </c>
      <c r="M50" s="114" t="n">
        <v>0.175</v>
      </c>
      <c r="N50" s="115" t="n">
        <f aca="false">ROUND(L50*M50,2)</f>
        <v>30.45</v>
      </c>
      <c r="O50" s="119" t="s">
        <v>616</v>
      </c>
      <c r="P50" s="79"/>
      <c r="R50" s="117" t="s">
        <v>649</v>
      </c>
      <c r="AA50" s="0" t="n">
        <v>373.974</v>
      </c>
      <c r="AB50" s="0" t="n">
        <f aca="false">B48*D48+B49*D49+AA50*D50+AA51*D51+AA52*D52</f>
        <v>214.880675213</v>
      </c>
    </row>
    <row r="51" customFormat="false" ht="15" hidden="false" customHeight="false" outlineLevel="0" collapsed="false">
      <c r="A51" s="104" t="s">
        <v>618</v>
      </c>
      <c r="B51" s="105" t="n">
        <f aca="false">IF($P$50&lt;&gt;"",ROUND(AA51*(($AB$50/(1-$P$50))-49.8123)/214.3328,2),IF('Resumen 2.0TD'!$D$3="OPTIMIZAR",ROUND(MAX(AA51,MIN(AA51*(($AB$50/(1-'Resumen 2.0TD'!$F$3))-49.8123)/214.3328,AA51*(452.4655)/214.3328)),3),AA51))</f>
        <v>356.102</v>
      </c>
      <c r="C51" s="118"/>
      <c r="D51" s="107" t="n">
        <v>0.142913</v>
      </c>
      <c r="E51" s="108" t="n">
        <v>0.17</v>
      </c>
      <c r="F51" s="109" t="n">
        <f aca="false">ROUND(B51*E51,2)</f>
        <v>60.54</v>
      </c>
      <c r="H51" s="110" t="n">
        <v>239.045</v>
      </c>
      <c r="I51" s="111" t="n">
        <v>0.175</v>
      </c>
      <c r="J51" s="112" t="n">
        <f aca="false">ROUND(H51*I51,2)</f>
        <v>41.83</v>
      </c>
      <c r="L51" s="113" t="n">
        <v>156.102</v>
      </c>
      <c r="M51" s="114" t="n">
        <v>0.175</v>
      </c>
      <c r="N51" s="115" t="n">
        <f aca="false">ROUND(L51*M51,2)</f>
        <v>27.32</v>
      </c>
      <c r="O51" s="120" t="s">
        <v>619</v>
      </c>
      <c r="R51" s="117" t="s">
        <v>620</v>
      </c>
      <c r="AA51" s="0" t="n">
        <v>356.102</v>
      </c>
    </row>
    <row r="52" customFormat="false" ht="15" hidden="false" customHeight="false" outlineLevel="0" collapsed="false">
      <c r="A52" s="104" t="s">
        <v>621</v>
      </c>
      <c r="B52" s="105" t="n">
        <f aca="false">IF($P$50&lt;&gt;"",ROUND(AA52*(($AB$50/(1-$P$50))-49.8123)/214.3328,2),IF('Resumen 2.0TD'!$D$3="OPTIMIZAR",ROUND(MAX(AA52,MIN(AA52*(($AB$50/(1-'Resumen 2.0TD'!$F$3))-49.8123)/214.3328,AA52*(452.4655)/214.3328)),3),AA52))</f>
        <v>530.705</v>
      </c>
      <c r="C52" s="118"/>
      <c r="D52" s="107" t="n">
        <v>0.142913</v>
      </c>
      <c r="E52" s="108" t="n">
        <v>0.17</v>
      </c>
      <c r="F52" s="109" t="n">
        <f aca="false">ROUND(B52*E52,2)</f>
        <v>90.22</v>
      </c>
      <c r="H52" s="110" t="n">
        <v>473.601</v>
      </c>
      <c r="I52" s="111" t="n">
        <v>0.175</v>
      </c>
      <c r="J52" s="112" t="n">
        <f aca="false">ROUND(H52*I52,2)</f>
        <v>82.88</v>
      </c>
      <c r="L52" s="113" t="n">
        <v>330.705</v>
      </c>
      <c r="M52" s="114" t="n">
        <v>0.175</v>
      </c>
      <c r="N52" s="115" t="n">
        <f aca="false">ROUND(L52*M52,2)</f>
        <v>57.87</v>
      </c>
      <c r="O52" s="120" t="s">
        <v>622</v>
      </c>
      <c r="AA52" s="0" t="n">
        <v>530.705</v>
      </c>
    </row>
    <row r="53" customFormat="false" ht="15" hidden="false" customHeight="false" outlineLevel="0" collapsed="false">
      <c r="A53" s="104" t="s">
        <v>139</v>
      </c>
      <c r="B53" s="105" t="n">
        <v>1</v>
      </c>
      <c r="C53" s="106" t="n">
        <f aca="false">$N$45-$L$45+1</f>
        <v>30</v>
      </c>
      <c r="D53" s="107" t="n">
        <v>1.3414</v>
      </c>
      <c r="E53" s="108" t="n">
        <v>1</v>
      </c>
      <c r="F53" s="109" t="n">
        <f aca="false">ROUND(B53*E53,2)</f>
        <v>1</v>
      </c>
      <c r="H53" s="110" t="n">
        <v>1</v>
      </c>
      <c r="I53" s="111" t="n">
        <v>1</v>
      </c>
      <c r="J53" s="112" t="n">
        <f aca="false">ROUND(H53*I53,2)</f>
        <v>1</v>
      </c>
      <c r="L53" s="113" t="n">
        <v>1</v>
      </c>
      <c r="M53" s="114" t="n">
        <v>1</v>
      </c>
      <c r="N53" s="115" t="n">
        <f aca="false">ROUND(L53*M53,2)</f>
        <v>1</v>
      </c>
    </row>
    <row r="54" customFormat="false" ht="15" hidden="false" customHeight="false" outlineLevel="0" collapsed="false">
      <c r="A54" s="104" t="s">
        <v>140</v>
      </c>
      <c r="B54" s="105" t="n">
        <v>30</v>
      </c>
      <c r="C54" s="106" t="n">
        <f aca="false">$N$45-$L$45+1</f>
        <v>30</v>
      </c>
      <c r="D54" s="107" t="n">
        <v>0.5736</v>
      </c>
      <c r="E54" s="108" t="n">
        <v>0.01274</v>
      </c>
      <c r="F54" s="109" t="n">
        <f aca="false">ROUND(B54*E54,2)</f>
        <v>0.38</v>
      </c>
      <c r="H54" s="110" t="n">
        <v>30</v>
      </c>
      <c r="I54" s="111" t="n">
        <v>0.00685</v>
      </c>
      <c r="J54" s="112" t="n">
        <f aca="false">ROUND(H54*I54,2)</f>
        <v>0.21</v>
      </c>
      <c r="L54" s="113" t="n">
        <v>30</v>
      </c>
      <c r="M54" s="114" t="n">
        <v>0.00685</v>
      </c>
      <c r="N54" s="115" t="n">
        <f aca="false">ROUND(L54*M54,2)</f>
        <v>0.21</v>
      </c>
    </row>
    <row r="55" customFormat="false" ht="15" hidden="false" customHeight="false" outlineLevel="0" collapsed="false">
      <c r="A55" s="104" t="s">
        <v>141</v>
      </c>
      <c r="B55" s="105" t="n">
        <v>14.01</v>
      </c>
      <c r="C55" s="118"/>
      <c r="D55" s="107" t="n">
        <v>0.27799</v>
      </c>
      <c r="E55" s="108" t="n">
        <v>1</v>
      </c>
      <c r="F55" s="109" t="n">
        <f aca="false">ROUND(B55*E55,2)</f>
        <v>14.01</v>
      </c>
      <c r="H55" s="110" t="n">
        <v>11.67</v>
      </c>
      <c r="I55" s="111" t="n">
        <v>1</v>
      </c>
      <c r="J55" s="112" t="n">
        <f aca="false">ROUND(H55*I55,2)</f>
        <v>11.67</v>
      </c>
      <c r="L55" s="113" t="n">
        <v>8.46</v>
      </c>
      <c r="M55" s="114" t="n">
        <v>1</v>
      </c>
      <c r="N55" s="115" t="n">
        <f aca="false">ROUND(L55*M55,2)</f>
        <v>8.46</v>
      </c>
    </row>
    <row r="56" customFormat="false" ht="15" hidden="false" customHeight="false" outlineLevel="0" collapsed="false">
      <c r="A56" s="121" t="s">
        <v>142</v>
      </c>
      <c r="F56" s="122" t="n">
        <f aca="false">ROUND((SUM(F48:F55)-F55)*1.1+F55,2)</f>
        <v>306.09</v>
      </c>
      <c r="J56" s="123" t="n">
        <f aca="false">ROUND(SUM(J48:J55),2)</f>
        <v>232.63</v>
      </c>
      <c r="N56" s="124" t="n">
        <f aca="false">ROUND(SUM(N48:N55),2)</f>
        <v>175.12</v>
      </c>
    </row>
    <row r="57" customFormat="false" ht="15" hidden="false" customHeight="false" outlineLevel="0" collapsed="false">
      <c r="A57" s="93" t="s">
        <v>143</v>
      </c>
      <c r="B57" s="125" t="n">
        <f aca="false">IF((F52+F51+F50+F48+F49)=0,"",((F52+F51+F50+F48+F49)-$AB$50)/(F52+F51+F50+F48+F49))</f>
        <v>0.186520252837403</v>
      </c>
      <c r="D57" s="126" t="str">
        <f aca="false">IF(B57="","SIN PC",IF(B57&gt;=0.3,"APROBAR",IF(B57&gt;=0.2,"REVISAR","RECHAZAR")))</f>
        <v>RECHAZAR</v>
      </c>
      <c r="E57" s="126"/>
      <c r="F57" s="126"/>
      <c r="AD57" s="0" t="n">
        <f aca="false">SUM(F50:F52)-214.3328</f>
        <v>0.00720000000001164</v>
      </c>
    </row>
    <row r="59" customFormat="false" ht="15" hidden="false" customHeight="false" outlineLevel="0" collapsed="false">
      <c r="A59" s="89" t="s">
        <v>650</v>
      </c>
      <c r="B59" s="89"/>
      <c r="C59" s="89"/>
      <c r="D59" s="89"/>
      <c r="E59" s="89"/>
      <c r="F59" s="89"/>
      <c r="H59" s="89" t="s">
        <v>651</v>
      </c>
      <c r="I59" s="89"/>
      <c r="J59" s="89"/>
      <c r="K59" s="89"/>
      <c r="L59" s="90" t="n">
        <v>46113</v>
      </c>
      <c r="M59" s="91" t="s">
        <v>608</v>
      </c>
      <c r="N59" s="90" t="n">
        <v>46142</v>
      </c>
      <c r="R59" s="92" t="s">
        <v>110</v>
      </c>
      <c r="S59" s="92"/>
      <c r="T59" s="92"/>
      <c r="U59" s="92"/>
      <c r="V59" s="92"/>
    </row>
    <row r="60" customFormat="false" ht="15" hidden="false" customHeight="false" outlineLevel="0" collapsed="false">
      <c r="A60" s="93" t="s">
        <v>111</v>
      </c>
      <c r="B60" s="94" t="s">
        <v>112</v>
      </c>
      <c r="C60" s="95"/>
      <c r="D60" s="95"/>
      <c r="E60" s="95"/>
      <c r="F60" s="95"/>
      <c r="H60" s="96" t="s">
        <v>652</v>
      </c>
      <c r="I60" s="97"/>
      <c r="J60" s="97"/>
      <c r="L60" s="98" t="s">
        <v>653</v>
      </c>
      <c r="M60" s="99"/>
      <c r="N60" s="99"/>
      <c r="R60" s="100" t="s">
        <v>654</v>
      </c>
    </row>
    <row r="61" customFormat="false" ht="15" hidden="false" customHeight="false" outlineLevel="0" collapsed="false">
      <c r="B61" s="81" t="s">
        <v>116</v>
      </c>
      <c r="C61" s="81" t="s">
        <v>117</v>
      </c>
      <c r="D61" s="81" t="s">
        <v>118</v>
      </c>
      <c r="E61" s="81" t="s">
        <v>119</v>
      </c>
      <c r="F61" s="81" t="s">
        <v>120</v>
      </c>
      <c r="H61" s="101" t="s">
        <v>116</v>
      </c>
      <c r="I61" s="101" t="s">
        <v>119</v>
      </c>
      <c r="J61" s="101" t="s">
        <v>120</v>
      </c>
      <c r="L61" s="102" t="s">
        <v>116</v>
      </c>
      <c r="M61" s="102" t="s">
        <v>119</v>
      </c>
      <c r="N61" s="102" t="s">
        <v>120</v>
      </c>
      <c r="R61" s="103" t="s">
        <v>655</v>
      </c>
    </row>
    <row r="62" customFormat="false" ht="15" hidden="false" customHeight="false" outlineLevel="0" collapsed="false">
      <c r="A62" s="104" t="s">
        <v>122</v>
      </c>
      <c r="B62" s="105" t="n">
        <v>6.928</v>
      </c>
      <c r="C62" s="106" t="n">
        <f aca="false">$N$59-$L$59+1</f>
        <v>30</v>
      </c>
      <c r="D62" s="107" t="n">
        <v>3.68919</v>
      </c>
      <c r="E62" s="108" t="n">
        <v>4.82</v>
      </c>
      <c r="F62" s="109" t="n">
        <f aca="false">ROUND(B62*E62,2)</f>
        <v>33.39</v>
      </c>
      <c r="H62" s="110" t="n">
        <v>6.928</v>
      </c>
      <c r="I62" s="111" t="n">
        <v>4.82</v>
      </c>
      <c r="J62" s="112" t="n">
        <f aca="false">ROUND(H62*I62,2)</f>
        <v>33.39</v>
      </c>
      <c r="L62" s="113" t="n">
        <v>6.928</v>
      </c>
      <c r="M62" s="114" t="n">
        <v>4.82</v>
      </c>
      <c r="N62" s="115" t="n">
        <f aca="false">ROUND(L62*M62,2)</f>
        <v>33.39</v>
      </c>
      <c r="R62" s="116" t="s">
        <v>656</v>
      </c>
    </row>
    <row r="63" customFormat="false" ht="15" hidden="false" customHeight="false" outlineLevel="0" collapsed="false">
      <c r="A63" s="104" t="s">
        <v>124</v>
      </c>
      <c r="B63" s="105" t="n">
        <v>6.928</v>
      </c>
      <c r="C63" s="106" t="n">
        <f aca="false">$N$59-$L$59+1</f>
        <v>30</v>
      </c>
      <c r="D63" s="107" t="n">
        <v>1.31928</v>
      </c>
      <c r="E63" s="108" t="n">
        <v>2.37</v>
      </c>
      <c r="F63" s="109" t="n">
        <f aca="false">ROUND(B63*E63,2)</f>
        <v>16.42</v>
      </c>
      <c r="H63" s="110" t="n">
        <v>6.928</v>
      </c>
      <c r="I63" s="111" t="n">
        <v>2.37</v>
      </c>
      <c r="J63" s="112" t="n">
        <f aca="false">ROUND(H63*I63,2)</f>
        <v>16.42</v>
      </c>
      <c r="L63" s="113" t="n">
        <v>6.928</v>
      </c>
      <c r="M63" s="114" t="n">
        <v>2.37</v>
      </c>
      <c r="N63" s="115" t="n">
        <f aca="false">ROUND(L63*M63,2)</f>
        <v>16.42</v>
      </c>
      <c r="R63" s="117" t="s">
        <v>657</v>
      </c>
    </row>
    <row r="64" customFormat="false" ht="15" hidden="false" customHeight="false" outlineLevel="0" collapsed="false">
      <c r="A64" s="104" t="s">
        <v>615</v>
      </c>
      <c r="B64" s="105" t="n">
        <f aca="false">IF($P$64&lt;&gt;"",ROUND(AA64*(($AB$64/(1-$P$64))-49.8123)/244.6972,2),IF('Resumen 2.0TD'!$D$3="OPTIMIZAR",ROUND(MAX(AA64,MIN(AA64*(($AB$64/(1-'Resumen 2.0TD'!$F$3))-49.8123)/244.6972,AA64*(827.8755)/244.6972)),3),AA64))</f>
        <v>425.199</v>
      </c>
      <c r="C64" s="118"/>
      <c r="D64" s="107" t="n">
        <v>0.111171</v>
      </c>
      <c r="E64" s="108" t="n">
        <v>0.17</v>
      </c>
      <c r="F64" s="109" t="n">
        <f aca="false">ROUND(B64*E64,2)</f>
        <v>72.28</v>
      </c>
      <c r="H64" s="110" t="n">
        <v>254.599</v>
      </c>
      <c r="I64" s="111" t="n">
        <v>0.1724</v>
      </c>
      <c r="J64" s="112" t="n">
        <f aca="false">ROUND(H64*I64,2)</f>
        <v>43.89</v>
      </c>
      <c r="L64" s="113" t="n">
        <v>225.199</v>
      </c>
      <c r="M64" s="114" t="n">
        <v>0.175</v>
      </c>
      <c r="N64" s="115" t="n">
        <f aca="false">ROUND(L64*M64,2)</f>
        <v>39.41</v>
      </c>
      <c r="O64" s="119" t="s">
        <v>616</v>
      </c>
      <c r="P64" s="79"/>
      <c r="R64" s="117" t="s">
        <v>658</v>
      </c>
      <c r="AA64" s="0" t="n">
        <v>425.199</v>
      </c>
      <c r="AB64" s="0" t="n">
        <f aca="false">B62*D62+B63*D63+AA64*D64+AA65*D65+AA66*D66</f>
        <v>194.717661705</v>
      </c>
    </row>
    <row r="65" customFormat="false" ht="15" hidden="false" customHeight="false" outlineLevel="0" collapsed="false">
      <c r="A65" s="104" t="s">
        <v>618</v>
      </c>
      <c r="B65" s="105" t="n">
        <f aca="false">IF($P$64&lt;&gt;"",ROUND(AA65*(($AB$64/(1-$P$64))-49.8123)/244.6972,2),IF('Resumen 2.0TD'!$D$3="OPTIMIZAR",ROUND(MAX(AA65,MIN(AA65*(($AB$64/(1-'Resumen 2.0TD'!$F$3))-49.8123)/244.6972,AA65*(827.8755)/244.6972)),3),AA65))</f>
        <v>407.266</v>
      </c>
      <c r="C65" s="118"/>
      <c r="D65" s="107" t="n">
        <v>0.111171</v>
      </c>
      <c r="E65" s="108" t="n">
        <v>0.17</v>
      </c>
      <c r="F65" s="109" t="n">
        <f aca="false">ROUND(B65*E65,2)</f>
        <v>69.24</v>
      </c>
      <c r="H65" s="110" t="n">
        <v>235.376</v>
      </c>
      <c r="I65" s="111" t="n">
        <v>0.1724</v>
      </c>
      <c r="J65" s="112" t="n">
        <f aca="false">ROUND(H65*I65,2)</f>
        <v>40.58</v>
      </c>
      <c r="L65" s="113" t="n">
        <v>207.266</v>
      </c>
      <c r="M65" s="114" t="n">
        <v>0.175</v>
      </c>
      <c r="N65" s="115" t="n">
        <f aca="false">ROUND(L65*M65,2)</f>
        <v>36.27</v>
      </c>
      <c r="O65" s="120" t="s">
        <v>619</v>
      </c>
      <c r="R65" s="117" t="s">
        <v>620</v>
      </c>
      <c r="AA65" s="0" t="n">
        <v>407.266</v>
      </c>
    </row>
    <row r="66" customFormat="false" ht="15" hidden="false" customHeight="false" outlineLevel="0" collapsed="false">
      <c r="A66" s="104" t="s">
        <v>621</v>
      </c>
      <c r="B66" s="105" t="n">
        <f aca="false">IF($P$64&lt;&gt;"",ROUND(AA66*(($AB$64/(1-$P$64))-49.8123)/244.6972,2),IF('Resumen 2.0TD'!$D$3="OPTIMIZAR",ROUND(MAX(AA66,MIN(AA66*(($AB$64/(1-'Resumen 2.0TD'!$F$3))-49.8123)/244.6972,AA66*(827.8755)/244.6972)),3),AA66))</f>
        <v>606.93</v>
      </c>
      <c r="C66" s="118"/>
      <c r="D66" s="107" t="n">
        <v>0.111171</v>
      </c>
      <c r="E66" s="108" t="n">
        <v>0.17</v>
      </c>
      <c r="F66" s="109" t="n">
        <f aca="false">ROUND(B66*E66,2)</f>
        <v>103.18</v>
      </c>
      <c r="H66" s="110" t="n">
        <v>414.585</v>
      </c>
      <c r="I66" s="111" t="n">
        <v>0.1724</v>
      </c>
      <c r="J66" s="112" t="n">
        <f aca="false">ROUND(H66*I66,2)</f>
        <v>71.47</v>
      </c>
      <c r="L66" s="113" t="n">
        <v>406.93</v>
      </c>
      <c r="M66" s="114" t="n">
        <v>0.175</v>
      </c>
      <c r="N66" s="115" t="n">
        <f aca="false">ROUND(L66*M66,2)</f>
        <v>71.21</v>
      </c>
      <c r="O66" s="120" t="s">
        <v>622</v>
      </c>
      <c r="AA66" s="0" t="n">
        <v>606.93</v>
      </c>
    </row>
    <row r="67" customFormat="false" ht="15" hidden="false" customHeight="false" outlineLevel="0" collapsed="false">
      <c r="A67" s="104" t="s">
        <v>139</v>
      </c>
      <c r="B67" s="105" t="n">
        <v>1</v>
      </c>
      <c r="C67" s="106" t="n">
        <f aca="false">$N$59-$L$59+1</f>
        <v>30</v>
      </c>
      <c r="D67" s="107" t="n">
        <v>1.3414</v>
      </c>
      <c r="E67" s="108" t="n">
        <v>1</v>
      </c>
      <c r="F67" s="109" t="n">
        <f aca="false">ROUND(B67*E67,2)</f>
        <v>1</v>
      </c>
      <c r="H67" s="110" t="n">
        <v>1</v>
      </c>
      <c r="I67" s="111" t="n">
        <v>1</v>
      </c>
      <c r="J67" s="112" t="n">
        <f aca="false">ROUND(H67*I67,2)</f>
        <v>1</v>
      </c>
      <c r="L67" s="113" t="n">
        <v>1</v>
      </c>
      <c r="M67" s="114" t="n">
        <v>1</v>
      </c>
      <c r="N67" s="115" t="n">
        <f aca="false">ROUND(L67*M67,2)</f>
        <v>1</v>
      </c>
    </row>
    <row r="68" customFormat="false" ht="15" hidden="false" customHeight="false" outlineLevel="0" collapsed="false">
      <c r="A68" s="104" t="s">
        <v>140</v>
      </c>
      <c r="B68" s="105" t="n">
        <v>30</v>
      </c>
      <c r="C68" s="106" t="n">
        <f aca="false">$N$59-$L$59+1</f>
        <v>30</v>
      </c>
      <c r="D68" s="107" t="n">
        <v>0.5736</v>
      </c>
      <c r="E68" s="108" t="n">
        <v>0.01274</v>
      </c>
      <c r="F68" s="109" t="n">
        <f aca="false">ROUND(B68*E68,2)</f>
        <v>0.38</v>
      </c>
      <c r="H68" s="110" t="n">
        <v>30</v>
      </c>
      <c r="I68" s="111" t="n">
        <v>0.01274</v>
      </c>
      <c r="J68" s="112" t="n">
        <f aca="false">ROUND(H68*I68,2)</f>
        <v>0.38</v>
      </c>
      <c r="L68" s="113" t="n">
        <v>30</v>
      </c>
      <c r="M68" s="114" t="n">
        <v>0.00685</v>
      </c>
      <c r="N68" s="115" t="n">
        <f aca="false">ROUND(L68*M68,2)</f>
        <v>0.21</v>
      </c>
    </row>
    <row r="69" customFormat="false" ht="15" hidden="false" customHeight="false" outlineLevel="0" collapsed="false">
      <c r="A69" s="104" t="s">
        <v>141</v>
      </c>
      <c r="B69" s="105" t="n">
        <v>15.66</v>
      </c>
      <c r="C69" s="118"/>
      <c r="D69" s="107" t="n">
        <v>0.27312</v>
      </c>
      <c r="E69" s="108" t="n">
        <v>1</v>
      </c>
      <c r="F69" s="109" t="n">
        <f aca="false">ROUND(B69*E69,2)</f>
        <v>15.66</v>
      </c>
      <c r="H69" s="110" t="n">
        <v>10.98</v>
      </c>
      <c r="I69" s="111" t="n">
        <v>1</v>
      </c>
      <c r="J69" s="112" t="n">
        <f aca="false">ROUND(H69*I69,2)</f>
        <v>10.98</v>
      </c>
      <c r="L69" s="113" t="n">
        <v>10.57</v>
      </c>
      <c r="M69" s="114" t="n">
        <v>1</v>
      </c>
      <c r="N69" s="115" t="n">
        <f aca="false">ROUND(L69*M69,2)</f>
        <v>10.57</v>
      </c>
    </row>
    <row r="70" customFormat="false" ht="15" hidden="false" customHeight="false" outlineLevel="0" collapsed="false">
      <c r="A70" s="121" t="s">
        <v>142</v>
      </c>
      <c r="F70" s="122" t="n">
        <f aca="false">ROUND((SUM(F62:F69)-F69)*1.1+F69,2)</f>
        <v>341.14</v>
      </c>
      <c r="J70" s="123" t="n">
        <f aca="false">ROUND(SUM(J62:J69),2)</f>
        <v>218.11</v>
      </c>
      <c r="N70" s="124" t="n">
        <f aca="false">ROUND(SUM(N62:N69),2)</f>
        <v>208.48</v>
      </c>
    </row>
    <row r="71" customFormat="false" ht="15" hidden="false" customHeight="false" outlineLevel="0" collapsed="false">
      <c r="A71" s="93" t="s">
        <v>143</v>
      </c>
      <c r="B71" s="125" t="n">
        <f aca="false">IF((F66+F65+F64+F62+F63)=0,"",((F66+F65+F64+F62+F63)-$AB$64)/(F66+F65+F64+F62+F63))</f>
        <v>0.338841935061628</v>
      </c>
      <c r="D71" s="126" t="str">
        <f aca="false">IF(B71="","SIN PC",IF(B71&gt;=0.3,"APROBAR",IF(B71&gt;=0.2,"REVISAR","RECHAZAR")))</f>
        <v>APROBAR</v>
      </c>
      <c r="E71" s="126"/>
      <c r="F71" s="126"/>
      <c r="AD71" s="0" t="n">
        <f aca="false">SUM(F64:F66)-244.6972</f>
        <v>0.00279999999997926</v>
      </c>
    </row>
    <row r="73" customFormat="false" ht="15" hidden="false" customHeight="false" outlineLevel="0" collapsed="false">
      <c r="A73" s="89" t="s">
        <v>659</v>
      </c>
      <c r="B73" s="89"/>
      <c r="C73" s="89"/>
      <c r="D73" s="89"/>
      <c r="E73" s="89"/>
      <c r="F73" s="89"/>
      <c r="H73" s="89" t="s">
        <v>660</v>
      </c>
      <c r="I73" s="89"/>
      <c r="J73" s="89"/>
      <c r="K73" s="89"/>
      <c r="L73" s="90" t="n">
        <v>46113</v>
      </c>
      <c r="M73" s="91" t="s">
        <v>608</v>
      </c>
      <c r="N73" s="90" t="n">
        <v>46142</v>
      </c>
      <c r="R73" s="92" t="s">
        <v>110</v>
      </c>
      <c r="S73" s="92"/>
      <c r="T73" s="92"/>
      <c r="U73" s="92"/>
      <c r="V73" s="92"/>
    </row>
    <row r="74" customFormat="false" ht="15" hidden="false" customHeight="false" outlineLevel="0" collapsed="false">
      <c r="A74" s="93" t="s">
        <v>111</v>
      </c>
      <c r="B74" s="94" t="s">
        <v>112</v>
      </c>
      <c r="C74" s="95"/>
      <c r="D74" s="95"/>
      <c r="E74" s="95"/>
      <c r="F74" s="95"/>
      <c r="H74" s="96" t="s">
        <v>661</v>
      </c>
      <c r="I74" s="97"/>
      <c r="J74" s="97"/>
      <c r="L74" s="98" t="s">
        <v>662</v>
      </c>
      <c r="M74" s="99"/>
      <c r="N74" s="99"/>
      <c r="R74" s="100" t="s">
        <v>663</v>
      </c>
    </row>
    <row r="75" customFormat="false" ht="15" hidden="false" customHeight="false" outlineLevel="0" collapsed="false">
      <c r="B75" s="81" t="s">
        <v>116</v>
      </c>
      <c r="C75" s="81" t="s">
        <v>117</v>
      </c>
      <c r="D75" s="81" t="s">
        <v>118</v>
      </c>
      <c r="E75" s="81" t="s">
        <v>119</v>
      </c>
      <c r="F75" s="81" t="s">
        <v>120</v>
      </c>
      <c r="H75" s="101" t="s">
        <v>116</v>
      </c>
      <c r="I75" s="101" t="s">
        <v>119</v>
      </c>
      <c r="J75" s="101" t="s">
        <v>120</v>
      </c>
      <c r="L75" s="102" t="s">
        <v>116</v>
      </c>
      <c r="M75" s="102" t="s">
        <v>119</v>
      </c>
      <c r="N75" s="102" t="s">
        <v>120</v>
      </c>
      <c r="R75" s="103" t="s">
        <v>664</v>
      </c>
    </row>
    <row r="76" customFormat="false" ht="15" hidden="false" customHeight="false" outlineLevel="0" collapsed="false">
      <c r="A76" s="104" t="s">
        <v>122</v>
      </c>
      <c r="B76" s="105" t="n">
        <v>6.928</v>
      </c>
      <c r="C76" s="106" t="n">
        <f aca="false">$N$73-$L$73+1</f>
        <v>30</v>
      </c>
      <c r="D76" s="107" t="n">
        <v>3.68919</v>
      </c>
      <c r="E76" s="108" t="n">
        <v>4.82</v>
      </c>
      <c r="F76" s="109" t="n">
        <f aca="false">ROUND(B76*E76,2)</f>
        <v>33.39</v>
      </c>
      <c r="H76" s="110" t="n">
        <v>6.928</v>
      </c>
      <c r="I76" s="111" t="n">
        <v>4.82</v>
      </c>
      <c r="J76" s="112" t="n">
        <f aca="false">ROUND(H76*I76,2)</f>
        <v>33.39</v>
      </c>
      <c r="L76" s="113" t="n">
        <v>6.928</v>
      </c>
      <c r="M76" s="114" t="n">
        <v>4.82</v>
      </c>
      <c r="N76" s="115" t="n">
        <f aca="false">ROUND(L76*M76,2)</f>
        <v>33.39</v>
      </c>
      <c r="R76" s="116" t="s">
        <v>665</v>
      </c>
    </row>
    <row r="77" customFormat="false" ht="15" hidden="false" customHeight="false" outlineLevel="0" collapsed="false">
      <c r="A77" s="104" t="s">
        <v>124</v>
      </c>
      <c r="B77" s="105" t="n">
        <v>6.928</v>
      </c>
      <c r="C77" s="106" t="n">
        <f aca="false">$N$73-$L$73+1</f>
        <v>30</v>
      </c>
      <c r="D77" s="107" t="n">
        <v>1.31928</v>
      </c>
      <c r="E77" s="108" t="n">
        <v>2.37</v>
      </c>
      <c r="F77" s="109" t="n">
        <f aca="false">ROUND(B77*E77,2)</f>
        <v>16.42</v>
      </c>
      <c r="H77" s="110" t="n">
        <v>6.928</v>
      </c>
      <c r="I77" s="111" t="n">
        <v>2.37</v>
      </c>
      <c r="J77" s="112" t="n">
        <f aca="false">ROUND(H77*I77,2)</f>
        <v>16.42</v>
      </c>
      <c r="L77" s="113" t="n">
        <v>6.928</v>
      </c>
      <c r="M77" s="114" t="n">
        <v>2.37</v>
      </c>
      <c r="N77" s="115" t="n">
        <f aca="false">ROUND(L77*M77,2)</f>
        <v>16.42</v>
      </c>
      <c r="R77" s="117" t="s">
        <v>666</v>
      </c>
    </row>
    <row r="78" customFormat="false" ht="15" hidden="false" customHeight="false" outlineLevel="0" collapsed="false">
      <c r="A78" s="104" t="s">
        <v>615</v>
      </c>
      <c r="B78" s="105" t="n">
        <f aca="false">IF($P$78&lt;&gt;"",ROUND(AA78*(($AB$78/(1-$P$78))-49.8123)/104.6752,2),IF('Resumen 2.0TD'!$D$3="OPTIMIZAR",ROUND(MAX(AA78,MIN(AA78*(($AB$78/(1-'Resumen 2.0TD'!$F$3))-49.8123)/104.6752,AA78*(276.9555)/104.6752)),3),AA78))</f>
        <v>191.223</v>
      </c>
      <c r="C78" s="118"/>
      <c r="D78" s="107" t="n">
        <v>0.111171</v>
      </c>
      <c r="E78" s="108" t="n">
        <v>0.1724</v>
      </c>
      <c r="F78" s="109" t="n">
        <f aca="false">ROUND(B78*E78,2)</f>
        <v>32.97</v>
      </c>
      <c r="H78" s="110" t="n">
        <v>241.525</v>
      </c>
      <c r="I78" s="111" t="n">
        <v>0.1724</v>
      </c>
      <c r="J78" s="112" t="n">
        <f aca="false">ROUND(H78*I78,2)</f>
        <v>41.64</v>
      </c>
      <c r="L78" s="113" t="n">
        <v>98.223</v>
      </c>
      <c r="M78" s="114" t="n">
        <v>0.175</v>
      </c>
      <c r="N78" s="115" t="n">
        <f aca="false">ROUND(L78*M78,2)</f>
        <v>17.19</v>
      </c>
      <c r="O78" s="119" t="s">
        <v>616</v>
      </c>
      <c r="P78" s="79"/>
      <c r="R78" s="117" t="s">
        <v>667</v>
      </c>
      <c r="AA78" s="0" t="n">
        <v>191.223</v>
      </c>
      <c r="AB78" s="0" t="n">
        <f aca="false">B76*D76+B77*D77+AA78*D78+AA79*D79+AA80*D80</f>
        <v>102.573800697</v>
      </c>
    </row>
    <row r="79" customFormat="false" ht="15" hidden="false" customHeight="false" outlineLevel="0" collapsed="false">
      <c r="A79" s="104" t="s">
        <v>618</v>
      </c>
      <c r="B79" s="105" t="n">
        <f aca="false">IF($P$78&lt;&gt;"",ROUND(AA79*(($AB$78/(1-$P$78))-49.8123)/104.6752,2),IF('Resumen 2.0TD'!$D$3="OPTIMIZAR",ROUND(MAX(AA79,MIN(AA79*(($AB$78/(1-'Resumen 2.0TD'!$F$3))-49.8123)/104.6752,AA79*(276.9555)/104.6752)),3),AA79))</f>
        <v>176.381</v>
      </c>
      <c r="C79" s="118"/>
      <c r="D79" s="107" t="n">
        <v>0.111171</v>
      </c>
      <c r="E79" s="108" t="n">
        <v>0.1724</v>
      </c>
      <c r="F79" s="109" t="n">
        <f aca="false">ROUND(B79*E79,2)</f>
        <v>30.41</v>
      </c>
      <c r="H79" s="110" t="n">
        <v>215.785</v>
      </c>
      <c r="I79" s="111" t="n">
        <v>0.1724</v>
      </c>
      <c r="J79" s="112" t="n">
        <f aca="false">ROUND(H79*I79,2)</f>
        <v>37.2</v>
      </c>
      <c r="L79" s="113" t="n">
        <v>75.381</v>
      </c>
      <c r="M79" s="114" t="n">
        <v>0.175</v>
      </c>
      <c r="N79" s="115" t="n">
        <f aca="false">ROUND(L79*M79,2)</f>
        <v>13.19</v>
      </c>
      <c r="O79" s="120" t="s">
        <v>619</v>
      </c>
      <c r="R79" s="117" t="s">
        <v>620</v>
      </c>
      <c r="AA79" s="0" t="n">
        <v>176.381</v>
      </c>
    </row>
    <row r="80" customFormat="false" ht="15" hidden="false" customHeight="false" outlineLevel="0" collapsed="false">
      <c r="A80" s="104" t="s">
        <v>621</v>
      </c>
      <c r="B80" s="105" t="n">
        <f aca="false">IF($P$78&lt;&gt;"",ROUND(AA80*(($AB$78/(1-$P$78))-49.8123)/104.6752,2),IF('Resumen 2.0TD'!$D$3="OPTIMIZAR",ROUND(MAX(AA80,MIN(AA80*(($AB$78/(1-'Resumen 2.0TD'!$F$3))-49.8123)/104.6752,AA80*(276.9555)/104.6752)),3),AA80))</f>
        <v>242.943</v>
      </c>
      <c r="C80" s="118"/>
      <c r="D80" s="107" t="n">
        <v>0.111171</v>
      </c>
      <c r="E80" s="108" t="n">
        <v>0.17</v>
      </c>
      <c r="F80" s="109" t="n">
        <f aca="false">ROUND(B80*E80,2)</f>
        <v>41.3</v>
      </c>
      <c r="H80" s="110" t="n">
        <v>326.045</v>
      </c>
      <c r="I80" s="111" t="n">
        <v>0.1724</v>
      </c>
      <c r="J80" s="112" t="n">
        <f aca="false">ROUND(H80*I80,2)</f>
        <v>56.21</v>
      </c>
      <c r="L80" s="113" t="n">
        <v>142.943</v>
      </c>
      <c r="M80" s="114" t="n">
        <v>0.175</v>
      </c>
      <c r="N80" s="115" t="n">
        <f aca="false">ROUND(L80*M80,2)</f>
        <v>25.02</v>
      </c>
      <c r="O80" s="120" t="s">
        <v>622</v>
      </c>
      <c r="AA80" s="0" t="n">
        <v>242.943</v>
      </c>
    </row>
    <row r="81" customFormat="false" ht="15" hidden="false" customHeight="false" outlineLevel="0" collapsed="false">
      <c r="A81" s="104" t="s">
        <v>139</v>
      </c>
      <c r="B81" s="105" t="n">
        <v>1</v>
      </c>
      <c r="C81" s="106" t="n">
        <f aca="false">$N$73-$L$73+1</f>
        <v>30</v>
      </c>
      <c r="D81" s="107" t="n">
        <v>1.3414</v>
      </c>
      <c r="E81" s="108" t="n">
        <v>1</v>
      </c>
      <c r="F81" s="109" t="n">
        <f aca="false">ROUND(B81*E81,2)</f>
        <v>1</v>
      </c>
      <c r="H81" s="110" t="n">
        <v>1</v>
      </c>
      <c r="I81" s="111" t="n">
        <v>1</v>
      </c>
      <c r="J81" s="112" t="n">
        <f aca="false">ROUND(H81*I81,2)</f>
        <v>1</v>
      </c>
      <c r="L81" s="113" t="n">
        <v>1</v>
      </c>
      <c r="M81" s="114" t="n">
        <v>1</v>
      </c>
      <c r="N81" s="115" t="n">
        <f aca="false">ROUND(L81*M81,2)</f>
        <v>1</v>
      </c>
    </row>
    <row r="82" customFormat="false" ht="15" hidden="false" customHeight="false" outlineLevel="0" collapsed="false">
      <c r="A82" s="104" t="s">
        <v>140</v>
      </c>
      <c r="B82" s="105" t="n">
        <v>30</v>
      </c>
      <c r="C82" s="106" t="n">
        <f aca="false">$N$73-$L$73+1</f>
        <v>30</v>
      </c>
      <c r="D82" s="107" t="n">
        <v>0.5736</v>
      </c>
      <c r="E82" s="108" t="n">
        <v>0.01274</v>
      </c>
      <c r="F82" s="109" t="n">
        <f aca="false">ROUND(B82*E82,2)</f>
        <v>0.38</v>
      </c>
      <c r="H82" s="110" t="n">
        <v>30</v>
      </c>
      <c r="I82" s="111" t="n">
        <v>0.01274</v>
      </c>
      <c r="J82" s="112" t="n">
        <f aca="false">ROUND(H82*I82,2)</f>
        <v>0.38</v>
      </c>
      <c r="L82" s="113" t="n">
        <v>30</v>
      </c>
      <c r="M82" s="114" t="n">
        <v>0.00685</v>
      </c>
      <c r="N82" s="115" t="n">
        <f aca="false">ROUND(L82*M82,2)</f>
        <v>0.21</v>
      </c>
    </row>
    <row r="83" customFormat="false" ht="15" hidden="false" customHeight="false" outlineLevel="0" collapsed="false">
      <c r="A83" s="104" t="s">
        <v>141</v>
      </c>
      <c r="B83" s="105" t="n">
        <v>8.24</v>
      </c>
      <c r="C83" s="118"/>
      <c r="D83" s="107" t="n">
        <v>0.27312</v>
      </c>
      <c r="E83" s="108" t="n">
        <v>1</v>
      </c>
      <c r="F83" s="109" t="n">
        <f aca="false">ROUND(B83*E83,2)</f>
        <v>8.24</v>
      </c>
      <c r="H83" s="110" t="n">
        <v>9.86</v>
      </c>
      <c r="I83" s="111" t="n">
        <v>1</v>
      </c>
      <c r="J83" s="112" t="n">
        <f aca="false">ROUND(H83*I83,2)</f>
        <v>9.86</v>
      </c>
      <c r="L83" s="113" t="n">
        <v>5.39</v>
      </c>
      <c r="M83" s="114" t="n">
        <v>1</v>
      </c>
      <c r="N83" s="115" t="n">
        <f aca="false">ROUND(L83*M83,2)</f>
        <v>5.39</v>
      </c>
    </row>
    <row r="84" customFormat="false" ht="15" hidden="false" customHeight="false" outlineLevel="0" collapsed="false">
      <c r="A84" s="121" t="s">
        <v>142</v>
      </c>
      <c r="F84" s="122" t="n">
        <f aca="false">ROUND((SUM(F76:F83)-F83)*1.1+F83,2)</f>
        <v>179.7</v>
      </c>
      <c r="J84" s="123" t="n">
        <f aca="false">ROUND(SUM(J76:J83),2)</f>
        <v>196.1</v>
      </c>
      <c r="N84" s="124" t="n">
        <f aca="false">ROUND(SUM(N76:N83),2)</f>
        <v>111.81</v>
      </c>
    </row>
    <row r="85" customFormat="false" ht="15" hidden="false" customHeight="false" outlineLevel="0" collapsed="false">
      <c r="A85" s="93" t="s">
        <v>143</v>
      </c>
      <c r="B85" s="125" t="n">
        <f aca="false">IF((F80+F79+F78+F76+F77)=0,"",((F80+F79+F78+F76+F77)-$AB$78)/(F80+F79+F78+F76+F77))</f>
        <v>0.336048930694543</v>
      </c>
      <c r="D85" s="126" t="str">
        <f aca="false">IF(B85="","SIN PC",IF(B85&gt;=0.3,"APROBAR",IF(B85&gt;=0.2,"REVISAR","RECHAZAR")))</f>
        <v>APROBAR</v>
      </c>
      <c r="E85" s="126"/>
      <c r="F85" s="126"/>
      <c r="AD85" s="0" t="n">
        <f aca="false">SUM(F78:F80)-104.6752</f>
        <v>0.00479999999998881</v>
      </c>
    </row>
    <row r="87" customFormat="false" ht="15" hidden="false" customHeight="false" outlineLevel="0" collapsed="false">
      <c r="A87" s="89" t="s">
        <v>668</v>
      </c>
      <c r="B87" s="89"/>
      <c r="C87" s="89"/>
      <c r="D87" s="89"/>
      <c r="E87" s="89"/>
      <c r="F87" s="89"/>
      <c r="H87" s="89" t="s">
        <v>669</v>
      </c>
      <c r="I87" s="89"/>
      <c r="J87" s="89"/>
      <c r="K87" s="89"/>
      <c r="L87" s="90" t="n">
        <v>46113</v>
      </c>
      <c r="M87" s="91" t="s">
        <v>608</v>
      </c>
      <c r="N87" s="90" t="n">
        <v>46142</v>
      </c>
      <c r="R87" s="92" t="s">
        <v>110</v>
      </c>
      <c r="S87" s="92"/>
      <c r="T87" s="92"/>
      <c r="U87" s="92"/>
      <c r="V87" s="92"/>
    </row>
    <row r="88" customFormat="false" ht="15" hidden="false" customHeight="false" outlineLevel="0" collapsed="false">
      <c r="A88" s="93" t="s">
        <v>111</v>
      </c>
      <c r="B88" s="94" t="s">
        <v>112</v>
      </c>
      <c r="C88" s="95"/>
      <c r="D88" s="95"/>
      <c r="E88" s="95"/>
      <c r="F88" s="95"/>
      <c r="H88" s="96" t="s">
        <v>670</v>
      </c>
      <c r="I88" s="97"/>
      <c r="J88" s="97"/>
      <c r="L88" s="98" t="s">
        <v>671</v>
      </c>
      <c r="M88" s="99"/>
      <c r="N88" s="99"/>
      <c r="R88" s="100" t="s">
        <v>672</v>
      </c>
    </row>
    <row r="89" customFormat="false" ht="15" hidden="false" customHeight="false" outlineLevel="0" collapsed="false">
      <c r="B89" s="81" t="s">
        <v>116</v>
      </c>
      <c r="C89" s="81" t="s">
        <v>117</v>
      </c>
      <c r="D89" s="81" t="s">
        <v>118</v>
      </c>
      <c r="E89" s="81" t="s">
        <v>119</v>
      </c>
      <c r="F89" s="81" t="s">
        <v>120</v>
      </c>
      <c r="H89" s="101" t="s">
        <v>116</v>
      </c>
      <c r="I89" s="101" t="s">
        <v>119</v>
      </c>
      <c r="J89" s="101" t="s">
        <v>120</v>
      </c>
      <c r="L89" s="102" t="s">
        <v>116</v>
      </c>
      <c r="M89" s="102" t="s">
        <v>119</v>
      </c>
      <c r="N89" s="102" t="s">
        <v>120</v>
      </c>
      <c r="R89" s="103" t="s">
        <v>673</v>
      </c>
    </row>
    <row r="90" customFormat="false" ht="15" hidden="false" customHeight="false" outlineLevel="0" collapsed="false">
      <c r="A90" s="104" t="s">
        <v>122</v>
      </c>
      <c r="B90" s="105" t="n">
        <v>6.928</v>
      </c>
      <c r="C90" s="106" t="n">
        <f aca="false">$N$87-$L$87+1</f>
        <v>30</v>
      </c>
      <c r="D90" s="107" t="n">
        <v>3.68919</v>
      </c>
      <c r="E90" s="108" t="n">
        <v>4.82</v>
      </c>
      <c r="F90" s="109" t="n">
        <f aca="false">ROUND(B90*E90,2)</f>
        <v>33.39</v>
      </c>
      <c r="H90" s="110" t="n">
        <v>6.928</v>
      </c>
      <c r="I90" s="111" t="n">
        <v>4.82</v>
      </c>
      <c r="J90" s="112" t="n">
        <f aca="false">ROUND(H90*I90,2)</f>
        <v>33.39</v>
      </c>
      <c r="L90" s="113" t="n">
        <v>6.928</v>
      </c>
      <c r="M90" s="114" t="n">
        <v>4.82</v>
      </c>
      <c r="N90" s="115" t="n">
        <f aca="false">ROUND(L90*M90,2)</f>
        <v>33.39</v>
      </c>
      <c r="R90" s="116" t="s">
        <v>674</v>
      </c>
    </row>
    <row r="91" customFormat="false" ht="15" hidden="false" customHeight="false" outlineLevel="0" collapsed="false">
      <c r="A91" s="104" t="s">
        <v>124</v>
      </c>
      <c r="B91" s="105" t="n">
        <v>6.928</v>
      </c>
      <c r="C91" s="106" t="n">
        <f aca="false">$N$87-$L$87+1</f>
        <v>30</v>
      </c>
      <c r="D91" s="107" t="n">
        <v>1.31928</v>
      </c>
      <c r="E91" s="108" t="n">
        <v>2.37</v>
      </c>
      <c r="F91" s="109" t="n">
        <f aca="false">ROUND(B91*E91,2)</f>
        <v>16.42</v>
      </c>
      <c r="H91" s="110" t="n">
        <v>6.928</v>
      </c>
      <c r="I91" s="111" t="n">
        <v>2.37</v>
      </c>
      <c r="J91" s="112" t="n">
        <f aca="false">ROUND(H91*I91,2)</f>
        <v>16.42</v>
      </c>
      <c r="L91" s="113" t="n">
        <v>6.928</v>
      </c>
      <c r="M91" s="114" t="n">
        <v>2.37</v>
      </c>
      <c r="N91" s="115" t="n">
        <f aca="false">ROUND(L91*M91,2)</f>
        <v>16.42</v>
      </c>
      <c r="R91" s="117" t="s">
        <v>675</v>
      </c>
    </row>
    <row r="92" customFormat="false" ht="15" hidden="false" customHeight="false" outlineLevel="0" collapsed="false">
      <c r="A92" s="104" t="s">
        <v>615</v>
      </c>
      <c r="B92" s="105" t="n">
        <f aca="false">IF($P$92&lt;&gt;"",ROUND(AA92*(($AB$92/(1-$P$92))-49.8123)/247.3293,2),IF('Resumen 2.0TD'!$D$3="OPTIMIZAR",ROUND(MAX(AA92,MIN(AA92*(($AB$92/(1-'Resumen 2.0TD'!$F$3))-49.8123)/247.3293,AA92*(532.4255)/247.3293)),3),AA92))</f>
        <v>374.461</v>
      </c>
      <c r="C92" s="118"/>
      <c r="D92" s="107" t="n">
        <v>0.111171</v>
      </c>
      <c r="E92" s="108" t="n">
        <v>0.17</v>
      </c>
      <c r="F92" s="109" t="n">
        <f aca="false">ROUND(B92*E92,2)</f>
        <v>63.66</v>
      </c>
      <c r="H92" s="110" t="n">
        <v>372.052</v>
      </c>
      <c r="I92" s="111" t="n">
        <v>0.175</v>
      </c>
      <c r="J92" s="112" t="n">
        <f aca="false">ROUND(H92*I92,2)</f>
        <v>65.11</v>
      </c>
      <c r="L92" s="113" t="n">
        <v>284.461</v>
      </c>
      <c r="M92" s="114" t="n">
        <v>0.175</v>
      </c>
      <c r="N92" s="115" t="n">
        <f aca="false">ROUND(L92*M92,2)</f>
        <v>49.78</v>
      </c>
      <c r="O92" s="119" t="s">
        <v>616</v>
      </c>
      <c r="P92" s="79"/>
      <c r="R92" s="117" t="s">
        <v>676</v>
      </c>
      <c r="AA92" s="0" t="n">
        <v>374.461</v>
      </c>
      <c r="AB92" s="0" t="n">
        <f aca="false">B90*D90+B91*D91+AA92*D92+AA93*D93+AA94*D94</f>
        <v>196.438922298</v>
      </c>
    </row>
    <row r="93" customFormat="false" ht="15" hidden="false" customHeight="false" outlineLevel="0" collapsed="false">
      <c r="A93" s="104" t="s">
        <v>618</v>
      </c>
      <c r="B93" s="105" t="n">
        <f aca="false">IF($P$92&lt;&gt;"",ROUND(AA93*(($AB$92/(1-$P$92))-49.8123)/247.3293,2),IF('Resumen 2.0TD'!$D$3="OPTIMIZAR",ROUND(MAX(AA93,MIN(AA93*(($AB$92/(1-'Resumen 2.0TD'!$F$3))-49.8123)/247.3293,AA93*(532.4255)/247.3293)),3),AA93))</f>
        <v>399.208</v>
      </c>
      <c r="C93" s="118"/>
      <c r="D93" s="107" t="n">
        <v>0.111171</v>
      </c>
      <c r="E93" s="108" t="n">
        <v>0.17</v>
      </c>
      <c r="F93" s="109" t="n">
        <f aca="false">ROUND(B93*E93,2)</f>
        <v>67.87</v>
      </c>
      <c r="H93" s="110" t="n">
        <v>370.213</v>
      </c>
      <c r="I93" s="111" t="n">
        <v>0.175</v>
      </c>
      <c r="J93" s="112" t="n">
        <f aca="false">ROUND(H93*I93,2)</f>
        <v>64.79</v>
      </c>
      <c r="L93" s="113" t="n">
        <v>259.208</v>
      </c>
      <c r="M93" s="114" t="n">
        <v>0.175</v>
      </c>
      <c r="N93" s="115" t="n">
        <f aca="false">ROUND(L93*M93,2)</f>
        <v>45.36</v>
      </c>
      <c r="O93" s="120" t="s">
        <v>619</v>
      </c>
      <c r="R93" s="117" t="s">
        <v>620</v>
      </c>
      <c r="AA93" s="0" t="n">
        <v>399.208</v>
      </c>
    </row>
    <row r="94" customFormat="false" ht="15" hidden="false" customHeight="false" outlineLevel="0" collapsed="false">
      <c r="A94" s="104" t="s">
        <v>621</v>
      </c>
      <c r="B94" s="105" t="n">
        <f aca="false">IF($P$92&lt;&gt;"",ROUND(AA94*(($AB$92/(1-$P$92))-49.8123)/247.3293,2),IF('Resumen 2.0TD'!$D$3="OPTIMIZAR",ROUND(MAX(AA94,MIN(AA94*(($AB$92/(1-'Resumen 2.0TD'!$F$3))-49.8123)/247.3293,AA94*(532.4255)/247.3293)),3),AA94))</f>
        <v>681.209</v>
      </c>
      <c r="C94" s="118"/>
      <c r="D94" s="107" t="n">
        <v>0.111171</v>
      </c>
      <c r="E94" s="108" t="n">
        <v>0.17</v>
      </c>
      <c r="F94" s="109" t="n">
        <f aca="false">ROUND(B94*E94,2)</f>
        <v>115.81</v>
      </c>
      <c r="H94" s="110" t="n">
        <v>657.524</v>
      </c>
      <c r="I94" s="111" t="n">
        <v>0.175</v>
      </c>
      <c r="J94" s="112" t="n">
        <f aca="false">ROUND(H94*I94,2)</f>
        <v>115.07</v>
      </c>
      <c r="L94" s="113" t="n">
        <v>485.209</v>
      </c>
      <c r="M94" s="114" t="n">
        <v>0.175</v>
      </c>
      <c r="N94" s="115" t="n">
        <f aca="false">ROUND(L94*M94,2)</f>
        <v>84.91</v>
      </c>
      <c r="O94" s="120" t="s">
        <v>622</v>
      </c>
      <c r="AA94" s="0" t="n">
        <v>681.209</v>
      </c>
    </row>
    <row r="95" customFormat="false" ht="15" hidden="false" customHeight="false" outlineLevel="0" collapsed="false">
      <c r="A95" s="104" t="s">
        <v>139</v>
      </c>
      <c r="B95" s="105" t="n">
        <v>1</v>
      </c>
      <c r="C95" s="106" t="n">
        <f aca="false">$N$87-$L$87+1</f>
        <v>30</v>
      </c>
      <c r="D95" s="107" t="n">
        <v>1.3414</v>
      </c>
      <c r="E95" s="108" t="n">
        <v>1</v>
      </c>
      <c r="F95" s="109" t="n">
        <f aca="false">ROUND(B95*E95,2)</f>
        <v>1</v>
      </c>
      <c r="H95" s="110" t="n">
        <v>1</v>
      </c>
      <c r="I95" s="111" t="n">
        <v>1</v>
      </c>
      <c r="J95" s="112" t="n">
        <f aca="false">ROUND(H95*I95,2)</f>
        <v>1</v>
      </c>
      <c r="L95" s="113" t="n">
        <v>1</v>
      </c>
      <c r="M95" s="114" t="n">
        <v>1</v>
      </c>
      <c r="N95" s="115" t="n">
        <f aca="false">ROUND(L95*M95,2)</f>
        <v>1</v>
      </c>
    </row>
    <row r="96" customFormat="false" ht="15" hidden="false" customHeight="false" outlineLevel="0" collapsed="false">
      <c r="A96" s="104" t="s">
        <v>140</v>
      </c>
      <c r="B96" s="105" t="n">
        <v>30</v>
      </c>
      <c r="C96" s="106" t="n">
        <f aca="false">$N$87-$L$87+1</f>
        <v>30</v>
      </c>
      <c r="D96" s="107" t="n">
        <v>0.5736</v>
      </c>
      <c r="E96" s="108" t="n">
        <v>0.01274</v>
      </c>
      <c r="F96" s="109" t="n">
        <f aca="false">ROUND(B96*E96,2)</f>
        <v>0.38</v>
      </c>
      <c r="H96" s="110" t="n">
        <v>30</v>
      </c>
      <c r="I96" s="111" t="n">
        <v>0.01274</v>
      </c>
      <c r="J96" s="112" t="n">
        <f aca="false">ROUND(H96*I96,2)</f>
        <v>0.38</v>
      </c>
      <c r="L96" s="113" t="n">
        <v>30</v>
      </c>
      <c r="M96" s="114" t="n">
        <v>0.00685</v>
      </c>
      <c r="N96" s="115" t="n">
        <f aca="false">ROUND(L96*M96,2)</f>
        <v>0.21</v>
      </c>
    </row>
    <row r="97" customFormat="false" ht="15" hidden="false" customHeight="false" outlineLevel="0" collapsed="false">
      <c r="A97" s="104" t="s">
        <v>141</v>
      </c>
      <c r="B97" s="105" t="n">
        <v>15.86</v>
      </c>
      <c r="C97" s="118"/>
      <c r="D97" s="107" t="n">
        <v>0.27312</v>
      </c>
      <c r="E97" s="108" t="n">
        <v>1</v>
      </c>
      <c r="F97" s="109" t="n">
        <f aca="false">ROUND(B97*E97,2)</f>
        <v>15.86</v>
      </c>
      <c r="H97" s="110" t="n">
        <v>15.75</v>
      </c>
      <c r="I97" s="111" t="n">
        <v>1</v>
      </c>
      <c r="J97" s="112" t="n">
        <f aca="false">ROUND(H97*I97,2)</f>
        <v>15.75</v>
      </c>
      <c r="L97" s="113" t="n">
        <v>11.76</v>
      </c>
      <c r="M97" s="114" t="n">
        <v>1</v>
      </c>
      <c r="N97" s="115" t="n">
        <f aca="false">ROUND(L97*M97,2)</f>
        <v>11.76</v>
      </c>
    </row>
    <row r="98" customFormat="false" ht="15" hidden="false" customHeight="false" outlineLevel="0" collapsed="false">
      <c r="A98" s="121" t="s">
        <v>142</v>
      </c>
      <c r="F98" s="122" t="n">
        <f aca="false">ROUND((SUM(F90:F97)-F97)*1.1+F97,2)</f>
        <v>344.24</v>
      </c>
      <c r="J98" s="123" t="n">
        <f aca="false">ROUND(SUM(J90:J97),2)</f>
        <v>311.91</v>
      </c>
      <c r="N98" s="124" t="n">
        <f aca="false">ROUND(SUM(N90:N97),2)</f>
        <v>242.83</v>
      </c>
    </row>
    <row r="99" customFormat="false" ht="15" hidden="false" customHeight="false" outlineLevel="0" collapsed="false">
      <c r="A99" s="93" t="s">
        <v>143</v>
      </c>
      <c r="B99" s="125" t="n">
        <f aca="false">IF((F94+F93+F92+F90+F91)=0,"",((F94+F93+F92+F90+F91)-$AB$92)/(F94+F93+F92+F90+F91))</f>
        <v>0.338923364300858</v>
      </c>
      <c r="D99" s="126" t="str">
        <f aca="false">IF(B99="","SIN PC",IF(B99&gt;=0.3,"APROBAR",IF(B99&gt;=0.2,"REVISAR","RECHAZAR")))</f>
        <v>APROBAR</v>
      </c>
      <c r="E99" s="126"/>
      <c r="F99" s="126"/>
      <c r="AD99" s="0" t="n">
        <f aca="false">SUM(F92:F94)-247.3293</f>
        <v>0.0107000000000141</v>
      </c>
    </row>
    <row r="101" customFormat="false" ht="15" hidden="false" customHeight="false" outlineLevel="0" collapsed="false">
      <c r="A101" s="89" t="s">
        <v>677</v>
      </c>
      <c r="B101" s="89"/>
      <c r="C101" s="89"/>
      <c r="D101" s="89"/>
      <c r="E101" s="89"/>
      <c r="F101" s="89"/>
      <c r="H101" s="89" t="s">
        <v>678</v>
      </c>
      <c r="I101" s="89"/>
      <c r="J101" s="89"/>
      <c r="K101" s="89"/>
      <c r="L101" s="90" t="n">
        <v>46113</v>
      </c>
      <c r="M101" s="91" t="s">
        <v>608</v>
      </c>
      <c r="N101" s="90" t="n">
        <v>46142</v>
      </c>
      <c r="R101" s="92" t="s">
        <v>110</v>
      </c>
      <c r="S101" s="92"/>
      <c r="T101" s="92"/>
      <c r="U101" s="92"/>
      <c r="V101" s="92"/>
    </row>
    <row r="102" customFormat="false" ht="15" hidden="false" customHeight="false" outlineLevel="0" collapsed="false">
      <c r="A102" s="93" t="s">
        <v>111</v>
      </c>
      <c r="B102" s="94" t="s">
        <v>112</v>
      </c>
      <c r="C102" s="95"/>
      <c r="D102" s="95"/>
      <c r="E102" s="95"/>
      <c r="F102" s="95"/>
      <c r="H102" s="96" t="s">
        <v>679</v>
      </c>
      <c r="I102" s="97"/>
      <c r="J102" s="97"/>
      <c r="L102" s="98" t="s">
        <v>680</v>
      </c>
      <c r="M102" s="99"/>
      <c r="N102" s="99"/>
    </row>
    <row r="103" customFormat="false" ht="15" hidden="false" customHeight="false" outlineLevel="0" collapsed="false">
      <c r="B103" s="81" t="s">
        <v>116</v>
      </c>
      <c r="C103" s="81" t="s">
        <v>117</v>
      </c>
      <c r="D103" s="81" t="s">
        <v>118</v>
      </c>
      <c r="E103" s="81" t="s">
        <v>119</v>
      </c>
      <c r="F103" s="81" t="s">
        <v>120</v>
      </c>
      <c r="H103" s="101" t="s">
        <v>116</v>
      </c>
      <c r="I103" s="101" t="s">
        <v>119</v>
      </c>
      <c r="J103" s="101" t="s">
        <v>120</v>
      </c>
      <c r="L103" s="102" t="s">
        <v>116</v>
      </c>
      <c r="M103" s="102" t="s">
        <v>119</v>
      </c>
      <c r="N103" s="102" t="s">
        <v>120</v>
      </c>
    </row>
    <row r="104" customFormat="false" ht="15" hidden="false" customHeight="false" outlineLevel="0" collapsed="false">
      <c r="A104" s="104" t="s">
        <v>122</v>
      </c>
      <c r="B104" s="105" t="n">
        <v>6.928</v>
      </c>
      <c r="C104" s="106" t="n">
        <f aca="false">$N$101-$L$101+1</f>
        <v>30</v>
      </c>
      <c r="D104" s="107" t="n">
        <v>3.68919</v>
      </c>
      <c r="E104" s="108" t="n">
        <v>4.82</v>
      </c>
      <c r="F104" s="109" t="n">
        <f aca="false">ROUND(B104*E104,2)</f>
        <v>33.39</v>
      </c>
      <c r="H104" s="110" t="n">
        <v>6.928</v>
      </c>
      <c r="I104" s="111" t="n">
        <v>4.82</v>
      </c>
      <c r="J104" s="112" t="n">
        <f aca="false">ROUND(H104*I104,2)</f>
        <v>33.39</v>
      </c>
      <c r="L104" s="113" t="n">
        <v>6.928</v>
      </c>
      <c r="M104" s="114" t="n">
        <v>4.82</v>
      </c>
      <c r="N104" s="115" t="n">
        <f aca="false">ROUND(L104*M104,2)</f>
        <v>33.39</v>
      </c>
    </row>
    <row r="105" customFormat="false" ht="15" hidden="false" customHeight="false" outlineLevel="0" collapsed="false">
      <c r="A105" s="104" t="s">
        <v>124</v>
      </c>
      <c r="B105" s="105" t="n">
        <v>6.928</v>
      </c>
      <c r="C105" s="106" t="n">
        <f aca="false">$N$101-$L$101+1</f>
        <v>30</v>
      </c>
      <c r="D105" s="107" t="n">
        <v>1.31928</v>
      </c>
      <c r="E105" s="108" t="n">
        <v>2.37</v>
      </c>
      <c r="F105" s="109" t="n">
        <f aca="false">ROUND(B105*E105,2)</f>
        <v>16.42</v>
      </c>
      <c r="H105" s="110" t="n">
        <v>6.928</v>
      </c>
      <c r="I105" s="111" t="n">
        <v>2.37</v>
      </c>
      <c r="J105" s="112" t="n">
        <f aca="false">ROUND(H105*I105,2)</f>
        <v>16.42</v>
      </c>
      <c r="L105" s="113" t="n">
        <v>6.928</v>
      </c>
      <c r="M105" s="114" t="n">
        <v>2.37</v>
      </c>
      <c r="N105" s="115" t="n">
        <f aca="false">ROUND(L105*M105,2)</f>
        <v>16.42</v>
      </c>
    </row>
    <row r="106" customFormat="false" ht="15" hidden="false" customHeight="false" outlineLevel="0" collapsed="false">
      <c r="A106" s="104" t="s">
        <v>615</v>
      </c>
      <c r="B106" s="105" t="n">
        <f aca="false">IF($P$106&lt;&gt;"",ROUND(AA106*(($AB$106/(1-$P$106))-49.8123)/106.8557,2),IF('Resumen 2.0TD'!$D$3="OPTIMIZAR",AA106,AA106))</f>
        <v>182.17</v>
      </c>
      <c r="C106" s="118"/>
      <c r="D106" s="107" t="n">
        <v>0.111171</v>
      </c>
      <c r="E106" s="108" t="n">
        <v>0.17</v>
      </c>
      <c r="F106" s="109" t="n">
        <f aca="false">ROUND(B106*E106,2)</f>
        <v>30.97</v>
      </c>
      <c r="H106" s="110" t="n">
        <v>381.405</v>
      </c>
      <c r="I106" s="111" t="n">
        <v>0.1724</v>
      </c>
      <c r="J106" s="112" t="n">
        <f aca="false">ROUND(H106*I106,2)</f>
        <v>65.75</v>
      </c>
      <c r="L106" s="113" t="n">
        <v>82.17</v>
      </c>
      <c r="M106" s="114" t="n">
        <v>0.175</v>
      </c>
      <c r="N106" s="115" t="n">
        <f aca="false">ROUND(L106*M106,2)</f>
        <v>14.38</v>
      </c>
      <c r="O106" s="119" t="s">
        <v>616</v>
      </c>
      <c r="P106" s="79"/>
      <c r="AA106" s="0" t="n">
        <v>182.17</v>
      </c>
      <c r="AB106" s="0" t="n">
        <f aca="false">B104*D104+B105*D105+AA106*D106+AA107*D107+AA108*D108</f>
        <v>104.576657433</v>
      </c>
    </row>
    <row r="107" customFormat="false" ht="15" hidden="false" customHeight="false" outlineLevel="0" collapsed="false">
      <c r="A107" s="104" t="s">
        <v>618</v>
      </c>
      <c r="B107" s="105" t="n">
        <f aca="false">IF($P$106&lt;&gt;"",ROUND(AA107*(($AB$106/(1-$P$106))-49.8123)/106.8557,2),IF('Resumen 2.0TD'!$D$3="OPTIMIZAR",AA107,AA107))</f>
        <v>176.133</v>
      </c>
      <c r="C107" s="118"/>
      <c r="D107" s="107" t="n">
        <v>0.111171</v>
      </c>
      <c r="E107" s="108" t="n">
        <v>0.17</v>
      </c>
      <c r="F107" s="109" t="n">
        <f aca="false">ROUND(B107*E107,2)</f>
        <v>29.94</v>
      </c>
      <c r="H107" s="110" t="n">
        <v>356.448</v>
      </c>
      <c r="I107" s="111" t="n">
        <v>0.1724</v>
      </c>
      <c r="J107" s="112" t="n">
        <f aca="false">ROUND(H107*I107,2)</f>
        <v>61.45</v>
      </c>
      <c r="L107" s="113" t="n">
        <v>76.133</v>
      </c>
      <c r="M107" s="114" t="n">
        <v>0.175</v>
      </c>
      <c r="N107" s="115" t="n">
        <f aca="false">ROUND(L107*M107,2)</f>
        <v>13.32</v>
      </c>
      <c r="O107" s="120" t="s">
        <v>619</v>
      </c>
      <c r="AA107" s="0" t="n">
        <v>176.133</v>
      </c>
    </row>
    <row r="108" customFormat="false" ht="15" hidden="false" customHeight="false" outlineLevel="0" collapsed="false">
      <c r="A108" s="104" t="s">
        <v>621</v>
      </c>
      <c r="B108" s="105" t="n">
        <f aca="false">IF($P$106&lt;&gt;"",ROUND(AA108*(($AB$106/(1-$P$106))-49.8123)/106.8557,2),IF('Resumen 2.0TD'!$D$3="OPTIMIZAR",AA108,AA108))</f>
        <v>270.26</v>
      </c>
      <c r="C108" s="118"/>
      <c r="D108" s="107" t="n">
        <v>0.111171</v>
      </c>
      <c r="E108" s="108" t="n">
        <v>0.17</v>
      </c>
      <c r="F108" s="109" t="n">
        <f aca="false">ROUND(B108*E108,2)</f>
        <v>45.94</v>
      </c>
      <c r="H108" s="110" t="n">
        <v>667.21</v>
      </c>
      <c r="I108" s="111" t="n">
        <v>0.1724</v>
      </c>
      <c r="J108" s="112" t="n">
        <f aca="false">ROUND(H108*I108,2)</f>
        <v>115.03</v>
      </c>
      <c r="L108" s="113" t="n">
        <v>170.26</v>
      </c>
      <c r="M108" s="114" t="n">
        <v>0.175</v>
      </c>
      <c r="N108" s="115" t="n">
        <f aca="false">ROUND(L108*M108,2)</f>
        <v>29.8</v>
      </c>
      <c r="O108" s="120" t="s">
        <v>622</v>
      </c>
      <c r="AA108" s="0" t="n">
        <v>270.26</v>
      </c>
    </row>
    <row r="109" customFormat="false" ht="15" hidden="false" customHeight="false" outlineLevel="0" collapsed="false">
      <c r="A109" s="104" t="s">
        <v>139</v>
      </c>
      <c r="B109" s="105" t="n">
        <v>1</v>
      </c>
      <c r="C109" s="106" t="n">
        <f aca="false">$N$101-$L$101+1</f>
        <v>30</v>
      </c>
      <c r="D109" s="107" t="n">
        <v>1.3414</v>
      </c>
      <c r="E109" s="108" t="n">
        <v>1</v>
      </c>
      <c r="F109" s="109" t="n">
        <f aca="false">ROUND(B109*E109,2)</f>
        <v>1</v>
      </c>
      <c r="H109" s="110" t="n">
        <v>1</v>
      </c>
      <c r="I109" s="111" t="n">
        <v>1</v>
      </c>
      <c r="J109" s="112" t="n">
        <f aca="false">ROUND(H109*I109,2)</f>
        <v>1</v>
      </c>
      <c r="L109" s="113" t="n">
        <v>1</v>
      </c>
      <c r="M109" s="114" t="n">
        <v>1</v>
      </c>
      <c r="N109" s="115" t="n">
        <f aca="false">ROUND(L109*M109,2)</f>
        <v>1</v>
      </c>
    </row>
    <row r="110" customFormat="false" ht="15" hidden="false" customHeight="false" outlineLevel="0" collapsed="false">
      <c r="A110" s="104" t="s">
        <v>140</v>
      </c>
      <c r="B110" s="105" t="n">
        <v>30</v>
      </c>
      <c r="C110" s="106" t="n">
        <f aca="false">$N$101-$L$101+1</f>
        <v>30</v>
      </c>
      <c r="D110" s="107" t="n">
        <v>0.5736</v>
      </c>
      <c r="E110" s="108" t="n">
        <v>0.01274</v>
      </c>
      <c r="F110" s="109" t="n">
        <f aca="false">ROUND(B110*E110,2)</f>
        <v>0.38</v>
      </c>
      <c r="H110" s="110" t="n">
        <v>30</v>
      </c>
      <c r="I110" s="111" t="n">
        <v>0.01274</v>
      </c>
      <c r="J110" s="112" t="n">
        <f aca="false">ROUND(H110*I110,2)</f>
        <v>0.38</v>
      </c>
      <c r="L110" s="113" t="n">
        <v>30</v>
      </c>
      <c r="M110" s="114" t="n">
        <v>0.00685</v>
      </c>
      <c r="N110" s="115" t="n">
        <f aca="false">ROUND(L110*M110,2)</f>
        <v>0.21</v>
      </c>
    </row>
    <row r="111" customFormat="false" ht="15" hidden="false" customHeight="false" outlineLevel="0" collapsed="false">
      <c r="A111" s="104" t="s">
        <v>141</v>
      </c>
      <c r="B111" s="105" t="n">
        <v>8.36</v>
      </c>
      <c r="C111" s="118"/>
      <c r="D111" s="107" t="n">
        <v>0.27312</v>
      </c>
      <c r="E111" s="108" t="n">
        <v>1</v>
      </c>
      <c r="F111" s="109" t="n">
        <f aca="false">ROUND(B111*E111,2)</f>
        <v>8.36</v>
      </c>
      <c r="H111" s="110" t="n">
        <v>15.61</v>
      </c>
      <c r="I111" s="111" t="n">
        <v>1</v>
      </c>
      <c r="J111" s="112" t="n">
        <f aca="false">ROUND(H111*I111,2)</f>
        <v>15.61</v>
      </c>
      <c r="L111" s="113" t="n">
        <v>5.49</v>
      </c>
      <c r="M111" s="114" t="n">
        <v>1</v>
      </c>
      <c r="N111" s="115" t="n">
        <f aca="false">ROUND(L111*M111,2)</f>
        <v>5.49</v>
      </c>
    </row>
    <row r="112" customFormat="false" ht="15" hidden="false" customHeight="false" outlineLevel="0" collapsed="false">
      <c r="A112" s="121" t="s">
        <v>142</v>
      </c>
      <c r="F112" s="122" t="n">
        <f aca="false">ROUND((SUM(F104:F111)-F111)*1.1+F111,2)</f>
        <v>182.2</v>
      </c>
      <c r="J112" s="123" t="n">
        <f aca="false">ROUND(SUM(J104:J111),2)</f>
        <v>309.03</v>
      </c>
      <c r="N112" s="124" t="n">
        <f aca="false">ROUND(SUM(N104:N111),2)</f>
        <v>114.01</v>
      </c>
    </row>
    <row r="113" customFormat="false" ht="15" hidden="false" customHeight="false" outlineLevel="0" collapsed="false">
      <c r="A113" s="93" t="s">
        <v>143</v>
      </c>
      <c r="B113" s="125" t="n">
        <f aca="false">IF((F108+F107+F106+F104+F105)=0,"",((F108+F107+F106+F104+F105)-$AB$106)/(F108+F107+F106+F104+F105))</f>
        <v>0.332461014726159</v>
      </c>
      <c r="D113" s="126" t="str">
        <f aca="false">IF(B113="","SIN PC",IF(B113&gt;=0.3,"APROBAR",IF(B113&gt;=0.2,"REVISAR","RECHAZAR")))</f>
        <v>APROBAR</v>
      </c>
      <c r="E113" s="126"/>
      <c r="F113" s="126"/>
      <c r="AD113" s="0" t="n">
        <f aca="false">SUM(F106:F108)-106.8557</f>
        <v>-0.00570000000000448</v>
      </c>
    </row>
    <row r="115" customFormat="false" ht="15" hidden="false" customHeight="false" outlineLevel="0" collapsed="false">
      <c r="A115" s="89" t="s">
        <v>681</v>
      </c>
      <c r="B115" s="89"/>
      <c r="C115" s="89"/>
      <c r="D115" s="89"/>
      <c r="E115" s="89"/>
      <c r="F115" s="89"/>
      <c r="H115" s="89" t="s">
        <v>682</v>
      </c>
      <c r="I115" s="89"/>
      <c r="J115" s="89"/>
      <c r="K115" s="89"/>
      <c r="L115" s="90" t="n">
        <v>46113</v>
      </c>
      <c r="M115" s="91" t="s">
        <v>608</v>
      </c>
      <c r="N115" s="90" t="n">
        <v>46142</v>
      </c>
      <c r="R115" s="92" t="s">
        <v>110</v>
      </c>
      <c r="S115" s="92"/>
      <c r="T115" s="92"/>
      <c r="U115" s="92"/>
      <c r="V115" s="92"/>
    </row>
    <row r="116" customFormat="false" ht="15" hidden="false" customHeight="false" outlineLevel="0" collapsed="false">
      <c r="A116" s="93" t="s">
        <v>111</v>
      </c>
      <c r="B116" s="94" t="s">
        <v>112</v>
      </c>
      <c r="C116" s="95"/>
      <c r="D116" s="95"/>
      <c r="E116" s="95"/>
      <c r="F116" s="95"/>
      <c r="H116" s="96" t="s">
        <v>683</v>
      </c>
      <c r="I116" s="97"/>
      <c r="J116" s="97"/>
      <c r="L116" s="98" t="s">
        <v>684</v>
      </c>
      <c r="M116" s="99"/>
      <c r="N116" s="99"/>
      <c r="R116" s="100" t="s">
        <v>685</v>
      </c>
    </row>
    <row r="117" customFormat="false" ht="15" hidden="false" customHeight="false" outlineLevel="0" collapsed="false">
      <c r="B117" s="81" t="s">
        <v>116</v>
      </c>
      <c r="C117" s="81" t="s">
        <v>117</v>
      </c>
      <c r="D117" s="81" t="s">
        <v>118</v>
      </c>
      <c r="E117" s="81" t="s">
        <v>119</v>
      </c>
      <c r="F117" s="81" t="s">
        <v>120</v>
      </c>
      <c r="H117" s="101" t="s">
        <v>116</v>
      </c>
      <c r="I117" s="101" t="s">
        <v>119</v>
      </c>
      <c r="J117" s="101" t="s">
        <v>120</v>
      </c>
      <c r="L117" s="102" t="s">
        <v>116</v>
      </c>
      <c r="M117" s="102" t="s">
        <v>119</v>
      </c>
      <c r="N117" s="102" t="s">
        <v>120</v>
      </c>
      <c r="R117" s="103" t="s">
        <v>686</v>
      </c>
    </row>
    <row r="118" customFormat="false" ht="15" hidden="false" customHeight="false" outlineLevel="0" collapsed="false">
      <c r="A118" s="104" t="s">
        <v>122</v>
      </c>
      <c r="B118" s="105" t="n">
        <v>6.928</v>
      </c>
      <c r="C118" s="106" t="n">
        <f aca="false">$N$115-$L$115+1</f>
        <v>30</v>
      </c>
      <c r="D118" s="107" t="n">
        <v>3.68919</v>
      </c>
      <c r="E118" s="108" t="n">
        <v>4.82</v>
      </c>
      <c r="F118" s="109" t="n">
        <f aca="false">ROUND(B118*E118,2)</f>
        <v>33.39</v>
      </c>
      <c r="H118" s="110" t="n">
        <v>6.928</v>
      </c>
      <c r="I118" s="111" t="n">
        <v>4.82</v>
      </c>
      <c r="J118" s="112" t="n">
        <f aca="false">ROUND(H118*I118,2)</f>
        <v>33.39</v>
      </c>
      <c r="L118" s="113" t="n">
        <v>6.928</v>
      </c>
      <c r="M118" s="114" t="n">
        <v>4.82</v>
      </c>
      <c r="N118" s="115" t="n">
        <f aca="false">ROUND(L118*M118,2)</f>
        <v>33.39</v>
      </c>
      <c r="R118" s="116" t="s">
        <v>687</v>
      </c>
    </row>
    <row r="119" customFormat="false" ht="15" hidden="false" customHeight="false" outlineLevel="0" collapsed="false">
      <c r="A119" s="104" t="s">
        <v>124</v>
      </c>
      <c r="B119" s="105" t="n">
        <v>6.928</v>
      </c>
      <c r="C119" s="106" t="n">
        <f aca="false">$N$115-$L$115+1</f>
        <v>30</v>
      </c>
      <c r="D119" s="107" t="n">
        <v>1.31928</v>
      </c>
      <c r="E119" s="108" t="n">
        <v>2.37</v>
      </c>
      <c r="F119" s="109" t="n">
        <f aca="false">ROUND(B119*E119,2)</f>
        <v>16.42</v>
      </c>
      <c r="H119" s="110" t="n">
        <v>6.928</v>
      </c>
      <c r="I119" s="111" t="n">
        <v>2.37</v>
      </c>
      <c r="J119" s="112" t="n">
        <f aca="false">ROUND(H119*I119,2)</f>
        <v>16.42</v>
      </c>
      <c r="L119" s="113" t="n">
        <v>6.928</v>
      </c>
      <c r="M119" s="114" t="n">
        <v>2.37</v>
      </c>
      <c r="N119" s="115" t="n">
        <f aca="false">ROUND(L119*M119,2)</f>
        <v>16.42</v>
      </c>
      <c r="R119" s="117" t="s">
        <v>688</v>
      </c>
    </row>
    <row r="120" customFormat="false" ht="15" hidden="false" customHeight="false" outlineLevel="0" collapsed="false">
      <c r="A120" s="104" t="s">
        <v>615</v>
      </c>
      <c r="B120" s="105" t="n">
        <f aca="false">IF($P$120&lt;&gt;"",ROUND(AA120*(($AB$120/(1-$P$120))-49.8123)/153.7504,2),IF('Resumen 2.0TD'!$D$3="OPTIMIZAR",ROUND(MAX(AA120,MIN(AA120*(($AB$120/(1-'Resumen 2.0TD'!$F$3))-49.8123)/153.7504,AA120*(442.3855)/153.7504)),3),AA120))</f>
        <v>278.876</v>
      </c>
      <c r="C120" s="118"/>
      <c r="D120" s="107" t="n">
        <v>0.111171</v>
      </c>
      <c r="E120" s="108" t="n">
        <v>0.17</v>
      </c>
      <c r="F120" s="109" t="n">
        <f aca="false">ROUND(B120*E120,2)</f>
        <v>47.41</v>
      </c>
      <c r="H120" s="110" t="n">
        <v>277.885</v>
      </c>
      <c r="I120" s="111" t="n">
        <v>0.1724</v>
      </c>
      <c r="J120" s="112" t="n">
        <f aca="false">ROUND(H120*I120,2)</f>
        <v>47.91</v>
      </c>
      <c r="L120" s="113" t="n">
        <v>158.876</v>
      </c>
      <c r="M120" s="114" t="n">
        <v>0.175</v>
      </c>
      <c r="N120" s="115" t="n">
        <f aca="false">ROUND(L120*M120,2)</f>
        <v>27.8</v>
      </c>
      <c r="O120" s="119" t="s">
        <v>616</v>
      </c>
      <c r="P120" s="79"/>
      <c r="R120" s="117" t="s">
        <v>689</v>
      </c>
      <c r="AA120" s="0" t="n">
        <v>278.876</v>
      </c>
      <c r="AB120" s="0" t="n">
        <f aca="false">B118*D118+B119*D119+AA120*D120+AA121*D121+AA122*D122</f>
        <v>135.243288954</v>
      </c>
    </row>
    <row r="121" customFormat="false" ht="15" hidden="false" customHeight="false" outlineLevel="0" collapsed="false">
      <c r="A121" s="104" t="s">
        <v>618</v>
      </c>
      <c r="B121" s="105" t="n">
        <f aca="false">IF($P$120&lt;&gt;"",ROUND(AA121*(($AB$120/(1-$P$120))-49.8123)/153.7504,2),IF('Resumen 2.0TD'!$D$3="OPTIMIZAR",ROUND(MAX(AA121,MIN(AA121*(($AB$120/(1-'Resumen 2.0TD'!$F$3))-49.8123)/153.7504,AA121*(442.3855)/153.7504)),3),AA121))</f>
        <v>267.069</v>
      </c>
      <c r="C121" s="118"/>
      <c r="D121" s="107" t="n">
        <v>0.111171</v>
      </c>
      <c r="E121" s="108" t="n">
        <v>0.17</v>
      </c>
      <c r="F121" s="109" t="n">
        <f aca="false">ROUND(B121*E121,2)</f>
        <v>45.4</v>
      </c>
      <c r="H121" s="110" t="n">
        <v>264.796</v>
      </c>
      <c r="I121" s="111" t="n">
        <v>0.1724</v>
      </c>
      <c r="J121" s="112" t="n">
        <f aca="false">ROUND(H121*I121,2)</f>
        <v>45.65</v>
      </c>
      <c r="L121" s="113" t="n">
        <v>147.069</v>
      </c>
      <c r="M121" s="114" t="n">
        <v>0.175</v>
      </c>
      <c r="N121" s="115" t="n">
        <f aca="false">ROUND(L121*M121,2)</f>
        <v>25.74</v>
      </c>
      <c r="O121" s="120" t="s">
        <v>619</v>
      </c>
      <c r="R121" s="117" t="s">
        <v>620</v>
      </c>
      <c r="AA121" s="0" t="n">
        <v>267.069</v>
      </c>
    </row>
    <row r="122" customFormat="false" ht="15" hidden="false" customHeight="false" outlineLevel="0" collapsed="false">
      <c r="A122" s="104" t="s">
        <v>621</v>
      </c>
      <c r="B122" s="105" t="n">
        <f aca="false">IF($P$120&lt;&gt;"",ROUND(AA122*(($AB$120/(1-$P$120))-49.8123)/153.7504,2),IF('Resumen 2.0TD'!$D$3="OPTIMIZAR",ROUND(MAX(AA122,MIN(AA122*(($AB$120/(1-'Resumen 2.0TD'!$F$3))-49.8123)/153.7504,AA122*(442.3855)/153.7504)),3),AA122))</f>
        <v>358.469</v>
      </c>
      <c r="C122" s="118"/>
      <c r="D122" s="107" t="n">
        <v>0.111171</v>
      </c>
      <c r="E122" s="108" t="n">
        <v>0.17</v>
      </c>
      <c r="F122" s="109" t="n">
        <f aca="false">ROUND(B122*E122,2)</f>
        <v>60.94</v>
      </c>
      <c r="H122" s="110" t="n">
        <v>404.897</v>
      </c>
      <c r="I122" s="111" t="n">
        <v>0.1724</v>
      </c>
      <c r="J122" s="112" t="n">
        <f aca="false">ROUND(H122*I122,2)</f>
        <v>69.8</v>
      </c>
      <c r="L122" s="113" t="n">
        <v>228.469</v>
      </c>
      <c r="M122" s="114" t="n">
        <v>0.175</v>
      </c>
      <c r="N122" s="115" t="n">
        <f aca="false">ROUND(L122*M122,2)</f>
        <v>39.98</v>
      </c>
      <c r="O122" s="120" t="s">
        <v>622</v>
      </c>
      <c r="AA122" s="0" t="n">
        <v>358.469</v>
      </c>
    </row>
    <row r="123" customFormat="false" ht="15" hidden="false" customHeight="false" outlineLevel="0" collapsed="false">
      <c r="A123" s="104" t="s">
        <v>139</v>
      </c>
      <c r="B123" s="105" t="n">
        <v>1</v>
      </c>
      <c r="C123" s="106" t="n">
        <f aca="false">$N$115-$L$115+1</f>
        <v>30</v>
      </c>
      <c r="D123" s="107" t="n">
        <v>1.3414</v>
      </c>
      <c r="E123" s="108" t="n">
        <v>1</v>
      </c>
      <c r="F123" s="109" t="n">
        <f aca="false">ROUND(B123*E123,2)</f>
        <v>1</v>
      </c>
      <c r="H123" s="110" t="n">
        <v>1</v>
      </c>
      <c r="I123" s="111" t="n">
        <v>1</v>
      </c>
      <c r="J123" s="112" t="n">
        <f aca="false">ROUND(H123*I123,2)</f>
        <v>1</v>
      </c>
      <c r="L123" s="113" t="n">
        <v>1</v>
      </c>
      <c r="M123" s="114" t="n">
        <v>1</v>
      </c>
      <c r="N123" s="115" t="n">
        <f aca="false">ROUND(L123*M123,2)</f>
        <v>1</v>
      </c>
    </row>
    <row r="124" customFormat="false" ht="15" hidden="false" customHeight="false" outlineLevel="0" collapsed="false">
      <c r="A124" s="104" t="s">
        <v>140</v>
      </c>
      <c r="B124" s="105" t="n">
        <v>30</v>
      </c>
      <c r="C124" s="106" t="n">
        <f aca="false">$N$115-$L$115+1</f>
        <v>30</v>
      </c>
      <c r="D124" s="107" t="n">
        <v>0.5736</v>
      </c>
      <c r="E124" s="108" t="n">
        <v>0.01274</v>
      </c>
      <c r="F124" s="109" t="n">
        <f aca="false">ROUND(B124*E124,2)</f>
        <v>0.38</v>
      </c>
      <c r="H124" s="110" t="n">
        <v>30</v>
      </c>
      <c r="I124" s="111" t="n">
        <v>0.01274</v>
      </c>
      <c r="J124" s="112" t="n">
        <f aca="false">ROUND(H124*I124,2)</f>
        <v>0.38</v>
      </c>
      <c r="L124" s="113" t="n">
        <v>30</v>
      </c>
      <c r="M124" s="114" t="n">
        <v>0.00685</v>
      </c>
      <c r="N124" s="115" t="n">
        <f aca="false">ROUND(L124*M124,2)</f>
        <v>0.21</v>
      </c>
    </row>
    <row r="125" customFormat="false" ht="15" hidden="false" customHeight="false" outlineLevel="0" collapsed="false">
      <c r="A125" s="104" t="s">
        <v>141</v>
      </c>
      <c r="B125" s="105" t="n">
        <v>10.85</v>
      </c>
      <c r="C125" s="118"/>
      <c r="D125" s="107" t="n">
        <v>0.27312</v>
      </c>
      <c r="E125" s="108" t="n">
        <v>1</v>
      </c>
      <c r="F125" s="109" t="n">
        <f aca="false">ROUND(B125*E125,2)</f>
        <v>10.85</v>
      </c>
      <c r="H125" s="110" t="n">
        <v>11.38</v>
      </c>
      <c r="I125" s="111" t="n">
        <v>1</v>
      </c>
      <c r="J125" s="112" t="n">
        <f aca="false">ROUND(H125*I125,2)</f>
        <v>11.38</v>
      </c>
      <c r="L125" s="113" t="n">
        <v>7.33</v>
      </c>
      <c r="M125" s="114" t="n">
        <v>1</v>
      </c>
      <c r="N125" s="115" t="n">
        <f aca="false">ROUND(L125*M125,2)</f>
        <v>7.33</v>
      </c>
    </row>
    <row r="126" customFormat="false" ht="15" hidden="false" customHeight="false" outlineLevel="0" collapsed="false">
      <c r="A126" s="121" t="s">
        <v>142</v>
      </c>
      <c r="F126" s="122" t="n">
        <f aca="false">ROUND((SUM(F118:F125)-F125)*1.1+F125,2)</f>
        <v>236.28</v>
      </c>
      <c r="J126" s="123" t="n">
        <f aca="false">ROUND(SUM(J118:J125),2)</f>
        <v>225.93</v>
      </c>
      <c r="N126" s="124" t="n">
        <f aca="false">ROUND(SUM(N118:N125),2)</f>
        <v>151.87</v>
      </c>
    </row>
    <row r="127" customFormat="false" ht="15" hidden="false" customHeight="false" outlineLevel="0" collapsed="false">
      <c r="A127" s="93" t="s">
        <v>143</v>
      </c>
      <c r="B127" s="125" t="n">
        <f aca="false">IF((F122+F121+F120+F118+F119)=0,"",((F122+F121+F120+F118+F119)-$AB$120)/(F122+F121+F120+F118+F119))</f>
        <v>0.335609702525054</v>
      </c>
      <c r="D127" s="126" t="str">
        <f aca="false">IF(B127="","SIN PC",IF(B127&gt;=0.3,"APROBAR",IF(B127&gt;=0.2,"REVISAR","RECHAZAR")))</f>
        <v>APROBAR</v>
      </c>
      <c r="E127" s="126"/>
      <c r="F127" s="126"/>
      <c r="AD127" s="0" t="n">
        <f aca="false">SUM(F120:F122)-153.7504</f>
        <v>-0.000400000000013279</v>
      </c>
    </row>
    <row r="129" customFormat="false" ht="15" hidden="false" customHeight="false" outlineLevel="0" collapsed="false">
      <c r="A129" s="89" t="s">
        <v>690</v>
      </c>
      <c r="B129" s="89"/>
      <c r="C129" s="89"/>
      <c r="D129" s="89"/>
      <c r="E129" s="89"/>
      <c r="F129" s="89"/>
      <c r="H129" s="89" t="s">
        <v>691</v>
      </c>
      <c r="I129" s="89"/>
      <c r="J129" s="89"/>
      <c r="K129" s="89"/>
      <c r="L129" s="90" t="n">
        <v>46113</v>
      </c>
      <c r="M129" s="91" t="s">
        <v>608</v>
      </c>
      <c r="N129" s="90" t="n">
        <v>46142</v>
      </c>
      <c r="R129" s="92" t="s">
        <v>110</v>
      </c>
      <c r="S129" s="92"/>
      <c r="T129" s="92"/>
      <c r="U129" s="92"/>
      <c r="V129" s="92"/>
    </row>
    <row r="130" customFormat="false" ht="15" hidden="false" customHeight="false" outlineLevel="0" collapsed="false">
      <c r="A130" s="93" t="s">
        <v>111</v>
      </c>
      <c r="B130" s="94" t="s">
        <v>112</v>
      </c>
      <c r="C130" s="95"/>
      <c r="D130" s="95"/>
      <c r="E130" s="95"/>
      <c r="F130" s="95"/>
      <c r="H130" s="96" t="s">
        <v>692</v>
      </c>
      <c r="I130" s="97"/>
      <c r="J130" s="97"/>
      <c r="L130" s="98" t="s">
        <v>693</v>
      </c>
      <c r="M130" s="99"/>
      <c r="N130" s="99"/>
      <c r="R130" s="100" t="s">
        <v>694</v>
      </c>
    </row>
    <row r="131" customFormat="false" ht="15" hidden="false" customHeight="false" outlineLevel="0" collapsed="false">
      <c r="B131" s="81" t="s">
        <v>116</v>
      </c>
      <c r="C131" s="81" t="s">
        <v>117</v>
      </c>
      <c r="D131" s="81" t="s">
        <v>118</v>
      </c>
      <c r="E131" s="81" t="s">
        <v>119</v>
      </c>
      <c r="F131" s="81" t="s">
        <v>120</v>
      </c>
      <c r="H131" s="101" t="s">
        <v>116</v>
      </c>
      <c r="I131" s="101" t="s">
        <v>119</v>
      </c>
      <c r="J131" s="101" t="s">
        <v>120</v>
      </c>
      <c r="L131" s="102" t="s">
        <v>116</v>
      </c>
      <c r="M131" s="102" t="s">
        <v>119</v>
      </c>
      <c r="N131" s="102" t="s">
        <v>120</v>
      </c>
      <c r="R131" s="103" t="s">
        <v>695</v>
      </c>
    </row>
    <row r="132" customFormat="false" ht="15" hidden="false" customHeight="false" outlineLevel="0" collapsed="false">
      <c r="A132" s="104" t="s">
        <v>122</v>
      </c>
      <c r="B132" s="105" t="n">
        <v>6.9</v>
      </c>
      <c r="C132" s="106" t="n">
        <f aca="false">$N$129-$L$129+1</f>
        <v>30</v>
      </c>
      <c r="D132" s="107" t="n">
        <v>3.68919</v>
      </c>
      <c r="E132" s="108" t="n">
        <v>4.82</v>
      </c>
      <c r="F132" s="109" t="n">
        <f aca="false">ROUND(B132*E132,2)</f>
        <v>33.26</v>
      </c>
      <c r="H132" s="110" t="n">
        <v>6.9</v>
      </c>
      <c r="I132" s="111" t="n">
        <v>4.82</v>
      </c>
      <c r="J132" s="112" t="n">
        <f aca="false">ROUND(H132*I132,2)</f>
        <v>33.26</v>
      </c>
      <c r="L132" s="113" t="n">
        <v>6.9</v>
      </c>
      <c r="M132" s="114" t="n">
        <v>4.82</v>
      </c>
      <c r="N132" s="115" t="n">
        <f aca="false">ROUND(L132*M132,2)</f>
        <v>33.26</v>
      </c>
      <c r="R132" s="116" t="s">
        <v>696</v>
      </c>
    </row>
    <row r="133" customFormat="false" ht="15" hidden="false" customHeight="false" outlineLevel="0" collapsed="false">
      <c r="A133" s="104" t="s">
        <v>124</v>
      </c>
      <c r="B133" s="105" t="n">
        <v>6.9</v>
      </c>
      <c r="C133" s="106" t="n">
        <f aca="false">$N$129-$L$129+1</f>
        <v>30</v>
      </c>
      <c r="D133" s="107" t="n">
        <v>1.31928</v>
      </c>
      <c r="E133" s="108" t="n">
        <v>2.37</v>
      </c>
      <c r="F133" s="109" t="n">
        <f aca="false">ROUND(B133*E133,2)</f>
        <v>16.35</v>
      </c>
      <c r="H133" s="110" t="n">
        <v>6.9</v>
      </c>
      <c r="I133" s="111" t="n">
        <v>2.37</v>
      </c>
      <c r="J133" s="112" t="n">
        <f aca="false">ROUND(H133*I133,2)</f>
        <v>16.35</v>
      </c>
      <c r="L133" s="113" t="n">
        <v>6.9</v>
      </c>
      <c r="M133" s="114" t="n">
        <v>2.37</v>
      </c>
      <c r="N133" s="115" t="n">
        <f aca="false">ROUND(L133*M133,2)</f>
        <v>16.35</v>
      </c>
      <c r="R133" s="117" t="s">
        <v>697</v>
      </c>
    </row>
    <row r="134" customFormat="false" ht="15" hidden="false" customHeight="false" outlineLevel="0" collapsed="false">
      <c r="A134" s="104" t="s">
        <v>615</v>
      </c>
      <c r="B134" s="105" t="n">
        <f aca="false">IF($P$134&lt;&gt;"",ROUND(AA134*(($AB$134/(1-$P$134))-49.611)/37.2696,2),IF('Resumen 2.0TD'!$D$3="OPTIMIZAR",ROUND(MAX(AA134,MIN(AA134*(($AB$134/(1-'Resumen 2.0TD'!$F$3))-49.611)/37.2696,AA134*(138.8368)/37.2696)),3),AA134))</f>
        <v>39.458</v>
      </c>
      <c r="C134" s="118"/>
      <c r="D134" s="107" t="n">
        <v>0.111171</v>
      </c>
      <c r="E134" s="108" t="n">
        <v>0.17</v>
      </c>
      <c r="F134" s="109" t="n">
        <f aca="false">ROUND(B134*E134,2)</f>
        <v>6.71</v>
      </c>
      <c r="H134" s="110" t="n">
        <v>82.004</v>
      </c>
      <c r="I134" s="111" t="n">
        <v>0.1724</v>
      </c>
      <c r="J134" s="112" t="n">
        <f aca="false">ROUND(H134*I134,2)</f>
        <v>14.14</v>
      </c>
      <c r="L134" s="113" t="n">
        <v>19.458</v>
      </c>
      <c r="M134" s="114" t="n">
        <v>0.175</v>
      </c>
      <c r="N134" s="115" t="n">
        <f aca="false">ROUND(L134*M134,2)</f>
        <v>3.41</v>
      </c>
      <c r="O134" s="119" t="s">
        <v>616</v>
      </c>
      <c r="P134" s="79"/>
      <c r="R134" s="117" t="s">
        <v>698</v>
      </c>
      <c r="AA134" s="0" t="n">
        <v>39.458</v>
      </c>
      <c r="AB134" s="0" t="n">
        <f aca="false">B132*D132+B133*D133+AA134*D134+AA135*D135+AA136*D136</f>
        <v>58.930794843</v>
      </c>
    </row>
    <row r="135" customFormat="false" ht="15" hidden="false" customHeight="false" outlineLevel="0" collapsed="false">
      <c r="A135" s="104" t="s">
        <v>618</v>
      </c>
      <c r="B135" s="105" t="n">
        <f aca="false">IF($P$134&lt;&gt;"",ROUND(AA135*(($AB$134/(1-$P$134))-49.611)/37.2696,2),IF('Resumen 2.0TD'!$D$3="OPTIMIZAR",ROUND(MAX(AA135,MIN(AA135*(($AB$134/(1-'Resumen 2.0TD'!$F$3))-49.611)/37.2696,AA135*(138.8368)/37.2696)),3),AA135))</f>
        <v>37.216</v>
      </c>
      <c r="C135" s="118"/>
      <c r="D135" s="107" t="n">
        <v>0.111171</v>
      </c>
      <c r="E135" s="108" t="n">
        <v>0.17</v>
      </c>
      <c r="F135" s="109" t="n">
        <f aca="false">ROUND(B135*E135,2)</f>
        <v>6.33</v>
      </c>
      <c r="H135" s="110" t="n">
        <v>34.272</v>
      </c>
      <c r="I135" s="111" t="n">
        <v>0.1724</v>
      </c>
      <c r="J135" s="112" t="n">
        <f aca="false">ROUND(H135*I135,2)</f>
        <v>5.91</v>
      </c>
      <c r="L135" s="113" t="n">
        <v>17.216</v>
      </c>
      <c r="M135" s="114" t="n">
        <v>0.175</v>
      </c>
      <c r="N135" s="115" t="n">
        <f aca="false">ROUND(L135*M135,2)</f>
        <v>3.01</v>
      </c>
      <c r="O135" s="120" t="s">
        <v>619</v>
      </c>
      <c r="R135" s="117" t="s">
        <v>620</v>
      </c>
      <c r="AA135" s="0" t="n">
        <v>37.216</v>
      </c>
    </row>
    <row r="136" customFormat="false" ht="15" hidden="false" customHeight="false" outlineLevel="0" collapsed="false">
      <c r="A136" s="104" t="s">
        <v>621</v>
      </c>
      <c r="B136" s="105" t="n">
        <f aca="false">IF($P$134&lt;&gt;"",ROUND(AA136*(($AB$134/(1-$P$134))-49.611)/37.2696,2),IF('Resumen 2.0TD'!$D$3="OPTIMIZAR",ROUND(MAX(AA136,MIN(AA136*(($AB$134/(1-'Resumen 2.0TD'!$F$3))-49.611)/37.2696,AA136*(138.8368)/37.2696)),3),AA136))</f>
        <v>142.559</v>
      </c>
      <c r="C136" s="118"/>
      <c r="D136" s="107" t="n">
        <v>0.111171</v>
      </c>
      <c r="E136" s="108" t="n">
        <v>0.17</v>
      </c>
      <c r="F136" s="109" t="n">
        <f aca="false">ROUND(B136*E136,2)</f>
        <v>24.24</v>
      </c>
      <c r="H136" s="110" t="n">
        <v>48.34</v>
      </c>
      <c r="I136" s="111" t="n">
        <v>0.1724</v>
      </c>
      <c r="J136" s="112" t="n">
        <f aca="false">ROUND(H136*I136,2)</f>
        <v>8.33</v>
      </c>
      <c r="L136" s="113" t="n">
        <v>42.559</v>
      </c>
      <c r="M136" s="114" t="n">
        <v>0.175</v>
      </c>
      <c r="N136" s="115" t="n">
        <f aca="false">ROUND(L136*M136,2)</f>
        <v>7.45</v>
      </c>
      <c r="O136" s="120" t="s">
        <v>622</v>
      </c>
      <c r="AA136" s="0" t="n">
        <v>142.559</v>
      </c>
    </row>
    <row r="137" customFormat="false" ht="15" hidden="false" customHeight="false" outlineLevel="0" collapsed="false">
      <c r="A137" s="104" t="s">
        <v>139</v>
      </c>
      <c r="B137" s="105" t="n">
        <v>1</v>
      </c>
      <c r="C137" s="106" t="n">
        <f aca="false">$N$129-$L$129+1</f>
        <v>30</v>
      </c>
      <c r="D137" s="107" t="n">
        <v>0.7989</v>
      </c>
      <c r="E137" s="108" t="n">
        <v>1</v>
      </c>
      <c r="F137" s="109" t="n">
        <f aca="false">ROUND(B137*E137,2)</f>
        <v>1</v>
      </c>
      <c r="H137" s="110" t="n">
        <v>1</v>
      </c>
      <c r="I137" s="111" t="n">
        <v>1</v>
      </c>
      <c r="J137" s="112" t="n">
        <f aca="false">ROUND(H137*I137,2)</f>
        <v>1</v>
      </c>
      <c r="L137" s="113" t="n">
        <v>1</v>
      </c>
      <c r="M137" s="114" t="n">
        <v>1</v>
      </c>
      <c r="N137" s="115" t="n">
        <f aca="false">ROUND(L137*M137,2)</f>
        <v>1</v>
      </c>
    </row>
    <row r="138" customFormat="false" ht="15" hidden="false" customHeight="false" outlineLevel="0" collapsed="false">
      <c r="A138" s="104" t="s">
        <v>140</v>
      </c>
      <c r="B138" s="105" t="n">
        <v>30</v>
      </c>
      <c r="C138" s="106" t="n">
        <f aca="false">$N$129-$L$129+1</f>
        <v>30</v>
      </c>
      <c r="D138" s="107" t="n">
        <v>0.5736</v>
      </c>
      <c r="E138" s="108" t="n">
        <v>0.01274</v>
      </c>
      <c r="F138" s="109" t="n">
        <f aca="false">ROUND(B138*E138,2)</f>
        <v>0.38</v>
      </c>
      <c r="H138" s="110" t="n">
        <v>30</v>
      </c>
      <c r="I138" s="111" t="n">
        <v>0.01274</v>
      </c>
      <c r="J138" s="112" t="n">
        <f aca="false">ROUND(H138*I138,2)</f>
        <v>0.38</v>
      </c>
      <c r="L138" s="113" t="n">
        <v>30</v>
      </c>
      <c r="M138" s="114" t="n">
        <v>0.00685</v>
      </c>
      <c r="N138" s="115" t="n">
        <f aca="false">ROUND(L138*M138,2)</f>
        <v>0.21</v>
      </c>
    </row>
    <row r="139" customFormat="false" ht="15" hidden="false" customHeight="false" outlineLevel="0" collapsed="false">
      <c r="A139" s="104" t="s">
        <v>141</v>
      </c>
      <c r="B139" s="105" t="n">
        <v>4.68</v>
      </c>
      <c r="C139" s="118"/>
      <c r="D139" s="107" t="n">
        <v>0.27312</v>
      </c>
      <c r="E139" s="108" t="n">
        <v>1</v>
      </c>
      <c r="F139" s="109" t="n">
        <f aca="false">ROUND(B139*E139,2)</f>
        <v>4.68</v>
      </c>
      <c r="H139" s="110" t="n">
        <v>4.21</v>
      </c>
      <c r="I139" s="111" t="n">
        <v>1</v>
      </c>
      <c r="J139" s="112" t="n">
        <f aca="false">ROUND(H139*I139,2)</f>
        <v>4.21</v>
      </c>
      <c r="L139" s="113" t="n">
        <v>3.25</v>
      </c>
      <c r="M139" s="114" t="n">
        <v>1</v>
      </c>
      <c r="N139" s="115" t="n">
        <f aca="false">ROUND(L139*M139,2)</f>
        <v>3.25</v>
      </c>
    </row>
    <row r="140" customFormat="false" ht="15" hidden="false" customHeight="false" outlineLevel="0" collapsed="false">
      <c r="A140" s="121" t="s">
        <v>142</v>
      </c>
      <c r="F140" s="122" t="n">
        <f aca="false">ROUND((SUM(F132:F139)-F139)*1.1+F139,2)</f>
        <v>101.78</v>
      </c>
      <c r="J140" s="123" t="n">
        <f aca="false">ROUND(SUM(J132:J139),2)</f>
        <v>83.58</v>
      </c>
      <c r="N140" s="124" t="n">
        <f aca="false">ROUND(SUM(N132:N139),2)</f>
        <v>67.94</v>
      </c>
    </row>
    <row r="141" customFormat="false" ht="15" hidden="false" customHeight="false" outlineLevel="0" collapsed="false">
      <c r="A141" s="93" t="s">
        <v>143</v>
      </c>
      <c r="B141" s="125" t="n">
        <f aca="false">IF((F136+F135+F134+F132+F133)=0,"",((F136+F135+F134+F132+F133)-$AB$134)/(F136+F135+F134+F132+F133))</f>
        <v>0.321777018724824</v>
      </c>
      <c r="D141" s="126" t="str">
        <f aca="false">IF(B141="","SIN PC",IF(B141&gt;=0.3,"APROBAR",IF(B141&gt;=0.2,"REVISAR","RECHAZAR")))</f>
        <v>APROBAR</v>
      </c>
      <c r="E141" s="126"/>
      <c r="F141" s="126"/>
      <c r="AD141" s="0" t="n">
        <f aca="false">SUM(F134:F136)-37.2696</f>
        <v>0.0104000000000042</v>
      </c>
    </row>
    <row r="143" customFormat="false" ht="15" hidden="false" customHeight="false" outlineLevel="0" collapsed="false">
      <c r="A143" s="89" t="s">
        <v>699</v>
      </c>
      <c r="B143" s="89"/>
      <c r="C143" s="89"/>
      <c r="D143" s="89"/>
      <c r="E143" s="89"/>
      <c r="F143" s="89"/>
      <c r="H143" s="89" t="s">
        <v>700</v>
      </c>
      <c r="I143" s="89"/>
      <c r="J143" s="89"/>
      <c r="K143" s="89"/>
      <c r="L143" s="90" t="n">
        <v>46113</v>
      </c>
      <c r="M143" s="91" t="s">
        <v>608</v>
      </c>
      <c r="N143" s="90" t="n">
        <v>46142</v>
      </c>
      <c r="R143" s="92" t="s">
        <v>110</v>
      </c>
      <c r="S143" s="92"/>
      <c r="T143" s="92"/>
      <c r="U143" s="92"/>
      <c r="V143" s="92"/>
    </row>
    <row r="144" customFormat="false" ht="15" hidden="false" customHeight="false" outlineLevel="0" collapsed="false">
      <c r="A144" s="93" t="s">
        <v>111</v>
      </c>
      <c r="B144" s="94" t="s">
        <v>112</v>
      </c>
      <c r="C144" s="95"/>
      <c r="D144" s="95"/>
      <c r="E144" s="95"/>
      <c r="F144" s="95"/>
      <c r="H144" s="96" t="s">
        <v>701</v>
      </c>
      <c r="I144" s="97"/>
      <c r="J144" s="97"/>
      <c r="L144" s="98" t="s">
        <v>702</v>
      </c>
      <c r="M144" s="99"/>
      <c r="N144" s="99"/>
      <c r="R144" s="100" t="s">
        <v>703</v>
      </c>
    </row>
    <row r="145" customFormat="false" ht="15" hidden="false" customHeight="false" outlineLevel="0" collapsed="false">
      <c r="B145" s="81" t="s">
        <v>116</v>
      </c>
      <c r="C145" s="81" t="s">
        <v>117</v>
      </c>
      <c r="D145" s="81" t="s">
        <v>118</v>
      </c>
      <c r="E145" s="81" t="s">
        <v>119</v>
      </c>
      <c r="F145" s="81" t="s">
        <v>120</v>
      </c>
      <c r="H145" s="101" t="s">
        <v>116</v>
      </c>
      <c r="I145" s="101" t="s">
        <v>119</v>
      </c>
      <c r="J145" s="101" t="s">
        <v>120</v>
      </c>
      <c r="L145" s="102" t="s">
        <v>116</v>
      </c>
      <c r="M145" s="102" t="s">
        <v>119</v>
      </c>
      <c r="N145" s="102" t="s">
        <v>120</v>
      </c>
      <c r="R145" s="103" t="s">
        <v>704</v>
      </c>
    </row>
    <row r="146" customFormat="false" ht="15" hidden="false" customHeight="false" outlineLevel="0" collapsed="false">
      <c r="A146" s="104" t="s">
        <v>122</v>
      </c>
      <c r="B146" s="105" t="n">
        <v>6.9</v>
      </c>
      <c r="C146" s="106" t="n">
        <f aca="false">$N$143-$L$143+1</f>
        <v>30</v>
      </c>
      <c r="D146" s="107" t="n">
        <v>3.68919</v>
      </c>
      <c r="E146" s="108" t="n">
        <v>4.82</v>
      </c>
      <c r="F146" s="109" t="n">
        <f aca="false">ROUND(B146*E146,2)</f>
        <v>33.26</v>
      </c>
      <c r="H146" s="110" t="n">
        <v>6.9</v>
      </c>
      <c r="I146" s="111" t="n">
        <v>4.82</v>
      </c>
      <c r="J146" s="112" t="n">
        <f aca="false">ROUND(H146*I146,2)</f>
        <v>33.26</v>
      </c>
      <c r="L146" s="113" t="n">
        <v>6.9</v>
      </c>
      <c r="M146" s="114" t="n">
        <v>4.82</v>
      </c>
      <c r="N146" s="115" t="n">
        <f aca="false">ROUND(L146*M146,2)</f>
        <v>33.26</v>
      </c>
      <c r="R146" s="116" t="s">
        <v>705</v>
      </c>
    </row>
    <row r="147" customFormat="false" ht="15" hidden="false" customHeight="false" outlineLevel="0" collapsed="false">
      <c r="A147" s="104" t="s">
        <v>124</v>
      </c>
      <c r="B147" s="105" t="n">
        <v>6.9</v>
      </c>
      <c r="C147" s="106" t="n">
        <f aca="false">$N$143-$L$143+1</f>
        <v>30</v>
      </c>
      <c r="D147" s="107" t="n">
        <v>1.31928</v>
      </c>
      <c r="E147" s="108" t="n">
        <v>2.37</v>
      </c>
      <c r="F147" s="109" t="n">
        <f aca="false">ROUND(B147*E147,2)</f>
        <v>16.35</v>
      </c>
      <c r="H147" s="110" t="n">
        <v>6.9</v>
      </c>
      <c r="I147" s="111" t="n">
        <v>2.37</v>
      </c>
      <c r="J147" s="112" t="n">
        <f aca="false">ROUND(H147*I147,2)</f>
        <v>16.35</v>
      </c>
      <c r="L147" s="113" t="n">
        <v>6.9</v>
      </c>
      <c r="M147" s="114" t="n">
        <v>2.37</v>
      </c>
      <c r="N147" s="115" t="n">
        <f aca="false">ROUND(L147*M147,2)</f>
        <v>16.35</v>
      </c>
      <c r="R147" s="117" t="s">
        <v>706</v>
      </c>
    </row>
    <row r="148" customFormat="false" ht="15" hidden="false" customHeight="false" outlineLevel="0" collapsed="false">
      <c r="A148" s="104" t="s">
        <v>615</v>
      </c>
      <c r="B148" s="105" t="n">
        <f aca="false">IF($P$148&lt;&gt;"",ROUND(AA148*(($AB$148/(1-$P$148))-49.611)/59.1483,2),IF('Resumen 2.0TD'!$D$3="OPTIMIZAR",ROUND(MAX(AA148,MIN(AA148*(($AB$148/(1-'Resumen 2.0TD'!$F$3))-49.611)/59.1483,AA148*(86.4268)/59.1483)),3),AA148))</f>
        <v>73.204</v>
      </c>
      <c r="C148" s="118"/>
      <c r="D148" s="107" t="n">
        <v>0.111171</v>
      </c>
      <c r="E148" s="108" t="n">
        <v>0.17</v>
      </c>
      <c r="F148" s="109" t="n">
        <f aca="false">ROUND(B148*E148,2)</f>
        <v>12.44</v>
      </c>
      <c r="H148" s="110" t="n">
        <v>202.68</v>
      </c>
      <c r="I148" s="111" t="n">
        <v>0.175</v>
      </c>
      <c r="J148" s="112" t="n">
        <f aca="false">ROUND(H148*I148,2)</f>
        <v>35.47</v>
      </c>
      <c r="L148" s="113" t="n">
        <v>43.204</v>
      </c>
      <c r="M148" s="114" t="n">
        <v>0.175</v>
      </c>
      <c r="N148" s="115" t="n">
        <f aca="false">ROUND(L148*M148,2)</f>
        <v>7.56</v>
      </c>
      <c r="O148" s="119" t="s">
        <v>616</v>
      </c>
      <c r="P148" s="79"/>
      <c r="R148" s="117" t="s">
        <v>707</v>
      </c>
      <c r="AA148" s="0" t="n">
        <v>73.204</v>
      </c>
      <c r="AB148" s="0" t="n">
        <f aca="false">B146*D146+B147*D147+AA148*D148+AA149*D149+AA150*D150</f>
        <v>73.238280201</v>
      </c>
    </row>
    <row r="149" customFormat="false" ht="15" hidden="false" customHeight="false" outlineLevel="0" collapsed="false">
      <c r="A149" s="104" t="s">
        <v>618</v>
      </c>
      <c r="B149" s="105" t="n">
        <f aca="false">IF($P$148&lt;&gt;"",ROUND(AA149*(($AB$148/(1-$P$148))-49.611)/59.1483,2),IF('Resumen 2.0TD'!$D$3="OPTIMIZAR",ROUND(MAX(AA149,MIN(AA149*(($AB$148/(1-'Resumen 2.0TD'!$F$3))-49.611)/59.1483,AA149*(86.4268)/59.1483)),3),AA149))</f>
        <v>49.657</v>
      </c>
      <c r="C149" s="118"/>
      <c r="D149" s="107" t="n">
        <v>0.111171</v>
      </c>
      <c r="E149" s="108" t="n">
        <v>0.17</v>
      </c>
      <c r="F149" s="109" t="n">
        <f aca="false">ROUND(B149*E149,2)</f>
        <v>8.44</v>
      </c>
      <c r="H149" s="110" t="n">
        <v>210.47</v>
      </c>
      <c r="I149" s="111" t="n">
        <v>0.175</v>
      </c>
      <c r="J149" s="112" t="n">
        <f aca="false">ROUND(H149*I149,2)</f>
        <v>36.83</v>
      </c>
      <c r="L149" s="113" t="n">
        <v>39.657</v>
      </c>
      <c r="M149" s="114" t="n">
        <v>0.175</v>
      </c>
      <c r="N149" s="115" t="n">
        <f aca="false">ROUND(L149*M149,2)</f>
        <v>6.94</v>
      </c>
      <c r="O149" s="120" t="s">
        <v>619</v>
      </c>
      <c r="R149" s="117" t="s">
        <v>620</v>
      </c>
      <c r="AA149" s="0" t="n">
        <v>49.657</v>
      </c>
    </row>
    <row r="150" customFormat="false" ht="15" hidden="false" customHeight="false" outlineLevel="0" collapsed="false">
      <c r="A150" s="104" t="s">
        <v>621</v>
      </c>
      <c r="B150" s="105" t="n">
        <f aca="false">IF($P$148&lt;&gt;"",ROUND(AA150*(($AB$148/(1-$P$148))-49.611)/59.1483,2),IF('Resumen 2.0TD'!$D$3="OPTIMIZAR",ROUND(MAX(AA150,MIN(AA150*(($AB$148/(1-'Resumen 2.0TD'!$F$3))-49.611)/59.1483,AA150*(86.4268)/59.1483)),3),AA150))</f>
        <v>225.07</v>
      </c>
      <c r="C150" s="118"/>
      <c r="D150" s="107" t="n">
        <v>0.111171</v>
      </c>
      <c r="E150" s="108" t="n">
        <v>0.17</v>
      </c>
      <c r="F150" s="109" t="n">
        <f aca="false">ROUND(B150*E150,2)</f>
        <v>38.26</v>
      </c>
      <c r="H150" s="110" t="n">
        <v>303.619</v>
      </c>
      <c r="I150" s="111" t="n">
        <v>0.175</v>
      </c>
      <c r="J150" s="112" t="n">
        <f aca="false">ROUND(H150*I150,2)</f>
        <v>53.13</v>
      </c>
      <c r="L150" s="113" t="n">
        <v>125.07</v>
      </c>
      <c r="M150" s="114" t="n">
        <v>0.175</v>
      </c>
      <c r="N150" s="115" t="n">
        <f aca="false">ROUND(L150*M150,2)</f>
        <v>21.89</v>
      </c>
      <c r="O150" s="120" t="s">
        <v>622</v>
      </c>
      <c r="AA150" s="0" t="n">
        <v>225.07</v>
      </c>
    </row>
    <row r="151" customFormat="false" ht="15" hidden="false" customHeight="false" outlineLevel="0" collapsed="false">
      <c r="A151" s="104" t="s">
        <v>139</v>
      </c>
      <c r="B151" s="105" t="n">
        <v>1</v>
      </c>
      <c r="C151" s="106" t="n">
        <f aca="false">$N$143-$L$143+1</f>
        <v>30</v>
      </c>
      <c r="D151" s="107" t="n">
        <v>0.7989</v>
      </c>
      <c r="E151" s="108" t="n">
        <v>1</v>
      </c>
      <c r="F151" s="109" t="n">
        <f aca="false">ROUND(B151*E151,2)</f>
        <v>1</v>
      </c>
      <c r="H151" s="110" t="n">
        <v>1</v>
      </c>
      <c r="I151" s="111" t="n">
        <v>1</v>
      </c>
      <c r="J151" s="112" t="n">
        <f aca="false">ROUND(H151*I151,2)</f>
        <v>1</v>
      </c>
      <c r="L151" s="113" t="n">
        <v>1</v>
      </c>
      <c r="M151" s="114" t="n">
        <v>1</v>
      </c>
      <c r="N151" s="115" t="n">
        <f aca="false">ROUND(L151*M151,2)</f>
        <v>1</v>
      </c>
    </row>
    <row r="152" customFormat="false" ht="15" hidden="false" customHeight="false" outlineLevel="0" collapsed="false">
      <c r="A152" s="104" t="s">
        <v>140</v>
      </c>
      <c r="B152" s="105" t="n">
        <v>30</v>
      </c>
      <c r="C152" s="106" t="n">
        <f aca="false">$N$143-$L$143+1</f>
        <v>30</v>
      </c>
      <c r="D152" s="107" t="n">
        <v>0.5736</v>
      </c>
      <c r="E152" s="108" t="n">
        <v>0.01274</v>
      </c>
      <c r="F152" s="109" t="n">
        <f aca="false">ROUND(B152*E152,2)</f>
        <v>0.38</v>
      </c>
      <c r="H152" s="110" t="n">
        <v>30</v>
      </c>
      <c r="I152" s="111" t="n">
        <v>0.01274</v>
      </c>
      <c r="J152" s="112" t="n">
        <f aca="false">ROUND(H152*I152,2)</f>
        <v>0.38</v>
      </c>
      <c r="L152" s="113" t="n">
        <v>30</v>
      </c>
      <c r="M152" s="114" t="n">
        <v>0.00685</v>
      </c>
      <c r="N152" s="115" t="n">
        <f aca="false">ROUND(L152*M152,2)</f>
        <v>0.21</v>
      </c>
    </row>
    <row r="153" customFormat="false" ht="15" hidden="false" customHeight="false" outlineLevel="0" collapsed="false">
      <c r="A153" s="104" t="s">
        <v>141</v>
      </c>
      <c r="B153" s="105" t="n">
        <v>5.85</v>
      </c>
      <c r="C153" s="118"/>
      <c r="D153" s="107" t="n">
        <v>0.27312</v>
      </c>
      <c r="E153" s="108" t="n">
        <v>1</v>
      </c>
      <c r="F153" s="109" t="n">
        <f aca="false">ROUND(B153*E153,2)</f>
        <v>5.85</v>
      </c>
      <c r="H153" s="110" t="n">
        <v>9.33</v>
      </c>
      <c r="I153" s="111" t="n">
        <v>1</v>
      </c>
      <c r="J153" s="112" t="n">
        <f aca="false">ROUND(H153*I153,2)</f>
        <v>9.33</v>
      </c>
      <c r="L153" s="113" t="n">
        <v>4.4</v>
      </c>
      <c r="M153" s="114" t="n">
        <v>1</v>
      </c>
      <c r="N153" s="115" t="n">
        <f aca="false">ROUND(L153*M153,2)</f>
        <v>4.4</v>
      </c>
    </row>
    <row r="154" customFormat="false" ht="15" hidden="false" customHeight="false" outlineLevel="0" collapsed="false">
      <c r="A154" s="121" t="s">
        <v>142</v>
      </c>
      <c r="F154" s="122" t="n">
        <f aca="false">ROUND((SUM(F146:F153)-F153)*1.1+F153,2)</f>
        <v>126.99</v>
      </c>
      <c r="J154" s="123" t="n">
        <f aca="false">ROUND(SUM(J146:J153),2)</f>
        <v>185.75</v>
      </c>
      <c r="N154" s="124" t="n">
        <f aca="false">ROUND(SUM(N146:N153),2)</f>
        <v>91.61</v>
      </c>
    </row>
    <row r="155" customFormat="false" ht="15" hidden="false" customHeight="false" outlineLevel="0" collapsed="false">
      <c r="A155" s="93" t="s">
        <v>143</v>
      </c>
      <c r="B155" s="125" t="n">
        <f aca="false">IF((F150+F149+F148+F146+F147)=0,"",((F150+F149+F148+F146+F147)-$AB$148)/(F150+F149+F148+F146+F147))</f>
        <v>0.326544549875862</v>
      </c>
      <c r="D155" s="126" t="str">
        <f aca="false">IF(B155="","SIN PC",IF(B155&gt;=0.3,"APROBAR",IF(B155&gt;=0.2,"REVISAR","RECHAZAR")))</f>
        <v>APROBAR</v>
      </c>
      <c r="E155" s="126"/>
      <c r="F155" s="126"/>
      <c r="AD155" s="0" t="n">
        <f aca="false">SUM(F148:F150)-59.1483</f>
        <v>-0.00829999999999842</v>
      </c>
    </row>
    <row r="157" customFormat="false" ht="15" hidden="false" customHeight="false" outlineLevel="0" collapsed="false">
      <c r="A157" s="89" t="s">
        <v>708</v>
      </c>
      <c r="B157" s="89"/>
      <c r="C157" s="89"/>
      <c r="D157" s="89"/>
      <c r="E157" s="89"/>
      <c r="F157" s="89"/>
      <c r="H157" s="89" t="s">
        <v>709</v>
      </c>
      <c r="I157" s="89"/>
      <c r="J157" s="89"/>
      <c r="K157" s="89"/>
      <c r="L157" s="90" t="n">
        <v>46113</v>
      </c>
      <c r="M157" s="91" t="s">
        <v>608</v>
      </c>
      <c r="N157" s="90" t="n">
        <v>46142</v>
      </c>
      <c r="R157" s="92" t="s">
        <v>110</v>
      </c>
      <c r="S157" s="92"/>
      <c r="T157" s="92"/>
      <c r="U157" s="92"/>
      <c r="V157" s="92"/>
    </row>
    <row r="158" customFormat="false" ht="15" hidden="false" customHeight="false" outlineLevel="0" collapsed="false">
      <c r="A158" s="93" t="s">
        <v>111</v>
      </c>
      <c r="B158" s="94" t="s">
        <v>112</v>
      </c>
      <c r="C158" s="95"/>
      <c r="D158" s="95"/>
      <c r="E158" s="95"/>
      <c r="F158" s="95"/>
      <c r="H158" s="96" t="s">
        <v>710</v>
      </c>
      <c r="I158" s="97"/>
      <c r="J158" s="97"/>
      <c r="L158" s="98" t="s">
        <v>711</v>
      </c>
      <c r="M158" s="99"/>
      <c r="N158" s="99"/>
      <c r="R158" s="100" t="s">
        <v>712</v>
      </c>
    </row>
    <row r="159" customFormat="false" ht="15" hidden="false" customHeight="false" outlineLevel="0" collapsed="false">
      <c r="B159" s="81" t="s">
        <v>116</v>
      </c>
      <c r="C159" s="81" t="s">
        <v>117</v>
      </c>
      <c r="D159" s="81" t="s">
        <v>118</v>
      </c>
      <c r="E159" s="81" t="s">
        <v>119</v>
      </c>
      <c r="F159" s="81" t="s">
        <v>120</v>
      </c>
      <c r="H159" s="101" t="s">
        <v>116</v>
      </c>
      <c r="I159" s="101" t="s">
        <v>119</v>
      </c>
      <c r="J159" s="101" t="s">
        <v>120</v>
      </c>
      <c r="L159" s="102" t="s">
        <v>116</v>
      </c>
      <c r="M159" s="102" t="s">
        <v>119</v>
      </c>
      <c r="N159" s="102" t="s">
        <v>120</v>
      </c>
      <c r="R159" s="103" t="s">
        <v>713</v>
      </c>
    </row>
    <row r="160" customFormat="false" ht="15" hidden="false" customHeight="false" outlineLevel="0" collapsed="false">
      <c r="A160" s="104" t="s">
        <v>122</v>
      </c>
      <c r="B160" s="105" t="n">
        <v>6.928</v>
      </c>
      <c r="C160" s="106" t="n">
        <f aca="false">$N$157-$L$157+1</f>
        <v>30</v>
      </c>
      <c r="D160" s="107" t="n">
        <v>3.68919</v>
      </c>
      <c r="E160" s="108" t="n">
        <v>4.82</v>
      </c>
      <c r="F160" s="109" t="n">
        <f aca="false">ROUND(B160*E160,2)</f>
        <v>33.39</v>
      </c>
      <c r="H160" s="110" t="n">
        <v>6.928</v>
      </c>
      <c r="I160" s="111" t="n">
        <v>4.82</v>
      </c>
      <c r="J160" s="112" t="n">
        <f aca="false">ROUND(H160*I160,2)</f>
        <v>33.39</v>
      </c>
      <c r="L160" s="113" t="n">
        <v>6.928</v>
      </c>
      <c r="M160" s="114" t="n">
        <v>4.82</v>
      </c>
      <c r="N160" s="115" t="n">
        <f aca="false">ROUND(L160*M160,2)</f>
        <v>33.39</v>
      </c>
      <c r="R160" s="116" t="s">
        <v>714</v>
      </c>
    </row>
    <row r="161" customFormat="false" ht="15" hidden="false" customHeight="false" outlineLevel="0" collapsed="false">
      <c r="A161" s="104" t="s">
        <v>124</v>
      </c>
      <c r="B161" s="105" t="n">
        <v>6.928</v>
      </c>
      <c r="C161" s="106" t="n">
        <f aca="false">$N$157-$L$157+1</f>
        <v>30</v>
      </c>
      <c r="D161" s="107" t="n">
        <v>1.31928</v>
      </c>
      <c r="E161" s="108" t="n">
        <v>2.37</v>
      </c>
      <c r="F161" s="109" t="n">
        <f aca="false">ROUND(B161*E161,2)</f>
        <v>16.42</v>
      </c>
      <c r="H161" s="110" t="n">
        <v>6.928</v>
      </c>
      <c r="I161" s="111" t="n">
        <v>2.37</v>
      </c>
      <c r="J161" s="112" t="n">
        <f aca="false">ROUND(H161*I161,2)</f>
        <v>16.42</v>
      </c>
      <c r="L161" s="113" t="n">
        <v>6.928</v>
      </c>
      <c r="M161" s="114" t="n">
        <v>2.37</v>
      </c>
      <c r="N161" s="115" t="n">
        <f aca="false">ROUND(L161*M161,2)</f>
        <v>16.42</v>
      </c>
      <c r="R161" s="117" t="s">
        <v>715</v>
      </c>
    </row>
    <row r="162" customFormat="false" ht="15" hidden="false" customHeight="false" outlineLevel="0" collapsed="false">
      <c r="A162" s="104" t="s">
        <v>615</v>
      </c>
      <c r="B162" s="105" t="n">
        <f aca="false">IF($P$162&lt;&gt;"",ROUND(AA162*(($AB$162/(1-$P$162))-49.8123)/187.2457,2),IF('Resumen 2.0TD'!$D$3="OPTIMIZAR",ROUND(MAX(AA162,MIN(AA162*(($AB$162/(1-'Resumen 2.0TD'!$F$3))-49.8123)/187.2457,AA162*(516.2155)/187.2457)),3),AA162))</f>
        <v>271.4</v>
      </c>
      <c r="C162" s="118"/>
      <c r="D162" s="107" t="n">
        <v>0.111171</v>
      </c>
      <c r="E162" s="108" t="n">
        <v>0.17</v>
      </c>
      <c r="F162" s="109" t="n">
        <f aca="false">ROUND(B162*E162,2)</f>
        <v>46.14</v>
      </c>
      <c r="H162" s="110" t="n">
        <v>391.159</v>
      </c>
      <c r="I162" s="111" t="n">
        <v>0.175</v>
      </c>
      <c r="J162" s="112" t="n">
        <f aca="false">ROUND(H162*I162,2)</f>
        <v>68.45</v>
      </c>
      <c r="L162" s="113" t="n">
        <v>173.6</v>
      </c>
      <c r="M162" s="114" t="n">
        <v>0.175</v>
      </c>
      <c r="N162" s="115" t="n">
        <f aca="false">ROUND(L162*M162,2)</f>
        <v>30.38</v>
      </c>
      <c r="O162" s="119" t="s">
        <v>616</v>
      </c>
      <c r="P162" s="79"/>
      <c r="R162" s="117" t="s">
        <v>716</v>
      </c>
      <c r="AA162" s="0" t="n">
        <v>271.4</v>
      </c>
      <c r="AB162" s="0" t="n">
        <f aca="false">B160*D160+B161*D161+AA162*D162+AA163*D163+AA164*D164</f>
        <v>157.147422255</v>
      </c>
    </row>
    <row r="163" customFormat="false" ht="15" hidden="false" customHeight="false" outlineLevel="0" collapsed="false">
      <c r="A163" s="104" t="s">
        <v>618</v>
      </c>
      <c r="B163" s="105" t="n">
        <f aca="false">IF($P$162&lt;&gt;"",ROUND(AA163*(($AB$162/(1-$P$162))-49.8123)/187.2457,2),IF('Resumen 2.0TD'!$D$3="OPTIMIZAR",ROUND(MAX(AA163,MIN(AA163*(($AB$162/(1-'Resumen 2.0TD'!$F$3))-49.8123)/187.2457,AA163*(516.2155)/187.2457)),3),AA163))</f>
        <v>278.922</v>
      </c>
      <c r="C163" s="118"/>
      <c r="D163" s="107" t="n">
        <v>0.111171</v>
      </c>
      <c r="E163" s="108" t="n">
        <v>0.17</v>
      </c>
      <c r="F163" s="109" t="n">
        <f aca="false">ROUND(B163*E163,2)</f>
        <v>47.42</v>
      </c>
      <c r="H163" s="110" t="n">
        <v>483.221</v>
      </c>
      <c r="I163" s="111" t="n">
        <v>0.175</v>
      </c>
      <c r="J163" s="112" t="n">
        <f aca="false">ROUND(H163*I163,2)</f>
        <v>84.56</v>
      </c>
      <c r="L163" s="113" t="n">
        <v>168.922</v>
      </c>
      <c r="M163" s="114" t="n">
        <v>0.175</v>
      </c>
      <c r="N163" s="115" t="n">
        <f aca="false">ROUND(L163*M163,2)</f>
        <v>29.56</v>
      </c>
      <c r="O163" s="120" t="s">
        <v>619</v>
      </c>
      <c r="R163" s="117" t="s">
        <v>620</v>
      </c>
      <c r="AA163" s="0" t="n">
        <v>278.922</v>
      </c>
    </row>
    <row r="164" customFormat="false" ht="15" hidden="false" customHeight="false" outlineLevel="0" collapsed="false">
      <c r="A164" s="104" t="s">
        <v>621</v>
      </c>
      <c r="B164" s="105" t="n">
        <f aca="false">IF($P$162&lt;&gt;"",ROUND(AA164*(($AB$162/(1-$P$162))-49.8123)/187.2457,2),IF('Resumen 2.0TD'!$D$3="OPTIMIZAR",ROUND(MAX(AA164,MIN(AA164*(($AB$162/(1-'Resumen 2.0TD'!$F$3))-49.8123)/187.2457,AA164*(516.2155)/187.2457)),3),AA164))</f>
        <v>551.123</v>
      </c>
      <c r="C164" s="118"/>
      <c r="D164" s="107" t="n">
        <v>0.111171</v>
      </c>
      <c r="E164" s="108" t="n">
        <v>0.17</v>
      </c>
      <c r="F164" s="109" t="n">
        <f aca="false">ROUND(B164*E164,2)</f>
        <v>93.69</v>
      </c>
      <c r="H164" s="110" t="n">
        <v>671.558</v>
      </c>
      <c r="I164" s="111" t="n">
        <v>0.175</v>
      </c>
      <c r="J164" s="112" t="n">
        <f aca="false">ROUND(H164*I164,2)</f>
        <v>117.52</v>
      </c>
      <c r="L164" s="113" t="n">
        <v>341.123</v>
      </c>
      <c r="M164" s="114" t="n">
        <v>0.175</v>
      </c>
      <c r="N164" s="115" t="n">
        <f aca="false">ROUND(L164*M164,2)</f>
        <v>59.7</v>
      </c>
      <c r="O164" s="120" t="s">
        <v>622</v>
      </c>
      <c r="AA164" s="0" t="n">
        <v>551.123</v>
      </c>
    </row>
    <row r="165" customFormat="false" ht="15" hidden="false" customHeight="false" outlineLevel="0" collapsed="false">
      <c r="A165" s="104" t="s">
        <v>139</v>
      </c>
      <c r="B165" s="105" t="n">
        <v>1</v>
      </c>
      <c r="C165" s="106" t="n">
        <f aca="false">$N$157-$L$157+1</f>
        <v>30</v>
      </c>
      <c r="D165" s="107" t="n">
        <v>1.3414</v>
      </c>
      <c r="E165" s="108" t="n">
        <v>1</v>
      </c>
      <c r="F165" s="109" t="n">
        <f aca="false">ROUND(B165*E165,2)</f>
        <v>1</v>
      </c>
      <c r="H165" s="110" t="n">
        <v>1</v>
      </c>
      <c r="I165" s="111" t="n">
        <v>1</v>
      </c>
      <c r="J165" s="112" t="n">
        <f aca="false">ROUND(H165*I165,2)</f>
        <v>1</v>
      </c>
      <c r="L165" s="113" t="n">
        <v>1</v>
      </c>
      <c r="M165" s="114" t="n">
        <v>1</v>
      </c>
      <c r="N165" s="115" t="n">
        <f aca="false">ROUND(L165*M165,2)</f>
        <v>1</v>
      </c>
    </row>
    <row r="166" customFormat="false" ht="15" hidden="false" customHeight="false" outlineLevel="0" collapsed="false">
      <c r="A166" s="104" t="s">
        <v>140</v>
      </c>
      <c r="B166" s="105" t="n">
        <v>30</v>
      </c>
      <c r="C166" s="106" t="n">
        <f aca="false">$N$157-$L$157+1</f>
        <v>30</v>
      </c>
      <c r="D166" s="107" t="n">
        <v>0.5736</v>
      </c>
      <c r="E166" s="108" t="n">
        <v>0.01274</v>
      </c>
      <c r="F166" s="109" t="n">
        <f aca="false">ROUND(B166*E166,2)</f>
        <v>0.38</v>
      </c>
      <c r="H166" s="110" t="n">
        <v>30</v>
      </c>
      <c r="I166" s="111" t="n">
        <v>0.01274</v>
      </c>
      <c r="J166" s="112" t="n">
        <f aca="false">ROUND(H166*I166,2)</f>
        <v>0.38</v>
      </c>
      <c r="L166" s="113" t="n">
        <v>30</v>
      </c>
      <c r="M166" s="114" t="n">
        <v>0.00685</v>
      </c>
      <c r="N166" s="115" t="n">
        <f aca="false">ROUND(L166*M166,2)</f>
        <v>0.21</v>
      </c>
    </row>
    <row r="167" customFormat="false" ht="15" hidden="false" customHeight="false" outlineLevel="0" collapsed="false">
      <c r="A167" s="104" t="s">
        <v>141</v>
      </c>
      <c r="B167" s="105" t="n">
        <v>12.63</v>
      </c>
      <c r="C167" s="118"/>
      <c r="D167" s="107" t="n">
        <v>0.27312</v>
      </c>
      <c r="E167" s="108" t="n">
        <v>1</v>
      </c>
      <c r="F167" s="109" t="n">
        <f aca="false">ROUND(B167*E167,2)</f>
        <v>12.63</v>
      </c>
      <c r="H167" s="110" t="n">
        <v>17.29</v>
      </c>
      <c r="I167" s="111" t="n">
        <v>1</v>
      </c>
      <c r="J167" s="112" t="n">
        <f aca="false">ROUND(H167*I167,2)</f>
        <v>17.29</v>
      </c>
      <c r="L167" s="113" t="n">
        <v>8.67</v>
      </c>
      <c r="M167" s="114" t="n">
        <v>1</v>
      </c>
      <c r="N167" s="115" t="n">
        <f aca="false">ROUND(L167*M167,2)</f>
        <v>8.67</v>
      </c>
    </row>
    <row r="168" customFormat="false" ht="15" hidden="false" customHeight="false" outlineLevel="0" collapsed="false">
      <c r="A168" s="121" t="s">
        <v>142</v>
      </c>
      <c r="F168" s="122" t="n">
        <f aca="false">ROUND((SUM(F160:F167)-F167)*1.1+F167,2)</f>
        <v>274.91</v>
      </c>
      <c r="J168" s="123" t="n">
        <f aca="false">ROUND(SUM(J160:J167),2)</f>
        <v>339.01</v>
      </c>
      <c r="N168" s="124" t="n">
        <f aca="false">ROUND(SUM(N160:N167),2)</f>
        <v>179.33</v>
      </c>
    </row>
    <row r="169" customFormat="false" ht="15" hidden="false" customHeight="false" outlineLevel="0" collapsed="false">
      <c r="A169" s="93" t="s">
        <v>143</v>
      </c>
      <c r="B169" s="125" t="n">
        <f aca="false">IF((F164+F163+F162+F160+F161)=0,"",((F164+F163+F162+F160+F161)-$AB$162)/(F164+F163+F162+F160+F161))</f>
        <v>0.337098530941534</v>
      </c>
      <c r="D169" s="126" t="str">
        <f aca="false">IF(B169="","SIN PC",IF(B169&gt;=0.3,"APROBAR",IF(B169&gt;=0.2,"REVISAR","RECHAZAR")))</f>
        <v>APROBAR</v>
      </c>
      <c r="E169" s="126"/>
      <c r="F169" s="126"/>
      <c r="AD169" s="0" t="n">
        <f aca="false">SUM(F162:F164)-187.2457</f>
        <v>0.00430000000000064</v>
      </c>
    </row>
    <row r="171" customFormat="false" ht="15" hidden="false" customHeight="false" outlineLevel="0" collapsed="false">
      <c r="A171" s="89" t="s">
        <v>717</v>
      </c>
      <c r="B171" s="89"/>
      <c r="C171" s="89"/>
      <c r="D171" s="89"/>
      <c r="E171" s="89"/>
      <c r="F171" s="89"/>
      <c r="H171" s="89" t="s">
        <v>718</v>
      </c>
      <c r="I171" s="89"/>
      <c r="J171" s="89"/>
      <c r="K171" s="89"/>
      <c r="L171" s="90" t="n">
        <v>46113</v>
      </c>
      <c r="M171" s="91" t="s">
        <v>608</v>
      </c>
      <c r="N171" s="90" t="n">
        <v>46142</v>
      </c>
      <c r="R171" s="92" t="s">
        <v>110</v>
      </c>
      <c r="S171" s="92"/>
      <c r="T171" s="92"/>
      <c r="U171" s="92"/>
      <c r="V171" s="92"/>
    </row>
    <row r="172" customFormat="false" ht="15" hidden="false" customHeight="false" outlineLevel="0" collapsed="false">
      <c r="A172" s="93" t="s">
        <v>111</v>
      </c>
      <c r="B172" s="94" t="s">
        <v>112</v>
      </c>
      <c r="C172" s="95"/>
      <c r="D172" s="95"/>
      <c r="E172" s="95"/>
      <c r="F172" s="95"/>
      <c r="H172" s="96" t="s">
        <v>719</v>
      </c>
      <c r="I172" s="97"/>
      <c r="J172" s="97"/>
      <c r="L172" s="98" t="s">
        <v>720</v>
      </c>
      <c r="M172" s="99"/>
      <c r="N172" s="99"/>
      <c r="R172" s="100" t="s">
        <v>721</v>
      </c>
    </row>
    <row r="173" customFormat="false" ht="15" hidden="false" customHeight="false" outlineLevel="0" collapsed="false">
      <c r="B173" s="81" t="s">
        <v>116</v>
      </c>
      <c r="C173" s="81" t="s">
        <v>117</v>
      </c>
      <c r="D173" s="81" t="s">
        <v>118</v>
      </c>
      <c r="E173" s="81" t="s">
        <v>119</v>
      </c>
      <c r="F173" s="81" t="s">
        <v>120</v>
      </c>
      <c r="H173" s="101" t="s">
        <v>116</v>
      </c>
      <c r="I173" s="101" t="s">
        <v>119</v>
      </c>
      <c r="J173" s="101" t="s">
        <v>120</v>
      </c>
      <c r="L173" s="102" t="s">
        <v>116</v>
      </c>
      <c r="M173" s="102" t="s">
        <v>119</v>
      </c>
      <c r="N173" s="102" t="s">
        <v>120</v>
      </c>
      <c r="R173" s="103" t="s">
        <v>722</v>
      </c>
    </row>
    <row r="174" customFormat="false" ht="15" hidden="false" customHeight="false" outlineLevel="0" collapsed="false">
      <c r="A174" s="104" t="s">
        <v>122</v>
      </c>
      <c r="B174" s="105" t="n">
        <v>13.856</v>
      </c>
      <c r="C174" s="106" t="n">
        <f aca="false">$N$171-$L$171+1</f>
        <v>30</v>
      </c>
      <c r="D174" s="107" t="n">
        <v>3.68919</v>
      </c>
      <c r="E174" s="108" t="n">
        <v>4.82</v>
      </c>
      <c r="F174" s="109" t="n">
        <f aca="false">ROUND(B174*E174,2)</f>
        <v>66.79</v>
      </c>
      <c r="H174" s="110" t="n">
        <v>13.856</v>
      </c>
      <c r="I174" s="111" t="n">
        <v>4.82</v>
      </c>
      <c r="J174" s="112" t="n">
        <f aca="false">ROUND(H174*I174,2)</f>
        <v>66.79</v>
      </c>
      <c r="L174" s="113" t="n">
        <v>13.856</v>
      </c>
      <c r="M174" s="114" t="n">
        <v>4.82</v>
      </c>
      <c r="N174" s="115" t="n">
        <f aca="false">ROUND(L174*M174,2)</f>
        <v>66.79</v>
      </c>
      <c r="R174" s="116" t="s">
        <v>723</v>
      </c>
    </row>
    <row r="175" customFormat="false" ht="15" hidden="false" customHeight="false" outlineLevel="0" collapsed="false">
      <c r="A175" s="104" t="s">
        <v>124</v>
      </c>
      <c r="B175" s="105" t="n">
        <v>13.856</v>
      </c>
      <c r="C175" s="106" t="n">
        <f aca="false">$N$171-$L$171+1</f>
        <v>30</v>
      </c>
      <c r="D175" s="107" t="n">
        <v>1.31928</v>
      </c>
      <c r="E175" s="108" t="n">
        <v>2.37</v>
      </c>
      <c r="F175" s="109" t="n">
        <f aca="false">ROUND(B175*E175,2)</f>
        <v>32.84</v>
      </c>
      <c r="H175" s="110" t="n">
        <v>13.856</v>
      </c>
      <c r="I175" s="111" t="n">
        <v>2.37</v>
      </c>
      <c r="J175" s="112" t="n">
        <f aca="false">ROUND(H175*I175,2)</f>
        <v>32.84</v>
      </c>
      <c r="L175" s="113" t="n">
        <v>13.856</v>
      </c>
      <c r="M175" s="114" t="n">
        <v>2.37</v>
      </c>
      <c r="N175" s="115" t="n">
        <f aca="false">ROUND(L175*M175,2)</f>
        <v>32.84</v>
      </c>
      <c r="R175" s="117" t="s">
        <v>724</v>
      </c>
    </row>
    <row r="176" customFormat="false" ht="15" hidden="false" customHeight="false" outlineLevel="0" collapsed="false">
      <c r="A176" s="104" t="s">
        <v>615</v>
      </c>
      <c r="B176" s="105" t="n">
        <f aca="false">IF($P$176&lt;&gt;"",ROUND(AA176*(($AB$176/(1-$P$176))-99.6246)/182.9695,2),IF('Resumen 2.0TD'!$D$3="OPTIMIZAR",ROUND(MAX(AA176,MIN(AA176*(($AB$176/(1-'Resumen 2.0TD'!$F$3))-99.6246)/182.9695,AA176*(360.0699)/182.9695)),3),AA176))</f>
        <v>285.219</v>
      </c>
      <c r="C176" s="118"/>
      <c r="D176" s="107" t="n">
        <v>0.111171</v>
      </c>
      <c r="E176" s="108" t="n">
        <v>0.17</v>
      </c>
      <c r="F176" s="109" t="n">
        <f aca="false">ROUND(B176*E176,2)</f>
        <v>48.49</v>
      </c>
      <c r="H176" s="110" t="n">
        <v>482.776</v>
      </c>
      <c r="I176" s="111" t="n">
        <v>0.175</v>
      </c>
      <c r="J176" s="112" t="n">
        <f aca="false">ROUND(H176*I176,2)</f>
        <v>84.49</v>
      </c>
      <c r="L176" s="113" t="n">
        <v>183.219</v>
      </c>
      <c r="M176" s="114" t="n">
        <v>0.175</v>
      </c>
      <c r="N176" s="115" t="n">
        <f aca="false">ROUND(L176*M176,2)</f>
        <v>32.06</v>
      </c>
      <c r="O176" s="119" t="s">
        <v>616</v>
      </c>
      <c r="P176" s="79"/>
      <c r="R176" s="117" t="s">
        <v>725</v>
      </c>
      <c r="AA176" s="0" t="n">
        <v>285.219</v>
      </c>
      <c r="AB176" s="0" t="n">
        <f aca="false">B174*D174+B175*D175+AA176*D176+AA177*D177+AA178*D178</f>
        <v>189.049707081</v>
      </c>
    </row>
    <row r="177" customFormat="false" ht="15" hidden="false" customHeight="false" outlineLevel="0" collapsed="false">
      <c r="A177" s="104" t="s">
        <v>618</v>
      </c>
      <c r="B177" s="105" t="n">
        <f aca="false">IF($P$176&lt;&gt;"",ROUND(AA177*(($AB$176/(1-$P$176))-99.6246)/182.9695,2),IF('Resumen 2.0TD'!$D$3="OPTIMIZAR",ROUND(MAX(AA177,MIN(AA177*(($AB$176/(1-'Resumen 2.0TD'!$F$3))-99.6246)/182.9695,AA177*(360.0699)/182.9695)),3),AA177))</f>
        <v>266.554</v>
      </c>
      <c r="C177" s="118"/>
      <c r="D177" s="107" t="n">
        <v>0.111171</v>
      </c>
      <c r="E177" s="108" t="n">
        <v>0.17</v>
      </c>
      <c r="F177" s="109" t="n">
        <f aca="false">ROUND(B177*E177,2)</f>
        <v>45.31</v>
      </c>
      <c r="H177" s="110" t="n">
        <v>456.212</v>
      </c>
      <c r="I177" s="111" t="n">
        <v>0.175</v>
      </c>
      <c r="J177" s="112" t="n">
        <f aca="false">ROUND(H177*I177,2)</f>
        <v>79.84</v>
      </c>
      <c r="L177" s="113" t="n">
        <v>180.554</v>
      </c>
      <c r="M177" s="114" t="n">
        <v>0.175</v>
      </c>
      <c r="N177" s="115" t="n">
        <f aca="false">ROUND(L177*M177,2)</f>
        <v>31.6</v>
      </c>
      <c r="O177" s="120" t="s">
        <v>619</v>
      </c>
      <c r="R177" s="117" t="s">
        <v>620</v>
      </c>
      <c r="AA177" s="0" t="n">
        <v>266.554</v>
      </c>
    </row>
    <row r="178" customFormat="false" ht="15" hidden="false" customHeight="false" outlineLevel="0" collapsed="false">
      <c r="A178" s="104" t="s">
        <v>621</v>
      </c>
      <c r="B178" s="105" t="n">
        <f aca="false">IF($P$176&lt;&gt;"",ROUND(AA178*(($AB$176/(1-$P$176))-99.6246)/182.9695,2),IF('Resumen 2.0TD'!$D$3="OPTIMIZAR",ROUND(MAX(AA178,MIN(AA178*(($AB$176/(1-'Resumen 2.0TD'!$F$3))-99.6246)/182.9695,AA178*(360.0699)/182.9695)),3),AA178))</f>
        <v>524.518</v>
      </c>
      <c r="C178" s="118"/>
      <c r="D178" s="107" t="n">
        <v>0.111171</v>
      </c>
      <c r="E178" s="108" t="n">
        <v>0.17</v>
      </c>
      <c r="F178" s="109" t="n">
        <f aca="false">ROUND(B178*E178,2)</f>
        <v>89.17</v>
      </c>
      <c r="H178" s="110" t="n">
        <v>661.457</v>
      </c>
      <c r="I178" s="111" t="n">
        <v>0.175</v>
      </c>
      <c r="J178" s="112" t="n">
        <f aca="false">ROUND(H178*I178,2)</f>
        <v>115.75</v>
      </c>
      <c r="L178" s="113" t="n">
        <v>320.618</v>
      </c>
      <c r="M178" s="114" t="n">
        <v>0.175</v>
      </c>
      <c r="N178" s="115" t="n">
        <f aca="false">ROUND(L178*M178,2)</f>
        <v>56.11</v>
      </c>
      <c r="O178" s="120" t="s">
        <v>622</v>
      </c>
      <c r="AA178" s="0" t="n">
        <v>524.518</v>
      </c>
    </row>
    <row r="179" customFormat="false" ht="15" hidden="false" customHeight="false" outlineLevel="0" collapsed="false">
      <c r="A179" s="104" t="s">
        <v>139</v>
      </c>
      <c r="B179" s="105" t="n">
        <v>1</v>
      </c>
      <c r="C179" s="106" t="n">
        <f aca="false">$N$171-$L$171+1</f>
        <v>30</v>
      </c>
      <c r="D179" s="107" t="n">
        <v>1.3414</v>
      </c>
      <c r="E179" s="108" t="n">
        <v>1</v>
      </c>
      <c r="F179" s="109" t="n">
        <f aca="false">ROUND(B179*E179,2)</f>
        <v>1</v>
      </c>
      <c r="H179" s="110" t="n">
        <v>1</v>
      </c>
      <c r="I179" s="111" t="n">
        <v>1</v>
      </c>
      <c r="J179" s="112" t="n">
        <f aca="false">ROUND(H179*I179,2)</f>
        <v>1</v>
      </c>
      <c r="L179" s="113" t="n">
        <v>1</v>
      </c>
      <c r="M179" s="114" t="n">
        <v>1</v>
      </c>
      <c r="N179" s="115" t="n">
        <f aca="false">ROUND(L179*M179,2)</f>
        <v>1</v>
      </c>
    </row>
    <row r="180" customFormat="false" ht="15" hidden="false" customHeight="false" outlineLevel="0" collapsed="false">
      <c r="A180" s="104" t="s">
        <v>140</v>
      </c>
      <c r="B180" s="105" t="n">
        <v>30</v>
      </c>
      <c r="C180" s="106" t="n">
        <f aca="false">$N$171-$L$171+1</f>
        <v>30</v>
      </c>
      <c r="D180" s="107" t="n">
        <v>0.5736</v>
      </c>
      <c r="E180" s="108" t="n">
        <v>0.00685</v>
      </c>
      <c r="F180" s="109" t="n">
        <f aca="false">ROUND(B180*E180,2)</f>
        <v>0.21</v>
      </c>
      <c r="H180" s="110" t="n">
        <v>30</v>
      </c>
      <c r="I180" s="111" t="n">
        <v>0.01274</v>
      </c>
      <c r="J180" s="112" t="n">
        <f aca="false">ROUND(H180*I180,2)</f>
        <v>0.38</v>
      </c>
      <c r="L180" s="113" t="n">
        <v>30</v>
      </c>
      <c r="M180" s="114" t="n">
        <v>0.00685</v>
      </c>
      <c r="N180" s="115" t="n">
        <f aca="false">ROUND(L180*M180,2)</f>
        <v>0.21</v>
      </c>
    </row>
    <row r="181" customFormat="false" ht="15" hidden="false" customHeight="false" outlineLevel="0" collapsed="false">
      <c r="A181" s="104" t="s">
        <v>141</v>
      </c>
      <c r="B181" s="105" t="n">
        <v>15.11</v>
      </c>
      <c r="C181" s="118"/>
      <c r="D181" s="107" t="n">
        <v>0.27312</v>
      </c>
      <c r="E181" s="108" t="n">
        <v>1</v>
      </c>
      <c r="F181" s="109" t="n">
        <f aca="false">ROUND(B181*E181,2)</f>
        <v>15.11</v>
      </c>
      <c r="H181" s="110" t="n">
        <v>20.3</v>
      </c>
      <c r="I181" s="111" t="n">
        <v>1</v>
      </c>
      <c r="J181" s="112" t="n">
        <f aca="false">ROUND(H181*I181,2)</f>
        <v>20.3</v>
      </c>
      <c r="L181" s="113" t="n">
        <v>11.79</v>
      </c>
      <c r="M181" s="114" t="n">
        <v>1</v>
      </c>
      <c r="N181" s="115" t="n">
        <f aca="false">ROUND(L181*M181,2)</f>
        <v>11.79</v>
      </c>
    </row>
    <row r="182" customFormat="false" ht="15" hidden="false" customHeight="false" outlineLevel="0" collapsed="false">
      <c r="A182" s="121" t="s">
        <v>142</v>
      </c>
      <c r="F182" s="122" t="n">
        <f aca="false">ROUND((SUM(F174:F181)-F181)*1.1+F181,2)</f>
        <v>327.3</v>
      </c>
      <c r="J182" s="123" t="n">
        <f aca="false">ROUND(SUM(J174:J181),2)</f>
        <v>401.39</v>
      </c>
      <c r="N182" s="124" t="n">
        <f aca="false">ROUND(SUM(N174:N181),2)</f>
        <v>232.4</v>
      </c>
    </row>
    <row r="183" customFormat="false" ht="15" hidden="false" customHeight="false" outlineLevel="0" collapsed="false">
      <c r="A183" s="93" t="s">
        <v>143</v>
      </c>
      <c r="B183" s="125" t="n">
        <f aca="false">IF((F178+F177+F176+F174+F175)=0,"",((F178+F177+F176+F174+F175)-$AB$176)/(F178+F177+F176+F174+F175))</f>
        <v>0.331034299076433</v>
      </c>
      <c r="D183" s="126" t="str">
        <f aca="false">IF(B183="","SIN PC",IF(B183&gt;=0.3,"APROBAR",IF(B183&gt;=0.2,"REVISAR","RECHAZAR")))</f>
        <v>APROBAR</v>
      </c>
      <c r="E183" s="126"/>
      <c r="F183" s="126"/>
      <c r="AD183" s="0" t="n">
        <f aca="false">SUM(F176:F178)-182.9695</f>
        <v>0.000500000000016598</v>
      </c>
    </row>
    <row r="185" customFormat="false" ht="15" hidden="false" customHeight="false" outlineLevel="0" collapsed="false">
      <c r="A185" s="89" t="s">
        <v>726</v>
      </c>
      <c r="B185" s="89"/>
      <c r="C185" s="89"/>
      <c r="D185" s="89"/>
      <c r="E185" s="89"/>
      <c r="F185" s="89"/>
      <c r="H185" s="89" t="s">
        <v>727</v>
      </c>
      <c r="I185" s="89"/>
      <c r="J185" s="89"/>
      <c r="K185" s="89"/>
      <c r="L185" s="90" t="n">
        <v>46113</v>
      </c>
      <c r="M185" s="91" t="s">
        <v>608</v>
      </c>
      <c r="N185" s="90" t="n">
        <v>46142</v>
      </c>
      <c r="R185" s="92" t="s">
        <v>110</v>
      </c>
      <c r="S185" s="92"/>
      <c r="T185" s="92"/>
      <c r="U185" s="92"/>
      <c r="V185" s="92"/>
    </row>
    <row r="186" customFormat="false" ht="15" hidden="false" customHeight="false" outlineLevel="0" collapsed="false">
      <c r="A186" s="93" t="s">
        <v>111</v>
      </c>
      <c r="B186" s="94" t="s">
        <v>112</v>
      </c>
      <c r="C186" s="95"/>
      <c r="D186" s="95"/>
      <c r="E186" s="95"/>
      <c r="F186" s="95"/>
      <c r="H186" s="96" t="s">
        <v>728</v>
      </c>
      <c r="I186" s="97"/>
      <c r="J186" s="97"/>
      <c r="L186" s="98" t="s">
        <v>729</v>
      </c>
      <c r="M186" s="99"/>
      <c r="N186" s="99"/>
      <c r="R186" s="100" t="s">
        <v>730</v>
      </c>
    </row>
    <row r="187" customFormat="false" ht="15" hidden="false" customHeight="false" outlineLevel="0" collapsed="false">
      <c r="B187" s="81" t="s">
        <v>116</v>
      </c>
      <c r="C187" s="81" t="s">
        <v>117</v>
      </c>
      <c r="D187" s="81" t="s">
        <v>118</v>
      </c>
      <c r="E187" s="81" t="s">
        <v>119</v>
      </c>
      <c r="F187" s="81" t="s">
        <v>120</v>
      </c>
      <c r="H187" s="101" t="s">
        <v>116</v>
      </c>
      <c r="I187" s="101" t="s">
        <v>119</v>
      </c>
      <c r="J187" s="101" t="s">
        <v>120</v>
      </c>
      <c r="L187" s="102" t="s">
        <v>116</v>
      </c>
      <c r="M187" s="102" t="s">
        <v>119</v>
      </c>
      <c r="N187" s="102" t="s">
        <v>120</v>
      </c>
      <c r="R187" s="103" t="s">
        <v>731</v>
      </c>
    </row>
    <row r="188" customFormat="false" ht="15" hidden="false" customHeight="false" outlineLevel="0" collapsed="false">
      <c r="A188" s="104" t="s">
        <v>122</v>
      </c>
      <c r="B188" s="105" t="n">
        <v>13.856</v>
      </c>
      <c r="C188" s="106" t="n">
        <f aca="false">$N$185-$L$185+1</f>
        <v>30</v>
      </c>
      <c r="D188" s="107" t="n">
        <v>3.68919</v>
      </c>
      <c r="E188" s="108" t="n">
        <v>4.82</v>
      </c>
      <c r="F188" s="109" t="n">
        <f aca="false">ROUND(B188*E188,2)</f>
        <v>66.79</v>
      </c>
      <c r="H188" s="110" t="n">
        <v>13.856</v>
      </c>
      <c r="I188" s="111" t="n">
        <v>4.82</v>
      </c>
      <c r="J188" s="112" t="n">
        <f aca="false">ROUND(H188*I188,2)</f>
        <v>66.79</v>
      </c>
      <c r="L188" s="113" t="n">
        <v>13.856</v>
      </c>
      <c r="M188" s="114" t="n">
        <v>4.82</v>
      </c>
      <c r="N188" s="115" t="n">
        <f aca="false">ROUND(L188*M188,2)</f>
        <v>66.79</v>
      </c>
      <c r="R188" s="116" t="s">
        <v>732</v>
      </c>
    </row>
    <row r="189" customFormat="false" ht="15" hidden="false" customHeight="false" outlineLevel="0" collapsed="false">
      <c r="A189" s="104" t="s">
        <v>124</v>
      </c>
      <c r="B189" s="105" t="n">
        <v>13.856</v>
      </c>
      <c r="C189" s="106" t="n">
        <f aca="false">$N$185-$L$185+1</f>
        <v>30</v>
      </c>
      <c r="D189" s="107" t="n">
        <v>1.31928</v>
      </c>
      <c r="E189" s="108" t="n">
        <v>2.37</v>
      </c>
      <c r="F189" s="109" t="n">
        <f aca="false">ROUND(B189*E189,2)</f>
        <v>32.84</v>
      </c>
      <c r="H189" s="110" t="n">
        <v>13.856</v>
      </c>
      <c r="I189" s="111" t="n">
        <v>2.37</v>
      </c>
      <c r="J189" s="112" t="n">
        <f aca="false">ROUND(H189*I189,2)</f>
        <v>32.84</v>
      </c>
      <c r="L189" s="113" t="n">
        <v>13.856</v>
      </c>
      <c r="M189" s="114" t="n">
        <v>2.37</v>
      </c>
      <c r="N189" s="115" t="n">
        <f aca="false">ROUND(L189*M189,2)</f>
        <v>32.84</v>
      </c>
      <c r="R189" s="117" t="s">
        <v>733</v>
      </c>
    </row>
    <row r="190" customFormat="false" ht="15" hidden="false" customHeight="false" outlineLevel="0" collapsed="false">
      <c r="A190" s="104" t="s">
        <v>615</v>
      </c>
      <c r="B190" s="105" t="n">
        <f aca="false">IF($P$190&lt;&gt;"",ROUND(AA190*(($AB$190/(1-$P$190))-99.6246)/227.3937,2),IF('Resumen 2.0TD'!$D$3="OPTIMIZAR",ROUND(MAX(AA190,MIN(AA190*(($AB$190/(1-'Resumen 2.0TD'!$F$3))-99.6246)/227.3937,AA190*(478.3832)/227.3937)),3),AA190))</f>
        <v>384.176</v>
      </c>
      <c r="C190" s="118"/>
      <c r="D190" s="107" t="n">
        <v>0.111171</v>
      </c>
      <c r="E190" s="108" t="n">
        <v>0.17</v>
      </c>
      <c r="F190" s="109" t="n">
        <f aca="false">ROUND(B190*E190,2)</f>
        <v>65.31</v>
      </c>
      <c r="H190" s="110" t="n">
        <v>580.445</v>
      </c>
      <c r="I190" s="111" t="n">
        <v>0.1724</v>
      </c>
      <c r="J190" s="112" t="n">
        <f aca="false">ROUND(H190*I190,2)</f>
        <v>100.07</v>
      </c>
      <c r="L190" s="113" t="n">
        <v>292.176</v>
      </c>
      <c r="M190" s="114" t="n">
        <v>0.175</v>
      </c>
      <c r="N190" s="115" t="n">
        <f aca="false">ROUND(L190*M190,2)</f>
        <v>51.13</v>
      </c>
      <c r="O190" s="119" t="s">
        <v>616</v>
      </c>
      <c r="P190" s="79"/>
      <c r="R190" s="117" t="s">
        <v>734</v>
      </c>
      <c r="AA190" s="0" t="n">
        <v>384.176</v>
      </c>
      <c r="AB190" s="0" t="n">
        <f aca="false">B188*D188+B189*D189+AA190*D190+AA191*D191+AA192*D192</f>
        <v>218.10080163</v>
      </c>
    </row>
    <row r="191" customFormat="false" ht="15" hidden="false" customHeight="false" outlineLevel="0" collapsed="false">
      <c r="A191" s="104" t="s">
        <v>618</v>
      </c>
      <c r="B191" s="105" t="n">
        <f aca="false">IF($P$190&lt;&gt;"",ROUND(AA191*(($AB$190/(1-$P$190))-99.6246)/227.3937,2),IF('Resumen 2.0TD'!$D$3="OPTIMIZAR",ROUND(MAX(AA191,MIN(AA191*(($AB$190/(1-'Resumen 2.0TD'!$F$3))-99.6246)/227.3937,AA191*(478.3832)/227.3937)),3),AA191))</f>
        <v>331.91</v>
      </c>
      <c r="C191" s="118"/>
      <c r="D191" s="107" t="n">
        <v>0.111171</v>
      </c>
      <c r="E191" s="108" t="n">
        <v>0.17</v>
      </c>
      <c r="F191" s="109" t="n">
        <f aca="false">ROUND(B191*E191,2)</f>
        <v>56.42</v>
      </c>
      <c r="H191" s="110" t="n">
        <v>691.221</v>
      </c>
      <c r="I191" s="111" t="n">
        <v>0.1724</v>
      </c>
      <c r="J191" s="112" t="n">
        <f aca="false">ROUND(H191*I191,2)</f>
        <v>119.17</v>
      </c>
      <c r="L191" s="113" t="n">
        <v>232.91</v>
      </c>
      <c r="M191" s="114" t="n">
        <v>0.175</v>
      </c>
      <c r="N191" s="115" t="n">
        <f aca="false">ROUND(L191*M191,2)</f>
        <v>40.76</v>
      </c>
      <c r="O191" s="120" t="s">
        <v>619</v>
      </c>
      <c r="R191" s="117" t="s">
        <v>620</v>
      </c>
      <c r="AA191" s="0" t="n">
        <v>331.91</v>
      </c>
    </row>
    <row r="192" customFormat="false" ht="15" hidden="false" customHeight="false" outlineLevel="0" collapsed="false">
      <c r="A192" s="104" t="s">
        <v>621</v>
      </c>
      <c r="B192" s="105" t="n">
        <f aca="false">IF($P$190&lt;&gt;"",ROUND(AA192*(($AB$190/(1-$P$190))-99.6246)/227.3937,2),IF('Resumen 2.0TD'!$D$3="OPTIMIZAR",ROUND(MAX(AA192,MIN(AA192*(($AB$190/(1-'Resumen 2.0TD'!$F$3))-99.6246)/227.3937,AA192*(478.3832)/227.3937)),3),AA192))</f>
        <v>621.524</v>
      </c>
      <c r="C192" s="118"/>
      <c r="D192" s="107" t="n">
        <v>0.111171</v>
      </c>
      <c r="E192" s="108" t="n">
        <v>0.17</v>
      </c>
      <c r="F192" s="109" t="n">
        <f aca="false">ROUND(B192*E192,2)</f>
        <v>105.66</v>
      </c>
      <c r="H192" s="110" t="n">
        <v>1029.513</v>
      </c>
      <c r="I192" s="111" t="n">
        <v>0.1724</v>
      </c>
      <c r="J192" s="112" t="n">
        <f aca="false">ROUND(H192*I192,2)</f>
        <v>177.49</v>
      </c>
      <c r="L192" s="113" t="n">
        <v>421.524</v>
      </c>
      <c r="M192" s="114" t="n">
        <v>0.175</v>
      </c>
      <c r="N192" s="115" t="n">
        <f aca="false">ROUND(L192*M192,2)</f>
        <v>73.77</v>
      </c>
      <c r="O192" s="120" t="s">
        <v>622</v>
      </c>
      <c r="AA192" s="0" t="n">
        <v>621.524</v>
      </c>
    </row>
    <row r="193" customFormat="false" ht="15" hidden="false" customHeight="false" outlineLevel="0" collapsed="false">
      <c r="A193" s="104" t="s">
        <v>139</v>
      </c>
      <c r="B193" s="105" t="n">
        <v>1</v>
      </c>
      <c r="C193" s="106" t="n">
        <f aca="false">$N$185-$L$185+1</f>
        <v>30</v>
      </c>
      <c r="D193" s="107" t="n">
        <v>1.3414</v>
      </c>
      <c r="E193" s="108" t="n">
        <v>1</v>
      </c>
      <c r="F193" s="109" t="n">
        <f aca="false">ROUND(B193*E193,2)</f>
        <v>1</v>
      </c>
      <c r="H193" s="110" t="n">
        <v>1</v>
      </c>
      <c r="I193" s="111" t="n">
        <v>1</v>
      </c>
      <c r="J193" s="112" t="n">
        <f aca="false">ROUND(H193*I193,2)</f>
        <v>1</v>
      </c>
      <c r="L193" s="113" t="n">
        <v>1</v>
      </c>
      <c r="M193" s="114" t="n">
        <v>1</v>
      </c>
      <c r="N193" s="115" t="n">
        <f aca="false">ROUND(L193*M193,2)</f>
        <v>1</v>
      </c>
    </row>
    <row r="194" customFormat="false" ht="15" hidden="false" customHeight="false" outlineLevel="0" collapsed="false">
      <c r="A194" s="104" t="s">
        <v>140</v>
      </c>
      <c r="B194" s="105" t="n">
        <v>30</v>
      </c>
      <c r="C194" s="106" t="n">
        <f aca="false">$N$185-$L$185+1</f>
        <v>30</v>
      </c>
      <c r="D194" s="107" t="n">
        <v>0.5736</v>
      </c>
      <c r="E194" s="108" t="n">
        <v>0.01274</v>
      </c>
      <c r="F194" s="109" t="n">
        <f aca="false">ROUND(B194*E194,2)</f>
        <v>0.38</v>
      </c>
      <c r="H194" s="110" t="n">
        <v>30</v>
      </c>
      <c r="I194" s="111" t="n">
        <v>0.01274</v>
      </c>
      <c r="J194" s="112" t="n">
        <f aca="false">ROUND(H194*I194,2)</f>
        <v>0.38</v>
      </c>
      <c r="L194" s="113" t="n">
        <v>30</v>
      </c>
      <c r="M194" s="114" t="n">
        <v>0.00685</v>
      </c>
      <c r="N194" s="115" t="n">
        <f aca="false">ROUND(L194*M194,2)</f>
        <v>0.21</v>
      </c>
    </row>
    <row r="195" customFormat="false" ht="15" hidden="false" customHeight="false" outlineLevel="0" collapsed="false">
      <c r="A195" s="104" t="s">
        <v>141</v>
      </c>
      <c r="B195" s="105" t="n">
        <v>17.47</v>
      </c>
      <c r="C195" s="118"/>
      <c r="D195" s="107" t="n">
        <v>0.27312</v>
      </c>
      <c r="E195" s="108" t="n">
        <v>1</v>
      </c>
      <c r="F195" s="109" t="n">
        <f aca="false">ROUND(B195*E195,2)</f>
        <v>17.47</v>
      </c>
      <c r="H195" s="110" t="n">
        <v>26.21</v>
      </c>
      <c r="I195" s="111" t="n">
        <v>1</v>
      </c>
      <c r="J195" s="112" t="n">
        <f aca="false">ROUND(H195*I195,2)</f>
        <v>26.21</v>
      </c>
      <c r="L195" s="113" t="n">
        <v>13.57</v>
      </c>
      <c r="M195" s="114" t="n">
        <v>1</v>
      </c>
      <c r="N195" s="115" t="n">
        <f aca="false">ROUND(L195*M195,2)</f>
        <v>13.57</v>
      </c>
    </row>
    <row r="196" customFormat="false" ht="15" hidden="false" customHeight="false" outlineLevel="0" collapsed="false">
      <c r="A196" s="121" t="s">
        <v>142</v>
      </c>
      <c r="F196" s="122" t="n">
        <f aca="false">ROUND((SUM(F188:F195)-F195)*1.1+F195,2)</f>
        <v>378.71</v>
      </c>
      <c r="J196" s="123" t="n">
        <f aca="false">ROUND(SUM(J188:J195),2)</f>
        <v>523.95</v>
      </c>
      <c r="N196" s="124" t="n">
        <f aca="false">ROUND(SUM(N188:N195),2)</f>
        <v>280.07</v>
      </c>
    </row>
    <row r="197" customFormat="false" ht="15" hidden="false" customHeight="false" outlineLevel="0" collapsed="false">
      <c r="A197" s="93" t="s">
        <v>143</v>
      </c>
      <c r="B197" s="125" t="n">
        <f aca="false">IF((F192+F191+F190+F188+F189)=0,"",((F192+F191+F190+F188+F189)-$AB$190)/(F192+F191+F190+F188+F189))</f>
        <v>0.333065862546633</v>
      </c>
      <c r="D197" s="126" t="str">
        <f aca="false">IF(B197="","SIN PC",IF(B197&gt;=0.3,"APROBAR",IF(B197&gt;=0.2,"REVISAR","RECHAZAR")))</f>
        <v>APROBAR</v>
      </c>
      <c r="E197" s="126"/>
      <c r="F197" s="126"/>
      <c r="AD197" s="0" t="n">
        <f aca="false">SUM(F190:F192)-227.3937</f>
        <v>-0.00370000000000914</v>
      </c>
    </row>
    <row r="199" customFormat="false" ht="15" hidden="false" customHeight="false" outlineLevel="0" collapsed="false">
      <c r="A199" s="89" t="s">
        <v>735</v>
      </c>
      <c r="B199" s="89"/>
      <c r="C199" s="89"/>
      <c r="D199" s="89"/>
      <c r="E199" s="89"/>
      <c r="F199" s="89"/>
      <c r="H199" s="89" t="s">
        <v>736</v>
      </c>
      <c r="I199" s="89"/>
      <c r="J199" s="89"/>
      <c r="K199" s="89"/>
      <c r="L199" s="90" t="n">
        <v>46113</v>
      </c>
      <c r="M199" s="91" t="s">
        <v>608</v>
      </c>
      <c r="N199" s="90" t="n">
        <v>46142</v>
      </c>
      <c r="R199" s="92" t="s">
        <v>110</v>
      </c>
      <c r="S199" s="92"/>
      <c r="T199" s="92"/>
      <c r="U199" s="92"/>
      <c r="V199" s="92"/>
    </row>
    <row r="200" customFormat="false" ht="15" hidden="false" customHeight="false" outlineLevel="0" collapsed="false">
      <c r="A200" s="93" t="s">
        <v>111</v>
      </c>
      <c r="B200" s="94" t="s">
        <v>112</v>
      </c>
      <c r="C200" s="95"/>
      <c r="D200" s="95"/>
      <c r="E200" s="95"/>
      <c r="F200" s="95"/>
      <c r="H200" s="96" t="s">
        <v>737</v>
      </c>
      <c r="I200" s="97"/>
      <c r="J200" s="97"/>
      <c r="L200" s="98" t="s">
        <v>738</v>
      </c>
      <c r="M200" s="99"/>
      <c r="N200" s="99"/>
      <c r="R200" s="100" t="s">
        <v>739</v>
      </c>
    </row>
    <row r="201" customFormat="false" ht="15" hidden="false" customHeight="false" outlineLevel="0" collapsed="false">
      <c r="B201" s="81" t="s">
        <v>116</v>
      </c>
      <c r="C201" s="81" t="s">
        <v>117</v>
      </c>
      <c r="D201" s="81" t="s">
        <v>118</v>
      </c>
      <c r="E201" s="81" t="s">
        <v>119</v>
      </c>
      <c r="F201" s="81" t="s">
        <v>120</v>
      </c>
      <c r="H201" s="101" t="s">
        <v>116</v>
      </c>
      <c r="I201" s="101" t="s">
        <v>119</v>
      </c>
      <c r="J201" s="101" t="s">
        <v>120</v>
      </c>
      <c r="L201" s="102" t="s">
        <v>116</v>
      </c>
      <c r="M201" s="102" t="s">
        <v>119</v>
      </c>
      <c r="N201" s="102" t="s">
        <v>120</v>
      </c>
      <c r="R201" s="103" t="s">
        <v>740</v>
      </c>
    </row>
    <row r="202" customFormat="false" ht="15" hidden="false" customHeight="false" outlineLevel="0" collapsed="false">
      <c r="A202" s="104" t="s">
        <v>122</v>
      </c>
      <c r="B202" s="105" t="n">
        <v>9.2</v>
      </c>
      <c r="C202" s="106" t="n">
        <f aca="false">$N$199-$L$199+1</f>
        <v>30</v>
      </c>
      <c r="D202" s="107" t="n">
        <v>3.4086</v>
      </c>
      <c r="E202" s="108" t="n">
        <v>4.17</v>
      </c>
      <c r="F202" s="109" t="n">
        <f aca="false">ROUND(B202*E202,2)</f>
        <v>38.36</v>
      </c>
      <c r="H202" s="110" t="n">
        <v>9.2</v>
      </c>
      <c r="I202" s="111" t="n">
        <v>4.17</v>
      </c>
      <c r="J202" s="112" t="n">
        <f aca="false">ROUND(H202*I202,2)</f>
        <v>38.36</v>
      </c>
      <c r="L202" s="113" t="n">
        <v>9.2</v>
      </c>
      <c r="M202" s="114" t="n">
        <v>4.17</v>
      </c>
      <c r="N202" s="115" t="n">
        <f aca="false">ROUND(L202*M202,2)</f>
        <v>38.36</v>
      </c>
      <c r="R202" s="116" t="s">
        <v>741</v>
      </c>
    </row>
    <row r="203" customFormat="false" ht="15" hidden="false" customHeight="false" outlineLevel="0" collapsed="false">
      <c r="A203" s="104" t="s">
        <v>124</v>
      </c>
      <c r="B203" s="105" t="n">
        <v>9.2</v>
      </c>
      <c r="C203" s="106" t="n">
        <f aca="false">$N$199-$L$199+1</f>
        <v>30</v>
      </c>
      <c r="D203" s="107" t="n">
        <v>1.09728</v>
      </c>
      <c r="E203" s="108" t="n">
        <v>1.37</v>
      </c>
      <c r="F203" s="109" t="n">
        <f aca="false">ROUND(B203*E203,2)</f>
        <v>12.6</v>
      </c>
      <c r="H203" s="110" t="n">
        <v>9.2</v>
      </c>
      <c r="I203" s="111" t="n">
        <v>1.37</v>
      </c>
      <c r="J203" s="112" t="n">
        <f aca="false">ROUND(H203*I203,2)</f>
        <v>12.6</v>
      </c>
      <c r="L203" s="113" t="n">
        <v>9.2</v>
      </c>
      <c r="M203" s="114" t="n">
        <v>1.37</v>
      </c>
      <c r="N203" s="115" t="n">
        <f aca="false">ROUND(L203*M203,2)</f>
        <v>12.6</v>
      </c>
      <c r="R203" s="117" t="s">
        <v>742</v>
      </c>
    </row>
    <row r="204" customFormat="false" ht="15" hidden="false" customHeight="false" outlineLevel="0" collapsed="false">
      <c r="A204" s="104" t="s">
        <v>615</v>
      </c>
      <c r="B204" s="105" t="n">
        <f aca="false">IF($P$204&lt;&gt;"",ROUND(AA204*(($AB$204/(1-$P$204))-50.968)/151.1427,2),IF('Resumen 2.0TD'!$D$3="OPTIMIZAR",ROUND(MAX(AA204,MIN(AA204*(($AB$204/(1-'Resumen 2.0TD'!$F$3))-50.968)/151.1427,AA204*(171.1098)/151.1427)),3),AA204))</f>
        <v>113.96</v>
      </c>
      <c r="C204" s="118"/>
      <c r="D204" s="107" t="n">
        <v>0.110306</v>
      </c>
      <c r="E204" s="108" t="n">
        <v>0.14937</v>
      </c>
      <c r="F204" s="109" t="n">
        <f aca="false">ROUND(B204*E204,2)</f>
        <v>17.02</v>
      </c>
      <c r="H204" s="110" t="n">
        <v>96.082</v>
      </c>
      <c r="I204" s="111" t="n">
        <v>0.14937</v>
      </c>
      <c r="J204" s="112" t="n">
        <f aca="false">ROUND(H204*I204,2)</f>
        <v>14.35</v>
      </c>
      <c r="L204" s="113" t="n">
        <v>106.421</v>
      </c>
      <c r="M204" s="114" t="n">
        <v>0.14937</v>
      </c>
      <c r="N204" s="115" t="n">
        <f aca="false">ROUND(L204*M204,2)</f>
        <v>15.9</v>
      </c>
      <c r="O204" s="119" t="s">
        <v>616</v>
      </c>
      <c r="P204" s="79"/>
      <c r="R204" s="117" t="s">
        <v>743</v>
      </c>
      <c r="AA204" s="0" t="n">
        <v>113.96</v>
      </c>
      <c r="AB204" s="0" t="n">
        <f aca="false">B202*D202+B203*D203+AA204*D204+AA205*D205+AA206*D206</f>
        <v>153.069207608</v>
      </c>
    </row>
    <row r="205" customFormat="false" ht="15" hidden="false" customHeight="false" outlineLevel="0" collapsed="false">
      <c r="A205" s="104" t="s">
        <v>618</v>
      </c>
      <c r="B205" s="105" t="n">
        <f aca="false">IF($P$204&lt;&gt;"",ROUND(AA205*(($AB$204/(1-$P$204))-50.968)/151.1427,2),IF('Resumen 2.0TD'!$D$3="OPTIMIZAR",ROUND(MAX(AA205,MIN(AA205*(($AB$204/(1-'Resumen 2.0TD'!$F$3))-50.968)/151.1427,AA205*(171.1098)/151.1427)),3),AA205))</f>
        <v>192.413</v>
      </c>
      <c r="C205" s="118"/>
      <c r="D205" s="107" t="n">
        <v>0.110306</v>
      </c>
      <c r="E205" s="108" t="n">
        <v>0.14937</v>
      </c>
      <c r="F205" s="109" t="n">
        <f aca="false">ROUND(B205*E205,2)</f>
        <v>28.74</v>
      </c>
      <c r="H205" s="110" t="n">
        <v>96.138</v>
      </c>
      <c r="I205" s="111" t="n">
        <v>0.14937</v>
      </c>
      <c r="J205" s="112" t="n">
        <f aca="false">ROUND(H205*I205,2)</f>
        <v>14.36</v>
      </c>
      <c r="L205" s="113" t="n">
        <v>134.85</v>
      </c>
      <c r="M205" s="114" t="n">
        <v>0.14937</v>
      </c>
      <c r="N205" s="115" t="n">
        <f aca="false">ROUND(L205*M205,2)</f>
        <v>20.14</v>
      </c>
      <c r="O205" s="120" t="s">
        <v>619</v>
      </c>
      <c r="R205" s="117" t="s">
        <v>620</v>
      </c>
      <c r="AA205" s="0" t="n">
        <v>192.413</v>
      </c>
    </row>
    <row r="206" customFormat="false" ht="15" hidden="false" customHeight="false" outlineLevel="0" collapsed="false">
      <c r="A206" s="104" t="s">
        <v>621</v>
      </c>
      <c r="B206" s="105" t="n">
        <f aca="false">IF($P$204&lt;&gt;"",ROUND(AA206*(($AB$204/(1-$P$204))-50.968)/151.1427,2),IF('Resumen 2.0TD'!$D$3="OPTIMIZAR",ROUND(MAX(AA206,MIN(AA206*(($AB$204/(1-'Resumen 2.0TD'!$F$3))-50.968)/151.1427,AA206*(171.1098)/151.1427)),3),AA206))</f>
        <v>705.495</v>
      </c>
      <c r="C206" s="118"/>
      <c r="D206" s="107" t="n">
        <v>0.110306</v>
      </c>
      <c r="E206" s="108" t="n">
        <v>0.14937</v>
      </c>
      <c r="F206" s="109" t="n">
        <f aca="false">ROUND(B206*E206,2)</f>
        <v>105.38</v>
      </c>
      <c r="H206" s="110" t="n">
        <v>293.989</v>
      </c>
      <c r="I206" s="111" t="n">
        <v>0.14937</v>
      </c>
      <c r="J206" s="112" t="n">
        <f aca="false">ROUND(H206*I206,2)</f>
        <v>43.91</v>
      </c>
      <c r="L206" s="113" t="n">
        <v>432.121</v>
      </c>
      <c r="M206" s="114" t="n">
        <v>0.14937</v>
      </c>
      <c r="N206" s="115" t="n">
        <f aca="false">ROUND(L206*M206,2)</f>
        <v>64.55</v>
      </c>
      <c r="O206" s="120" t="s">
        <v>622</v>
      </c>
      <c r="AA206" s="0" t="n">
        <v>705.495</v>
      </c>
    </row>
    <row r="207" customFormat="false" ht="15" hidden="false" customHeight="false" outlineLevel="0" collapsed="false">
      <c r="A207" s="104" t="s">
        <v>139</v>
      </c>
      <c r="B207" s="105" t="n">
        <v>1</v>
      </c>
      <c r="C207" s="106" t="n">
        <f aca="false">$N$199-$L$199+1</f>
        <v>30</v>
      </c>
      <c r="D207" s="107" t="n">
        <v>0.7989</v>
      </c>
      <c r="E207" s="108" t="n">
        <v>4</v>
      </c>
      <c r="F207" s="109" t="n">
        <f aca="false">ROUND(B207*E207,2)</f>
        <v>4</v>
      </c>
      <c r="H207" s="110" t="n">
        <v>1</v>
      </c>
      <c r="I207" s="111" t="n">
        <v>4</v>
      </c>
      <c r="J207" s="112" t="n">
        <f aca="false">ROUND(H207*I207,2)</f>
        <v>4</v>
      </c>
      <c r="L207" s="113" t="n">
        <v>1</v>
      </c>
      <c r="M207" s="114" t="n">
        <v>4</v>
      </c>
      <c r="N207" s="115" t="n">
        <f aca="false">ROUND(L207*M207,2)</f>
        <v>4</v>
      </c>
    </row>
    <row r="208" customFormat="false" ht="15" hidden="false" customHeight="false" outlineLevel="0" collapsed="false">
      <c r="A208" s="104" t="s">
        <v>140</v>
      </c>
      <c r="B208" s="105" t="n">
        <v>30</v>
      </c>
      <c r="C208" s="106" t="n">
        <f aca="false">$N$199-$L$199+1</f>
        <v>30</v>
      </c>
      <c r="D208" s="107" t="n">
        <v>0.5736</v>
      </c>
      <c r="E208" s="108" t="n">
        <v>0.01274</v>
      </c>
      <c r="F208" s="109" t="n">
        <f aca="false">ROUND(B208*E208,2)</f>
        <v>0.38</v>
      </c>
      <c r="H208" s="110" t="n">
        <v>30</v>
      </c>
      <c r="I208" s="111" t="n">
        <v>0.01274</v>
      </c>
      <c r="J208" s="112" t="n">
        <f aca="false">ROUND(H208*I208,2)</f>
        <v>0.38</v>
      </c>
      <c r="L208" s="113" t="n">
        <v>30</v>
      </c>
      <c r="M208" s="114" t="n">
        <v>0.00629</v>
      </c>
      <c r="N208" s="115" t="n">
        <f aca="false">ROUND(L208*M208,2)</f>
        <v>0.19</v>
      </c>
    </row>
    <row r="209" customFormat="false" ht="15" hidden="false" customHeight="false" outlineLevel="0" collapsed="false">
      <c r="A209" s="104" t="s">
        <v>141</v>
      </c>
      <c r="B209" s="105" t="n">
        <v>10.21</v>
      </c>
      <c r="C209" s="118"/>
      <c r="D209" s="107" t="n">
        <v>0.24729</v>
      </c>
      <c r="E209" s="108" t="n">
        <v>1</v>
      </c>
      <c r="F209" s="109" t="n">
        <f aca="false">ROUND(B209*E209,2)</f>
        <v>10.21</v>
      </c>
      <c r="H209" s="110" t="n">
        <v>6.2</v>
      </c>
      <c r="I209" s="111" t="n">
        <v>1</v>
      </c>
      <c r="J209" s="112" t="n">
        <f aca="false">ROUND(H209*I209,2)</f>
        <v>6.2</v>
      </c>
      <c r="L209" s="113" t="n">
        <v>7.41</v>
      </c>
      <c r="M209" s="114" t="n">
        <v>1</v>
      </c>
      <c r="N209" s="115" t="n">
        <f aca="false">ROUND(L209*M209,2)</f>
        <v>7.41</v>
      </c>
    </row>
    <row r="210" customFormat="false" ht="15" hidden="false" customHeight="false" outlineLevel="0" collapsed="false">
      <c r="A210" s="121" t="s">
        <v>142</v>
      </c>
      <c r="F210" s="122" t="n">
        <f aca="false">ROUND((SUM(F202:F209)-F209)*1.1+F209,2)</f>
        <v>237.34</v>
      </c>
      <c r="J210" s="123" t="n">
        <f aca="false">ROUND(SUM(J202:J209),2)</f>
        <v>134.16</v>
      </c>
      <c r="N210" s="124" t="n">
        <f aca="false">ROUND(SUM(N202:N209),2)</f>
        <v>163.15</v>
      </c>
    </row>
    <row r="211" customFormat="false" ht="15" hidden="false" customHeight="false" outlineLevel="0" collapsed="false">
      <c r="A211" s="93" t="s">
        <v>143</v>
      </c>
      <c r="B211" s="125" t="n">
        <f aca="false">IF((F206+F205+F204+F202+F203)=0,"",((F206+F205+F204+F202+F203)-$AB$204)/(F206+F205+F204+F202+F203))</f>
        <v>0.242606592736269</v>
      </c>
      <c r="D211" s="126" t="str">
        <f aca="false">IF(B211="","SIN PC",IF(B211&gt;=0.3,"APROBAR",IF(B211&gt;=0.2,"REVISAR","RECHAZAR")))</f>
        <v>REVISAR</v>
      </c>
      <c r="E211" s="126"/>
      <c r="F211" s="126"/>
      <c r="AD211" s="0" t="n">
        <f aca="false">SUM(F204:F206)-151.1427</f>
        <v>-0.00270000000000437</v>
      </c>
    </row>
    <row r="212" customFormat="false" ht="15" hidden="false" customHeight="false" outlineLevel="0" collapsed="false">
      <c r="A212" s="127" t="s">
        <v>744</v>
      </c>
      <c r="B212" s="127"/>
      <c r="C212" s="127"/>
      <c r="D212" s="127"/>
      <c r="E212" s="127"/>
      <c r="F212" s="127"/>
    </row>
    <row r="213" customFormat="false" ht="15" hidden="false" customHeight="false" outlineLevel="0" collapsed="false">
      <c r="A213" s="128" t="s">
        <v>111</v>
      </c>
      <c r="B213" s="128" t="s">
        <v>745</v>
      </c>
      <c r="D213" s="128" t="s">
        <v>746</v>
      </c>
      <c r="E213" s="128" t="s">
        <v>747</v>
      </c>
      <c r="F213" s="128" t="s">
        <v>120</v>
      </c>
    </row>
    <row r="214" customFormat="false" ht="15" hidden="false" customHeight="false" outlineLevel="0" collapsed="false">
      <c r="A214" s="129" t="s">
        <v>748</v>
      </c>
      <c r="B214" s="130" t="n">
        <v>43</v>
      </c>
      <c r="C214" s="131"/>
      <c r="D214" s="107" t="n">
        <v>0.06</v>
      </c>
      <c r="E214" s="131"/>
      <c r="F214" s="132" t="n">
        <f aca="false">ROUND(B214*D214,2)</f>
        <v>2.58</v>
      </c>
    </row>
    <row r="215" customFormat="false" ht="15" hidden="false" customHeight="false" outlineLevel="0" collapsed="false">
      <c r="A215" s="129" t="s">
        <v>749</v>
      </c>
      <c r="B215" s="131"/>
      <c r="C215" s="131"/>
      <c r="D215" s="131"/>
      <c r="E215" s="133" t="n">
        <v>0.06</v>
      </c>
      <c r="F215" s="132" t="n">
        <v>2.53</v>
      </c>
    </row>
    <row r="216" customFormat="false" ht="15" hidden="false" customHeight="false" outlineLevel="0" collapsed="false">
      <c r="A216" s="134" t="s">
        <v>750</v>
      </c>
      <c r="B216" s="131"/>
      <c r="C216" s="131"/>
      <c r="D216" s="131"/>
      <c r="E216" s="131"/>
      <c r="F216" s="135" t="n">
        <f aca="false">F214-F215</f>
        <v>0.0500000000000003</v>
      </c>
    </row>
    <row r="218" customFormat="false" ht="15" hidden="false" customHeight="false" outlineLevel="0" collapsed="false">
      <c r="A218" s="89" t="s">
        <v>751</v>
      </c>
      <c r="B218" s="89"/>
      <c r="C218" s="89"/>
      <c r="D218" s="89"/>
      <c r="E218" s="89"/>
      <c r="F218" s="89"/>
      <c r="H218" s="89" t="s">
        <v>752</v>
      </c>
      <c r="I218" s="89"/>
      <c r="J218" s="89"/>
      <c r="K218" s="89"/>
      <c r="L218" s="90" t="n">
        <v>46113</v>
      </c>
      <c r="M218" s="91" t="s">
        <v>608</v>
      </c>
      <c r="N218" s="90" t="n">
        <v>46142</v>
      </c>
      <c r="R218" s="92" t="s">
        <v>110</v>
      </c>
      <c r="S218" s="92"/>
      <c r="T218" s="92"/>
      <c r="U218" s="92"/>
      <c r="V218" s="92"/>
    </row>
    <row r="219" customFormat="false" ht="15" hidden="false" customHeight="false" outlineLevel="0" collapsed="false">
      <c r="A219" s="93" t="s">
        <v>111</v>
      </c>
      <c r="B219" s="94" t="s">
        <v>112</v>
      </c>
      <c r="C219" s="95"/>
      <c r="D219" s="95"/>
      <c r="E219" s="95"/>
      <c r="F219" s="95"/>
      <c r="H219" s="96" t="s">
        <v>753</v>
      </c>
      <c r="I219" s="97"/>
      <c r="J219" s="97"/>
      <c r="L219" s="98" t="s">
        <v>754</v>
      </c>
      <c r="M219" s="99"/>
      <c r="N219" s="99"/>
      <c r="R219" s="100" t="s">
        <v>755</v>
      </c>
    </row>
    <row r="220" customFormat="false" ht="15" hidden="false" customHeight="false" outlineLevel="0" collapsed="false">
      <c r="B220" s="81" t="s">
        <v>116</v>
      </c>
      <c r="C220" s="81" t="s">
        <v>117</v>
      </c>
      <c r="D220" s="81" t="s">
        <v>118</v>
      </c>
      <c r="E220" s="81" t="s">
        <v>119</v>
      </c>
      <c r="F220" s="81" t="s">
        <v>120</v>
      </c>
      <c r="H220" s="101" t="s">
        <v>116</v>
      </c>
      <c r="I220" s="101" t="s">
        <v>119</v>
      </c>
      <c r="J220" s="101" t="s">
        <v>120</v>
      </c>
      <c r="L220" s="102" t="s">
        <v>116</v>
      </c>
      <c r="M220" s="102" t="s">
        <v>119</v>
      </c>
      <c r="N220" s="102" t="s">
        <v>120</v>
      </c>
      <c r="R220" s="103" t="s">
        <v>756</v>
      </c>
    </row>
    <row r="221" customFormat="false" ht="15" hidden="false" customHeight="false" outlineLevel="0" collapsed="false">
      <c r="A221" s="104" t="s">
        <v>122</v>
      </c>
      <c r="B221" s="105" t="n">
        <v>13.2</v>
      </c>
      <c r="C221" s="106" t="n">
        <f aca="false">$N$218-$L$218+1</f>
        <v>30</v>
      </c>
      <c r="D221" s="107" t="n">
        <v>3.68919</v>
      </c>
      <c r="E221" s="108" t="n">
        <v>3.85</v>
      </c>
      <c r="F221" s="109" t="n">
        <f aca="false">ROUND(B221*E221,2)</f>
        <v>50.82</v>
      </c>
      <c r="H221" s="110" t="n">
        <v>13.2</v>
      </c>
      <c r="I221" s="111" t="n">
        <v>3.85</v>
      </c>
      <c r="J221" s="112" t="n">
        <f aca="false">ROUND(H221*I221,2)</f>
        <v>50.82</v>
      </c>
      <c r="L221" s="113" t="n">
        <v>13.2</v>
      </c>
      <c r="M221" s="114" t="n">
        <v>3.85</v>
      </c>
      <c r="N221" s="115" t="n">
        <f aca="false">ROUND(L221*M221,2)</f>
        <v>50.82</v>
      </c>
      <c r="R221" s="116" t="s">
        <v>757</v>
      </c>
    </row>
    <row r="222" customFormat="false" ht="15" hidden="false" customHeight="false" outlineLevel="0" collapsed="false">
      <c r="A222" s="104" t="s">
        <v>124</v>
      </c>
      <c r="B222" s="105" t="n">
        <v>13.2</v>
      </c>
      <c r="C222" s="106" t="n">
        <f aca="false">$N$218-$L$218+1</f>
        <v>30</v>
      </c>
      <c r="D222" s="107" t="n">
        <v>1.31928</v>
      </c>
      <c r="E222" s="108" t="n">
        <v>1.33</v>
      </c>
      <c r="F222" s="109" t="n">
        <f aca="false">ROUND(B222*E222,2)</f>
        <v>17.56</v>
      </c>
      <c r="H222" s="110" t="n">
        <v>13.2</v>
      </c>
      <c r="I222" s="111" t="n">
        <v>1.33</v>
      </c>
      <c r="J222" s="112" t="n">
        <f aca="false">ROUND(H222*I222,2)</f>
        <v>17.56</v>
      </c>
      <c r="L222" s="113" t="n">
        <v>13.2</v>
      </c>
      <c r="M222" s="114" t="n">
        <v>1.33</v>
      </c>
      <c r="N222" s="115" t="n">
        <f aca="false">ROUND(L222*M222,2)</f>
        <v>17.56</v>
      </c>
      <c r="R222" s="117" t="s">
        <v>758</v>
      </c>
    </row>
    <row r="223" customFormat="false" ht="15" hidden="false" customHeight="false" outlineLevel="0" collapsed="false">
      <c r="A223" s="104" t="s">
        <v>615</v>
      </c>
      <c r="B223" s="105" t="n">
        <f aca="false">IF($P$223&lt;&gt;"",ROUND(AA223*(($AB$223/(1-$P$223))-68.376)/122.8025,2),IF('Resumen 2.0TD'!$D$3="OPTIMIZAR",ROUND(MAX(AA223,MIN(AA223*(($AB$223/(1-'Resumen 2.0TD'!$F$3))-68.376)/122.8025,AA223*(209.7518)/122.8025)),3),AA223))</f>
        <v>258.488</v>
      </c>
      <c r="C223" s="118"/>
      <c r="D223" s="107" t="n">
        <v>0.111171</v>
      </c>
      <c r="E223" s="108" t="n">
        <v>0.13788</v>
      </c>
      <c r="F223" s="109" t="n">
        <f aca="false">ROUND(B223*E223,2)</f>
        <v>35.64</v>
      </c>
      <c r="H223" s="110" t="n">
        <v>442.536</v>
      </c>
      <c r="I223" s="111" t="n">
        <v>0.129</v>
      </c>
      <c r="J223" s="112" t="n">
        <f aca="false">ROUND(H223*I223,2)</f>
        <v>57.09</v>
      </c>
      <c r="L223" s="113" t="n">
        <v>256.232</v>
      </c>
      <c r="M223" s="114" t="n">
        <v>0.13788</v>
      </c>
      <c r="N223" s="115" t="n">
        <f aca="false">ROUND(L223*M223,2)</f>
        <v>35.33</v>
      </c>
      <c r="O223" s="119" t="s">
        <v>616</v>
      </c>
      <c r="P223" s="79"/>
      <c r="R223" s="117" t="s">
        <v>759</v>
      </c>
      <c r="AA223" s="0" t="n">
        <v>258.488</v>
      </c>
      <c r="AB223" s="0" t="n">
        <f aca="false">B221*D221+B222*D222+AA223*D223+AA224*D224+AA225*D225</f>
        <v>165.126032808</v>
      </c>
    </row>
    <row r="224" customFormat="false" ht="15" hidden="false" customHeight="false" outlineLevel="0" collapsed="false">
      <c r="A224" s="104" t="s">
        <v>618</v>
      </c>
      <c r="B224" s="105" t="n">
        <f aca="false">IF($P$223&lt;&gt;"",ROUND(AA224*(($AB$223/(1-$P$223))-68.376)/122.8025,2),IF('Resumen 2.0TD'!$D$3="OPTIMIZAR",ROUND(MAX(AA224,MIN(AA224*(($AB$223/(1-'Resumen 2.0TD'!$F$3))-68.376)/122.8025,AA224*(209.7518)/122.8025)),3),AA224))</f>
        <v>305.423</v>
      </c>
      <c r="C224" s="118"/>
      <c r="D224" s="107" t="n">
        <v>0.111171</v>
      </c>
      <c r="E224" s="108" t="n">
        <v>0.13788</v>
      </c>
      <c r="F224" s="109" t="n">
        <f aca="false">ROUND(B224*E224,2)</f>
        <v>42.11</v>
      </c>
      <c r="H224" s="110" t="n">
        <v>441.527</v>
      </c>
      <c r="I224" s="111" t="n">
        <v>0.129</v>
      </c>
      <c r="J224" s="112" t="n">
        <f aca="false">ROUND(H224*I224,2)</f>
        <v>56.96</v>
      </c>
      <c r="L224" s="113" t="n">
        <v>333.72</v>
      </c>
      <c r="M224" s="114" t="n">
        <v>0.13788</v>
      </c>
      <c r="N224" s="115" t="n">
        <f aca="false">ROUND(L224*M224,2)</f>
        <v>46.01</v>
      </c>
      <c r="O224" s="120" t="s">
        <v>619</v>
      </c>
      <c r="R224" s="117" t="s">
        <v>620</v>
      </c>
      <c r="AA224" s="0" t="n">
        <v>305.423</v>
      </c>
    </row>
    <row r="225" customFormat="false" ht="15" hidden="false" customHeight="false" outlineLevel="0" collapsed="false">
      <c r="A225" s="104" t="s">
        <v>621</v>
      </c>
      <c r="B225" s="105" t="n">
        <f aca="false">IF($P$223&lt;&gt;"",ROUND(AA225*(($AB$223/(1-$P$223))-68.376)/122.8025,2),IF('Resumen 2.0TD'!$D$3="OPTIMIZAR",ROUND(MAX(AA225,MIN(AA225*(($AB$223/(1-'Resumen 2.0TD'!$F$3))-68.376)/122.8025,AA225*(209.7518)/122.8025)),3),AA225))</f>
        <v>326.737</v>
      </c>
      <c r="C225" s="118"/>
      <c r="D225" s="107" t="n">
        <v>0.111171</v>
      </c>
      <c r="E225" s="108" t="n">
        <v>0.13788</v>
      </c>
      <c r="F225" s="109" t="n">
        <f aca="false">ROUND(B225*E225,2)</f>
        <v>45.05</v>
      </c>
      <c r="H225" s="110" t="n">
        <v>295.773</v>
      </c>
      <c r="I225" s="111" t="n">
        <v>0.129</v>
      </c>
      <c r="J225" s="112" t="n">
        <f aca="false">ROUND(H225*I225,2)</f>
        <v>38.15</v>
      </c>
      <c r="L225" s="113" t="n">
        <v>202.335</v>
      </c>
      <c r="M225" s="114" t="n">
        <v>0.13788</v>
      </c>
      <c r="N225" s="115" t="n">
        <f aca="false">ROUND(L225*M225,2)</f>
        <v>27.9</v>
      </c>
      <c r="O225" s="120" t="s">
        <v>622</v>
      </c>
      <c r="AA225" s="0" t="n">
        <v>326.737</v>
      </c>
    </row>
    <row r="226" customFormat="false" ht="15" hidden="false" customHeight="false" outlineLevel="0" collapsed="false">
      <c r="A226" s="104" t="s">
        <v>139</v>
      </c>
      <c r="B226" s="105" t="n">
        <v>1</v>
      </c>
      <c r="C226" s="106" t="n">
        <f aca="false">$N$218-$L$218+1</f>
        <v>30</v>
      </c>
      <c r="D226" s="107" t="n">
        <v>1.3414</v>
      </c>
      <c r="E226" s="108" t="n">
        <v>3</v>
      </c>
      <c r="F226" s="109" t="n">
        <f aca="false">ROUND(B226*E226,2)</f>
        <v>3</v>
      </c>
      <c r="H226" s="110" t="n">
        <v>1</v>
      </c>
      <c r="I226" s="111" t="n">
        <v>3</v>
      </c>
      <c r="J226" s="112" t="n">
        <f aca="false">ROUND(H226*I226,2)</f>
        <v>3</v>
      </c>
      <c r="L226" s="113" t="n">
        <v>1</v>
      </c>
      <c r="M226" s="114" t="n">
        <v>3</v>
      </c>
      <c r="N226" s="115" t="n">
        <f aca="false">ROUND(L226*M226,2)</f>
        <v>3</v>
      </c>
    </row>
    <row r="227" customFormat="false" ht="15" hidden="false" customHeight="false" outlineLevel="0" collapsed="false">
      <c r="A227" s="104" t="s">
        <v>140</v>
      </c>
      <c r="B227" s="105" t="n">
        <v>30</v>
      </c>
      <c r="C227" s="106" t="n">
        <f aca="false">$N$218-$L$218+1</f>
        <v>30</v>
      </c>
      <c r="D227" s="107" t="n">
        <v>0.5736</v>
      </c>
      <c r="E227" s="108" t="n">
        <v>0.01274</v>
      </c>
      <c r="F227" s="109" t="n">
        <f aca="false">ROUND(B227*E227,2)</f>
        <v>0.38</v>
      </c>
      <c r="H227" s="110" t="n">
        <v>30</v>
      </c>
      <c r="I227" s="111" t="n">
        <v>0.01274</v>
      </c>
      <c r="J227" s="112" t="n">
        <f aca="false">ROUND(H227*I227,2)</f>
        <v>0.38</v>
      </c>
      <c r="L227" s="113" t="n">
        <v>30</v>
      </c>
      <c r="M227" s="114" t="n">
        <v>0.00629</v>
      </c>
      <c r="N227" s="115" t="n">
        <f aca="false">ROUND(L227*M227,2)</f>
        <v>0.19</v>
      </c>
    </row>
    <row r="228" customFormat="false" ht="15" hidden="false" customHeight="false" outlineLevel="0" collapsed="false">
      <c r="A228" s="104" t="s">
        <v>141</v>
      </c>
      <c r="B228" s="105" t="n">
        <v>9.78</v>
      </c>
      <c r="C228" s="118"/>
      <c r="D228" s="107" t="n">
        <v>0.27312</v>
      </c>
      <c r="E228" s="108" t="n">
        <v>1</v>
      </c>
      <c r="F228" s="109" t="n">
        <f aca="false">ROUND(B228*E228,2)</f>
        <v>9.78</v>
      </c>
      <c r="H228" s="110" t="n">
        <v>12.04</v>
      </c>
      <c r="I228" s="111" t="n">
        <v>1</v>
      </c>
      <c r="J228" s="112" t="n">
        <f aca="false">ROUND(H228*I228,2)</f>
        <v>12.04</v>
      </c>
      <c r="L228" s="113" t="n">
        <v>9.09</v>
      </c>
      <c r="M228" s="114" t="n">
        <v>1</v>
      </c>
      <c r="N228" s="115" t="n">
        <f aca="false">ROUND(L228*M228,2)</f>
        <v>9.09</v>
      </c>
    </row>
    <row r="229" customFormat="false" ht="15" hidden="false" customHeight="false" outlineLevel="0" collapsed="false">
      <c r="A229" s="121" t="s">
        <v>142</v>
      </c>
      <c r="F229" s="122" t="n">
        <f aca="false">ROUND((SUM(F221:F228)-F228)*1.1+F228,2)</f>
        <v>223.8</v>
      </c>
      <c r="J229" s="123" t="n">
        <f aca="false">ROUND(SUM(J221:J228),2)</f>
        <v>236</v>
      </c>
      <c r="N229" s="124" t="n">
        <f aca="false">ROUND(SUM(N221:N228),2)</f>
        <v>189.9</v>
      </c>
    </row>
    <row r="230" customFormat="false" ht="15" hidden="false" customHeight="false" outlineLevel="0" collapsed="false">
      <c r="A230" s="93" t="s">
        <v>143</v>
      </c>
      <c r="B230" s="125" t="n">
        <f aca="false">IF((F225+F224+F223+F221+F222)=0,"",((F225+F224+F223+F221+F222)-$AB$223)/(F225+F224+F223+F221+F222))</f>
        <v>0.136279773993095</v>
      </c>
      <c r="D230" s="126" t="str">
        <f aca="false">IF(B230="","SIN PC",IF(B230&gt;=0.3,"APROBAR",IF(B230&gt;=0.2,"REVISAR","RECHAZAR")))</f>
        <v>RECHAZAR</v>
      </c>
      <c r="E230" s="126"/>
      <c r="F230" s="126"/>
      <c r="AD230" s="0" t="n">
        <f aca="false">SUM(F223:F225)-122.8025</f>
        <v>-0.00249999999999773</v>
      </c>
    </row>
    <row r="232" customFormat="false" ht="15" hidden="false" customHeight="false" outlineLevel="0" collapsed="false">
      <c r="A232" s="89" t="s">
        <v>760</v>
      </c>
      <c r="B232" s="89"/>
      <c r="C232" s="89"/>
      <c r="D232" s="89"/>
      <c r="E232" s="89"/>
      <c r="F232" s="89"/>
      <c r="H232" s="89" t="s">
        <v>761</v>
      </c>
      <c r="I232" s="89"/>
      <c r="J232" s="89"/>
      <c r="K232" s="89"/>
      <c r="L232" s="90" t="n">
        <v>46113</v>
      </c>
      <c r="M232" s="91" t="s">
        <v>608</v>
      </c>
      <c r="N232" s="90" t="n">
        <v>46142</v>
      </c>
      <c r="R232" s="92" t="s">
        <v>110</v>
      </c>
      <c r="S232" s="92"/>
      <c r="T232" s="92"/>
      <c r="U232" s="92"/>
      <c r="V232" s="92"/>
    </row>
    <row r="233" customFormat="false" ht="15" hidden="false" customHeight="false" outlineLevel="0" collapsed="false">
      <c r="A233" s="93" t="s">
        <v>111</v>
      </c>
      <c r="B233" s="94" t="s">
        <v>112</v>
      </c>
      <c r="C233" s="95"/>
      <c r="D233" s="95"/>
      <c r="E233" s="95"/>
      <c r="F233" s="95"/>
      <c r="H233" s="96" t="s">
        <v>762</v>
      </c>
      <c r="I233" s="97"/>
      <c r="J233" s="97"/>
      <c r="L233" s="98" t="s">
        <v>763</v>
      </c>
      <c r="M233" s="99"/>
      <c r="N233" s="99"/>
      <c r="R233" s="100" t="s">
        <v>764</v>
      </c>
    </row>
    <row r="234" customFormat="false" ht="15" hidden="false" customHeight="false" outlineLevel="0" collapsed="false">
      <c r="B234" s="81" t="s">
        <v>116</v>
      </c>
      <c r="C234" s="81" t="s">
        <v>117</v>
      </c>
      <c r="D234" s="81" t="s">
        <v>118</v>
      </c>
      <c r="E234" s="81" t="s">
        <v>119</v>
      </c>
      <c r="F234" s="81" t="s">
        <v>120</v>
      </c>
      <c r="H234" s="101" t="s">
        <v>116</v>
      </c>
      <c r="I234" s="101" t="s">
        <v>119</v>
      </c>
      <c r="J234" s="101" t="s">
        <v>120</v>
      </c>
      <c r="L234" s="102" t="s">
        <v>116</v>
      </c>
      <c r="M234" s="102" t="s">
        <v>119</v>
      </c>
      <c r="N234" s="102" t="s">
        <v>120</v>
      </c>
      <c r="R234" s="103" t="s">
        <v>765</v>
      </c>
    </row>
    <row r="235" customFormat="false" ht="15" hidden="false" customHeight="false" outlineLevel="0" collapsed="false">
      <c r="A235" s="104" t="s">
        <v>122</v>
      </c>
      <c r="B235" s="105" t="n">
        <v>5.5</v>
      </c>
      <c r="C235" s="106" t="n">
        <f aca="false">$N$232-$L$232+1</f>
        <v>30</v>
      </c>
      <c r="D235" s="107" t="n">
        <v>3.68919</v>
      </c>
      <c r="E235" s="108" t="n">
        <v>3.85</v>
      </c>
      <c r="F235" s="109" t="n">
        <f aca="false">ROUND(B235*E235,2)</f>
        <v>21.18</v>
      </c>
      <c r="H235" s="110" t="n">
        <v>5.5</v>
      </c>
      <c r="I235" s="111" t="n">
        <v>3.85</v>
      </c>
      <c r="J235" s="112" t="n">
        <f aca="false">ROUND(H235*I235,2)</f>
        <v>21.18</v>
      </c>
      <c r="L235" s="113" t="n">
        <v>5.5</v>
      </c>
      <c r="M235" s="114" t="n">
        <v>3.85</v>
      </c>
      <c r="N235" s="115" t="n">
        <f aca="false">ROUND(L235*M235,2)</f>
        <v>21.18</v>
      </c>
      <c r="R235" s="116" t="s">
        <v>766</v>
      </c>
    </row>
    <row r="236" customFormat="false" ht="15" hidden="false" customHeight="false" outlineLevel="0" collapsed="false">
      <c r="A236" s="104" t="s">
        <v>124</v>
      </c>
      <c r="B236" s="105" t="n">
        <v>5.5</v>
      </c>
      <c r="C236" s="106" t="n">
        <f aca="false">$N$232-$L$232+1</f>
        <v>30</v>
      </c>
      <c r="D236" s="107" t="n">
        <v>1.31928</v>
      </c>
      <c r="E236" s="108" t="n">
        <v>1.33</v>
      </c>
      <c r="F236" s="109" t="n">
        <f aca="false">ROUND(B236*E236,2)</f>
        <v>7.32</v>
      </c>
      <c r="H236" s="110" t="n">
        <v>5.5</v>
      </c>
      <c r="I236" s="111" t="n">
        <v>1.33</v>
      </c>
      <c r="J236" s="112" t="n">
        <f aca="false">ROUND(H236*I236,2)</f>
        <v>7.32</v>
      </c>
      <c r="L236" s="113" t="n">
        <v>5.5</v>
      </c>
      <c r="M236" s="114" t="n">
        <v>1.33</v>
      </c>
      <c r="N236" s="115" t="n">
        <f aca="false">ROUND(L236*M236,2)</f>
        <v>7.32</v>
      </c>
    </row>
    <row r="237" customFormat="false" ht="15" hidden="false" customHeight="false" outlineLevel="0" collapsed="false">
      <c r="A237" s="104" t="s">
        <v>615</v>
      </c>
      <c r="B237" s="105" t="n">
        <f aca="false">IF($P$237&lt;&gt;"",ROUND(AA237*(($AB$237/(1-$P$237))-28.49)/101.3208,2),IF('Resumen 2.0TD'!$D$3="OPTIMIZAR",AA237,AA237))</f>
        <v>131.537</v>
      </c>
      <c r="C237" s="118"/>
      <c r="D237" s="107" t="n">
        <v>0.111171</v>
      </c>
      <c r="E237" s="108" t="n">
        <v>0.13788</v>
      </c>
      <c r="F237" s="109" t="n">
        <f aca="false">ROUND(B237*E237,2)</f>
        <v>18.14</v>
      </c>
      <c r="H237" s="110" t="n">
        <v>383.007</v>
      </c>
      <c r="I237" s="111" t="n">
        <v>0.13788</v>
      </c>
      <c r="J237" s="112" t="n">
        <f aca="false">ROUND(H237*I237,2)</f>
        <v>52.81</v>
      </c>
      <c r="L237" s="113" t="n">
        <v>197.212</v>
      </c>
      <c r="M237" s="114" t="n">
        <v>0.13788</v>
      </c>
      <c r="N237" s="115" t="n">
        <f aca="false">ROUND(L237*M237,2)</f>
        <v>27.19</v>
      </c>
      <c r="O237" s="119" t="s">
        <v>616</v>
      </c>
      <c r="P237" s="79"/>
      <c r="AA237" s="0" t="n">
        <v>131.537</v>
      </c>
      <c r="AB237" s="0" t="n">
        <f aca="false">B235*D235+B236*D236+AA237*D237+AA238*D238+AA239*D239</f>
        <v>109.240372008</v>
      </c>
    </row>
    <row r="238" customFormat="false" ht="15" hidden="false" customHeight="false" outlineLevel="0" collapsed="false">
      <c r="A238" s="104" t="s">
        <v>618</v>
      </c>
      <c r="B238" s="105" t="n">
        <f aca="false">IF($P$237&lt;&gt;"",ROUND(AA238*(($AB$237/(1-$P$237))-28.49)/101.3208,2),IF('Resumen 2.0TD'!$D$3="OPTIMIZAR",AA238,AA238))</f>
        <v>180.241</v>
      </c>
      <c r="C238" s="118"/>
      <c r="D238" s="107" t="n">
        <v>0.111171</v>
      </c>
      <c r="E238" s="108" t="n">
        <v>0.13788</v>
      </c>
      <c r="F238" s="109" t="n">
        <f aca="false">ROUND(B238*E238,2)</f>
        <v>24.85</v>
      </c>
      <c r="H238" s="110" t="n">
        <v>376.412</v>
      </c>
      <c r="I238" s="111" t="n">
        <v>0.13788</v>
      </c>
      <c r="J238" s="112" t="n">
        <f aca="false">ROUND(H238*I238,2)</f>
        <v>51.9</v>
      </c>
      <c r="L238" s="113" t="n">
        <v>187.009</v>
      </c>
      <c r="M238" s="114" t="n">
        <v>0.13788</v>
      </c>
      <c r="N238" s="115" t="n">
        <f aca="false">ROUND(L238*M238,2)</f>
        <v>25.78</v>
      </c>
      <c r="O238" s="120" t="s">
        <v>619</v>
      </c>
      <c r="R238" s="117" t="s">
        <v>620</v>
      </c>
      <c r="AA238" s="0" t="n">
        <v>180.241</v>
      </c>
    </row>
    <row r="239" customFormat="false" ht="15" hidden="false" customHeight="false" outlineLevel="0" collapsed="false">
      <c r="A239" s="104" t="s">
        <v>621</v>
      </c>
      <c r="B239" s="105" t="n">
        <f aca="false">IF($P$237&lt;&gt;"",ROUND(AA239*(($AB$237/(1-$P$237))-28.49)/101.3208,2),IF('Resumen 2.0TD'!$D$3="OPTIMIZAR",AA239,AA239))</f>
        <v>423.07</v>
      </c>
      <c r="C239" s="118"/>
      <c r="D239" s="107" t="n">
        <v>0.111171</v>
      </c>
      <c r="E239" s="108" t="n">
        <v>0.13788</v>
      </c>
      <c r="F239" s="109" t="n">
        <f aca="false">ROUND(B239*E239,2)</f>
        <v>58.33</v>
      </c>
      <c r="H239" s="110" t="n">
        <v>918.002</v>
      </c>
      <c r="I239" s="111" t="n">
        <v>0.13788</v>
      </c>
      <c r="J239" s="112" t="n">
        <f aca="false">ROUND(H239*I239,2)</f>
        <v>126.57</v>
      </c>
      <c r="L239" s="113" t="n">
        <v>440.662</v>
      </c>
      <c r="M239" s="114" t="n">
        <v>0.13788</v>
      </c>
      <c r="N239" s="115" t="n">
        <f aca="false">ROUND(L239*M239,2)</f>
        <v>60.76</v>
      </c>
      <c r="O239" s="120" t="s">
        <v>622</v>
      </c>
      <c r="AA239" s="0" t="n">
        <v>423.07</v>
      </c>
    </row>
    <row r="240" customFormat="false" ht="15" hidden="false" customHeight="false" outlineLevel="0" collapsed="false">
      <c r="A240" s="104" t="s">
        <v>139</v>
      </c>
      <c r="B240" s="105" t="n">
        <v>1</v>
      </c>
      <c r="C240" s="106" t="n">
        <f aca="false">$N$232-$L$232+1</f>
        <v>30</v>
      </c>
      <c r="D240" s="107" t="n">
        <v>0.7989</v>
      </c>
      <c r="E240" s="108" t="n">
        <v>3</v>
      </c>
      <c r="F240" s="109" t="n">
        <f aca="false">ROUND(B240*E240,2)</f>
        <v>3</v>
      </c>
      <c r="H240" s="110" t="n">
        <v>1</v>
      </c>
      <c r="I240" s="111" t="n">
        <v>3</v>
      </c>
      <c r="J240" s="112" t="n">
        <f aca="false">ROUND(H240*I240,2)</f>
        <v>3</v>
      </c>
      <c r="L240" s="113" t="n">
        <v>1</v>
      </c>
      <c r="M240" s="114" t="n">
        <v>3</v>
      </c>
      <c r="N240" s="115" t="n">
        <f aca="false">ROUND(L240*M240,2)</f>
        <v>3</v>
      </c>
    </row>
    <row r="241" customFormat="false" ht="15" hidden="false" customHeight="false" outlineLevel="0" collapsed="false">
      <c r="A241" s="104" t="s">
        <v>140</v>
      </c>
      <c r="B241" s="105" t="n">
        <v>30</v>
      </c>
      <c r="C241" s="106" t="n">
        <f aca="false">$N$232-$L$232+1</f>
        <v>30</v>
      </c>
      <c r="D241" s="107" t="n">
        <v>0.5736</v>
      </c>
      <c r="E241" s="108" t="n">
        <v>0.01274</v>
      </c>
      <c r="F241" s="109" t="n">
        <f aca="false">ROUND(B241*E241,2)</f>
        <v>0.38</v>
      </c>
      <c r="H241" s="110" t="n">
        <v>30</v>
      </c>
      <c r="I241" s="111" t="n">
        <v>0.01274</v>
      </c>
      <c r="J241" s="112" t="n">
        <f aca="false">ROUND(H241*I241,2)</f>
        <v>0.38</v>
      </c>
      <c r="L241" s="113" t="n">
        <v>30</v>
      </c>
      <c r="M241" s="114" t="n">
        <v>0.00629</v>
      </c>
      <c r="N241" s="115" t="n">
        <f aca="false">ROUND(L241*M241,2)</f>
        <v>0.19</v>
      </c>
    </row>
    <row r="242" customFormat="false" ht="15" hidden="false" customHeight="false" outlineLevel="0" collapsed="false">
      <c r="A242" s="104" t="s">
        <v>141</v>
      </c>
      <c r="B242" s="105" t="n">
        <v>6.64</v>
      </c>
      <c r="C242" s="118"/>
      <c r="D242" s="107" t="n">
        <v>0.27312</v>
      </c>
      <c r="E242" s="108" t="n">
        <v>1</v>
      </c>
      <c r="F242" s="109" t="n">
        <f aca="false">ROUND(B242*E242,2)</f>
        <v>6.64</v>
      </c>
      <c r="H242" s="110" t="n">
        <v>13.28</v>
      </c>
      <c r="I242" s="111" t="n">
        <v>1</v>
      </c>
      <c r="J242" s="112" t="n">
        <f aca="false">ROUND(H242*I242,2)</f>
        <v>13.28</v>
      </c>
      <c r="L242" s="113" t="n">
        <v>7.28</v>
      </c>
      <c r="M242" s="114" t="n">
        <v>1</v>
      </c>
      <c r="N242" s="115" t="n">
        <f aca="false">ROUND(L242*M242,2)</f>
        <v>7.28</v>
      </c>
    </row>
    <row r="243" customFormat="false" ht="15" hidden="false" customHeight="false" outlineLevel="0" collapsed="false">
      <c r="A243" s="121" t="s">
        <v>142</v>
      </c>
      <c r="F243" s="122" t="n">
        <f aca="false">ROUND((SUM(F235:F242)-F242)*1.1+F242,2)</f>
        <v>153.16</v>
      </c>
      <c r="J243" s="123" t="n">
        <f aca="false">ROUND(SUM(J235:J242),2)</f>
        <v>276.44</v>
      </c>
      <c r="N243" s="124" t="n">
        <f aca="false">ROUND(SUM(N235:N242),2)</f>
        <v>152.7</v>
      </c>
    </row>
    <row r="244" customFormat="false" ht="15" hidden="false" customHeight="false" outlineLevel="0" collapsed="false">
      <c r="A244" s="93" t="s">
        <v>143</v>
      </c>
      <c r="B244" s="125" t="n">
        <f aca="false">IF((F239+F238+F237+F235+F236)=0,"",((F239+F238+F237+F235+F236)-$AB$237)/(F239+F238+F237+F235+F236))</f>
        <v>0.158524325928208</v>
      </c>
      <c r="D244" s="126" t="str">
        <f aca="false">IF(B244="","SIN PC",IF(B244&gt;=0.3,"APROBAR",IF(B244&gt;=0.2,"REVISAR","RECHAZAR")))</f>
        <v>RECHAZAR</v>
      </c>
      <c r="E244" s="126"/>
      <c r="F244" s="126"/>
      <c r="AD244" s="0" t="n">
        <f aca="false">SUM(F237:F239)-101.3208</f>
        <v>-0.000800000000012346</v>
      </c>
    </row>
    <row r="246" customFormat="false" ht="15" hidden="false" customHeight="false" outlineLevel="0" collapsed="false">
      <c r="A246" s="89" t="s">
        <v>767</v>
      </c>
      <c r="B246" s="89"/>
      <c r="C246" s="89"/>
      <c r="D246" s="89"/>
      <c r="E246" s="89"/>
      <c r="F246" s="89"/>
      <c r="H246" s="89" t="s">
        <v>768</v>
      </c>
      <c r="I246" s="89"/>
      <c r="J246" s="89"/>
      <c r="K246" s="89"/>
      <c r="L246" s="90" t="n">
        <v>46113</v>
      </c>
      <c r="M246" s="91" t="s">
        <v>608</v>
      </c>
      <c r="N246" s="90" t="n">
        <v>46142</v>
      </c>
      <c r="R246" s="92" t="s">
        <v>110</v>
      </c>
      <c r="S246" s="92"/>
      <c r="T246" s="92"/>
      <c r="U246" s="92"/>
      <c r="V246" s="92"/>
    </row>
    <row r="247" customFormat="false" ht="15" hidden="false" customHeight="false" outlineLevel="0" collapsed="false">
      <c r="A247" s="93" t="s">
        <v>111</v>
      </c>
      <c r="B247" s="94" t="s">
        <v>112</v>
      </c>
      <c r="C247" s="95"/>
      <c r="D247" s="95"/>
      <c r="E247" s="95"/>
      <c r="F247" s="95"/>
      <c r="H247" s="96" t="s">
        <v>769</v>
      </c>
      <c r="I247" s="97"/>
      <c r="J247" s="97"/>
      <c r="L247" s="98" t="s">
        <v>770</v>
      </c>
      <c r="M247" s="99"/>
      <c r="N247" s="99"/>
      <c r="R247" s="100" t="s">
        <v>771</v>
      </c>
    </row>
    <row r="248" customFormat="false" ht="15" hidden="false" customHeight="false" outlineLevel="0" collapsed="false">
      <c r="B248" s="81" t="s">
        <v>116</v>
      </c>
      <c r="C248" s="81" t="s">
        <v>117</v>
      </c>
      <c r="D248" s="81" t="s">
        <v>118</v>
      </c>
      <c r="E248" s="81" t="s">
        <v>119</v>
      </c>
      <c r="F248" s="81" t="s">
        <v>120</v>
      </c>
      <c r="H248" s="101" t="s">
        <v>116</v>
      </c>
      <c r="I248" s="101" t="s">
        <v>119</v>
      </c>
      <c r="J248" s="101" t="s">
        <v>120</v>
      </c>
      <c r="L248" s="102" t="s">
        <v>116</v>
      </c>
      <c r="M248" s="102" t="s">
        <v>119</v>
      </c>
      <c r="N248" s="102" t="s">
        <v>120</v>
      </c>
      <c r="R248" s="103" t="s">
        <v>772</v>
      </c>
    </row>
    <row r="249" customFormat="false" ht="15" hidden="false" customHeight="false" outlineLevel="0" collapsed="false">
      <c r="A249" s="104" t="s">
        <v>122</v>
      </c>
      <c r="B249" s="105" t="n">
        <v>5.75</v>
      </c>
      <c r="C249" s="106" t="n">
        <f aca="false">$N$246-$L$246+1</f>
        <v>30</v>
      </c>
      <c r="D249" s="107" t="n">
        <v>3.4086</v>
      </c>
      <c r="E249" s="108" t="n">
        <v>4.17</v>
      </c>
      <c r="F249" s="109" t="n">
        <f aca="false">ROUND(B249*E249,2)</f>
        <v>23.98</v>
      </c>
      <c r="H249" s="110" t="n">
        <v>5.75</v>
      </c>
      <c r="I249" s="111" t="n">
        <v>4.17</v>
      </c>
      <c r="J249" s="112" t="n">
        <f aca="false">ROUND(H249*I249,2)</f>
        <v>23.98</v>
      </c>
      <c r="L249" s="113" t="n">
        <v>5.75</v>
      </c>
      <c r="M249" s="114" t="n">
        <v>4.17</v>
      </c>
      <c r="N249" s="115" t="n">
        <f aca="false">ROUND(L249*M249,2)</f>
        <v>23.98</v>
      </c>
      <c r="R249" s="116" t="s">
        <v>773</v>
      </c>
    </row>
    <row r="250" customFormat="false" ht="15" hidden="false" customHeight="false" outlineLevel="0" collapsed="false">
      <c r="A250" s="104" t="s">
        <v>124</v>
      </c>
      <c r="B250" s="105" t="n">
        <v>5.75</v>
      </c>
      <c r="C250" s="106" t="n">
        <f aca="false">$N$246-$L$246+1</f>
        <v>30</v>
      </c>
      <c r="D250" s="107" t="n">
        <v>1.09728</v>
      </c>
      <c r="E250" s="108" t="n">
        <v>1.37</v>
      </c>
      <c r="F250" s="109" t="n">
        <f aca="false">ROUND(B250*E250,2)</f>
        <v>7.88</v>
      </c>
      <c r="H250" s="110" t="n">
        <v>5.75</v>
      </c>
      <c r="I250" s="111" t="n">
        <v>1.37</v>
      </c>
      <c r="J250" s="112" t="n">
        <f aca="false">ROUND(H250*I250,2)</f>
        <v>7.88</v>
      </c>
      <c r="L250" s="113" t="n">
        <v>5.75</v>
      </c>
      <c r="M250" s="114" t="n">
        <v>1.37</v>
      </c>
      <c r="N250" s="115" t="n">
        <f aca="false">ROUND(L250*M250,2)</f>
        <v>7.88</v>
      </c>
      <c r="R250" s="117" t="s">
        <v>774</v>
      </c>
    </row>
    <row r="251" customFormat="false" ht="15" hidden="false" customHeight="false" outlineLevel="0" collapsed="false">
      <c r="A251" s="104" t="s">
        <v>615</v>
      </c>
      <c r="B251" s="105" t="n">
        <f aca="false">IF($P$251&lt;&gt;"",ROUND(AA251*(($AB$251/(1-$P$251))-31.855)/37.5019,2),IF('Resumen 2.0TD'!$D$3="OPTIMIZAR",ROUND(MAX(AA251,MIN(AA251*(($AB$251/(1-'Resumen 2.0TD'!$F$3))-31.855)/37.5019,AA251*(84.7228)/37.5019)),3),AA251))</f>
        <v>71.84</v>
      </c>
      <c r="C251" s="118"/>
      <c r="D251" s="107" t="n">
        <v>0.110306</v>
      </c>
      <c r="E251" s="108" t="n">
        <v>0.14937</v>
      </c>
      <c r="F251" s="109" t="n">
        <f aca="false">ROUND(B251*E251,2)</f>
        <v>10.73</v>
      </c>
      <c r="H251" s="110" t="n">
        <v>77.319</v>
      </c>
      <c r="I251" s="111" t="n">
        <v>0.14937</v>
      </c>
      <c r="J251" s="112" t="n">
        <f aca="false">ROUND(H251*I251,2)</f>
        <v>11.55</v>
      </c>
      <c r="L251" s="113" t="n">
        <v>49.27</v>
      </c>
      <c r="M251" s="114" t="n">
        <v>0.14937</v>
      </c>
      <c r="N251" s="115" t="n">
        <f aca="false">ROUND(L251*M251,2)</f>
        <v>7.36</v>
      </c>
      <c r="O251" s="119" t="s">
        <v>616</v>
      </c>
      <c r="P251" s="79"/>
      <c r="R251" s="117" t="s">
        <v>775</v>
      </c>
      <c r="AA251" s="0" t="n">
        <v>71.84</v>
      </c>
      <c r="AB251" s="0" t="n">
        <f aca="false">B249*D249+B250*D250+AA251*D251+AA252*D252+AA253*D253</f>
        <v>53.603006502</v>
      </c>
    </row>
    <row r="252" customFormat="false" ht="15" hidden="false" customHeight="false" outlineLevel="0" collapsed="false">
      <c r="A252" s="104" t="s">
        <v>618</v>
      </c>
      <c r="B252" s="105" t="n">
        <f aca="false">IF($P$251&lt;&gt;"",ROUND(AA252*(($AB$251/(1-$P$251))-31.855)/37.5019,2),IF('Resumen 2.0TD'!$D$3="OPTIMIZAR",ROUND(MAX(AA252,MIN(AA252*(($AB$251/(1-'Resumen 2.0TD'!$F$3))-31.855)/37.5019,AA252*(84.7228)/37.5019)),3),AA252))</f>
        <v>38.824</v>
      </c>
      <c r="C252" s="118"/>
      <c r="D252" s="107" t="n">
        <v>0.110306</v>
      </c>
      <c r="E252" s="108" t="n">
        <v>0.14937</v>
      </c>
      <c r="F252" s="109" t="n">
        <f aca="false">ROUND(B252*E252,2)</f>
        <v>5.8</v>
      </c>
      <c r="H252" s="110" t="n">
        <v>44.498</v>
      </c>
      <c r="I252" s="111" t="n">
        <v>0.14937</v>
      </c>
      <c r="J252" s="112" t="n">
        <f aca="false">ROUND(H252*I252,2)</f>
        <v>6.65</v>
      </c>
      <c r="L252" s="113" t="n">
        <v>35.233</v>
      </c>
      <c r="M252" s="114" t="n">
        <v>0.14937</v>
      </c>
      <c r="N252" s="115" t="n">
        <f aca="false">ROUND(L252*M252,2)</f>
        <v>5.26</v>
      </c>
      <c r="O252" s="120" t="s">
        <v>619</v>
      </c>
      <c r="R252" s="117" t="s">
        <v>620</v>
      </c>
      <c r="AA252" s="0" t="n">
        <v>38.824</v>
      </c>
    </row>
    <row r="253" customFormat="false" ht="15" hidden="false" customHeight="false" outlineLevel="0" collapsed="false">
      <c r="A253" s="104" t="s">
        <v>621</v>
      </c>
      <c r="B253" s="105" t="n">
        <f aca="false">IF($P$251&lt;&gt;"",ROUND(AA253*(($AB$251/(1-$P$251))-31.855)/37.5019,2),IF('Resumen 2.0TD'!$D$3="OPTIMIZAR",ROUND(MAX(AA253,MIN(AA253*(($AB$251/(1-'Resumen 2.0TD'!$F$3))-31.855)/37.5019,AA253*(84.7228)/37.5019)),3),AA253))</f>
        <v>140.403</v>
      </c>
      <c r="C253" s="118"/>
      <c r="D253" s="107" t="n">
        <v>0.110306</v>
      </c>
      <c r="E253" s="108" t="n">
        <v>0.14937</v>
      </c>
      <c r="F253" s="109" t="n">
        <f aca="false">ROUND(B253*E253,2)</f>
        <v>20.97</v>
      </c>
      <c r="H253" s="110" t="n">
        <v>121.108</v>
      </c>
      <c r="I253" s="111" t="n">
        <v>0.14937</v>
      </c>
      <c r="J253" s="112" t="n">
        <f aca="false">ROUND(H253*I253,2)</f>
        <v>18.09</v>
      </c>
      <c r="L253" s="113" t="n">
        <v>94.743</v>
      </c>
      <c r="M253" s="114" t="n">
        <v>0.14937</v>
      </c>
      <c r="N253" s="115" t="n">
        <f aca="false">ROUND(L253*M253,2)</f>
        <v>14.15</v>
      </c>
      <c r="O253" s="120" t="s">
        <v>622</v>
      </c>
      <c r="AA253" s="0" t="n">
        <v>140.403</v>
      </c>
    </row>
    <row r="254" customFormat="false" ht="15" hidden="false" customHeight="false" outlineLevel="0" collapsed="false">
      <c r="A254" s="104" t="s">
        <v>139</v>
      </c>
      <c r="B254" s="105" t="n">
        <v>1</v>
      </c>
      <c r="C254" s="106" t="n">
        <f aca="false">$N$246-$L$246+1</f>
        <v>30</v>
      </c>
      <c r="D254" s="107" t="n">
        <v>0.7989</v>
      </c>
      <c r="E254" s="108" t="n">
        <v>4</v>
      </c>
      <c r="F254" s="109" t="n">
        <f aca="false">ROUND(B254*E254,2)</f>
        <v>4</v>
      </c>
      <c r="H254" s="110" t="n">
        <v>1</v>
      </c>
      <c r="I254" s="111" t="n">
        <v>4</v>
      </c>
      <c r="J254" s="112" t="n">
        <f aca="false">ROUND(H254*I254,2)</f>
        <v>4</v>
      </c>
      <c r="L254" s="113" t="n">
        <v>1</v>
      </c>
      <c r="M254" s="114" t="n">
        <v>4</v>
      </c>
      <c r="N254" s="115" t="n">
        <f aca="false">ROUND(L254*M254,2)</f>
        <v>4</v>
      </c>
    </row>
    <row r="255" customFormat="false" ht="15" hidden="false" customHeight="false" outlineLevel="0" collapsed="false">
      <c r="A255" s="104" t="s">
        <v>140</v>
      </c>
      <c r="B255" s="105" t="n">
        <v>30</v>
      </c>
      <c r="C255" s="106" t="n">
        <f aca="false">$N$246-$L$246+1</f>
        <v>30</v>
      </c>
      <c r="D255" s="107" t="n">
        <v>0.5736</v>
      </c>
      <c r="E255" s="108" t="n">
        <v>0.01274</v>
      </c>
      <c r="F255" s="109" t="n">
        <f aca="false">ROUND(B255*E255,2)</f>
        <v>0.38</v>
      </c>
      <c r="H255" s="110" t="n">
        <v>30</v>
      </c>
      <c r="I255" s="111" t="n">
        <v>0.01274</v>
      </c>
      <c r="J255" s="112" t="n">
        <f aca="false">ROUND(H255*I255,2)</f>
        <v>0.38</v>
      </c>
      <c r="L255" s="113" t="n">
        <v>30</v>
      </c>
      <c r="M255" s="114" t="n">
        <v>0.00629</v>
      </c>
      <c r="N255" s="115" t="n">
        <f aca="false">ROUND(L255*M255,2)</f>
        <v>0.19</v>
      </c>
    </row>
    <row r="256" customFormat="false" ht="15" hidden="false" customHeight="false" outlineLevel="0" collapsed="false">
      <c r="A256" s="104" t="s">
        <v>141</v>
      </c>
      <c r="B256" s="105" t="n">
        <v>3.13</v>
      </c>
      <c r="C256" s="118"/>
      <c r="D256" s="107" t="n">
        <v>0.24729</v>
      </c>
      <c r="E256" s="108" t="n">
        <v>1</v>
      </c>
      <c r="F256" s="109" t="n">
        <f aca="false">ROUND(B256*E256,2)</f>
        <v>3.13</v>
      </c>
      <c r="H256" s="110" t="n">
        <v>3.08</v>
      </c>
      <c r="I256" s="111" t="n">
        <v>1</v>
      </c>
      <c r="J256" s="112" t="n">
        <f aca="false">ROUND(H256*I256,2)</f>
        <v>3.08</v>
      </c>
      <c r="L256" s="113" t="n">
        <v>2.43</v>
      </c>
      <c r="M256" s="114" t="n">
        <v>1</v>
      </c>
      <c r="N256" s="115" t="n">
        <f aca="false">ROUND(L256*M256,2)</f>
        <v>2.43</v>
      </c>
    </row>
    <row r="257" customFormat="false" ht="15" hidden="false" customHeight="false" outlineLevel="0" collapsed="false">
      <c r="A257" s="121" t="s">
        <v>142</v>
      </c>
      <c r="F257" s="122" t="n">
        <f aca="false">ROUND((SUM(F249:F256)-F256)*1.1+F256,2)</f>
        <v>84.24</v>
      </c>
      <c r="J257" s="123" t="n">
        <f aca="false">ROUND(SUM(J249:J256),2)</f>
        <v>75.61</v>
      </c>
      <c r="N257" s="124" t="n">
        <f aca="false">ROUND(SUM(N249:N256),2)</f>
        <v>65.25</v>
      </c>
    </row>
    <row r="258" customFormat="false" ht="15" hidden="false" customHeight="false" outlineLevel="0" collapsed="false">
      <c r="A258" s="93" t="s">
        <v>143</v>
      </c>
      <c r="B258" s="125" t="n">
        <f aca="false">IF((F253+F252+F251+F249+F250)=0,"",((F253+F252+F251+F249+F250)-$AB$251)/(F253+F252+F251+F249+F250))</f>
        <v>0.227176953546713</v>
      </c>
      <c r="D258" s="126" t="str">
        <f aca="false">IF(B258="","SIN PC",IF(B258&gt;=0.3,"APROBAR",IF(B258&gt;=0.2,"REVISAR","RECHAZAR")))</f>
        <v>REVISAR</v>
      </c>
      <c r="E258" s="126"/>
      <c r="F258" s="126"/>
      <c r="AD258" s="0" t="n">
        <f aca="false">SUM(F251:F253)-37.5019</f>
        <v>-0.00189999999999912</v>
      </c>
    </row>
    <row r="259" customFormat="false" ht="15" hidden="false" customHeight="false" outlineLevel="0" collapsed="false">
      <c r="A259" s="127" t="s">
        <v>744</v>
      </c>
      <c r="B259" s="127"/>
      <c r="C259" s="127"/>
      <c r="D259" s="127"/>
      <c r="E259" s="127"/>
      <c r="F259" s="127"/>
    </row>
    <row r="260" customFormat="false" ht="15" hidden="false" customHeight="false" outlineLevel="0" collapsed="false">
      <c r="A260" s="128" t="s">
        <v>111</v>
      </c>
      <c r="B260" s="128" t="s">
        <v>745</v>
      </c>
      <c r="D260" s="128" t="s">
        <v>746</v>
      </c>
      <c r="E260" s="128" t="s">
        <v>747</v>
      </c>
      <c r="F260" s="128" t="s">
        <v>120</v>
      </c>
    </row>
    <row r="261" customFormat="false" ht="15" hidden="false" customHeight="false" outlineLevel="0" collapsed="false">
      <c r="A261" s="129" t="s">
        <v>748</v>
      </c>
      <c r="B261" s="130" t="n">
        <v>161</v>
      </c>
      <c r="C261" s="131"/>
      <c r="D261" s="107" t="n">
        <v>0.06</v>
      </c>
      <c r="E261" s="131"/>
      <c r="F261" s="132" t="n">
        <f aca="false">ROUND(B261*D261,2)</f>
        <v>9.66</v>
      </c>
    </row>
    <row r="262" customFormat="false" ht="15" hidden="false" customHeight="false" outlineLevel="0" collapsed="false">
      <c r="A262" s="129" t="s">
        <v>749</v>
      </c>
      <c r="B262" s="131"/>
      <c r="C262" s="131"/>
      <c r="D262" s="131"/>
      <c r="E262" s="133" t="n">
        <v>0.06</v>
      </c>
      <c r="F262" s="132" t="n">
        <v>8.31</v>
      </c>
    </row>
    <row r="263" customFormat="false" ht="15" hidden="false" customHeight="false" outlineLevel="0" collapsed="false">
      <c r="A263" s="134" t="s">
        <v>750</v>
      </c>
      <c r="B263" s="131"/>
      <c r="C263" s="131"/>
      <c r="D263" s="131"/>
      <c r="E263" s="131"/>
      <c r="F263" s="135" t="n">
        <f aca="false">F261-F262</f>
        <v>1.35</v>
      </c>
    </row>
    <row r="265" customFormat="false" ht="15" hidden="false" customHeight="false" outlineLevel="0" collapsed="false">
      <c r="A265" s="89" t="s">
        <v>776</v>
      </c>
      <c r="B265" s="89"/>
      <c r="C265" s="89"/>
      <c r="D265" s="89"/>
      <c r="E265" s="89"/>
      <c r="F265" s="89"/>
      <c r="H265" s="89" t="s">
        <v>777</v>
      </c>
      <c r="I265" s="89"/>
      <c r="J265" s="89"/>
      <c r="K265" s="89"/>
      <c r="L265" s="90" t="n">
        <v>46113</v>
      </c>
      <c r="M265" s="91" t="s">
        <v>608</v>
      </c>
      <c r="N265" s="90" t="n">
        <v>46142</v>
      </c>
      <c r="R265" s="92" t="s">
        <v>110</v>
      </c>
      <c r="S265" s="92"/>
      <c r="T265" s="92"/>
      <c r="U265" s="92"/>
      <c r="V265" s="92"/>
    </row>
    <row r="266" customFormat="false" ht="15" hidden="false" customHeight="false" outlineLevel="0" collapsed="false">
      <c r="A266" s="93" t="s">
        <v>111</v>
      </c>
      <c r="B266" s="94" t="s">
        <v>112</v>
      </c>
      <c r="C266" s="95"/>
      <c r="D266" s="95"/>
      <c r="E266" s="95"/>
      <c r="F266" s="95"/>
      <c r="H266" s="96" t="s">
        <v>778</v>
      </c>
      <c r="I266" s="97"/>
      <c r="J266" s="97"/>
      <c r="L266" s="98" t="s">
        <v>779</v>
      </c>
      <c r="M266" s="99"/>
      <c r="N266" s="99"/>
      <c r="R266" s="100" t="s">
        <v>780</v>
      </c>
    </row>
    <row r="267" customFormat="false" ht="15" hidden="false" customHeight="false" outlineLevel="0" collapsed="false">
      <c r="B267" s="81" t="s">
        <v>116</v>
      </c>
      <c r="C267" s="81" t="s">
        <v>117</v>
      </c>
      <c r="D267" s="81" t="s">
        <v>118</v>
      </c>
      <c r="E267" s="81" t="s">
        <v>119</v>
      </c>
      <c r="F267" s="81" t="s">
        <v>120</v>
      </c>
      <c r="H267" s="101" t="s">
        <v>116</v>
      </c>
      <c r="I267" s="101" t="s">
        <v>119</v>
      </c>
      <c r="J267" s="101" t="s">
        <v>120</v>
      </c>
      <c r="L267" s="102" t="s">
        <v>116</v>
      </c>
      <c r="M267" s="102" t="s">
        <v>119</v>
      </c>
      <c r="N267" s="102" t="s">
        <v>120</v>
      </c>
      <c r="R267" s="103" t="s">
        <v>781</v>
      </c>
    </row>
    <row r="268" customFormat="false" ht="15" hidden="false" customHeight="false" outlineLevel="0" collapsed="false">
      <c r="A268" s="104" t="s">
        <v>122</v>
      </c>
      <c r="B268" s="105" t="n">
        <v>9.2</v>
      </c>
      <c r="C268" s="106" t="n">
        <f aca="false">$N$265-$L$265+1</f>
        <v>30</v>
      </c>
      <c r="D268" s="107" t="n">
        <v>3.4086</v>
      </c>
      <c r="E268" s="108" t="n">
        <v>4.17</v>
      </c>
      <c r="F268" s="109" t="n">
        <f aca="false">ROUND(B268*E268,2)</f>
        <v>38.36</v>
      </c>
      <c r="H268" s="110" t="n">
        <v>9.2</v>
      </c>
      <c r="I268" s="111" t="n">
        <v>4.17</v>
      </c>
      <c r="J268" s="112" t="n">
        <f aca="false">ROUND(H268*I268,2)</f>
        <v>38.36</v>
      </c>
      <c r="L268" s="113" t="n">
        <v>9.2</v>
      </c>
      <c r="M268" s="114" t="n">
        <v>4.17</v>
      </c>
      <c r="N268" s="115" t="n">
        <f aca="false">ROUND(L268*M268,2)</f>
        <v>38.36</v>
      </c>
      <c r="R268" s="116" t="s">
        <v>782</v>
      </c>
    </row>
    <row r="269" customFormat="false" ht="15" hidden="false" customHeight="false" outlineLevel="0" collapsed="false">
      <c r="A269" s="104" t="s">
        <v>124</v>
      </c>
      <c r="B269" s="105" t="n">
        <v>9.2</v>
      </c>
      <c r="C269" s="106" t="n">
        <f aca="false">$N$265-$L$265+1</f>
        <v>30</v>
      </c>
      <c r="D269" s="107" t="n">
        <v>1.09728</v>
      </c>
      <c r="E269" s="108" t="n">
        <v>1.37</v>
      </c>
      <c r="F269" s="109" t="n">
        <f aca="false">ROUND(B269*E269,2)</f>
        <v>12.6</v>
      </c>
      <c r="H269" s="110" t="n">
        <v>9.2</v>
      </c>
      <c r="I269" s="111" t="n">
        <v>1.37</v>
      </c>
      <c r="J269" s="112" t="n">
        <f aca="false">ROUND(H269*I269,2)</f>
        <v>12.6</v>
      </c>
      <c r="L269" s="113" t="n">
        <v>9.2</v>
      </c>
      <c r="M269" s="114" t="n">
        <v>1.37</v>
      </c>
      <c r="N269" s="115" t="n">
        <f aca="false">ROUND(L269*M269,2)</f>
        <v>12.6</v>
      </c>
      <c r="R269" s="117" t="s">
        <v>783</v>
      </c>
    </row>
    <row r="270" customFormat="false" ht="15" hidden="false" customHeight="false" outlineLevel="0" collapsed="false">
      <c r="A270" s="104" t="s">
        <v>615</v>
      </c>
      <c r="B270" s="105" t="n">
        <f aca="false">IF($P$270&lt;&gt;"",ROUND(AA270*(($AB$270/(1-$P$270))-50.968)/35.0461,2),IF('Resumen 2.0TD'!$D$3="OPTIMIZAR",ROUND(MAX(AA270,MIN(AA270*(($AB$270/(1-'Resumen 2.0TD'!$F$3))-50.968)/35.0461,AA270*(153.8798)/35.0461)),3),AA270))</f>
        <v>78.991</v>
      </c>
      <c r="C270" s="118"/>
      <c r="D270" s="107" t="n">
        <v>0.110306</v>
      </c>
      <c r="E270" s="108" t="n">
        <v>0.14937</v>
      </c>
      <c r="F270" s="109" t="n">
        <f aca="false">ROUND(B270*E270,2)</f>
        <v>11.8</v>
      </c>
      <c r="H270" s="110" t="n">
        <v>123.339</v>
      </c>
      <c r="I270" s="111" t="n">
        <v>0.14937</v>
      </c>
      <c r="J270" s="112" t="n">
        <f aca="false">ROUND(H270*I270,2)</f>
        <v>18.42</v>
      </c>
      <c r="L270" s="113" t="n">
        <v>83.493</v>
      </c>
      <c r="M270" s="114" t="n">
        <v>0.14937</v>
      </c>
      <c r="N270" s="115" t="n">
        <f aca="false">ROUND(L270*M270,2)</f>
        <v>12.47</v>
      </c>
      <c r="O270" s="119" t="s">
        <v>616</v>
      </c>
      <c r="P270" s="79"/>
      <c r="R270" s="117" t="s">
        <v>784</v>
      </c>
      <c r="AA270" s="0" t="n">
        <v>78.991</v>
      </c>
      <c r="AB270" s="0" t="n">
        <f aca="false">B268*D268+B269*D269+AA270*D270+AA271*D271+AA272*D272</f>
        <v>67.334751556</v>
      </c>
    </row>
    <row r="271" customFormat="false" ht="15" hidden="false" customHeight="false" outlineLevel="0" collapsed="false">
      <c r="A271" s="104" t="s">
        <v>618</v>
      </c>
      <c r="B271" s="105" t="n">
        <f aca="false">IF($P$270&lt;&gt;"",ROUND(AA271*(($AB$270/(1-$P$270))-50.968)/35.0461,2),IF('Resumen 2.0TD'!$D$3="OPTIMIZAR",ROUND(MAX(AA271,MIN(AA271*(($AB$270/(1-'Resumen 2.0TD'!$F$3))-50.968)/35.0461,AA271*(153.8798)/35.0461)),3),AA271))</f>
        <v>41.717</v>
      </c>
      <c r="C271" s="118"/>
      <c r="D271" s="107" t="n">
        <v>0.110306</v>
      </c>
      <c r="E271" s="108" t="n">
        <v>0.14937</v>
      </c>
      <c r="F271" s="109" t="n">
        <f aca="false">ROUND(B271*E271,2)</f>
        <v>6.23</v>
      </c>
      <c r="H271" s="110" t="n">
        <v>78.642</v>
      </c>
      <c r="I271" s="111" t="n">
        <v>0.14937</v>
      </c>
      <c r="J271" s="112" t="n">
        <f aca="false">ROUND(H271*I271,2)</f>
        <v>11.75</v>
      </c>
      <c r="L271" s="113" t="n">
        <v>41.141</v>
      </c>
      <c r="M271" s="114" t="n">
        <v>0.14937</v>
      </c>
      <c r="N271" s="115" t="n">
        <f aca="false">ROUND(L271*M271,2)</f>
        <v>6.15</v>
      </c>
      <c r="O271" s="120" t="s">
        <v>619</v>
      </c>
      <c r="R271" s="117" t="s">
        <v>620</v>
      </c>
      <c r="AA271" s="0" t="n">
        <v>41.717</v>
      </c>
    </row>
    <row r="272" customFormat="false" ht="15" hidden="false" customHeight="false" outlineLevel="0" collapsed="false">
      <c r="A272" s="104" t="s">
        <v>621</v>
      </c>
      <c r="B272" s="105" t="n">
        <f aca="false">IF($P$270&lt;&gt;"",ROUND(AA272*(($AB$270/(1-$P$270))-50.968)/35.0461,2),IF('Resumen 2.0TD'!$D$3="OPTIMIZAR",ROUND(MAX(AA272,MIN(AA272*(($AB$270/(1-'Resumen 2.0TD'!$F$3))-50.968)/35.0461,AA272*(153.8798)/35.0461)),3),AA272))</f>
        <v>113.918</v>
      </c>
      <c r="C272" s="118"/>
      <c r="D272" s="107" t="n">
        <v>0.110306</v>
      </c>
      <c r="E272" s="108" t="n">
        <v>0.14937</v>
      </c>
      <c r="F272" s="109" t="n">
        <f aca="false">ROUND(B272*E272,2)</f>
        <v>17.02</v>
      </c>
      <c r="H272" s="110" t="n">
        <v>162.137</v>
      </c>
      <c r="I272" s="111" t="n">
        <v>0.14937</v>
      </c>
      <c r="J272" s="112" t="n">
        <f aca="false">ROUND(H272*I272,2)</f>
        <v>24.22</v>
      </c>
      <c r="L272" s="113" t="n">
        <v>128.318</v>
      </c>
      <c r="M272" s="114" t="n">
        <v>0.14937</v>
      </c>
      <c r="N272" s="115" t="n">
        <f aca="false">ROUND(L272*M272,2)</f>
        <v>19.17</v>
      </c>
      <c r="O272" s="120" t="s">
        <v>622</v>
      </c>
      <c r="AA272" s="0" t="n">
        <v>113.918</v>
      </c>
    </row>
    <row r="273" customFormat="false" ht="15" hidden="false" customHeight="false" outlineLevel="0" collapsed="false">
      <c r="A273" s="104" t="s">
        <v>139</v>
      </c>
      <c r="B273" s="105" t="n">
        <v>1</v>
      </c>
      <c r="C273" s="106" t="n">
        <f aca="false">$N$265-$L$265+1</f>
        <v>30</v>
      </c>
      <c r="D273" s="107" t="n">
        <v>0.7989</v>
      </c>
      <c r="E273" s="108" t="n">
        <v>4</v>
      </c>
      <c r="F273" s="109" t="n">
        <f aca="false">ROUND(B273*E273,2)</f>
        <v>4</v>
      </c>
      <c r="H273" s="110" t="n">
        <v>1</v>
      </c>
      <c r="I273" s="111" t="n">
        <v>4</v>
      </c>
      <c r="J273" s="112" t="n">
        <f aca="false">ROUND(H273*I273,2)</f>
        <v>4</v>
      </c>
      <c r="L273" s="113" t="n">
        <v>1</v>
      </c>
      <c r="M273" s="114" t="n">
        <v>4</v>
      </c>
      <c r="N273" s="115" t="n">
        <f aca="false">ROUND(L273*M273,2)</f>
        <v>4</v>
      </c>
    </row>
    <row r="274" customFormat="false" ht="15" hidden="false" customHeight="false" outlineLevel="0" collapsed="false">
      <c r="A274" s="104" t="s">
        <v>140</v>
      </c>
      <c r="B274" s="105" t="n">
        <v>30</v>
      </c>
      <c r="C274" s="106" t="n">
        <f aca="false">$N$265-$L$265+1</f>
        <v>30</v>
      </c>
      <c r="D274" s="107" t="n">
        <v>0.5736</v>
      </c>
      <c r="E274" s="108" t="n">
        <v>0.01274</v>
      </c>
      <c r="F274" s="109" t="n">
        <f aca="false">ROUND(B274*E274,2)</f>
        <v>0.38</v>
      </c>
      <c r="H274" s="110" t="n">
        <v>30</v>
      </c>
      <c r="I274" s="111" t="n">
        <v>0.01274</v>
      </c>
      <c r="J274" s="112" t="n">
        <f aca="false">ROUND(H274*I274,2)</f>
        <v>0.38</v>
      </c>
      <c r="L274" s="113" t="n">
        <v>30</v>
      </c>
      <c r="M274" s="114" t="n">
        <v>0.00629</v>
      </c>
      <c r="N274" s="115" t="n">
        <f aca="false">ROUND(L274*M274,2)</f>
        <v>0.19</v>
      </c>
    </row>
    <row r="275" customFormat="false" ht="15" hidden="false" customHeight="false" outlineLevel="0" collapsed="false">
      <c r="A275" s="104" t="s">
        <v>141</v>
      </c>
      <c r="B275" s="105" t="n">
        <v>2.61</v>
      </c>
      <c r="C275" s="118"/>
      <c r="D275" s="107" t="n">
        <v>0.24729</v>
      </c>
      <c r="E275" s="108" t="n">
        <v>1</v>
      </c>
      <c r="F275" s="109" t="n">
        <f aca="false">ROUND(B275*E275,2)</f>
        <v>2.61</v>
      </c>
      <c r="H275" s="110" t="n">
        <v>4.22</v>
      </c>
      <c r="I275" s="111" t="n">
        <v>1</v>
      </c>
      <c r="J275" s="112" t="n">
        <f aca="false">ROUND(H275*I275,2)</f>
        <v>4.22</v>
      </c>
      <c r="L275" s="113" t="n">
        <v>2.83</v>
      </c>
      <c r="M275" s="114" t="n">
        <v>1</v>
      </c>
      <c r="N275" s="115" t="n">
        <f aca="false">ROUND(L275*M275,2)</f>
        <v>2.83</v>
      </c>
    </row>
    <row r="276" customFormat="false" ht="15" hidden="false" customHeight="false" outlineLevel="0" collapsed="false">
      <c r="A276" s="121" t="s">
        <v>142</v>
      </c>
      <c r="F276" s="122" t="n">
        <f aca="false">ROUND((SUM(F268:F275)-F275)*1.1+F275,2)</f>
        <v>102.04</v>
      </c>
      <c r="J276" s="123" t="n">
        <f aca="false">ROUND(SUM(J268:J275),2)</f>
        <v>113.95</v>
      </c>
      <c r="N276" s="124" t="n">
        <f aca="false">ROUND(SUM(N268:N275),2)</f>
        <v>95.77</v>
      </c>
    </row>
    <row r="277" customFormat="false" ht="15" hidden="false" customHeight="false" outlineLevel="0" collapsed="false">
      <c r="A277" s="93" t="s">
        <v>143</v>
      </c>
      <c r="B277" s="125" t="n">
        <f aca="false">IF((F272+F271+F270+F268+F269)=0,"",((F272+F271+F270+F268+F269)-$AB$270)/(F272+F271+F270+F268+F269))</f>
        <v>0.217128804139054</v>
      </c>
      <c r="D277" s="126" t="str">
        <f aca="false">IF(B277="","SIN PC",IF(B277&gt;=0.3,"APROBAR",IF(B277&gt;=0.2,"REVISAR","RECHAZAR")))</f>
        <v>REVISAR</v>
      </c>
      <c r="E277" s="126"/>
      <c r="F277" s="126"/>
      <c r="AD277" s="0" t="n">
        <f aca="false">SUM(F270:F272)-35.0461</f>
        <v>0.00389999999999446</v>
      </c>
    </row>
    <row r="278" customFormat="false" ht="15" hidden="false" customHeight="false" outlineLevel="0" collapsed="false">
      <c r="A278" s="127" t="s">
        <v>744</v>
      </c>
      <c r="B278" s="127"/>
      <c r="C278" s="127"/>
      <c r="D278" s="127"/>
      <c r="E278" s="127"/>
      <c r="F278" s="127"/>
    </row>
    <row r="279" customFormat="false" ht="15" hidden="false" customHeight="false" outlineLevel="0" collapsed="false">
      <c r="A279" s="128" t="s">
        <v>111</v>
      </c>
      <c r="B279" s="128" t="s">
        <v>745</v>
      </c>
      <c r="D279" s="128" t="s">
        <v>746</v>
      </c>
      <c r="E279" s="128" t="s">
        <v>747</v>
      </c>
      <c r="F279" s="128" t="s">
        <v>120</v>
      </c>
    </row>
    <row r="280" customFormat="false" ht="15" hidden="false" customHeight="false" outlineLevel="0" collapsed="false">
      <c r="A280" s="129" t="s">
        <v>748</v>
      </c>
      <c r="B280" s="130" t="n">
        <v>822</v>
      </c>
      <c r="C280" s="131"/>
      <c r="D280" s="107" t="n">
        <v>0.06</v>
      </c>
      <c r="E280" s="131"/>
      <c r="F280" s="132" t="n">
        <f aca="false">ROUND(B280*D280,2)</f>
        <v>49.32</v>
      </c>
    </row>
    <row r="281" customFormat="false" ht="15" hidden="false" customHeight="false" outlineLevel="0" collapsed="false">
      <c r="A281" s="129" t="s">
        <v>749</v>
      </c>
      <c r="B281" s="131"/>
      <c r="C281" s="131"/>
      <c r="D281" s="131"/>
      <c r="E281" s="133" t="n">
        <v>0.06</v>
      </c>
      <c r="F281" s="132" t="n">
        <v>35.05</v>
      </c>
    </row>
    <row r="282" customFormat="false" ht="15" hidden="false" customHeight="false" outlineLevel="0" collapsed="false">
      <c r="A282" s="134" t="s">
        <v>750</v>
      </c>
      <c r="B282" s="131"/>
      <c r="C282" s="131"/>
      <c r="D282" s="131"/>
      <c r="E282" s="131"/>
      <c r="F282" s="135" t="n">
        <f aca="false">F280-F281</f>
        <v>14.27</v>
      </c>
    </row>
    <row r="284" customFormat="false" ht="15" hidden="false" customHeight="false" outlineLevel="0" collapsed="false">
      <c r="A284" s="89" t="s">
        <v>785</v>
      </c>
      <c r="B284" s="89"/>
      <c r="C284" s="89"/>
      <c r="D284" s="89"/>
      <c r="E284" s="89"/>
      <c r="F284" s="89"/>
      <c r="H284" s="89" t="s">
        <v>786</v>
      </c>
      <c r="I284" s="89"/>
      <c r="J284" s="89"/>
      <c r="K284" s="89"/>
      <c r="L284" s="90" t="n">
        <v>46113</v>
      </c>
      <c r="M284" s="91" t="s">
        <v>608</v>
      </c>
      <c r="N284" s="90" t="n">
        <v>46142</v>
      </c>
      <c r="R284" s="92" t="s">
        <v>110</v>
      </c>
      <c r="S284" s="92"/>
      <c r="T284" s="92"/>
      <c r="U284" s="92"/>
      <c r="V284" s="92"/>
    </row>
    <row r="285" customFormat="false" ht="15" hidden="false" customHeight="false" outlineLevel="0" collapsed="false">
      <c r="A285" s="93" t="s">
        <v>111</v>
      </c>
      <c r="B285" s="94" t="s">
        <v>112</v>
      </c>
      <c r="C285" s="95"/>
      <c r="D285" s="95"/>
      <c r="E285" s="95"/>
      <c r="F285" s="95"/>
      <c r="H285" s="96" t="s">
        <v>787</v>
      </c>
      <c r="I285" s="97"/>
      <c r="J285" s="97"/>
      <c r="L285" s="98" t="s">
        <v>788</v>
      </c>
      <c r="M285" s="99"/>
      <c r="N285" s="99"/>
      <c r="R285" s="100" t="s">
        <v>789</v>
      </c>
    </row>
    <row r="286" customFormat="false" ht="15" hidden="false" customHeight="false" outlineLevel="0" collapsed="false">
      <c r="B286" s="81" t="s">
        <v>116</v>
      </c>
      <c r="C286" s="81" t="s">
        <v>117</v>
      </c>
      <c r="D286" s="81" t="s">
        <v>118</v>
      </c>
      <c r="E286" s="81" t="s">
        <v>119</v>
      </c>
      <c r="F286" s="81" t="s">
        <v>120</v>
      </c>
      <c r="H286" s="101" t="s">
        <v>116</v>
      </c>
      <c r="I286" s="101" t="s">
        <v>119</v>
      </c>
      <c r="J286" s="101" t="s">
        <v>120</v>
      </c>
      <c r="L286" s="102" t="s">
        <v>116</v>
      </c>
      <c r="M286" s="102" t="s">
        <v>119</v>
      </c>
      <c r="N286" s="102" t="s">
        <v>120</v>
      </c>
      <c r="R286" s="103" t="s">
        <v>790</v>
      </c>
    </row>
    <row r="287" customFormat="false" ht="15" hidden="false" customHeight="false" outlineLevel="0" collapsed="false">
      <c r="A287" s="104" t="s">
        <v>122</v>
      </c>
      <c r="B287" s="105" t="n">
        <v>5.75</v>
      </c>
      <c r="C287" s="106" t="n">
        <f aca="false">$N$284-$L$284+1</f>
        <v>30</v>
      </c>
      <c r="D287" s="107" t="n">
        <v>3.68919</v>
      </c>
      <c r="E287" s="108" t="n">
        <v>4.82</v>
      </c>
      <c r="F287" s="109" t="n">
        <f aca="false">ROUND(B287*E287,2)</f>
        <v>27.72</v>
      </c>
      <c r="H287" s="110" t="n">
        <v>5.75</v>
      </c>
      <c r="I287" s="111" t="n">
        <v>4.82</v>
      </c>
      <c r="J287" s="112" t="n">
        <f aca="false">ROUND(H287*I287,2)</f>
        <v>27.72</v>
      </c>
      <c r="L287" s="113" t="n">
        <v>5.75</v>
      </c>
      <c r="M287" s="114" t="n">
        <v>4.82</v>
      </c>
      <c r="N287" s="115" t="n">
        <f aca="false">ROUND(L287*M287,2)</f>
        <v>27.72</v>
      </c>
      <c r="R287" s="116" t="s">
        <v>791</v>
      </c>
    </row>
    <row r="288" customFormat="false" ht="15" hidden="false" customHeight="false" outlineLevel="0" collapsed="false">
      <c r="A288" s="104" t="s">
        <v>124</v>
      </c>
      <c r="B288" s="105" t="n">
        <v>5.75</v>
      </c>
      <c r="C288" s="106" t="n">
        <f aca="false">$N$284-$L$284+1</f>
        <v>30</v>
      </c>
      <c r="D288" s="107" t="n">
        <v>1.31928</v>
      </c>
      <c r="E288" s="108" t="n">
        <v>2.3744</v>
      </c>
      <c r="F288" s="109" t="n">
        <f aca="false">ROUND(B288*E288,2)</f>
        <v>13.65</v>
      </c>
      <c r="H288" s="110" t="n">
        <v>5.75</v>
      </c>
      <c r="I288" s="111" t="n">
        <v>2.3744</v>
      </c>
      <c r="J288" s="112" t="n">
        <f aca="false">ROUND(H288*I288,2)</f>
        <v>13.65</v>
      </c>
      <c r="L288" s="113" t="n">
        <v>5.75</v>
      </c>
      <c r="M288" s="114" t="n">
        <v>2.3744</v>
      </c>
      <c r="N288" s="115" t="n">
        <f aca="false">ROUND(L288*M288,2)</f>
        <v>13.65</v>
      </c>
      <c r="R288" s="117" t="s">
        <v>792</v>
      </c>
    </row>
    <row r="289" customFormat="false" ht="15" hidden="false" customHeight="false" outlineLevel="0" collapsed="false">
      <c r="A289" s="104" t="s">
        <v>615</v>
      </c>
      <c r="B289" s="105" t="n">
        <f aca="false">IF($P$289&lt;&gt;"",ROUND(AA289*(($AB$289/(1-$P$289))-41.3678)/22.5019,2),IF('Resumen 2.0TD'!$D$3="OPTIMIZAR",ROUND(MAX(AA289,MIN(AA289*(($AB$289/(1-'Resumen 2.0TD'!$F$3))-41.3678)/22.5019,AA289*(112.17)/22.5019)),3),AA289))</f>
        <v>51.324</v>
      </c>
      <c r="C289" s="118"/>
      <c r="D289" s="107" t="n">
        <v>0.111171</v>
      </c>
      <c r="E289" s="108" t="n">
        <v>0.139</v>
      </c>
      <c r="F289" s="109" t="n">
        <f aca="false">ROUND(B289*E289,2)</f>
        <v>7.13</v>
      </c>
      <c r="H289" s="110" t="n">
        <v>44.943</v>
      </c>
      <c r="I289" s="111" t="n">
        <v>0.139</v>
      </c>
      <c r="J289" s="112" t="n">
        <f aca="false">ROUND(H289*I289,2)</f>
        <v>6.25</v>
      </c>
      <c r="L289" s="113" t="n">
        <v>55.127</v>
      </c>
      <c r="M289" s="114" t="n">
        <v>0.1724</v>
      </c>
      <c r="N289" s="115" t="n">
        <f aca="false">ROUND(L289*M289,2)</f>
        <v>9.5</v>
      </c>
      <c r="O289" s="119" t="s">
        <v>616</v>
      </c>
      <c r="P289" s="79"/>
      <c r="R289" s="117" t="s">
        <v>793</v>
      </c>
      <c r="AA289" s="0" t="n">
        <v>51.324</v>
      </c>
      <c r="AB289" s="0" t="n">
        <f aca="false">B287*D287+B288*D288+AA289*D289+AA290*D290+AA291*D291</f>
        <v>46.795508664</v>
      </c>
    </row>
    <row r="290" customFormat="false" ht="15" hidden="false" customHeight="false" outlineLevel="0" collapsed="false">
      <c r="A290" s="104" t="s">
        <v>618</v>
      </c>
      <c r="B290" s="105" t="n">
        <f aca="false">IF($P$289&lt;&gt;"",ROUND(AA290*(($AB$289/(1-$P$289))-41.3678)/22.5019,2),IF('Resumen 2.0TD'!$D$3="OPTIMIZAR",ROUND(MAX(AA290,MIN(AA290*(($AB$289/(1-'Resumen 2.0TD'!$F$3))-41.3678)/22.5019,AA290*(112.17)/22.5019)),3),AA290))</f>
        <v>21.674</v>
      </c>
      <c r="C290" s="118"/>
      <c r="D290" s="107" t="n">
        <v>0.111171</v>
      </c>
      <c r="E290" s="108" t="n">
        <v>0.139</v>
      </c>
      <c r="F290" s="109" t="n">
        <f aca="false">ROUND(B290*E290,2)</f>
        <v>3.01</v>
      </c>
      <c r="H290" s="110" t="n">
        <v>24.243</v>
      </c>
      <c r="I290" s="111" t="n">
        <v>0.139</v>
      </c>
      <c r="J290" s="112" t="n">
        <f aca="false">ROUND(H290*I290,2)</f>
        <v>3.37</v>
      </c>
      <c r="L290" s="113" t="n">
        <v>55.993</v>
      </c>
      <c r="M290" s="114" t="n">
        <v>0.1724</v>
      </c>
      <c r="N290" s="115" t="n">
        <f aca="false">ROUND(L290*M290,2)</f>
        <v>9.65</v>
      </c>
      <c r="O290" s="120" t="s">
        <v>619</v>
      </c>
      <c r="R290" s="117" t="s">
        <v>620</v>
      </c>
      <c r="AA290" s="0" t="n">
        <v>21.674</v>
      </c>
    </row>
    <row r="291" customFormat="false" ht="15" hidden="false" customHeight="false" outlineLevel="0" collapsed="false">
      <c r="A291" s="104" t="s">
        <v>621</v>
      </c>
      <c r="B291" s="105" t="n">
        <f aca="false">IF($P$289&lt;&gt;"",ROUND(AA291*(($AB$289/(1-$P$289))-41.3678)/22.5019,2),IF('Resumen 2.0TD'!$D$3="OPTIMIZAR",ROUND(MAX(AA291,MIN(AA291*(($AB$289/(1-'Resumen 2.0TD'!$F$3))-41.3678)/22.5019,AA291*(112.17)/22.5019)),3),AA291))</f>
        <v>88.886</v>
      </c>
      <c r="C291" s="118"/>
      <c r="D291" s="107" t="n">
        <v>0.111171</v>
      </c>
      <c r="E291" s="108" t="n">
        <v>0.139</v>
      </c>
      <c r="F291" s="109" t="n">
        <f aca="false">ROUND(B291*E291,2)</f>
        <v>12.36</v>
      </c>
      <c r="H291" s="110" t="n">
        <v>88.21</v>
      </c>
      <c r="I291" s="111" t="n">
        <v>0.139</v>
      </c>
      <c r="J291" s="112" t="n">
        <f aca="false">ROUND(H291*I291,2)</f>
        <v>12.26</v>
      </c>
      <c r="L291" s="113" t="n">
        <v>120.095</v>
      </c>
      <c r="M291" s="114" t="n">
        <v>0.1724</v>
      </c>
      <c r="N291" s="115" t="n">
        <f aca="false">ROUND(L291*M291,2)</f>
        <v>20.7</v>
      </c>
      <c r="O291" s="120" t="s">
        <v>622</v>
      </c>
      <c r="AA291" s="0" t="n">
        <v>88.886</v>
      </c>
    </row>
    <row r="292" customFormat="false" ht="15" hidden="false" customHeight="false" outlineLevel="0" collapsed="false">
      <c r="A292" s="104" t="s">
        <v>139</v>
      </c>
      <c r="B292" s="105" t="n">
        <v>1</v>
      </c>
      <c r="C292" s="106" t="n">
        <f aca="false">$N$284-$L$284+1</f>
        <v>30</v>
      </c>
      <c r="D292" s="107" t="n">
        <v>0.7989</v>
      </c>
      <c r="E292" s="108" t="n">
        <v>6</v>
      </c>
      <c r="F292" s="109" t="n">
        <f aca="false">ROUND(B292*E292,2)</f>
        <v>6</v>
      </c>
      <c r="H292" s="110" t="n">
        <v>1</v>
      </c>
      <c r="I292" s="111" t="n">
        <v>6</v>
      </c>
      <c r="J292" s="112" t="n">
        <f aca="false">ROUND(H292*I292,2)</f>
        <v>6</v>
      </c>
      <c r="L292" s="113" t="n">
        <v>1</v>
      </c>
      <c r="M292" s="114" t="n">
        <v>6</v>
      </c>
      <c r="N292" s="115" t="n">
        <f aca="false">ROUND(L292*M292,2)</f>
        <v>6</v>
      </c>
    </row>
    <row r="293" customFormat="false" ht="15" hidden="false" customHeight="false" outlineLevel="0" collapsed="false">
      <c r="A293" s="104" t="s">
        <v>140</v>
      </c>
      <c r="B293" s="105" t="n">
        <v>30</v>
      </c>
      <c r="C293" s="106" t="n">
        <f aca="false">$N$284-$L$284+1</f>
        <v>30</v>
      </c>
      <c r="D293" s="107" t="n">
        <v>0.5736</v>
      </c>
      <c r="E293" s="108" t="n">
        <v>0.01274</v>
      </c>
      <c r="F293" s="109" t="n">
        <f aca="false">ROUND(B293*E293,2)</f>
        <v>0.38</v>
      </c>
      <c r="H293" s="110" t="n">
        <v>30</v>
      </c>
      <c r="I293" s="111" t="n">
        <v>0.01274</v>
      </c>
      <c r="J293" s="112" t="n">
        <f aca="false">ROUND(H293*I293,2)</f>
        <v>0.38</v>
      </c>
      <c r="L293" s="113" t="n">
        <v>30</v>
      </c>
      <c r="M293" s="114" t="n">
        <v>0.00629</v>
      </c>
      <c r="N293" s="115" t="n">
        <f aca="false">ROUND(L293*M293,2)</f>
        <v>0.19</v>
      </c>
    </row>
    <row r="294" customFormat="false" ht="15" hidden="false" customHeight="false" outlineLevel="0" collapsed="false">
      <c r="A294" s="104" t="s">
        <v>141</v>
      </c>
      <c r="B294" s="105" t="n">
        <v>2.4</v>
      </c>
      <c r="C294" s="118"/>
      <c r="D294" s="107" t="n">
        <v>0.27312</v>
      </c>
      <c r="E294" s="108" t="n">
        <v>1</v>
      </c>
      <c r="F294" s="109" t="n">
        <f aca="false">ROUND(B294*E294,2)</f>
        <v>2.4</v>
      </c>
      <c r="H294" s="110" t="n">
        <v>2.53</v>
      </c>
      <c r="I294" s="111" t="n">
        <v>1</v>
      </c>
      <c r="J294" s="112" t="n">
        <f aca="false">ROUND(H294*I294,2)</f>
        <v>2.53</v>
      </c>
      <c r="L294" s="113" t="n">
        <v>3.33</v>
      </c>
      <c r="M294" s="114" t="n">
        <v>1</v>
      </c>
      <c r="N294" s="115" t="n">
        <f aca="false">ROUND(L294*M294,2)</f>
        <v>3.33</v>
      </c>
    </row>
    <row r="295" customFormat="false" ht="15" hidden="false" customHeight="false" outlineLevel="0" collapsed="false">
      <c r="A295" s="121" t="s">
        <v>142</v>
      </c>
      <c r="F295" s="122" t="n">
        <f aca="false">ROUND((SUM(F287:F294)-F294)*1.1+F294,2)</f>
        <v>79.68</v>
      </c>
      <c r="J295" s="123" t="n">
        <f aca="false">ROUND(SUM(J287:J294),2)</f>
        <v>72.16</v>
      </c>
      <c r="N295" s="124" t="n">
        <f aca="false">ROUND(SUM(N287:N294),2)</f>
        <v>90.74</v>
      </c>
    </row>
    <row r="296" customFormat="false" ht="15" hidden="false" customHeight="false" outlineLevel="0" collapsed="false">
      <c r="A296" s="93" t="s">
        <v>143</v>
      </c>
      <c r="B296" s="125" t="n">
        <f aca="false">IF((F291+F290+F289+F287+F288)=0,"",((F291+F290+F289+F287+F288)-$AB$289)/(F291+F290+F289+F287+F288))</f>
        <v>0.267331945138563</v>
      </c>
      <c r="D296" s="126" t="str">
        <f aca="false">IF(B296="","SIN PC",IF(B296&gt;=0.3,"APROBAR",IF(B296&gt;=0.2,"REVISAR","RECHAZAR")))</f>
        <v>REVISAR</v>
      </c>
      <c r="E296" s="126"/>
      <c r="F296" s="126"/>
      <c r="AD296" s="0" t="n">
        <f aca="false">SUM(F289:F291)-22.5019</f>
        <v>-0.00189999999999912</v>
      </c>
    </row>
    <row r="297" customFormat="false" ht="15" hidden="false" customHeight="false" outlineLevel="0" collapsed="false">
      <c r="A297" s="127" t="s">
        <v>744</v>
      </c>
      <c r="B297" s="127"/>
      <c r="C297" s="127"/>
      <c r="D297" s="127"/>
      <c r="E297" s="127"/>
      <c r="F297" s="127"/>
    </row>
    <row r="298" customFormat="false" ht="15" hidden="false" customHeight="false" outlineLevel="0" collapsed="false">
      <c r="A298" s="128" t="s">
        <v>111</v>
      </c>
      <c r="B298" s="128" t="s">
        <v>745</v>
      </c>
      <c r="D298" s="128" t="s">
        <v>746</v>
      </c>
      <c r="E298" s="128" t="s">
        <v>747</v>
      </c>
      <c r="F298" s="128" t="s">
        <v>120</v>
      </c>
    </row>
    <row r="299" customFormat="false" ht="15" hidden="false" customHeight="false" outlineLevel="0" collapsed="false">
      <c r="A299" s="129" t="s">
        <v>748</v>
      </c>
      <c r="B299" s="130" t="n">
        <v>524</v>
      </c>
      <c r="C299" s="131"/>
      <c r="D299" s="107" t="n">
        <v>0.06</v>
      </c>
      <c r="E299" s="131"/>
      <c r="F299" s="132" t="n">
        <f aca="false">ROUND(B299*D299,2)</f>
        <v>31.44</v>
      </c>
    </row>
    <row r="300" customFormat="false" ht="15" hidden="false" customHeight="false" outlineLevel="0" collapsed="false">
      <c r="A300" s="129" t="s">
        <v>749</v>
      </c>
      <c r="B300" s="131"/>
      <c r="C300" s="131"/>
      <c r="D300" s="131"/>
      <c r="E300" s="133" t="n">
        <v>0.06</v>
      </c>
      <c r="F300" s="132" t="n">
        <v>17.17</v>
      </c>
    </row>
    <row r="301" customFormat="false" ht="15" hidden="false" customHeight="false" outlineLevel="0" collapsed="false">
      <c r="A301" s="134" t="s">
        <v>750</v>
      </c>
      <c r="B301" s="131"/>
      <c r="C301" s="131"/>
      <c r="D301" s="131"/>
      <c r="E301" s="131"/>
      <c r="F301" s="135" t="n">
        <f aca="false">F299-F300</f>
        <v>14.27</v>
      </c>
    </row>
    <row r="303" customFormat="false" ht="15" hidden="false" customHeight="false" outlineLevel="0" collapsed="false">
      <c r="A303" s="89" t="s">
        <v>794</v>
      </c>
      <c r="B303" s="89"/>
      <c r="C303" s="89"/>
      <c r="D303" s="89"/>
      <c r="E303" s="89"/>
      <c r="F303" s="89"/>
      <c r="H303" s="89" t="s">
        <v>795</v>
      </c>
      <c r="I303" s="89"/>
      <c r="J303" s="89"/>
      <c r="K303" s="89"/>
      <c r="L303" s="90" t="n">
        <v>46113</v>
      </c>
      <c r="M303" s="91" t="s">
        <v>608</v>
      </c>
      <c r="N303" s="90" t="n">
        <v>46142</v>
      </c>
      <c r="R303" s="92" t="s">
        <v>110</v>
      </c>
      <c r="S303" s="92"/>
      <c r="T303" s="92"/>
      <c r="U303" s="92"/>
      <c r="V303" s="92"/>
    </row>
    <row r="304" customFormat="false" ht="15" hidden="false" customHeight="false" outlineLevel="0" collapsed="false">
      <c r="A304" s="93" t="s">
        <v>111</v>
      </c>
      <c r="B304" s="94" t="s">
        <v>112</v>
      </c>
      <c r="C304" s="95"/>
      <c r="D304" s="95"/>
      <c r="E304" s="95"/>
      <c r="F304" s="95"/>
      <c r="H304" s="96" t="s">
        <v>796</v>
      </c>
      <c r="I304" s="97"/>
      <c r="J304" s="97"/>
      <c r="L304" s="98" t="s">
        <v>797</v>
      </c>
      <c r="M304" s="99"/>
      <c r="N304" s="99"/>
      <c r="R304" s="100" t="s">
        <v>798</v>
      </c>
    </row>
    <row r="305" customFormat="false" ht="15" hidden="false" customHeight="false" outlineLevel="0" collapsed="false">
      <c r="B305" s="81" t="s">
        <v>116</v>
      </c>
      <c r="C305" s="81" t="s">
        <v>117</v>
      </c>
      <c r="D305" s="81" t="s">
        <v>118</v>
      </c>
      <c r="E305" s="81" t="s">
        <v>119</v>
      </c>
      <c r="F305" s="81" t="s">
        <v>120</v>
      </c>
      <c r="H305" s="101" t="s">
        <v>116</v>
      </c>
      <c r="I305" s="101" t="s">
        <v>119</v>
      </c>
      <c r="J305" s="101" t="s">
        <v>120</v>
      </c>
      <c r="L305" s="102" t="s">
        <v>116</v>
      </c>
      <c r="M305" s="102" t="s">
        <v>119</v>
      </c>
      <c r="N305" s="102" t="s">
        <v>120</v>
      </c>
      <c r="R305" s="103" t="s">
        <v>765</v>
      </c>
    </row>
    <row r="306" customFormat="false" ht="15" hidden="false" customHeight="false" outlineLevel="0" collapsed="false">
      <c r="A306" s="104" t="s">
        <v>122</v>
      </c>
      <c r="B306" s="105" t="n">
        <v>5.5</v>
      </c>
      <c r="C306" s="106" t="n">
        <f aca="false">$N$303-$L$303+1</f>
        <v>30</v>
      </c>
      <c r="D306" s="107" t="n">
        <v>3.68919</v>
      </c>
      <c r="E306" s="108" t="n">
        <v>3.85</v>
      </c>
      <c r="F306" s="109" t="n">
        <f aca="false">ROUND(B306*E306,2)</f>
        <v>21.18</v>
      </c>
      <c r="H306" s="110" t="n">
        <v>5.5</v>
      </c>
      <c r="I306" s="111" t="n">
        <v>3.85</v>
      </c>
      <c r="J306" s="112" t="n">
        <f aca="false">ROUND(H306*I306,2)</f>
        <v>21.18</v>
      </c>
      <c r="L306" s="136"/>
      <c r="M306" s="136"/>
      <c r="N306" s="136"/>
      <c r="R306" s="116" t="s">
        <v>799</v>
      </c>
    </row>
    <row r="307" customFormat="false" ht="15" hidden="false" customHeight="false" outlineLevel="0" collapsed="false">
      <c r="A307" s="104" t="s">
        <v>124</v>
      </c>
      <c r="B307" s="105" t="n">
        <v>5.5</v>
      </c>
      <c r="C307" s="106" t="n">
        <f aca="false">$N$303-$L$303+1</f>
        <v>30</v>
      </c>
      <c r="D307" s="107" t="n">
        <v>1.31928</v>
      </c>
      <c r="E307" s="108" t="n">
        <v>1.33</v>
      </c>
      <c r="F307" s="109" t="n">
        <f aca="false">ROUND(B307*E307,2)</f>
        <v>7.32</v>
      </c>
      <c r="H307" s="110" t="n">
        <v>5.5</v>
      </c>
      <c r="I307" s="111" t="n">
        <v>1.33</v>
      </c>
      <c r="J307" s="112" t="n">
        <f aca="false">ROUND(H307*I307,2)</f>
        <v>7.32</v>
      </c>
      <c r="L307" s="136"/>
      <c r="M307" s="136"/>
      <c r="N307" s="136"/>
    </row>
    <row r="308" customFormat="false" ht="15" hidden="false" customHeight="false" outlineLevel="0" collapsed="false">
      <c r="A308" s="104" t="s">
        <v>615</v>
      </c>
      <c r="B308" s="105" t="n">
        <f aca="false">IF($P$308&lt;&gt;"",ROUND(AA308*(($AB$308/(1-$P$308))-28.49)/19.4386,2),IF('Resumen 2.0TD'!$D$3="OPTIMIZAR",AA308,AA308))</f>
        <v>20.389</v>
      </c>
      <c r="C308" s="118"/>
      <c r="D308" s="107" t="n">
        <v>0.111171</v>
      </c>
      <c r="E308" s="108" t="n">
        <v>0.13788</v>
      </c>
      <c r="F308" s="109" t="n">
        <f aca="false">ROUND(B308*E308,2)</f>
        <v>2.81</v>
      </c>
      <c r="H308" s="110" t="n">
        <v>28.824</v>
      </c>
      <c r="I308" s="111" t="n">
        <v>0.13788</v>
      </c>
      <c r="J308" s="112" t="n">
        <f aca="false">ROUND(H308*I308,2)</f>
        <v>3.97</v>
      </c>
      <c r="L308" s="136"/>
      <c r="M308" s="136"/>
      <c r="N308" s="136"/>
      <c r="O308" s="119" t="s">
        <v>616</v>
      </c>
      <c r="P308" s="79"/>
      <c r="AA308" s="0" t="n">
        <v>20.389</v>
      </c>
      <c r="AB308" s="0" t="n">
        <f aca="false">B306*D306+B307*D307+AA308*D308+AA309*D309+AA310*D310</f>
        <v>43.219694922</v>
      </c>
    </row>
    <row r="309" customFormat="false" ht="15" hidden="false" customHeight="false" outlineLevel="0" collapsed="false">
      <c r="A309" s="104" t="s">
        <v>618</v>
      </c>
      <c r="B309" s="105" t="n">
        <f aca="false">IF($P$308&lt;&gt;"",ROUND(AA309*(($AB$308/(1-$P$308))-28.49)/19.4386,2),IF('Resumen 2.0TD'!$D$3="OPTIMIZAR",AA309,AA309))</f>
        <v>20.816</v>
      </c>
      <c r="C309" s="118"/>
      <c r="D309" s="107" t="n">
        <v>0.111171</v>
      </c>
      <c r="E309" s="108" t="n">
        <v>0.13788</v>
      </c>
      <c r="F309" s="109" t="n">
        <f aca="false">ROUND(B309*E309,2)</f>
        <v>2.87</v>
      </c>
      <c r="H309" s="110" t="n">
        <v>27.849</v>
      </c>
      <c r="I309" s="111" t="n">
        <v>0.13788</v>
      </c>
      <c r="J309" s="112" t="n">
        <f aca="false">ROUND(H309*I309,2)</f>
        <v>3.84</v>
      </c>
      <c r="L309" s="136"/>
      <c r="M309" s="136"/>
      <c r="N309" s="136"/>
      <c r="O309" s="120" t="s">
        <v>619</v>
      </c>
      <c r="R309" s="117" t="s">
        <v>620</v>
      </c>
      <c r="AA309" s="0" t="n">
        <v>20.816</v>
      </c>
    </row>
    <row r="310" customFormat="false" ht="15" hidden="false" customHeight="false" outlineLevel="0" collapsed="false">
      <c r="A310" s="104" t="s">
        <v>621</v>
      </c>
      <c r="B310" s="105" t="n">
        <f aca="false">IF($P$308&lt;&gt;"",ROUND(AA310*(($AB$308/(1-$P$308))-28.49)/19.4386,2),IF('Resumen 2.0TD'!$D$3="OPTIMIZAR",AA310,AA310))</f>
        <v>99.777</v>
      </c>
      <c r="C310" s="118"/>
      <c r="D310" s="107" t="n">
        <v>0.111171</v>
      </c>
      <c r="E310" s="108" t="n">
        <v>0.13788</v>
      </c>
      <c r="F310" s="109" t="n">
        <f aca="false">ROUND(B310*E310,2)</f>
        <v>13.76</v>
      </c>
      <c r="H310" s="110" t="n">
        <v>76.409</v>
      </c>
      <c r="I310" s="111" t="n">
        <v>0.13788</v>
      </c>
      <c r="J310" s="112" t="n">
        <f aca="false">ROUND(H310*I310,2)</f>
        <v>10.54</v>
      </c>
      <c r="L310" s="136"/>
      <c r="M310" s="136"/>
      <c r="N310" s="136"/>
      <c r="O310" s="120" t="s">
        <v>622</v>
      </c>
      <c r="AA310" s="0" t="n">
        <v>99.777</v>
      </c>
    </row>
    <row r="311" customFormat="false" ht="15" hidden="false" customHeight="false" outlineLevel="0" collapsed="false">
      <c r="A311" s="104" t="s">
        <v>139</v>
      </c>
      <c r="B311" s="105" t="n">
        <v>1</v>
      </c>
      <c r="C311" s="106" t="n">
        <f aca="false">$N$303-$L$303+1</f>
        <v>30</v>
      </c>
      <c r="D311" s="107" t="n">
        <v>0.7989</v>
      </c>
      <c r="E311" s="108" t="n">
        <v>3</v>
      </c>
      <c r="F311" s="109" t="n">
        <f aca="false">ROUND(B311*E311,2)</f>
        <v>3</v>
      </c>
      <c r="H311" s="110" t="n">
        <v>1</v>
      </c>
      <c r="I311" s="111" t="n">
        <v>3</v>
      </c>
      <c r="J311" s="112" t="n">
        <f aca="false">ROUND(H311*I311,2)</f>
        <v>3</v>
      </c>
      <c r="L311" s="136"/>
      <c r="M311" s="136"/>
      <c r="N311" s="136"/>
    </row>
    <row r="312" customFormat="false" ht="15" hidden="false" customHeight="false" outlineLevel="0" collapsed="false">
      <c r="A312" s="104" t="s">
        <v>140</v>
      </c>
      <c r="B312" s="105" t="n">
        <v>30</v>
      </c>
      <c r="C312" s="106" t="n">
        <f aca="false">$N$303-$L$303+1</f>
        <v>30</v>
      </c>
      <c r="D312" s="107" t="n">
        <v>0.5736</v>
      </c>
      <c r="E312" s="108" t="n">
        <v>0.01274</v>
      </c>
      <c r="F312" s="109" t="n">
        <f aca="false">ROUND(B312*E312,2)</f>
        <v>0.38</v>
      </c>
      <c r="H312" s="110" t="n">
        <v>30</v>
      </c>
      <c r="I312" s="111" t="n">
        <v>0.01274</v>
      </c>
      <c r="J312" s="112" t="n">
        <f aca="false">ROUND(H312*I312,2)</f>
        <v>0.38</v>
      </c>
      <c r="L312" s="136"/>
      <c r="M312" s="136"/>
      <c r="N312" s="136"/>
    </row>
    <row r="313" customFormat="false" ht="15" hidden="false" customHeight="false" outlineLevel="0" collapsed="false">
      <c r="A313" s="104" t="s">
        <v>141</v>
      </c>
      <c r="B313" s="105" t="n">
        <v>2.46</v>
      </c>
      <c r="C313" s="118"/>
      <c r="D313" s="107" t="n">
        <v>0.02671</v>
      </c>
      <c r="E313" s="108" t="n">
        <v>1</v>
      </c>
      <c r="F313" s="109" t="n">
        <f aca="false">ROUND(B313*E313,2)</f>
        <v>2.46</v>
      </c>
      <c r="H313" s="110" t="n">
        <v>2.4</v>
      </c>
      <c r="I313" s="111" t="n">
        <v>1</v>
      </c>
      <c r="J313" s="112" t="n">
        <f aca="false">ROUND(H313*I313,2)</f>
        <v>2.4</v>
      </c>
      <c r="L313" s="136"/>
      <c r="M313" s="136"/>
      <c r="N313" s="136"/>
    </row>
    <row r="314" customFormat="false" ht="15" hidden="false" customHeight="false" outlineLevel="0" collapsed="false">
      <c r="A314" s="121" t="s">
        <v>142</v>
      </c>
      <c r="F314" s="122" t="n">
        <f aca="false">ROUND((SUM(F306:F313)-F313)*1.1+F313,2)</f>
        <v>58.91</v>
      </c>
      <c r="J314" s="123" t="n">
        <f aca="false">ROUND(SUM(J306:J313),2)</f>
        <v>52.63</v>
      </c>
      <c r="N314" s="137"/>
    </row>
    <row r="315" customFormat="false" ht="15" hidden="false" customHeight="false" outlineLevel="0" collapsed="false">
      <c r="A315" s="93" t="s">
        <v>143</v>
      </c>
      <c r="B315" s="125" t="n">
        <f aca="false">IF((F310+F309+F308+F306+F307)=0,"",((F310+F309+F308+F306+F307)-$AB$308)/(F310+F309+F308+F306+F307))</f>
        <v>0.0984627675844805</v>
      </c>
      <c r="D315" s="126" t="str">
        <f aca="false">IF(B315="","SIN PC",IF(B315&gt;=0.3,"APROBAR",IF(B315&gt;=0.2,"REVISAR","RECHAZAR")))</f>
        <v>RECHAZAR</v>
      </c>
      <c r="E315" s="126"/>
      <c r="F315" s="126"/>
      <c r="AD315" s="0" t="n">
        <f aca="false">SUM(F308:F310)-19.4386</f>
        <v>0.00139999999999674</v>
      </c>
    </row>
    <row r="317" customFormat="false" ht="15" hidden="false" customHeight="false" outlineLevel="0" collapsed="false">
      <c r="A317" s="89" t="s">
        <v>800</v>
      </c>
      <c r="B317" s="89"/>
      <c r="C317" s="89"/>
      <c r="D317" s="89"/>
      <c r="E317" s="89"/>
      <c r="F317" s="89"/>
      <c r="H317" s="89" t="s">
        <v>801</v>
      </c>
      <c r="I317" s="89"/>
      <c r="J317" s="89"/>
      <c r="K317" s="89"/>
      <c r="L317" s="90" t="n">
        <v>46113</v>
      </c>
      <c r="M317" s="91" t="s">
        <v>608</v>
      </c>
      <c r="N317" s="90" t="n">
        <v>46142</v>
      </c>
      <c r="R317" s="92" t="s">
        <v>110</v>
      </c>
      <c r="S317" s="92"/>
      <c r="T317" s="92"/>
      <c r="U317" s="92"/>
      <c r="V317" s="92"/>
    </row>
    <row r="318" customFormat="false" ht="15" hidden="false" customHeight="false" outlineLevel="0" collapsed="false">
      <c r="A318" s="93" t="s">
        <v>111</v>
      </c>
      <c r="B318" s="94" t="s">
        <v>112</v>
      </c>
      <c r="C318" s="95"/>
      <c r="D318" s="95"/>
      <c r="E318" s="95"/>
      <c r="F318" s="95"/>
      <c r="H318" s="96" t="s">
        <v>802</v>
      </c>
      <c r="I318" s="97"/>
      <c r="J318" s="97"/>
      <c r="L318" s="98" t="s">
        <v>803</v>
      </c>
      <c r="M318" s="99"/>
      <c r="N318" s="99"/>
      <c r="R318" s="100" t="s">
        <v>804</v>
      </c>
    </row>
    <row r="319" customFormat="false" ht="15" hidden="false" customHeight="false" outlineLevel="0" collapsed="false">
      <c r="B319" s="81" t="s">
        <v>116</v>
      </c>
      <c r="C319" s="81" t="s">
        <v>117</v>
      </c>
      <c r="D319" s="81" t="s">
        <v>118</v>
      </c>
      <c r="E319" s="81" t="s">
        <v>119</v>
      </c>
      <c r="F319" s="81" t="s">
        <v>120</v>
      </c>
      <c r="H319" s="101" t="s">
        <v>116</v>
      </c>
      <c r="I319" s="101" t="s">
        <v>119</v>
      </c>
      <c r="J319" s="101" t="s">
        <v>120</v>
      </c>
      <c r="L319" s="102" t="s">
        <v>116</v>
      </c>
      <c r="M319" s="102" t="s">
        <v>119</v>
      </c>
      <c r="N319" s="102" t="s">
        <v>120</v>
      </c>
      <c r="R319" s="103" t="s">
        <v>805</v>
      </c>
    </row>
    <row r="320" customFormat="false" ht="15" hidden="false" customHeight="false" outlineLevel="0" collapsed="false">
      <c r="A320" s="104" t="s">
        <v>122</v>
      </c>
      <c r="B320" s="105" t="n">
        <v>9.2</v>
      </c>
      <c r="C320" s="106" t="n">
        <f aca="false">$N$317-$L$317+1</f>
        <v>30</v>
      </c>
      <c r="D320" s="107" t="n">
        <v>3.4086</v>
      </c>
      <c r="E320" s="108" t="n">
        <v>3.85</v>
      </c>
      <c r="F320" s="109" t="n">
        <f aca="false">ROUND(B320*E320,2)</f>
        <v>35.42</v>
      </c>
      <c r="H320" s="110" t="n">
        <v>9.2</v>
      </c>
      <c r="I320" s="111" t="n">
        <v>3.85</v>
      </c>
      <c r="J320" s="112" t="n">
        <f aca="false">ROUND(H320*I320,2)</f>
        <v>35.42</v>
      </c>
      <c r="L320" s="113" t="n">
        <v>9.2</v>
      </c>
      <c r="M320" s="114" t="n">
        <v>3.85</v>
      </c>
      <c r="N320" s="115" t="n">
        <f aca="false">ROUND(L320*M320,2)</f>
        <v>35.42</v>
      </c>
      <c r="R320" s="116" t="s">
        <v>806</v>
      </c>
    </row>
    <row r="321" customFormat="false" ht="15" hidden="false" customHeight="false" outlineLevel="0" collapsed="false">
      <c r="A321" s="104" t="s">
        <v>124</v>
      </c>
      <c r="B321" s="105" t="n">
        <v>9.2</v>
      </c>
      <c r="C321" s="106" t="n">
        <f aca="false">$N$317-$L$317+1</f>
        <v>30</v>
      </c>
      <c r="D321" s="107" t="n">
        <v>1.09728</v>
      </c>
      <c r="E321" s="108" t="n">
        <v>1.33</v>
      </c>
      <c r="F321" s="109" t="n">
        <f aca="false">ROUND(B321*E321,2)</f>
        <v>12.24</v>
      </c>
      <c r="H321" s="110" t="n">
        <v>9.2</v>
      </c>
      <c r="I321" s="111" t="n">
        <v>1.33</v>
      </c>
      <c r="J321" s="112" t="n">
        <f aca="false">ROUND(H321*I321,2)</f>
        <v>12.24</v>
      </c>
      <c r="L321" s="113" t="n">
        <v>9.2</v>
      </c>
      <c r="M321" s="114" t="n">
        <v>1.33</v>
      </c>
      <c r="N321" s="115" t="n">
        <f aca="false">ROUND(L321*M321,2)</f>
        <v>12.24</v>
      </c>
      <c r="R321" s="117" t="s">
        <v>807</v>
      </c>
    </row>
    <row r="322" customFormat="false" ht="15" hidden="false" customHeight="false" outlineLevel="0" collapsed="false">
      <c r="A322" s="104" t="s">
        <v>615</v>
      </c>
      <c r="B322" s="105" t="n">
        <f aca="false">IF($P$322&lt;&gt;"",ROUND(AA322*(($AB$322/(1-$P$322))-47.656)/14.8091,2),IF('Resumen 2.0TD'!$D$3="OPTIMIZAR",ROUND(MAX(AA322,MIN(AA322*(($AB$322/(1-'Resumen 2.0TD'!$F$3))-47.656)/14.8091,AA322*(74.9318)/14.8091)),3),AA322))</f>
        <v>19.344</v>
      </c>
      <c r="C322" s="118"/>
      <c r="D322" s="107" t="n">
        <v>0.110306</v>
      </c>
      <c r="E322" s="108" t="n">
        <v>0.13788</v>
      </c>
      <c r="F322" s="109" t="n">
        <f aca="false">ROUND(B322*E322,2)</f>
        <v>2.67</v>
      </c>
      <c r="H322" s="110" t="n">
        <v>109.227</v>
      </c>
      <c r="I322" s="111" t="n">
        <v>0.13788</v>
      </c>
      <c r="J322" s="112" t="n">
        <f aca="false">ROUND(H322*I322,2)</f>
        <v>15.06</v>
      </c>
      <c r="L322" s="113" t="n">
        <v>24.778</v>
      </c>
      <c r="M322" s="114" t="n">
        <v>0.13788</v>
      </c>
      <c r="N322" s="115" t="n">
        <f aca="false">ROUND(L322*M322,2)</f>
        <v>3.42</v>
      </c>
      <c r="O322" s="119" t="s">
        <v>616</v>
      </c>
      <c r="P322" s="79"/>
      <c r="R322" s="117" t="s">
        <v>808</v>
      </c>
      <c r="AA322" s="0" t="n">
        <v>19.344</v>
      </c>
      <c r="AB322" s="0" t="n">
        <f aca="false">B320*D320+B321*D321+AA322*D322+AA323*D323+AA324*D324</f>
        <v>53.301622236</v>
      </c>
    </row>
    <row r="323" customFormat="false" ht="15" hidden="false" customHeight="false" outlineLevel="0" collapsed="false">
      <c r="A323" s="104" t="s">
        <v>618</v>
      </c>
      <c r="B323" s="105" t="n">
        <f aca="false">IF($P$322&lt;&gt;"",ROUND(AA323*(($AB$322/(1-$P$322))-47.656)/14.8091,2),IF('Resumen 2.0TD'!$D$3="OPTIMIZAR",ROUND(MAX(AA323,MIN(AA323*(($AB$322/(1-'Resumen 2.0TD'!$F$3))-47.656)/14.8091,AA323*(74.9318)/14.8091)),3),AA323))</f>
        <v>14.991</v>
      </c>
      <c r="C323" s="118"/>
      <c r="D323" s="107" t="n">
        <v>0.110306</v>
      </c>
      <c r="E323" s="108" t="n">
        <v>0.13788</v>
      </c>
      <c r="F323" s="109" t="n">
        <f aca="false">ROUND(B323*E323,2)</f>
        <v>2.07</v>
      </c>
      <c r="H323" s="110" t="n">
        <v>81.879</v>
      </c>
      <c r="I323" s="111" t="n">
        <v>0.13788</v>
      </c>
      <c r="J323" s="112" t="n">
        <f aca="false">ROUND(H323*I323,2)</f>
        <v>11.29</v>
      </c>
      <c r="L323" s="113" t="n">
        <v>21.157</v>
      </c>
      <c r="M323" s="114" t="n">
        <v>0.13788</v>
      </c>
      <c r="N323" s="115" t="n">
        <f aca="false">ROUND(L323*M323,2)</f>
        <v>2.92</v>
      </c>
      <c r="O323" s="120" t="s">
        <v>619</v>
      </c>
      <c r="R323" s="117" t="s">
        <v>620</v>
      </c>
      <c r="AA323" s="0" t="n">
        <v>14.991</v>
      </c>
    </row>
    <row r="324" customFormat="false" ht="15" hidden="false" customHeight="false" outlineLevel="0" collapsed="false">
      <c r="A324" s="104" t="s">
        <v>621</v>
      </c>
      <c r="B324" s="105" t="n">
        <f aca="false">IF($P$322&lt;&gt;"",ROUND(AA324*(($AB$322/(1-$P$322))-47.656)/14.8091,2),IF('Resumen 2.0TD'!$D$3="OPTIMIZAR",ROUND(MAX(AA324,MIN(AA324*(($AB$322/(1-'Resumen 2.0TD'!$F$3))-47.656)/14.8091,AA324*(74.9318)/14.8091)),3),AA324))</f>
        <v>73.071</v>
      </c>
      <c r="C324" s="118"/>
      <c r="D324" s="107" t="n">
        <v>0.110306</v>
      </c>
      <c r="E324" s="108" t="n">
        <v>0.13788</v>
      </c>
      <c r="F324" s="109" t="n">
        <f aca="false">ROUND(B324*E324,2)</f>
        <v>10.08</v>
      </c>
      <c r="H324" s="110" t="n">
        <v>173.798</v>
      </c>
      <c r="I324" s="111" t="n">
        <v>0.13788</v>
      </c>
      <c r="J324" s="112" t="n">
        <f aca="false">ROUND(H324*I324,2)</f>
        <v>23.96</v>
      </c>
      <c r="L324" s="113" t="n">
        <v>77.584</v>
      </c>
      <c r="M324" s="114" t="n">
        <v>0.13788</v>
      </c>
      <c r="N324" s="115" t="n">
        <f aca="false">ROUND(L324*M324,2)</f>
        <v>10.7</v>
      </c>
      <c r="O324" s="120" t="s">
        <v>622</v>
      </c>
      <c r="AA324" s="0" t="n">
        <v>73.071</v>
      </c>
    </row>
    <row r="325" customFormat="false" ht="15" hidden="false" customHeight="false" outlineLevel="0" collapsed="false">
      <c r="A325" s="104" t="s">
        <v>139</v>
      </c>
      <c r="B325" s="105" t="n">
        <v>1</v>
      </c>
      <c r="C325" s="106" t="n">
        <f aca="false">$N$317-$L$317+1</f>
        <v>30</v>
      </c>
      <c r="D325" s="107" t="n">
        <v>0.7989</v>
      </c>
      <c r="E325" s="108" t="n">
        <v>3</v>
      </c>
      <c r="F325" s="109" t="n">
        <f aca="false">ROUND(B325*E325,2)</f>
        <v>3</v>
      </c>
      <c r="H325" s="110" t="n">
        <v>1</v>
      </c>
      <c r="I325" s="111" t="n">
        <v>3</v>
      </c>
      <c r="J325" s="112" t="n">
        <f aca="false">ROUND(H325*I325,2)</f>
        <v>3</v>
      </c>
      <c r="L325" s="113" t="n">
        <v>1</v>
      </c>
      <c r="M325" s="114" t="n">
        <v>3</v>
      </c>
      <c r="N325" s="115" t="n">
        <f aca="false">ROUND(L325*M325,2)</f>
        <v>3</v>
      </c>
    </row>
    <row r="326" customFormat="false" ht="15" hidden="false" customHeight="false" outlineLevel="0" collapsed="false">
      <c r="A326" s="104" t="s">
        <v>140</v>
      </c>
      <c r="B326" s="105" t="n">
        <v>30</v>
      </c>
      <c r="C326" s="106" t="n">
        <f aca="false">$N$317-$L$317+1</f>
        <v>30</v>
      </c>
      <c r="D326" s="107" t="n">
        <v>0.5736</v>
      </c>
      <c r="E326" s="108" t="n">
        <v>0.01274</v>
      </c>
      <c r="F326" s="109" t="n">
        <f aca="false">ROUND(B326*E326,2)</f>
        <v>0.38</v>
      </c>
      <c r="H326" s="110" t="n">
        <v>30</v>
      </c>
      <c r="I326" s="111" t="n">
        <v>0.01274</v>
      </c>
      <c r="J326" s="112" t="n">
        <f aca="false">ROUND(H326*I326,2)</f>
        <v>0.38</v>
      </c>
      <c r="L326" s="113" t="n">
        <v>30</v>
      </c>
      <c r="M326" s="114" t="n">
        <v>0.00629</v>
      </c>
      <c r="N326" s="115" t="n">
        <f aca="false">ROUND(L326*M326,2)</f>
        <v>0.19</v>
      </c>
    </row>
    <row r="327" customFormat="false" ht="15" hidden="false" customHeight="false" outlineLevel="0" collapsed="false">
      <c r="A327" s="104" t="s">
        <v>141</v>
      </c>
      <c r="B327" s="105" t="n">
        <v>2.45</v>
      </c>
      <c r="C327" s="118"/>
      <c r="D327" s="107" t="n">
        <v>0.24729</v>
      </c>
      <c r="E327" s="108" t="n">
        <v>1</v>
      </c>
      <c r="F327" s="109" t="n">
        <f aca="false">ROUND(B327*E327,2)</f>
        <v>2.45</v>
      </c>
      <c r="H327" s="110" t="n">
        <v>4.04</v>
      </c>
      <c r="I327" s="111" t="n">
        <v>1</v>
      </c>
      <c r="J327" s="112" t="n">
        <f aca="false">ROUND(H327*I327,2)</f>
        <v>4.04</v>
      </c>
      <c r="L327" s="113" t="n">
        <v>2.45</v>
      </c>
      <c r="M327" s="114" t="n">
        <v>1</v>
      </c>
      <c r="N327" s="115" t="n">
        <f aca="false">ROUND(L327*M327,2)</f>
        <v>2.45</v>
      </c>
    </row>
    <row r="328" customFormat="false" ht="15" hidden="false" customHeight="false" outlineLevel="0" collapsed="false">
      <c r="A328" s="121" t="s">
        <v>142</v>
      </c>
      <c r="F328" s="122" t="n">
        <f aca="false">ROUND((SUM(F320:F327)-F327)*1.1+F327,2)</f>
        <v>74.9</v>
      </c>
      <c r="J328" s="123" t="n">
        <f aca="false">ROUND(SUM(J320:J327),2)</f>
        <v>105.39</v>
      </c>
      <c r="N328" s="124" t="n">
        <f aca="false">ROUND(SUM(N320:N327),2)</f>
        <v>70.34</v>
      </c>
    </row>
    <row r="329" customFormat="false" ht="15" hidden="false" customHeight="false" outlineLevel="0" collapsed="false">
      <c r="A329" s="93" t="s">
        <v>143</v>
      </c>
      <c r="B329" s="125" t="n">
        <f aca="false">IF((F324+F323+F322+F320+F321)=0,"",((F324+F323+F322+F320+F321)-$AB$322)/(F324+F323+F322+F320+F321))</f>
        <v>0.14690105256082</v>
      </c>
      <c r="D329" s="126" t="str">
        <f aca="false">IF(B329="","SIN PC",IF(B329&gt;=0.3,"APROBAR",IF(B329&gt;=0.2,"REVISAR","RECHAZAR")))</f>
        <v>RECHAZAR</v>
      </c>
      <c r="E329" s="126"/>
      <c r="F329" s="126"/>
      <c r="AD329" s="0" t="n">
        <f aca="false">SUM(F322:F324)-14.8091</f>
        <v>0.0108999999999995</v>
      </c>
    </row>
    <row r="330" customFormat="false" ht="15" hidden="false" customHeight="false" outlineLevel="0" collapsed="false">
      <c r="A330" s="127" t="s">
        <v>744</v>
      </c>
      <c r="B330" s="127"/>
      <c r="C330" s="127"/>
      <c r="D330" s="127"/>
      <c r="E330" s="127"/>
      <c r="F330" s="127"/>
    </row>
    <row r="331" customFormat="false" ht="15" hidden="false" customHeight="false" outlineLevel="0" collapsed="false">
      <c r="A331" s="128" t="s">
        <v>111</v>
      </c>
      <c r="B331" s="128" t="s">
        <v>745</v>
      </c>
      <c r="D331" s="128" t="s">
        <v>746</v>
      </c>
      <c r="E331" s="128" t="s">
        <v>747</v>
      </c>
      <c r="F331" s="128" t="s">
        <v>120</v>
      </c>
    </row>
    <row r="332" customFormat="false" ht="15" hidden="false" customHeight="false" outlineLevel="0" collapsed="false">
      <c r="A332" s="129" t="s">
        <v>748</v>
      </c>
      <c r="B332" s="130" t="n">
        <v>554</v>
      </c>
      <c r="C332" s="131"/>
      <c r="D332" s="107" t="n">
        <v>0.06</v>
      </c>
      <c r="E332" s="131"/>
      <c r="F332" s="132" t="n">
        <f aca="false">ROUND(B332*D332,2)</f>
        <v>33.24</v>
      </c>
    </row>
    <row r="333" customFormat="false" ht="15" hidden="false" customHeight="false" outlineLevel="0" collapsed="false">
      <c r="A333" s="129" t="s">
        <v>749</v>
      </c>
      <c r="B333" s="131"/>
      <c r="C333" s="131"/>
      <c r="D333" s="131"/>
      <c r="E333" s="133" t="n">
        <v>0.06</v>
      </c>
      <c r="F333" s="132" t="n">
        <v>14.82</v>
      </c>
    </row>
    <row r="334" customFormat="false" ht="15" hidden="false" customHeight="false" outlineLevel="0" collapsed="false">
      <c r="A334" s="134" t="s">
        <v>750</v>
      </c>
      <c r="B334" s="131"/>
      <c r="C334" s="131"/>
      <c r="D334" s="131"/>
      <c r="E334" s="131"/>
      <c r="F334" s="135" t="n">
        <f aca="false">F332-F333</f>
        <v>18.42</v>
      </c>
    </row>
    <row r="336" customFormat="false" ht="15" hidden="false" customHeight="false" outlineLevel="0" collapsed="false">
      <c r="A336" s="89" t="s">
        <v>809</v>
      </c>
      <c r="B336" s="89"/>
      <c r="C336" s="89"/>
      <c r="D336" s="89"/>
      <c r="E336" s="89"/>
      <c r="F336" s="89"/>
      <c r="H336" s="89" t="s">
        <v>810</v>
      </c>
      <c r="I336" s="89"/>
      <c r="J336" s="89"/>
      <c r="K336" s="89"/>
      <c r="L336" s="90" t="n">
        <v>46113</v>
      </c>
      <c r="M336" s="91" t="s">
        <v>608</v>
      </c>
      <c r="N336" s="90" t="n">
        <v>46142</v>
      </c>
      <c r="R336" s="92" t="s">
        <v>110</v>
      </c>
      <c r="S336" s="92"/>
      <c r="T336" s="92"/>
      <c r="U336" s="92"/>
      <c r="V336" s="92"/>
    </row>
    <row r="337" customFormat="false" ht="15" hidden="false" customHeight="false" outlineLevel="0" collapsed="false">
      <c r="A337" s="93" t="s">
        <v>111</v>
      </c>
      <c r="B337" s="94" t="s">
        <v>112</v>
      </c>
      <c r="C337" s="95"/>
      <c r="D337" s="95"/>
      <c r="E337" s="95"/>
      <c r="F337" s="95"/>
      <c r="H337" s="96" t="s">
        <v>811</v>
      </c>
      <c r="I337" s="97"/>
      <c r="J337" s="97"/>
      <c r="L337" s="98" t="s">
        <v>812</v>
      </c>
      <c r="M337" s="99"/>
      <c r="N337" s="99"/>
      <c r="R337" s="100" t="s">
        <v>813</v>
      </c>
    </row>
    <row r="338" customFormat="false" ht="15" hidden="false" customHeight="false" outlineLevel="0" collapsed="false">
      <c r="B338" s="81" t="s">
        <v>116</v>
      </c>
      <c r="C338" s="81" t="s">
        <v>117</v>
      </c>
      <c r="D338" s="81" t="s">
        <v>118</v>
      </c>
      <c r="E338" s="81" t="s">
        <v>119</v>
      </c>
      <c r="F338" s="81" t="s">
        <v>120</v>
      </c>
      <c r="H338" s="101" t="s">
        <v>116</v>
      </c>
      <c r="I338" s="101" t="s">
        <v>119</v>
      </c>
      <c r="J338" s="101" t="s">
        <v>120</v>
      </c>
      <c r="L338" s="102" t="s">
        <v>116</v>
      </c>
      <c r="M338" s="102" t="s">
        <v>119</v>
      </c>
      <c r="N338" s="102" t="s">
        <v>120</v>
      </c>
      <c r="R338" s="103" t="s">
        <v>814</v>
      </c>
    </row>
    <row r="339" customFormat="false" ht="15" hidden="false" customHeight="false" outlineLevel="0" collapsed="false">
      <c r="A339" s="104" t="s">
        <v>122</v>
      </c>
      <c r="B339" s="105" t="n">
        <v>4.9</v>
      </c>
      <c r="C339" s="106" t="n">
        <f aca="false">$N$336-$L$336+1</f>
        <v>30</v>
      </c>
      <c r="D339" s="107" t="n">
        <v>3.4086</v>
      </c>
      <c r="E339" s="108" t="n">
        <v>3.85</v>
      </c>
      <c r="F339" s="109" t="n">
        <f aca="false">ROUND(B339*E339,2)</f>
        <v>18.87</v>
      </c>
      <c r="H339" s="110" t="n">
        <v>4.9</v>
      </c>
      <c r="I339" s="111" t="n">
        <v>3.85</v>
      </c>
      <c r="J339" s="112" t="n">
        <f aca="false">ROUND(H339*I339,2)</f>
        <v>18.87</v>
      </c>
      <c r="L339" s="113" t="n">
        <v>4.9</v>
      </c>
      <c r="M339" s="114" t="n">
        <v>3.85</v>
      </c>
      <c r="N339" s="115" t="n">
        <f aca="false">ROUND(L339*M339,2)</f>
        <v>18.87</v>
      </c>
      <c r="R339" s="116" t="s">
        <v>815</v>
      </c>
    </row>
    <row r="340" customFormat="false" ht="15" hidden="false" customHeight="false" outlineLevel="0" collapsed="false">
      <c r="A340" s="104" t="s">
        <v>124</v>
      </c>
      <c r="B340" s="105" t="n">
        <v>4.9</v>
      </c>
      <c r="C340" s="106" t="n">
        <f aca="false">$N$336-$L$336+1</f>
        <v>30</v>
      </c>
      <c r="D340" s="107" t="n">
        <v>1.09728</v>
      </c>
      <c r="E340" s="108" t="n">
        <v>1.33</v>
      </c>
      <c r="F340" s="109" t="n">
        <f aca="false">ROUND(B340*E340,2)</f>
        <v>6.52</v>
      </c>
      <c r="H340" s="110" t="n">
        <v>4.9</v>
      </c>
      <c r="I340" s="111" t="n">
        <v>1.33</v>
      </c>
      <c r="J340" s="112" t="n">
        <f aca="false">ROUND(H340*I340,2)</f>
        <v>6.52</v>
      </c>
      <c r="L340" s="113" t="n">
        <v>4.9</v>
      </c>
      <c r="M340" s="114" t="n">
        <v>1.33</v>
      </c>
      <c r="N340" s="115" t="n">
        <f aca="false">ROUND(L340*M340,2)</f>
        <v>6.52</v>
      </c>
      <c r="R340" s="117" t="s">
        <v>816</v>
      </c>
    </row>
    <row r="341" customFormat="false" ht="15" hidden="false" customHeight="false" outlineLevel="0" collapsed="false">
      <c r="A341" s="104" t="s">
        <v>615</v>
      </c>
      <c r="B341" s="105" t="n">
        <f aca="false">IF($P$341&lt;&gt;"",ROUND(AA341*(($AB$341/(1-$P$341))-25.382)/1.3591,2),IF('Resumen 2.0TD'!$D$3="OPTIMIZAR",ROUND(MAX(AA341,MIN(AA341*(($AB$341/(1-'Resumen 2.0TD'!$F$3))-25.382)/1.3591,AA341*(37.4458)/1.3591)),3),AA341))</f>
        <v>3.601</v>
      </c>
      <c r="C341" s="118"/>
      <c r="D341" s="107" t="n">
        <v>0.110306</v>
      </c>
      <c r="E341" s="108" t="n">
        <v>0.13788</v>
      </c>
      <c r="F341" s="109" t="n">
        <f aca="false">ROUND(B341*E341,2)</f>
        <v>0.5</v>
      </c>
      <c r="H341" s="110" t="n">
        <v>0.796</v>
      </c>
      <c r="I341" s="111" t="n">
        <v>0.13788</v>
      </c>
      <c r="J341" s="112" t="n">
        <f aca="false">ROUND(H341*I341,2)</f>
        <v>0.11</v>
      </c>
      <c r="L341" s="113" t="n">
        <v>1.331</v>
      </c>
      <c r="M341" s="114" t="n">
        <v>0.13788</v>
      </c>
      <c r="N341" s="115" t="n">
        <f aca="false">ROUND(L341*M341,2)</f>
        <v>0.18</v>
      </c>
      <c r="O341" s="119" t="s">
        <v>616</v>
      </c>
      <c r="P341" s="79"/>
      <c r="R341" s="117" t="s">
        <v>817</v>
      </c>
      <c r="AA341" s="0" t="n">
        <v>3.601</v>
      </c>
      <c r="AB341" s="0" t="n">
        <f aca="false">B339*D339+B340*D340+AA341*D341+AA342*D342+AA343*D343</f>
        <v>23.166098242</v>
      </c>
    </row>
    <row r="342" customFormat="false" ht="15" hidden="false" customHeight="false" outlineLevel="0" collapsed="false">
      <c r="A342" s="104" t="s">
        <v>618</v>
      </c>
      <c r="B342" s="105" t="n">
        <f aca="false">IF($P$341&lt;&gt;"",ROUND(AA342*(($AB$341/(1-$P$341))-25.382)/1.3591,2),IF('Resumen 2.0TD'!$D$3="OPTIMIZAR",ROUND(MAX(AA342,MIN(AA342*(($AB$341/(1-'Resumen 2.0TD'!$F$3))-25.382)/1.3591,AA342*(37.4458)/1.3591)),3),AA342))</f>
        <v>2.119</v>
      </c>
      <c r="C342" s="118"/>
      <c r="D342" s="107" t="n">
        <v>0.110306</v>
      </c>
      <c r="E342" s="108" t="n">
        <v>0.13788</v>
      </c>
      <c r="F342" s="109" t="n">
        <f aca="false">ROUND(B342*E342,2)</f>
        <v>0.29</v>
      </c>
      <c r="H342" s="110" t="n">
        <v>0.617</v>
      </c>
      <c r="I342" s="111" t="n">
        <v>0.13788</v>
      </c>
      <c r="J342" s="112" t="n">
        <f aca="false">ROUND(H342*I342,2)</f>
        <v>0.09</v>
      </c>
      <c r="L342" s="113" t="n">
        <v>1.534</v>
      </c>
      <c r="M342" s="114" t="n">
        <v>0.13788</v>
      </c>
      <c r="N342" s="115" t="n">
        <f aca="false">ROUND(L342*M342,2)</f>
        <v>0.21</v>
      </c>
      <c r="O342" s="120" t="s">
        <v>619</v>
      </c>
      <c r="R342" s="117" t="s">
        <v>620</v>
      </c>
      <c r="AA342" s="0" t="n">
        <v>2.119</v>
      </c>
    </row>
    <row r="343" customFormat="false" ht="15" hidden="false" customHeight="false" outlineLevel="0" collapsed="false">
      <c r="A343" s="104" t="s">
        <v>621</v>
      </c>
      <c r="B343" s="105" t="n">
        <f aca="false">IF($P$341&lt;&gt;"",ROUND(AA343*(($AB$341/(1-$P$341))-25.382)/1.3591,2),IF('Resumen 2.0TD'!$D$3="OPTIMIZAR",ROUND(MAX(AA343,MIN(AA343*(($AB$341/(1-'Resumen 2.0TD'!$F$3))-25.382)/1.3591,AA343*(37.4458)/1.3591)),3),AA343))</f>
        <v>4.137</v>
      </c>
      <c r="C343" s="118"/>
      <c r="D343" s="107" t="n">
        <v>0.110306</v>
      </c>
      <c r="E343" s="108" t="n">
        <v>0.13788</v>
      </c>
      <c r="F343" s="109" t="n">
        <f aca="false">ROUND(B343*E343,2)</f>
        <v>0.57</v>
      </c>
      <c r="H343" s="110" t="n">
        <v>5.036</v>
      </c>
      <c r="I343" s="111" t="n">
        <v>0.13788</v>
      </c>
      <c r="J343" s="112" t="n">
        <f aca="false">ROUND(H343*I343,2)</f>
        <v>0.69</v>
      </c>
      <c r="L343" s="113" t="n">
        <v>12.479</v>
      </c>
      <c r="M343" s="114" t="n">
        <v>0.13788</v>
      </c>
      <c r="N343" s="115" t="n">
        <f aca="false">ROUND(L343*M343,2)</f>
        <v>1.72</v>
      </c>
      <c r="O343" s="120" t="s">
        <v>622</v>
      </c>
      <c r="AA343" s="0" t="n">
        <v>4.137</v>
      </c>
    </row>
    <row r="344" customFormat="false" ht="15" hidden="false" customHeight="false" outlineLevel="0" collapsed="false">
      <c r="A344" s="104" t="s">
        <v>139</v>
      </c>
      <c r="B344" s="105" t="n">
        <v>1</v>
      </c>
      <c r="C344" s="106" t="n">
        <f aca="false">$N$336-$L$336+1</f>
        <v>30</v>
      </c>
      <c r="D344" s="107" t="n">
        <v>1.3414</v>
      </c>
      <c r="E344" s="108" t="n">
        <v>3</v>
      </c>
      <c r="F344" s="109" t="n">
        <f aca="false">ROUND(B344*E344,2)</f>
        <v>3</v>
      </c>
      <c r="H344" s="110" t="n">
        <v>1</v>
      </c>
      <c r="I344" s="111" t="n">
        <v>3</v>
      </c>
      <c r="J344" s="112" t="n">
        <f aca="false">ROUND(H344*I344,2)</f>
        <v>3</v>
      </c>
      <c r="L344" s="113" t="n">
        <v>1</v>
      </c>
      <c r="M344" s="114" t="n">
        <v>3</v>
      </c>
      <c r="N344" s="115" t="n">
        <f aca="false">ROUND(L344*M344,2)</f>
        <v>3</v>
      </c>
    </row>
    <row r="345" customFormat="false" ht="15" hidden="false" customHeight="false" outlineLevel="0" collapsed="false">
      <c r="A345" s="104" t="s">
        <v>140</v>
      </c>
      <c r="B345" s="105" t="n">
        <v>30</v>
      </c>
      <c r="C345" s="106" t="n">
        <f aca="false">$N$336-$L$336+1</f>
        <v>30</v>
      </c>
      <c r="D345" s="107" t="n">
        <v>0.5736</v>
      </c>
      <c r="E345" s="108" t="n">
        <v>0.01274</v>
      </c>
      <c r="F345" s="109" t="n">
        <f aca="false">ROUND(B345*E345,2)</f>
        <v>0.38</v>
      </c>
      <c r="H345" s="110" t="n">
        <v>30</v>
      </c>
      <c r="I345" s="111" t="n">
        <v>0.01912</v>
      </c>
      <c r="J345" s="112" t="n">
        <f aca="false">ROUND(H345*I345,2)</f>
        <v>0.57</v>
      </c>
      <c r="L345" s="113" t="n">
        <v>30</v>
      </c>
      <c r="M345" s="114" t="n">
        <v>0.00629</v>
      </c>
      <c r="N345" s="115" t="n">
        <f aca="false">ROUND(L345*M345,2)</f>
        <v>0.19</v>
      </c>
    </row>
    <row r="346" customFormat="false" ht="15" hidden="false" customHeight="false" outlineLevel="0" collapsed="false">
      <c r="A346" s="104" t="s">
        <v>141</v>
      </c>
      <c r="B346" s="105" t="n">
        <v>1.31</v>
      </c>
      <c r="C346" s="118"/>
      <c r="D346" s="107" t="n">
        <v>0.24729</v>
      </c>
      <c r="E346" s="108" t="n">
        <v>1</v>
      </c>
      <c r="F346" s="109" t="n">
        <f aca="false">ROUND(B346*E346,2)</f>
        <v>1.31</v>
      </c>
      <c r="H346" s="110" t="n">
        <v>1.31</v>
      </c>
      <c r="I346" s="111" t="n">
        <v>1</v>
      </c>
      <c r="J346" s="112" t="n">
        <f aca="false">ROUND(H346*I346,2)</f>
        <v>1.31</v>
      </c>
      <c r="L346" s="113" t="n">
        <v>1.31</v>
      </c>
      <c r="M346" s="114" t="n">
        <v>1</v>
      </c>
      <c r="N346" s="115" t="n">
        <f aca="false">ROUND(L346*M346,2)</f>
        <v>1.31</v>
      </c>
    </row>
    <row r="347" customFormat="false" ht="15" hidden="false" customHeight="false" outlineLevel="0" collapsed="false">
      <c r="A347" s="121" t="s">
        <v>142</v>
      </c>
      <c r="F347" s="122" t="n">
        <f aca="false">ROUND((SUM(F339:F346)-F346)*1.1+F346,2)</f>
        <v>34.45</v>
      </c>
      <c r="J347" s="123" t="n">
        <f aca="false">ROUND(SUM(J339:J346),2)</f>
        <v>31.16</v>
      </c>
      <c r="N347" s="124" t="n">
        <f aca="false">ROUND(SUM(N339:N346),2)</f>
        <v>32</v>
      </c>
    </row>
    <row r="348" customFormat="false" ht="15" hidden="false" customHeight="false" outlineLevel="0" collapsed="false">
      <c r="A348" s="93" t="s">
        <v>143</v>
      </c>
      <c r="B348" s="125" t="n">
        <f aca="false">IF((F343+F342+F341+F339+F340)=0,"",((F343+F342+F341+F339+F340)-$AB$341)/(F343+F342+F341+F339+F340))</f>
        <v>0.133977635813084</v>
      </c>
      <c r="D348" s="126" t="str">
        <f aca="false">IF(B348="","SIN PC",IF(B348&gt;=0.3,"APROBAR",IF(B348&gt;=0.2,"REVISAR","RECHAZAR")))</f>
        <v>RECHAZAR</v>
      </c>
      <c r="E348" s="126"/>
      <c r="F348" s="126"/>
      <c r="AD348" s="0" t="n">
        <f aca="false">SUM(F341:F343)-1.3591</f>
        <v>0.000899999999999901</v>
      </c>
    </row>
    <row r="349" customFormat="false" ht="15" hidden="false" customHeight="false" outlineLevel="0" collapsed="false">
      <c r="A349" s="127" t="s">
        <v>744</v>
      </c>
      <c r="B349" s="127"/>
      <c r="C349" s="127"/>
      <c r="D349" s="127"/>
      <c r="E349" s="127"/>
      <c r="F349" s="127"/>
    </row>
    <row r="350" customFormat="false" ht="15" hidden="false" customHeight="false" outlineLevel="0" collapsed="false">
      <c r="A350" s="128" t="s">
        <v>111</v>
      </c>
      <c r="B350" s="128" t="s">
        <v>745</v>
      </c>
      <c r="D350" s="128" t="s">
        <v>746</v>
      </c>
      <c r="E350" s="128" t="s">
        <v>747</v>
      </c>
      <c r="F350" s="128" t="s">
        <v>120</v>
      </c>
    </row>
    <row r="351" customFormat="false" ht="15" hidden="false" customHeight="false" outlineLevel="0" collapsed="false">
      <c r="A351" s="129" t="s">
        <v>748</v>
      </c>
      <c r="B351" s="130" t="n">
        <v>193</v>
      </c>
      <c r="C351" s="131"/>
      <c r="D351" s="107" t="n">
        <v>0.06</v>
      </c>
      <c r="E351" s="131"/>
      <c r="F351" s="132" t="n">
        <f aca="false">ROUND(B351*D351,2)</f>
        <v>11.58</v>
      </c>
    </row>
    <row r="352" customFormat="false" ht="15" hidden="false" customHeight="false" outlineLevel="0" collapsed="false">
      <c r="A352" s="129" t="s">
        <v>749</v>
      </c>
      <c r="B352" s="131"/>
      <c r="C352" s="131"/>
      <c r="D352" s="131"/>
      <c r="E352" s="133" t="n">
        <v>0.1</v>
      </c>
      <c r="F352" s="132" t="n">
        <v>1.36</v>
      </c>
    </row>
    <row r="353" customFormat="false" ht="15" hidden="false" customHeight="false" outlineLevel="0" collapsed="false">
      <c r="A353" s="134" t="s">
        <v>750</v>
      </c>
      <c r="B353" s="131"/>
      <c r="C353" s="131"/>
      <c r="D353" s="131"/>
      <c r="E353" s="131"/>
      <c r="F353" s="135" t="n">
        <f aca="false">F351-F352</f>
        <v>10.22</v>
      </c>
    </row>
    <row r="355" customFormat="false" ht="15" hidden="false" customHeight="false" outlineLevel="0" collapsed="false">
      <c r="A355" s="89" t="s">
        <v>818</v>
      </c>
      <c r="B355" s="89"/>
      <c r="C355" s="89"/>
      <c r="D355" s="89"/>
      <c r="E355" s="89"/>
      <c r="F355" s="89"/>
      <c r="H355" s="89" t="s">
        <v>819</v>
      </c>
      <c r="I355" s="89"/>
      <c r="J355" s="89"/>
      <c r="K355" s="89"/>
      <c r="L355" s="90" t="n">
        <v>46113</v>
      </c>
      <c r="M355" s="91" t="s">
        <v>608</v>
      </c>
      <c r="N355" s="90" t="n">
        <v>46142</v>
      </c>
      <c r="R355" s="92" t="s">
        <v>110</v>
      </c>
      <c r="S355" s="92"/>
      <c r="T355" s="92"/>
      <c r="U355" s="92"/>
      <c r="V355" s="92"/>
    </row>
    <row r="356" customFormat="false" ht="15" hidden="false" customHeight="false" outlineLevel="0" collapsed="false">
      <c r="A356" s="93" t="s">
        <v>111</v>
      </c>
      <c r="B356" s="94" t="s">
        <v>112</v>
      </c>
      <c r="C356" s="95"/>
      <c r="D356" s="95"/>
      <c r="E356" s="95"/>
      <c r="F356" s="95"/>
      <c r="H356" s="96" t="s">
        <v>820</v>
      </c>
      <c r="I356" s="97"/>
      <c r="J356" s="97"/>
      <c r="L356" s="98" t="s">
        <v>821</v>
      </c>
      <c r="M356" s="99"/>
      <c r="N356" s="99"/>
      <c r="R356" s="100" t="s">
        <v>822</v>
      </c>
    </row>
    <row r="357" customFormat="false" ht="15" hidden="false" customHeight="false" outlineLevel="0" collapsed="false">
      <c r="B357" s="81" t="s">
        <v>116</v>
      </c>
      <c r="C357" s="81" t="s">
        <v>117</v>
      </c>
      <c r="D357" s="81" t="s">
        <v>118</v>
      </c>
      <c r="E357" s="81" t="s">
        <v>119</v>
      </c>
      <c r="F357" s="81" t="s">
        <v>120</v>
      </c>
      <c r="H357" s="101" t="s">
        <v>116</v>
      </c>
      <c r="I357" s="101" t="s">
        <v>119</v>
      </c>
      <c r="J357" s="101" t="s">
        <v>120</v>
      </c>
      <c r="L357" s="102" t="s">
        <v>116</v>
      </c>
      <c r="M357" s="102" t="s">
        <v>119</v>
      </c>
      <c r="N357" s="102" t="s">
        <v>120</v>
      </c>
      <c r="R357" s="103" t="s">
        <v>823</v>
      </c>
    </row>
    <row r="358" customFormat="false" ht="15" hidden="false" customHeight="false" outlineLevel="0" collapsed="false">
      <c r="A358" s="104" t="s">
        <v>122</v>
      </c>
      <c r="B358" s="105" t="n">
        <v>6.93</v>
      </c>
      <c r="C358" s="106" t="n">
        <f aca="false">$N$355-$L$355+1</f>
        <v>30</v>
      </c>
      <c r="D358" s="107" t="n">
        <v>3.4086</v>
      </c>
      <c r="E358" s="108" t="n">
        <v>4.17</v>
      </c>
      <c r="F358" s="109" t="n">
        <f aca="false">ROUND(B358*E358,2)</f>
        <v>28.9</v>
      </c>
      <c r="H358" s="110" t="n">
        <v>6.93</v>
      </c>
      <c r="I358" s="111" t="n">
        <v>4.17</v>
      </c>
      <c r="J358" s="112" t="n">
        <f aca="false">ROUND(H358*I358,2)</f>
        <v>28.9</v>
      </c>
      <c r="L358" s="113" t="n">
        <v>6.93</v>
      </c>
      <c r="M358" s="114" t="n">
        <v>4.17</v>
      </c>
      <c r="N358" s="115" t="n">
        <f aca="false">ROUND(L358*M358,2)</f>
        <v>28.9</v>
      </c>
      <c r="R358" s="116" t="s">
        <v>824</v>
      </c>
    </row>
    <row r="359" customFormat="false" ht="15" hidden="false" customHeight="false" outlineLevel="0" collapsed="false">
      <c r="A359" s="104" t="s">
        <v>124</v>
      </c>
      <c r="B359" s="105" t="n">
        <v>6.93</v>
      </c>
      <c r="C359" s="106" t="n">
        <f aca="false">$N$355-$L$355+1</f>
        <v>30</v>
      </c>
      <c r="D359" s="107" t="n">
        <v>1.09728</v>
      </c>
      <c r="E359" s="108" t="n">
        <v>1.37</v>
      </c>
      <c r="F359" s="109" t="n">
        <f aca="false">ROUND(B359*E359,2)</f>
        <v>9.49</v>
      </c>
      <c r="H359" s="110" t="n">
        <v>6.93</v>
      </c>
      <c r="I359" s="111" t="n">
        <v>1.37</v>
      </c>
      <c r="J359" s="112" t="n">
        <f aca="false">ROUND(H359*I359,2)</f>
        <v>9.49</v>
      </c>
      <c r="L359" s="113" t="n">
        <v>6.93</v>
      </c>
      <c r="M359" s="114" t="n">
        <v>1.37</v>
      </c>
      <c r="N359" s="115" t="n">
        <f aca="false">ROUND(L359*M359,2)</f>
        <v>9.49</v>
      </c>
      <c r="R359" s="117" t="s">
        <v>825</v>
      </c>
    </row>
    <row r="360" customFormat="false" ht="15" hidden="false" customHeight="false" outlineLevel="0" collapsed="false">
      <c r="A360" s="104" t="s">
        <v>615</v>
      </c>
      <c r="B360" s="105" t="n">
        <f aca="false">IF($P$360&lt;&gt;"",ROUND(AA360*(($AB$360/(1-$P$360))-38.3922)/46.6496,2),IF('Resumen 2.0TD'!$D$3="OPTIMIZAR",ROUND(MAX(AA360,MIN(AA360*(($AB$360/(1-'Resumen 2.0TD'!$F$3))-38.3922)/46.6496,AA360*(155.7556)/46.6496)),3),AA360))</f>
        <v>65.059</v>
      </c>
      <c r="C360" s="118"/>
      <c r="D360" s="107" t="n">
        <v>0.110306</v>
      </c>
      <c r="E360" s="108" t="n">
        <v>0.14937</v>
      </c>
      <c r="F360" s="109" t="n">
        <f aca="false">ROUND(B360*E360,2)</f>
        <v>9.72</v>
      </c>
      <c r="H360" s="110" t="n">
        <v>151.137</v>
      </c>
      <c r="I360" s="111" t="n">
        <v>0.14937</v>
      </c>
      <c r="J360" s="112" t="n">
        <f aca="false">ROUND(H360*I360,2)</f>
        <v>22.58</v>
      </c>
      <c r="L360" s="113" t="n">
        <v>27.198</v>
      </c>
      <c r="M360" s="114" t="n">
        <v>0.14937</v>
      </c>
      <c r="N360" s="115" t="n">
        <f aca="false">ROUND(L360*M360,2)</f>
        <v>4.06</v>
      </c>
      <c r="O360" s="119" t="s">
        <v>616</v>
      </c>
      <c r="P360" s="79"/>
      <c r="R360" s="117" t="s">
        <v>826</v>
      </c>
      <c r="AA360" s="0" t="n">
        <v>65.059</v>
      </c>
      <c r="AB360" s="0" t="n">
        <f aca="false">B358*D358+B359*D359+AA360*D360+AA361*D361+AA362*D362</f>
        <v>65.675304954</v>
      </c>
    </row>
    <row r="361" customFormat="false" ht="15" hidden="false" customHeight="false" outlineLevel="0" collapsed="false">
      <c r="A361" s="104" t="s">
        <v>618</v>
      </c>
      <c r="B361" s="105" t="n">
        <f aca="false">IF($P$360&lt;&gt;"",ROUND(AA361*(($AB$360/(1-$P$360))-38.3922)/46.6496,2),IF('Resumen 2.0TD'!$D$3="OPTIMIZAR",ROUND(MAX(AA361,MIN(AA361*(($AB$360/(1-'Resumen 2.0TD'!$F$3))-38.3922)/46.6496,AA361*(155.7556)/46.6496)),3),AA361))</f>
        <v>41.968</v>
      </c>
      <c r="C361" s="118"/>
      <c r="D361" s="107" t="n">
        <v>0.110306</v>
      </c>
      <c r="E361" s="108" t="n">
        <v>0.14937</v>
      </c>
      <c r="F361" s="109" t="n">
        <f aca="false">ROUND(B361*E361,2)</f>
        <v>6.27</v>
      </c>
      <c r="H361" s="110" t="n">
        <v>123.193</v>
      </c>
      <c r="I361" s="111" t="n">
        <v>0.14937</v>
      </c>
      <c r="J361" s="112" t="n">
        <f aca="false">ROUND(H361*I361,2)</f>
        <v>18.4</v>
      </c>
      <c r="L361" s="113" t="n">
        <v>22.981</v>
      </c>
      <c r="M361" s="114" t="n">
        <v>0.14937</v>
      </c>
      <c r="N361" s="115" t="n">
        <f aca="false">ROUND(L361*M361,2)</f>
        <v>3.43</v>
      </c>
      <c r="O361" s="120" t="s">
        <v>619</v>
      </c>
      <c r="R361" s="117" t="s">
        <v>620</v>
      </c>
      <c r="AA361" s="0" t="n">
        <v>41.968</v>
      </c>
    </row>
    <row r="362" customFormat="false" ht="15" hidden="false" customHeight="false" outlineLevel="0" collapsed="false">
      <c r="A362" s="104" t="s">
        <v>621</v>
      </c>
      <c r="B362" s="105" t="n">
        <f aca="false">IF($P$360&lt;&gt;"",ROUND(AA362*(($AB$360/(1-$P$360))-38.3922)/46.6496,2),IF('Resumen 2.0TD'!$D$3="OPTIMIZAR",ROUND(MAX(AA362,MIN(AA362*(($AB$360/(1-'Resumen 2.0TD'!$F$3))-38.3922)/46.6496,AA362*(155.7556)/46.6496)),3),AA362))</f>
        <v>205.282</v>
      </c>
      <c r="C362" s="118"/>
      <c r="D362" s="107" t="n">
        <v>0.110306</v>
      </c>
      <c r="E362" s="108" t="n">
        <v>0.14937</v>
      </c>
      <c r="F362" s="109" t="n">
        <f aca="false">ROUND(B362*E362,2)</f>
        <v>30.66</v>
      </c>
      <c r="H362" s="110" t="n">
        <v>361.742</v>
      </c>
      <c r="I362" s="111" t="n">
        <v>0.14937</v>
      </c>
      <c r="J362" s="112" t="n">
        <f aca="false">ROUND(H362*I362,2)</f>
        <v>54.03</v>
      </c>
      <c r="L362" s="113" t="n">
        <v>44.96</v>
      </c>
      <c r="M362" s="114" t="n">
        <v>0.14937</v>
      </c>
      <c r="N362" s="115" t="n">
        <f aca="false">ROUND(L362*M362,2)</f>
        <v>6.72</v>
      </c>
      <c r="O362" s="120" t="s">
        <v>622</v>
      </c>
      <c r="AA362" s="0" t="n">
        <v>205.282</v>
      </c>
    </row>
    <row r="363" customFormat="false" ht="15" hidden="false" customHeight="false" outlineLevel="0" collapsed="false">
      <c r="A363" s="104" t="s">
        <v>139</v>
      </c>
      <c r="B363" s="105" t="n">
        <v>1</v>
      </c>
      <c r="C363" s="106" t="n">
        <f aca="false">$N$355-$L$355+1</f>
        <v>30</v>
      </c>
      <c r="D363" s="107" t="n">
        <v>1.3414</v>
      </c>
      <c r="E363" s="108" t="n">
        <v>4</v>
      </c>
      <c r="F363" s="109" t="n">
        <f aca="false">ROUND(B363*E363,2)</f>
        <v>4</v>
      </c>
      <c r="H363" s="110" t="n">
        <v>1</v>
      </c>
      <c r="I363" s="111" t="n">
        <v>4</v>
      </c>
      <c r="J363" s="112" t="n">
        <f aca="false">ROUND(H363*I363,2)</f>
        <v>4</v>
      </c>
      <c r="L363" s="113" t="n">
        <v>1</v>
      </c>
      <c r="M363" s="114" t="n">
        <v>4</v>
      </c>
      <c r="N363" s="115" t="n">
        <f aca="false">ROUND(L363*M363,2)</f>
        <v>4</v>
      </c>
    </row>
    <row r="364" customFormat="false" ht="15" hidden="false" customHeight="false" outlineLevel="0" collapsed="false">
      <c r="A364" s="104" t="s">
        <v>140</v>
      </c>
      <c r="B364" s="105" t="n">
        <v>30</v>
      </c>
      <c r="C364" s="106" t="n">
        <f aca="false">$N$355-$L$355+1</f>
        <v>30</v>
      </c>
      <c r="D364" s="107" t="n">
        <v>0.5736</v>
      </c>
      <c r="E364" s="108" t="n">
        <v>0.01274</v>
      </c>
      <c r="F364" s="109" t="n">
        <f aca="false">ROUND(B364*E364,2)</f>
        <v>0.38</v>
      </c>
      <c r="H364" s="110" t="n">
        <v>30</v>
      </c>
      <c r="I364" s="111" t="n">
        <v>0.01274</v>
      </c>
      <c r="J364" s="112" t="n">
        <f aca="false">ROUND(H364*I364,2)</f>
        <v>0.38</v>
      </c>
      <c r="L364" s="113" t="n">
        <v>30</v>
      </c>
      <c r="M364" s="114" t="n">
        <v>0.00629</v>
      </c>
      <c r="N364" s="115" t="n">
        <f aca="false">ROUND(L364*M364,2)</f>
        <v>0.19</v>
      </c>
    </row>
    <row r="365" customFormat="false" ht="15" hidden="false" customHeight="false" outlineLevel="0" collapsed="false">
      <c r="A365" s="104" t="s">
        <v>141</v>
      </c>
      <c r="B365" s="105" t="n">
        <v>3.12</v>
      </c>
      <c r="C365" s="118"/>
      <c r="D365" s="107" t="n">
        <v>0.24729</v>
      </c>
      <c r="E365" s="108" t="n">
        <v>1</v>
      </c>
      <c r="F365" s="109" t="n">
        <f aca="false">ROUND(B365*E365,2)</f>
        <v>3.12</v>
      </c>
      <c r="H365" s="110" t="n">
        <v>6.09</v>
      </c>
      <c r="I365" s="111" t="n">
        <v>1</v>
      </c>
      <c r="J365" s="112" t="n">
        <f aca="false">ROUND(H365*I365,2)</f>
        <v>6.09</v>
      </c>
      <c r="L365" s="113" t="n">
        <v>1.97</v>
      </c>
      <c r="M365" s="114" t="n">
        <v>1</v>
      </c>
      <c r="N365" s="115" t="n">
        <f aca="false">ROUND(L365*M365,2)</f>
        <v>1.97</v>
      </c>
    </row>
    <row r="366" customFormat="false" ht="15" hidden="false" customHeight="false" outlineLevel="0" collapsed="false">
      <c r="A366" s="121" t="s">
        <v>142</v>
      </c>
      <c r="F366" s="122" t="n">
        <f aca="false">ROUND((SUM(F358:F365)-F365)*1.1+F365,2)</f>
        <v>101.48</v>
      </c>
      <c r="J366" s="123" t="n">
        <f aca="false">ROUND(SUM(J358:J365),2)</f>
        <v>143.87</v>
      </c>
      <c r="N366" s="124" t="n">
        <f aca="false">ROUND(SUM(N358:N365),2)</f>
        <v>58.76</v>
      </c>
    </row>
    <row r="367" customFormat="false" ht="15" hidden="false" customHeight="false" outlineLevel="0" collapsed="false">
      <c r="A367" s="93" t="s">
        <v>143</v>
      </c>
      <c r="B367" s="125" t="n">
        <f aca="false">IF((F362+F361+F360+F358+F359)=0,"",((F362+F361+F360+F358+F359)-$AB$360)/(F362+F361+F360+F358+F359))</f>
        <v>0.227712782761053</v>
      </c>
      <c r="D367" s="126" t="str">
        <f aca="false">IF(B367="","SIN PC",IF(B367&gt;=0.3,"APROBAR",IF(B367&gt;=0.2,"REVISAR","RECHAZAR")))</f>
        <v>REVISAR</v>
      </c>
      <c r="E367" s="126"/>
      <c r="F367" s="126"/>
      <c r="AD367" s="0" t="n">
        <f aca="false">SUM(F360:F362)-46.6496</f>
        <v>0.000399999999999068</v>
      </c>
    </row>
    <row r="368" customFormat="false" ht="15" hidden="false" customHeight="false" outlineLevel="0" collapsed="false">
      <c r="A368" s="127" t="s">
        <v>744</v>
      </c>
      <c r="B368" s="127"/>
      <c r="C368" s="127"/>
      <c r="D368" s="127"/>
      <c r="E368" s="127"/>
      <c r="F368" s="127"/>
    </row>
    <row r="369" customFormat="false" ht="15" hidden="false" customHeight="false" outlineLevel="0" collapsed="false">
      <c r="A369" s="128" t="s">
        <v>111</v>
      </c>
      <c r="B369" s="128" t="s">
        <v>745</v>
      </c>
      <c r="D369" s="128" t="s">
        <v>746</v>
      </c>
      <c r="E369" s="128" t="s">
        <v>747</v>
      </c>
      <c r="F369" s="128" t="s">
        <v>120</v>
      </c>
    </row>
    <row r="370" customFormat="false" ht="15" hidden="false" customHeight="false" outlineLevel="0" collapsed="false">
      <c r="A370" s="129" t="s">
        <v>748</v>
      </c>
      <c r="B370" s="130" t="n">
        <v>482</v>
      </c>
      <c r="C370" s="131"/>
      <c r="D370" s="107" t="n">
        <v>0.06</v>
      </c>
      <c r="E370" s="131"/>
      <c r="F370" s="132" t="n">
        <f aca="false">ROUND(B370*D370,2)</f>
        <v>28.92</v>
      </c>
    </row>
    <row r="371" customFormat="false" ht="15" hidden="false" customHeight="false" outlineLevel="0" collapsed="false">
      <c r="A371" s="129" t="s">
        <v>749</v>
      </c>
      <c r="B371" s="131"/>
      <c r="C371" s="131"/>
      <c r="D371" s="131"/>
      <c r="E371" s="133" t="n">
        <v>0.06</v>
      </c>
      <c r="F371" s="132" t="n">
        <v>24.22</v>
      </c>
    </row>
    <row r="372" customFormat="false" ht="15" hidden="false" customHeight="false" outlineLevel="0" collapsed="false">
      <c r="A372" s="134" t="s">
        <v>750</v>
      </c>
      <c r="B372" s="131"/>
      <c r="C372" s="131"/>
      <c r="D372" s="131"/>
      <c r="E372" s="131"/>
      <c r="F372" s="135" t="n">
        <f aca="false">F370-F371</f>
        <v>4.7</v>
      </c>
    </row>
    <row r="374" customFormat="false" ht="15" hidden="false" customHeight="false" outlineLevel="0" collapsed="false">
      <c r="A374" s="89" t="s">
        <v>827</v>
      </c>
      <c r="B374" s="89"/>
      <c r="C374" s="89"/>
      <c r="D374" s="89"/>
      <c r="E374" s="89"/>
      <c r="F374" s="89"/>
      <c r="H374" s="89" t="s">
        <v>828</v>
      </c>
      <c r="I374" s="89"/>
      <c r="J374" s="89"/>
      <c r="K374" s="89"/>
      <c r="L374" s="90" t="n">
        <v>46113</v>
      </c>
      <c r="M374" s="91" t="s">
        <v>608</v>
      </c>
      <c r="N374" s="90" t="n">
        <v>46142</v>
      </c>
      <c r="R374" s="92" t="s">
        <v>110</v>
      </c>
      <c r="S374" s="92"/>
      <c r="T374" s="92"/>
      <c r="U374" s="92"/>
      <c r="V374" s="92"/>
    </row>
    <row r="375" customFormat="false" ht="15" hidden="false" customHeight="false" outlineLevel="0" collapsed="false">
      <c r="A375" s="93" t="s">
        <v>111</v>
      </c>
      <c r="B375" s="94" t="s">
        <v>112</v>
      </c>
      <c r="C375" s="95"/>
      <c r="D375" s="95"/>
      <c r="E375" s="95"/>
      <c r="F375" s="95"/>
      <c r="H375" s="96" t="s">
        <v>829</v>
      </c>
      <c r="I375" s="97"/>
      <c r="J375" s="97"/>
      <c r="L375" s="98" t="s">
        <v>830</v>
      </c>
      <c r="M375" s="99"/>
      <c r="N375" s="99"/>
      <c r="R375" s="100" t="s">
        <v>831</v>
      </c>
    </row>
    <row r="376" customFormat="false" ht="15" hidden="false" customHeight="false" outlineLevel="0" collapsed="false">
      <c r="B376" s="81" t="s">
        <v>116</v>
      </c>
      <c r="C376" s="81" t="s">
        <v>117</v>
      </c>
      <c r="D376" s="81" t="s">
        <v>118</v>
      </c>
      <c r="E376" s="81" t="s">
        <v>119</v>
      </c>
      <c r="F376" s="81" t="s">
        <v>120</v>
      </c>
      <c r="H376" s="101" t="s">
        <v>116</v>
      </c>
      <c r="I376" s="101" t="s">
        <v>119</v>
      </c>
      <c r="J376" s="101" t="s">
        <v>120</v>
      </c>
      <c r="L376" s="102" t="s">
        <v>116</v>
      </c>
      <c r="M376" s="102" t="s">
        <v>119</v>
      </c>
      <c r="N376" s="102" t="s">
        <v>120</v>
      </c>
      <c r="R376" s="103" t="s">
        <v>832</v>
      </c>
    </row>
    <row r="377" customFormat="false" ht="15" hidden="false" customHeight="false" outlineLevel="0" collapsed="false">
      <c r="A377" s="104" t="s">
        <v>122</v>
      </c>
      <c r="B377" s="105" t="n">
        <v>9.9</v>
      </c>
      <c r="C377" s="106" t="n">
        <f aca="false">$N$374-$L$374+1</f>
        <v>30</v>
      </c>
      <c r="D377" s="107" t="n">
        <v>3.68919</v>
      </c>
      <c r="E377" s="108" t="n">
        <v>3.7376</v>
      </c>
      <c r="F377" s="109" t="n">
        <f aca="false">ROUND(B377*E377,2)</f>
        <v>37</v>
      </c>
      <c r="H377" s="110" t="n">
        <v>9.9</v>
      </c>
      <c r="I377" s="111" t="n">
        <v>3.7376</v>
      </c>
      <c r="J377" s="112" t="n">
        <f aca="false">ROUND(H377*I377,2)</f>
        <v>37</v>
      </c>
      <c r="L377" s="113" t="n">
        <v>9.9</v>
      </c>
      <c r="M377" s="114" t="n">
        <v>3.85</v>
      </c>
      <c r="N377" s="115" t="n">
        <f aca="false">ROUND(L377*M377,2)</f>
        <v>38.12</v>
      </c>
      <c r="R377" s="116" t="s">
        <v>833</v>
      </c>
    </row>
    <row r="378" customFormat="false" ht="15" hidden="false" customHeight="false" outlineLevel="0" collapsed="false">
      <c r="A378" s="104" t="s">
        <v>124</v>
      </c>
      <c r="B378" s="105" t="n">
        <v>9.9</v>
      </c>
      <c r="C378" s="106" t="n">
        <f aca="false">$N$374-$L$374+1</f>
        <v>30</v>
      </c>
      <c r="D378" s="107" t="n">
        <v>1.31928</v>
      </c>
      <c r="E378" s="108" t="n">
        <v>1.3068</v>
      </c>
      <c r="F378" s="109" t="n">
        <f aca="false">ROUND(B378*E378,2)</f>
        <v>12.94</v>
      </c>
      <c r="H378" s="110" t="n">
        <v>9.9</v>
      </c>
      <c r="I378" s="111" t="n">
        <v>1.3068</v>
      </c>
      <c r="J378" s="112" t="n">
        <f aca="false">ROUND(H378*I378,2)</f>
        <v>12.94</v>
      </c>
      <c r="L378" s="113" t="n">
        <v>9.9</v>
      </c>
      <c r="M378" s="114" t="n">
        <v>1.55</v>
      </c>
      <c r="N378" s="115" t="n">
        <f aca="false">ROUND(L378*M378,2)</f>
        <v>15.35</v>
      </c>
      <c r="R378" s="117" t="s">
        <v>834</v>
      </c>
    </row>
    <row r="379" customFormat="false" ht="15" hidden="false" customHeight="false" outlineLevel="0" collapsed="false">
      <c r="A379" s="104" t="s">
        <v>615</v>
      </c>
      <c r="B379" s="105" t="n">
        <f aca="false">IF($P$379&lt;&gt;"",ROUND(AA379*(($AB$379/(1-$P$379))-49.9396)/40.5353,2),IF('Resumen 2.0TD'!$D$3="OPTIMIZAR",ROUND(MAX(AA379,MIN(AA379*(($AB$379/(1-'Resumen 2.0TD'!$F$3))-49.9396)/40.5353,AA379*(193.0982)/40.5353)),3),AA379))</f>
        <v>293.99</v>
      </c>
      <c r="C379" s="118"/>
      <c r="D379" s="107" t="n">
        <v>0.111171</v>
      </c>
      <c r="E379" s="108" t="n">
        <v>0.13788</v>
      </c>
      <c r="F379" s="109" t="n">
        <f aca="false">ROUND(B379*E379,2)</f>
        <v>40.54</v>
      </c>
      <c r="H379" s="110" t="n">
        <v>540.207</v>
      </c>
      <c r="I379" s="111" t="n">
        <v>0.13788</v>
      </c>
      <c r="J379" s="112" t="n">
        <f aca="false">ROUND(H379*I379,2)</f>
        <v>74.48</v>
      </c>
      <c r="L379" s="113" t="n">
        <v>503</v>
      </c>
      <c r="M379" s="114" t="n">
        <v>0.13788</v>
      </c>
      <c r="N379" s="115" t="n">
        <f aca="false">ROUND(L379*M379,2)</f>
        <v>69.35</v>
      </c>
      <c r="O379" s="119" t="s">
        <v>616</v>
      </c>
      <c r="P379" s="79"/>
      <c r="R379" s="117" t="s">
        <v>835</v>
      </c>
      <c r="AA379" s="0" t="n">
        <v>293.99</v>
      </c>
      <c r="AB379" s="0" t="n">
        <f aca="false">B377*D377+B378*D378+AA379*D379+AA380*D380+AA381*D381</f>
        <v>82.26701529</v>
      </c>
    </row>
    <row r="380" customFormat="false" ht="15" hidden="false" customHeight="false" outlineLevel="0" collapsed="false">
      <c r="A380" s="104" t="s">
        <v>618</v>
      </c>
      <c r="B380" s="105" t="n">
        <f aca="false">IF($P$379&lt;&gt;"",ROUND(AA380*(($AB$379/(1-$P$379))-49.9396)/40.5353,2),IF('Resumen 2.0TD'!$D$3="OPTIMIZAR",ROUND(MAX(AA380,MIN(AA380*(($AB$379/(1-'Resumen 2.0TD'!$F$3))-49.9396)/40.5353,AA380*(193.0982)/40.5353)),3),AA380))</f>
        <v>0</v>
      </c>
      <c r="C380" s="118"/>
      <c r="D380" s="107" t="n">
        <v>0.111171</v>
      </c>
      <c r="E380" s="108" t="n">
        <v>0</v>
      </c>
      <c r="F380" s="109" t="n">
        <f aca="false">ROUND(B380*E380,2)</f>
        <v>0</v>
      </c>
      <c r="H380" s="138"/>
      <c r="I380" s="138"/>
      <c r="J380" s="138"/>
      <c r="L380" s="136"/>
      <c r="M380" s="136"/>
      <c r="N380" s="136"/>
      <c r="O380" s="120" t="s">
        <v>619</v>
      </c>
      <c r="R380" s="117" t="s">
        <v>620</v>
      </c>
      <c r="AA380" s="0" t="n">
        <v>0</v>
      </c>
    </row>
    <row r="381" customFormat="false" ht="15" hidden="false" customHeight="false" outlineLevel="0" collapsed="false">
      <c r="A381" s="104" t="s">
        <v>621</v>
      </c>
      <c r="B381" s="105" t="n">
        <f aca="false">IF($P$379&lt;&gt;"",ROUND(AA381*(($AB$379/(1-$P$379))-49.9396)/40.5353,2),IF('Resumen 2.0TD'!$D$3="OPTIMIZAR",ROUND(MAX(AA381,MIN(AA381*(($AB$379/(1-'Resumen 2.0TD'!$F$3))-49.9396)/40.5353,AA381*(193.0982)/40.5353)),3),AA381))</f>
        <v>0</v>
      </c>
      <c r="C381" s="118"/>
      <c r="D381" s="107" t="n">
        <v>0.111171</v>
      </c>
      <c r="E381" s="108" t="n">
        <v>0</v>
      </c>
      <c r="F381" s="109" t="n">
        <f aca="false">ROUND(B381*E381,2)</f>
        <v>0</v>
      </c>
      <c r="H381" s="138"/>
      <c r="I381" s="138"/>
      <c r="J381" s="138"/>
      <c r="L381" s="136"/>
      <c r="M381" s="136"/>
      <c r="N381" s="136"/>
      <c r="O381" s="120" t="s">
        <v>622</v>
      </c>
      <c r="AA381" s="0" t="n">
        <v>0</v>
      </c>
    </row>
    <row r="382" customFormat="false" ht="15" hidden="false" customHeight="false" outlineLevel="0" collapsed="false">
      <c r="A382" s="104" t="s">
        <v>139</v>
      </c>
      <c r="B382" s="105" t="n">
        <v>0</v>
      </c>
      <c r="C382" s="106" t="n">
        <f aca="false">$N$374-$L$374+1</f>
        <v>30</v>
      </c>
      <c r="D382" s="107"/>
      <c r="E382" s="108" t="n">
        <v>0</v>
      </c>
      <c r="F382" s="109" t="n">
        <f aca="false">ROUND(B382*E382,2)</f>
        <v>0</v>
      </c>
      <c r="H382" s="138"/>
      <c r="I382" s="138"/>
      <c r="J382" s="138"/>
      <c r="L382" s="136"/>
      <c r="M382" s="136"/>
      <c r="N382" s="136"/>
    </row>
    <row r="383" customFormat="false" ht="15" hidden="false" customHeight="false" outlineLevel="0" collapsed="false">
      <c r="A383" s="104" t="s">
        <v>140</v>
      </c>
      <c r="B383" s="105" t="n">
        <v>30</v>
      </c>
      <c r="C383" s="106" t="n">
        <f aca="false">$N$374-$L$374+1</f>
        <v>30</v>
      </c>
      <c r="D383" s="107" t="n">
        <v>0.5736</v>
      </c>
      <c r="E383" s="108" t="n">
        <v>0.01274</v>
      </c>
      <c r="F383" s="109" t="n">
        <f aca="false">ROUND(B383*E383,2)</f>
        <v>0.38</v>
      </c>
      <c r="H383" s="110" t="n">
        <v>30</v>
      </c>
      <c r="I383" s="111" t="n">
        <v>0.01274</v>
      </c>
      <c r="J383" s="112" t="n">
        <f aca="false">ROUND(H383*I383,2)</f>
        <v>0.38</v>
      </c>
      <c r="L383" s="113" t="n">
        <v>30</v>
      </c>
      <c r="M383" s="114" t="n">
        <v>0.00629</v>
      </c>
      <c r="N383" s="115" t="n">
        <f aca="false">ROUND(L383*M383,2)</f>
        <v>0.19</v>
      </c>
    </row>
    <row r="384" customFormat="false" ht="15" hidden="false" customHeight="false" outlineLevel="0" collapsed="false">
      <c r="A384" s="104" t="s">
        <v>141</v>
      </c>
      <c r="B384" s="105" t="n">
        <v>0</v>
      </c>
      <c r="C384" s="118"/>
      <c r="D384" s="107"/>
      <c r="E384" s="108" t="n">
        <v>0</v>
      </c>
      <c r="F384" s="109" t="n">
        <f aca="false">ROUND(B384*E384,2)</f>
        <v>0</v>
      </c>
      <c r="H384" s="138"/>
      <c r="I384" s="138"/>
      <c r="J384" s="138"/>
      <c r="L384" s="136"/>
      <c r="M384" s="136"/>
      <c r="N384" s="136"/>
    </row>
    <row r="385" customFormat="false" ht="15" hidden="false" customHeight="false" outlineLevel="0" collapsed="false">
      <c r="A385" s="121" t="s">
        <v>142</v>
      </c>
      <c r="F385" s="122" t="n">
        <f aca="false">ROUND((SUM(F377:F384)-F384)*1.1+F384,2)</f>
        <v>99.95</v>
      </c>
      <c r="J385" s="123" t="n">
        <f aca="false">ROUND(SUM(J377:J384),2)</f>
        <v>124.8</v>
      </c>
      <c r="N385" s="124" t="n">
        <f aca="false">ROUND(SUM(N377:N384),2)</f>
        <v>123.01</v>
      </c>
    </row>
    <row r="386" customFormat="false" ht="15" hidden="false" customHeight="false" outlineLevel="0" collapsed="false">
      <c r="A386" s="93" t="s">
        <v>143</v>
      </c>
      <c r="B386" s="125" t="n">
        <f aca="false">IF((F381+F380+F379+F377+F378)=0,"",((F381+F380+F379+F377+F378)-$AB$379)/(F381+F380+F379+F377+F378))</f>
        <v>0.0907712722148538</v>
      </c>
      <c r="D386" s="126" t="str">
        <f aca="false">IF(B386="","SIN PC",IF(B386&gt;=0.3,"APROBAR",IF(B386&gt;=0.2,"REVISAR","RECHAZAR")))</f>
        <v>RECHAZAR</v>
      </c>
      <c r="E386" s="126"/>
      <c r="F386" s="126"/>
      <c r="AD386" s="0" t="n">
        <f aca="false">SUM(F379:F381)-40.5353</f>
        <v>0.0046999999999997</v>
      </c>
    </row>
    <row r="388" customFormat="false" ht="15" hidden="false" customHeight="false" outlineLevel="0" collapsed="false">
      <c r="A388" s="89" t="s">
        <v>836</v>
      </c>
      <c r="B388" s="89"/>
      <c r="C388" s="89"/>
      <c r="D388" s="89"/>
      <c r="E388" s="89"/>
      <c r="F388" s="89"/>
      <c r="H388" s="89" t="s">
        <v>837</v>
      </c>
      <c r="I388" s="89"/>
      <c r="J388" s="89"/>
      <c r="K388" s="89"/>
      <c r="L388" s="90" t="n">
        <v>46113</v>
      </c>
      <c r="M388" s="91" t="s">
        <v>608</v>
      </c>
      <c r="N388" s="90" t="n">
        <v>46142</v>
      </c>
      <c r="R388" s="92" t="s">
        <v>110</v>
      </c>
      <c r="S388" s="92"/>
      <c r="T388" s="92"/>
      <c r="U388" s="92"/>
      <c r="V388" s="92"/>
    </row>
    <row r="389" customFormat="false" ht="15" hidden="false" customHeight="false" outlineLevel="0" collapsed="false">
      <c r="A389" s="93" t="s">
        <v>111</v>
      </c>
      <c r="B389" s="94" t="s">
        <v>112</v>
      </c>
      <c r="C389" s="95"/>
      <c r="D389" s="95"/>
      <c r="E389" s="95"/>
      <c r="F389" s="95"/>
      <c r="H389" s="96" t="s">
        <v>838</v>
      </c>
      <c r="I389" s="97"/>
      <c r="J389" s="97"/>
      <c r="L389" s="98" t="s">
        <v>839</v>
      </c>
      <c r="M389" s="99"/>
      <c r="N389" s="99"/>
      <c r="R389" s="100" t="s">
        <v>840</v>
      </c>
    </row>
    <row r="390" customFormat="false" ht="15" hidden="false" customHeight="false" outlineLevel="0" collapsed="false">
      <c r="B390" s="81" t="s">
        <v>116</v>
      </c>
      <c r="C390" s="81" t="s">
        <v>117</v>
      </c>
      <c r="D390" s="81" t="s">
        <v>118</v>
      </c>
      <c r="E390" s="81" t="s">
        <v>119</v>
      </c>
      <c r="F390" s="81" t="s">
        <v>120</v>
      </c>
      <c r="H390" s="101" t="s">
        <v>116</v>
      </c>
      <c r="I390" s="101" t="s">
        <v>119</v>
      </c>
      <c r="J390" s="101" t="s">
        <v>120</v>
      </c>
      <c r="L390" s="102" t="s">
        <v>116</v>
      </c>
      <c r="M390" s="102" t="s">
        <v>119</v>
      </c>
      <c r="N390" s="102" t="s">
        <v>120</v>
      </c>
      <c r="R390" s="103" t="s">
        <v>841</v>
      </c>
    </row>
    <row r="391" customFormat="false" ht="15" hidden="false" customHeight="false" outlineLevel="0" collapsed="false">
      <c r="A391" s="104" t="s">
        <v>122</v>
      </c>
      <c r="B391" s="105" t="n">
        <v>6.9</v>
      </c>
      <c r="C391" s="106" t="n">
        <f aca="false">$N$388-$L$388+1</f>
        <v>30</v>
      </c>
      <c r="D391" s="107" t="n">
        <v>3.4086</v>
      </c>
      <c r="E391" s="108" t="n">
        <v>4.17</v>
      </c>
      <c r="F391" s="109" t="n">
        <f aca="false">ROUND(B391*E391,2)</f>
        <v>28.77</v>
      </c>
      <c r="H391" s="110" t="n">
        <v>6.9</v>
      </c>
      <c r="I391" s="111" t="n">
        <v>4.17</v>
      </c>
      <c r="J391" s="112" t="n">
        <f aca="false">ROUND(H391*I391,2)</f>
        <v>28.77</v>
      </c>
      <c r="L391" s="113" t="n">
        <v>6.9</v>
      </c>
      <c r="M391" s="114" t="n">
        <v>4.17</v>
      </c>
      <c r="N391" s="115" t="n">
        <f aca="false">ROUND(L391*M391,2)</f>
        <v>28.77</v>
      </c>
      <c r="R391" s="116" t="s">
        <v>842</v>
      </c>
    </row>
    <row r="392" customFormat="false" ht="15" hidden="false" customHeight="false" outlineLevel="0" collapsed="false">
      <c r="A392" s="104" t="s">
        <v>124</v>
      </c>
      <c r="B392" s="105" t="n">
        <v>6.9</v>
      </c>
      <c r="C392" s="106" t="n">
        <f aca="false">$N$388-$L$388+1</f>
        <v>30</v>
      </c>
      <c r="D392" s="107" t="n">
        <v>1.09728</v>
      </c>
      <c r="E392" s="108" t="n">
        <v>1.37</v>
      </c>
      <c r="F392" s="109" t="n">
        <f aca="false">ROUND(B392*E392,2)</f>
        <v>9.45</v>
      </c>
      <c r="H392" s="110" t="n">
        <v>6.9</v>
      </c>
      <c r="I392" s="111" t="n">
        <v>1.37</v>
      </c>
      <c r="J392" s="112" t="n">
        <f aca="false">ROUND(H392*I392,2)</f>
        <v>9.45</v>
      </c>
      <c r="L392" s="113" t="n">
        <v>6.9</v>
      </c>
      <c r="M392" s="114" t="n">
        <v>1.37</v>
      </c>
      <c r="N392" s="115" t="n">
        <f aca="false">ROUND(L392*M392,2)</f>
        <v>9.45</v>
      </c>
      <c r="R392" s="117" t="s">
        <v>843</v>
      </c>
    </row>
    <row r="393" customFormat="false" ht="15" hidden="false" customHeight="false" outlineLevel="0" collapsed="false">
      <c r="A393" s="104" t="s">
        <v>615</v>
      </c>
      <c r="B393" s="105" t="n">
        <f aca="false">IF($P$393&lt;&gt;"",ROUND(AA393*(($AB$393/(1-$P$393))-38.226)/21.8618,2),IF('Resumen 2.0TD'!$D$3="OPTIMIZAR",ROUND(MAX(AA393,MIN(AA393*(($AB$393/(1-'Resumen 2.0TD'!$F$3))-38.226)/21.8618,AA393*(721.8618)/21.8618)),3),AA393))</f>
        <v>33.816</v>
      </c>
      <c r="C393" s="118"/>
      <c r="D393" s="107" t="n">
        <v>0.110306</v>
      </c>
      <c r="E393" s="108" t="n">
        <v>0.14937</v>
      </c>
      <c r="F393" s="109" t="n">
        <f aca="false">ROUND(B393*E393,2)</f>
        <v>5.05</v>
      </c>
      <c r="H393" s="110" t="n">
        <v>458.117</v>
      </c>
      <c r="I393" s="111" t="n">
        <v>0.14937</v>
      </c>
      <c r="J393" s="112" t="n">
        <f aca="false">ROUND(H393*I393,2)</f>
        <v>68.43</v>
      </c>
      <c r="L393" s="113" t="n">
        <v>314.506</v>
      </c>
      <c r="M393" s="114" t="n">
        <v>0.14937</v>
      </c>
      <c r="N393" s="115" t="n">
        <f aca="false">ROUND(L393*M393,2)</f>
        <v>46.98</v>
      </c>
      <c r="O393" s="119" t="s">
        <v>616</v>
      </c>
      <c r="P393" s="79"/>
      <c r="R393" s="117" t="s">
        <v>844</v>
      </c>
      <c r="AA393" s="0" t="n">
        <v>33.816</v>
      </c>
      <c r="AB393" s="0" t="n">
        <f aca="false">B391*D391+B392*D392+AA393*D393+AA394*D394+AA395*D395</f>
        <v>47.23495816</v>
      </c>
    </row>
    <row r="394" customFormat="false" ht="15" hidden="false" customHeight="false" outlineLevel="0" collapsed="false">
      <c r="A394" s="104" t="s">
        <v>618</v>
      </c>
      <c r="B394" s="105" t="n">
        <f aca="false">IF($P$393&lt;&gt;"",ROUND(AA394*(($AB$393/(1-$P$393))-38.226)/21.8618,2),IF('Resumen 2.0TD'!$D$3="OPTIMIZAR",ROUND(MAX(AA394,MIN(AA394*(($AB$393/(1-'Resumen 2.0TD'!$F$3))-38.226)/21.8618,AA394*(721.8618)/21.8618)),3),AA394))</f>
        <v>25.155</v>
      </c>
      <c r="C394" s="118"/>
      <c r="D394" s="107" t="n">
        <v>0.110306</v>
      </c>
      <c r="E394" s="108" t="n">
        <v>0.14937</v>
      </c>
      <c r="F394" s="109" t="n">
        <f aca="false">ROUND(B394*E394,2)</f>
        <v>3.76</v>
      </c>
      <c r="H394" s="110" t="n">
        <v>441.228</v>
      </c>
      <c r="I394" s="111" t="n">
        <v>0.14937</v>
      </c>
      <c r="J394" s="112" t="n">
        <f aca="false">ROUND(H394*I394,2)</f>
        <v>65.91</v>
      </c>
      <c r="L394" s="113" t="n">
        <v>462.708</v>
      </c>
      <c r="M394" s="114" t="n">
        <v>0.14937</v>
      </c>
      <c r="N394" s="115" t="n">
        <f aca="false">ROUND(L394*M394,2)</f>
        <v>69.11</v>
      </c>
      <c r="O394" s="120" t="s">
        <v>619</v>
      </c>
      <c r="R394" s="117" t="s">
        <v>620</v>
      </c>
      <c r="AA394" s="0" t="n">
        <v>25.155</v>
      </c>
    </row>
    <row r="395" customFormat="false" ht="15" hidden="false" customHeight="false" outlineLevel="0" collapsed="false">
      <c r="A395" s="104" t="s">
        <v>621</v>
      </c>
      <c r="B395" s="105" t="n">
        <f aca="false">IF($P$393&lt;&gt;"",ROUND(AA395*(($AB$393/(1-$P$393))-38.226)/21.8618,2),IF('Resumen 2.0TD'!$D$3="OPTIMIZAR",ROUND(MAX(AA395,MIN(AA395*(($AB$393/(1-'Resumen 2.0TD'!$F$3))-38.226)/21.8618,AA395*(721.8618)/21.8618)),3),AA395))</f>
        <v>87.389</v>
      </c>
      <c r="C395" s="118"/>
      <c r="D395" s="107" t="n">
        <v>0.110306</v>
      </c>
      <c r="E395" s="108" t="n">
        <v>0.14937</v>
      </c>
      <c r="F395" s="109" t="n">
        <f aca="false">ROUND(B395*E395,2)</f>
        <v>13.05</v>
      </c>
      <c r="H395" s="110" t="n">
        <v>967.329</v>
      </c>
      <c r="I395" s="111" t="n">
        <v>0.14937</v>
      </c>
      <c r="J395" s="112" t="n">
        <f aca="false">ROUND(H395*I395,2)</f>
        <v>144.49</v>
      </c>
      <c r="L395" s="113" t="n">
        <v>906.132</v>
      </c>
      <c r="M395" s="114" t="n">
        <v>0.14937</v>
      </c>
      <c r="N395" s="115" t="n">
        <f aca="false">ROUND(L395*M395,2)</f>
        <v>135.35</v>
      </c>
      <c r="O395" s="120" t="s">
        <v>622</v>
      </c>
      <c r="AA395" s="0" t="n">
        <v>87.389</v>
      </c>
    </row>
    <row r="396" customFormat="false" ht="15" hidden="false" customHeight="false" outlineLevel="0" collapsed="false">
      <c r="A396" s="104" t="s">
        <v>139</v>
      </c>
      <c r="B396" s="105" t="n">
        <v>1</v>
      </c>
      <c r="C396" s="106" t="n">
        <f aca="false">$N$388-$L$388+1</f>
        <v>30</v>
      </c>
      <c r="D396" s="107" t="n">
        <v>0.7989</v>
      </c>
      <c r="E396" s="108" t="n">
        <v>4</v>
      </c>
      <c r="F396" s="109" t="n">
        <f aca="false">ROUND(B396*E396,2)</f>
        <v>4</v>
      </c>
      <c r="H396" s="110" t="n">
        <v>1</v>
      </c>
      <c r="I396" s="111" t="n">
        <v>4</v>
      </c>
      <c r="J396" s="112" t="n">
        <f aca="false">ROUND(H396*I396,2)</f>
        <v>4</v>
      </c>
      <c r="L396" s="113" t="n">
        <v>1</v>
      </c>
      <c r="M396" s="114" t="n">
        <v>4</v>
      </c>
      <c r="N396" s="115" t="n">
        <f aca="false">ROUND(L396*M396,2)</f>
        <v>4</v>
      </c>
    </row>
    <row r="397" customFormat="false" ht="15" hidden="false" customHeight="false" outlineLevel="0" collapsed="false">
      <c r="A397" s="104" t="s">
        <v>140</v>
      </c>
      <c r="B397" s="105" t="n">
        <v>30</v>
      </c>
      <c r="C397" s="106" t="n">
        <f aca="false">$N$388-$L$388+1</f>
        <v>30</v>
      </c>
      <c r="D397" s="107" t="n">
        <v>0.5736</v>
      </c>
      <c r="E397" s="108" t="n">
        <v>0.01274</v>
      </c>
      <c r="F397" s="109" t="n">
        <f aca="false">ROUND(B397*E397,2)</f>
        <v>0.38</v>
      </c>
      <c r="H397" s="110" t="n">
        <v>30</v>
      </c>
      <c r="I397" s="111" t="n">
        <v>0.01274</v>
      </c>
      <c r="J397" s="112" t="n">
        <f aca="false">ROUND(H397*I397,2)</f>
        <v>0.38</v>
      </c>
      <c r="L397" s="113" t="n">
        <v>30</v>
      </c>
      <c r="M397" s="114" t="n">
        <v>0.00629</v>
      </c>
      <c r="N397" s="115" t="n">
        <f aca="false">ROUND(L397*M397,2)</f>
        <v>0.19</v>
      </c>
    </row>
    <row r="398" customFormat="false" ht="15" hidden="false" customHeight="false" outlineLevel="0" collapsed="false">
      <c r="A398" s="104" t="s">
        <v>141</v>
      </c>
      <c r="B398" s="105" t="n">
        <v>3.06</v>
      </c>
      <c r="C398" s="118"/>
      <c r="D398" s="107" t="n">
        <v>0.24729</v>
      </c>
      <c r="E398" s="108" t="n">
        <v>1</v>
      </c>
      <c r="F398" s="109" t="n">
        <f aca="false">ROUND(B398*E398,2)</f>
        <v>3.06</v>
      </c>
      <c r="H398" s="110" t="n">
        <v>16.12</v>
      </c>
      <c r="I398" s="111" t="n">
        <v>1</v>
      </c>
      <c r="J398" s="112" t="n">
        <f aca="false">ROUND(H398*I398,2)</f>
        <v>16.12</v>
      </c>
      <c r="L398" s="113" t="n">
        <v>15.43</v>
      </c>
      <c r="M398" s="114" t="n">
        <v>1</v>
      </c>
      <c r="N398" s="115" t="n">
        <f aca="false">ROUND(L398*M398,2)</f>
        <v>15.43</v>
      </c>
    </row>
    <row r="399" customFormat="false" ht="15" hidden="false" customHeight="false" outlineLevel="0" collapsed="false">
      <c r="A399" s="121" t="s">
        <v>142</v>
      </c>
      <c r="F399" s="122" t="n">
        <f aca="false">ROUND((SUM(F391:F398)-F398)*1.1+F398,2)</f>
        <v>73.97</v>
      </c>
      <c r="J399" s="123" t="n">
        <f aca="false">ROUND(SUM(J391:J398),2)</f>
        <v>337.55</v>
      </c>
      <c r="N399" s="124" t="n">
        <f aca="false">ROUND(SUM(N391:N398),2)</f>
        <v>309.28</v>
      </c>
    </row>
    <row r="400" customFormat="false" ht="15" hidden="false" customHeight="false" outlineLevel="0" collapsed="false">
      <c r="A400" s="93" t="s">
        <v>143</v>
      </c>
      <c r="B400" s="125" t="n">
        <f aca="false">IF((F395+F394+F393+F391+F392)=0,"",((F395+F394+F393+F391+F392)-$AB$393)/(F395+F394+F393+F391+F392))</f>
        <v>0.213798965379494</v>
      </c>
      <c r="D400" s="126" t="str">
        <f aca="false">IF(B400="","SIN PC",IF(B400&gt;=0.3,"APROBAR",IF(B400&gt;=0.2,"REVISAR","RECHAZAR")))</f>
        <v>REVISAR</v>
      </c>
      <c r="E400" s="126"/>
      <c r="F400" s="126"/>
      <c r="AD400" s="0" t="n">
        <f aca="false">SUM(F393:F395)-21.8618</f>
        <v>-0.00179999999999936</v>
      </c>
    </row>
    <row r="401" customFormat="false" ht="15" hidden="false" customHeight="false" outlineLevel="0" collapsed="false">
      <c r="A401" s="127" t="s">
        <v>744</v>
      </c>
      <c r="B401" s="127"/>
      <c r="C401" s="127"/>
      <c r="D401" s="127"/>
      <c r="E401" s="127"/>
      <c r="F401" s="127"/>
    </row>
    <row r="402" customFormat="false" ht="15" hidden="false" customHeight="false" outlineLevel="0" collapsed="false">
      <c r="A402" s="128" t="s">
        <v>111</v>
      </c>
      <c r="B402" s="128" t="s">
        <v>745</v>
      </c>
      <c r="D402" s="128" t="s">
        <v>746</v>
      </c>
      <c r="E402" s="128" t="s">
        <v>747</v>
      </c>
      <c r="F402" s="128" t="s">
        <v>120</v>
      </c>
    </row>
    <row r="403" customFormat="false" ht="15" hidden="false" customHeight="false" outlineLevel="0" collapsed="false">
      <c r="A403" s="129" t="s">
        <v>748</v>
      </c>
      <c r="B403" s="130" t="n">
        <v>23</v>
      </c>
      <c r="C403" s="131"/>
      <c r="D403" s="107" t="n">
        <v>0.06</v>
      </c>
      <c r="E403" s="131"/>
      <c r="F403" s="132" t="n">
        <f aca="false">ROUND(B403*D403,2)</f>
        <v>1.38</v>
      </c>
      <c r="H403" s="139" t="s">
        <v>845</v>
      </c>
    </row>
    <row r="404" customFormat="false" ht="15" hidden="false" customHeight="false" outlineLevel="0" collapsed="false">
      <c r="A404" s="129" t="s">
        <v>749</v>
      </c>
      <c r="B404" s="131"/>
      <c r="C404" s="131"/>
      <c r="D404" s="131"/>
      <c r="E404" s="133" t="n">
        <v>0.06</v>
      </c>
      <c r="F404" s="132" t="n">
        <v>0.31</v>
      </c>
    </row>
    <row r="405" customFormat="false" ht="15" hidden="false" customHeight="false" outlineLevel="0" collapsed="false">
      <c r="A405" s="134" t="s">
        <v>750</v>
      </c>
      <c r="B405" s="131"/>
      <c r="C405" s="131"/>
      <c r="D405" s="131"/>
      <c r="E405" s="131"/>
      <c r="F405" s="135" t="n">
        <f aca="false">F403-F404</f>
        <v>1.07</v>
      </c>
    </row>
    <row r="407" customFormat="false" ht="15" hidden="false" customHeight="false" outlineLevel="0" collapsed="false">
      <c r="A407" s="89" t="s">
        <v>846</v>
      </c>
      <c r="B407" s="89"/>
      <c r="C407" s="89"/>
      <c r="D407" s="89"/>
      <c r="E407" s="89"/>
      <c r="F407" s="89"/>
      <c r="H407" s="89" t="s">
        <v>847</v>
      </c>
      <c r="I407" s="89"/>
      <c r="J407" s="89"/>
      <c r="K407" s="89"/>
      <c r="L407" s="90" t="n">
        <v>46113</v>
      </c>
      <c r="M407" s="91" t="s">
        <v>608</v>
      </c>
      <c r="N407" s="90" t="n">
        <v>46142</v>
      </c>
      <c r="R407" s="92" t="s">
        <v>110</v>
      </c>
      <c r="S407" s="92"/>
      <c r="T407" s="92"/>
      <c r="U407" s="92"/>
      <c r="V407" s="92"/>
    </row>
    <row r="408" customFormat="false" ht="15" hidden="false" customHeight="false" outlineLevel="0" collapsed="false">
      <c r="A408" s="93" t="s">
        <v>111</v>
      </c>
      <c r="B408" s="94" t="s">
        <v>112</v>
      </c>
      <c r="C408" s="95"/>
      <c r="D408" s="95"/>
      <c r="E408" s="95"/>
      <c r="F408" s="95"/>
      <c r="H408" s="96" t="s">
        <v>848</v>
      </c>
      <c r="I408" s="97"/>
      <c r="J408" s="97"/>
      <c r="L408" s="98" t="s">
        <v>849</v>
      </c>
      <c r="M408" s="99"/>
      <c r="N408" s="99"/>
      <c r="R408" s="100" t="s">
        <v>850</v>
      </c>
    </row>
    <row r="409" customFormat="false" ht="15" hidden="false" customHeight="false" outlineLevel="0" collapsed="false">
      <c r="B409" s="81" t="s">
        <v>116</v>
      </c>
      <c r="C409" s="81" t="s">
        <v>117</v>
      </c>
      <c r="D409" s="81" t="s">
        <v>118</v>
      </c>
      <c r="E409" s="81" t="s">
        <v>119</v>
      </c>
      <c r="F409" s="81" t="s">
        <v>120</v>
      </c>
      <c r="H409" s="101" t="s">
        <v>116</v>
      </c>
      <c r="I409" s="101" t="s">
        <v>119</v>
      </c>
      <c r="J409" s="101" t="s">
        <v>120</v>
      </c>
      <c r="L409" s="102" t="s">
        <v>116</v>
      </c>
      <c r="M409" s="102" t="s">
        <v>119</v>
      </c>
      <c r="N409" s="102" t="s">
        <v>120</v>
      </c>
      <c r="R409" s="103" t="s">
        <v>851</v>
      </c>
    </row>
    <row r="410" customFormat="false" ht="15" hidden="false" customHeight="false" outlineLevel="0" collapsed="false">
      <c r="A410" s="104" t="s">
        <v>122</v>
      </c>
      <c r="B410" s="105" t="n">
        <v>8.3</v>
      </c>
      <c r="C410" s="106" t="n">
        <f aca="false">$N$407-$L$407+1</f>
        <v>30</v>
      </c>
      <c r="D410" s="107" t="n">
        <v>3.345</v>
      </c>
      <c r="E410" s="108" t="n">
        <v>3.85</v>
      </c>
      <c r="F410" s="109" t="n">
        <f aca="false">ROUND(B410*E410,2)</f>
        <v>31.96</v>
      </c>
      <c r="H410" s="110" t="n">
        <v>8.3</v>
      </c>
      <c r="I410" s="111" t="n">
        <v>3.85</v>
      </c>
      <c r="J410" s="112" t="n">
        <f aca="false">ROUND(H410*I410,2)</f>
        <v>31.96</v>
      </c>
      <c r="L410" s="113" t="n">
        <v>8.3</v>
      </c>
      <c r="M410" s="114" t="n">
        <v>3.85</v>
      </c>
      <c r="N410" s="115" t="n">
        <f aca="false">ROUND(L410*M410,2)</f>
        <v>31.96</v>
      </c>
      <c r="R410" s="116" t="s">
        <v>852</v>
      </c>
    </row>
    <row r="411" customFormat="false" ht="15" hidden="false" customHeight="false" outlineLevel="0" collapsed="false">
      <c r="A411" s="104" t="s">
        <v>124</v>
      </c>
      <c r="B411" s="105" t="n">
        <v>8.3</v>
      </c>
      <c r="C411" s="106" t="n">
        <f aca="false">$N$407-$L$407+1</f>
        <v>30</v>
      </c>
      <c r="D411" s="107" t="n">
        <v>1.095</v>
      </c>
      <c r="E411" s="108" t="n">
        <v>1.33</v>
      </c>
      <c r="F411" s="109" t="n">
        <f aca="false">ROUND(B411*E411,2)</f>
        <v>11.04</v>
      </c>
      <c r="H411" s="110" t="n">
        <v>8.3</v>
      </c>
      <c r="I411" s="111" t="n">
        <v>1.33</v>
      </c>
      <c r="J411" s="112" t="n">
        <f aca="false">ROUND(H411*I411,2)</f>
        <v>11.04</v>
      </c>
      <c r="L411" s="113" t="n">
        <v>8.3</v>
      </c>
      <c r="M411" s="114" t="n">
        <v>1.33</v>
      </c>
      <c r="N411" s="115" t="n">
        <f aca="false">ROUND(L411*M411,2)</f>
        <v>11.04</v>
      </c>
      <c r="R411" s="117" t="s">
        <v>853</v>
      </c>
    </row>
    <row r="412" customFormat="false" ht="15" hidden="false" customHeight="false" outlineLevel="0" collapsed="false">
      <c r="A412" s="104" t="s">
        <v>615</v>
      </c>
      <c r="B412" s="105" t="n">
        <f aca="false">IF($P$412&lt;&gt;"",ROUND(AA412*(($AB$412/(1-$P$412))-42.994)/74.5127,2),IF('Resumen 2.0TD'!$D$3="OPTIMIZAR",ROUND(MAX(AA412,MIN(AA412*(($AB$412/(1-'Resumen 2.0TD'!$F$3))-42.994)/74.5127,AA412*(699.0938)/74.5127)),3),AA412))</f>
        <v>104.47</v>
      </c>
      <c r="C412" s="118"/>
      <c r="D412" s="107" t="n">
        <v>0.109</v>
      </c>
      <c r="E412" s="108" t="n">
        <v>0.13788</v>
      </c>
      <c r="F412" s="109" t="n">
        <f aca="false">ROUND(B412*E412,2)</f>
        <v>14.4</v>
      </c>
      <c r="H412" s="110" t="n">
        <v>5.929</v>
      </c>
      <c r="I412" s="111" t="n">
        <v>0.13788</v>
      </c>
      <c r="J412" s="112" t="n">
        <f aca="false">ROUND(H412*I412,2)</f>
        <v>0.82</v>
      </c>
      <c r="L412" s="113" t="n">
        <v>120.235</v>
      </c>
      <c r="M412" s="114" t="n">
        <v>0.13788</v>
      </c>
      <c r="N412" s="115" t="n">
        <f aca="false">ROUND(L412*M412,2)</f>
        <v>16.58</v>
      </c>
      <c r="O412" s="119" t="s">
        <v>616</v>
      </c>
      <c r="P412" s="79"/>
      <c r="R412" s="117" t="s">
        <v>854</v>
      </c>
      <c r="AA412" s="0" t="n">
        <v>104.47</v>
      </c>
      <c r="AB412" s="0" t="n">
        <f aca="false">B410*D410+B411*D411+AA412*D412+AA413*D413+AA414*D414</f>
        <v>95.757453</v>
      </c>
    </row>
    <row r="413" customFormat="false" ht="15" hidden="false" customHeight="false" outlineLevel="0" collapsed="false">
      <c r="A413" s="104" t="s">
        <v>618</v>
      </c>
      <c r="B413" s="105" t="n">
        <f aca="false">IF($P$412&lt;&gt;"",ROUND(AA413*(($AB$412/(1-$P$412))-42.994)/74.5127,2),IF('Resumen 2.0TD'!$D$3="OPTIMIZAR",ROUND(MAX(AA413,MIN(AA413*(($AB$412/(1-'Resumen 2.0TD'!$F$3))-42.994)/74.5127,AA413*(699.0938)/74.5127)),3),AA413))</f>
        <v>84.773</v>
      </c>
      <c r="C413" s="118"/>
      <c r="D413" s="107" t="n">
        <v>0.109</v>
      </c>
      <c r="E413" s="108" t="n">
        <v>0.13788</v>
      </c>
      <c r="F413" s="109" t="n">
        <f aca="false">ROUND(B413*E413,2)</f>
        <v>11.69</v>
      </c>
      <c r="H413" s="110" t="n">
        <v>3.883</v>
      </c>
      <c r="I413" s="111" t="n">
        <v>0.13788</v>
      </c>
      <c r="J413" s="112" t="n">
        <f aca="false">ROUND(H413*I413,2)</f>
        <v>0.54</v>
      </c>
      <c r="L413" s="113" t="n">
        <v>77.48</v>
      </c>
      <c r="M413" s="114" t="n">
        <v>0.13788</v>
      </c>
      <c r="N413" s="115" t="n">
        <f aca="false">ROUND(L413*M413,2)</f>
        <v>10.68</v>
      </c>
      <c r="O413" s="120" t="s">
        <v>619</v>
      </c>
      <c r="R413" s="117" t="s">
        <v>620</v>
      </c>
      <c r="AA413" s="0" t="n">
        <v>84.773</v>
      </c>
    </row>
    <row r="414" customFormat="false" ht="15" hidden="false" customHeight="false" outlineLevel="0" collapsed="false">
      <c r="A414" s="104" t="s">
        <v>621</v>
      </c>
      <c r="B414" s="105" t="n">
        <f aca="false">IF($P$412&lt;&gt;"",ROUND(AA414*(($AB$412/(1-$P$412))-42.994)/74.5127,2),IF('Resumen 2.0TD'!$D$3="OPTIMIZAR",ROUND(MAX(AA414,MIN(AA414*(($AB$412/(1-'Resumen 2.0TD'!$F$3))-42.994)/74.5127,AA414*(699.0938)/74.5127)),3),AA414))</f>
        <v>351.174</v>
      </c>
      <c r="C414" s="118"/>
      <c r="D414" s="107" t="n">
        <v>0.109</v>
      </c>
      <c r="E414" s="108" t="n">
        <v>0.13788</v>
      </c>
      <c r="F414" s="109" t="n">
        <f aca="false">ROUND(B414*E414,2)</f>
        <v>48.42</v>
      </c>
      <c r="H414" s="110" t="n">
        <v>19.319</v>
      </c>
      <c r="I414" s="111" t="n">
        <v>0.13788</v>
      </c>
      <c r="J414" s="112" t="n">
        <f aca="false">ROUND(H414*I414,2)</f>
        <v>2.66</v>
      </c>
      <c r="L414" s="113" t="n">
        <v>304.41</v>
      </c>
      <c r="M414" s="114" t="n">
        <v>0.13788</v>
      </c>
      <c r="N414" s="115" t="n">
        <f aca="false">ROUND(L414*M414,2)</f>
        <v>41.97</v>
      </c>
      <c r="O414" s="120" t="s">
        <v>622</v>
      </c>
      <c r="AA414" s="0" t="n">
        <v>351.174</v>
      </c>
    </row>
    <row r="415" customFormat="false" ht="15" hidden="false" customHeight="false" outlineLevel="0" collapsed="false">
      <c r="A415" s="104" t="s">
        <v>139</v>
      </c>
      <c r="B415" s="105" t="n">
        <v>1</v>
      </c>
      <c r="C415" s="106" t="n">
        <f aca="false">$N$407-$L$407+1</f>
        <v>30</v>
      </c>
      <c r="D415" s="107" t="n">
        <v>1.3414</v>
      </c>
      <c r="E415" s="108" t="n">
        <v>3</v>
      </c>
      <c r="F415" s="109" t="n">
        <f aca="false">ROUND(B415*E415,2)</f>
        <v>3</v>
      </c>
      <c r="H415" s="110" t="n">
        <v>1</v>
      </c>
      <c r="I415" s="111" t="n">
        <v>3</v>
      </c>
      <c r="J415" s="112" t="n">
        <f aca="false">ROUND(H415*I415,2)</f>
        <v>3</v>
      </c>
      <c r="L415" s="113" t="n">
        <v>1</v>
      </c>
      <c r="M415" s="114" t="n">
        <v>3</v>
      </c>
      <c r="N415" s="115" t="n">
        <f aca="false">ROUND(L415*M415,2)</f>
        <v>3</v>
      </c>
    </row>
    <row r="416" customFormat="false" ht="15" hidden="false" customHeight="false" outlineLevel="0" collapsed="false">
      <c r="A416" s="104" t="s">
        <v>140</v>
      </c>
      <c r="B416" s="105" t="n">
        <v>30</v>
      </c>
      <c r="C416" s="106" t="n">
        <f aca="false">$N$407-$L$407+1</f>
        <v>30</v>
      </c>
      <c r="D416" s="107" t="n">
        <v>0.5736</v>
      </c>
      <c r="E416" s="108" t="n">
        <v>0.01274</v>
      </c>
      <c r="F416" s="109" t="n">
        <f aca="false">ROUND(B416*E416,2)</f>
        <v>0.38</v>
      </c>
      <c r="H416" s="110" t="n">
        <v>30</v>
      </c>
      <c r="I416" s="111" t="n">
        <v>0.01274</v>
      </c>
      <c r="J416" s="112" t="n">
        <f aca="false">ROUND(H416*I416,2)</f>
        <v>0.38</v>
      </c>
      <c r="L416" s="113" t="n">
        <v>30</v>
      </c>
      <c r="M416" s="114" t="n">
        <v>0.00629</v>
      </c>
      <c r="N416" s="115" t="n">
        <f aca="false">ROUND(L416*M416,2)</f>
        <v>0.19</v>
      </c>
    </row>
    <row r="417" customFormat="false" ht="15" hidden="false" customHeight="false" outlineLevel="0" collapsed="false">
      <c r="A417" s="104" t="s">
        <v>141</v>
      </c>
      <c r="B417" s="105" t="n">
        <v>5.25</v>
      </c>
      <c r="C417" s="118"/>
      <c r="D417" s="107" t="n">
        <v>0.24372</v>
      </c>
      <c r="E417" s="108" t="n">
        <v>1</v>
      </c>
      <c r="F417" s="109" t="n">
        <f aca="false">ROUND(B417*E417,2)</f>
        <v>5.25</v>
      </c>
      <c r="H417" s="110" t="n">
        <v>2.21</v>
      </c>
      <c r="I417" s="111" t="n">
        <v>1</v>
      </c>
      <c r="J417" s="112" t="n">
        <f aca="false">ROUND(H417*I417,2)</f>
        <v>2.21</v>
      </c>
      <c r="L417" s="113" t="n">
        <v>4.54</v>
      </c>
      <c r="M417" s="114" t="n">
        <v>1</v>
      </c>
      <c r="N417" s="115" t="n">
        <f aca="false">ROUND(L417*M417,2)</f>
        <v>4.54</v>
      </c>
    </row>
    <row r="418" customFormat="false" ht="15" hidden="false" customHeight="false" outlineLevel="0" collapsed="false">
      <c r="A418" s="121" t="s">
        <v>142</v>
      </c>
      <c r="F418" s="122" t="n">
        <f aca="false">ROUND((SUM(F410:F417)-F417)*1.1+F417,2)</f>
        <v>138.23</v>
      </c>
      <c r="J418" s="123" t="n">
        <f aca="false">ROUND(SUM(J410:J417),2)</f>
        <v>52.61</v>
      </c>
      <c r="N418" s="124" t="n">
        <f aca="false">ROUND(SUM(N410:N417),2)</f>
        <v>119.96</v>
      </c>
    </row>
    <row r="419" customFormat="false" ht="15" hidden="false" customHeight="false" outlineLevel="0" collapsed="false">
      <c r="A419" s="93" t="s">
        <v>143</v>
      </c>
      <c r="B419" s="125" t="n">
        <f aca="false">IF((F414+F413+F412+F410+F411)=0,"",((F414+F413+F412+F410+F411)-$AB$412)/(F414+F413+F412+F410+F411))</f>
        <v>0.185112305335716</v>
      </c>
      <c r="D419" s="126" t="str">
        <f aca="false">IF(B419="","SIN PC",IF(B419&gt;=0.3,"APROBAR",IF(B419&gt;=0.2,"REVISAR","RECHAZAR")))</f>
        <v>RECHAZAR</v>
      </c>
      <c r="E419" s="126"/>
      <c r="F419" s="126"/>
      <c r="AD419" s="0" t="n">
        <f aca="false">SUM(F412:F414)-74.5127</f>
        <v>-0.00269999999999015</v>
      </c>
    </row>
    <row r="420" customFormat="false" ht="15" hidden="false" customHeight="false" outlineLevel="0" collapsed="false">
      <c r="A420" s="127" t="s">
        <v>744</v>
      </c>
      <c r="B420" s="127"/>
      <c r="C420" s="127"/>
      <c r="D420" s="127"/>
      <c r="E420" s="127"/>
      <c r="F420" s="127"/>
    </row>
    <row r="421" customFormat="false" ht="15" hidden="false" customHeight="false" outlineLevel="0" collapsed="false">
      <c r="A421" s="128" t="s">
        <v>111</v>
      </c>
      <c r="B421" s="128" t="s">
        <v>745</v>
      </c>
      <c r="D421" s="128" t="s">
        <v>746</v>
      </c>
      <c r="E421" s="128" t="s">
        <v>747</v>
      </c>
      <c r="F421" s="128" t="s">
        <v>120</v>
      </c>
    </row>
    <row r="422" customFormat="false" ht="15" hidden="false" customHeight="false" outlineLevel="0" collapsed="false">
      <c r="A422" s="129" t="s">
        <v>748</v>
      </c>
      <c r="B422" s="130" t="n">
        <v>336</v>
      </c>
      <c r="C422" s="131"/>
      <c r="D422" s="107" t="n">
        <v>0.06</v>
      </c>
      <c r="E422" s="131"/>
      <c r="F422" s="132" t="n">
        <f aca="false">ROUND(B422*D422,2)</f>
        <v>20.16</v>
      </c>
    </row>
    <row r="423" customFormat="false" ht="15" hidden="false" customHeight="false" outlineLevel="0" collapsed="false">
      <c r="A423" s="129" t="s">
        <v>749</v>
      </c>
      <c r="B423" s="131"/>
      <c r="C423" s="131"/>
      <c r="D423" s="131"/>
      <c r="E423" s="133" t="n">
        <v>0.1</v>
      </c>
      <c r="F423" s="132" t="n">
        <v>14.87</v>
      </c>
    </row>
    <row r="424" customFormat="false" ht="15" hidden="false" customHeight="false" outlineLevel="0" collapsed="false">
      <c r="A424" s="134" t="s">
        <v>750</v>
      </c>
      <c r="B424" s="131"/>
      <c r="C424" s="131"/>
      <c r="D424" s="131"/>
      <c r="E424" s="131"/>
      <c r="F424" s="135" t="n">
        <f aca="false">F422-F423</f>
        <v>5.29</v>
      </c>
    </row>
    <row r="426" customFormat="false" ht="15" hidden="false" customHeight="false" outlineLevel="0" collapsed="false">
      <c r="A426" s="89" t="s">
        <v>855</v>
      </c>
      <c r="B426" s="89"/>
      <c r="C426" s="89"/>
      <c r="D426" s="89"/>
      <c r="E426" s="89"/>
      <c r="F426" s="89"/>
      <c r="H426" s="89" t="s">
        <v>819</v>
      </c>
      <c r="I426" s="89"/>
      <c r="J426" s="89"/>
      <c r="K426" s="89"/>
      <c r="L426" s="90" t="n">
        <v>46113</v>
      </c>
      <c r="M426" s="91" t="s">
        <v>608</v>
      </c>
      <c r="N426" s="90" t="n">
        <v>46142</v>
      </c>
      <c r="R426" s="92" t="s">
        <v>110</v>
      </c>
      <c r="S426" s="92"/>
      <c r="T426" s="92"/>
      <c r="U426" s="92"/>
      <c r="V426" s="92"/>
    </row>
    <row r="427" customFormat="false" ht="15" hidden="false" customHeight="false" outlineLevel="0" collapsed="false">
      <c r="A427" s="93" t="s">
        <v>111</v>
      </c>
      <c r="B427" s="94" t="s">
        <v>112</v>
      </c>
      <c r="C427" s="95"/>
      <c r="D427" s="95"/>
      <c r="E427" s="95"/>
      <c r="F427" s="95"/>
      <c r="H427" s="96" t="s">
        <v>820</v>
      </c>
      <c r="I427" s="97"/>
      <c r="J427" s="97"/>
      <c r="L427" s="98" t="s">
        <v>821</v>
      </c>
      <c r="M427" s="99"/>
      <c r="N427" s="99"/>
      <c r="R427" s="100" t="s">
        <v>822</v>
      </c>
    </row>
    <row r="428" customFormat="false" ht="15" hidden="false" customHeight="false" outlineLevel="0" collapsed="false">
      <c r="B428" s="81" t="s">
        <v>116</v>
      </c>
      <c r="C428" s="81" t="s">
        <v>117</v>
      </c>
      <c r="D428" s="81" t="s">
        <v>118</v>
      </c>
      <c r="E428" s="81" t="s">
        <v>119</v>
      </c>
      <c r="F428" s="81" t="s">
        <v>120</v>
      </c>
      <c r="H428" s="101" t="s">
        <v>116</v>
      </c>
      <c r="I428" s="101" t="s">
        <v>119</v>
      </c>
      <c r="J428" s="101" t="s">
        <v>120</v>
      </c>
      <c r="L428" s="102" t="s">
        <v>116</v>
      </c>
      <c r="M428" s="102" t="s">
        <v>119</v>
      </c>
      <c r="N428" s="102" t="s">
        <v>120</v>
      </c>
      <c r="R428" s="103" t="s">
        <v>823</v>
      </c>
    </row>
    <row r="429" customFormat="false" ht="15" hidden="false" customHeight="false" outlineLevel="0" collapsed="false">
      <c r="A429" s="104" t="s">
        <v>122</v>
      </c>
      <c r="B429" s="105" t="n">
        <v>6.93</v>
      </c>
      <c r="C429" s="106" t="n">
        <f aca="false">$N$426-$L$426+1</f>
        <v>30</v>
      </c>
      <c r="D429" s="107" t="n">
        <v>3.4086</v>
      </c>
      <c r="E429" s="108" t="n">
        <v>4.17</v>
      </c>
      <c r="F429" s="109" t="n">
        <f aca="false">ROUND(B429*E429,2)</f>
        <v>28.9</v>
      </c>
      <c r="H429" s="110" t="n">
        <v>6.93</v>
      </c>
      <c r="I429" s="111" t="n">
        <v>4.17</v>
      </c>
      <c r="J429" s="112" t="n">
        <f aca="false">ROUND(H429*I429,2)</f>
        <v>28.9</v>
      </c>
      <c r="L429" s="113" t="n">
        <v>6.93</v>
      </c>
      <c r="M429" s="114" t="n">
        <v>4.17</v>
      </c>
      <c r="N429" s="115" t="n">
        <f aca="false">ROUND(L429*M429,2)</f>
        <v>28.9</v>
      </c>
      <c r="R429" s="116" t="s">
        <v>824</v>
      </c>
    </row>
    <row r="430" customFormat="false" ht="15" hidden="false" customHeight="false" outlineLevel="0" collapsed="false">
      <c r="A430" s="104" t="s">
        <v>124</v>
      </c>
      <c r="B430" s="105" t="n">
        <v>6.93</v>
      </c>
      <c r="C430" s="106" t="n">
        <f aca="false">$N$426-$L$426+1</f>
        <v>30</v>
      </c>
      <c r="D430" s="107" t="n">
        <v>1.09728</v>
      </c>
      <c r="E430" s="108" t="n">
        <v>1.37</v>
      </c>
      <c r="F430" s="109" t="n">
        <f aca="false">ROUND(B430*E430,2)</f>
        <v>9.49</v>
      </c>
      <c r="H430" s="110" t="n">
        <v>6.93</v>
      </c>
      <c r="I430" s="111" t="n">
        <v>1.37</v>
      </c>
      <c r="J430" s="112" t="n">
        <f aca="false">ROUND(H430*I430,2)</f>
        <v>9.49</v>
      </c>
      <c r="L430" s="113" t="n">
        <v>6.93</v>
      </c>
      <c r="M430" s="114" t="n">
        <v>1.37</v>
      </c>
      <c r="N430" s="115" t="n">
        <f aca="false">ROUND(L430*M430,2)</f>
        <v>9.49</v>
      </c>
      <c r="R430" s="117" t="s">
        <v>825</v>
      </c>
    </row>
    <row r="431" customFormat="false" ht="15" hidden="false" customHeight="false" outlineLevel="0" collapsed="false">
      <c r="A431" s="104" t="s">
        <v>615</v>
      </c>
      <c r="B431" s="105" t="n">
        <f aca="false">IF($P$431&lt;&gt;"",ROUND(AA431*(($AB$431/(1-$P$431))-38.3922)/46.6496,2),IF('Resumen 2.0TD'!$D$3="OPTIMIZAR",ROUND(MAX(AA431,MIN(AA431*(($AB$431/(1-'Resumen 2.0TD'!$F$3))-38.3922)/46.6496,AA431*(155.7556)/46.6496)),3),AA431))</f>
        <v>65.059</v>
      </c>
      <c r="C431" s="118"/>
      <c r="D431" s="107" t="n">
        <v>0.110306</v>
      </c>
      <c r="E431" s="108" t="n">
        <v>0.14937</v>
      </c>
      <c r="F431" s="109" t="n">
        <f aca="false">ROUND(B431*E431,2)</f>
        <v>9.72</v>
      </c>
      <c r="H431" s="110" t="n">
        <v>151.137</v>
      </c>
      <c r="I431" s="111" t="n">
        <v>0.14937</v>
      </c>
      <c r="J431" s="112" t="n">
        <f aca="false">ROUND(H431*I431,2)</f>
        <v>22.58</v>
      </c>
      <c r="L431" s="113" t="n">
        <v>27.198</v>
      </c>
      <c r="M431" s="114" t="n">
        <v>0.14937</v>
      </c>
      <c r="N431" s="115" t="n">
        <f aca="false">ROUND(L431*M431,2)</f>
        <v>4.06</v>
      </c>
      <c r="O431" s="119" t="s">
        <v>616</v>
      </c>
      <c r="P431" s="79"/>
      <c r="R431" s="117" t="s">
        <v>826</v>
      </c>
      <c r="AA431" s="0" t="n">
        <v>65.059</v>
      </c>
      <c r="AB431" s="0" t="n">
        <f aca="false">B429*D429+B430*D430+AA431*D431+AA432*D432+AA433*D433</f>
        <v>65.675304954</v>
      </c>
    </row>
    <row r="432" customFormat="false" ht="15" hidden="false" customHeight="false" outlineLevel="0" collapsed="false">
      <c r="A432" s="104" t="s">
        <v>618</v>
      </c>
      <c r="B432" s="105" t="n">
        <f aca="false">IF($P$431&lt;&gt;"",ROUND(AA432*(($AB$431/(1-$P$431))-38.3922)/46.6496,2),IF('Resumen 2.0TD'!$D$3="OPTIMIZAR",ROUND(MAX(AA432,MIN(AA432*(($AB$431/(1-'Resumen 2.0TD'!$F$3))-38.3922)/46.6496,AA432*(155.7556)/46.6496)),3),AA432))</f>
        <v>41.968</v>
      </c>
      <c r="C432" s="118"/>
      <c r="D432" s="107" t="n">
        <v>0.110306</v>
      </c>
      <c r="E432" s="108" t="n">
        <v>0.14937</v>
      </c>
      <c r="F432" s="109" t="n">
        <f aca="false">ROUND(B432*E432,2)</f>
        <v>6.27</v>
      </c>
      <c r="H432" s="110" t="n">
        <v>123.193</v>
      </c>
      <c r="I432" s="111" t="n">
        <v>0.14937</v>
      </c>
      <c r="J432" s="112" t="n">
        <f aca="false">ROUND(H432*I432,2)</f>
        <v>18.4</v>
      </c>
      <c r="L432" s="113" t="n">
        <v>22.981</v>
      </c>
      <c r="M432" s="114" t="n">
        <v>0.14937</v>
      </c>
      <c r="N432" s="115" t="n">
        <f aca="false">ROUND(L432*M432,2)</f>
        <v>3.43</v>
      </c>
      <c r="O432" s="120" t="s">
        <v>619</v>
      </c>
      <c r="R432" s="117" t="s">
        <v>620</v>
      </c>
      <c r="AA432" s="0" t="n">
        <v>41.968</v>
      </c>
    </row>
    <row r="433" customFormat="false" ht="15" hidden="false" customHeight="false" outlineLevel="0" collapsed="false">
      <c r="A433" s="104" t="s">
        <v>621</v>
      </c>
      <c r="B433" s="105" t="n">
        <f aca="false">IF($P$431&lt;&gt;"",ROUND(AA433*(($AB$431/(1-$P$431))-38.3922)/46.6496,2),IF('Resumen 2.0TD'!$D$3="OPTIMIZAR",ROUND(MAX(AA433,MIN(AA433*(($AB$431/(1-'Resumen 2.0TD'!$F$3))-38.3922)/46.6496,AA433*(155.7556)/46.6496)),3),AA433))</f>
        <v>205.282</v>
      </c>
      <c r="C433" s="118"/>
      <c r="D433" s="107" t="n">
        <v>0.110306</v>
      </c>
      <c r="E433" s="108" t="n">
        <v>0.14937</v>
      </c>
      <c r="F433" s="109" t="n">
        <f aca="false">ROUND(B433*E433,2)</f>
        <v>30.66</v>
      </c>
      <c r="H433" s="110" t="n">
        <v>361.742</v>
      </c>
      <c r="I433" s="111" t="n">
        <v>0.14937</v>
      </c>
      <c r="J433" s="112" t="n">
        <f aca="false">ROUND(H433*I433,2)</f>
        <v>54.03</v>
      </c>
      <c r="L433" s="113" t="n">
        <v>44.96</v>
      </c>
      <c r="M433" s="114" t="n">
        <v>0.14937</v>
      </c>
      <c r="N433" s="115" t="n">
        <f aca="false">ROUND(L433*M433,2)</f>
        <v>6.72</v>
      </c>
      <c r="O433" s="120" t="s">
        <v>622</v>
      </c>
      <c r="AA433" s="0" t="n">
        <v>205.282</v>
      </c>
    </row>
    <row r="434" customFormat="false" ht="15" hidden="false" customHeight="false" outlineLevel="0" collapsed="false">
      <c r="A434" s="104" t="s">
        <v>139</v>
      </c>
      <c r="B434" s="105" t="n">
        <v>1</v>
      </c>
      <c r="C434" s="106" t="n">
        <f aca="false">$N$426-$L$426+1</f>
        <v>30</v>
      </c>
      <c r="D434" s="107" t="n">
        <v>1.3414</v>
      </c>
      <c r="E434" s="108" t="n">
        <v>4</v>
      </c>
      <c r="F434" s="109" t="n">
        <f aca="false">ROUND(B434*E434,2)</f>
        <v>4</v>
      </c>
      <c r="H434" s="110" t="n">
        <v>1</v>
      </c>
      <c r="I434" s="111" t="n">
        <v>4</v>
      </c>
      <c r="J434" s="112" t="n">
        <f aca="false">ROUND(H434*I434,2)</f>
        <v>4</v>
      </c>
      <c r="L434" s="113" t="n">
        <v>1</v>
      </c>
      <c r="M434" s="114" t="n">
        <v>4</v>
      </c>
      <c r="N434" s="115" t="n">
        <f aca="false">ROUND(L434*M434,2)</f>
        <v>4</v>
      </c>
    </row>
    <row r="435" customFormat="false" ht="15" hidden="false" customHeight="false" outlineLevel="0" collapsed="false">
      <c r="A435" s="104" t="s">
        <v>140</v>
      </c>
      <c r="B435" s="105" t="n">
        <v>30</v>
      </c>
      <c r="C435" s="106" t="n">
        <f aca="false">$N$426-$L$426+1</f>
        <v>30</v>
      </c>
      <c r="D435" s="107" t="n">
        <v>0.5736</v>
      </c>
      <c r="E435" s="108" t="n">
        <v>0.01274</v>
      </c>
      <c r="F435" s="109" t="n">
        <f aca="false">ROUND(B435*E435,2)</f>
        <v>0.38</v>
      </c>
      <c r="H435" s="110" t="n">
        <v>30</v>
      </c>
      <c r="I435" s="111" t="n">
        <v>0.01274</v>
      </c>
      <c r="J435" s="112" t="n">
        <f aca="false">ROUND(H435*I435,2)</f>
        <v>0.38</v>
      </c>
      <c r="L435" s="113" t="n">
        <v>30</v>
      </c>
      <c r="M435" s="114" t="n">
        <v>0.00629</v>
      </c>
      <c r="N435" s="115" t="n">
        <f aca="false">ROUND(L435*M435,2)</f>
        <v>0.19</v>
      </c>
    </row>
    <row r="436" customFormat="false" ht="15" hidden="false" customHeight="false" outlineLevel="0" collapsed="false">
      <c r="A436" s="104" t="s">
        <v>141</v>
      </c>
      <c r="B436" s="105" t="n">
        <v>3.12</v>
      </c>
      <c r="C436" s="118"/>
      <c r="D436" s="107" t="n">
        <v>0.24729</v>
      </c>
      <c r="E436" s="108" t="n">
        <v>1</v>
      </c>
      <c r="F436" s="109" t="n">
        <f aca="false">ROUND(B436*E436,2)</f>
        <v>3.12</v>
      </c>
      <c r="H436" s="110" t="n">
        <v>6.09</v>
      </c>
      <c r="I436" s="111" t="n">
        <v>1</v>
      </c>
      <c r="J436" s="112" t="n">
        <f aca="false">ROUND(H436*I436,2)</f>
        <v>6.09</v>
      </c>
      <c r="L436" s="113" t="n">
        <v>1.97</v>
      </c>
      <c r="M436" s="114" t="n">
        <v>1</v>
      </c>
      <c r="N436" s="115" t="n">
        <f aca="false">ROUND(L436*M436,2)</f>
        <v>1.97</v>
      </c>
    </row>
    <row r="437" customFormat="false" ht="15" hidden="false" customHeight="false" outlineLevel="0" collapsed="false">
      <c r="A437" s="121" t="s">
        <v>142</v>
      </c>
      <c r="F437" s="122" t="n">
        <f aca="false">ROUND((SUM(F429:F436)-F436)*1.1+F436,2)</f>
        <v>101.48</v>
      </c>
      <c r="J437" s="123" t="n">
        <f aca="false">ROUND(SUM(J429:J436),2)</f>
        <v>143.87</v>
      </c>
      <c r="N437" s="124" t="n">
        <f aca="false">ROUND(SUM(N429:N436),2)</f>
        <v>58.76</v>
      </c>
    </row>
    <row r="438" customFormat="false" ht="15" hidden="false" customHeight="false" outlineLevel="0" collapsed="false">
      <c r="A438" s="93" t="s">
        <v>143</v>
      </c>
      <c r="B438" s="125" t="n">
        <f aca="false">IF((F433+F432+F431+F429+F430)=0,"",((F433+F432+F431+F429+F430)-$AB$431)/(F433+F432+F431+F429+F430))</f>
        <v>0.227712782761053</v>
      </c>
      <c r="D438" s="126" t="str">
        <f aca="false">IF(B438="","SIN PC",IF(B438&gt;=0.3,"APROBAR",IF(B438&gt;=0.2,"REVISAR","RECHAZAR")))</f>
        <v>REVISAR</v>
      </c>
      <c r="E438" s="126"/>
      <c r="F438" s="126"/>
      <c r="AD438" s="0" t="n">
        <f aca="false">SUM(F431:F433)-46.6496</f>
        <v>0.000399999999999068</v>
      </c>
    </row>
    <row r="439" customFormat="false" ht="15" hidden="false" customHeight="false" outlineLevel="0" collapsed="false">
      <c r="A439" s="127" t="s">
        <v>744</v>
      </c>
      <c r="B439" s="127"/>
      <c r="C439" s="127"/>
      <c r="D439" s="127"/>
      <c r="E439" s="127"/>
      <c r="F439" s="127"/>
    </row>
    <row r="440" customFormat="false" ht="15" hidden="false" customHeight="false" outlineLevel="0" collapsed="false">
      <c r="A440" s="128" t="s">
        <v>111</v>
      </c>
      <c r="B440" s="128" t="s">
        <v>745</v>
      </c>
      <c r="D440" s="128" t="s">
        <v>746</v>
      </c>
      <c r="E440" s="128" t="s">
        <v>747</v>
      </c>
      <c r="F440" s="128" t="s">
        <v>120</v>
      </c>
    </row>
    <row r="441" customFormat="false" ht="15" hidden="false" customHeight="false" outlineLevel="0" collapsed="false">
      <c r="A441" s="129" t="s">
        <v>748</v>
      </c>
      <c r="B441" s="130" t="n">
        <v>482</v>
      </c>
      <c r="C441" s="131"/>
      <c r="D441" s="107" t="n">
        <v>0.06</v>
      </c>
      <c r="E441" s="131"/>
      <c r="F441" s="132" t="n">
        <f aca="false">ROUND(B441*D441,2)</f>
        <v>28.92</v>
      </c>
    </row>
    <row r="442" customFormat="false" ht="15" hidden="false" customHeight="false" outlineLevel="0" collapsed="false">
      <c r="A442" s="129" t="s">
        <v>749</v>
      </c>
      <c r="B442" s="131"/>
      <c r="C442" s="131"/>
      <c r="D442" s="131"/>
      <c r="E442" s="133" t="n">
        <v>0.06</v>
      </c>
      <c r="F442" s="132" t="n">
        <v>24.22</v>
      </c>
    </row>
    <row r="443" customFormat="false" ht="15" hidden="false" customHeight="false" outlineLevel="0" collapsed="false">
      <c r="A443" s="134" t="s">
        <v>750</v>
      </c>
      <c r="B443" s="131"/>
      <c r="C443" s="131"/>
      <c r="D443" s="131"/>
      <c r="E443" s="131"/>
      <c r="F443" s="135" t="n">
        <f aca="false">F441-F442</f>
        <v>4.7</v>
      </c>
    </row>
    <row r="445" customFormat="false" ht="15" hidden="false" customHeight="false" outlineLevel="0" collapsed="false">
      <c r="A445" s="89" t="s">
        <v>856</v>
      </c>
      <c r="B445" s="89"/>
      <c r="C445" s="89"/>
      <c r="D445" s="89"/>
      <c r="E445" s="89"/>
      <c r="F445" s="89"/>
      <c r="H445" s="89" t="s">
        <v>857</v>
      </c>
      <c r="I445" s="89"/>
      <c r="J445" s="89"/>
      <c r="K445" s="89"/>
      <c r="L445" s="90" t="n">
        <v>46113</v>
      </c>
      <c r="M445" s="91" t="s">
        <v>608</v>
      </c>
      <c r="N445" s="90" t="n">
        <v>46142</v>
      </c>
      <c r="R445" s="92" t="s">
        <v>110</v>
      </c>
      <c r="S445" s="92"/>
      <c r="T445" s="92"/>
      <c r="U445" s="92"/>
      <c r="V445" s="92"/>
    </row>
    <row r="446" customFormat="false" ht="15" hidden="false" customHeight="false" outlineLevel="0" collapsed="false">
      <c r="A446" s="93" t="s">
        <v>111</v>
      </c>
      <c r="B446" s="94" t="s">
        <v>112</v>
      </c>
      <c r="C446" s="95"/>
      <c r="D446" s="95"/>
      <c r="E446" s="95"/>
      <c r="F446" s="95"/>
      <c r="H446" s="96" t="s">
        <v>858</v>
      </c>
      <c r="I446" s="97"/>
      <c r="J446" s="97"/>
      <c r="L446" s="98" t="s">
        <v>859</v>
      </c>
      <c r="M446" s="99"/>
      <c r="N446" s="99"/>
      <c r="R446" s="100" t="s">
        <v>860</v>
      </c>
    </row>
    <row r="447" customFormat="false" ht="15" hidden="false" customHeight="false" outlineLevel="0" collapsed="false">
      <c r="B447" s="81" t="s">
        <v>116</v>
      </c>
      <c r="C447" s="81" t="s">
        <v>117</v>
      </c>
      <c r="D447" s="81" t="s">
        <v>118</v>
      </c>
      <c r="E447" s="81" t="s">
        <v>119</v>
      </c>
      <c r="F447" s="81" t="s">
        <v>120</v>
      </c>
      <c r="H447" s="101" t="s">
        <v>116</v>
      </c>
      <c r="I447" s="101" t="s">
        <v>119</v>
      </c>
      <c r="J447" s="101" t="s">
        <v>120</v>
      </c>
      <c r="L447" s="102" t="s">
        <v>116</v>
      </c>
      <c r="M447" s="102" t="s">
        <v>119</v>
      </c>
      <c r="N447" s="102" t="s">
        <v>120</v>
      </c>
      <c r="R447" s="103" t="s">
        <v>861</v>
      </c>
    </row>
    <row r="448" customFormat="false" ht="15" hidden="false" customHeight="false" outlineLevel="0" collapsed="false">
      <c r="A448" s="104" t="s">
        <v>122</v>
      </c>
      <c r="B448" s="105" t="n">
        <v>4.6</v>
      </c>
      <c r="C448" s="106" t="n">
        <f aca="false">$N$445-$L$445+1</f>
        <v>30</v>
      </c>
      <c r="D448" s="107" t="n">
        <v>3.4086</v>
      </c>
      <c r="E448" s="108" t="n">
        <v>4.82</v>
      </c>
      <c r="F448" s="109" t="n">
        <f aca="false">ROUND(B448*E448,2)</f>
        <v>22.17</v>
      </c>
      <c r="H448" s="110" t="n">
        <v>4.6</v>
      </c>
      <c r="I448" s="111" t="n">
        <v>4.82</v>
      </c>
      <c r="J448" s="112" t="n">
        <f aca="false">ROUND(H448*I448,2)</f>
        <v>22.17</v>
      </c>
      <c r="L448" s="113" t="n">
        <v>4.6</v>
      </c>
      <c r="M448" s="114" t="n">
        <v>4.82</v>
      </c>
      <c r="N448" s="115" t="n">
        <f aca="false">ROUND(L448*M448,2)</f>
        <v>22.17</v>
      </c>
      <c r="R448" s="116" t="s">
        <v>862</v>
      </c>
    </row>
    <row r="449" customFormat="false" ht="15" hidden="false" customHeight="false" outlineLevel="0" collapsed="false">
      <c r="A449" s="104" t="s">
        <v>124</v>
      </c>
      <c r="B449" s="105" t="n">
        <v>4.6</v>
      </c>
      <c r="C449" s="106" t="n">
        <f aca="false">$N$445-$L$445+1</f>
        <v>30</v>
      </c>
      <c r="D449" s="107" t="n">
        <v>1.09728</v>
      </c>
      <c r="E449" s="108" t="n">
        <v>2.3744</v>
      </c>
      <c r="F449" s="109" t="n">
        <f aca="false">ROUND(B449*E449,2)</f>
        <v>10.92</v>
      </c>
      <c r="H449" s="110" t="n">
        <v>4.6</v>
      </c>
      <c r="I449" s="111" t="n">
        <v>2.3744</v>
      </c>
      <c r="J449" s="112" t="n">
        <f aca="false">ROUND(H449*I449,2)</f>
        <v>10.92</v>
      </c>
      <c r="L449" s="113" t="n">
        <v>4.6</v>
      </c>
      <c r="M449" s="114" t="n">
        <v>2.3744</v>
      </c>
      <c r="N449" s="115" t="n">
        <f aca="false">ROUND(L449*M449,2)</f>
        <v>10.92</v>
      </c>
      <c r="R449" s="117" t="s">
        <v>863</v>
      </c>
    </row>
    <row r="450" customFormat="false" ht="15" hidden="false" customHeight="false" outlineLevel="0" collapsed="false">
      <c r="A450" s="104" t="s">
        <v>615</v>
      </c>
      <c r="B450" s="105" t="n">
        <f aca="false">IF($P$450&lt;&gt;"",ROUND(AA450*(($AB$450/(1-$P$450))-33.0942)/6.3331,2),IF('Resumen 2.0TD'!$D$3="OPTIMIZAR",ROUND(MAX(AA450,MIN(AA450*(($AB$450/(1-'Resumen 2.0TD'!$F$3))-33.0942)/6.3331,AA450*(90.8436)/6.3331)),3),AA450))</f>
        <v>7.872</v>
      </c>
      <c r="C450" s="118"/>
      <c r="D450" s="107" t="n">
        <v>0.110306</v>
      </c>
      <c r="E450" s="108" t="n">
        <v>0.1724</v>
      </c>
      <c r="F450" s="109" t="n">
        <f aca="false">ROUND(B450*E450,2)</f>
        <v>1.36</v>
      </c>
      <c r="H450" s="110" t="n">
        <v>7.514</v>
      </c>
      <c r="I450" s="111" t="n">
        <v>0.1724</v>
      </c>
      <c r="J450" s="112" t="n">
        <f aca="false">ROUND(H450*I450,2)</f>
        <v>1.3</v>
      </c>
      <c r="L450" s="113" t="n">
        <v>58.013</v>
      </c>
      <c r="M450" s="114" t="n">
        <v>0.1724</v>
      </c>
      <c r="N450" s="115" t="n">
        <f aca="false">ROUND(L450*M450,2)</f>
        <v>10</v>
      </c>
      <c r="O450" s="119" t="s">
        <v>616</v>
      </c>
      <c r="P450" s="79"/>
      <c r="R450" s="117" t="s">
        <v>864</v>
      </c>
      <c r="AA450" s="0" t="n">
        <v>7.872</v>
      </c>
      <c r="AB450" s="0" t="n">
        <f aca="false">B448*D448+B449*D449+AA450*D450+AA451*D451+AA452*D452</f>
        <v>24.77913891</v>
      </c>
    </row>
    <row r="451" customFormat="false" ht="15" hidden="false" customHeight="false" outlineLevel="0" collapsed="false">
      <c r="A451" s="104" t="s">
        <v>618</v>
      </c>
      <c r="B451" s="105" t="n">
        <f aca="false">IF($P$450&lt;&gt;"",ROUND(AA451*(($AB$450/(1-$P$450))-33.0942)/6.3331,2),IF('Resumen 2.0TD'!$D$3="OPTIMIZAR",ROUND(MAX(AA451,MIN(AA451*(($AB$450/(1-'Resumen 2.0TD'!$F$3))-33.0942)/6.3331,AA451*(90.8436)/6.3331)),3),AA451))</f>
        <v>4.519</v>
      </c>
      <c r="C451" s="118"/>
      <c r="D451" s="107" t="n">
        <v>0.110306</v>
      </c>
      <c r="E451" s="108" t="n">
        <v>0.1724</v>
      </c>
      <c r="F451" s="109" t="n">
        <f aca="false">ROUND(B451*E451,2)</f>
        <v>0.78</v>
      </c>
      <c r="H451" s="110" t="n">
        <v>6.158</v>
      </c>
      <c r="I451" s="111" t="n">
        <v>0.1724</v>
      </c>
      <c r="J451" s="112" t="n">
        <f aca="false">ROUND(H451*I451,2)</f>
        <v>1.06</v>
      </c>
      <c r="L451" s="113" t="n">
        <v>30.79</v>
      </c>
      <c r="M451" s="114" t="n">
        <v>0.1724</v>
      </c>
      <c r="N451" s="115" t="n">
        <f aca="false">ROUND(L451*M451,2)</f>
        <v>5.31</v>
      </c>
      <c r="O451" s="120" t="s">
        <v>619</v>
      </c>
      <c r="R451" s="117" t="s">
        <v>620</v>
      </c>
      <c r="AA451" s="0" t="n">
        <v>4.519</v>
      </c>
    </row>
    <row r="452" customFormat="false" ht="15" hidden="false" customHeight="false" outlineLevel="0" collapsed="false">
      <c r="A452" s="104" t="s">
        <v>621</v>
      </c>
      <c r="B452" s="105" t="n">
        <f aca="false">IF($P$450&lt;&gt;"",ROUND(AA452*(($AB$450/(1-$P$450))-33.0942)/6.3331,2),IF('Resumen 2.0TD'!$D$3="OPTIMIZAR",ROUND(MAX(AA452,MIN(AA452*(($AB$450/(1-'Resumen 2.0TD'!$F$3))-33.0942)/6.3331,AA452*(90.8436)/6.3331)),3),AA452))</f>
        <v>24.344</v>
      </c>
      <c r="C452" s="118"/>
      <c r="D452" s="107" t="n">
        <v>0.110306</v>
      </c>
      <c r="E452" s="108" t="n">
        <v>0.1724</v>
      </c>
      <c r="F452" s="109" t="n">
        <f aca="false">ROUND(B452*E452,2)</f>
        <v>4.2</v>
      </c>
      <c r="H452" s="110" t="n">
        <v>29.271</v>
      </c>
      <c r="I452" s="111" t="n">
        <v>0.1724</v>
      </c>
      <c r="J452" s="112" t="n">
        <f aca="false">ROUND(H452*I452,2)</f>
        <v>5.05</v>
      </c>
      <c r="L452" s="113" t="n">
        <v>101.688</v>
      </c>
      <c r="M452" s="114" t="n">
        <v>0.1724</v>
      </c>
      <c r="N452" s="115" t="n">
        <f aca="false">ROUND(L452*M452,2)</f>
        <v>17.53</v>
      </c>
      <c r="O452" s="120" t="s">
        <v>622</v>
      </c>
      <c r="AA452" s="0" t="n">
        <v>24.344</v>
      </c>
    </row>
    <row r="453" customFormat="false" ht="15" hidden="false" customHeight="false" outlineLevel="0" collapsed="false">
      <c r="A453" s="104" t="s">
        <v>139</v>
      </c>
      <c r="B453" s="105" t="n">
        <v>1</v>
      </c>
      <c r="C453" s="106" t="n">
        <f aca="false">$N$445-$L$445+1</f>
        <v>30</v>
      </c>
      <c r="D453" s="107" t="n">
        <v>0.7989</v>
      </c>
      <c r="E453" s="108" t="n">
        <v>6</v>
      </c>
      <c r="F453" s="109" t="n">
        <f aca="false">ROUND(B453*E453,2)</f>
        <v>6</v>
      </c>
      <c r="H453" s="110" t="n">
        <v>1</v>
      </c>
      <c r="I453" s="111" t="n">
        <v>6</v>
      </c>
      <c r="J453" s="112" t="n">
        <f aca="false">ROUND(H453*I453,2)</f>
        <v>6</v>
      </c>
      <c r="L453" s="113" t="n">
        <v>1</v>
      </c>
      <c r="M453" s="114" t="n">
        <v>6</v>
      </c>
      <c r="N453" s="115" t="n">
        <f aca="false">ROUND(L453*M453,2)</f>
        <v>6</v>
      </c>
    </row>
    <row r="454" customFormat="false" ht="15" hidden="false" customHeight="false" outlineLevel="0" collapsed="false">
      <c r="A454" s="104" t="s">
        <v>140</v>
      </c>
      <c r="B454" s="105" t="n">
        <v>30</v>
      </c>
      <c r="C454" s="106" t="n">
        <f aca="false">$N$445-$L$445+1</f>
        <v>30</v>
      </c>
      <c r="D454" s="107" t="n">
        <v>0.5736</v>
      </c>
      <c r="E454" s="108" t="n">
        <v>0.01274</v>
      </c>
      <c r="F454" s="109" t="n">
        <f aca="false">ROUND(B454*E454,2)</f>
        <v>0.38</v>
      </c>
      <c r="H454" s="110" t="n">
        <v>30</v>
      </c>
      <c r="I454" s="111" t="n">
        <v>0.01274</v>
      </c>
      <c r="J454" s="112" t="n">
        <f aca="false">ROUND(H454*I454,2)</f>
        <v>0.38</v>
      </c>
      <c r="L454" s="113" t="n">
        <v>30</v>
      </c>
      <c r="M454" s="114" t="n">
        <v>0.00629</v>
      </c>
      <c r="N454" s="115" t="n">
        <f aca="false">ROUND(L454*M454,2)</f>
        <v>0.19</v>
      </c>
    </row>
    <row r="455" customFormat="false" ht="15" hidden="false" customHeight="false" outlineLevel="0" collapsed="false">
      <c r="A455" s="104" t="s">
        <v>141</v>
      </c>
      <c r="B455" s="105" t="n">
        <v>1.7</v>
      </c>
      <c r="C455" s="118"/>
      <c r="D455" s="107" t="n">
        <v>0.24729</v>
      </c>
      <c r="E455" s="108" t="n">
        <v>1</v>
      </c>
      <c r="F455" s="109" t="n">
        <f aca="false">ROUND(B455*E455,2)</f>
        <v>1.7</v>
      </c>
      <c r="H455" s="110" t="n">
        <v>1.85</v>
      </c>
      <c r="I455" s="111" t="n">
        <v>1</v>
      </c>
      <c r="J455" s="112" t="n">
        <f aca="false">ROUND(H455*I455,2)</f>
        <v>1.85</v>
      </c>
      <c r="L455" s="113" t="n">
        <v>3.15</v>
      </c>
      <c r="M455" s="114" t="n">
        <v>1</v>
      </c>
      <c r="N455" s="115" t="n">
        <f aca="false">ROUND(L455*M455,2)</f>
        <v>3.15</v>
      </c>
    </row>
    <row r="456" customFormat="false" ht="15" hidden="false" customHeight="false" outlineLevel="0" collapsed="false">
      <c r="A456" s="121" t="s">
        <v>142</v>
      </c>
      <c r="F456" s="122" t="n">
        <f aca="false">ROUND((SUM(F448:F455)-F455)*1.1+F455,2)</f>
        <v>52.09</v>
      </c>
      <c r="J456" s="123" t="n">
        <f aca="false">ROUND(SUM(J448:J455),2)</f>
        <v>48.73</v>
      </c>
      <c r="N456" s="124" t="n">
        <f aca="false">ROUND(SUM(N448:N455),2)</f>
        <v>75.27</v>
      </c>
    </row>
    <row r="457" customFormat="false" ht="15" hidden="false" customHeight="false" outlineLevel="0" collapsed="false">
      <c r="A457" s="93" t="s">
        <v>143</v>
      </c>
      <c r="B457" s="125" t="n">
        <f aca="false">IF((F452+F451+F450+F448+F449)=0,"",((F452+F451+F450+F448+F449)-$AB$450)/(F452+F451+F450+F448+F449))</f>
        <v>0.371566347704793</v>
      </c>
      <c r="D457" s="126" t="str">
        <f aca="false">IF(B457="","SIN PC",IF(B457&gt;=0.3,"APROBAR",IF(B457&gt;=0.2,"REVISAR","RECHAZAR")))</f>
        <v>APROBAR</v>
      </c>
      <c r="E457" s="126"/>
      <c r="F457" s="126"/>
      <c r="AD457" s="0" t="n">
        <f aca="false">SUM(F450:F452)-6.3331</f>
        <v>0.00689999999999991</v>
      </c>
    </row>
    <row r="458" customFormat="false" ht="15" hidden="false" customHeight="false" outlineLevel="0" collapsed="false">
      <c r="A458" s="127" t="s">
        <v>744</v>
      </c>
      <c r="B458" s="127"/>
      <c r="C458" s="127"/>
      <c r="D458" s="127"/>
      <c r="E458" s="127"/>
      <c r="F458" s="127"/>
    </row>
    <row r="459" customFormat="false" ht="15" hidden="false" customHeight="false" outlineLevel="0" collapsed="false">
      <c r="A459" s="128" t="s">
        <v>111</v>
      </c>
      <c r="B459" s="128" t="s">
        <v>745</v>
      </c>
      <c r="D459" s="128" t="s">
        <v>746</v>
      </c>
      <c r="E459" s="128" t="s">
        <v>747</v>
      </c>
      <c r="F459" s="128" t="s">
        <v>120</v>
      </c>
    </row>
    <row r="460" customFormat="false" ht="15" hidden="false" customHeight="false" outlineLevel="0" collapsed="false">
      <c r="A460" s="129" t="s">
        <v>748</v>
      </c>
      <c r="B460" s="130" t="n">
        <v>182</v>
      </c>
      <c r="C460" s="131"/>
      <c r="D460" s="107" t="n">
        <v>0.06</v>
      </c>
      <c r="E460" s="131"/>
      <c r="F460" s="132" t="n">
        <f aca="false">ROUND(B460*D460,2)</f>
        <v>10.92</v>
      </c>
    </row>
    <row r="461" customFormat="false" ht="15" hidden="false" customHeight="false" outlineLevel="0" collapsed="false">
      <c r="A461" s="129" t="s">
        <v>749</v>
      </c>
      <c r="B461" s="131"/>
      <c r="C461" s="131"/>
      <c r="D461" s="131"/>
      <c r="E461" s="133" t="n">
        <v>0.06</v>
      </c>
      <c r="F461" s="132" t="n">
        <v>6.34</v>
      </c>
    </row>
    <row r="462" customFormat="false" ht="15" hidden="false" customHeight="false" outlineLevel="0" collapsed="false">
      <c r="A462" s="134" t="s">
        <v>750</v>
      </c>
      <c r="B462" s="131"/>
      <c r="C462" s="131"/>
      <c r="D462" s="131"/>
      <c r="E462" s="131"/>
      <c r="F462" s="135" t="n">
        <f aca="false">F460-F461</f>
        <v>4.58</v>
      </c>
    </row>
    <row r="464" customFormat="false" ht="15" hidden="false" customHeight="false" outlineLevel="0" collapsed="false">
      <c r="A464" s="89" t="s">
        <v>865</v>
      </c>
      <c r="B464" s="89"/>
      <c r="C464" s="89"/>
      <c r="D464" s="89"/>
      <c r="E464" s="89"/>
      <c r="F464" s="89"/>
      <c r="H464" s="89" t="s">
        <v>866</v>
      </c>
      <c r="I464" s="89"/>
      <c r="J464" s="89"/>
      <c r="K464" s="89"/>
      <c r="L464" s="90" t="n">
        <v>46113</v>
      </c>
      <c r="M464" s="91" t="s">
        <v>608</v>
      </c>
      <c r="N464" s="90" t="n">
        <v>46142</v>
      </c>
      <c r="R464" s="92" t="s">
        <v>110</v>
      </c>
      <c r="S464" s="92"/>
      <c r="T464" s="92"/>
      <c r="U464" s="92"/>
      <c r="V464" s="92"/>
    </row>
    <row r="465" customFormat="false" ht="15" hidden="false" customHeight="false" outlineLevel="0" collapsed="false">
      <c r="A465" s="93" t="s">
        <v>111</v>
      </c>
      <c r="B465" s="94" t="s">
        <v>112</v>
      </c>
      <c r="C465" s="95"/>
      <c r="D465" s="95"/>
      <c r="E465" s="95"/>
      <c r="F465" s="95"/>
      <c r="H465" s="96" t="s">
        <v>867</v>
      </c>
      <c r="I465" s="97"/>
      <c r="J465" s="97"/>
      <c r="L465" s="98" t="s">
        <v>868</v>
      </c>
      <c r="M465" s="99"/>
      <c r="N465" s="99"/>
      <c r="R465" s="100" t="s">
        <v>869</v>
      </c>
    </row>
    <row r="466" customFormat="false" ht="15" hidden="false" customHeight="false" outlineLevel="0" collapsed="false">
      <c r="B466" s="81" t="s">
        <v>116</v>
      </c>
      <c r="C466" s="81" t="s">
        <v>117</v>
      </c>
      <c r="D466" s="81" t="s">
        <v>118</v>
      </c>
      <c r="E466" s="81" t="s">
        <v>119</v>
      </c>
      <c r="F466" s="81" t="s">
        <v>120</v>
      </c>
      <c r="H466" s="101" t="s">
        <v>116</v>
      </c>
      <c r="I466" s="101" t="s">
        <v>119</v>
      </c>
      <c r="J466" s="101" t="s">
        <v>120</v>
      </c>
      <c r="L466" s="102" t="s">
        <v>116</v>
      </c>
      <c r="M466" s="102" t="s">
        <v>119</v>
      </c>
      <c r="N466" s="102" t="s">
        <v>120</v>
      </c>
      <c r="R466" s="103" t="s">
        <v>870</v>
      </c>
    </row>
    <row r="467" customFormat="false" ht="15" hidden="false" customHeight="false" outlineLevel="0" collapsed="false">
      <c r="A467" s="104" t="s">
        <v>122</v>
      </c>
      <c r="B467" s="105" t="n">
        <v>10</v>
      </c>
      <c r="C467" s="106" t="n">
        <f aca="false">$N$464-$L$464+1</f>
        <v>30</v>
      </c>
      <c r="D467" s="107" t="n">
        <v>3.68919</v>
      </c>
      <c r="E467" s="108" t="n">
        <v>4.82</v>
      </c>
      <c r="F467" s="109" t="n">
        <f aca="false">ROUND(B467*E467,2)</f>
        <v>48.2</v>
      </c>
      <c r="H467" s="110" t="n">
        <v>10</v>
      </c>
      <c r="I467" s="111" t="n">
        <v>4.82</v>
      </c>
      <c r="J467" s="112" t="n">
        <f aca="false">ROUND(H467*I467,2)</f>
        <v>48.2</v>
      </c>
      <c r="L467" s="113" t="n">
        <v>10</v>
      </c>
      <c r="M467" s="114" t="n">
        <v>4.82</v>
      </c>
      <c r="N467" s="115" t="n">
        <f aca="false">ROUND(L467*M467,2)</f>
        <v>48.2</v>
      </c>
      <c r="R467" s="116" t="s">
        <v>871</v>
      </c>
    </row>
    <row r="468" customFormat="false" ht="15" hidden="false" customHeight="false" outlineLevel="0" collapsed="false">
      <c r="A468" s="104" t="s">
        <v>124</v>
      </c>
      <c r="B468" s="105" t="n">
        <v>10</v>
      </c>
      <c r="C468" s="106" t="n">
        <f aca="false">$N$464-$L$464+1</f>
        <v>30</v>
      </c>
      <c r="D468" s="107" t="n">
        <v>1.31928</v>
      </c>
      <c r="E468" s="108" t="n">
        <v>2.3744</v>
      </c>
      <c r="F468" s="109" t="n">
        <f aca="false">ROUND(B468*E468,2)</f>
        <v>23.74</v>
      </c>
      <c r="H468" s="110" t="n">
        <v>10</v>
      </c>
      <c r="I468" s="111" t="n">
        <v>2.3744</v>
      </c>
      <c r="J468" s="112" t="n">
        <f aca="false">ROUND(H468*I468,2)</f>
        <v>23.74</v>
      </c>
      <c r="L468" s="113" t="n">
        <v>10</v>
      </c>
      <c r="M468" s="114" t="n">
        <v>2.3744</v>
      </c>
      <c r="N468" s="115" t="n">
        <f aca="false">ROUND(L468*M468,2)</f>
        <v>23.74</v>
      </c>
      <c r="R468" s="117" t="s">
        <v>872</v>
      </c>
    </row>
    <row r="469" customFormat="false" ht="15" hidden="false" customHeight="false" outlineLevel="0" collapsed="false">
      <c r="A469" s="104" t="s">
        <v>615</v>
      </c>
      <c r="B469" s="105" t="n">
        <f aca="false">IF($P$469&lt;&gt;"",ROUND(AA469*(($AB$469/(1-$P$469))-71.944)/36.4005,2),IF('Resumen 2.0TD'!$D$3="OPTIMIZAR",ROUND(MAX(AA469,MIN(AA469*(($AB$469/(1-'Resumen 2.0TD'!$F$3))-71.944)/36.4005,AA469*(193.3838)/36.4005)),3),AA469))</f>
        <v>40.797</v>
      </c>
      <c r="C469" s="118"/>
      <c r="D469" s="107" t="n">
        <v>0.111171</v>
      </c>
      <c r="E469" s="108" t="n">
        <v>0.1724</v>
      </c>
      <c r="F469" s="109" t="n">
        <f aca="false">ROUND(B469*E469,2)</f>
        <v>7.03</v>
      </c>
      <c r="H469" s="110" t="n">
        <v>43.749</v>
      </c>
      <c r="I469" s="111" t="n">
        <v>0.1724</v>
      </c>
      <c r="J469" s="112" t="n">
        <f aca="false">ROUND(H469*I469,2)</f>
        <v>7.54</v>
      </c>
      <c r="L469" s="113" t="n">
        <v>79.149</v>
      </c>
      <c r="M469" s="114" t="n">
        <v>0.1724</v>
      </c>
      <c r="N469" s="115" t="n">
        <f aca="false">ROUND(L469*M469,2)</f>
        <v>13.65</v>
      </c>
      <c r="O469" s="119" t="s">
        <v>616</v>
      </c>
      <c r="P469" s="79"/>
      <c r="R469" s="117" t="s">
        <v>873</v>
      </c>
      <c r="AA469" s="0" t="n">
        <v>40.797</v>
      </c>
      <c r="AB469" s="0" t="n">
        <f aca="false">B467*D467+B468*D468+AA469*D469+AA470*D470+AA471*D471</f>
        <v>73.55734494</v>
      </c>
    </row>
    <row r="470" customFormat="false" ht="15" hidden="false" customHeight="false" outlineLevel="0" collapsed="false">
      <c r="A470" s="104" t="s">
        <v>618</v>
      </c>
      <c r="B470" s="105" t="n">
        <f aca="false">IF($P$469&lt;&gt;"",ROUND(AA470*(($AB$469/(1-$P$469))-71.944)/36.4005,2),IF('Resumen 2.0TD'!$D$3="OPTIMIZAR",ROUND(MAX(AA470,MIN(AA470*(($AB$469/(1-'Resumen 2.0TD'!$F$3))-71.944)/36.4005,AA470*(193.3838)/36.4005)),3),AA470))</f>
        <v>32.288</v>
      </c>
      <c r="C470" s="118"/>
      <c r="D470" s="107" t="n">
        <v>0.111171</v>
      </c>
      <c r="E470" s="108" t="n">
        <v>0.1724</v>
      </c>
      <c r="F470" s="109" t="n">
        <f aca="false">ROUND(B470*E470,2)</f>
        <v>5.57</v>
      </c>
      <c r="H470" s="110" t="n">
        <v>39.941</v>
      </c>
      <c r="I470" s="111" t="n">
        <v>0.1724</v>
      </c>
      <c r="J470" s="112" t="n">
        <f aca="false">ROUND(H470*I470,2)</f>
        <v>6.89</v>
      </c>
      <c r="L470" s="113" t="n">
        <v>132.18</v>
      </c>
      <c r="M470" s="114" t="n">
        <v>0.1724</v>
      </c>
      <c r="N470" s="115" t="n">
        <f aca="false">ROUND(L470*M470,2)</f>
        <v>22.79</v>
      </c>
      <c r="O470" s="120" t="s">
        <v>619</v>
      </c>
      <c r="R470" s="117" t="s">
        <v>620</v>
      </c>
      <c r="AA470" s="0" t="n">
        <v>32.288</v>
      </c>
    </row>
    <row r="471" customFormat="false" ht="15" hidden="false" customHeight="false" outlineLevel="0" collapsed="false">
      <c r="A471" s="104" t="s">
        <v>621</v>
      </c>
      <c r="B471" s="105" t="n">
        <f aca="false">IF($P$469&lt;&gt;"",ROUND(AA471*(($AB$469/(1-$P$469))-71.944)/36.4005,2),IF('Resumen 2.0TD'!$D$3="OPTIMIZAR",ROUND(MAX(AA471,MIN(AA471*(($AB$469/(1-'Resumen 2.0TD'!$F$3))-71.944)/36.4005,AA471*(193.3838)/36.4005)),3),AA471))</f>
        <v>138.055</v>
      </c>
      <c r="C471" s="118"/>
      <c r="D471" s="107" t="n">
        <v>0.111171</v>
      </c>
      <c r="E471" s="108" t="n">
        <v>0.1724</v>
      </c>
      <c r="F471" s="109" t="n">
        <f aca="false">ROUND(B471*E471,2)</f>
        <v>23.8</v>
      </c>
      <c r="H471" s="110" t="n">
        <v>165.945</v>
      </c>
      <c r="I471" s="111" t="n">
        <v>0.1724</v>
      </c>
      <c r="J471" s="112" t="n">
        <f aca="false">ROUND(H471*I471,2)</f>
        <v>28.61</v>
      </c>
      <c r="L471" s="113" t="n">
        <v>266.832</v>
      </c>
      <c r="M471" s="114" t="n">
        <v>0.1724</v>
      </c>
      <c r="N471" s="115" t="n">
        <f aca="false">ROUND(L471*M471,2)</f>
        <v>46</v>
      </c>
      <c r="O471" s="120" t="s">
        <v>622</v>
      </c>
      <c r="AA471" s="0" t="n">
        <v>138.055</v>
      </c>
    </row>
    <row r="472" customFormat="false" ht="15" hidden="false" customHeight="false" outlineLevel="0" collapsed="false">
      <c r="A472" s="104" t="s">
        <v>139</v>
      </c>
      <c r="B472" s="105" t="n">
        <v>1</v>
      </c>
      <c r="C472" s="106" t="n">
        <f aca="false">$N$464-$L$464+1</f>
        <v>30</v>
      </c>
      <c r="D472" s="107" t="n">
        <v>1.3414</v>
      </c>
      <c r="E472" s="108" t="n">
        <v>6</v>
      </c>
      <c r="F472" s="109" t="n">
        <f aca="false">ROUND(B472*E472,2)</f>
        <v>6</v>
      </c>
      <c r="H472" s="110" t="n">
        <v>1</v>
      </c>
      <c r="I472" s="111" t="n">
        <v>6</v>
      </c>
      <c r="J472" s="112" t="n">
        <f aca="false">ROUND(H472*I472,2)</f>
        <v>6</v>
      </c>
      <c r="L472" s="113" t="n">
        <v>1</v>
      </c>
      <c r="M472" s="114" t="n">
        <v>6</v>
      </c>
      <c r="N472" s="115" t="n">
        <f aca="false">ROUND(L472*M472,2)</f>
        <v>6</v>
      </c>
    </row>
    <row r="473" customFormat="false" ht="15" hidden="false" customHeight="false" outlineLevel="0" collapsed="false">
      <c r="A473" s="104" t="s">
        <v>140</v>
      </c>
      <c r="B473" s="105" t="n">
        <v>30</v>
      </c>
      <c r="C473" s="106" t="n">
        <f aca="false">$N$464-$L$464+1</f>
        <v>30</v>
      </c>
      <c r="D473" s="107" t="n">
        <v>0.5736</v>
      </c>
      <c r="E473" s="108" t="n">
        <v>0.01274</v>
      </c>
      <c r="F473" s="109" t="n">
        <f aca="false">ROUND(B473*E473,2)</f>
        <v>0.38</v>
      </c>
      <c r="H473" s="110" t="n">
        <v>30</v>
      </c>
      <c r="I473" s="111" t="n">
        <v>0.01274</v>
      </c>
      <c r="J473" s="112" t="n">
        <f aca="false">ROUND(H473*I473,2)</f>
        <v>0.38</v>
      </c>
      <c r="L473" s="113" t="n">
        <v>30</v>
      </c>
      <c r="M473" s="114" t="n">
        <v>0.00629</v>
      </c>
      <c r="N473" s="115" t="n">
        <f aca="false">ROUND(L473*M473,2)</f>
        <v>0.19</v>
      </c>
    </row>
    <row r="474" customFormat="false" ht="15" hidden="false" customHeight="false" outlineLevel="0" collapsed="false">
      <c r="A474" s="104" t="s">
        <v>141</v>
      </c>
      <c r="B474" s="105" t="n">
        <v>4.64</v>
      </c>
      <c r="C474" s="118"/>
      <c r="D474" s="107" t="n">
        <v>0.27312</v>
      </c>
      <c r="E474" s="108" t="n">
        <v>1</v>
      </c>
      <c r="F474" s="109" t="n">
        <f aca="false">ROUND(B474*E474,2)</f>
        <v>4.64</v>
      </c>
      <c r="H474" s="110" t="n">
        <v>5.22</v>
      </c>
      <c r="I474" s="111" t="n">
        <v>1</v>
      </c>
      <c r="J474" s="112" t="n">
        <f aca="false">ROUND(H474*I474,2)</f>
        <v>5.22</v>
      </c>
      <c r="L474" s="113" t="n">
        <v>7.31</v>
      </c>
      <c r="M474" s="114" t="n">
        <v>1</v>
      </c>
      <c r="N474" s="115" t="n">
        <f aca="false">ROUND(L474*M474,2)</f>
        <v>7.31</v>
      </c>
    </row>
    <row r="475" customFormat="false" ht="15" hidden="false" customHeight="false" outlineLevel="0" collapsed="false">
      <c r="A475" s="121" t="s">
        <v>142</v>
      </c>
      <c r="F475" s="122" t="n">
        <f aca="false">ROUND((SUM(F467:F474)-F474)*1.1+F474,2)</f>
        <v>130.83</v>
      </c>
      <c r="J475" s="123" t="n">
        <f aca="false">ROUND(SUM(J467:J474),2)</f>
        <v>126.58</v>
      </c>
      <c r="N475" s="124" t="n">
        <f aca="false">ROUND(SUM(N467:N474),2)</f>
        <v>167.88</v>
      </c>
    </row>
    <row r="476" customFormat="false" ht="15" hidden="false" customHeight="false" outlineLevel="0" collapsed="false">
      <c r="A476" s="93" t="s">
        <v>143</v>
      </c>
      <c r="B476" s="125" t="n">
        <f aca="false">IF((F471+F470+F469+F467+F468)=0,"",((F471+F470+F469+F467+F468)-$AB$469)/(F471+F470+F469+F467+F468))</f>
        <v>0.321050905113531</v>
      </c>
      <c r="D476" s="126" t="str">
        <f aca="false">IF(B476="","SIN PC",IF(B476&gt;=0.3,"APROBAR",IF(B476&gt;=0.2,"REVISAR","RECHAZAR")))</f>
        <v>APROBAR</v>
      </c>
      <c r="E476" s="126"/>
      <c r="F476" s="126"/>
      <c r="AD476" s="0" t="n">
        <f aca="false">SUM(F469:F471)-36.4005</f>
        <v>-0.000499999999995282</v>
      </c>
    </row>
    <row r="477" customFormat="false" ht="15" hidden="false" customHeight="false" outlineLevel="0" collapsed="false">
      <c r="A477" s="127" t="s">
        <v>744</v>
      </c>
      <c r="B477" s="127"/>
      <c r="C477" s="127"/>
      <c r="D477" s="127"/>
      <c r="E477" s="127"/>
      <c r="F477" s="127"/>
    </row>
    <row r="478" customFormat="false" ht="15" hidden="false" customHeight="false" outlineLevel="0" collapsed="false">
      <c r="A478" s="128" t="s">
        <v>111</v>
      </c>
      <c r="B478" s="128" t="s">
        <v>745</v>
      </c>
      <c r="D478" s="128" t="s">
        <v>746</v>
      </c>
      <c r="E478" s="128" t="s">
        <v>747</v>
      </c>
      <c r="F478" s="128" t="s">
        <v>120</v>
      </c>
    </row>
    <row r="479" customFormat="false" ht="15" hidden="false" customHeight="false" outlineLevel="0" collapsed="false">
      <c r="A479" s="129" t="s">
        <v>748</v>
      </c>
      <c r="B479" s="130" t="n">
        <v>486</v>
      </c>
      <c r="C479" s="131"/>
      <c r="D479" s="107" t="n">
        <v>0.06</v>
      </c>
      <c r="E479" s="131"/>
      <c r="F479" s="132" t="n">
        <f aca="false">ROUND(B479*D479,2)</f>
        <v>29.16</v>
      </c>
    </row>
    <row r="480" customFormat="false" ht="15" hidden="false" customHeight="false" outlineLevel="0" collapsed="false">
      <c r="A480" s="129" t="s">
        <v>749</v>
      </c>
      <c r="B480" s="131"/>
      <c r="C480" s="131"/>
      <c r="D480" s="131"/>
      <c r="E480" s="133" t="n">
        <v>0.06</v>
      </c>
      <c r="F480" s="132" t="n">
        <v>17.76</v>
      </c>
    </row>
    <row r="481" customFormat="false" ht="15" hidden="false" customHeight="false" outlineLevel="0" collapsed="false">
      <c r="A481" s="134" t="s">
        <v>750</v>
      </c>
      <c r="B481" s="131"/>
      <c r="C481" s="131"/>
      <c r="D481" s="131"/>
      <c r="E481" s="131"/>
      <c r="F481" s="135" t="n">
        <f aca="false">F479-F480</f>
        <v>11.4</v>
      </c>
    </row>
    <row r="483" customFormat="false" ht="15" hidden="false" customHeight="false" outlineLevel="0" collapsed="false">
      <c r="A483" s="89" t="s">
        <v>874</v>
      </c>
      <c r="B483" s="89"/>
      <c r="C483" s="89"/>
      <c r="D483" s="89"/>
      <c r="E483" s="89"/>
      <c r="F483" s="89"/>
      <c r="H483" s="89" t="s">
        <v>875</v>
      </c>
      <c r="I483" s="89"/>
      <c r="J483" s="89"/>
      <c r="K483" s="89"/>
      <c r="L483" s="90" t="n">
        <v>46113</v>
      </c>
      <c r="M483" s="91" t="s">
        <v>608</v>
      </c>
      <c r="N483" s="90" t="n">
        <v>46142</v>
      </c>
      <c r="R483" s="92" t="s">
        <v>110</v>
      </c>
      <c r="S483" s="92"/>
      <c r="T483" s="92"/>
      <c r="U483" s="92"/>
      <c r="V483" s="92"/>
    </row>
    <row r="484" customFormat="false" ht="15" hidden="false" customHeight="false" outlineLevel="0" collapsed="false">
      <c r="A484" s="93" t="s">
        <v>111</v>
      </c>
      <c r="B484" s="94" t="s">
        <v>112</v>
      </c>
      <c r="C484" s="95"/>
      <c r="D484" s="95"/>
      <c r="E484" s="95"/>
      <c r="F484" s="95"/>
      <c r="H484" s="96" t="s">
        <v>876</v>
      </c>
      <c r="I484" s="97"/>
      <c r="J484" s="97"/>
      <c r="L484" s="98" t="s">
        <v>877</v>
      </c>
      <c r="M484" s="99"/>
      <c r="N484" s="99"/>
      <c r="R484" s="100" t="s">
        <v>878</v>
      </c>
    </row>
    <row r="485" customFormat="false" ht="15" hidden="false" customHeight="false" outlineLevel="0" collapsed="false">
      <c r="B485" s="81" t="s">
        <v>116</v>
      </c>
      <c r="C485" s="81" t="s">
        <v>117</v>
      </c>
      <c r="D485" s="81" t="s">
        <v>118</v>
      </c>
      <c r="E485" s="81" t="s">
        <v>119</v>
      </c>
      <c r="F485" s="81" t="s">
        <v>120</v>
      </c>
      <c r="H485" s="101" t="s">
        <v>116</v>
      </c>
      <c r="I485" s="101" t="s">
        <v>119</v>
      </c>
      <c r="J485" s="101" t="s">
        <v>120</v>
      </c>
      <c r="L485" s="102" t="s">
        <v>116</v>
      </c>
      <c r="M485" s="102" t="s">
        <v>119</v>
      </c>
      <c r="N485" s="102" t="s">
        <v>120</v>
      </c>
      <c r="R485" s="103" t="s">
        <v>879</v>
      </c>
    </row>
    <row r="486" customFormat="false" ht="15" hidden="false" customHeight="false" outlineLevel="0" collapsed="false">
      <c r="A486" s="104" t="s">
        <v>122</v>
      </c>
      <c r="B486" s="105" t="n">
        <v>5.75</v>
      </c>
      <c r="C486" s="106" t="n">
        <f aca="false">$N$483-$L$483+1</f>
        <v>30</v>
      </c>
      <c r="D486" s="107" t="n">
        <v>3.4086</v>
      </c>
      <c r="E486" s="108" t="n">
        <v>4.17</v>
      </c>
      <c r="F486" s="109" t="n">
        <f aca="false">ROUND(B486*E486,2)</f>
        <v>23.98</v>
      </c>
      <c r="H486" s="110" t="n">
        <v>5.75</v>
      </c>
      <c r="I486" s="111" t="n">
        <v>4.17</v>
      </c>
      <c r="J486" s="112" t="n">
        <f aca="false">ROUND(H486*I486,2)</f>
        <v>23.98</v>
      </c>
      <c r="L486" s="113" t="n">
        <v>5.75</v>
      </c>
      <c r="M486" s="114" t="n">
        <v>4.17</v>
      </c>
      <c r="N486" s="115" t="n">
        <f aca="false">ROUND(L486*M486,2)</f>
        <v>23.98</v>
      </c>
      <c r="R486" s="116" t="s">
        <v>880</v>
      </c>
    </row>
    <row r="487" customFormat="false" ht="15" hidden="false" customHeight="false" outlineLevel="0" collapsed="false">
      <c r="A487" s="104" t="s">
        <v>124</v>
      </c>
      <c r="B487" s="105" t="n">
        <v>5.75</v>
      </c>
      <c r="C487" s="106" t="n">
        <f aca="false">$N$483-$L$483+1</f>
        <v>30</v>
      </c>
      <c r="D487" s="107" t="n">
        <v>1.09728</v>
      </c>
      <c r="E487" s="108" t="n">
        <v>1.37</v>
      </c>
      <c r="F487" s="109" t="n">
        <f aca="false">ROUND(B487*E487,2)</f>
        <v>7.88</v>
      </c>
      <c r="H487" s="110" t="n">
        <v>5.75</v>
      </c>
      <c r="I487" s="111" t="n">
        <v>1.37</v>
      </c>
      <c r="J487" s="112" t="n">
        <f aca="false">ROUND(H487*I487,2)</f>
        <v>7.88</v>
      </c>
      <c r="L487" s="113" t="n">
        <v>5.75</v>
      </c>
      <c r="M487" s="114" t="n">
        <v>1.37</v>
      </c>
      <c r="N487" s="115" t="n">
        <f aca="false">ROUND(L487*M487,2)</f>
        <v>7.88</v>
      </c>
      <c r="R487" s="117" t="s">
        <v>881</v>
      </c>
    </row>
    <row r="488" customFormat="false" ht="15" hidden="false" customHeight="false" outlineLevel="0" collapsed="false">
      <c r="A488" s="104" t="s">
        <v>615</v>
      </c>
      <c r="B488" s="105" t="n">
        <f aca="false">IF($P$488&lt;&gt;"",ROUND(AA488*(($AB$488/(1-$P$488))-31.855)/48.7521,2),IF('Resumen 2.0TD'!$D$3="OPTIMIZAR",ROUND(MAX(AA488,MIN(AA488*(($AB$488/(1-'Resumen 2.0TD'!$F$3))-31.855)/48.7521,AA488*(170.1928)/48.7521)),3),AA488))</f>
        <v>51.333</v>
      </c>
      <c r="C488" s="118"/>
      <c r="D488" s="107" t="n">
        <v>0.110306</v>
      </c>
      <c r="E488" s="108" t="n">
        <v>0.14937</v>
      </c>
      <c r="F488" s="109" t="n">
        <f aca="false">ROUND(B488*E488,2)</f>
        <v>7.67</v>
      </c>
      <c r="H488" s="110" t="n">
        <v>102.117</v>
      </c>
      <c r="I488" s="111" t="n">
        <v>0.14937</v>
      </c>
      <c r="J488" s="112" t="n">
        <f aca="false">ROUND(H488*I488,2)</f>
        <v>15.25</v>
      </c>
      <c r="L488" s="113" t="n">
        <v>84.566</v>
      </c>
      <c r="M488" s="114" t="n">
        <v>0.14937</v>
      </c>
      <c r="N488" s="115" t="n">
        <f aca="false">ROUND(L488*M488,2)</f>
        <v>12.63</v>
      </c>
      <c r="O488" s="119" t="s">
        <v>616</v>
      </c>
      <c r="P488" s="79"/>
      <c r="R488" s="117" t="s">
        <v>882</v>
      </c>
      <c r="AA488" s="0" t="n">
        <v>51.333</v>
      </c>
      <c r="AB488" s="0" t="n">
        <f aca="false">B486*D486+B487*D487+AA488*D488+AA489*D489+AA490*D490</f>
        <v>61.91103381</v>
      </c>
    </row>
    <row r="489" customFormat="false" ht="15" hidden="false" customHeight="false" outlineLevel="0" collapsed="false">
      <c r="A489" s="104" t="s">
        <v>618</v>
      </c>
      <c r="B489" s="105" t="n">
        <f aca="false">IF($P$488&lt;&gt;"",ROUND(AA489*(($AB$488/(1-$P$488))-31.855)/48.7521,2),IF('Resumen 2.0TD'!$D$3="OPTIMIZAR",ROUND(MAX(AA489,MIN(AA489*(($AB$488/(1-'Resumen 2.0TD'!$F$3))-31.855)/48.7521,AA489*(170.1928)/48.7521)),3),AA489))</f>
        <v>66.936</v>
      </c>
      <c r="C489" s="118"/>
      <c r="D489" s="107" t="n">
        <v>0.110306</v>
      </c>
      <c r="E489" s="108" t="n">
        <v>0.14937</v>
      </c>
      <c r="F489" s="109" t="n">
        <f aca="false">ROUND(B489*E489,2)</f>
        <v>10</v>
      </c>
      <c r="H489" s="110" t="n">
        <v>116.38</v>
      </c>
      <c r="I489" s="111" t="n">
        <v>0.14937</v>
      </c>
      <c r="J489" s="112" t="n">
        <f aca="false">ROUND(H489*I489,2)</f>
        <v>17.38</v>
      </c>
      <c r="L489" s="113" t="n">
        <v>99.926</v>
      </c>
      <c r="M489" s="114" t="n">
        <v>0.14937</v>
      </c>
      <c r="N489" s="115" t="n">
        <f aca="false">ROUND(L489*M489,2)</f>
        <v>14.93</v>
      </c>
      <c r="O489" s="120" t="s">
        <v>619</v>
      </c>
      <c r="R489" s="117" t="s">
        <v>620</v>
      </c>
      <c r="AA489" s="0" t="n">
        <v>66.936</v>
      </c>
    </row>
    <row r="490" customFormat="false" ht="15" hidden="false" customHeight="false" outlineLevel="0" collapsed="false">
      <c r="A490" s="104" t="s">
        <v>621</v>
      </c>
      <c r="B490" s="105" t="n">
        <f aca="false">IF($P$488&lt;&gt;"",ROUND(AA490*(($AB$488/(1-$P$488))-31.855)/48.7521,2),IF('Resumen 2.0TD'!$D$3="OPTIMIZAR",ROUND(MAX(AA490,MIN(AA490*(($AB$488/(1-'Resumen 2.0TD'!$F$3))-31.855)/48.7521,AA490*(170.1928)/48.7521)),3),AA490))</f>
        <v>208.116</v>
      </c>
      <c r="C490" s="118"/>
      <c r="D490" s="107" t="n">
        <v>0.110306</v>
      </c>
      <c r="E490" s="108" t="n">
        <v>0.14937</v>
      </c>
      <c r="F490" s="109" t="n">
        <f aca="false">ROUND(B490*E490,2)</f>
        <v>31.09</v>
      </c>
      <c r="H490" s="110" t="n">
        <v>242.633</v>
      </c>
      <c r="I490" s="111" t="n">
        <v>0.14937</v>
      </c>
      <c r="J490" s="112" t="n">
        <f aca="false">ROUND(H490*I490,2)</f>
        <v>36.24</v>
      </c>
      <c r="L490" s="113" t="n">
        <v>282.175</v>
      </c>
      <c r="M490" s="114" t="n">
        <v>0.14937</v>
      </c>
      <c r="N490" s="115" t="n">
        <f aca="false">ROUND(L490*M490,2)</f>
        <v>42.15</v>
      </c>
      <c r="O490" s="120" t="s">
        <v>622</v>
      </c>
      <c r="AA490" s="0" t="n">
        <v>208.116</v>
      </c>
    </row>
    <row r="491" customFormat="false" ht="15" hidden="false" customHeight="false" outlineLevel="0" collapsed="false">
      <c r="A491" s="104" t="s">
        <v>139</v>
      </c>
      <c r="B491" s="105" t="n">
        <v>1</v>
      </c>
      <c r="C491" s="106" t="n">
        <f aca="false">$N$483-$L$483+1</f>
        <v>30</v>
      </c>
      <c r="D491" s="107" t="n">
        <v>0.7989</v>
      </c>
      <c r="E491" s="108" t="n">
        <v>4</v>
      </c>
      <c r="F491" s="109" t="n">
        <f aca="false">ROUND(B491*E491,2)</f>
        <v>4</v>
      </c>
      <c r="H491" s="110" t="n">
        <v>1</v>
      </c>
      <c r="I491" s="111" t="n">
        <v>4</v>
      </c>
      <c r="J491" s="112" t="n">
        <f aca="false">ROUND(H491*I491,2)</f>
        <v>4</v>
      </c>
      <c r="L491" s="113" t="n">
        <v>1</v>
      </c>
      <c r="M491" s="114" t="n">
        <v>4</v>
      </c>
      <c r="N491" s="115" t="n">
        <f aca="false">ROUND(L491*M491,2)</f>
        <v>4</v>
      </c>
    </row>
    <row r="492" customFormat="false" ht="15" hidden="false" customHeight="false" outlineLevel="0" collapsed="false">
      <c r="A492" s="104" t="s">
        <v>140</v>
      </c>
      <c r="B492" s="105" t="n">
        <v>30</v>
      </c>
      <c r="C492" s="106" t="n">
        <f aca="false">$N$483-$L$483+1</f>
        <v>30</v>
      </c>
      <c r="D492" s="107" t="n">
        <v>0.5736</v>
      </c>
      <c r="E492" s="108" t="n">
        <v>0.01274</v>
      </c>
      <c r="F492" s="109" t="n">
        <f aca="false">ROUND(B492*E492,2)</f>
        <v>0.38</v>
      </c>
      <c r="H492" s="110" t="n">
        <v>30</v>
      </c>
      <c r="I492" s="111" t="n">
        <v>0.01274</v>
      </c>
      <c r="J492" s="112" t="n">
        <f aca="false">ROUND(H492*I492,2)</f>
        <v>0.38</v>
      </c>
      <c r="L492" s="113" t="n">
        <v>30</v>
      </c>
      <c r="M492" s="114" t="n">
        <v>0.00629</v>
      </c>
      <c r="N492" s="115" t="n">
        <f aca="false">ROUND(L492*M492,2)</f>
        <v>0.19</v>
      </c>
    </row>
    <row r="493" customFormat="false" ht="15" hidden="false" customHeight="false" outlineLevel="0" collapsed="false">
      <c r="A493" s="104" t="s">
        <v>141</v>
      </c>
      <c r="B493" s="105" t="n">
        <v>3.6</v>
      </c>
      <c r="C493" s="118"/>
      <c r="D493" s="107" t="n">
        <v>0.24729</v>
      </c>
      <c r="E493" s="108" t="n">
        <v>1</v>
      </c>
      <c r="F493" s="109" t="n">
        <f aca="false">ROUND(B493*E493,2)</f>
        <v>3.6</v>
      </c>
      <c r="H493" s="110" t="n">
        <v>4.83</v>
      </c>
      <c r="I493" s="111" t="n">
        <v>1</v>
      </c>
      <c r="J493" s="112" t="n">
        <f aca="false">ROUND(H493*I493,2)</f>
        <v>4.83</v>
      </c>
      <c r="L493" s="113" t="n">
        <v>4.86</v>
      </c>
      <c r="M493" s="114" t="n">
        <v>1</v>
      </c>
      <c r="N493" s="115" t="n">
        <f aca="false">ROUND(L493*M493,2)</f>
        <v>4.86</v>
      </c>
    </row>
    <row r="494" customFormat="false" ht="15" hidden="false" customHeight="false" outlineLevel="0" collapsed="false">
      <c r="A494" s="121" t="s">
        <v>142</v>
      </c>
      <c r="F494" s="122" t="n">
        <f aca="false">ROUND((SUM(F486:F493)-F493)*1.1+F493,2)</f>
        <v>97.1</v>
      </c>
      <c r="J494" s="123" t="n">
        <f aca="false">ROUND(SUM(J486:J493),2)</f>
        <v>109.94</v>
      </c>
      <c r="N494" s="124" t="n">
        <f aca="false">ROUND(SUM(N486:N493),2)</f>
        <v>110.62</v>
      </c>
    </row>
    <row r="495" customFormat="false" ht="15" hidden="false" customHeight="false" outlineLevel="0" collapsed="false">
      <c r="A495" s="93" t="s">
        <v>143</v>
      </c>
      <c r="B495" s="125" t="n">
        <f aca="false">IF((F490+F489+F488+F486+F487)=0,"",((F490+F489+F488+F486+F487)-$AB$488)/(F490+F489+F488+F486+F487))</f>
        <v>0.232063584594393</v>
      </c>
      <c r="D495" s="126" t="str">
        <f aca="false">IF(B495="","SIN PC",IF(B495&gt;=0.3,"APROBAR",IF(B495&gt;=0.2,"REVISAR","RECHAZAR")))</f>
        <v>REVISAR</v>
      </c>
      <c r="E495" s="126"/>
      <c r="F495" s="126"/>
      <c r="AD495" s="0" t="n">
        <f aca="false">SUM(F488:F490)-48.7521</f>
        <v>0.00790000000000646</v>
      </c>
    </row>
    <row r="496" customFormat="false" ht="15" hidden="false" customHeight="false" outlineLevel="0" collapsed="false">
      <c r="A496" s="127" t="s">
        <v>744</v>
      </c>
      <c r="B496" s="127"/>
      <c r="C496" s="127"/>
      <c r="D496" s="127"/>
      <c r="E496" s="127"/>
      <c r="F496" s="127"/>
    </row>
    <row r="497" customFormat="false" ht="15" hidden="false" customHeight="false" outlineLevel="0" collapsed="false">
      <c r="A497" s="128" t="s">
        <v>111</v>
      </c>
      <c r="B497" s="128" t="s">
        <v>745</v>
      </c>
      <c r="D497" s="128" t="s">
        <v>746</v>
      </c>
      <c r="E497" s="128" t="s">
        <v>747</v>
      </c>
      <c r="F497" s="128" t="s">
        <v>120</v>
      </c>
    </row>
    <row r="498" customFormat="false" ht="15" hidden="false" customHeight="false" outlineLevel="0" collapsed="false">
      <c r="A498" s="129" t="s">
        <v>748</v>
      </c>
      <c r="B498" s="130" t="n">
        <v>206</v>
      </c>
      <c r="C498" s="131"/>
      <c r="D498" s="107" t="n">
        <v>0.06</v>
      </c>
      <c r="E498" s="131"/>
      <c r="F498" s="132" t="n">
        <f aca="false">ROUND(B498*D498,2)</f>
        <v>12.36</v>
      </c>
    </row>
    <row r="499" customFormat="false" ht="15" hidden="false" customHeight="false" outlineLevel="0" collapsed="false">
      <c r="A499" s="129" t="s">
        <v>749</v>
      </c>
      <c r="B499" s="131"/>
      <c r="C499" s="131"/>
      <c r="D499" s="131"/>
      <c r="E499" s="133" t="n">
        <v>0.06</v>
      </c>
      <c r="F499" s="132" t="n">
        <v>10.4</v>
      </c>
    </row>
    <row r="500" customFormat="false" ht="15" hidden="false" customHeight="false" outlineLevel="0" collapsed="false">
      <c r="A500" s="134" t="s">
        <v>750</v>
      </c>
      <c r="B500" s="131"/>
      <c r="C500" s="131"/>
      <c r="D500" s="131"/>
      <c r="E500" s="131"/>
      <c r="F500" s="135" t="n">
        <f aca="false">F498-F499</f>
        <v>1.96</v>
      </c>
    </row>
    <row r="502" customFormat="false" ht="15" hidden="false" customHeight="false" outlineLevel="0" collapsed="false">
      <c r="A502" s="89" t="s">
        <v>883</v>
      </c>
      <c r="B502" s="89"/>
      <c r="C502" s="89"/>
      <c r="D502" s="89"/>
      <c r="E502" s="89"/>
      <c r="F502" s="89"/>
      <c r="H502" s="89" t="s">
        <v>884</v>
      </c>
      <c r="I502" s="89"/>
      <c r="J502" s="89"/>
      <c r="K502" s="89"/>
      <c r="L502" s="90" t="n">
        <v>46113</v>
      </c>
      <c r="M502" s="91" t="s">
        <v>608</v>
      </c>
      <c r="N502" s="90" t="n">
        <v>46142</v>
      </c>
      <c r="R502" s="92" t="s">
        <v>110</v>
      </c>
      <c r="S502" s="92"/>
      <c r="T502" s="92"/>
      <c r="U502" s="92"/>
      <c r="V502" s="92"/>
    </row>
    <row r="503" customFormat="false" ht="15" hidden="false" customHeight="false" outlineLevel="0" collapsed="false">
      <c r="A503" s="93" t="s">
        <v>111</v>
      </c>
      <c r="B503" s="94" t="s">
        <v>112</v>
      </c>
      <c r="C503" s="95"/>
      <c r="D503" s="95"/>
      <c r="E503" s="95"/>
      <c r="F503" s="95"/>
      <c r="H503" s="96" t="s">
        <v>885</v>
      </c>
      <c r="I503" s="97"/>
      <c r="J503" s="97"/>
      <c r="L503" s="98" t="s">
        <v>886</v>
      </c>
      <c r="M503" s="99"/>
      <c r="N503" s="99"/>
      <c r="R503" s="100" t="s">
        <v>887</v>
      </c>
    </row>
    <row r="504" customFormat="false" ht="15" hidden="false" customHeight="false" outlineLevel="0" collapsed="false">
      <c r="B504" s="81" t="s">
        <v>116</v>
      </c>
      <c r="C504" s="81" t="s">
        <v>117</v>
      </c>
      <c r="D504" s="81" t="s">
        <v>118</v>
      </c>
      <c r="E504" s="81" t="s">
        <v>119</v>
      </c>
      <c r="F504" s="81" t="s">
        <v>120</v>
      </c>
      <c r="H504" s="101" t="s">
        <v>116</v>
      </c>
      <c r="I504" s="101" t="s">
        <v>119</v>
      </c>
      <c r="J504" s="101" t="s">
        <v>120</v>
      </c>
      <c r="L504" s="102" t="s">
        <v>116</v>
      </c>
      <c r="M504" s="102" t="s">
        <v>119</v>
      </c>
      <c r="N504" s="102" t="s">
        <v>120</v>
      </c>
      <c r="R504" s="103" t="s">
        <v>888</v>
      </c>
    </row>
    <row r="505" customFormat="false" ht="15" hidden="false" customHeight="false" outlineLevel="0" collapsed="false">
      <c r="A505" s="104" t="s">
        <v>122</v>
      </c>
      <c r="B505" s="105" t="n">
        <v>8</v>
      </c>
      <c r="C505" s="106" t="n">
        <f aca="false">$N$502-$L$502+1</f>
        <v>30</v>
      </c>
      <c r="D505" s="107" t="n">
        <v>3.4086</v>
      </c>
      <c r="E505" s="108" t="n">
        <v>3.85</v>
      </c>
      <c r="F505" s="109" t="n">
        <f aca="false">ROUND(B505*E505,2)</f>
        <v>30.8</v>
      </c>
      <c r="H505" s="110" t="n">
        <v>8</v>
      </c>
      <c r="I505" s="111" t="n">
        <v>3.85</v>
      </c>
      <c r="J505" s="112" t="n">
        <f aca="false">ROUND(H505*I505,2)</f>
        <v>30.8</v>
      </c>
      <c r="L505" s="113" t="n">
        <v>8</v>
      </c>
      <c r="M505" s="114" t="n">
        <v>3.85</v>
      </c>
      <c r="N505" s="115" t="n">
        <f aca="false">ROUND(L505*M505,2)</f>
        <v>30.8</v>
      </c>
      <c r="R505" s="116" t="s">
        <v>889</v>
      </c>
    </row>
    <row r="506" customFormat="false" ht="15" hidden="false" customHeight="false" outlineLevel="0" collapsed="false">
      <c r="A506" s="104" t="s">
        <v>124</v>
      </c>
      <c r="B506" s="105" t="n">
        <v>8</v>
      </c>
      <c r="C506" s="106" t="n">
        <f aca="false">$N$502-$L$502+1</f>
        <v>30</v>
      </c>
      <c r="D506" s="107" t="n">
        <v>1.09728</v>
      </c>
      <c r="E506" s="108" t="n">
        <v>1.33</v>
      </c>
      <c r="F506" s="109" t="n">
        <f aca="false">ROUND(B506*E506,2)</f>
        <v>10.64</v>
      </c>
      <c r="H506" s="110" t="n">
        <v>8</v>
      </c>
      <c r="I506" s="111" t="n">
        <v>1.33</v>
      </c>
      <c r="J506" s="112" t="n">
        <f aca="false">ROUND(H506*I506,2)</f>
        <v>10.64</v>
      </c>
      <c r="L506" s="113" t="n">
        <v>8</v>
      </c>
      <c r="M506" s="114" t="n">
        <v>1.33</v>
      </c>
      <c r="N506" s="115" t="n">
        <f aca="false">ROUND(L506*M506,2)</f>
        <v>10.64</v>
      </c>
      <c r="R506" s="117" t="s">
        <v>890</v>
      </c>
    </row>
    <row r="507" customFormat="false" ht="15" hidden="false" customHeight="false" outlineLevel="0" collapsed="false">
      <c r="A507" s="104" t="s">
        <v>615</v>
      </c>
      <c r="B507" s="105" t="n">
        <f aca="false">IF($P$507&lt;&gt;"",ROUND(AA507*(($AB$507/(1-$P$507))-41.44)/48.0259,2),IF('Resumen 2.0TD'!$D$3="OPTIMIZAR",ROUND(MAX(AA507,MIN(AA507*(($AB$507/(1-'Resumen 2.0TD'!$F$3))-41.44)/48.0259,AA507*(322.4778)/48.0259)),3),AA507))</f>
        <v>25.483</v>
      </c>
      <c r="C507" s="118"/>
      <c r="D507" s="107" t="n">
        <v>0.110306</v>
      </c>
      <c r="E507" s="108" t="n">
        <v>0.13788</v>
      </c>
      <c r="F507" s="109" t="n">
        <f aca="false">ROUND(B507*E507,2)</f>
        <v>3.51</v>
      </c>
      <c r="H507" s="110" t="n">
        <v>217.137</v>
      </c>
      <c r="I507" s="111" t="n">
        <v>0.13788</v>
      </c>
      <c r="J507" s="112" t="n">
        <f aca="false">ROUND(H507*I507,2)</f>
        <v>29.94</v>
      </c>
      <c r="L507" s="113" t="n">
        <v>2.808</v>
      </c>
      <c r="M507" s="114" t="n">
        <v>0.13788</v>
      </c>
      <c r="N507" s="115" t="n">
        <f aca="false">ROUND(L507*M507,2)</f>
        <v>0.39</v>
      </c>
      <c r="O507" s="119" t="s">
        <v>616</v>
      </c>
      <c r="P507" s="79"/>
      <c r="R507" s="117" t="s">
        <v>891</v>
      </c>
      <c r="AA507" s="0" t="n">
        <v>25.483</v>
      </c>
      <c r="AB507" s="0" t="n">
        <f aca="false">B505*D505+B506*D506+AA507*D507+AA508*D508+AA509*D509</f>
        <v>74.468495002</v>
      </c>
    </row>
    <row r="508" customFormat="false" ht="15" hidden="false" customHeight="false" outlineLevel="0" collapsed="false">
      <c r="A508" s="104" t="s">
        <v>618</v>
      </c>
      <c r="B508" s="105" t="n">
        <f aca="false">IF($P$507&lt;&gt;"",ROUND(AA508*(($AB$507/(1-$P$507))-41.44)/48.0259,2),IF('Resumen 2.0TD'!$D$3="OPTIMIZAR",ROUND(MAX(AA508,MIN(AA508*(($AB$507/(1-'Resumen 2.0TD'!$F$3))-41.44)/48.0259,AA508*(322.4778)/48.0259)),3),AA508))</f>
        <v>62.697</v>
      </c>
      <c r="C508" s="118"/>
      <c r="D508" s="107" t="n">
        <v>0.110306</v>
      </c>
      <c r="E508" s="108" t="n">
        <v>0.13788</v>
      </c>
      <c r="F508" s="109" t="n">
        <f aca="false">ROUND(B508*E508,2)</f>
        <v>8.64</v>
      </c>
      <c r="H508" s="110" t="n">
        <v>163.934</v>
      </c>
      <c r="I508" s="111" t="n">
        <v>0.13788</v>
      </c>
      <c r="J508" s="112" t="n">
        <f aca="false">ROUND(H508*I508,2)</f>
        <v>22.6</v>
      </c>
      <c r="L508" s="113" t="n">
        <v>25.709</v>
      </c>
      <c r="M508" s="114" t="n">
        <v>0.13788</v>
      </c>
      <c r="N508" s="115" t="n">
        <f aca="false">ROUND(L508*M508,2)</f>
        <v>3.54</v>
      </c>
      <c r="O508" s="120" t="s">
        <v>619</v>
      </c>
      <c r="R508" s="117" t="s">
        <v>620</v>
      </c>
      <c r="AA508" s="0" t="n">
        <v>62.697</v>
      </c>
    </row>
    <row r="509" customFormat="false" ht="15" hidden="false" customHeight="false" outlineLevel="0" collapsed="false">
      <c r="A509" s="104" t="s">
        <v>621</v>
      </c>
      <c r="B509" s="105" t="n">
        <f aca="false">IF($P$507&lt;&gt;"",ROUND(AA509*(($AB$507/(1-$P$507))-41.44)/48.0259,2),IF('Resumen 2.0TD'!$D$3="OPTIMIZAR",ROUND(MAX(AA509,MIN(AA509*(($AB$507/(1-'Resumen 2.0TD'!$F$3))-41.44)/48.0259,AA509*(322.4778)/48.0259)),3),AA509))</f>
        <v>260.137</v>
      </c>
      <c r="C509" s="118"/>
      <c r="D509" s="107" t="n">
        <v>0.110306</v>
      </c>
      <c r="E509" s="108" t="n">
        <v>0.13788</v>
      </c>
      <c r="F509" s="109" t="n">
        <f aca="false">ROUND(B509*E509,2)</f>
        <v>35.87</v>
      </c>
      <c r="H509" s="110" t="n">
        <v>380.582</v>
      </c>
      <c r="I509" s="111" t="n">
        <v>0.13788</v>
      </c>
      <c r="J509" s="112" t="n">
        <f aca="false">ROUND(H509*I509,2)</f>
        <v>52.47</v>
      </c>
      <c r="L509" s="113" t="n">
        <v>137.748</v>
      </c>
      <c r="M509" s="114" t="n">
        <v>0.13788</v>
      </c>
      <c r="N509" s="115" t="n">
        <f aca="false">ROUND(L509*M509,2)</f>
        <v>18.99</v>
      </c>
      <c r="O509" s="120" t="s">
        <v>622</v>
      </c>
      <c r="AA509" s="0" t="n">
        <v>260.137</v>
      </c>
    </row>
    <row r="510" customFormat="false" ht="15" hidden="false" customHeight="false" outlineLevel="0" collapsed="false">
      <c r="A510" s="104" t="s">
        <v>139</v>
      </c>
      <c r="B510" s="105" t="n">
        <v>1</v>
      </c>
      <c r="C510" s="106" t="n">
        <f aca="false">$N$502-$L$502+1</f>
        <v>30</v>
      </c>
      <c r="D510" s="107" t="n">
        <v>1.3414</v>
      </c>
      <c r="E510" s="108" t="n">
        <v>3</v>
      </c>
      <c r="F510" s="109" t="n">
        <f aca="false">ROUND(B510*E510,2)</f>
        <v>3</v>
      </c>
      <c r="H510" s="110" t="n">
        <v>1</v>
      </c>
      <c r="I510" s="111" t="n">
        <v>3</v>
      </c>
      <c r="J510" s="112" t="n">
        <f aca="false">ROUND(H510*I510,2)</f>
        <v>3</v>
      </c>
      <c r="L510" s="113" t="n">
        <v>1</v>
      </c>
      <c r="M510" s="114" t="n">
        <v>3</v>
      </c>
      <c r="N510" s="115" t="n">
        <f aca="false">ROUND(L510*M510,2)</f>
        <v>3</v>
      </c>
    </row>
    <row r="511" customFormat="false" ht="15" hidden="false" customHeight="false" outlineLevel="0" collapsed="false">
      <c r="A511" s="104" t="s">
        <v>140</v>
      </c>
      <c r="B511" s="105" t="n">
        <v>30</v>
      </c>
      <c r="C511" s="106" t="n">
        <f aca="false">$N$502-$L$502+1</f>
        <v>30</v>
      </c>
      <c r="D511" s="107" t="n">
        <v>0.5736</v>
      </c>
      <c r="E511" s="108" t="n">
        <v>0.01274</v>
      </c>
      <c r="F511" s="109" t="n">
        <f aca="false">ROUND(B511*E511,2)</f>
        <v>0.38</v>
      </c>
      <c r="H511" s="110" t="n">
        <v>30</v>
      </c>
      <c r="I511" s="111" t="n">
        <v>0.01274</v>
      </c>
      <c r="J511" s="112" t="n">
        <f aca="false">ROUND(H511*I511,2)</f>
        <v>0.38</v>
      </c>
      <c r="L511" s="113" t="n">
        <v>30</v>
      </c>
      <c r="M511" s="114" t="n">
        <v>0.00629</v>
      </c>
      <c r="N511" s="115" t="n">
        <f aca="false">ROUND(L511*M511,2)</f>
        <v>0.19</v>
      </c>
    </row>
    <row r="512" customFormat="false" ht="15" hidden="false" customHeight="false" outlineLevel="0" collapsed="false">
      <c r="A512" s="104" t="s">
        <v>141</v>
      </c>
      <c r="B512" s="105" t="n">
        <v>3.26</v>
      </c>
      <c r="C512" s="118"/>
      <c r="D512" s="107" t="n">
        <v>0.24729</v>
      </c>
      <c r="E512" s="108" t="n">
        <v>1</v>
      </c>
      <c r="F512" s="109" t="n">
        <f aca="false">ROUND(B512*E512,2)</f>
        <v>3.26</v>
      </c>
      <c r="H512" s="110" t="n">
        <v>6.54</v>
      </c>
      <c r="I512" s="111" t="n">
        <v>1</v>
      </c>
      <c r="J512" s="112" t="n">
        <f aca="false">ROUND(H512*I512,2)</f>
        <v>6.54</v>
      </c>
      <c r="L512" s="113" t="n">
        <v>2.13</v>
      </c>
      <c r="M512" s="114" t="n">
        <v>1</v>
      </c>
      <c r="N512" s="115" t="n">
        <f aca="false">ROUND(L512*M512,2)</f>
        <v>2.13</v>
      </c>
    </row>
    <row r="513" customFormat="false" ht="15" hidden="false" customHeight="false" outlineLevel="0" collapsed="false">
      <c r="A513" s="121" t="s">
        <v>142</v>
      </c>
      <c r="F513" s="122" t="n">
        <f aca="false">ROUND((SUM(F505:F512)-F512)*1.1+F512,2)</f>
        <v>105.38</v>
      </c>
      <c r="J513" s="123" t="n">
        <f aca="false">ROUND(SUM(J505:J512),2)</f>
        <v>156.37</v>
      </c>
      <c r="N513" s="124" t="n">
        <f aca="false">ROUND(SUM(N505:N512),2)</f>
        <v>69.68</v>
      </c>
    </row>
    <row r="514" customFormat="false" ht="15" hidden="false" customHeight="false" outlineLevel="0" collapsed="false">
      <c r="A514" s="93" t="s">
        <v>143</v>
      </c>
      <c r="B514" s="125" t="n">
        <f aca="false">IF((F509+F508+F507+F505+F506)=0,"",((F509+F508+F507+F505+F506)-$AB$507)/(F509+F508+F507+F505+F506))</f>
        <v>0.167577744220881</v>
      </c>
      <c r="D514" s="126" t="str">
        <f aca="false">IF(B514="","SIN PC",IF(B514&gt;=0.3,"APROBAR",IF(B514&gt;=0.2,"REVISAR","RECHAZAR")))</f>
        <v>RECHAZAR</v>
      </c>
      <c r="E514" s="126"/>
      <c r="F514" s="126"/>
      <c r="AD514" s="0" t="n">
        <f aca="false">SUM(F507:F509)-48.0259</f>
        <v>-0.00590000000000401</v>
      </c>
    </row>
    <row r="515" customFormat="false" ht="15" hidden="false" customHeight="false" outlineLevel="0" collapsed="false">
      <c r="A515" s="127" t="s">
        <v>744</v>
      </c>
      <c r="B515" s="127"/>
      <c r="C515" s="127"/>
      <c r="D515" s="127"/>
      <c r="E515" s="127"/>
      <c r="F515" s="127"/>
    </row>
    <row r="516" customFormat="false" ht="15" hidden="false" customHeight="false" outlineLevel="0" collapsed="false">
      <c r="A516" s="128" t="s">
        <v>111</v>
      </c>
      <c r="B516" s="128" t="s">
        <v>745</v>
      </c>
      <c r="D516" s="128" t="s">
        <v>746</v>
      </c>
      <c r="E516" s="128" t="s">
        <v>747</v>
      </c>
      <c r="F516" s="128" t="s">
        <v>120</v>
      </c>
    </row>
    <row r="517" customFormat="false" ht="15" hidden="false" customHeight="false" outlineLevel="0" collapsed="false">
      <c r="A517" s="129" t="s">
        <v>748</v>
      </c>
      <c r="B517" s="130" t="n">
        <v>471</v>
      </c>
      <c r="C517" s="131"/>
      <c r="D517" s="107" t="n">
        <v>0.06</v>
      </c>
      <c r="E517" s="131"/>
      <c r="F517" s="132" t="n">
        <f aca="false">ROUND(B517*D517,2)</f>
        <v>28.26</v>
      </c>
    </row>
    <row r="518" customFormat="false" ht="15" hidden="false" customHeight="false" outlineLevel="0" collapsed="false">
      <c r="A518" s="129" t="s">
        <v>749</v>
      </c>
      <c r="B518" s="131"/>
      <c r="C518" s="131"/>
      <c r="D518" s="131"/>
      <c r="E518" s="133" t="n">
        <v>0.06</v>
      </c>
      <c r="F518" s="132" t="n">
        <v>25.84</v>
      </c>
    </row>
    <row r="519" customFormat="false" ht="15" hidden="false" customHeight="false" outlineLevel="0" collapsed="false">
      <c r="A519" s="134" t="s">
        <v>750</v>
      </c>
      <c r="B519" s="131"/>
      <c r="C519" s="131"/>
      <c r="D519" s="131"/>
      <c r="E519" s="131"/>
      <c r="F519" s="135" t="n">
        <f aca="false">F517-F518</f>
        <v>2.42</v>
      </c>
    </row>
    <row r="521" customFormat="false" ht="15" hidden="false" customHeight="false" outlineLevel="0" collapsed="false">
      <c r="A521" s="89" t="s">
        <v>892</v>
      </c>
      <c r="B521" s="89"/>
      <c r="C521" s="89"/>
      <c r="D521" s="89"/>
      <c r="E521" s="89"/>
      <c r="F521" s="89"/>
      <c r="H521" s="89" t="s">
        <v>893</v>
      </c>
      <c r="I521" s="89"/>
      <c r="J521" s="89"/>
      <c r="K521" s="89"/>
      <c r="L521" s="90" t="n">
        <v>46113</v>
      </c>
      <c r="M521" s="91" t="s">
        <v>608</v>
      </c>
      <c r="N521" s="90" t="n">
        <v>46142</v>
      </c>
      <c r="R521" s="92" t="s">
        <v>110</v>
      </c>
      <c r="S521" s="92"/>
      <c r="T521" s="92"/>
      <c r="U521" s="92"/>
      <c r="V521" s="92"/>
    </row>
    <row r="522" customFormat="false" ht="15" hidden="false" customHeight="false" outlineLevel="0" collapsed="false">
      <c r="A522" s="93" t="s">
        <v>111</v>
      </c>
      <c r="B522" s="94" t="s">
        <v>112</v>
      </c>
      <c r="C522" s="95"/>
      <c r="D522" s="95"/>
      <c r="E522" s="95"/>
      <c r="F522" s="95"/>
      <c r="H522" s="96" t="s">
        <v>894</v>
      </c>
      <c r="I522" s="97"/>
      <c r="J522" s="97"/>
      <c r="L522" s="98" t="s">
        <v>797</v>
      </c>
      <c r="M522" s="99"/>
      <c r="N522" s="99"/>
      <c r="R522" s="100" t="s">
        <v>895</v>
      </c>
    </row>
    <row r="523" customFormat="false" ht="15" hidden="false" customHeight="false" outlineLevel="0" collapsed="false">
      <c r="B523" s="81" t="s">
        <v>116</v>
      </c>
      <c r="C523" s="81" t="s">
        <v>117</v>
      </c>
      <c r="D523" s="81" t="s">
        <v>118</v>
      </c>
      <c r="E523" s="81" t="s">
        <v>119</v>
      </c>
      <c r="F523" s="81" t="s">
        <v>120</v>
      </c>
      <c r="H523" s="101" t="s">
        <v>116</v>
      </c>
      <c r="I523" s="101" t="s">
        <v>119</v>
      </c>
      <c r="J523" s="101" t="s">
        <v>120</v>
      </c>
      <c r="L523" s="102" t="s">
        <v>116</v>
      </c>
      <c r="M523" s="102" t="s">
        <v>119</v>
      </c>
      <c r="N523" s="102" t="s">
        <v>120</v>
      </c>
      <c r="R523" s="103" t="s">
        <v>896</v>
      </c>
    </row>
    <row r="524" customFormat="false" ht="15" hidden="false" customHeight="false" outlineLevel="0" collapsed="false">
      <c r="A524" s="104" t="s">
        <v>122</v>
      </c>
      <c r="B524" s="105" t="n">
        <v>5.75</v>
      </c>
      <c r="C524" s="106" t="n">
        <f aca="false">$N$521-$L$521+1</f>
        <v>30</v>
      </c>
      <c r="D524" s="107" t="n">
        <v>3.68919</v>
      </c>
      <c r="E524" s="108" t="n">
        <v>3.85</v>
      </c>
      <c r="F524" s="109" t="n">
        <f aca="false">ROUND(B524*E524,2)</f>
        <v>22.14</v>
      </c>
      <c r="H524" s="110" t="n">
        <v>5.75</v>
      </c>
      <c r="I524" s="111" t="n">
        <v>3.85</v>
      </c>
      <c r="J524" s="112" t="n">
        <f aca="false">ROUND(H524*I524,2)</f>
        <v>22.14</v>
      </c>
      <c r="L524" s="136"/>
      <c r="M524" s="136"/>
      <c r="N524" s="136"/>
      <c r="R524" s="116" t="s">
        <v>897</v>
      </c>
    </row>
    <row r="525" customFormat="false" ht="15" hidden="false" customHeight="false" outlineLevel="0" collapsed="false">
      <c r="A525" s="104" t="s">
        <v>124</v>
      </c>
      <c r="B525" s="105" t="n">
        <v>5.75</v>
      </c>
      <c r="C525" s="106" t="n">
        <f aca="false">$N$521-$L$521+1</f>
        <v>30</v>
      </c>
      <c r="D525" s="107" t="n">
        <v>1.31928</v>
      </c>
      <c r="E525" s="108" t="n">
        <v>1.33</v>
      </c>
      <c r="F525" s="109" t="n">
        <f aca="false">ROUND(B525*E525,2)</f>
        <v>7.65</v>
      </c>
      <c r="H525" s="110" t="n">
        <v>5.75</v>
      </c>
      <c r="I525" s="111" t="n">
        <v>1.33</v>
      </c>
      <c r="J525" s="112" t="n">
        <f aca="false">ROUND(H525*I525,2)</f>
        <v>7.65</v>
      </c>
      <c r="L525" s="136"/>
      <c r="M525" s="136"/>
      <c r="N525" s="136"/>
      <c r="R525" s="117" t="s">
        <v>898</v>
      </c>
    </row>
    <row r="526" customFormat="false" ht="15" hidden="false" customHeight="false" outlineLevel="0" collapsed="false">
      <c r="A526" s="104" t="s">
        <v>615</v>
      </c>
      <c r="B526" s="105" t="n">
        <f aca="false">IF($P$526&lt;&gt;"",ROUND(AA526*(($AB$526/(1-$P$526))-29.785)/37.5122,2),IF('Resumen 2.0TD'!$D$3="OPTIMIZAR",ROUND(MAX(AA526,MIN(AA526*(($AB$526/(1-'Resumen 2.0TD'!$F$3))-29.785)/37.5122,AA526*(170.7728)/37.5122)),3),AA526))</f>
        <v>86.537</v>
      </c>
      <c r="C526" s="118"/>
      <c r="D526" s="107" t="n">
        <v>0.111171</v>
      </c>
      <c r="E526" s="108" t="n">
        <v>0.13788</v>
      </c>
      <c r="F526" s="109" t="n">
        <f aca="false">ROUND(B526*E526,2)</f>
        <v>11.93</v>
      </c>
      <c r="H526" s="110" t="n">
        <v>142.934</v>
      </c>
      <c r="I526" s="111" t="n">
        <v>0.13788</v>
      </c>
      <c r="J526" s="112" t="n">
        <f aca="false">ROUND(H526*I526,2)</f>
        <v>19.71</v>
      </c>
      <c r="L526" s="136"/>
      <c r="M526" s="136"/>
      <c r="N526" s="136"/>
      <c r="O526" s="119" t="s">
        <v>616</v>
      </c>
      <c r="P526" s="79"/>
      <c r="R526" s="117" t="s">
        <v>899</v>
      </c>
      <c r="AA526" s="0" t="n">
        <v>86.537</v>
      </c>
      <c r="AB526" s="0" t="n">
        <f aca="false">B524*D524+B525*D525+AA526*D526+AA527*D527+AA528*D528</f>
        <v>59.044329444</v>
      </c>
    </row>
    <row r="527" customFormat="false" ht="15" hidden="false" customHeight="false" outlineLevel="0" collapsed="false">
      <c r="A527" s="104" t="s">
        <v>618</v>
      </c>
      <c r="B527" s="105" t="n">
        <f aca="false">IF($P$526&lt;&gt;"",ROUND(AA527*(($AB$526/(1-$P$526))-29.785)/37.5122,2),IF('Resumen 2.0TD'!$D$3="OPTIMIZAR",ROUND(MAX(AA527,MIN(AA527*(($AB$526/(1-'Resumen 2.0TD'!$F$3))-29.785)/37.5122,AA527*(170.7728)/37.5122)),3),AA527))</f>
        <v>53.745</v>
      </c>
      <c r="C527" s="118"/>
      <c r="D527" s="107" t="n">
        <v>0.111171</v>
      </c>
      <c r="E527" s="108" t="n">
        <v>0.13788</v>
      </c>
      <c r="F527" s="109" t="n">
        <f aca="false">ROUND(B527*E527,2)</f>
        <v>7.41</v>
      </c>
      <c r="H527" s="110" t="n">
        <v>139.259</v>
      </c>
      <c r="I527" s="111" t="n">
        <v>0.13788</v>
      </c>
      <c r="J527" s="112" t="n">
        <f aca="false">ROUND(H527*I527,2)</f>
        <v>19.2</v>
      </c>
      <c r="L527" s="136"/>
      <c r="M527" s="136"/>
      <c r="N527" s="136"/>
      <c r="O527" s="120" t="s">
        <v>619</v>
      </c>
      <c r="R527" s="117" t="s">
        <v>620</v>
      </c>
      <c r="AA527" s="0" t="n">
        <v>53.745</v>
      </c>
    </row>
    <row r="528" customFormat="false" ht="15" hidden="false" customHeight="false" outlineLevel="0" collapsed="false">
      <c r="A528" s="104" t="s">
        <v>621</v>
      </c>
      <c r="B528" s="105" t="n">
        <f aca="false">IF($P$526&lt;&gt;"",ROUND(AA528*(($AB$526/(1-$P$526))-29.785)/37.5122,2),IF('Resumen 2.0TD'!$D$3="OPTIMIZAR",ROUND(MAX(AA528,MIN(AA528*(($AB$526/(1-'Resumen 2.0TD'!$F$3))-29.785)/37.5122,AA528*(170.7728)/37.5122)),3),AA528))</f>
        <v>131.782</v>
      </c>
      <c r="C528" s="118"/>
      <c r="D528" s="107" t="n">
        <v>0.111171</v>
      </c>
      <c r="E528" s="108" t="n">
        <v>0.13788</v>
      </c>
      <c r="F528" s="109" t="n">
        <f aca="false">ROUND(B528*E528,2)</f>
        <v>18.17</v>
      </c>
      <c r="H528" s="110" t="n">
        <v>285.917</v>
      </c>
      <c r="I528" s="111" t="n">
        <v>0.13788</v>
      </c>
      <c r="J528" s="112" t="n">
        <f aca="false">ROUND(H528*I528,2)</f>
        <v>39.42</v>
      </c>
      <c r="L528" s="136"/>
      <c r="M528" s="136"/>
      <c r="N528" s="136"/>
      <c r="O528" s="120" t="s">
        <v>622</v>
      </c>
      <c r="AA528" s="0" t="n">
        <v>131.782</v>
      </c>
    </row>
    <row r="529" customFormat="false" ht="15" hidden="false" customHeight="false" outlineLevel="0" collapsed="false">
      <c r="A529" s="104" t="s">
        <v>139</v>
      </c>
      <c r="B529" s="105" t="n">
        <v>1</v>
      </c>
      <c r="C529" s="106" t="n">
        <f aca="false">$N$521-$L$521+1</f>
        <v>30</v>
      </c>
      <c r="D529" s="107" t="n">
        <v>0.7989</v>
      </c>
      <c r="E529" s="108" t="n">
        <v>3</v>
      </c>
      <c r="F529" s="109" t="n">
        <f aca="false">ROUND(B529*E529,2)</f>
        <v>3</v>
      </c>
      <c r="H529" s="110" t="n">
        <v>1</v>
      </c>
      <c r="I529" s="111" t="n">
        <v>3</v>
      </c>
      <c r="J529" s="112" t="n">
        <f aca="false">ROUND(H529*I529,2)</f>
        <v>3</v>
      </c>
      <c r="L529" s="136"/>
      <c r="M529" s="136"/>
      <c r="N529" s="136"/>
    </row>
    <row r="530" customFormat="false" ht="15" hidden="false" customHeight="false" outlineLevel="0" collapsed="false">
      <c r="A530" s="104" t="s">
        <v>140</v>
      </c>
      <c r="B530" s="105" t="n">
        <v>30</v>
      </c>
      <c r="C530" s="106" t="n">
        <f aca="false">$N$521-$L$521+1</f>
        <v>30</v>
      </c>
      <c r="D530" s="107" t="n">
        <v>0.5736</v>
      </c>
      <c r="E530" s="108" t="n">
        <v>0.01274</v>
      </c>
      <c r="F530" s="109" t="n">
        <f aca="false">ROUND(B530*E530,2)</f>
        <v>0.38</v>
      </c>
      <c r="H530" s="110" t="n">
        <v>30</v>
      </c>
      <c r="I530" s="111" t="n">
        <v>0.01274</v>
      </c>
      <c r="J530" s="112" t="n">
        <f aca="false">ROUND(H530*I530,2)</f>
        <v>0.38</v>
      </c>
      <c r="L530" s="136"/>
      <c r="M530" s="136"/>
      <c r="N530" s="136"/>
    </row>
    <row r="531" customFormat="false" ht="15" hidden="false" customHeight="false" outlineLevel="0" collapsed="false">
      <c r="A531" s="104" t="s">
        <v>141</v>
      </c>
      <c r="B531" s="105" t="n">
        <v>1.9</v>
      </c>
      <c r="C531" s="118"/>
      <c r="D531" s="107" t="n">
        <v>0.27312</v>
      </c>
      <c r="E531" s="108" t="n">
        <v>1</v>
      </c>
      <c r="F531" s="109" t="n">
        <f aca="false">ROUND(B531*E531,2)</f>
        <v>1.9</v>
      </c>
      <c r="H531" s="110" t="n">
        <v>4.6</v>
      </c>
      <c r="I531" s="111" t="n">
        <v>1</v>
      </c>
      <c r="J531" s="112" t="n">
        <f aca="false">ROUND(H531*I531,2)</f>
        <v>4.6</v>
      </c>
      <c r="L531" s="136"/>
      <c r="M531" s="136"/>
      <c r="N531" s="136"/>
    </row>
    <row r="532" customFormat="false" ht="15" hidden="false" customHeight="false" outlineLevel="0" collapsed="false">
      <c r="A532" s="121" t="s">
        <v>142</v>
      </c>
      <c r="F532" s="122" t="n">
        <f aca="false">ROUND((SUM(F524:F531)-F531)*1.1+F531,2)</f>
        <v>79.65</v>
      </c>
      <c r="J532" s="123" t="n">
        <f aca="false">ROUND(SUM(J524:J531),2)</f>
        <v>116.1</v>
      </c>
      <c r="N532" s="137"/>
    </row>
    <row r="533" customFormat="false" ht="15" hidden="false" customHeight="false" outlineLevel="0" collapsed="false">
      <c r="A533" s="93" t="s">
        <v>143</v>
      </c>
      <c r="B533" s="125" t="n">
        <f aca="false">IF((F528+F527+F526+F524+F525)=0,"",((F528+F527+F526+F524+F525)-$AB$526)/(F528+F527+F526+F524+F525))</f>
        <v>0.122669696225854</v>
      </c>
      <c r="D533" s="126" t="str">
        <f aca="false">IF(B533="","SIN PC",IF(B533&gt;=0.3,"APROBAR",IF(B533&gt;=0.2,"REVISAR","RECHAZAR")))</f>
        <v>RECHAZAR</v>
      </c>
      <c r="E533" s="126"/>
      <c r="F533" s="126"/>
      <c r="AD533" s="0" t="n">
        <f aca="false">SUM(F526:F528)-37.5122</f>
        <v>-0.00219999999999487</v>
      </c>
    </row>
    <row r="534" customFormat="false" ht="15" hidden="false" customHeight="false" outlineLevel="0" collapsed="false">
      <c r="A534" s="127" t="s">
        <v>744</v>
      </c>
      <c r="B534" s="127"/>
      <c r="C534" s="127"/>
      <c r="D534" s="127"/>
      <c r="E534" s="127"/>
      <c r="F534" s="127"/>
    </row>
    <row r="535" customFormat="false" ht="15" hidden="false" customHeight="false" outlineLevel="0" collapsed="false">
      <c r="A535" s="128" t="s">
        <v>111</v>
      </c>
      <c r="B535" s="128" t="s">
        <v>745</v>
      </c>
      <c r="D535" s="128" t="s">
        <v>746</v>
      </c>
      <c r="E535" s="128" t="s">
        <v>747</v>
      </c>
      <c r="F535" s="128" t="s">
        <v>120</v>
      </c>
    </row>
    <row r="536" customFormat="false" ht="15" hidden="false" customHeight="false" outlineLevel="0" collapsed="false">
      <c r="A536" s="129" t="s">
        <v>748</v>
      </c>
      <c r="B536" s="130" t="n">
        <v>528</v>
      </c>
      <c r="C536" s="131"/>
      <c r="D536" s="107" t="n">
        <v>0.06</v>
      </c>
      <c r="E536" s="131"/>
      <c r="F536" s="132" t="n">
        <f aca="false">ROUND(B536*D536,2)</f>
        <v>31.68</v>
      </c>
    </row>
    <row r="537" customFormat="false" ht="15" hidden="false" customHeight="false" outlineLevel="0" collapsed="false">
      <c r="A537" s="129" t="s">
        <v>749</v>
      </c>
      <c r="B537" s="131"/>
      <c r="C537" s="131"/>
      <c r="D537" s="131"/>
      <c r="E537" s="133" t="n">
        <v>0.07</v>
      </c>
      <c r="F537" s="132" t="n">
        <v>30.38</v>
      </c>
    </row>
    <row r="538" customFormat="false" ht="15" hidden="false" customHeight="false" outlineLevel="0" collapsed="false">
      <c r="A538" s="134" t="s">
        <v>750</v>
      </c>
      <c r="B538" s="131"/>
      <c r="C538" s="131"/>
      <c r="D538" s="131"/>
      <c r="E538" s="131"/>
      <c r="F538" s="135" t="n">
        <f aca="false">F536-F537</f>
        <v>1.3</v>
      </c>
    </row>
    <row r="540" customFormat="false" ht="15" hidden="false" customHeight="false" outlineLevel="0" collapsed="false">
      <c r="A540" s="89" t="s">
        <v>900</v>
      </c>
      <c r="B540" s="89"/>
      <c r="C540" s="89"/>
      <c r="D540" s="89"/>
      <c r="E540" s="89"/>
      <c r="F540" s="89"/>
      <c r="H540" s="89" t="s">
        <v>901</v>
      </c>
      <c r="I540" s="89"/>
      <c r="J540" s="89"/>
      <c r="K540" s="89"/>
      <c r="L540" s="90" t="n">
        <v>46113</v>
      </c>
      <c r="M540" s="91" t="s">
        <v>608</v>
      </c>
      <c r="N540" s="90" t="n">
        <v>46142</v>
      </c>
      <c r="R540" s="92" t="s">
        <v>110</v>
      </c>
      <c r="S540" s="92"/>
      <c r="T540" s="92"/>
      <c r="U540" s="92"/>
      <c r="V540" s="92"/>
    </row>
    <row r="541" customFormat="false" ht="15" hidden="false" customHeight="false" outlineLevel="0" collapsed="false">
      <c r="A541" s="93" t="s">
        <v>111</v>
      </c>
      <c r="B541" s="94" t="s">
        <v>112</v>
      </c>
      <c r="C541" s="95"/>
      <c r="D541" s="95"/>
      <c r="E541" s="95"/>
      <c r="F541" s="95"/>
      <c r="H541" s="96" t="s">
        <v>902</v>
      </c>
      <c r="I541" s="97"/>
      <c r="J541" s="97"/>
      <c r="L541" s="98" t="s">
        <v>903</v>
      </c>
      <c r="M541" s="99"/>
      <c r="N541" s="99"/>
      <c r="R541" s="100" t="s">
        <v>904</v>
      </c>
    </row>
    <row r="542" customFormat="false" ht="15" hidden="false" customHeight="false" outlineLevel="0" collapsed="false">
      <c r="B542" s="81" t="s">
        <v>116</v>
      </c>
      <c r="C542" s="81" t="s">
        <v>117</v>
      </c>
      <c r="D542" s="81" t="s">
        <v>118</v>
      </c>
      <c r="E542" s="81" t="s">
        <v>119</v>
      </c>
      <c r="F542" s="81" t="s">
        <v>120</v>
      </c>
      <c r="H542" s="101" t="s">
        <v>116</v>
      </c>
      <c r="I542" s="101" t="s">
        <v>119</v>
      </c>
      <c r="J542" s="101" t="s">
        <v>120</v>
      </c>
      <c r="L542" s="102" t="s">
        <v>116</v>
      </c>
      <c r="M542" s="102" t="s">
        <v>119</v>
      </c>
      <c r="N542" s="102" t="s">
        <v>120</v>
      </c>
      <c r="R542" s="103" t="s">
        <v>905</v>
      </c>
    </row>
    <row r="543" customFormat="false" ht="15" hidden="false" customHeight="false" outlineLevel="0" collapsed="false">
      <c r="A543" s="104" t="s">
        <v>122</v>
      </c>
      <c r="B543" s="105" t="n">
        <v>9.9</v>
      </c>
      <c r="C543" s="106" t="n">
        <f aca="false">$N$540-$L$540+1</f>
        <v>30</v>
      </c>
      <c r="D543" s="107" t="n">
        <v>3.4086</v>
      </c>
      <c r="E543" s="108" t="n">
        <v>3.85</v>
      </c>
      <c r="F543" s="109" t="n">
        <f aca="false">ROUND(B543*E543,2)</f>
        <v>38.12</v>
      </c>
      <c r="H543" s="110" t="n">
        <v>9.9</v>
      </c>
      <c r="I543" s="111" t="n">
        <v>3.85</v>
      </c>
      <c r="J543" s="112" t="n">
        <f aca="false">ROUND(H543*I543,2)</f>
        <v>38.12</v>
      </c>
      <c r="L543" s="113" t="n">
        <v>9.9</v>
      </c>
      <c r="M543" s="114" t="n">
        <v>3.85</v>
      </c>
      <c r="N543" s="115" t="n">
        <f aca="false">ROUND(L543*M543,2)</f>
        <v>38.12</v>
      </c>
      <c r="R543" s="116" t="s">
        <v>906</v>
      </c>
    </row>
    <row r="544" customFormat="false" ht="15" hidden="false" customHeight="false" outlineLevel="0" collapsed="false">
      <c r="A544" s="104" t="s">
        <v>124</v>
      </c>
      <c r="B544" s="105" t="n">
        <v>9.9</v>
      </c>
      <c r="C544" s="106" t="n">
        <f aca="false">$N$540-$L$540+1</f>
        <v>30</v>
      </c>
      <c r="D544" s="107" t="n">
        <v>1.09728</v>
      </c>
      <c r="E544" s="108" t="n">
        <v>1.33</v>
      </c>
      <c r="F544" s="109" t="n">
        <f aca="false">ROUND(B544*E544,2)</f>
        <v>13.17</v>
      </c>
      <c r="H544" s="110" t="n">
        <v>9.9</v>
      </c>
      <c r="I544" s="111" t="n">
        <v>1.33</v>
      </c>
      <c r="J544" s="112" t="n">
        <f aca="false">ROUND(H544*I544,2)</f>
        <v>13.17</v>
      </c>
      <c r="L544" s="113" t="n">
        <v>9.9</v>
      </c>
      <c r="M544" s="114" t="n">
        <v>1.33</v>
      </c>
      <c r="N544" s="115" t="n">
        <f aca="false">ROUND(L544*M544,2)</f>
        <v>13.17</v>
      </c>
      <c r="R544" s="117" t="s">
        <v>907</v>
      </c>
    </row>
    <row r="545" customFormat="false" ht="15" hidden="false" customHeight="false" outlineLevel="0" collapsed="false">
      <c r="A545" s="104" t="s">
        <v>615</v>
      </c>
      <c r="B545" s="105" t="n">
        <f aca="false">IF($P$545&lt;&gt;"",ROUND(AA545*(($AB$545/(1-$P$545))-51.282)/75.8381,2),IF('Resumen 2.0TD'!$D$3="OPTIMIZAR",ROUND(MAX(AA545,MIN(AA545*(($AB$545/(1-'Resumen 2.0TD'!$F$3))-51.282)/75.8381,AA545*(186.3058)/75.8381)),3),AA545))</f>
        <v>104.855</v>
      </c>
      <c r="C545" s="118"/>
      <c r="D545" s="107" t="n">
        <v>0.110306</v>
      </c>
      <c r="E545" s="108" t="n">
        <v>0.13788</v>
      </c>
      <c r="F545" s="109" t="n">
        <f aca="false">ROUND(B545*E545,2)</f>
        <v>14.46</v>
      </c>
      <c r="H545" s="110" t="n">
        <v>163.129</v>
      </c>
      <c r="I545" s="111" t="n">
        <v>0.129</v>
      </c>
      <c r="J545" s="112" t="n">
        <f aca="false">ROUND(H545*I545,2)</f>
        <v>21.04</v>
      </c>
      <c r="L545" s="113" t="n">
        <v>110.834</v>
      </c>
      <c r="M545" s="114" t="n">
        <v>0.13788</v>
      </c>
      <c r="N545" s="115" t="n">
        <f aca="false">ROUND(L545*M545,2)</f>
        <v>15.28</v>
      </c>
      <c r="O545" s="119" t="s">
        <v>616</v>
      </c>
      <c r="P545" s="79"/>
      <c r="R545" s="117" t="s">
        <v>908</v>
      </c>
      <c r="AA545" s="0" t="n">
        <v>104.855</v>
      </c>
      <c r="AB545" s="0" t="n">
        <f aca="false">B543*D543+B544*D544+AA545*D545+AA546*D546+AA547*D547</f>
        <v>105.27982118</v>
      </c>
    </row>
    <row r="546" customFormat="false" ht="15" hidden="false" customHeight="false" outlineLevel="0" collapsed="false">
      <c r="A546" s="104" t="s">
        <v>618</v>
      </c>
      <c r="B546" s="105" t="n">
        <f aca="false">IF($P$545&lt;&gt;"",ROUND(AA546*(($AB$545/(1-$P$545))-51.282)/75.8381,2),IF('Resumen 2.0TD'!$D$3="OPTIMIZAR",ROUND(MAX(AA546,MIN(AA546*(($AB$545/(1-'Resumen 2.0TD'!$F$3))-51.282)/75.8381,AA546*(186.3058)/75.8381)),3),AA546))</f>
        <v>87.457</v>
      </c>
      <c r="C546" s="118"/>
      <c r="D546" s="107" t="n">
        <v>0.110306</v>
      </c>
      <c r="E546" s="108" t="n">
        <v>0.13788</v>
      </c>
      <c r="F546" s="109" t="n">
        <f aca="false">ROUND(B546*E546,2)</f>
        <v>12.06</v>
      </c>
      <c r="H546" s="110" t="n">
        <v>178.752</v>
      </c>
      <c r="I546" s="111" t="n">
        <v>0.129</v>
      </c>
      <c r="J546" s="112" t="n">
        <f aca="false">ROUND(H546*I546,2)</f>
        <v>23.06</v>
      </c>
      <c r="L546" s="113" t="n">
        <v>92.373</v>
      </c>
      <c r="M546" s="114" t="n">
        <v>0.13788</v>
      </c>
      <c r="N546" s="115" t="n">
        <f aca="false">ROUND(L546*M546,2)</f>
        <v>12.74</v>
      </c>
      <c r="O546" s="120" t="s">
        <v>619</v>
      </c>
      <c r="R546" s="117" t="s">
        <v>620</v>
      </c>
      <c r="AA546" s="0" t="n">
        <v>87.457</v>
      </c>
    </row>
    <row r="547" customFormat="false" ht="15" hidden="false" customHeight="false" outlineLevel="0" collapsed="false">
      <c r="A547" s="104" t="s">
        <v>621</v>
      </c>
      <c r="B547" s="105" t="n">
        <f aca="false">IF($P$545&lt;&gt;"",ROUND(AA547*(($AB$545/(1-$P$545))-51.282)/75.8381,2),IF('Resumen 2.0TD'!$D$3="OPTIMIZAR",ROUND(MAX(AA547,MIN(AA547*(($AB$545/(1-'Resumen 2.0TD'!$F$3))-51.282)/75.8381,AA547*(186.3058)/75.8381)),3),AA547))</f>
        <v>357.718</v>
      </c>
      <c r="C547" s="118"/>
      <c r="D547" s="107" t="n">
        <v>0.110306</v>
      </c>
      <c r="E547" s="108" t="n">
        <v>0.13788</v>
      </c>
      <c r="F547" s="109" t="n">
        <f aca="false">ROUND(B547*E547,2)</f>
        <v>49.32</v>
      </c>
      <c r="H547" s="110" t="n">
        <v>515.8</v>
      </c>
      <c r="I547" s="111" t="n">
        <v>0.129</v>
      </c>
      <c r="J547" s="112" t="n">
        <f aca="false">ROUND(H547*I547,2)</f>
        <v>66.54</v>
      </c>
      <c r="L547" s="113" t="n">
        <v>242.716</v>
      </c>
      <c r="M547" s="114" t="n">
        <v>0.13788</v>
      </c>
      <c r="N547" s="115" t="n">
        <f aca="false">ROUND(L547*M547,2)</f>
        <v>33.47</v>
      </c>
      <c r="O547" s="120" t="s">
        <v>622</v>
      </c>
      <c r="AA547" s="0" t="n">
        <v>357.718</v>
      </c>
    </row>
    <row r="548" customFormat="false" ht="15" hidden="false" customHeight="false" outlineLevel="0" collapsed="false">
      <c r="A548" s="104" t="s">
        <v>139</v>
      </c>
      <c r="B548" s="105" t="n">
        <v>1</v>
      </c>
      <c r="C548" s="106" t="n">
        <f aca="false">$N$540-$L$540+1</f>
        <v>30</v>
      </c>
      <c r="D548" s="107" t="n">
        <v>1.3414</v>
      </c>
      <c r="E548" s="108" t="n">
        <v>3</v>
      </c>
      <c r="F548" s="109" t="n">
        <f aca="false">ROUND(B548*E548,2)</f>
        <v>3</v>
      </c>
      <c r="H548" s="110" t="n">
        <v>1</v>
      </c>
      <c r="I548" s="111" t="n">
        <v>3</v>
      </c>
      <c r="J548" s="112" t="n">
        <f aca="false">ROUND(H548*I548,2)</f>
        <v>3</v>
      </c>
      <c r="L548" s="113" t="n">
        <v>1</v>
      </c>
      <c r="M548" s="114" t="n">
        <v>3</v>
      </c>
      <c r="N548" s="115" t="n">
        <f aca="false">ROUND(L548*M548,2)</f>
        <v>3</v>
      </c>
    </row>
    <row r="549" customFormat="false" ht="15" hidden="false" customHeight="false" outlineLevel="0" collapsed="false">
      <c r="A549" s="104" t="s">
        <v>140</v>
      </c>
      <c r="B549" s="105" t="n">
        <v>30</v>
      </c>
      <c r="C549" s="106" t="n">
        <f aca="false">$N$540-$L$540+1</f>
        <v>30</v>
      </c>
      <c r="D549" s="107" t="n">
        <v>0.5736</v>
      </c>
      <c r="E549" s="108" t="n">
        <v>0.01274</v>
      </c>
      <c r="F549" s="109" t="n">
        <f aca="false">ROUND(B549*E549,2)</f>
        <v>0.38</v>
      </c>
      <c r="H549" s="110" t="n">
        <v>30</v>
      </c>
      <c r="I549" s="111" t="n">
        <v>0.01274</v>
      </c>
      <c r="J549" s="112" t="n">
        <f aca="false">ROUND(H549*I549,2)</f>
        <v>0.38</v>
      </c>
      <c r="L549" s="113" t="n">
        <v>30</v>
      </c>
      <c r="M549" s="114" t="n">
        <v>0.00629</v>
      </c>
      <c r="N549" s="115" t="n">
        <f aca="false">ROUND(L549*M549,2)</f>
        <v>0.19</v>
      </c>
    </row>
    <row r="550" customFormat="false" ht="15" hidden="false" customHeight="false" outlineLevel="0" collapsed="false">
      <c r="A550" s="104" t="s">
        <v>141</v>
      </c>
      <c r="B550" s="105" t="n">
        <v>5.49</v>
      </c>
      <c r="C550" s="118"/>
      <c r="D550" s="107" t="n">
        <v>0.24729</v>
      </c>
      <c r="E550" s="108" t="n">
        <v>1</v>
      </c>
      <c r="F550" s="109" t="n">
        <f aca="false">ROUND(B550*E550,2)</f>
        <v>5.49</v>
      </c>
      <c r="H550" s="110" t="n">
        <v>8.28</v>
      </c>
      <c r="I550" s="111" t="n">
        <v>1</v>
      </c>
      <c r="J550" s="112" t="n">
        <f aca="false">ROUND(H550*I550,2)</f>
        <v>8.28</v>
      </c>
      <c r="L550" s="113" t="n">
        <v>4.98</v>
      </c>
      <c r="M550" s="114" t="n">
        <v>1</v>
      </c>
      <c r="N550" s="115" t="n">
        <f aca="false">ROUND(L550*M550,2)</f>
        <v>4.98</v>
      </c>
    </row>
    <row r="551" customFormat="false" ht="15" hidden="false" customHeight="false" outlineLevel="0" collapsed="false">
      <c r="A551" s="121" t="s">
        <v>142</v>
      </c>
      <c r="F551" s="122" t="n">
        <f aca="false">ROUND((SUM(F543:F550)-F550)*1.1+F550,2)</f>
        <v>149.05</v>
      </c>
      <c r="J551" s="123" t="n">
        <f aca="false">ROUND(SUM(J543:J550),2)</f>
        <v>173.59</v>
      </c>
      <c r="N551" s="124" t="n">
        <f aca="false">ROUND(SUM(N543:N550),2)</f>
        <v>120.95</v>
      </c>
    </row>
    <row r="552" customFormat="false" ht="15" hidden="false" customHeight="false" outlineLevel="0" collapsed="false">
      <c r="A552" s="93" t="s">
        <v>143</v>
      </c>
      <c r="B552" s="125" t="n">
        <f aca="false">IF((F547+F546+F545+F543+F544)=0,"",((F547+F546+F545+F543+F544)-$AB$545)/(F547+F546+F545+F543+F544))</f>
        <v>0.171872719421065</v>
      </c>
      <c r="D552" s="126" t="str">
        <f aca="false">IF(B552="","SIN PC",IF(B552&gt;=0.3,"APROBAR",IF(B552&gt;=0.2,"REVISAR","RECHAZAR")))</f>
        <v>RECHAZAR</v>
      </c>
      <c r="E552" s="126"/>
      <c r="F552" s="126"/>
      <c r="AD552" s="0" t="n">
        <f aca="false">SUM(F545:F547)-75.8381</f>
        <v>0.00190000000000623</v>
      </c>
    </row>
    <row r="553" customFormat="false" ht="15" hidden="false" customHeight="false" outlineLevel="0" collapsed="false">
      <c r="A553" s="127" t="s">
        <v>744</v>
      </c>
      <c r="B553" s="127"/>
      <c r="C553" s="127"/>
      <c r="D553" s="127"/>
      <c r="E553" s="127"/>
      <c r="F553" s="127"/>
    </row>
    <row r="554" customFormat="false" ht="15" hidden="false" customHeight="false" outlineLevel="0" collapsed="false">
      <c r="A554" s="128" t="s">
        <v>111</v>
      </c>
      <c r="B554" s="128" t="s">
        <v>745</v>
      </c>
      <c r="D554" s="128" t="s">
        <v>746</v>
      </c>
      <c r="E554" s="128" t="s">
        <v>747</v>
      </c>
      <c r="F554" s="128" t="s">
        <v>120</v>
      </c>
    </row>
    <row r="555" customFormat="false" ht="15" hidden="false" customHeight="false" outlineLevel="0" collapsed="false">
      <c r="A555" s="129" t="s">
        <v>748</v>
      </c>
      <c r="B555" s="130" t="n">
        <v>324</v>
      </c>
      <c r="C555" s="131"/>
      <c r="D555" s="107" t="n">
        <v>0.06</v>
      </c>
      <c r="E555" s="131"/>
      <c r="F555" s="132" t="n">
        <f aca="false">ROUND(B555*D555,2)</f>
        <v>19.44</v>
      </c>
    </row>
    <row r="556" customFormat="false" ht="15" hidden="false" customHeight="false" outlineLevel="0" collapsed="false">
      <c r="A556" s="129" t="s">
        <v>749</v>
      </c>
      <c r="B556" s="131"/>
      <c r="C556" s="131"/>
      <c r="D556" s="131"/>
      <c r="E556" s="133" t="n">
        <v>0.06</v>
      </c>
      <c r="F556" s="132" t="n">
        <v>19.87</v>
      </c>
    </row>
    <row r="557" customFormat="false" ht="15" hidden="false" customHeight="false" outlineLevel="0" collapsed="false">
      <c r="A557" s="134" t="s">
        <v>750</v>
      </c>
      <c r="B557" s="131"/>
      <c r="C557" s="131"/>
      <c r="D557" s="131"/>
      <c r="E557" s="131"/>
      <c r="F557" s="135" t="n">
        <f aca="false">F555-F556</f>
        <v>-0.43</v>
      </c>
    </row>
    <row r="559" customFormat="false" ht="15" hidden="false" customHeight="false" outlineLevel="0" collapsed="false">
      <c r="A559" s="89" t="s">
        <v>909</v>
      </c>
      <c r="B559" s="89"/>
      <c r="C559" s="89"/>
      <c r="D559" s="89"/>
      <c r="E559" s="89"/>
      <c r="F559" s="89"/>
      <c r="H559" s="89" t="s">
        <v>910</v>
      </c>
      <c r="I559" s="89"/>
      <c r="J559" s="89"/>
      <c r="K559" s="89"/>
      <c r="L559" s="90" t="n">
        <v>46113</v>
      </c>
      <c r="M559" s="91" t="s">
        <v>608</v>
      </c>
      <c r="N559" s="90" t="n">
        <v>46142</v>
      </c>
      <c r="R559" s="92" t="s">
        <v>110</v>
      </c>
      <c r="S559" s="92"/>
      <c r="T559" s="92"/>
      <c r="U559" s="92"/>
      <c r="V559" s="92"/>
    </row>
    <row r="560" customFormat="false" ht="15" hidden="false" customHeight="false" outlineLevel="0" collapsed="false">
      <c r="A560" s="93" t="s">
        <v>111</v>
      </c>
      <c r="B560" s="94" t="s">
        <v>112</v>
      </c>
      <c r="C560" s="95"/>
      <c r="D560" s="95"/>
      <c r="E560" s="95"/>
      <c r="F560" s="95"/>
      <c r="H560" s="96" t="s">
        <v>911</v>
      </c>
      <c r="I560" s="97"/>
      <c r="J560" s="97"/>
      <c r="L560" s="98" t="s">
        <v>912</v>
      </c>
      <c r="M560" s="99"/>
      <c r="N560" s="99"/>
      <c r="R560" s="100" t="s">
        <v>913</v>
      </c>
    </row>
    <row r="561" customFormat="false" ht="15" hidden="false" customHeight="false" outlineLevel="0" collapsed="false">
      <c r="B561" s="81" t="s">
        <v>116</v>
      </c>
      <c r="C561" s="81" t="s">
        <v>117</v>
      </c>
      <c r="D561" s="81" t="s">
        <v>118</v>
      </c>
      <c r="E561" s="81" t="s">
        <v>119</v>
      </c>
      <c r="F561" s="81" t="s">
        <v>120</v>
      </c>
      <c r="H561" s="101" t="s">
        <v>116</v>
      </c>
      <c r="I561" s="101" t="s">
        <v>119</v>
      </c>
      <c r="J561" s="101" t="s">
        <v>120</v>
      </c>
      <c r="L561" s="102" t="s">
        <v>116</v>
      </c>
      <c r="M561" s="102" t="s">
        <v>119</v>
      </c>
      <c r="N561" s="102" t="s">
        <v>120</v>
      </c>
      <c r="R561" s="103" t="s">
        <v>914</v>
      </c>
    </row>
    <row r="562" customFormat="false" ht="15" hidden="false" customHeight="false" outlineLevel="0" collapsed="false">
      <c r="A562" s="104" t="s">
        <v>122</v>
      </c>
      <c r="B562" s="105" t="n">
        <v>3.45</v>
      </c>
      <c r="C562" s="106" t="n">
        <f aca="false">$N$559-$L$559+1</f>
        <v>30</v>
      </c>
      <c r="D562" s="107" t="n">
        <v>3.68919</v>
      </c>
      <c r="E562" s="108" t="n">
        <v>4.17</v>
      </c>
      <c r="F562" s="109" t="n">
        <f aca="false">ROUND(B562*E562,2)</f>
        <v>14.39</v>
      </c>
      <c r="H562" s="110" t="n">
        <v>3.45</v>
      </c>
      <c r="I562" s="111" t="n">
        <v>4.17</v>
      </c>
      <c r="J562" s="112" t="n">
        <f aca="false">ROUND(H562*I562,2)</f>
        <v>14.39</v>
      </c>
      <c r="L562" s="113" t="n">
        <v>3.45</v>
      </c>
      <c r="M562" s="114" t="n">
        <v>4.17</v>
      </c>
      <c r="N562" s="115" t="n">
        <f aca="false">ROUND(L562*M562,2)</f>
        <v>14.39</v>
      </c>
      <c r="R562" s="116" t="s">
        <v>915</v>
      </c>
    </row>
    <row r="563" customFormat="false" ht="15" hidden="false" customHeight="false" outlineLevel="0" collapsed="false">
      <c r="A563" s="104" t="s">
        <v>124</v>
      </c>
      <c r="B563" s="105" t="n">
        <v>3.45</v>
      </c>
      <c r="C563" s="106" t="n">
        <f aca="false">$N$559-$L$559+1</f>
        <v>30</v>
      </c>
      <c r="D563" s="107" t="n">
        <v>1.31928</v>
      </c>
      <c r="E563" s="108" t="n">
        <v>1.37</v>
      </c>
      <c r="F563" s="109" t="n">
        <f aca="false">ROUND(B563*E563,2)</f>
        <v>4.73</v>
      </c>
      <c r="H563" s="110" t="n">
        <v>3.45</v>
      </c>
      <c r="I563" s="111" t="n">
        <v>1.37</v>
      </c>
      <c r="J563" s="112" t="n">
        <f aca="false">ROUND(H563*I563,2)</f>
        <v>4.73</v>
      </c>
      <c r="L563" s="113" t="n">
        <v>3.45</v>
      </c>
      <c r="M563" s="114" t="n">
        <v>1.37</v>
      </c>
      <c r="N563" s="115" t="n">
        <f aca="false">ROUND(L563*M563,2)</f>
        <v>4.73</v>
      </c>
      <c r="R563" s="117" t="s">
        <v>916</v>
      </c>
    </row>
    <row r="564" customFormat="false" ht="15" hidden="false" customHeight="false" outlineLevel="0" collapsed="false">
      <c r="A564" s="104" t="s">
        <v>615</v>
      </c>
      <c r="B564" s="105" t="n">
        <f aca="false">IF($P$564&lt;&gt;"",ROUND(AA564*(($AB$564/(1-$P$564))-19.113)/12.3961,2),IF('Resumen 2.0TD'!$D$3="OPTIMIZAR",ROUND(MAX(AA564,MIN(AA564*(($AB$564/(1-'Resumen 2.0TD'!$F$3))-19.113)/12.3961,AA564*(22.9048)/12.3961)),3),AA564))</f>
        <v>22.482</v>
      </c>
      <c r="C564" s="118"/>
      <c r="D564" s="107" t="n">
        <v>0.111171</v>
      </c>
      <c r="E564" s="108" t="n">
        <v>0.14937</v>
      </c>
      <c r="F564" s="109" t="n">
        <f aca="false">ROUND(B564*E564,2)</f>
        <v>3.36</v>
      </c>
      <c r="H564" s="110" t="n">
        <v>28.042</v>
      </c>
      <c r="I564" s="111" t="n">
        <v>0.14937</v>
      </c>
      <c r="J564" s="112" t="n">
        <f aca="false">ROUND(H564*I564,2)</f>
        <v>4.19</v>
      </c>
      <c r="L564" s="113" t="n">
        <v>28.487</v>
      </c>
      <c r="M564" s="114" t="n">
        <v>0.14937</v>
      </c>
      <c r="N564" s="115" t="n">
        <f aca="false">ROUND(L564*M564,2)</f>
        <v>4.26</v>
      </c>
      <c r="O564" s="119" t="s">
        <v>616</v>
      </c>
      <c r="P564" s="79"/>
      <c r="R564" s="117" t="s">
        <v>917</v>
      </c>
      <c r="AA564" s="0" t="n">
        <v>22.482</v>
      </c>
      <c r="AB564" s="0" t="n">
        <f aca="false">B562*D562+B563*D563+AA564*D564+AA565*D565+AA566*D566</f>
        <v>26.505191619</v>
      </c>
    </row>
    <row r="565" customFormat="false" ht="15" hidden="false" customHeight="false" outlineLevel="0" collapsed="false">
      <c r="A565" s="104" t="s">
        <v>618</v>
      </c>
      <c r="B565" s="105" t="n">
        <f aca="false">IF($P$564&lt;&gt;"",ROUND(AA565*(($AB$564/(1-$P$564))-19.113)/12.3961,2),IF('Resumen 2.0TD'!$D$3="OPTIMIZAR",ROUND(MAX(AA565,MIN(AA565*(($AB$564/(1-'Resumen 2.0TD'!$F$3))-19.113)/12.3961,AA565*(22.9048)/12.3961)),3),AA565))</f>
        <v>20.603</v>
      </c>
      <c r="C565" s="118"/>
      <c r="D565" s="107" t="n">
        <v>0.111171</v>
      </c>
      <c r="E565" s="108" t="n">
        <v>0.14937</v>
      </c>
      <c r="F565" s="109" t="n">
        <f aca="false">ROUND(B565*E565,2)</f>
        <v>3.08</v>
      </c>
      <c r="H565" s="110" t="n">
        <v>23.22</v>
      </c>
      <c r="I565" s="111" t="n">
        <v>0.14937</v>
      </c>
      <c r="J565" s="112" t="n">
        <f aca="false">ROUND(H565*I565,2)</f>
        <v>3.47</v>
      </c>
      <c r="L565" s="113" t="n">
        <v>18.742</v>
      </c>
      <c r="M565" s="114" t="n">
        <v>0.14937</v>
      </c>
      <c r="N565" s="115" t="n">
        <f aca="false">ROUND(L565*M565,2)</f>
        <v>2.8</v>
      </c>
      <c r="O565" s="120" t="s">
        <v>619</v>
      </c>
      <c r="R565" s="117" t="s">
        <v>620</v>
      </c>
      <c r="AA565" s="0" t="n">
        <v>20.603</v>
      </c>
    </row>
    <row r="566" customFormat="false" ht="15" hidden="false" customHeight="false" outlineLevel="0" collapsed="false">
      <c r="A566" s="104" t="s">
        <v>621</v>
      </c>
      <c r="B566" s="105" t="n">
        <f aca="false">IF($P$564&lt;&gt;"",ROUND(AA566*(($AB$564/(1-$P$564))-19.113)/12.3961,2),IF('Resumen 2.0TD'!$D$3="OPTIMIZAR",ROUND(MAX(AA566,MIN(AA566*(($AB$564/(1-'Resumen 2.0TD'!$F$3))-19.113)/12.3961,AA566*(22.9048)/12.3961)),3),AA566))</f>
        <v>39.904</v>
      </c>
      <c r="C566" s="118"/>
      <c r="D566" s="107" t="n">
        <v>0.111171</v>
      </c>
      <c r="E566" s="108" t="n">
        <v>0.14937</v>
      </c>
      <c r="F566" s="109" t="n">
        <f aca="false">ROUND(B566*E566,2)</f>
        <v>5.96</v>
      </c>
      <c r="H566" s="110" t="n">
        <v>49.374</v>
      </c>
      <c r="I566" s="111" t="n">
        <v>0.14937</v>
      </c>
      <c r="J566" s="112" t="n">
        <f aca="false">ROUND(H566*I566,2)</f>
        <v>7.37</v>
      </c>
      <c r="L566" s="113" t="n">
        <v>35.281</v>
      </c>
      <c r="M566" s="114" t="n">
        <v>0.14937</v>
      </c>
      <c r="N566" s="115" t="n">
        <f aca="false">ROUND(L566*M566,2)</f>
        <v>5.27</v>
      </c>
      <c r="O566" s="120" t="s">
        <v>622</v>
      </c>
      <c r="AA566" s="0" t="n">
        <v>39.904</v>
      </c>
    </row>
    <row r="567" customFormat="false" ht="15" hidden="false" customHeight="false" outlineLevel="0" collapsed="false">
      <c r="A567" s="104" t="s">
        <v>139</v>
      </c>
      <c r="B567" s="105" t="n">
        <v>1</v>
      </c>
      <c r="C567" s="106" t="n">
        <f aca="false">$N$559-$L$559+1</f>
        <v>30</v>
      </c>
      <c r="D567" s="107" t="n">
        <v>0.7989</v>
      </c>
      <c r="E567" s="108" t="n">
        <v>4</v>
      </c>
      <c r="F567" s="109" t="n">
        <f aca="false">ROUND(B567*E567,2)</f>
        <v>4</v>
      </c>
      <c r="H567" s="110" t="n">
        <v>1</v>
      </c>
      <c r="I567" s="111" t="n">
        <v>4</v>
      </c>
      <c r="J567" s="112" t="n">
        <f aca="false">ROUND(H567*I567,2)</f>
        <v>4</v>
      </c>
      <c r="L567" s="113" t="n">
        <v>1</v>
      </c>
      <c r="M567" s="114" t="n">
        <v>4</v>
      </c>
      <c r="N567" s="115" t="n">
        <f aca="false">ROUND(L567*M567,2)</f>
        <v>4</v>
      </c>
    </row>
    <row r="568" customFormat="false" ht="15" hidden="false" customHeight="false" outlineLevel="0" collapsed="false">
      <c r="A568" s="104" t="s">
        <v>140</v>
      </c>
      <c r="B568" s="105" t="n">
        <v>30</v>
      </c>
      <c r="C568" s="106" t="n">
        <f aca="false">$N$559-$L$559+1</f>
        <v>30</v>
      </c>
      <c r="D568" s="107" t="n">
        <v>0.5736</v>
      </c>
      <c r="E568" s="108" t="n">
        <v>0.01274</v>
      </c>
      <c r="F568" s="109" t="n">
        <f aca="false">ROUND(B568*E568,2)</f>
        <v>0.38</v>
      </c>
      <c r="H568" s="110" t="n">
        <v>30</v>
      </c>
      <c r="I568" s="111" t="n">
        <v>0.01274</v>
      </c>
      <c r="J568" s="112" t="n">
        <f aca="false">ROUND(H568*I568,2)</f>
        <v>0.38</v>
      </c>
      <c r="L568" s="113" t="n">
        <v>30</v>
      </c>
      <c r="M568" s="114" t="n">
        <v>0.00629</v>
      </c>
      <c r="N568" s="115" t="n">
        <f aca="false">ROUND(L568*M568,2)</f>
        <v>0.19</v>
      </c>
    </row>
    <row r="569" customFormat="false" ht="15" hidden="false" customHeight="false" outlineLevel="0" collapsed="false">
      <c r="A569" s="104" t="s">
        <v>141</v>
      </c>
      <c r="B569" s="105" t="n">
        <v>1.19</v>
      </c>
      <c r="C569" s="118"/>
      <c r="D569" s="107" t="n">
        <v>0.27312</v>
      </c>
      <c r="E569" s="108" t="n">
        <v>1</v>
      </c>
      <c r="F569" s="109" t="n">
        <f aca="false">ROUND(B569*E569,2)</f>
        <v>1.19</v>
      </c>
      <c r="H569" s="110" t="n">
        <v>1.39</v>
      </c>
      <c r="I569" s="111" t="n">
        <v>1</v>
      </c>
      <c r="J569" s="112" t="n">
        <f aca="false">ROUND(H569*I569,2)</f>
        <v>1.39</v>
      </c>
      <c r="L569" s="113" t="n">
        <v>1.18</v>
      </c>
      <c r="M569" s="114" t="n">
        <v>1</v>
      </c>
      <c r="N569" s="115" t="n">
        <f aca="false">ROUND(L569*M569,2)</f>
        <v>1.18</v>
      </c>
    </row>
    <row r="570" customFormat="false" ht="15" hidden="false" customHeight="false" outlineLevel="0" collapsed="false">
      <c r="A570" s="121" t="s">
        <v>142</v>
      </c>
      <c r="F570" s="122" t="n">
        <f aca="false">ROUND((SUM(F562:F569)-F569)*1.1+F569,2)</f>
        <v>40.68</v>
      </c>
      <c r="J570" s="123" t="n">
        <f aca="false">ROUND(SUM(J562:J569),2)</f>
        <v>39.92</v>
      </c>
      <c r="N570" s="124" t="n">
        <f aca="false">ROUND(SUM(N562:N569),2)</f>
        <v>36.82</v>
      </c>
    </row>
    <row r="571" customFormat="false" ht="15" hidden="false" customHeight="false" outlineLevel="0" collapsed="false">
      <c r="A571" s="93" t="s">
        <v>143</v>
      </c>
      <c r="B571" s="125" t="n">
        <f aca="false">IF((F566+F565+F564+F562+F563)=0,"",((F566+F565+F564+F562+F563)-$AB$564)/(F566+F565+F564+F562+F563))</f>
        <v>0.159099250666244</v>
      </c>
      <c r="D571" s="126" t="str">
        <f aca="false">IF(B571="","SIN PC",IF(B571&gt;=0.3,"APROBAR",IF(B571&gt;=0.2,"REVISAR","RECHAZAR")))</f>
        <v>RECHAZAR</v>
      </c>
      <c r="E571" s="126"/>
      <c r="F571" s="126"/>
      <c r="AD571" s="0" t="n">
        <f aca="false">SUM(F564:F566)-12.3961</f>
        <v>0.00389999999999802</v>
      </c>
    </row>
    <row r="572" customFormat="false" ht="15" hidden="false" customHeight="false" outlineLevel="0" collapsed="false">
      <c r="A572" s="127" t="s">
        <v>744</v>
      </c>
      <c r="B572" s="127"/>
      <c r="C572" s="127"/>
      <c r="D572" s="127"/>
      <c r="E572" s="127"/>
      <c r="F572" s="127"/>
    </row>
    <row r="573" customFormat="false" ht="15" hidden="false" customHeight="false" outlineLevel="0" collapsed="false">
      <c r="A573" s="128" t="s">
        <v>111</v>
      </c>
      <c r="B573" s="128" t="s">
        <v>745</v>
      </c>
      <c r="D573" s="128" t="s">
        <v>746</v>
      </c>
      <c r="E573" s="128" t="s">
        <v>747</v>
      </c>
      <c r="F573" s="128" t="s">
        <v>120</v>
      </c>
    </row>
    <row r="574" customFormat="false" ht="15" hidden="false" customHeight="false" outlineLevel="0" collapsed="false">
      <c r="A574" s="129" t="s">
        <v>748</v>
      </c>
      <c r="B574" s="130" t="n">
        <v>166</v>
      </c>
      <c r="C574" s="131"/>
      <c r="D574" s="107" t="n">
        <v>0.06</v>
      </c>
      <c r="E574" s="131"/>
      <c r="F574" s="132" t="n">
        <f aca="false">ROUND(B574*D574,2)</f>
        <v>9.96</v>
      </c>
    </row>
    <row r="575" customFormat="false" ht="15" hidden="false" customHeight="false" outlineLevel="0" collapsed="false">
      <c r="A575" s="129" t="s">
        <v>749</v>
      </c>
      <c r="B575" s="131"/>
      <c r="C575" s="131"/>
      <c r="D575" s="131"/>
      <c r="E575" s="133" t="n">
        <v>0.06</v>
      </c>
      <c r="F575" s="132" t="n">
        <v>8.41</v>
      </c>
    </row>
    <row r="576" customFormat="false" ht="15" hidden="false" customHeight="false" outlineLevel="0" collapsed="false">
      <c r="A576" s="134" t="s">
        <v>750</v>
      </c>
      <c r="B576" s="131"/>
      <c r="C576" s="131"/>
      <c r="D576" s="131"/>
      <c r="E576" s="131"/>
      <c r="F576" s="135" t="n">
        <f aca="false">F574-F575</f>
        <v>1.55</v>
      </c>
    </row>
    <row r="578" customFormat="false" ht="15" hidden="false" customHeight="false" outlineLevel="0" collapsed="false">
      <c r="A578" s="89" t="s">
        <v>918</v>
      </c>
      <c r="B578" s="89"/>
      <c r="C578" s="89"/>
      <c r="D578" s="89"/>
      <c r="E578" s="89"/>
      <c r="F578" s="89"/>
      <c r="H578" s="89" t="s">
        <v>919</v>
      </c>
      <c r="I578" s="89"/>
      <c r="J578" s="89"/>
      <c r="K578" s="89"/>
      <c r="L578" s="90" t="n">
        <v>46113</v>
      </c>
      <c r="M578" s="91" t="s">
        <v>608</v>
      </c>
      <c r="N578" s="90" t="n">
        <v>46142</v>
      </c>
      <c r="R578" s="92" t="s">
        <v>110</v>
      </c>
      <c r="S578" s="92"/>
      <c r="T578" s="92"/>
      <c r="U578" s="92"/>
      <c r="V578" s="92"/>
    </row>
    <row r="579" customFormat="false" ht="15" hidden="false" customHeight="false" outlineLevel="0" collapsed="false">
      <c r="A579" s="93" t="s">
        <v>111</v>
      </c>
      <c r="B579" s="94" t="s">
        <v>112</v>
      </c>
      <c r="C579" s="95"/>
      <c r="D579" s="95"/>
      <c r="E579" s="95"/>
      <c r="F579" s="95"/>
      <c r="H579" s="96" t="s">
        <v>920</v>
      </c>
      <c r="I579" s="97"/>
      <c r="J579" s="97"/>
      <c r="L579" s="98" t="s">
        <v>921</v>
      </c>
      <c r="M579" s="99"/>
      <c r="N579" s="99"/>
      <c r="R579" s="100" t="s">
        <v>922</v>
      </c>
    </row>
    <row r="580" customFormat="false" ht="15" hidden="false" customHeight="false" outlineLevel="0" collapsed="false">
      <c r="B580" s="81" t="s">
        <v>116</v>
      </c>
      <c r="C580" s="81" t="s">
        <v>117</v>
      </c>
      <c r="D580" s="81" t="s">
        <v>118</v>
      </c>
      <c r="E580" s="81" t="s">
        <v>119</v>
      </c>
      <c r="F580" s="81" t="s">
        <v>120</v>
      </c>
      <c r="H580" s="101" t="s">
        <v>116</v>
      </c>
      <c r="I580" s="101" t="s">
        <v>119</v>
      </c>
      <c r="J580" s="101" t="s">
        <v>120</v>
      </c>
      <c r="L580" s="102" t="s">
        <v>116</v>
      </c>
      <c r="M580" s="102" t="s">
        <v>119</v>
      </c>
      <c r="N580" s="102" t="s">
        <v>120</v>
      </c>
      <c r="R580" s="103" t="s">
        <v>923</v>
      </c>
    </row>
    <row r="581" customFormat="false" ht="15" hidden="false" customHeight="false" outlineLevel="0" collapsed="false">
      <c r="A581" s="104" t="s">
        <v>122</v>
      </c>
      <c r="B581" s="105" t="n">
        <v>3.5</v>
      </c>
      <c r="C581" s="106" t="n">
        <f aca="false">$N$578-$L$578+1</f>
        <v>30</v>
      </c>
      <c r="D581" s="107" t="n">
        <v>3.68919</v>
      </c>
      <c r="E581" s="108" t="n">
        <v>4.17</v>
      </c>
      <c r="F581" s="109" t="n">
        <f aca="false">ROUND(B581*E581,2)</f>
        <v>14.6</v>
      </c>
      <c r="H581" s="110" t="n">
        <v>3.5</v>
      </c>
      <c r="I581" s="111" t="n">
        <v>4.17</v>
      </c>
      <c r="J581" s="112" t="n">
        <f aca="false">ROUND(H581*I581,2)</f>
        <v>14.6</v>
      </c>
      <c r="L581" s="113" t="n">
        <v>3.5</v>
      </c>
      <c r="M581" s="114" t="n">
        <v>4.17</v>
      </c>
      <c r="N581" s="115" t="n">
        <f aca="false">ROUND(L581*M581,2)</f>
        <v>14.6</v>
      </c>
      <c r="R581" s="116" t="s">
        <v>924</v>
      </c>
    </row>
    <row r="582" customFormat="false" ht="15" hidden="false" customHeight="false" outlineLevel="0" collapsed="false">
      <c r="A582" s="104" t="s">
        <v>124</v>
      </c>
      <c r="B582" s="105" t="n">
        <v>3.5</v>
      </c>
      <c r="C582" s="106" t="n">
        <f aca="false">$N$578-$L$578+1</f>
        <v>30</v>
      </c>
      <c r="D582" s="107" t="n">
        <v>1.31928</v>
      </c>
      <c r="E582" s="108" t="n">
        <v>1.37</v>
      </c>
      <c r="F582" s="109" t="n">
        <f aca="false">ROUND(B582*E582,2)</f>
        <v>4.8</v>
      </c>
      <c r="H582" s="110" t="n">
        <v>3.5</v>
      </c>
      <c r="I582" s="111" t="n">
        <v>1.37</v>
      </c>
      <c r="J582" s="112" t="n">
        <f aca="false">ROUND(H582*I582,2)</f>
        <v>4.8</v>
      </c>
      <c r="L582" s="113" t="n">
        <v>3.5</v>
      </c>
      <c r="M582" s="114" t="n">
        <v>1.37</v>
      </c>
      <c r="N582" s="115" t="n">
        <f aca="false">ROUND(L582*M582,2)</f>
        <v>4.8</v>
      </c>
      <c r="R582" s="117" t="s">
        <v>925</v>
      </c>
    </row>
    <row r="583" customFormat="false" ht="15" hidden="false" customHeight="false" outlineLevel="0" collapsed="false">
      <c r="A583" s="104" t="s">
        <v>615</v>
      </c>
      <c r="B583" s="105" t="n">
        <f aca="false">IF($P$583&lt;&gt;"",ROUND(AA583*(($AB$583/(1-$P$583))-19.39)/170.1966,2),IF('Resumen 2.0TD'!$D$3="OPTIMIZAR",ROUND(MAX(AA583,MIN(AA583*(($AB$583/(1-'Resumen 2.0TD'!$F$3))-19.39)/170.1966,AA583*(229.1478)/170.1966)),3),AA583))</f>
        <v>321.906</v>
      </c>
      <c r="C583" s="118"/>
      <c r="D583" s="107" t="n">
        <v>0.111171</v>
      </c>
      <c r="E583" s="108" t="n">
        <v>0.139</v>
      </c>
      <c r="F583" s="109" t="n">
        <f aca="false">ROUND(B583*E583,2)</f>
        <v>44.74</v>
      </c>
      <c r="H583" s="110" t="n">
        <v>344.266</v>
      </c>
      <c r="I583" s="111" t="n">
        <v>0.14937</v>
      </c>
      <c r="J583" s="112" t="n">
        <f aca="false">ROUND(H583*I583,2)</f>
        <v>51.42</v>
      </c>
      <c r="L583" s="113" t="n">
        <v>1200</v>
      </c>
      <c r="M583" s="114" t="n">
        <v>0.135</v>
      </c>
      <c r="N583" s="115" t="n">
        <f aca="false">ROUND(L583*M583,2)</f>
        <v>162</v>
      </c>
      <c r="O583" s="119" t="s">
        <v>616</v>
      </c>
      <c r="P583" s="79"/>
      <c r="R583" s="117" t="s">
        <v>926</v>
      </c>
      <c r="AA583" s="0" t="n">
        <v>321.906</v>
      </c>
      <c r="AB583" s="0" t="n">
        <f aca="false">B581*D581+B582*D582+AA583*D583+AA584*D584+AA585*D585</f>
        <v>153.651419556</v>
      </c>
    </row>
    <row r="584" customFormat="false" ht="15" hidden="false" customHeight="false" outlineLevel="0" collapsed="false">
      <c r="A584" s="104" t="s">
        <v>618</v>
      </c>
      <c r="B584" s="105" t="n">
        <f aca="false">IF($P$583&lt;&gt;"",ROUND(AA584*(($AB$583/(1-$P$583))-19.39)/170.1966,2),IF('Resumen 2.0TD'!$D$3="OPTIMIZAR",ROUND(MAX(AA584,MIN(AA584*(($AB$583/(1-'Resumen 2.0TD'!$F$3))-19.39)/170.1966,AA584*(229.1478)/170.1966)),3),AA584))</f>
        <v>292.863</v>
      </c>
      <c r="C584" s="118"/>
      <c r="D584" s="107" t="n">
        <v>0.111171</v>
      </c>
      <c r="E584" s="108" t="n">
        <v>0.139</v>
      </c>
      <c r="F584" s="109" t="n">
        <f aca="false">ROUND(B584*E584,2)</f>
        <v>40.71</v>
      </c>
      <c r="H584" s="110" t="n">
        <v>296.264</v>
      </c>
      <c r="I584" s="111" t="n">
        <v>0.14937</v>
      </c>
      <c r="J584" s="112" t="n">
        <f aca="false">ROUND(H584*I584,2)</f>
        <v>44.25</v>
      </c>
      <c r="L584" s="136"/>
      <c r="M584" s="136"/>
      <c r="N584" s="136"/>
      <c r="O584" s="120" t="s">
        <v>619</v>
      </c>
      <c r="R584" s="117" t="s">
        <v>620</v>
      </c>
      <c r="AA584" s="0" t="n">
        <v>292.863</v>
      </c>
    </row>
    <row r="585" customFormat="false" ht="15" hidden="false" customHeight="false" outlineLevel="0" collapsed="false">
      <c r="A585" s="104" t="s">
        <v>621</v>
      </c>
      <c r="B585" s="105" t="n">
        <f aca="false">IF($P$583&lt;&gt;"",ROUND(AA585*(($AB$583/(1-$P$583))-19.39)/170.1966,2),IF('Resumen 2.0TD'!$D$3="OPTIMIZAR",ROUND(MAX(AA585,MIN(AA585*(($AB$583/(1-'Resumen 2.0TD'!$F$3))-19.39)/170.1966,AA585*(229.1478)/170.1966)),3),AA585))</f>
        <v>609.667</v>
      </c>
      <c r="C585" s="118"/>
      <c r="D585" s="107" t="n">
        <v>0.111171</v>
      </c>
      <c r="E585" s="108" t="n">
        <v>0.139</v>
      </c>
      <c r="F585" s="109" t="n">
        <f aca="false">ROUND(B585*E585,2)</f>
        <v>84.74</v>
      </c>
      <c r="H585" s="110" t="n">
        <v>437.899</v>
      </c>
      <c r="I585" s="111" t="n">
        <v>0.14937</v>
      </c>
      <c r="J585" s="112" t="n">
        <f aca="false">ROUND(H585*I585,2)</f>
        <v>65.41</v>
      </c>
      <c r="L585" s="136"/>
      <c r="M585" s="136"/>
      <c r="N585" s="136"/>
      <c r="O585" s="120" t="s">
        <v>622</v>
      </c>
      <c r="AA585" s="0" t="n">
        <v>609.667</v>
      </c>
    </row>
    <row r="586" customFormat="false" ht="15" hidden="false" customHeight="false" outlineLevel="0" collapsed="false">
      <c r="A586" s="104" t="s">
        <v>139</v>
      </c>
      <c r="B586" s="105" t="n">
        <v>1</v>
      </c>
      <c r="C586" s="106" t="n">
        <f aca="false">$N$578-$L$578+1</f>
        <v>30</v>
      </c>
      <c r="D586" s="107" t="n">
        <v>1.3414</v>
      </c>
      <c r="E586" s="108" t="n">
        <v>4</v>
      </c>
      <c r="F586" s="109" t="n">
        <f aca="false">ROUND(B586*E586,2)</f>
        <v>4</v>
      </c>
      <c r="H586" s="110" t="n">
        <v>1</v>
      </c>
      <c r="I586" s="111" t="n">
        <v>4</v>
      </c>
      <c r="J586" s="112" t="n">
        <f aca="false">ROUND(H586*I586,2)</f>
        <v>4</v>
      </c>
      <c r="L586" s="113" t="n">
        <v>1</v>
      </c>
      <c r="M586" s="114" t="n">
        <v>4</v>
      </c>
      <c r="N586" s="115" t="n">
        <f aca="false">ROUND(L586*M586,2)</f>
        <v>4</v>
      </c>
    </row>
    <row r="587" customFormat="false" ht="15" hidden="false" customHeight="false" outlineLevel="0" collapsed="false">
      <c r="A587" s="104" t="s">
        <v>140</v>
      </c>
      <c r="B587" s="105" t="n">
        <v>30</v>
      </c>
      <c r="C587" s="106" t="n">
        <f aca="false">$N$578-$L$578+1</f>
        <v>30</v>
      </c>
      <c r="D587" s="107" t="n">
        <v>0.5736</v>
      </c>
      <c r="E587" s="108" t="n">
        <v>0.01274</v>
      </c>
      <c r="F587" s="109" t="n">
        <f aca="false">ROUND(B587*E587,2)</f>
        <v>0.38</v>
      </c>
      <c r="H587" s="110" t="n">
        <v>30</v>
      </c>
      <c r="I587" s="111" t="n">
        <v>0.01274</v>
      </c>
      <c r="J587" s="112" t="n">
        <f aca="false">ROUND(H587*I587,2)</f>
        <v>0.38</v>
      </c>
      <c r="L587" s="113" t="n">
        <v>29</v>
      </c>
      <c r="M587" s="114" t="n">
        <v>0.01274</v>
      </c>
      <c r="N587" s="115" t="n">
        <f aca="false">ROUND(L587*M587,2)</f>
        <v>0.37</v>
      </c>
    </row>
    <row r="588" customFormat="false" ht="15" hidden="false" customHeight="false" outlineLevel="0" collapsed="false">
      <c r="A588" s="104" t="s">
        <v>141</v>
      </c>
      <c r="B588" s="105" t="n">
        <v>10.4</v>
      </c>
      <c r="C588" s="118"/>
      <c r="D588" s="107" t="n">
        <v>0.27312</v>
      </c>
      <c r="E588" s="108" t="n">
        <v>1</v>
      </c>
      <c r="F588" s="109" t="n">
        <f aca="false">ROUND(B588*E588,2)</f>
        <v>10.4</v>
      </c>
      <c r="H588" s="110" t="n">
        <v>9.23</v>
      </c>
      <c r="I588" s="111" t="n">
        <v>1</v>
      </c>
      <c r="J588" s="112" t="n">
        <f aca="false">ROUND(H588*I588,2)</f>
        <v>9.23</v>
      </c>
      <c r="L588" s="113" t="n">
        <v>1</v>
      </c>
      <c r="M588" s="114" t="n">
        <v>1</v>
      </c>
      <c r="N588" s="115" t="n">
        <f aca="false">ROUND(L588*M588,2)</f>
        <v>1</v>
      </c>
    </row>
    <row r="589" customFormat="false" ht="15" hidden="false" customHeight="false" outlineLevel="0" collapsed="false">
      <c r="A589" s="121" t="s">
        <v>142</v>
      </c>
      <c r="F589" s="122" t="n">
        <f aca="false">ROUND((SUM(F581:F588)-F588)*1.1+F588,2)</f>
        <v>223.77</v>
      </c>
      <c r="J589" s="123" t="n">
        <f aca="false">ROUND(SUM(J581:J588),2)</f>
        <v>194.09</v>
      </c>
      <c r="N589" s="124" t="n">
        <f aca="false">ROUND(SUM(N581:N588),2)</f>
        <v>186.77</v>
      </c>
    </row>
    <row r="590" customFormat="false" ht="15" hidden="false" customHeight="false" outlineLevel="0" collapsed="false">
      <c r="A590" s="93" t="s">
        <v>143</v>
      </c>
      <c r="B590" s="125" t="n">
        <f aca="false">IF((F585+F584+F583+F581+F582)=0,"",((F585+F584+F583+F581+F582)-$AB$583)/(F585+F584+F583+F581+F582))</f>
        <v>0.1895594727781</v>
      </c>
      <c r="D590" s="126" t="str">
        <f aca="false">IF(B590="","SIN PC",IF(B590&gt;=0.3,"APROBAR",IF(B590&gt;=0.2,"REVISAR","RECHAZAR")))</f>
        <v>RECHAZAR</v>
      </c>
      <c r="E590" s="126"/>
      <c r="F590" s="126"/>
      <c r="AD590" s="0" t="n">
        <f aca="false">SUM(F583:F585)-170.1966</f>
        <v>-0.00659999999999172</v>
      </c>
    </row>
    <row r="592" customFormat="false" ht="15" hidden="false" customHeight="false" outlineLevel="0" collapsed="false">
      <c r="A592" s="89" t="s">
        <v>927</v>
      </c>
      <c r="B592" s="89"/>
      <c r="C592" s="89"/>
      <c r="D592" s="89"/>
      <c r="E592" s="89"/>
      <c r="F592" s="89"/>
      <c r="H592" s="89" t="s">
        <v>768</v>
      </c>
      <c r="I592" s="89"/>
      <c r="J592" s="89"/>
      <c r="K592" s="89"/>
      <c r="L592" s="90" t="n">
        <v>46113</v>
      </c>
      <c r="M592" s="91" t="s">
        <v>608</v>
      </c>
      <c r="N592" s="90" t="n">
        <v>46142</v>
      </c>
      <c r="R592" s="92" t="s">
        <v>110</v>
      </c>
      <c r="S592" s="92"/>
      <c r="T592" s="92"/>
      <c r="U592" s="92"/>
      <c r="V592" s="92"/>
    </row>
    <row r="593" customFormat="false" ht="15" hidden="false" customHeight="false" outlineLevel="0" collapsed="false">
      <c r="A593" s="93" t="s">
        <v>111</v>
      </c>
      <c r="B593" s="94" t="s">
        <v>112</v>
      </c>
      <c r="C593" s="95"/>
      <c r="D593" s="95"/>
      <c r="E593" s="95"/>
      <c r="F593" s="95"/>
      <c r="H593" s="96" t="s">
        <v>769</v>
      </c>
      <c r="I593" s="97"/>
      <c r="J593" s="97"/>
      <c r="L593" s="98" t="s">
        <v>770</v>
      </c>
      <c r="M593" s="99"/>
      <c r="N593" s="99"/>
      <c r="R593" s="100" t="s">
        <v>771</v>
      </c>
    </row>
    <row r="594" customFormat="false" ht="15" hidden="false" customHeight="false" outlineLevel="0" collapsed="false">
      <c r="B594" s="81" t="s">
        <v>116</v>
      </c>
      <c r="C594" s="81" t="s">
        <v>117</v>
      </c>
      <c r="D594" s="81" t="s">
        <v>118</v>
      </c>
      <c r="E594" s="81" t="s">
        <v>119</v>
      </c>
      <c r="F594" s="81" t="s">
        <v>120</v>
      </c>
      <c r="H594" s="101" t="s">
        <v>116</v>
      </c>
      <c r="I594" s="101" t="s">
        <v>119</v>
      </c>
      <c r="J594" s="101" t="s">
        <v>120</v>
      </c>
      <c r="L594" s="102" t="s">
        <v>116</v>
      </c>
      <c r="M594" s="102" t="s">
        <v>119</v>
      </c>
      <c r="N594" s="102" t="s">
        <v>120</v>
      </c>
      <c r="R594" s="103" t="s">
        <v>772</v>
      </c>
    </row>
    <row r="595" customFormat="false" ht="15" hidden="false" customHeight="false" outlineLevel="0" collapsed="false">
      <c r="A595" s="104" t="s">
        <v>122</v>
      </c>
      <c r="B595" s="105" t="n">
        <v>5.75</v>
      </c>
      <c r="C595" s="106" t="n">
        <f aca="false">$N$592-$L$592+1</f>
        <v>30</v>
      </c>
      <c r="D595" s="107" t="n">
        <v>3.4086</v>
      </c>
      <c r="E595" s="108" t="n">
        <v>4.17</v>
      </c>
      <c r="F595" s="109" t="n">
        <f aca="false">ROUND(B595*E595,2)</f>
        <v>23.98</v>
      </c>
      <c r="H595" s="110" t="n">
        <v>5.75</v>
      </c>
      <c r="I595" s="111" t="n">
        <v>4.17</v>
      </c>
      <c r="J595" s="112" t="n">
        <f aca="false">ROUND(H595*I595,2)</f>
        <v>23.98</v>
      </c>
      <c r="L595" s="113" t="n">
        <v>5.75</v>
      </c>
      <c r="M595" s="114" t="n">
        <v>4.17</v>
      </c>
      <c r="N595" s="115" t="n">
        <f aca="false">ROUND(L595*M595,2)</f>
        <v>23.98</v>
      </c>
      <c r="R595" s="116" t="s">
        <v>773</v>
      </c>
    </row>
    <row r="596" customFormat="false" ht="15" hidden="false" customHeight="false" outlineLevel="0" collapsed="false">
      <c r="A596" s="104" t="s">
        <v>124</v>
      </c>
      <c r="B596" s="105" t="n">
        <v>5.75</v>
      </c>
      <c r="C596" s="106" t="n">
        <f aca="false">$N$592-$L$592+1</f>
        <v>30</v>
      </c>
      <c r="D596" s="107" t="n">
        <v>1.09728</v>
      </c>
      <c r="E596" s="108" t="n">
        <v>1.37</v>
      </c>
      <c r="F596" s="109" t="n">
        <f aca="false">ROUND(B596*E596,2)</f>
        <v>7.88</v>
      </c>
      <c r="H596" s="110" t="n">
        <v>5.75</v>
      </c>
      <c r="I596" s="111" t="n">
        <v>1.37</v>
      </c>
      <c r="J596" s="112" t="n">
        <f aca="false">ROUND(H596*I596,2)</f>
        <v>7.88</v>
      </c>
      <c r="L596" s="113" t="n">
        <v>5.75</v>
      </c>
      <c r="M596" s="114" t="n">
        <v>1.37</v>
      </c>
      <c r="N596" s="115" t="n">
        <f aca="false">ROUND(L596*M596,2)</f>
        <v>7.88</v>
      </c>
      <c r="R596" s="117" t="s">
        <v>774</v>
      </c>
    </row>
    <row r="597" customFormat="false" ht="15" hidden="false" customHeight="false" outlineLevel="0" collapsed="false">
      <c r="A597" s="104" t="s">
        <v>615</v>
      </c>
      <c r="B597" s="105" t="n">
        <f aca="false">IF($P$597&lt;&gt;"",ROUND(AA597*(($AB$597/(1-$P$597))-31.855)/37.5019,2),IF('Resumen 2.0TD'!$D$3="OPTIMIZAR",ROUND(MAX(AA597,MIN(AA597*(($AB$597/(1-'Resumen 2.0TD'!$F$3))-31.855)/37.5019,AA597*(84.7228)/37.5019)),3),AA597))</f>
        <v>71.84</v>
      </c>
      <c r="C597" s="118"/>
      <c r="D597" s="107" t="n">
        <v>0.110306</v>
      </c>
      <c r="E597" s="108" t="n">
        <v>0.14937</v>
      </c>
      <c r="F597" s="109" t="n">
        <f aca="false">ROUND(B597*E597,2)</f>
        <v>10.73</v>
      </c>
      <c r="H597" s="110" t="n">
        <v>77.319</v>
      </c>
      <c r="I597" s="111" t="n">
        <v>0.14937</v>
      </c>
      <c r="J597" s="112" t="n">
        <f aca="false">ROUND(H597*I597,2)</f>
        <v>11.55</v>
      </c>
      <c r="L597" s="113" t="n">
        <v>49.27</v>
      </c>
      <c r="M597" s="114" t="n">
        <v>0.14937</v>
      </c>
      <c r="N597" s="115" t="n">
        <f aca="false">ROUND(L597*M597,2)</f>
        <v>7.36</v>
      </c>
      <c r="O597" s="119" t="s">
        <v>616</v>
      </c>
      <c r="P597" s="79"/>
      <c r="R597" s="117" t="s">
        <v>775</v>
      </c>
      <c r="AA597" s="0" t="n">
        <v>71.84</v>
      </c>
      <c r="AB597" s="0" t="n">
        <f aca="false">B595*D595+B596*D596+AA597*D597+AA598*D598+AA599*D599</f>
        <v>53.603006502</v>
      </c>
    </row>
    <row r="598" customFormat="false" ht="15" hidden="false" customHeight="false" outlineLevel="0" collapsed="false">
      <c r="A598" s="104" t="s">
        <v>618</v>
      </c>
      <c r="B598" s="105" t="n">
        <f aca="false">IF($P$597&lt;&gt;"",ROUND(AA598*(($AB$597/(1-$P$597))-31.855)/37.5019,2),IF('Resumen 2.0TD'!$D$3="OPTIMIZAR",ROUND(MAX(AA598,MIN(AA598*(($AB$597/(1-'Resumen 2.0TD'!$F$3))-31.855)/37.5019,AA598*(84.7228)/37.5019)),3),AA598))</f>
        <v>38.824</v>
      </c>
      <c r="C598" s="118"/>
      <c r="D598" s="107" t="n">
        <v>0.110306</v>
      </c>
      <c r="E598" s="108" t="n">
        <v>0.14937</v>
      </c>
      <c r="F598" s="109" t="n">
        <f aca="false">ROUND(B598*E598,2)</f>
        <v>5.8</v>
      </c>
      <c r="H598" s="110" t="n">
        <v>44.498</v>
      </c>
      <c r="I598" s="111" t="n">
        <v>0.14937</v>
      </c>
      <c r="J598" s="112" t="n">
        <f aca="false">ROUND(H598*I598,2)</f>
        <v>6.65</v>
      </c>
      <c r="L598" s="113" t="n">
        <v>35.233</v>
      </c>
      <c r="M598" s="114" t="n">
        <v>0.14937</v>
      </c>
      <c r="N598" s="115" t="n">
        <f aca="false">ROUND(L598*M598,2)</f>
        <v>5.26</v>
      </c>
      <c r="O598" s="120" t="s">
        <v>619</v>
      </c>
      <c r="R598" s="117" t="s">
        <v>620</v>
      </c>
      <c r="AA598" s="0" t="n">
        <v>38.824</v>
      </c>
    </row>
    <row r="599" customFormat="false" ht="15" hidden="false" customHeight="false" outlineLevel="0" collapsed="false">
      <c r="A599" s="104" t="s">
        <v>621</v>
      </c>
      <c r="B599" s="105" t="n">
        <f aca="false">IF($P$597&lt;&gt;"",ROUND(AA599*(($AB$597/(1-$P$597))-31.855)/37.5019,2),IF('Resumen 2.0TD'!$D$3="OPTIMIZAR",ROUND(MAX(AA599,MIN(AA599*(($AB$597/(1-'Resumen 2.0TD'!$F$3))-31.855)/37.5019,AA599*(84.7228)/37.5019)),3),AA599))</f>
        <v>140.403</v>
      </c>
      <c r="C599" s="118"/>
      <c r="D599" s="107" t="n">
        <v>0.110306</v>
      </c>
      <c r="E599" s="108" t="n">
        <v>0.14937</v>
      </c>
      <c r="F599" s="109" t="n">
        <f aca="false">ROUND(B599*E599,2)</f>
        <v>20.97</v>
      </c>
      <c r="H599" s="110" t="n">
        <v>121.108</v>
      </c>
      <c r="I599" s="111" t="n">
        <v>0.14937</v>
      </c>
      <c r="J599" s="112" t="n">
        <f aca="false">ROUND(H599*I599,2)</f>
        <v>18.09</v>
      </c>
      <c r="L599" s="113" t="n">
        <v>94.743</v>
      </c>
      <c r="M599" s="114" t="n">
        <v>0.14937</v>
      </c>
      <c r="N599" s="115" t="n">
        <f aca="false">ROUND(L599*M599,2)</f>
        <v>14.15</v>
      </c>
      <c r="O599" s="120" t="s">
        <v>622</v>
      </c>
      <c r="AA599" s="0" t="n">
        <v>140.403</v>
      </c>
    </row>
    <row r="600" customFormat="false" ht="15" hidden="false" customHeight="false" outlineLevel="0" collapsed="false">
      <c r="A600" s="104" t="s">
        <v>139</v>
      </c>
      <c r="B600" s="105" t="n">
        <v>1</v>
      </c>
      <c r="C600" s="106" t="n">
        <f aca="false">$N$592-$L$592+1</f>
        <v>30</v>
      </c>
      <c r="D600" s="107" t="n">
        <v>0.7989</v>
      </c>
      <c r="E600" s="108" t="n">
        <v>4</v>
      </c>
      <c r="F600" s="109" t="n">
        <f aca="false">ROUND(B600*E600,2)</f>
        <v>4</v>
      </c>
      <c r="H600" s="110" t="n">
        <v>1</v>
      </c>
      <c r="I600" s="111" t="n">
        <v>4</v>
      </c>
      <c r="J600" s="112" t="n">
        <f aca="false">ROUND(H600*I600,2)</f>
        <v>4</v>
      </c>
      <c r="L600" s="113" t="n">
        <v>1</v>
      </c>
      <c r="M600" s="114" t="n">
        <v>4</v>
      </c>
      <c r="N600" s="115" t="n">
        <f aca="false">ROUND(L600*M600,2)</f>
        <v>4</v>
      </c>
    </row>
    <row r="601" customFormat="false" ht="15" hidden="false" customHeight="false" outlineLevel="0" collapsed="false">
      <c r="A601" s="104" t="s">
        <v>140</v>
      </c>
      <c r="B601" s="105" t="n">
        <v>30</v>
      </c>
      <c r="C601" s="106" t="n">
        <f aca="false">$N$592-$L$592+1</f>
        <v>30</v>
      </c>
      <c r="D601" s="107" t="n">
        <v>0.5736</v>
      </c>
      <c r="E601" s="108" t="n">
        <v>0.01274</v>
      </c>
      <c r="F601" s="109" t="n">
        <f aca="false">ROUND(B601*E601,2)</f>
        <v>0.38</v>
      </c>
      <c r="H601" s="110" t="n">
        <v>30</v>
      </c>
      <c r="I601" s="111" t="n">
        <v>0.01274</v>
      </c>
      <c r="J601" s="112" t="n">
        <f aca="false">ROUND(H601*I601,2)</f>
        <v>0.38</v>
      </c>
      <c r="L601" s="113" t="n">
        <v>30</v>
      </c>
      <c r="M601" s="114" t="n">
        <v>0.00629</v>
      </c>
      <c r="N601" s="115" t="n">
        <f aca="false">ROUND(L601*M601,2)</f>
        <v>0.19</v>
      </c>
    </row>
    <row r="602" customFormat="false" ht="15" hidden="false" customHeight="false" outlineLevel="0" collapsed="false">
      <c r="A602" s="104" t="s">
        <v>141</v>
      </c>
      <c r="B602" s="105" t="n">
        <v>3.13</v>
      </c>
      <c r="C602" s="118"/>
      <c r="D602" s="107" t="n">
        <v>0.24729</v>
      </c>
      <c r="E602" s="108" t="n">
        <v>1</v>
      </c>
      <c r="F602" s="109" t="n">
        <f aca="false">ROUND(B602*E602,2)</f>
        <v>3.13</v>
      </c>
      <c r="H602" s="110" t="n">
        <v>3.08</v>
      </c>
      <c r="I602" s="111" t="n">
        <v>1</v>
      </c>
      <c r="J602" s="112" t="n">
        <f aca="false">ROUND(H602*I602,2)</f>
        <v>3.08</v>
      </c>
      <c r="L602" s="113" t="n">
        <v>2.43</v>
      </c>
      <c r="M602" s="114" t="n">
        <v>1</v>
      </c>
      <c r="N602" s="115" t="n">
        <f aca="false">ROUND(L602*M602,2)</f>
        <v>2.43</v>
      </c>
    </row>
    <row r="603" customFormat="false" ht="15" hidden="false" customHeight="false" outlineLevel="0" collapsed="false">
      <c r="A603" s="121" t="s">
        <v>142</v>
      </c>
      <c r="F603" s="122" t="n">
        <f aca="false">ROUND((SUM(F595:F602)-F602)*1.1+F602,2)</f>
        <v>84.24</v>
      </c>
      <c r="J603" s="123" t="n">
        <f aca="false">ROUND(SUM(J595:J602),2)</f>
        <v>75.61</v>
      </c>
      <c r="N603" s="124" t="n">
        <f aca="false">ROUND(SUM(N595:N602),2)</f>
        <v>65.25</v>
      </c>
    </row>
    <row r="604" customFormat="false" ht="15" hidden="false" customHeight="false" outlineLevel="0" collapsed="false">
      <c r="A604" s="93" t="s">
        <v>143</v>
      </c>
      <c r="B604" s="125" t="n">
        <f aca="false">IF((F599+F598+F597+F595+F596)=0,"",((F599+F598+F597+F595+F596)-$AB$597)/(F599+F598+F597+F595+F596))</f>
        <v>0.227176953546713</v>
      </c>
      <c r="D604" s="126" t="str">
        <f aca="false">IF(B604="","SIN PC",IF(B604&gt;=0.3,"APROBAR",IF(B604&gt;=0.2,"REVISAR","RECHAZAR")))</f>
        <v>REVISAR</v>
      </c>
      <c r="E604" s="126"/>
      <c r="F604" s="126"/>
      <c r="AD604" s="0" t="n">
        <f aca="false">SUM(F597:F599)-37.5019</f>
        <v>-0.00189999999999912</v>
      </c>
    </row>
    <row r="605" customFormat="false" ht="15" hidden="false" customHeight="false" outlineLevel="0" collapsed="false">
      <c r="A605" s="127" t="s">
        <v>744</v>
      </c>
      <c r="B605" s="127"/>
      <c r="C605" s="127"/>
      <c r="D605" s="127"/>
      <c r="E605" s="127"/>
      <c r="F605" s="127"/>
    </row>
    <row r="606" customFormat="false" ht="15" hidden="false" customHeight="false" outlineLevel="0" collapsed="false">
      <c r="A606" s="128" t="s">
        <v>111</v>
      </c>
      <c r="B606" s="128" t="s">
        <v>745</v>
      </c>
      <c r="D606" s="128" t="s">
        <v>746</v>
      </c>
      <c r="E606" s="128" t="s">
        <v>747</v>
      </c>
      <c r="F606" s="128" t="s">
        <v>120</v>
      </c>
    </row>
    <row r="607" customFormat="false" ht="15" hidden="false" customHeight="false" outlineLevel="0" collapsed="false">
      <c r="A607" s="129" t="s">
        <v>748</v>
      </c>
      <c r="B607" s="130" t="n">
        <v>161</v>
      </c>
      <c r="C607" s="131"/>
      <c r="D607" s="107" t="n">
        <v>0.06</v>
      </c>
      <c r="E607" s="131"/>
      <c r="F607" s="132" t="n">
        <f aca="false">ROUND(B607*D607,2)</f>
        <v>9.66</v>
      </c>
    </row>
    <row r="608" customFormat="false" ht="15" hidden="false" customHeight="false" outlineLevel="0" collapsed="false">
      <c r="A608" s="129" t="s">
        <v>749</v>
      </c>
      <c r="B608" s="131"/>
      <c r="C608" s="131"/>
      <c r="D608" s="131"/>
      <c r="E608" s="133" t="n">
        <v>0.06</v>
      </c>
      <c r="F608" s="132" t="n">
        <v>8.31</v>
      </c>
    </row>
    <row r="609" customFormat="false" ht="15" hidden="false" customHeight="false" outlineLevel="0" collapsed="false">
      <c r="A609" s="134" t="s">
        <v>750</v>
      </c>
      <c r="B609" s="131"/>
      <c r="C609" s="131"/>
      <c r="D609" s="131"/>
      <c r="E609" s="131"/>
      <c r="F609" s="135" t="n">
        <f aca="false">F607-F608</f>
        <v>1.35</v>
      </c>
    </row>
    <row r="611" customFormat="false" ht="15" hidden="false" customHeight="false" outlineLevel="0" collapsed="false">
      <c r="A611" s="89" t="s">
        <v>928</v>
      </c>
      <c r="B611" s="89"/>
      <c r="C611" s="89"/>
      <c r="D611" s="89"/>
      <c r="E611" s="89"/>
      <c r="F611" s="89"/>
      <c r="H611" s="89" t="s">
        <v>929</v>
      </c>
      <c r="I611" s="89"/>
      <c r="J611" s="89"/>
      <c r="K611" s="89"/>
      <c r="L611" s="90" t="n">
        <v>46113</v>
      </c>
      <c r="M611" s="91" t="s">
        <v>608</v>
      </c>
      <c r="N611" s="90" t="n">
        <v>46142</v>
      </c>
      <c r="R611" s="92" t="s">
        <v>110</v>
      </c>
      <c r="S611" s="92"/>
      <c r="T611" s="92"/>
      <c r="U611" s="92"/>
      <c r="V611" s="92"/>
    </row>
    <row r="612" customFormat="false" ht="15" hidden="false" customHeight="false" outlineLevel="0" collapsed="false">
      <c r="A612" s="93" t="s">
        <v>111</v>
      </c>
      <c r="B612" s="94" t="s">
        <v>112</v>
      </c>
      <c r="C612" s="95"/>
      <c r="D612" s="95"/>
      <c r="E612" s="95"/>
      <c r="F612" s="95"/>
      <c r="H612" s="96" t="s">
        <v>930</v>
      </c>
      <c r="I612" s="97"/>
      <c r="J612" s="97"/>
      <c r="L612" s="98" t="s">
        <v>931</v>
      </c>
      <c r="M612" s="99"/>
      <c r="N612" s="99"/>
      <c r="R612" s="100" t="s">
        <v>932</v>
      </c>
    </row>
    <row r="613" customFormat="false" ht="15" hidden="false" customHeight="false" outlineLevel="0" collapsed="false">
      <c r="B613" s="81" t="s">
        <v>116</v>
      </c>
      <c r="C613" s="81" t="s">
        <v>117</v>
      </c>
      <c r="D613" s="81" t="s">
        <v>118</v>
      </c>
      <c r="E613" s="81" t="s">
        <v>119</v>
      </c>
      <c r="F613" s="81" t="s">
        <v>120</v>
      </c>
      <c r="H613" s="101" t="s">
        <v>116</v>
      </c>
      <c r="I613" s="101" t="s">
        <v>119</v>
      </c>
      <c r="J613" s="101" t="s">
        <v>120</v>
      </c>
      <c r="L613" s="102" t="s">
        <v>116</v>
      </c>
      <c r="M613" s="102" t="s">
        <v>119</v>
      </c>
      <c r="N613" s="102" t="s">
        <v>120</v>
      </c>
      <c r="R613" s="103" t="s">
        <v>933</v>
      </c>
    </row>
    <row r="614" customFormat="false" ht="15" hidden="false" customHeight="false" outlineLevel="0" collapsed="false">
      <c r="A614" s="104" t="s">
        <v>122</v>
      </c>
      <c r="B614" s="105" t="n">
        <v>3.45</v>
      </c>
      <c r="C614" s="106" t="n">
        <f aca="false">$N$611-$L$611+1</f>
        <v>30</v>
      </c>
      <c r="D614" s="107" t="n">
        <v>3.4086</v>
      </c>
      <c r="E614" s="108" t="n">
        <v>3.85</v>
      </c>
      <c r="F614" s="109" t="n">
        <f aca="false">ROUND(B614*E614,2)</f>
        <v>13.28</v>
      </c>
      <c r="H614" s="110" t="n">
        <v>3.45</v>
      </c>
      <c r="I614" s="111" t="n">
        <v>3.85</v>
      </c>
      <c r="J614" s="112" t="n">
        <f aca="false">ROUND(H614*I614,2)</f>
        <v>13.28</v>
      </c>
      <c r="L614" s="113" t="n">
        <v>3.45</v>
      </c>
      <c r="M614" s="114" t="n">
        <v>3.85</v>
      </c>
      <c r="N614" s="115" t="n">
        <f aca="false">ROUND(L614*M614,2)</f>
        <v>13.28</v>
      </c>
      <c r="R614" s="116" t="s">
        <v>934</v>
      </c>
    </row>
    <row r="615" customFormat="false" ht="15" hidden="false" customHeight="false" outlineLevel="0" collapsed="false">
      <c r="A615" s="104" t="s">
        <v>124</v>
      </c>
      <c r="B615" s="105" t="n">
        <v>3.45</v>
      </c>
      <c r="C615" s="106" t="n">
        <f aca="false">$N$611-$L$611+1</f>
        <v>30</v>
      </c>
      <c r="D615" s="107" t="n">
        <v>1.09728</v>
      </c>
      <c r="E615" s="108" t="n">
        <v>1.33</v>
      </c>
      <c r="F615" s="109" t="n">
        <f aca="false">ROUND(B615*E615,2)</f>
        <v>4.59</v>
      </c>
      <c r="H615" s="110" t="n">
        <v>3.45</v>
      </c>
      <c r="I615" s="111" t="n">
        <v>1.33</v>
      </c>
      <c r="J615" s="112" t="n">
        <f aca="false">ROUND(H615*I615,2)</f>
        <v>4.59</v>
      </c>
      <c r="L615" s="113" t="n">
        <v>3.45</v>
      </c>
      <c r="M615" s="114" t="n">
        <v>1.33</v>
      </c>
      <c r="N615" s="115" t="n">
        <f aca="false">ROUND(L615*M615,2)</f>
        <v>4.59</v>
      </c>
      <c r="R615" s="117" t="s">
        <v>935</v>
      </c>
    </row>
    <row r="616" customFormat="false" ht="15" hidden="false" customHeight="false" outlineLevel="0" collapsed="false">
      <c r="A616" s="104" t="s">
        <v>615</v>
      </c>
      <c r="B616" s="105" t="n">
        <f aca="false">IF($P$616&lt;&gt;"",ROUND(AA616*(($AB$616/(1-$P$616))-17.871)/70.0494,2),IF('Resumen 2.0TD'!$D$3="OPTIMIZAR",ROUND(MAX(AA616,MIN(AA616*(($AB$616/(1-'Resumen 2.0TD'!$F$3))-17.871)/70.0494,AA616*(124.2168)/70.0494)),3),AA616))</f>
        <v>216.044</v>
      </c>
      <c r="C616" s="118"/>
      <c r="D616" s="107" t="n">
        <v>0.110306</v>
      </c>
      <c r="E616" s="108" t="n">
        <v>0.13788</v>
      </c>
      <c r="F616" s="109" t="n">
        <f aca="false">ROUND(B616*E616,2)</f>
        <v>29.79</v>
      </c>
      <c r="H616" s="110" t="n">
        <v>441.638</v>
      </c>
      <c r="I616" s="111" t="n">
        <v>0.13788</v>
      </c>
      <c r="J616" s="112" t="n">
        <f aca="false">ROUND(H616*I616,2)</f>
        <v>60.89</v>
      </c>
      <c r="L616" s="113" t="n">
        <v>132.282</v>
      </c>
      <c r="M616" s="114" t="n">
        <v>0.13788</v>
      </c>
      <c r="N616" s="115" t="n">
        <f aca="false">ROUND(L616*M616,2)</f>
        <v>18.24</v>
      </c>
      <c r="O616" s="119" t="s">
        <v>616</v>
      </c>
      <c r="P616" s="79"/>
      <c r="R616" s="117" t="s">
        <v>936</v>
      </c>
      <c r="AA616" s="0" t="n">
        <v>216.044</v>
      </c>
      <c r="AB616" s="0" t="n">
        <f aca="false">B614*D614+B615*D615+AA616*D616+AA617*D617+AA618*D618</f>
        <v>71.585808076</v>
      </c>
    </row>
    <row r="617" customFormat="false" ht="15" hidden="false" customHeight="false" outlineLevel="0" collapsed="false">
      <c r="A617" s="104" t="s">
        <v>618</v>
      </c>
      <c r="B617" s="105" t="n">
        <f aca="false">IF($P$616&lt;&gt;"",ROUND(AA617*(($AB$616/(1-$P$616))-17.871)/70.0494,2),IF('Resumen 2.0TD'!$D$3="OPTIMIZAR",ROUND(MAX(AA617,MIN(AA617*(($AB$616/(1-'Resumen 2.0TD'!$F$3))-17.871)/70.0494,AA617*(124.2168)/70.0494)),3),AA617))</f>
        <v>49.353</v>
      </c>
      <c r="C617" s="118"/>
      <c r="D617" s="107" t="n">
        <v>0.110306</v>
      </c>
      <c r="E617" s="108" t="n">
        <v>0.13788</v>
      </c>
      <c r="F617" s="109" t="n">
        <f aca="false">ROUND(B617*E617,2)</f>
        <v>6.8</v>
      </c>
      <c r="H617" s="110" t="n">
        <v>221.575</v>
      </c>
      <c r="I617" s="111" t="n">
        <v>0.13788</v>
      </c>
      <c r="J617" s="112" t="n">
        <f aca="false">ROUND(H617*I617,2)</f>
        <v>30.55</v>
      </c>
      <c r="L617" s="113" t="n">
        <v>35.864</v>
      </c>
      <c r="M617" s="114" t="n">
        <v>0.13788</v>
      </c>
      <c r="N617" s="115" t="n">
        <f aca="false">ROUND(L617*M617,2)</f>
        <v>4.94</v>
      </c>
      <c r="O617" s="120" t="s">
        <v>619</v>
      </c>
      <c r="R617" s="117" t="s">
        <v>620</v>
      </c>
      <c r="AA617" s="0" t="n">
        <v>49.353</v>
      </c>
    </row>
    <row r="618" customFormat="false" ht="15" hidden="false" customHeight="false" outlineLevel="0" collapsed="false">
      <c r="A618" s="104" t="s">
        <v>621</v>
      </c>
      <c r="B618" s="105" t="n">
        <f aca="false">IF($P$616&lt;&gt;"",ROUND(AA618*(($AB$616/(1-$P$616))-17.871)/70.0494,2),IF('Resumen 2.0TD'!$D$3="OPTIMIZAR",ROUND(MAX(AA618,MIN(AA618*(($AB$616/(1-'Resumen 2.0TD'!$F$3))-17.871)/70.0494,AA618*(124.2168)/70.0494)),3),AA618))</f>
        <v>242.649</v>
      </c>
      <c r="C618" s="118"/>
      <c r="D618" s="107" t="n">
        <v>0.110306</v>
      </c>
      <c r="E618" s="108" t="n">
        <v>0.13788</v>
      </c>
      <c r="F618" s="109" t="n">
        <f aca="false">ROUND(B618*E618,2)</f>
        <v>33.46</v>
      </c>
      <c r="H618" s="110" t="n">
        <v>364.187</v>
      </c>
      <c r="I618" s="111" t="n">
        <v>0.13788</v>
      </c>
      <c r="J618" s="112" t="n">
        <f aca="false">ROUND(H618*I618,2)</f>
        <v>50.21</v>
      </c>
      <c r="L618" s="113" t="n">
        <v>143.688</v>
      </c>
      <c r="M618" s="114" t="n">
        <v>0.13788</v>
      </c>
      <c r="N618" s="115" t="n">
        <f aca="false">ROUND(L618*M618,2)</f>
        <v>19.81</v>
      </c>
      <c r="O618" s="120" t="s">
        <v>622</v>
      </c>
      <c r="AA618" s="0" t="n">
        <v>242.649</v>
      </c>
    </row>
    <row r="619" customFormat="false" ht="15" hidden="false" customHeight="false" outlineLevel="0" collapsed="false">
      <c r="A619" s="104" t="s">
        <v>139</v>
      </c>
      <c r="B619" s="105" t="n">
        <v>1</v>
      </c>
      <c r="C619" s="106" t="n">
        <f aca="false">$N$611-$L$611+1</f>
        <v>30</v>
      </c>
      <c r="D619" s="107" t="n">
        <v>0.7989</v>
      </c>
      <c r="E619" s="108" t="n">
        <v>3</v>
      </c>
      <c r="F619" s="109" t="n">
        <f aca="false">ROUND(B619*E619,2)</f>
        <v>3</v>
      </c>
      <c r="H619" s="110" t="n">
        <v>1</v>
      </c>
      <c r="I619" s="111" t="n">
        <v>3</v>
      </c>
      <c r="J619" s="112" t="n">
        <f aca="false">ROUND(H619*I619,2)</f>
        <v>3</v>
      </c>
      <c r="L619" s="113" t="n">
        <v>1</v>
      </c>
      <c r="M619" s="114" t="n">
        <v>3</v>
      </c>
      <c r="N619" s="115" t="n">
        <f aca="false">ROUND(L619*M619,2)</f>
        <v>3</v>
      </c>
    </row>
    <row r="620" customFormat="false" ht="15" hidden="false" customHeight="false" outlineLevel="0" collapsed="false">
      <c r="A620" s="104" t="s">
        <v>140</v>
      </c>
      <c r="B620" s="105" t="n">
        <v>30</v>
      </c>
      <c r="C620" s="106" t="n">
        <f aca="false">$N$611-$L$611+1</f>
        <v>30</v>
      </c>
      <c r="D620" s="107" t="n">
        <v>0.5736</v>
      </c>
      <c r="E620" s="108" t="n">
        <v>0.01274</v>
      </c>
      <c r="F620" s="109" t="n">
        <f aca="false">ROUND(B620*E620,2)</f>
        <v>0.38</v>
      </c>
      <c r="H620" s="110" t="n">
        <v>30</v>
      </c>
      <c r="I620" s="111" t="n">
        <v>0.01274</v>
      </c>
      <c r="J620" s="112" t="n">
        <f aca="false">ROUND(H620*I620,2)</f>
        <v>0.38</v>
      </c>
      <c r="L620" s="113" t="n">
        <v>30</v>
      </c>
      <c r="M620" s="114" t="n">
        <v>0.00629</v>
      </c>
      <c r="N620" s="115" t="n">
        <f aca="false">ROUND(L620*M620,2)</f>
        <v>0.19</v>
      </c>
    </row>
    <row r="621" customFormat="false" ht="15" hidden="false" customHeight="false" outlineLevel="0" collapsed="false">
      <c r="A621" s="104" t="s">
        <v>141</v>
      </c>
      <c r="B621" s="105" t="n">
        <v>3.09</v>
      </c>
      <c r="C621" s="118"/>
      <c r="D621" s="107" t="n">
        <v>0.24729</v>
      </c>
      <c r="E621" s="108" t="n">
        <v>1</v>
      </c>
      <c r="F621" s="109" t="n">
        <f aca="false">ROUND(B621*E621,2)</f>
        <v>3.09</v>
      </c>
      <c r="H621" s="110" t="n">
        <v>7.77</v>
      </c>
      <c r="I621" s="111" t="n">
        <v>1</v>
      </c>
      <c r="J621" s="112" t="n">
        <f aca="false">ROUND(H621*I621,2)</f>
        <v>7.77</v>
      </c>
      <c r="L621" s="113" t="n">
        <v>1.47</v>
      </c>
      <c r="M621" s="114" t="n">
        <v>1</v>
      </c>
      <c r="N621" s="115" t="n">
        <f aca="false">ROUND(L621*M621,2)</f>
        <v>1.47</v>
      </c>
    </row>
    <row r="622" customFormat="false" ht="15" hidden="false" customHeight="false" outlineLevel="0" collapsed="false">
      <c r="A622" s="121" t="s">
        <v>142</v>
      </c>
      <c r="F622" s="122" t="n">
        <f aca="false">ROUND((SUM(F614:F621)-F621)*1.1+F621,2)</f>
        <v>103.52</v>
      </c>
      <c r="J622" s="123" t="n">
        <f aca="false">ROUND(SUM(J614:J621),2)</f>
        <v>170.67</v>
      </c>
      <c r="N622" s="124" t="n">
        <f aca="false">ROUND(SUM(N614:N621),2)</f>
        <v>65.52</v>
      </c>
    </row>
    <row r="623" customFormat="false" ht="15" hidden="false" customHeight="false" outlineLevel="0" collapsed="false">
      <c r="A623" s="93" t="s">
        <v>143</v>
      </c>
      <c r="B623" s="125" t="n">
        <f aca="false">IF((F618+F617+F616+F614+F615)=0,"",((F618+F617+F616+F614+F615)-$AB$616)/(F618+F617+F616+F614+F615))</f>
        <v>0.185784712511374</v>
      </c>
      <c r="D623" s="126" t="str">
        <f aca="false">IF(B623="","SIN PC",IF(B623&gt;=0.3,"APROBAR",IF(B623&gt;=0.2,"REVISAR","RECHAZAR")))</f>
        <v>RECHAZAR</v>
      </c>
      <c r="E623" s="126"/>
      <c r="F623" s="126"/>
      <c r="AD623" s="0" t="n">
        <f aca="false">SUM(F616:F618)-70.0494</f>
        <v>0.000599999999991496</v>
      </c>
    </row>
    <row r="624" customFormat="false" ht="15" hidden="false" customHeight="false" outlineLevel="0" collapsed="false">
      <c r="A624" s="127" t="s">
        <v>744</v>
      </c>
      <c r="B624" s="127"/>
      <c r="C624" s="127"/>
      <c r="D624" s="127"/>
      <c r="E624" s="127"/>
      <c r="F624" s="127"/>
    </row>
    <row r="625" customFormat="false" ht="15" hidden="false" customHeight="false" outlineLevel="0" collapsed="false">
      <c r="A625" s="128" t="s">
        <v>111</v>
      </c>
      <c r="B625" s="128" t="s">
        <v>745</v>
      </c>
      <c r="D625" s="128" t="s">
        <v>746</v>
      </c>
      <c r="E625" s="128" t="s">
        <v>747</v>
      </c>
      <c r="F625" s="128" t="s">
        <v>120</v>
      </c>
    </row>
    <row r="626" customFormat="false" ht="15" hidden="false" customHeight="false" outlineLevel="0" collapsed="false">
      <c r="A626" s="129" t="s">
        <v>748</v>
      </c>
      <c r="B626" s="130" t="n">
        <v>462</v>
      </c>
      <c r="C626" s="131"/>
      <c r="D626" s="107" t="n">
        <v>0.06</v>
      </c>
      <c r="E626" s="131"/>
      <c r="F626" s="132" t="n">
        <f aca="false">ROUND(B626*D626,2)</f>
        <v>27.72</v>
      </c>
    </row>
    <row r="627" customFormat="false" ht="15" hidden="false" customHeight="false" outlineLevel="0" collapsed="false">
      <c r="A627" s="129" t="s">
        <v>749</v>
      </c>
      <c r="B627" s="131"/>
      <c r="C627" s="131"/>
      <c r="D627" s="131"/>
      <c r="E627" s="133" t="n">
        <v>0.06</v>
      </c>
      <c r="F627" s="132" t="n">
        <v>27.66</v>
      </c>
    </row>
    <row r="628" customFormat="false" ht="15" hidden="false" customHeight="false" outlineLevel="0" collapsed="false">
      <c r="A628" s="134" t="s">
        <v>750</v>
      </c>
      <c r="B628" s="131"/>
      <c r="C628" s="131"/>
      <c r="D628" s="131"/>
      <c r="E628" s="131"/>
      <c r="F628" s="135" t="n">
        <f aca="false">F626-F627</f>
        <v>0.0599999999999987</v>
      </c>
    </row>
    <row r="630" customFormat="false" ht="15" hidden="false" customHeight="false" outlineLevel="0" collapsed="false">
      <c r="A630" s="89" t="s">
        <v>937</v>
      </c>
      <c r="B630" s="89"/>
      <c r="C630" s="89"/>
      <c r="D630" s="89"/>
      <c r="E630" s="89"/>
      <c r="F630" s="89"/>
      <c r="H630" s="89" t="s">
        <v>938</v>
      </c>
      <c r="I630" s="89"/>
      <c r="J630" s="89"/>
      <c r="K630" s="89"/>
      <c r="L630" s="90" t="n">
        <v>46113</v>
      </c>
      <c r="M630" s="91" t="s">
        <v>608</v>
      </c>
      <c r="N630" s="90" t="n">
        <v>46142</v>
      </c>
      <c r="R630" s="92" t="s">
        <v>110</v>
      </c>
      <c r="S630" s="92"/>
      <c r="T630" s="92"/>
      <c r="U630" s="92"/>
      <c r="V630" s="92"/>
    </row>
    <row r="631" customFormat="false" ht="15" hidden="false" customHeight="false" outlineLevel="0" collapsed="false">
      <c r="A631" s="93" t="s">
        <v>111</v>
      </c>
      <c r="B631" s="94" t="s">
        <v>112</v>
      </c>
      <c r="C631" s="95"/>
      <c r="D631" s="95"/>
      <c r="E631" s="95"/>
      <c r="F631" s="95"/>
      <c r="H631" s="96" t="s">
        <v>939</v>
      </c>
      <c r="I631" s="97"/>
      <c r="J631" s="97"/>
      <c r="L631" s="98" t="s">
        <v>940</v>
      </c>
      <c r="M631" s="99"/>
      <c r="N631" s="99"/>
      <c r="R631" s="100" t="s">
        <v>941</v>
      </c>
    </row>
    <row r="632" customFormat="false" ht="15" hidden="false" customHeight="false" outlineLevel="0" collapsed="false">
      <c r="B632" s="81" t="s">
        <v>116</v>
      </c>
      <c r="C632" s="81" t="s">
        <v>117</v>
      </c>
      <c r="D632" s="81" t="s">
        <v>118</v>
      </c>
      <c r="E632" s="81" t="s">
        <v>119</v>
      </c>
      <c r="F632" s="81" t="s">
        <v>120</v>
      </c>
      <c r="H632" s="101" t="s">
        <v>116</v>
      </c>
      <c r="I632" s="101" t="s">
        <v>119</v>
      </c>
      <c r="J632" s="101" t="s">
        <v>120</v>
      </c>
      <c r="L632" s="102" t="s">
        <v>116</v>
      </c>
      <c r="M632" s="102" t="s">
        <v>119</v>
      </c>
      <c r="N632" s="102" t="s">
        <v>120</v>
      </c>
      <c r="R632" s="103" t="s">
        <v>942</v>
      </c>
    </row>
    <row r="633" customFormat="false" ht="15" hidden="false" customHeight="false" outlineLevel="0" collapsed="false">
      <c r="A633" s="104" t="s">
        <v>122</v>
      </c>
      <c r="B633" s="105" t="n">
        <v>8.05</v>
      </c>
      <c r="C633" s="106" t="n">
        <f aca="false">$N$630-$L$630+1</f>
        <v>30</v>
      </c>
      <c r="D633" s="107" t="n">
        <v>3.4086</v>
      </c>
      <c r="E633" s="108" t="n">
        <v>3.85</v>
      </c>
      <c r="F633" s="109" t="n">
        <f aca="false">ROUND(B633*E633,2)</f>
        <v>30.99</v>
      </c>
      <c r="H633" s="110" t="n">
        <v>8.05</v>
      </c>
      <c r="I633" s="111" t="n">
        <v>3.85</v>
      </c>
      <c r="J633" s="112" t="n">
        <f aca="false">ROUND(H633*I633,2)</f>
        <v>30.99</v>
      </c>
      <c r="L633" s="113" t="n">
        <v>8.05</v>
      </c>
      <c r="M633" s="114" t="n">
        <v>3.85</v>
      </c>
      <c r="N633" s="115" t="n">
        <f aca="false">ROUND(L633*M633,2)</f>
        <v>30.99</v>
      </c>
      <c r="R633" s="116" t="s">
        <v>943</v>
      </c>
    </row>
    <row r="634" customFormat="false" ht="15" hidden="false" customHeight="false" outlineLevel="0" collapsed="false">
      <c r="A634" s="104" t="s">
        <v>124</v>
      </c>
      <c r="B634" s="105" t="n">
        <v>8.05</v>
      </c>
      <c r="C634" s="106" t="n">
        <f aca="false">$N$630-$L$630+1</f>
        <v>30</v>
      </c>
      <c r="D634" s="107" t="n">
        <v>1.09728</v>
      </c>
      <c r="E634" s="108" t="n">
        <v>1.33</v>
      </c>
      <c r="F634" s="109" t="n">
        <f aca="false">ROUND(B634*E634,2)</f>
        <v>10.71</v>
      </c>
      <c r="H634" s="110" t="n">
        <v>8.05</v>
      </c>
      <c r="I634" s="111" t="n">
        <v>1.33</v>
      </c>
      <c r="J634" s="112" t="n">
        <f aca="false">ROUND(H634*I634,2)</f>
        <v>10.71</v>
      </c>
      <c r="L634" s="113" t="n">
        <v>8.05</v>
      </c>
      <c r="M634" s="114" t="n">
        <v>1.33</v>
      </c>
      <c r="N634" s="115" t="n">
        <f aca="false">ROUND(L634*M634,2)</f>
        <v>10.71</v>
      </c>
      <c r="R634" s="117" t="s">
        <v>944</v>
      </c>
    </row>
    <row r="635" customFormat="false" ht="15" hidden="false" customHeight="false" outlineLevel="0" collapsed="false">
      <c r="A635" s="104" t="s">
        <v>615</v>
      </c>
      <c r="B635" s="105" t="n">
        <f aca="false">IF($P$635&lt;&gt;"",ROUND(AA635*(($AB$635/(1-$P$635))-41.699)/29.1065,2),IF('Resumen 2.0TD'!$D$3="OPTIMIZAR",ROUND(MAX(AA635,MIN(AA635*(($AB$635/(1-'Resumen 2.0TD'!$F$3))-41.699)/29.1065,AA635*(65.4888)/29.1065)),3),AA635))</f>
        <v>54.544</v>
      </c>
      <c r="C635" s="118"/>
      <c r="D635" s="107" t="n">
        <v>0.110306</v>
      </c>
      <c r="E635" s="108" t="n">
        <v>0.13788</v>
      </c>
      <c r="F635" s="109" t="n">
        <f aca="false">ROUND(B635*E635,2)</f>
        <v>7.52</v>
      </c>
      <c r="H635" s="110" t="n">
        <v>91.329</v>
      </c>
      <c r="I635" s="111" t="n">
        <v>0.13788</v>
      </c>
      <c r="J635" s="112" t="n">
        <f aca="false">ROUND(H635*I635,2)</f>
        <v>12.59</v>
      </c>
      <c r="L635" s="113" t="n">
        <v>52.858</v>
      </c>
      <c r="M635" s="114" t="n">
        <v>0.13788</v>
      </c>
      <c r="N635" s="115" t="n">
        <f aca="false">ROUND(L635*M635,2)</f>
        <v>7.29</v>
      </c>
      <c r="O635" s="119" t="s">
        <v>616</v>
      </c>
      <c r="P635" s="79"/>
      <c r="R635" s="117" t="s">
        <v>945</v>
      </c>
      <c r="AA635" s="0" t="n">
        <v>54.544</v>
      </c>
      <c r="AB635" s="0" t="n">
        <f aca="false">B633*D633+B634*D634+AA635*D635+AA636*D636+AA637*D637</f>
        <v>59.5579306</v>
      </c>
    </row>
    <row r="636" customFormat="false" ht="15" hidden="false" customHeight="false" outlineLevel="0" collapsed="false">
      <c r="A636" s="104" t="s">
        <v>618</v>
      </c>
      <c r="B636" s="105" t="n">
        <f aca="false">IF($P$635&lt;&gt;"",ROUND(AA636*(($AB$635/(1-$P$635))-41.699)/29.1065,2),IF('Resumen 2.0TD'!$D$3="OPTIMIZAR",ROUND(MAX(AA636,MIN(AA636*(($AB$635/(1-'Resumen 2.0TD'!$F$3))-41.699)/29.1065,AA636*(65.4888)/29.1065)),3),AA636))</f>
        <v>31.171</v>
      </c>
      <c r="C636" s="118"/>
      <c r="D636" s="107" t="n">
        <v>0.110306</v>
      </c>
      <c r="E636" s="108" t="n">
        <v>0.13788</v>
      </c>
      <c r="F636" s="109" t="n">
        <f aca="false">ROUND(B636*E636,2)</f>
        <v>4.3</v>
      </c>
      <c r="H636" s="110" t="n">
        <v>63.398</v>
      </c>
      <c r="I636" s="111" t="n">
        <v>0.13788</v>
      </c>
      <c r="J636" s="112" t="n">
        <f aca="false">ROUND(H636*I636,2)</f>
        <v>8.74</v>
      </c>
      <c r="L636" s="113" t="n">
        <v>50.853</v>
      </c>
      <c r="M636" s="114" t="n">
        <v>0.13788</v>
      </c>
      <c r="N636" s="115" t="n">
        <f aca="false">ROUND(L636*M636,2)</f>
        <v>7.01</v>
      </c>
      <c r="O636" s="120" t="s">
        <v>619</v>
      </c>
      <c r="R636" s="117" t="s">
        <v>620</v>
      </c>
      <c r="AA636" s="0" t="n">
        <v>31.171</v>
      </c>
    </row>
    <row r="637" customFormat="false" ht="15" hidden="false" customHeight="false" outlineLevel="0" collapsed="false">
      <c r="A637" s="104" t="s">
        <v>621</v>
      </c>
      <c r="B637" s="105" t="n">
        <f aca="false">IF($P$635&lt;&gt;"",ROUND(AA637*(($AB$635/(1-$P$635))-41.699)/29.1065,2),IF('Resumen 2.0TD'!$D$3="OPTIMIZAR",ROUND(MAX(AA637,MIN(AA637*(($AB$635/(1-'Resumen 2.0TD'!$F$3))-41.699)/29.1065,AA637*(65.4888)/29.1065)),3),AA637))</f>
        <v>125.385</v>
      </c>
      <c r="C637" s="118"/>
      <c r="D637" s="107" t="n">
        <v>0.110306</v>
      </c>
      <c r="E637" s="108" t="n">
        <v>0.13788</v>
      </c>
      <c r="F637" s="109" t="n">
        <f aca="false">ROUND(B637*E637,2)</f>
        <v>17.29</v>
      </c>
      <c r="H637" s="110" t="n">
        <v>133.771</v>
      </c>
      <c r="I637" s="111" t="n">
        <v>0.13788</v>
      </c>
      <c r="J637" s="112" t="n">
        <f aca="false">ROUND(H637*I637,2)</f>
        <v>18.44</v>
      </c>
      <c r="L637" s="113" t="n">
        <v>99.744</v>
      </c>
      <c r="M637" s="114" t="n">
        <v>0.13788</v>
      </c>
      <c r="N637" s="115" t="n">
        <f aca="false">ROUND(L637*M637,2)</f>
        <v>13.75</v>
      </c>
      <c r="O637" s="120" t="s">
        <v>622</v>
      </c>
      <c r="AA637" s="0" t="n">
        <v>125.385</v>
      </c>
    </row>
    <row r="638" customFormat="false" ht="15" hidden="false" customHeight="false" outlineLevel="0" collapsed="false">
      <c r="A638" s="104" t="s">
        <v>139</v>
      </c>
      <c r="B638" s="105" t="n">
        <v>1</v>
      </c>
      <c r="C638" s="106" t="n">
        <f aca="false">$N$630-$L$630+1</f>
        <v>30</v>
      </c>
      <c r="D638" s="107" t="n">
        <v>1.3414</v>
      </c>
      <c r="E638" s="108" t="n">
        <v>3</v>
      </c>
      <c r="F638" s="109" t="n">
        <f aca="false">ROUND(B638*E638,2)</f>
        <v>3</v>
      </c>
      <c r="H638" s="110" t="n">
        <v>1</v>
      </c>
      <c r="I638" s="111" t="n">
        <v>3</v>
      </c>
      <c r="J638" s="112" t="n">
        <f aca="false">ROUND(H638*I638,2)</f>
        <v>3</v>
      </c>
      <c r="L638" s="113" t="n">
        <v>1</v>
      </c>
      <c r="M638" s="114" t="n">
        <v>3</v>
      </c>
      <c r="N638" s="115" t="n">
        <f aca="false">ROUND(L638*M638,2)</f>
        <v>3</v>
      </c>
    </row>
    <row r="639" customFormat="false" ht="15" hidden="false" customHeight="false" outlineLevel="0" collapsed="false">
      <c r="A639" s="104" t="s">
        <v>140</v>
      </c>
      <c r="B639" s="105" t="n">
        <v>30</v>
      </c>
      <c r="C639" s="106" t="n">
        <f aca="false">$N$630-$L$630+1</f>
        <v>30</v>
      </c>
      <c r="D639" s="107" t="n">
        <v>0.5736</v>
      </c>
      <c r="E639" s="108" t="n">
        <v>0.01274</v>
      </c>
      <c r="F639" s="109" t="n">
        <f aca="false">ROUND(B639*E639,2)</f>
        <v>0.38</v>
      </c>
      <c r="H639" s="110" t="n">
        <v>30</v>
      </c>
      <c r="I639" s="111" t="n">
        <v>0.01274</v>
      </c>
      <c r="J639" s="112" t="n">
        <f aca="false">ROUND(H639*I639,2)</f>
        <v>0.38</v>
      </c>
      <c r="L639" s="113" t="n">
        <v>30</v>
      </c>
      <c r="M639" s="114" t="n">
        <v>0.00629</v>
      </c>
      <c r="N639" s="115" t="n">
        <f aca="false">ROUND(L639*M639,2)</f>
        <v>0.19</v>
      </c>
    </row>
    <row r="640" customFormat="false" ht="15" hidden="false" customHeight="false" outlineLevel="0" collapsed="false">
      <c r="A640" s="104" t="s">
        <v>141</v>
      </c>
      <c r="B640" s="105" t="n">
        <v>2.64</v>
      </c>
      <c r="C640" s="118"/>
      <c r="D640" s="107" t="n">
        <v>0.24729</v>
      </c>
      <c r="E640" s="108" t="n">
        <v>1</v>
      </c>
      <c r="F640" s="109" t="n">
        <f aca="false">ROUND(B640*E640,2)</f>
        <v>2.64</v>
      </c>
      <c r="H640" s="110" t="n">
        <v>3.52</v>
      </c>
      <c r="I640" s="111" t="n">
        <v>1</v>
      </c>
      <c r="J640" s="112" t="n">
        <f aca="false">ROUND(H640*I640,2)</f>
        <v>3.52</v>
      </c>
      <c r="L640" s="113" t="n">
        <v>2.83</v>
      </c>
      <c r="M640" s="114" t="n">
        <v>1</v>
      </c>
      <c r="N640" s="115" t="n">
        <f aca="false">ROUND(L640*M640,2)</f>
        <v>2.83</v>
      </c>
    </row>
    <row r="641" customFormat="false" ht="15" hidden="false" customHeight="false" outlineLevel="0" collapsed="false">
      <c r="A641" s="121" t="s">
        <v>142</v>
      </c>
      <c r="F641" s="122" t="n">
        <f aca="false">ROUND((SUM(F633:F640)-F640)*1.1+F640,2)</f>
        <v>84.25</v>
      </c>
      <c r="J641" s="123" t="n">
        <f aca="false">ROUND(SUM(J633:J640),2)</f>
        <v>88.37</v>
      </c>
      <c r="N641" s="124" t="n">
        <f aca="false">ROUND(SUM(N633:N640),2)</f>
        <v>75.77</v>
      </c>
    </row>
    <row r="642" customFormat="false" ht="15" hidden="false" customHeight="false" outlineLevel="0" collapsed="false">
      <c r="A642" s="93" t="s">
        <v>143</v>
      </c>
      <c r="B642" s="125" t="n">
        <f aca="false">IF((F637+F636+F635+F633+F634)=0,"",((F637+F636+F635+F633+F634)-$AB$635)/(F637+F636+F635+F633+F634))</f>
        <v>0.158905089676599</v>
      </c>
      <c r="D642" s="126" t="str">
        <f aca="false">IF(B642="","SIN PC",IF(B642&gt;=0.3,"APROBAR",IF(B642&gt;=0.2,"REVISAR","RECHAZAR")))</f>
        <v>RECHAZAR</v>
      </c>
      <c r="E642" s="126"/>
      <c r="F642" s="126"/>
      <c r="AD642" s="0" t="n">
        <f aca="false">SUM(F635:F637)-29.1065</f>
        <v>0.00349999999999895</v>
      </c>
    </row>
    <row r="643" customFormat="false" ht="15" hidden="false" customHeight="false" outlineLevel="0" collapsed="false">
      <c r="A643" s="127" t="s">
        <v>744</v>
      </c>
      <c r="B643" s="127"/>
      <c r="C643" s="127"/>
      <c r="D643" s="127"/>
      <c r="E643" s="127"/>
      <c r="F643" s="127"/>
    </row>
    <row r="644" customFormat="false" ht="15" hidden="false" customHeight="false" outlineLevel="0" collapsed="false">
      <c r="A644" s="128" t="s">
        <v>111</v>
      </c>
      <c r="B644" s="128" t="s">
        <v>745</v>
      </c>
      <c r="D644" s="128" t="s">
        <v>746</v>
      </c>
      <c r="E644" s="128" t="s">
        <v>747</v>
      </c>
      <c r="F644" s="128" t="s">
        <v>120</v>
      </c>
    </row>
    <row r="645" customFormat="false" ht="15" hidden="false" customHeight="false" outlineLevel="0" collapsed="false">
      <c r="A645" s="129" t="s">
        <v>748</v>
      </c>
      <c r="B645" s="130" t="n">
        <v>330</v>
      </c>
      <c r="C645" s="131"/>
      <c r="D645" s="107" t="n">
        <v>0.06</v>
      </c>
      <c r="E645" s="131"/>
      <c r="F645" s="132" t="n">
        <f aca="false">ROUND(B645*D645,2)</f>
        <v>19.8</v>
      </c>
    </row>
    <row r="646" customFormat="false" ht="15" hidden="false" customHeight="false" outlineLevel="0" collapsed="false">
      <c r="A646" s="129" t="s">
        <v>749</v>
      </c>
      <c r="B646" s="131"/>
      <c r="C646" s="131"/>
      <c r="D646" s="131"/>
      <c r="E646" s="133" t="n">
        <v>0.06</v>
      </c>
      <c r="F646" s="132" t="n">
        <v>19.26</v>
      </c>
    </row>
    <row r="647" customFormat="false" ht="15" hidden="false" customHeight="false" outlineLevel="0" collapsed="false">
      <c r="A647" s="134" t="s">
        <v>750</v>
      </c>
      <c r="B647" s="131"/>
      <c r="C647" s="131"/>
      <c r="D647" s="131"/>
      <c r="E647" s="131"/>
      <c r="F647" s="135" t="n">
        <f aca="false">F645-F646</f>
        <v>0.539999999999999</v>
      </c>
    </row>
    <row r="649" customFormat="false" ht="15" hidden="false" customHeight="false" outlineLevel="0" collapsed="false">
      <c r="A649" s="89" t="s">
        <v>946</v>
      </c>
      <c r="B649" s="89"/>
      <c r="C649" s="89"/>
      <c r="D649" s="89"/>
      <c r="E649" s="89"/>
      <c r="F649" s="89"/>
      <c r="H649" s="89" t="s">
        <v>947</v>
      </c>
      <c r="I649" s="89"/>
      <c r="J649" s="89"/>
      <c r="K649" s="89"/>
      <c r="L649" s="90" t="n">
        <v>46113</v>
      </c>
      <c r="M649" s="91" t="s">
        <v>608</v>
      </c>
      <c r="N649" s="90" t="n">
        <v>46142</v>
      </c>
      <c r="R649" s="92" t="s">
        <v>110</v>
      </c>
      <c r="S649" s="92"/>
      <c r="T649" s="92"/>
      <c r="U649" s="92"/>
      <c r="V649" s="92"/>
    </row>
    <row r="650" customFormat="false" ht="15" hidden="false" customHeight="false" outlineLevel="0" collapsed="false">
      <c r="A650" s="93" t="s">
        <v>111</v>
      </c>
      <c r="B650" s="94" t="s">
        <v>112</v>
      </c>
      <c r="C650" s="95"/>
      <c r="D650" s="95"/>
      <c r="E650" s="95"/>
      <c r="F650" s="95"/>
      <c r="H650" s="96" t="s">
        <v>948</v>
      </c>
      <c r="I650" s="97"/>
      <c r="J650" s="97"/>
      <c r="L650" s="98" t="s">
        <v>949</v>
      </c>
      <c r="M650" s="99"/>
      <c r="N650" s="99"/>
      <c r="R650" s="100" t="s">
        <v>950</v>
      </c>
    </row>
    <row r="651" customFormat="false" ht="15" hidden="false" customHeight="false" outlineLevel="0" collapsed="false">
      <c r="B651" s="81" t="s">
        <v>116</v>
      </c>
      <c r="C651" s="81" t="s">
        <v>117</v>
      </c>
      <c r="D651" s="81" t="s">
        <v>118</v>
      </c>
      <c r="E651" s="81" t="s">
        <v>119</v>
      </c>
      <c r="F651" s="81" t="s">
        <v>120</v>
      </c>
      <c r="H651" s="101" t="s">
        <v>116</v>
      </c>
      <c r="I651" s="101" t="s">
        <v>119</v>
      </c>
      <c r="J651" s="101" t="s">
        <v>120</v>
      </c>
      <c r="L651" s="102" t="s">
        <v>116</v>
      </c>
      <c r="M651" s="102" t="s">
        <v>119</v>
      </c>
      <c r="N651" s="102" t="s">
        <v>120</v>
      </c>
      <c r="R651" s="103" t="s">
        <v>951</v>
      </c>
    </row>
    <row r="652" customFormat="false" ht="15" hidden="false" customHeight="false" outlineLevel="0" collapsed="false">
      <c r="A652" s="104" t="s">
        <v>122</v>
      </c>
      <c r="B652" s="105" t="n">
        <v>5.5</v>
      </c>
      <c r="C652" s="106" t="n">
        <f aca="false">$N$649-$L$649+1</f>
        <v>30</v>
      </c>
      <c r="D652" s="107" t="n">
        <v>3.4086</v>
      </c>
      <c r="E652" s="108" t="n">
        <v>4.82</v>
      </c>
      <c r="F652" s="109" t="n">
        <f aca="false">ROUND(B652*E652,2)</f>
        <v>26.51</v>
      </c>
      <c r="H652" s="110" t="n">
        <v>5.5</v>
      </c>
      <c r="I652" s="111" t="n">
        <v>4.82</v>
      </c>
      <c r="J652" s="112" t="n">
        <f aca="false">ROUND(H652*I652,2)</f>
        <v>26.51</v>
      </c>
      <c r="L652" s="113" t="n">
        <v>5.5</v>
      </c>
      <c r="M652" s="114" t="n">
        <v>4.82</v>
      </c>
      <c r="N652" s="115" t="n">
        <f aca="false">ROUND(L652*M652,2)</f>
        <v>26.51</v>
      </c>
      <c r="R652" s="116" t="s">
        <v>952</v>
      </c>
    </row>
    <row r="653" customFormat="false" ht="15" hidden="false" customHeight="false" outlineLevel="0" collapsed="false">
      <c r="A653" s="104" t="s">
        <v>124</v>
      </c>
      <c r="B653" s="105" t="n">
        <v>5.5</v>
      </c>
      <c r="C653" s="106" t="n">
        <f aca="false">$N$649-$L$649+1</f>
        <v>30</v>
      </c>
      <c r="D653" s="107" t="n">
        <v>1.09728</v>
      </c>
      <c r="E653" s="108" t="n">
        <v>2.3744</v>
      </c>
      <c r="F653" s="109" t="n">
        <f aca="false">ROUND(B653*E653,2)</f>
        <v>13.06</v>
      </c>
      <c r="H653" s="110" t="n">
        <v>5.5</v>
      </c>
      <c r="I653" s="111" t="n">
        <v>2.3744</v>
      </c>
      <c r="J653" s="112" t="n">
        <f aca="false">ROUND(H653*I653,2)</f>
        <v>13.06</v>
      </c>
      <c r="L653" s="113" t="n">
        <v>5.5</v>
      </c>
      <c r="M653" s="114" t="n">
        <v>2.3744</v>
      </c>
      <c r="N653" s="115" t="n">
        <f aca="false">ROUND(L653*M653,2)</f>
        <v>13.06</v>
      </c>
      <c r="R653" s="117" t="s">
        <v>953</v>
      </c>
    </row>
    <row r="654" customFormat="false" ht="15" hidden="false" customHeight="false" outlineLevel="0" collapsed="false">
      <c r="A654" s="104" t="s">
        <v>615</v>
      </c>
      <c r="B654" s="105" t="n">
        <f aca="false">IF($P$654&lt;&gt;"",ROUND(AA654*(($AB$654/(1-$P$654))-39.5692)/22.0366,2),IF('Resumen 2.0TD'!$D$3="OPTIMIZAR",ROUND(MAX(AA654,MIN(AA654*(($AB$654/(1-'Resumen 2.0TD'!$F$3))-39.5692)/22.0366,AA654*(85.6786)/22.0366)),3),AA654))</f>
        <v>17.422</v>
      </c>
      <c r="C654" s="118"/>
      <c r="D654" s="107" t="n">
        <v>0.110306</v>
      </c>
      <c r="E654" s="108" t="n">
        <v>0.139</v>
      </c>
      <c r="F654" s="109" t="n">
        <f aca="false">ROUND(B654*E654,2)</f>
        <v>2.42</v>
      </c>
      <c r="H654" s="110" t="n">
        <v>45.494</v>
      </c>
      <c r="I654" s="111" t="n">
        <v>0.139</v>
      </c>
      <c r="J654" s="112" t="n">
        <f aca="false">ROUND(H654*I654,2)</f>
        <v>6.32</v>
      </c>
      <c r="L654" s="113" t="n">
        <v>14.452</v>
      </c>
      <c r="M654" s="114" t="n">
        <v>0.149</v>
      </c>
      <c r="N654" s="115" t="n">
        <f aca="false">ROUND(L654*M654,2)</f>
        <v>2.15</v>
      </c>
      <c r="O654" s="119" t="s">
        <v>616</v>
      </c>
      <c r="P654" s="79"/>
      <c r="R654" s="117" t="s">
        <v>954</v>
      </c>
      <c r="AA654" s="0" t="n">
        <v>17.422</v>
      </c>
      <c r="AB654" s="0" t="n">
        <f aca="false">B652*D652+B653*D653+AA654*D654+AA655*D655+AA656*D656</f>
        <v>42.269922322</v>
      </c>
    </row>
    <row r="655" customFormat="false" ht="15" hidden="false" customHeight="false" outlineLevel="0" collapsed="false">
      <c r="A655" s="104" t="s">
        <v>618</v>
      </c>
      <c r="B655" s="105" t="n">
        <f aca="false">IF($P$654&lt;&gt;"",ROUND(AA655*(($AB$654/(1-$P$654))-39.5692)/22.0366,2),IF('Resumen 2.0TD'!$D$3="OPTIMIZAR",ROUND(MAX(AA655,MIN(AA655*(($AB$654/(1-'Resumen 2.0TD'!$F$3))-39.5692)/22.0366,AA655*(85.6786)/22.0366)),3),AA655))</f>
        <v>43.003</v>
      </c>
      <c r="C655" s="118"/>
      <c r="D655" s="107" t="n">
        <v>0.110306</v>
      </c>
      <c r="E655" s="108" t="n">
        <v>0.139</v>
      </c>
      <c r="F655" s="109" t="n">
        <f aca="false">ROUND(B655*E655,2)</f>
        <v>5.98</v>
      </c>
      <c r="H655" s="110" t="n">
        <v>84.434</v>
      </c>
      <c r="I655" s="111" t="n">
        <v>0.139</v>
      </c>
      <c r="J655" s="112" t="n">
        <f aca="false">ROUND(H655*I655,2)</f>
        <v>11.74</v>
      </c>
      <c r="L655" s="113" t="n">
        <v>11.099</v>
      </c>
      <c r="M655" s="114" t="n">
        <v>0.149</v>
      </c>
      <c r="N655" s="115" t="n">
        <f aca="false">ROUND(L655*M655,2)</f>
        <v>1.65</v>
      </c>
      <c r="O655" s="120" t="s">
        <v>619</v>
      </c>
      <c r="R655" s="117" t="s">
        <v>620</v>
      </c>
      <c r="AA655" s="0" t="n">
        <v>43.003</v>
      </c>
    </row>
    <row r="656" customFormat="false" ht="15" hidden="false" customHeight="false" outlineLevel="0" collapsed="false">
      <c r="A656" s="104" t="s">
        <v>621</v>
      </c>
      <c r="B656" s="105" t="n">
        <f aca="false">IF($P$654&lt;&gt;"",ROUND(AA656*(($AB$654/(1-$P$654))-39.5692)/22.0366,2),IF('Resumen 2.0TD'!$D$3="OPTIMIZAR",ROUND(MAX(AA656,MIN(AA656*(($AB$654/(1-'Resumen 2.0TD'!$F$3))-39.5692)/22.0366,AA656*(85.6786)/22.0366)),3),AA656))</f>
        <v>98.112</v>
      </c>
      <c r="C656" s="118"/>
      <c r="D656" s="107" t="n">
        <v>0.110306</v>
      </c>
      <c r="E656" s="108" t="n">
        <v>0.139</v>
      </c>
      <c r="F656" s="109" t="n">
        <f aca="false">ROUND(B656*E656,2)</f>
        <v>13.64</v>
      </c>
      <c r="H656" s="110" t="n">
        <v>131.914</v>
      </c>
      <c r="I656" s="111" t="n">
        <v>0.139</v>
      </c>
      <c r="J656" s="112" t="n">
        <f aca="false">ROUND(H656*I656,2)</f>
        <v>18.34</v>
      </c>
      <c r="L656" s="113" t="n">
        <v>106.482</v>
      </c>
      <c r="M656" s="114" t="n">
        <v>0.149</v>
      </c>
      <c r="N656" s="115" t="n">
        <f aca="false">ROUND(L656*M656,2)</f>
        <v>15.87</v>
      </c>
      <c r="O656" s="120" t="s">
        <v>622</v>
      </c>
      <c r="AA656" s="0" t="n">
        <v>98.112</v>
      </c>
    </row>
    <row r="657" customFormat="false" ht="15" hidden="false" customHeight="false" outlineLevel="0" collapsed="false">
      <c r="A657" s="104" t="s">
        <v>139</v>
      </c>
      <c r="B657" s="105" t="n">
        <v>1</v>
      </c>
      <c r="C657" s="106" t="n">
        <f aca="false">$N$649-$L$649+1</f>
        <v>30</v>
      </c>
      <c r="D657" s="107" t="n">
        <v>0.7989</v>
      </c>
      <c r="E657" s="108" t="n">
        <v>1</v>
      </c>
      <c r="F657" s="109" t="n">
        <f aca="false">ROUND(B657*E657,2)</f>
        <v>1</v>
      </c>
      <c r="H657" s="110" t="n">
        <v>1</v>
      </c>
      <c r="I657" s="111" t="n">
        <v>1</v>
      </c>
      <c r="J657" s="112" t="n">
        <f aca="false">ROUND(H657*I657,2)</f>
        <v>1</v>
      </c>
      <c r="L657" s="113" t="n">
        <v>1</v>
      </c>
      <c r="M657" s="114" t="n">
        <v>6</v>
      </c>
      <c r="N657" s="115" t="n">
        <f aca="false">ROUND(L657*M657,2)</f>
        <v>6</v>
      </c>
    </row>
    <row r="658" customFormat="false" ht="15" hidden="false" customHeight="false" outlineLevel="0" collapsed="false">
      <c r="A658" s="104" t="s">
        <v>140</v>
      </c>
      <c r="B658" s="105" t="n">
        <v>30</v>
      </c>
      <c r="C658" s="106" t="n">
        <f aca="false">$N$649-$L$649+1</f>
        <v>30</v>
      </c>
      <c r="D658" s="107" t="n">
        <v>0.5736</v>
      </c>
      <c r="E658" s="108" t="n">
        <v>0.01274</v>
      </c>
      <c r="F658" s="109" t="n">
        <f aca="false">ROUND(B658*E658,2)</f>
        <v>0.38</v>
      </c>
      <c r="H658" s="110" t="n">
        <v>30</v>
      </c>
      <c r="I658" s="111" t="n">
        <v>0.01912</v>
      </c>
      <c r="J658" s="112" t="n">
        <f aca="false">ROUND(H658*I658,2)</f>
        <v>0.57</v>
      </c>
      <c r="L658" s="113" t="n">
        <v>30</v>
      </c>
      <c r="M658" s="114" t="n">
        <v>0.00629</v>
      </c>
      <c r="N658" s="115" t="n">
        <f aca="false">ROUND(L658*M658,2)</f>
        <v>0.19</v>
      </c>
    </row>
    <row r="659" customFormat="false" ht="15" hidden="false" customHeight="false" outlineLevel="0" collapsed="false">
      <c r="A659" s="104" t="s">
        <v>141</v>
      </c>
      <c r="B659" s="105" t="n">
        <v>1.66</v>
      </c>
      <c r="C659" s="118"/>
      <c r="D659" s="107" t="n">
        <v>0.24729</v>
      </c>
      <c r="E659" s="108" t="n">
        <v>1</v>
      </c>
      <c r="F659" s="109" t="n">
        <f aca="false">ROUND(B659*E659,2)</f>
        <v>1.66</v>
      </c>
      <c r="H659" s="110" t="n">
        <v>3.05</v>
      </c>
      <c r="I659" s="111" t="n">
        <v>1</v>
      </c>
      <c r="J659" s="112" t="n">
        <f aca="false">ROUND(H659*I659,2)</f>
        <v>3.05</v>
      </c>
      <c r="L659" s="113" t="n">
        <v>2.3</v>
      </c>
      <c r="M659" s="114" t="n">
        <v>1</v>
      </c>
      <c r="N659" s="115" t="n">
        <f aca="false">ROUND(L659*M659,2)</f>
        <v>2.3</v>
      </c>
    </row>
    <row r="660" customFormat="false" ht="15" hidden="false" customHeight="false" outlineLevel="0" collapsed="false">
      <c r="A660" s="121" t="s">
        <v>142</v>
      </c>
      <c r="F660" s="122" t="n">
        <f aca="false">ROUND((SUM(F652:F659)-F659)*1.1+F659,2)</f>
        <v>70.95</v>
      </c>
      <c r="J660" s="123" t="n">
        <f aca="false">ROUND(SUM(J652:J659),2)</f>
        <v>80.59</v>
      </c>
      <c r="N660" s="124" t="n">
        <f aca="false">ROUND(SUM(N652:N659),2)</f>
        <v>67.73</v>
      </c>
    </row>
    <row r="661" customFormat="false" ht="15" hidden="false" customHeight="false" outlineLevel="0" collapsed="false">
      <c r="A661" s="93" t="s">
        <v>143</v>
      </c>
      <c r="B661" s="125" t="n">
        <f aca="false">IF((F656+F655+F654+F652+F653)=0,"",((F656+F655+F654+F652+F653)-$AB$654)/(F656+F655+F654+F652+F653))</f>
        <v>0.313911340334361</v>
      </c>
      <c r="D661" s="126" t="str">
        <f aca="false">IF(B661="","SIN PC",IF(B661&gt;=0.3,"APROBAR",IF(B661&gt;=0.2,"REVISAR","RECHAZAR")))</f>
        <v>APROBAR</v>
      </c>
      <c r="E661" s="126"/>
      <c r="F661" s="126"/>
      <c r="AD661" s="0" t="n">
        <f aca="false">SUM(F654:F656)-22.0366</f>
        <v>0.00339999999999918</v>
      </c>
    </row>
    <row r="662" customFormat="false" ht="15" hidden="false" customHeight="false" outlineLevel="0" collapsed="false">
      <c r="A662" s="127" t="s">
        <v>744</v>
      </c>
      <c r="B662" s="127"/>
      <c r="C662" s="127"/>
      <c r="D662" s="127"/>
      <c r="E662" s="127"/>
      <c r="F662" s="127"/>
    </row>
    <row r="663" customFormat="false" ht="15" hidden="false" customHeight="false" outlineLevel="0" collapsed="false">
      <c r="A663" s="128" t="s">
        <v>111</v>
      </c>
      <c r="B663" s="128" t="s">
        <v>745</v>
      </c>
      <c r="D663" s="128" t="s">
        <v>746</v>
      </c>
      <c r="E663" s="128" t="s">
        <v>747</v>
      </c>
      <c r="F663" s="128" t="s">
        <v>120</v>
      </c>
    </row>
    <row r="664" customFormat="false" ht="15" hidden="false" customHeight="false" outlineLevel="0" collapsed="false">
      <c r="A664" s="129" t="s">
        <v>748</v>
      </c>
      <c r="B664" s="130" t="n">
        <v>418</v>
      </c>
      <c r="C664" s="131"/>
      <c r="D664" s="107" t="n">
        <v>0.06</v>
      </c>
      <c r="E664" s="131"/>
      <c r="F664" s="132" t="n">
        <f aca="false">ROUND(B664*D664,2)</f>
        <v>25.08</v>
      </c>
    </row>
    <row r="665" customFormat="false" ht="15" hidden="false" customHeight="false" outlineLevel="0" collapsed="false">
      <c r="A665" s="129" t="s">
        <v>749</v>
      </c>
      <c r="B665" s="131"/>
      <c r="C665" s="131"/>
      <c r="D665" s="131"/>
      <c r="E665" s="133" t="n">
        <v>0.06</v>
      </c>
      <c r="F665" s="132" t="n">
        <v>32.89</v>
      </c>
    </row>
    <row r="666" customFormat="false" ht="15" hidden="false" customHeight="false" outlineLevel="0" collapsed="false">
      <c r="A666" s="134" t="s">
        <v>750</v>
      </c>
      <c r="B666" s="131"/>
      <c r="C666" s="131"/>
      <c r="D666" s="131"/>
      <c r="E666" s="131"/>
      <c r="F666" s="135" t="n">
        <f aca="false">F664-F665</f>
        <v>-7.81</v>
      </c>
    </row>
    <row r="668" customFormat="false" ht="15" hidden="false" customHeight="false" outlineLevel="0" collapsed="false">
      <c r="A668" s="89" t="s">
        <v>955</v>
      </c>
      <c r="B668" s="89"/>
      <c r="C668" s="89"/>
      <c r="D668" s="89"/>
      <c r="E668" s="89"/>
      <c r="F668" s="89"/>
      <c r="H668" s="89" t="s">
        <v>956</v>
      </c>
      <c r="I668" s="89"/>
      <c r="J668" s="89"/>
      <c r="K668" s="89"/>
      <c r="L668" s="90" t="n">
        <v>46113</v>
      </c>
      <c r="M668" s="91" t="s">
        <v>608</v>
      </c>
      <c r="N668" s="90" t="n">
        <v>46142</v>
      </c>
      <c r="R668" s="92" t="s">
        <v>110</v>
      </c>
      <c r="S668" s="92"/>
      <c r="T668" s="92"/>
      <c r="U668" s="92"/>
      <c r="V668" s="92"/>
    </row>
    <row r="669" customFormat="false" ht="15" hidden="false" customHeight="false" outlineLevel="0" collapsed="false">
      <c r="A669" s="93" t="s">
        <v>111</v>
      </c>
      <c r="B669" s="94" t="s">
        <v>112</v>
      </c>
      <c r="C669" s="95"/>
      <c r="D669" s="95"/>
      <c r="E669" s="95"/>
      <c r="F669" s="95"/>
      <c r="H669" s="96" t="s">
        <v>957</v>
      </c>
      <c r="I669" s="97"/>
      <c r="J669" s="97"/>
      <c r="L669" s="98" t="s">
        <v>958</v>
      </c>
      <c r="M669" s="99"/>
      <c r="N669" s="99"/>
      <c r="R669" s="100" t="s">
        <v>959</v>
      </c>
    </row>
    <row r="670" customFormat="false" ht="15" hidden="false" customHeight="false" outlineLevel="0" collapsed="false">
      <c r="B670" s="81" t="s">
        <v>116</v>
      </c>
      <c r="C670" s="81" t="s">
        <v>117</v>
      </c>
      <c r="D670" s="81" t="s">
        <v>118</v>
      </c>
      <c r="E670" s="81" t="s">
        <v>119</v>
      </c>
      <c r="F670" s="81" t="s">
        <v>120</v>
      </c>
      <c r="H670" s="101" t="s">
        <v>116</v>
      </c>
      <c r="I670" s="101" t="s">
        <v>119</v>
      </c>
      <c r="J670" s="101" t="s">
        <v>120</v>
      </c>
      <c r="L670" s="102" t="s">
        <v>116</v>
      </c>
      <c r="M670" s="102" t="s">
        <v>119</v>
      </c>
      <c r="N670" s="102" t="s">
        <v>120</v>
      </c>
      <c r="R670" s="103" t="s">
        <v>960</v>
      </c>
    </row>
    <row r="671" customFormat="false" ht="15" hidden="false" customHeight="false" outlineLevel="0" collapsed="false">
      <c r="A671" s="104" t="s">
        <v>122</v>
      </c>
      <c r="B671" s="105" t="n">
        <v>8.8</v>
      </c>
      <c r="C671" s="106" t="n">
        <f aca="false">$N$668-$L$668+1</f>
        <v>30</v>
      </c>
      <c r="D671" s="107" t="n">
        <v>3.4086</v>
      </c>
      <c r="E671" s="108" t="n">
        <v>4.17</v>
      </c>
      <c r="F671" s="109" t="n">
        <f aca="false">ROUND(B671*E671,2)</f>
        <v>36.7</v>
      </c>
      <c r="H671" s="110" t="n">
        <v>8.8</v>
      </c>
      <c r="I671" s="111" t="n">
        <v>4.17</v>
      </c>
      <c r="J671" s="112" t="n">
        <f aca="false">ROUND(H671*I671,2)</f>
        <v>36.7</v>
      </c>
      <c r="L671" s="113" t="n">
        <v>8.8</v>
      </c>
      <c r="M671" s="114" t="n">
        <v>4.17</v>
      </c>
      <c r="N671" s="115" t="n">
        <f aca="false">ROUND(L671*M671,2)</f>
        <v>36.7</v>
      </c>
      <c r="R671" s="116" t="s">
        <v>961</v>
      </c>
    </row>
    <row r="672" customFormat="false" ht="15" hidden="false" customHeight="false" outlineLevel="0" collapsed="false">
      <c r="A672" s="104" t="s">
        <v>124</v>
      </c>
      <c r="B672" s="105" t="n">
        <v>8.8</v>
      </c>
      <c r="C672" s="106" t="n">
        <f aca="false">$N$668-$L$668+1</f>
        <v>30</v>
      </c>
      <c r="D672" s="107" t="n">
        <v>1.09728</v>
      </c>
      <c r="E672" s="108" t="n">
        <v>1.37</v>
      </c>
      <c r="F672" s="109" t="n">
        <f aca="false">ROUND(B672*E672,2)</f>
        <v>12.06</v>
      </c>
      <c r="H672" s="110" t="n">
        <v>8.8</v>
      </c>
      <c r="I672" s="111" t="n">
        <v>1.37</v>
      </c>
      <c r="J672" s="112" t="n">
        <f aca="false">ROUND(H672*I672,2)</f>
        <v>12.06</v>
      </c>
      <c r="L672" s="113" t="n">
        <v>8.8</v>
      </c>
      <c r="M672" s="114" t="n">
        <v>1.37</v>
      </c>
      <c r="N672" s="115" t="n">
        <f aca="false">ROUND(L672*M672,2)</f>
        <v>12.06</v>
      </c>
      <c r="R672" s="117" t="s">
        <v>962</v>
      </c>
    </row>
    <row r="673" customFormat="false" ht="15" hidden="false" customHeight="false" outlineLevel="0" collapsed="false">
      <c r="A673" s="104" t="s">
        <v>615</v>
      </c>
      <c r="B673" s="105" t="n">
        <f aca="false">IF($P$673&lt;&gt;"",ROUND(AA673*(($AB$673/(1-$P$673))-48.752)/67.6728,2),IF('Resumen 2.0TD'!$D$3="OPTIMIZAR",ROUND(MAX(AA673,MIN(AA673*(($AB$673/(1-'Resumen 2.0TD'!$F$3))-48.752)/67.6728,AA673*(210.2358)/67.6728)),3),AA673))</f>
        <v>83.967</v>
      </c>
      <c r="C673" s="118"/>
      <c r="D673" s="107" t="n">
        <v>0.110306</v>
      </c>
      <c r="E673" s="108" t="n">
        <v>0.14937</v>
      </c>
      <c r="F673" s="109" t="n">
        <f aca="false">ROUND(B673*E673,2)</f>
        <v>12.54</v>
      </c>
      <c r="H673" s="110" t="n">
        <v>212.223</v>
      </c>
      <c r="I673" s="111" t="n">
        <v>0.14937</v>
      </c>
      <c r="J673" s="112" t="n">
        <f aca="false">ROUND(H673*I673,2)</f>
        <v>31.7</v>
      </c>
      <c r="L673" s="113" t="n">
        <v>51.779</v>
      </c>
      <c r="M673" s="114" t="n">
        <v>0.14937</v>
      </c>
      <c r="N673" s="115" t="n">
        <f aca="false">ROUND(L673*M673,2)</f>
        <v>7.73</v>
      </c>
      <c r="O673" s="119" t="s">
        <v>616</v>
      </c>
      <c r="P673" s="79"/>
      <c r="R673" s="117" t="s">
        <v>963</v>
      </c>
      <c r="AA673" s="0" t="n">
        <v>83.967</v>
      </c>
      <c r="AB673" s="0" t="n">
        <f aca="false">B671*D671+B672*D672+AA673*D673+AA674*D674+AA675*D675</f>
        <v>89.62642883</v>
      </c>
    </row>
    <row r="674" customFormat="false" ht="15" hidden="false" customHeight="false" outlineLevel="0" collapsed="false">
      <c r="A674" s="104" t="s">
        <v>618</v>
      </c>
      <c r="B674" s="105" t="n">
        <f aca="false">IF($P$673&lt;&gt;"",ROUND(AA674*(($AB$673/(1-$P$673))-48.752)/67.6728,2),IF('Resumen 2.0TD'!$D$3="OPTIMIZAR",ROUND(MAX(AA674,MIN(AA674*(($AB$673/(1-'Resumen 2.0TD'!$F$3))-48.752)/67.6728,AA674*(210.2358)/67.6728)),3),AA674))</f>
        <v>59.331</v>
      </c>
      <c r="C674" s="118"/>
      <c r="D674" s="107" t="n">
        <v>0.110306</v>
      </c>
      <c r="E674" s="108" t="n">
        <v>0.14937</v>
      </c>
      <c r="F674" s="109" t="n">
        <f aca="false">ROUND(B674*E674,2)</f>
        <v>8.86</v>
      </c>
      <c r="H674" s="110" t="n">
        <v>157.578</v>
      </c>
      <c r="I674" s="111" t="n">
        <v>0.14937</v>
      </c>
      <c r="J674" s="112" t="n">
        <f aca="false">ROUND(H674*I674,2)</f>
        <v>23.54</v>
      </c>
      <c r="L674" s="113" t="n">
        <v>42.247</v>
      </c>
      <c r="M674" s="114" t="n">
        <v>0.14937</v>
      </c>
      <c r="N674" s="115" t="n">
        <f aca="false">ROUND(L674*M674,2)</f>
        <v>6.31</v>
      </c>
      <c r="O674" s="120" t="s">
        <v>619</v>
      </c>
      <c r="R674" s="117" t="s">
        <v>620</v>
      </c>
      <c r="AA674" s="0" t="n">
        <v>59.331</v>
      </c>
    </row>
    <row r="675" customFormat="false" ht="15" hidden="false" customHeight="false" outlineLevel="0" collapsed="false">
      <c r="A675" s="104" t="s">
        <v>621</v>
      </c>
      <c r="B675" s="105" t="n">
        <f aca="false">IF($P$673&lt;&gt;"",ROUND(AA675*(($AB$673/(1-$P$673))-48.752)/67.6728,2),IF('Resumen 2.0TD'!$D$3="OPTIMIZAR",ROUND(MAX(AA675,MIN(AA675*(($AB$673/(1-'Resumen 2.0TD'!$F$3))-48.752)/67.6728,AA675*(210.2358)/67.6728)),3),AA675))</f>
        <v>309.757</v>
      </c>
      <c r="C675" s="118"/>
      <c r="D675" s="107" t="n">
        <v>0.110306</v>
      </c>
      <c r="E675" s="108" t="n">
        <v>0.14937</v>
      </c>
      <c r="F675" s="109" t="n">
        <f aca="false">ROUND(B675*E675,2)</f>
        <v>46.27</v>
      </c>
      <c r="H675" s="110" t="n">
        <v>535.007</v>
      </c>
      <c r="I675" s="111" t="n">
        <v>0.14937</v>
      </c>
      <c r="J675" s="112" t="n">
        <f aca="false">ROUND(H675*I675,2)</f>
        <v>79.91</v>
      </c>
      <c r="L675" s="113" t="n">
        <v>146.014</v>
      </c>
      <c r="M675" s="114" t="n">
        <v>0.14937</v>
      </c>
      <c r="N675" s="115" t="n">
        <f aca="false">ROUND(L675*M675,2)</f>
        <v>21.81</v>
      </c>
      <c r="O675" s="120" t="s">
        <v>622</v>
      </c>
      <c r="AA675" s="0" t="n">
        <v>309.757</v>
      </c>
    </row>
    <row r="676" customFormat="false" ht="15" hidden="false" customHeight="false" outlineLevel="0" collapsed="false">
      <c r="A676" s="104" t="s">
        <v>139</v>
      </c>
      <c r="B676" s="105" t="n">
        <v>1</v>
      </c>
      <c r="C676" s="106" t="n">
        <f aca="false">$N$668-$L$668+1</f>
        <v>30</v>
      </c>
      <c r="D676" s="107" t="n">
        <v>0.7989</v>
      </c>
      <c r="E676" s="108" t="n">
        <v>4</v>
      </c>
      <c r="F676" s="109" t="n">
        <f aca="false">ROUND(B676*E676,2)</f>
        <v>4</v>
      </c>
      <c r="H676" s="110" t="n">
        <v>1</v>
      </c>
      <c r="I676" s="111" t="n">
        <v>4</v>
      </c>
      <c r="J676" s="112" t="n">
        <f aca="false">ROUND(H676*I676,2)</f>
        <v>4</v>
      </c>
      <c r="L676" s="113" t="n">
        <v>1</v>
      </c>
      <c r="M676" s="114" t="n">
        <v>4</v>
      </c>
      <c r="N676" s="115" t="n">
        <f aca="false">ROUND(L676*M676,2)</f>
        <v>4</v>
      </c>
    </row>
    <row r="677" customFormat="false" ht="15" hidden="false" customHeight="false" outlineLevel="0" collapsed="false">
      <c r="A677" s="104" t="s">
        <v>140</v>
      </c>
      <c r="B677" s="105" t="n">
        <v>30</v>
      </c>
      <c r="C677" s="106" t="n">
        <f aca="false">$N$668-$L$668+1</f>
        <v>30</v>
      </c>
      <c r="D677" s="107" t="n">
        <v>0.5736</v>
      </c>
      <c r="E677" s="108" t="n">
        <v>0.01274</v>
      </c>
      <c r="F677" s="109" t="n">
        <f aca="false">ROUND(B677*E677,2)</f>
        <v>0.38</v>
      </c>
      <c r="H677" s="110" t="n">
        <v>30</v>
      </c>
      <c r="I677" s="111" t="n">
        <v>0.01274</v>
      </c>
      <c r="J677" s="112" t="n">
        <f aca="false">ROUND(H677*I677,2)</f>
        <v>0.38</v>
      </c>
      <c r="L677" s="113" t="n">
        <v>30</v>
      </c>
      <c r="M677" s="114" t="n">
        <v>0.00629</v>
      </c>
      <c r="N677" s="115" t="n">
        <f aca="false">ROUND(L677*M677,2)</f>
        <v>0.19</v>
      </c>
    </row>
    <row r="678" customFormat="false" ht="15" hidden="false" customHeight="false" outlineLevel="0" collapsed="false">
      <c r="A678" s="104" t="s">
        <v>141</v>
      </c>
      <c r="B678" s="105" t="n">
        <v>4.14</v>
      </c>
      <c r="C678" s="118"/>
      <c r="D678" s="107" t="n">
        <v>0.24729</v>
      </c>
      <c r="E678" s="108" t="n">
        <v>1</v>
      </c>
      <c r="F678" s="109" t="n">
        <f aca="false">ROUND(B678*E678,2)</f>
        <v>4.14</v>
      </c>
      <c r="H678" s="110" t="n">
        <v>8.44</v>
      </c>
      <c r="I678" s="111" t="n">
        <v>1</v>
      </c>
      <c r="J678" s="112" t="n">
        <f aca="false">ROUND(H678*I678,2)</f>
        <v>8.44</v>
      </c>
      <c r="L678" s="113" t="n">
        <v>2.78</v>
      </c>
      <c r="M678" s="114" t="n">
        <v>1</v>
      </c>
      <c r="N678" s="115" t="n">
        <f aca="false">ROUND(L678*M678,2)</f>
        <v>2.78</v>
      </c>
    </row>
    <row r="679" customFormat="false" ht="15" hidden="false" customHeight="false" outlineLevel="0" collapsed="false">
      <c r="A679" s="121" t="s">
        <v>142</v>
      </c>
      <c r="F679" s="122" t="n">
        <f aca="false">ROUND((SUM(F671:F678)-F678)*1.1+F678,2)</f>
        <v>137.03</v>
      </c>
      <c r="J679" s="123" t="n">
        <f aca="false">ROUND(SUM(J671:J678),2)</f>
        <v>196.73</v>
      </c>
      <c r="N679" s="124" t="n">
        <f aca="false">ROUND(SUM(N671:N678),2)</f>
        <v>91.58</v>
      </c>
    </row>
    <row r="680" customFormat="false" ht="15" hidden="false" customHeight="false" outlineLevel="0" collapsed="false">
      <c r="A680" s="93" t="s">
        <v>143</v>
      </c>
      <c r="B680" s="125" t="n">
        <f aca="false">IF((F675+F674+F673+F671+F672)=0,"",((F675+F674+F673+F671+F672)-$AB$673)/(F675+F674+F673+F671+F672))</f>
        <v>0.230211897019668</v>
      </c>
      <c r="D680" s="126" t="str">
        <f aca="false">IF(B680="","SIN PC",IF(B680&gt;=0.3,"APROBAR",IF(B680&gt;=0.2,"REVISAR","RECHAZAR")))</f>
        <v>REVISAR</v>
      </c>
      <c r="E680" s="126"/>
      <c r="F680" s="126"/>
      <c r="AD680" s="0" t="n">
        <f aca="false">SUM(F673:F675)-67.6728</f>
        <v>-0.00279999999999347</v>
      </c>
    </row>
    <row r="681" customFormat="false" ht="15" hidden="false" customHeight="false" outlineLevel="0" collapsed="false">
      <c r="A681" s="127" t="s">
        <v>744</v>
      </c>
      <c r="B681" s="127"/>
      <c r="C681" s="127"/>
      <c r="D681" s="127"/>
      <c r="E681" s="127"/>
      <c r="F681" s="127"/>
    </row>
    <row r="682" customFormat="false" ht="15" hidden="false" customHeight="false" outlineLevel="0" collapsed="false">
      <c r="A682" s="128" t="s">
        <v>111</v>
      </c>
      <c r="B682" s="128" t="s">
        <v>745</v>
      </c>
      <c r="D682" s="128" t="s">
        <v>746</v>
      </c>
      <c r="E682" s="128" t="s">
        <v>747</v>
      </c>
      <c r="F682" s="128" t="s">
        <v>120</v>
      </c>
    </row>
    <row r="683" customFormat="false" ht="15" hidden="false" customHeight="false" outlineLevel="0" collapsed="false">
      <c r="A683" s="129" t="s">
        <v>748</v>
      </c>
      <c r="B683" s="130" t="n">
        <v>708</v>
      </c>
      <c r="C683" s="131"/>
      <c r="D683" s="107" t="n">
        <v>0.06</v>
      </c>
      <c r="E683" s="131"/>
      <c r="F683" s="132" t="n">
        <f aca="false">ROUND(B683*D683,2)</f>
        <v>42.48</v>
      </c>
    </row>
    <row r="684" customFormat="false" ht="15" hidden="false" customHeight="false" outlineLevel="0" collapsed="false">
      <c r="A684" s="129" t="s">
        <v>749</v>
      </c>
      <c r="B684" s="131"/>
      <c r="C684" s="131"/>
      <c r="D684" s="131"/>
      <c r="E684" s="133" t="n">
        <v>0.06</v>
      </c>
      <c r="F684" s="132" t="n">
        <v>17.84</v>
      </c>
    </row>
    <row r="685" customFormat="false" ht="15" hidden="false" customHeight="false" outlineLevel="0" collapsed="false">
      <c r="A685" s="134" t="s">
        <v>750</v>
      </c>
      <c r="B685" s="131"/>
      <c r="C685" s="131"/>
      <c r="D685" s="131"/>
      <c r="E685" s="131"/>
      <c r="F685" s="135" t="n">
        <f aca="false">F683-F684</f>
        <v>24.64</v>
      </c>
    </row>
    <row r="687" customFormat="false" ht="15" hidden="false" customHeight="false" outlineLevel="0" collapsed="false">
      <c r="A687" s="89" t="s">
        <v>964</v>
      </c>
      <c r="B687" s="89"/>
      <c r="C687" s="89"/>
      <c r="D687" s="89"/>
      <c r="E687" s="89"/>
      <c r="F687" s="89"/>
      <c r="H687" s="89" t="s">
        <v>801</v>
      </c>
      <c r="I687" s="89"/>
      <c r="J687" s="89"/>
      <c r="K687" s="89"/>
      <c r="L687" s="90" t="n">
        <v>46113</v>
      </c>
      <c r="M687" s="91" t="s">
        <v>608</v>
      </c>
      <c r="N687" s="90" t="n">
        <v>46142</v>
      </c>
      <c r="R687" s="92" t="s">
        <v>110</v>
      </c>
      <c r="S687" s="92"/>
      <c r="T687" s="92"/>
      <c r="U687" s="92"/>
      <c r="V687" s="92"/>
    </row>
    <row r="688" customFormat="false" ht="15" hidden="false" customHeight="false" outlineLevel="0" collapsed="false">
      <c r="A688" s="93" t="s">
        <v>111</v>
      </c>
      <c r="B688" s="94" t="s">
        <v>112</v>
      </c>
      <c r="C688" s="95"/>
      <c r="D688" s="95"/>
      <c r="E688" s="95"/>
      <c r="F688" s="95"/>
      <c r="H688" s="96" t="s">
        <v>802</v>
      </c>
      <c r="I688" s="97"/>
      <c r="J688" s="97"/>
      <c r="L688" s="98" t="s">
        <v>803</v>
      </c>
      <c r="M688" s="99"/>
      <c r="N688" s="99"/>
      <c r="R688" s="100" t="s">
        <v>804</v>
      </c>
    </row>
    <row r="689" customFormat="false" ht="15" hidden="false" customHeight="false" outlineLevel="0" collapsed="false">
      <c r="B689" s="81" t="s">
        <v>116</v>
      </c>
      <c r="C689" s="81" t="s">
        <v>117</v>
      </c>
      <c r="D689" s="81" t="s">
        <v>118</v>
      </c>
      <c r="E689" s="81" t="s">
        <v>119</v>
      </c>
      <c r="F689" s="81" t="s">
        <v>120</v>
      </c>
      <c r="H689" s="101" t="s">
        <v>116</v>
      </c>
      <c r="I689" s="101" t="s">
        <v>119</v>
      </c>
      <c r="J689" s="101" t="s">
        <v>120</v>
      </c>
      <c r="L689" s="102" t="s">
        <v>116</v>
      </c>
      <c r="M689" s="102" t="s">
        <v>119</v>
      </c>
      <c r="N689" s="102" t="s">
        <v>120</v>
      </c>
      <c r="R689" s="103" t="s">
        <v>805</v>
      </c>
    </row>
    <row r="690" customFormat="false" ht="15" hidden="false" customHeight="false" outlineLevel="0" collapsed="false">
      <c r="A690" s="104" t="s">
        <v>122</v>
      </c>
      <c r="B690" s="105" t="n">
        <v>9.2</v>
      </c>
      <c r="C690" s="106" t="n">
        <f aca="false">$N$687-$L$687+1</f>
        <v>30</v>
      </c>
      <c r="D690" s="107" t="n">
        <v>3.4086</v>
      </c>
      <c r="E690" s="108" t="n">
        <v>3.85</v>
      </c>
      <c r="F690" s="109" t="n">
        <f aca="false">ROUND(B690*E690,2)</f>
        <v>35.42</v>
      </c>
      <c r="H690" s="110" t="n">
        <v>9.2</v>
      </c>
      <c r="I690" s="111" t="n">
        <v>3.85</v>
      </c>
      <c r="J690" s="112" t="n">
        <f aca="false">ROUND(H690*I690,2)</f>
        <v>35.42</v>
      </c>
      <c r="L690" s="113" t="n">
        <v>9.2</v>
      </c>
      <c r="M690" s="114" t="n">
        <v>3.85</v>
      </c>
      <c r="N690" s="115" t="n">
        <f aca="false">ROUND(L690*M690,2)</f>
        <v>35.42</v>
      </c>
      <c r="R690" s="116" t="s">
        <v>806</v>
      </c>
    </row>
    <row r="691" customFormat="false" ht="15" hidden="false" customHeight="false" outlineLevel="0" collapsed="false">
      <c r="A691" s="104" t="s">
        <v>124</v>
      </c>
      <c r="B691" s="105" t="n">
        <v>9.2</v>
      </c>
      <c r="C691" s="106" t="n">
        <f aca="false">$N$687-$L$687+1</f>
        <v>30</v>
      </c>
      <c r="D691" s="107" t="n">
        <v>1.09728</v>
      </c>
      <c r="E691" s="108" t="n">
        <v>1.33</v>
      </c>
      <c r="F691" s="109" t="n">
        <f aca="false">ROUND(B691*E691,2)</f>
        <v>12.24</v>
      </c>
      <c r="H691" s="110" t="n">
        <v>9.2</v>
      </c>
      <c r="I691" s="111" t="n">
        <v>1.33</v>
      </c>
      <c r="J691" s="112" t="n">
        <f aca="false">ROUND(H691*I691,2)</f>
        <v>12.24</v>
      </c>
      <c r="L691" s="113" t="n">
        <v>9.2</v>
      </c>
      <c r="M691" s="114" t="n">
        <v>1.33</v>
      </c>
      <c r="N691" s="115" t="n">
        <f aca="false">ROUND(L691*M691,2)</f>
        <v>12.24</v>
      </c>
      <c r="R691" s="117" t="s">
        <v>807</v>
      </c>
    </row>
    <row r="692" customFormat="false" ht="15" hidden="false" customHeight="false" outlineLevel="0" collapsed="false">
      <c r="A692" s="104" t="s">
        <v>615</v>
      </c>
      <c r="B692" s="105" t="n">
        <f aca="false">IF($P$692&lt;&gt;"",ROUND(AA692*(($AB$692/(1-$P$692))-47.656)/14.8091,2),IF('Resumen 2.0TD'!$D$3="OPTIMIZAR",ROUND(MAX(AA692,MIN(AA692*(($AB$692/(1-'Resumen 2.0TD'!$F$3))-47.656)/14.8091,AA692*(74.9318)/14.8091)),3),AA692))</f>
        <v>19.344</v>
      </c>
      <c r="C692" s="118"/>
      <c r="D692" s="107" t="n">
        <v>0.110306</v>
      </c>
      <c r="E692" s="108" t="n">
        <v>0.13788</v>
      </c>
      <c r="F692" s="109" t="n">
        <f aca="false">ROUND(B692*E692,2)</f>
        <v>2.67</v>
      </c>
      <c r="H692" s="110" t="n">
        <v>109.227</v>
      </c>
      <c r="I692" s="111" t="n">
        <v>0.13788</v>
      </c>
      <c r="J692" s="112" t="n">
        <f aca="false">ROUND(H692*I692,2)</f>
        <v>15.06</v>
      </c>
      <c r="L692" s="113" t="n">
        <v>24.778</v>
      </c>
      <c r="M692" s="114" t="n">
        <v>0.13788</v>
      </c>
      <c r="N692" s="115" t="n">
        <f aca="false">ROUND(L692*M692,2)</f>
        <v>3.42</v>
      </c>
      <c r="O692" s="119" t="s">
        <v>616</v>
      </c>
      <c r="P692" s="79"/>
      <c r="R692" s="117" t="s">
        <v>808</v>
      </c>
      <c r="AA692" s="0" t="n">
        <v>19.344</v>
      </c>
      <c r="AB692" s="0" t="n">
        <f aca="false">B690*D690+B691*D691+AA692*D692+AA693*D693+AA694*D694</f>
        <v>53.301622236</v>
      </c>
    </row>
    <row r="693" customFormat="false" ht="15" hidden="false" customHeight="false" outlineLevel="0" collapsed="false">
      <c r="A693" s="104" t="s">
        <v>618</v>
      </c>
      <c r="B693" s="105" t="n">
        <f aca="false">IF($P$692&lt;&gt;"",ROUND(AA693*(($AB$692/(1-$P$692))-47.656)/14.8091,2),IF('Resumen 2.0TD'!$D$3="OPTIMIZAR",ROUND(MAX(AA693,MIN(AA693*(($AB$692/(1-'Resumen 2.0TD'!$F$3))-47.656)/14.8091,AA693*(74.9318)/14.8091)),3),AA693))</f>
        <v>14.991</v>
      </c>
      <c r="C693" s="118"/>
      <c r="D693" s="107" t="n">
        <v>0.110306</v>
      </c>
      <c r="E693" s="108" t="n">
        <v>0.13788</v>
      </c>
      <c r="F693" s="109" t="n">
        <f aca="false">ROUND(B693*E693,2)</f>
        <v>2.07</v>
      </c>
      <c r="H693" s="110" t="n">
        <v>81.879</v>
      </c>
      <c r="I693" s="111" t="n">
        <v>0.13788</v>
      </c>
      <c r="J693" s="112" t="n">
        <f aca="false">ROUND(H693*I693,2)</f>
        <v>11.29</v>
      </c>
      <c r="L693" s="113" t="n">
        <v>21.157</v>
      </c>
      <c r="M693" s="114" t="n">
        <v>0.13788</v>
      </c>
      <c r="N693" s="115" t="n">
        <f aca="false">ROUND(L693*M693,2)</f>
        <v>2.92</v>
      </c>
      <c r="O693" s="120" t="s">
        <v>619</v>
      </c>
      <c r="R693" s="117" t="s">
        <v>620</v>
      </c>
      <c r="AA693" s="0" t="n">
        <v>14.991</v>
      </c>
    </row>
    <row r="694" customFormat="false" ht="15" hidden="false" customHeight="false" outlineLevel="0" collapsed="false">
      <c r="A694" s="104" t="s">
        <v>621</v>
      </c>
      <c r="B694" s="105" t="n">
        <f aca="false">IF($P$692&lt;&gt;"",ROUND(AA694*(($AB$692/(1-$P$692))-47.656)/14.8091,2),IF('Resumen 2.0TD'!$D$3="OPTIMIZAR",ROUND(MAX(AA694,MIN(AA694*(($AB$692/(1-'Resumen 2.0TD'!$F$3))-47.656)/14.8091,AA694*(74.9318)/14.8091)),3),AA694))</f>
        <v>73.071</v>
      </c>
      <c r="C694" s="118"/>
      <c r="D694" s="107" t="n">
        <v>0.110306</v>
      </c>
      <c r="E694" s="108" t="n">
        <v>0.13788</v>
      </c>
      <c r="F694" s="109" t="n">
        <f aca="false">ROUND(B694*E694,2)</f>
        <v>10.08</v>
      </c>
      <c r="H694" s="110" t="n">
        <v>173.798</v>
      </c>
      <c r="I694" s="111" t="n">
        <v>0.13788</v>
      </c>
      <c r="J694" s="112" t="n">
        <f aca="false">ROUND(H694*I694,2)</f>
        <v>23.96</v>
      </c>
      <c r="L694" s="113" t="n">
        <v>77.584</v>
      </c>
      <c r="M694" s="114" t="n">
        <v>0.13788</v>
      </c>
      <c r="N694" s="115" t="n">
        <f aca="false">ROUND(L694*M694,2)</f>
        <v>10.7</v>
      </c>
      <c r="O694" s="120" t="s">
        <v>622</v>
      </c>
      <c r="AA694" s="0" t="n">
        <v>73.071</v>
      </c>
    </row>
    <row r="695" customFormat="false" ht="15" hidden="false" customHeight="false" outlineLevel="0" collapsed="false">
      <c r="A695" s="104" t="s">
        <v>139</v>
      </c>
      <c r="B695" s="105" t="n">
        <v>1</v>
      </c>
      <c r="C695" s="106" t="n">
        <f aca="false">$N$687-$L$687+1</f>
        <v>30</v>
      </c>
      <c r="D695" s="107" t="n">
        <v>0.7989</v>
      </c>
      <c r="E695" s="108" t="n">
        <v>3</v>
      </c>
      <c r="F695" s="109" t="n">
        <f aca="false">ROUND(B695*E695,2)</f>
        <v>3</v>
      </c>
      <c r="H695" s="110" t="n">
        <v>1</v>
      </c>
      <c r="I695" s="111" t="n">
        <v>3</v>
      </c>
      <c r="J695" s="112" t="n">
        <f aca="false">ROUND(H695*I695,2)</f>
        <v>3</v>
      </c>
      <c r="L695" s="113" t="n">
        <v>1</v>
      </c>
      <c r="M695" s="114" t="n">
        <v>3</v>
      </c>
      <c r="N695" s="115" t="n">
        <f aca="false">ROUND(L695*M695,2)</f>
        <v>3</v>
      </c>
    </row>
    <row r="696" customFormat="false" ht="15" hidden="false" customHeight="false" outlineLevel="0" collapsed="false">
      <c r="A696" s="104" t="s">
        <v>140</v>
      </c>
      <c r="B696" s="105" t="n">
        <v>30</v>
      </c>
      <c r="C696" s="106" t="n">
        <f aca="false">$N$687-$L$687+1</f>
        <v>30</v>
      </c>
      <c r="D696" s="107" t="n">
        <v>0.5736</v>
      </c>
      <c r="E696" s="108" t="n">
        <v>0.01274</v>
      </c>
      <c r="F696" s="109" t="n">
        <f aca="false">ROUND(B696*E696,2)</f>
        <v>0.38</v>
      </c>
      <c r="H696" s="110" t="n">
        <v>30</v>
      </c>
      <c r="I696" s="111" t="n">
        <v>0.01274</v>
      </c>
      <c r="J696" s="112" t="n">
        <f aca="false">ROUND(H696*I696,2)</f>
        <v>0.38</v>
      </c>
      <c r="L696" s="113" t="n">
        <v>30</v>
      </c>
      <c r="M696" s="114" t="n">
        <v>0.00629</v>
      </c>
      <c r="N696" s="115" t="n">
        <f aca="false">ROUND(L696*M696,2)</f>
        <v>0.19</v>
      </c>
    </row>
    <row r="697" customFormat="false" ht="15" hidden="false" customHeight="false" outlineLevel="0" collapsed="false">
      <c r="A697" s="104" t="s">
        <v>141</v>
      </c>
      <c r="B697" s="105" t="n">
        <v>2.45</v>
      </c>
      <c r="C697" s="118"/>
      <c r="D697" s="107" t="n">
        <v>0.24729</v>
      </c>
      <c r="E697" s="108" t="n">
        <v>1</v>
      </c>
      <c r="F697" s="109" t="n">
        <f aca="false">ROUND(B697*E697,2)</f>
        <v>2.45</v>
      </c>
      <c r="H697" s="110" t="n">
        <v>4.04</v>
      </c>
      <c r="I697" s="111" t="n">
        <v>1</v>
      </c>
      <c r="J697" s="112" t="n">
        <f aca="false">ROUND(H697*I697,2)</f>
        <v>4.04</v>
      </c>
      <c r="L697" s="113" t="n">
        <v>2.45</v>
      </c>
      <c r="M697" s="114" t="n">
        <v>1</v>
      </c>
      <c r="N697" s="115" t="n">
        <f aca="false">ROUND(L697*M697,2)</f>
        <v>2.45</v>
      </c>
    </row>
    <row r="698" customFormat="false" ht="15" hidden="false" customHeight="false" outlineLevel="0" collapsed="false">
      <c r="A698" s="121" t="s">
        <v>142</v>
      </c>
      <c r="F698" s="122" t="n">
        <f aca="false">ROUND((SUM(F690:F697)-F697)*1.1+F697,2)</f>
        <v>74.9</v>
      </c>
      <c r="J698" s="123" t="n">
        <f aca="false">ROUND(SUM(J690:J697),2)</f>
        <v>105.39</v>
      </c>
      <c r="N698" s="124" t="n">
        <f aca="false">ROUND(SUM(N690:N697),2)</f>
        <v>70.34</v>
      </c>
    </row>
    <row r="699" customFormat="false" ht="15" hidden="false" customHeight="false" outlineLevel="0" collapsed="false">
      <c r="A699" s="93" t="s">
        <v>143</v>
      </c>
      <c r="B699" s="125" t="n">
        <f aca="false">IF((F694+F693+F692+F690+F691)=0,"",((F694+F693+F692+F690+F691)-$AB$692)/(F694+F693+F692+F690+F691))</f>
        <v>0.14690105256082</v>
      </c>
      <c r="D699" s="126" t="str">
        <f aca="false">IF(B699="","SIN PC",IF(B699&gt;=0.3,"APROBAR",IF(B699&gt;=0.2,"REVISAR","RECHAZAR")))</f>
        <v>RECHAZAR</v>
      </c>
      <c r="E699" s="126"/>
      <c r="F699" s="126"/>
      <c r="AD699" s="0" t="n">
        <f aca="false">SUM(F692:F694)-14.8091</f>
        <v>0.0108999999999995</v>
      </c>
    </row>
    <row r="700" customFormat="false" ht="15" hidden="false" customHeight="false" outlineLevel="0" collapsed="false">
      <c r="A700" s="127" t="s">
        <v>744</v>
      </c>
      <c r="B700" s="127"/>
      <c r="C700" s="127"/>
      <c r="D700" s="127"/>
      <c r="E700" s="127"/>
      <c r="F700" s="127"/>
    </row>
    <row r="701" customFormat="false" ht="15" hidden="false" customHeight="false" outlineLevel="0" collapsed="false">
      <c r="A701" s="128" t="s">
        <v>111</v>
      </c>
      <c r="B701" s="128" t="s">
        <v>745</v>
      </c>
      <c r="D701" s="128" t="s">
        <v>746</v>
      </c>
      <c r="E701" s="128" t="s">
        <v>747</v>
      </c>
      <c r="F701" s="128" t="s">
        <v>120</v>
      </c>
    </row>
    <row r="702" customFormat="false" ht="15" hidden="false" customHeight="false" outlineLevel="0" collapsed="false">
      <c r="A702" s="129" t="s">
        <v>748</v>
      </c>
      <c r="B702" s="130" t="n">
        <v>554</v>
      </c>
      <c r="C702" s="131"/>
      <c r="D702" s="107" t="n">
        <v>0.06</v>
      </c>
      <c r="E702" s="131"/>
      <c r="F702" s="132" t="n">
        <f aca="false">ROUND(B702*D702,2)</f>
        <v>33.24</v>
      </c>
    </row>
    <row r="703" customFormat="false" ht="15" hidden="false" customHeight="false" outlineLevel="0" collapsed="false">
      <c r="A703" s="129" t="s">
        <v>749</v>
      </c>
      <c r="B703" s="131"/>
      <c r="C703" s="131"/>
      <c r="D703" s="131"/>
      <c r="E703" s="133" t="n">
        <v>0.06</v>
      </c>
      <c r="F703" s="132" t="n">
        <v>14.82</v>
      </c>
    </row>
    <row r="704" customFormat="false" ht="15" hidden="false" customHeight="false" outlineLevel="0" collapsed="false">
      <c r="A704" s="134" t="s">
        <v>750</v>
      </c>
      <c r="B704" s="131"/>
      <c r="C704" s="131"/>
      <c r="D704" s="131"/>
      <c r="E704" s="131"/>
      <c r="F704" s="135" t="n">
        <f aca="false">F702-F703</f>
        <v>18.42</v>
      </c>
    </row>
    <row r="706" customFormat="false" ht="15" hidden="false" customHeight="false" outlineLevel="0" collapsed="false">
      <c r="A706" s="89" t="s">
        <v>965</v>
      </c>
      <c r="B706" s="89"/>
      <c r="C706" s="89"/>
      <c r="D706" s="89"/>
      <c r="E706" s="89"/>
      <c r="F706" s="89"/>
      <c r="H706" s="89" t="s">
        <v>966</v>
      </c>
      <c r="I706" s="89"/>
      <c r="J706" s="89"/>
      <c r="K706" s="89"/>
      <c r="L706" s="90" t="n">
        <v>46113</v>
      </c>
      <c r="M706" s="91" t="s">
        <v>608</v>
      </c>
      <c r="N706" s="90" t="n">
        <v>46142</v>
      </c>
      <c r="R706" s="92" t="s">
        <v>110</v>
      </c>
      <c r="S706" s="92"/>
      <c r="T706" s="92"/>
      <c r="U706" s="92"/>
      <c r="V706" s="92"/>
    </row>
    <row r="707" customFormat="false" ht="15" hidden="false" customHeight="false" outlineLevel="0" collapsed="false">
      <c r="A707" s="93" t="s">
        <v>111</v>
      </c>
      <c r="B707" s="94" t="s">
        <v>112</v>
      </c>
      <c r="C707" s="95"/>
      <c r="D707" s="95"/>
      <c r="E707" s="95"/>
      <c r="F707" s="95"/>
      <c r="H707" s="96" t="s">
        <v>967</v>
      </c>
      <c r="I707" s="97"/>
      <c r="J707" s="97"/>
      <c r="L707" s="98" t="s">
        <v>968</v>
      </c>
      <c r="M707" s="99"/>
      <c r="N707" s="99"/>
      <c r="R707" s="100" t="s">
        <v>969</v>
      </c>
    </row>
    <row r="708" customFormat="false" ht="15" hidden="false" customHeight="false" outlineLevel="0" collapsed="false">
      <c r="B708" s="81" t="s">
        <v>116</v>
      </c>
      <c r="C708" s="81" t="s">
        <v>117</v>
      </c>
      <c r="D708" s="81" t="s">
        <v>118</v>
      </c>
      <c r="E708" s="81" t="s">
        <v>119</v>
      </c>
      <c r="F708" s="81" t="s">
        <v>120</v>
      </c>
      <c r="H708" s="101" t="s">
        <v>116</v>
      </c>
      <c r="I708" s="101" t="s">
        <v>119</v>
      </c>
      <c r="J708" s="101" t="s">
        <v>120</v>
      </c>
      <c r="L708" s="102" t="s">
        <v>116</v>
      </c>
      <c r="M708" s="102" t="s">
        <v>119</v>
      </c>
      <c r="N708" s="102" t="s">
        <v>120</v>
      </c>
      <c r="R708" s="103" t="s">
        <v>970</v>
      </c>
    </row>
    <row r="709" customFormat="false" ht="15" hidden="false" customHeight="false" outlineLevel="0" collapsed="false">
      <c r="A709" s="104" t="s">
        <v>122</v>
      </c>
      <c r="B709" s="105" t="n">
        <v>9.2</v>
      </c>
      <c r="C709" s="106" t="n">
        <f aca="false">$N$706-$L$706+1</f>
        <v>30</v>
      </c>
      <c r="D709" s="107" t="n">
        <v>3.4086</v>
      </c>
      <c r="E709" s="108" t="n">
        <v>3.85</v>
      </c>
      <c r="F709" s="109" t="n">
        <f aca="false">ROUND(B709*E709,2)</f>
        <v>35.42</v>
      </c>
      <c r="H709" s="110" t="n">
        <v>9.2</v>
      </c>
      <c r="I709" s="111" t="n">
        <v>3.85</v>
      </c>
      <c r="J709" s="112" t="n">
        <f aca="false">ROUND(H709*I709,2)</f>
        <v>35.42</v>
      </c>
      <c r="L709" s="113" t="n">
        <v>9.2</v>
      </c>
      <c r="M709" s="114" t="n">
        <v>3.85</v>
      </c>
      <c r="N709" s="115" t="n">
        <f aca="false">ROUND(L709*M709,2)</f>
        <v>35.42</v>
      </c>
      <c r="R709" s="116" t="s">
        <v>971</v>
      </c>
    </row>
    <row r="710" customFormat="false" ht="15" hidden="false" customHeight="false" outlineLevel="0" collapsed="false">
      <c r="A710" s="104" t="s">
        <v>124</v>
      </c>
      <c r="B710" s="105" t="n">
        <v>9.2</v>
      </c>
      <c r="C710" s="106" t="n">
        <f aca="false">$N$706-$L$706+1</f>
        <v>30</v>
      </c>
      <c r="D710" s="107" t="n">
        <v>1.09728</v>
      </c>
      <c r="E710" s="108" t="n">
        <v>1.33</v>
      </c>
      <c r="F710" s="109" t="n">
        <f aca="false">ROUND(B710*E710,2)</f>
        <v>12.24</v>
      </c>
      <c r="H710" s="110" t="n">
        <v>9.2</v>
      </c>
      <c r="I710" s="111" t="n">
        <v>1.33</v>
      </c>
      <c r="J710" s="112" t="n">
        <f aca="false">ROUND(H710*I710,2)</f>
        <v>12.24</v>
      </c>
      <c r="L710" s="113" t="n">
        <v>9.2</v>
      </c>
      <c r="M710" s="114" t="n">
        <v>1.33</v>
      </c>
      <c r="N710" s="115" t="n">
        <f aca="false">ROUND(L710*M710,2)</f>
        <v>12.24</v>
      </c>
      <c r="R710" s="117" t="s">
        <v>972</v>
      </c>
    </row>
    <row r="711" customFormat="false" ht="15" hidden="false" customHeight="false" outlineLevel="0" collapsed="false">
      <c r="A711" s="104" t="s">
        <v>615</v>
      </c>
      <c r="B711" s="105" t="n">
        <f aca="false">IF($P$711&lt;&gt;"",ROUND(AA711*(($AB$711/(1-$P$711))-47.656)/97.1007,2),IF('Resumen 2.0TD'!$D$3="OPTIMIZAR",ROUND(MAX(AA711,MIN(AA711*(($AB$711/(1-'Resumen 2.0TD'!$F$3))-47.656)/97.1007,AA711*(359.1218)/97.1007)),3),AA711))</f>
        <v>96.074</v>
      </c>
      <c r="C711" s="118"/>
      <c r="D711" s="107" t="n">
        <v>0.110306</v>
      </c>
      <c r="E711" s="108" t="n">
        <v>0.13788</v>
      </c>
      <c r="F711" s="109" t="n">
        <f aca="false">ROUND(B711*E711,2)</f>
        <v>13.25</v>
      </c>
      <c r="H711" s="110" t="n">
        <v>389.07</v>
      </c>
      <c r="I711" s="111" t="n">
        <v>0.13788</v>
      </c>
      <c r="J711" s="112" t="n">
        <f aca="false">ROUND(H711*I711,2)</f>
        <v>53.64</v>
      </c>
      <c r="L711" s="113" t="n">
        <v>128.752</v>
      </c>
      <c r="M711" s="114" t="n">
        <v>0.13788</v>
      </c>
      <c r="N711" s="115" t="n">
        <f aca="false">ROUND(L711*M711,2)</f>
        <v>17.75</v>
      </c>
      <c r="O711" s="119" t="s">
        <v>616</v>
      </c>
      <c r="P711" s="79"/>
      <c r="R711" s="117" t="s">
        <v>973</v>
      </c>
      <c r="AA711" s="0" t="n">
        <v>96.074</v>
      </c>
      <c r="AB711" s="0" t="n">
        <f aca="false">B709*D709+B710*D710+AA711*D711+AA712*D712+AA713*D713</f>
        <v>119.136103746</v>
      </c>
    </row>
    <row r="712" customFormat="false" ht="15" hidden="false" customHeight="false" outlineLevel="0" collapsed="false">
      <c r="A712" s="104" t="s">
        <v>618</v>
      </c>
      <c r="B712" s="105" t="n">
        <f aca="false">IF($P$711&lt;&gt;"",ROUND(AA712*(($AB$711/(1-$P$711))-47.656)/97.1007,2),IF('Resumen 2.0TD'!$D$3="OPTIMIZAR",ROUND(MAX(AA712,MIN(AA712*(($AB$711/(1-'Resumen 2.0TD'!$F$3))-47.656)/97.1007,AA712*(359.1218)/97.1007)),3),AA712))</f>
        <v>128.519</v>
      </c>
      <c r="C712" s="118"/>
      <c r="D712" s="107" t="n">
        <v>0.110306</v>
      </c>
      <c r="E712" s="108" t="n">
        <v>0.13788</v>
      </c>
      <c r="F712" s="109" t="n">
        <f aca="false">ROUND(B712*E712,2)</f>
        <v>17.72</v>
      </c>
      <c r="H712" s="110" t="n">
        <v>395.085</v>
      </c>
      <c r="I712" s="111" t="n">
        <v>0.13788</v>
      </c>
      <c r="J712" s="112" t="n">
        <f aca="false">ROUND(H712*I712,2)</f>
        <v>54.47</v>
      </c>
      <c r="L712" s="113" t="n">
        <v>176.765</v>
      </c>
      <c r="M712" s="114" t="n">
        <v>0.13788</v>
      </c>
      <c r="N712" s="115" t="n">
        <f aca="false">ROUND(L712*M712,2)</f>
        <v>24.37</v>
      </c>
      <c r="O712" s="120" t="s">
        <v>619</v>
      </c>
      <c r="R712" s="117" t="s">
        <v>620</v>
      </c>
      <c r="AA712" s="0" t="n">
        <v>128.519</v>
      </c>
    </row>
    <row r="713" customFormat="false" ht="15" hidden="false" customHeight="false" outlineLevel="0" collapsed="false">
      <c r="A713" s="104" t="s">
        <v>621</v>
      </c>
      <c r="B713" s="105" t="n">
        <f aca="false">IF($P$711&lt;&gt;"",ROUND(AA713*(($AB$711/(1-$P$711))-47.656)/97.1007,2),IF('Resumen 2.0TD'!$D$3="OPTIMIZAR",ROUND(MAX(AA713,MIN(AA713*(($AB$711/(1-'Resumen 2.0TD'!$F$3))-47.656)/97.1007,AA713*(359.1218)/97.1007)),3),AA713))</f>
        <v>479.648</v>
      </c>
      <c r="C713" s="118"/>
      <c r="D713" s="107" t="n">
        <v>0.110306</v>
      </c>
      <c r="E713" s="108" t="n">
        <v>0.13788</v>
      </c>
      <c r="F713" s="109" t="n">
        <f aca="false">ROUND(B713*E713,2)</f>
        <v>66.13</v>
      </c>
      <c r="H713" s="110" t="n">
        <v>1229.2</v>
      </c>
      <c r="I713" s="111" t="n">
        <v>0.13788</v>
      </c>
      <c r="J713" s="112" t="n">
        <f aca="false">ROUND(H713*I713,2)</f>
        <v>169.48</v>
      </c>
      <c r="L713" s="113" t="n">
        <v>615.253</v>
      </c>
      <c r="M713" s="114" t="n">
        <v>0.13788</v>
      </c>
      <c r="N713" s="115" t="n">
        <f aca="false">ROUND(L713*M713,2)</f>
        <v>84.83</v>
      </c>
      <c r="O713" s="120" t="s">
        <v>622</v>
      </c>
      <c r="AA713" s="0" t="n">
        <v>479.648</v>
      </c>
    </row>
    <row r="714" customFormat="false" ht="15" hidden="false" customHeight="false" outlineLevel="0" collapsed="false">
      <c r="A714" s="104" t="s">
        <v>139</v>
      </c>
      <c r="B714" s="105" t="n">
        <v>1</v>
      </c>
      <c r="C714" s="106" t="n">
        <f aca="false">$N$706-$L$706+1</f>
        <v>30</v>
      </c>
      <c r="D714" s="107" t="n">
        <v>0.7989</v>
      </c>
      <c r="E714" s="108" t="n">
        <v>3</v>
      </c>
      <c r="F714" s="109" t="n">
        <f aca="false">ROUND(B714*E714,2)</f>
        <v>3</v>
      </c>
      <c r="H714" s="110" t="n">
        <v>1</v>
      </c>
      <c r="I714" s="111" t="n">
        <v>3</v>
      </c>
      <c r="J714" s="112" t="n">
        <f aca="false">ROUND(H714*I714,2)</f>
        <v>3</v>
      </c>
      <c r="L714" s="113" t="n">
        <v>1</v>
      </c>
      <c r="M714" s="114" t="n">
        <v>3</v>
      </c>
      <c r="N714" s="115" t="n">
        <f aca="false">ROUND(L714*M714,2)</f>
        <v>3</v>
      </c>
    </row>
    <row r="715" customFormat="false" ht="15" hidden="false" customHeight="false" outlineLevel="0" collapsed="false">
      <c r="A715" s="104" t="s">
        <v>140</v>
      </c>
      <c r="B715" s="105" t="n">
        <v>30</v>
      </c>
      <c r="C715" s="106" t="n">
        <f aca="false">$N$706-$L$706+1</f>
        <v>30</v>
      </c>
      <c r="D715" s="107" t="n">
        <v>0.5736</v>
      </c>
      <c r="E715" s="108" t="n">
        <v>0.01274</v>
      </c>
      <c r="F715" s="109" t="n">
        <f aca="false">ROUND(B715*E715,2)</f>
        <v>0.38</v>
      </c>
      <c r="H715" s="110" t="n">
        <v>30</v>
      </c>
      <c r="I715" s="111" t="n">
        <v>0.01274</v>
      </c>
      <c r="J715" s="112" t="n">
        <f aca="false">ROUND(H715*I715,2)</f>
        <v>0.38</v>
      </c>
      <c r="L715" s="113" t="n">
        <v>30</v>
      </c>
      <c r="M715" s="114" t="n">
        <v>0.00629</v>
      </c>
      <c r="N715" s="115" t="n">
        <f aca="false">ROUND(L715*M715,2)</f>
        <v>0.19</v>
      </c>
    </row>
    <row r="716" customFormat="false" ht="15" hidden="false" customHeight="false" outlineLevel="0" collapsed="false">
      <c r="A716" s="104" t="s">
        <v>141</v>
      </c>
      <c r="B716" s="105" t="n">
        <v>6.36</v>
      </c>
      <c r="C716" s="118"/>
      <c r="D716" s="107" t="n">
        <v>0.24729</v>
      </c>
      <c r="E716" s="108" t="n">
        <v>1</v>
      </c>
      <c r="F716" s="109" t="n">
        <f aca="false">ROUND(B716*E716,2)</f>
        <v>6.36</v>
      </c>
      <c r="H716" s="110" t="n">
        <v>16.33</v>
      </c>
      <c r="I716" s="111" t="n">
        <v>1</v>
      </c>
      <c r="J716" s="112" t="n">
        <f aca="false">ROUND(H716*I716,2)</f>
        <v>16.33</v>
      </c>
      <c r="L716" s="113" t="n">
        <v>8.1</v>
      </c>
      <c r="M716" s="114" t="n">
        <v>1</v>
      </c>
      <c r="N716" s="115" t="n">
        <f aca="false">ROUND(L716*M716,2)</f>
        <v>8.1</v>
      </c>
    </row>
    <row r="717" customFormat="false" ht="15" hidden="false" customHeight="false" outlineLevel="0" collapsed="false">
      <c r="A717" s="121" t="s">
        <v>142</v>
      </c>
      <c r="F717" s="122" t="n">
        <f aca="false">ROUND((SUM(F709:F716)-F716)*1.1+F716,2)</f>
        <v>169.31</v>
      </c>
      <c r="J717" s="123" t="n">
        <f aca="false">ROUND(SUM(J709:J716),2)</f>
        <v>344.96</v>
      </c>
      <c r="N717" s="124" t="n">
        <f aca="false">ROUND(SUM(N709:N716),2)</f>
        <v>185.9</v>
      </c>
    </row>
    <row r="718" customFormat="false" ht="15" hidden="false" customHeight="false" outlineLevel="0" collapsed="false">
      <c r="A718" s="93" t="s">
        <v>143</v>
      </c>
      <c r="B718" s="125" t="n">
        <f aca="false">IF((F713+F712+F711+F709+F710)=0,"",((F713+F712+F711+F709+F710)-$AB$711)/(F713+F712+F711+F709+F710))</f>
        <v>0.177009507142857</v>
      </c>
      <c r="D718" s="126" t="str">
        <f aca="false">IF(B718="","SIN PC",IF(B718&gt;=0.3,"APROBAR",IF(B718&gt;=0.2,"REVISAR","RECHAZAR")))</f>
        <v>RECHAZAR</v>
      </c>
      <c r="E718" s="126"/>
      <c r="F718" s="126"/>
      <c r="AD718" s="0" t="n">
        <f aca="false">SUM(F711:F713)-97.1007</f>
        <v>-0.000700000000009027</v>
      </c>
    </row>
    <row r="719" customFormat="false" ht="15" hidden="false" customHeight="false" outlineLevel="0" collapsed="false">
      <c r="A719" s="127" t="s">
        <v>744</v>
      </c>
      <c r="B719" s="127"/>
      <c r="C719" s="127"/>
      <c r="D719" s="127"/>
      <c r="E719" s="127"/>
      <c r="F719" s="127"/>
    </row>
    <row r="720" customFormat="false" ht="15" hidden="false" customHeight="false" outlineLevel="0" collapsed="false">
      <c r="A720" s="128" t="s">
        <v>111</v>
      </c>
      <c r="B720" s="128" t="s">
        <v>745</v>
      </c>
      <c r="D720" s="128" t="s">
        <v>746</v>
      </c>
      <c r="E720" s="128" t="s">
        <v>747</v>
      </c>
      <c r="F720" s="128" t="s">
        <v>120</v>
      </c>
    </row>
    <row r="721" customFormat="false" ht="15" hidden="false" customHeight="false" outlineLevel="0" collapsed="false">
      <c r="A721" s="129" t="s">
        <v>748</v>
      </c>
      <c r="B721" s="130" t="n">
        <v>340</v>
      </c>
      <c r="C721" s="131"/>
      <c r="D721" s="107" t="n">
        <v>0.06</v>
      </c>
      <c r="E721" s="131"/>
      <c r="F721" s="132" t="n">
        <f aca="false">ROUND(B721*D721,2)</f>
        <v>20.4</v>
      </c>
    </row>
    <row r="722" customFormat="false" ht="15" hidden="false" customHeight="false" outlineLevel="0" collapsed="false">
      <c r="A722" s="129" t="s">
        <v>749</v>
      </c>
      <c r="B722" s="131"/>
      <c r="C722" s="131"/>
      <c r="D722" s="131"/>
      <c r="E722" s="133" t="n">
        <v>0.06</v>
      </c>
      <c r="F722" s="132" t="n">
        <v>20.53</v>
      </c>
    </row>
    <row r="723" customFormat="false" ht="15" hidden="false" customHeight="false" outlineLevel="0" collapsed="false">
      <c r="A723" s="134" t="s">
        <v>750</v>
      </c>
      <c r="B723" s="131"/>
      <c r="C723" s="131"/>
      <c r="D723" s="131"/>
      <c r="E723" s="131"/>
      <c r="F723" s="135" t="n">
        <f aca="false">F721-F722</f>
        <v>-0.130000000000003</v>
      </c>
    </row>
    <row r="725" customFormat="false" ht="15" hidden="false" customHeight="false" outlineLevel="0" collapsed="false">
      <c r="A725" s="89" t="s">
        <v>974</v>
      </c>
      <c r="B725" s="89"/>
      <c r="C725" s="89"/>
      <c r="D725" s="89"/>
      <c r="E725" s="89"/>
      <c r="F725" s="89"/>
      <c r="H725" s="89" t="s">
        <v>975</v>
      </c>
      <c r="I725" s="89"/>
      <c r="J725" s="89"/>
      <c r="K725" s="89"/>
      <c r="L725" s="90" t="n">
        <v>46113</v>
      </c>
      <c r="M725" s="91" t="s">
        <v>608</v>
      </c>
      <c r="N725" s="90" t="n">
        <v>46142</v>
      </c>
      <c r="R725" s="92" t="s">
        <v>110</v>
      </c>
      <c r="S725" s="92"/>
      <c r="T725" s="92"/>
      <c r="U725" s="92"/>
      <c r="V725" s="92"/>
    </row>
    <row r="726" customFormat="false" ht="15" hidden="false" customHeight="false" outlineLevel="0" collapsed="false">
      <c r="A726" s="93" t="s">
        <v>111</v>
      </c>
      <c r="B726" s="94" t="s">
        <v>112</v>
      </c>
      <c r="C726" s="95"/>
      <c r="D726" s="95"/>
      <c r="E726" s="95"/>
      <c r="F726" s="95"/>
      <c r="H726" s="96" t="s">
        <v>976</v>
      </c>
      <c r="I726" s="97"/>
      <c r="J726" s="97"/>
      <c r="L726" s="98" t="s">
        <v>977</v>
      </c>
      <c r="M726" s="99"/>
      <c r="N726" s="99"/>
      <c r="R726" s="100" t="s">
        <v>978</v>
      </c>
    </row>
    <row r="727" customFormat="false" ht="15" hidden="false" customHeight="false" outlineLevel="0" collapsed="false">
      <c r="B727" s="81" t="s">
        <v>116</v>
      </c>
      <c r="C727" s="81" t="s">
        <v>117</v>
      </c>
      <c r="D727" s="81" t="s">
        <v>118</v>
      </c>
      <c r="E727" s="81" t="s">
        <v>119</v>
      </c>
      <c r="F727" s="81" t="s">
        <v>120</v>
      </c>
      <c r="H727" s="101" t="s">
        <v>116</v>
      </c>
      <c r="I727" s="101" t="s">
        <v>119</v>
      </c>
      <c r="J727" s="101" t="s">
        <v>120</v>
      </c>
      <c r="L727" s="102" t="s">
        <v>116</v>
      </c>
      <c r="M727" s="102" t="s">
        <v>119</v>
      </c>
      <c r="N727" s="102" t="s">
        <v>120</v>
      </c>
      <c r="R727" s="103" t="s">
        <v>979</v>
      </c>
    </row>
    <row r="728" customFormat="false" ht="15" hidden="false" customHeight="false" outlineLevel="0" collapsed="false">
      <c r="A728" s="104" t="s">
        <v>122</v>
      </c>
      <c r="B728" s="105" t="n">
        <v>13.856</v>
      </c>
      <c r="C728" s="106" t="n">
        <f aca="false">$N$725-$L$725+1</f>
        <v>30</v>
      </c>
      <c r="D728" s="107" t="n">
        <v>3.4086</v>
      </c>
      <c r="E728" s="108" t="n">
        <v>3.85</v>
      </c>
      <c r="F728" s="109" t="n">
        <f aca="false">ROUND(B728*E728,2)</f>
        <v>53.35</v>
      </c>
      <c r="H728" s="110" t="n">
        <v>13.856</v>
      </c>
      <c r="I728" s="111" t="n">
        <v>3.85</v>
      </c>
      <c r="J728" s="112" t="n">
        <f aca="false">ROUND(H728*I728,2)</f>
        <v>53.35</v>
      </c>
      <c r="L728" s="113" t="n">
        <v>13.856</v>
      </c>
      <c r="M728" s="114" t="n">
        <v>3.85</v>
      </c>
      <c r="N728" s="115" t="n">
        <f aca="false">ROUND(L728*M728,2)</f>
        <v>53.35</v>
      </c>
      <c r="R728" s="116" t="s">
        <v>980</v>
      </c>
    </row>
    <row r="729" customFormat="false" ht="15" hidden="false" customHeight="false" outlineLevel="0" collapsed="false">
      <c r="A729" s="104" t="s">
        <v>124</v>
      </c>
      <c r="B729" s="105" t="n">
        <v>13.856</v>
      </c>
      <c r="C729" s="106" t="n">
        <f aca="false">$N$725-$L$725+1</f>
        <v>30</v>
      </c>
      <c r="D729" s="107" t="n">
        <v>1.09728</v>
      </c>
      <c r="E729" s="108" t="n">
        <v>1.33</v>
      </c>
      <c r="F729" s="109" t="n">
        <f aca="false">ROUND(B729*E729,2)</f>
        <v>18.43</v>
      </c>
      <c r="H729" s="110" t="n">
        <v>13.856</v>
      </c>
      <c r="I729" s="111" t="n">
        <v>1.33</v>
      </c>
      <c r="J729" s="112" t="n">
        <f aca="false">ROUND(H729*I729,2)</f>
        <v>18.43</v>
      </c>
      <c r="L729" s="113" t="n">
        <v>13.856</v>
      </c>
      <c r="M729" s="114" t="n">
        <v>1.33</v>
      </c>
      <c r="N729" s="115" t="n">
        <f aca="false">ROUND(L729*M729,2)</f>
        <v>18.43</v>
      </c>
      <c r="R729" s="117" t="s">
        <v>981</v>
      </c>
    </row>
    <row r="730" customFormat="false" ht="15" hidden="false" customHeight="false" outlineLevel="0" collapsed="false">
      <c r="A730" s="104" t="s">
        <v>615</v>
      </c>
      <c r="B730" s="105" t="n">
        <f aca="false">IF($P$730&lt;&gt;"",ROUND(AA730*(($AB$730/(1-$P$730))-71.7741)/17.1363,2),IF('Resumen 2.0TD'!$D$3="OPTIMIZAR",ROUND(MAX(AA730,MIN(AA730*(($AB$730/(1-'Resumen 2.0TD'!$F$3))-71.7741)/17.1363,AA730*(163.6137)/17.1363)),3),AA730))</f>
        <v>31.388</v>
      </c>
      <c r="C730" s="118"/>
      <c r="D730" s="107" t="n">
        <v>0.110306</v>
      </c>
      <c r="E730" s="108" t="n">
        <v>0.13788</v>
      </c>
      <c r="F730" s="109" t="n">
        <f aca="false">ROUND(B730*E730,2)</f>
        <v>4.33</v>
      </c>
      <c r="H730" s="110" t="n">
        <v>38.267</v>
      </c>
      <c r="I730" s="111" t="n">
        <v>0.13788</v>
      </c>
      <c r="J730" s="112" t="n">
        <f aca="false">ROUND(H730*I730,2)</f>
        <v>5.28</v>
      </c>
      <c r="L730" s="113" t="n">
        <v>27.426</v>
      </c>
      <c r="M730" s="114" t="n">
        <v>0.13788</v>
      </c>
      <c r="N730" s="115" t="n">
        <f aca="false">ROUND(L730*M730,2)</f>
        <v>3.78</v>
      </c>
      <c r="O730" s="119" t="s">
        <v>616</v>
      </c>
      <c r="P730" s="79"/>
      <c r="R730" s="117" t="s">
        <v>982</v>
      </c>
      <c r="AA730" s="0" t="n">
        <v>31.388</v>
      </c>
      <c r="AB730" s="0" t="n">
        <f aca="false">B728*D728+B729*D729+AA730*D730+AA731*D731+AA732*D732</f>
        <v>76.142744184</v>
      </c>
    </row>
    <row r="731" customFormat="false" ht="15" hidden="false" customHeight="false" outlineLevel="0" collapsed="false">
      <c r="A731" s="104" t="s">
        <v>618</v>
      </c>
      <c r="B731" s="105" t="n">
        <f aca="false">IF($P$730&lt;&gt;"",ROUND(AA731*(($AB$730/(1-$P$730))-71.7741)/17.1363,2),IF('Resumen 2.0TD'!$D$3="OPTIMIZAR",ROUND(MAX(AA731,MIN(AA731*(($AB$730/(1-'Resumen 2.0TD'!$F$3))-71.7741)/17.1363,AA731*(163.6137)/17.1363)),3),AA731))</f>
        <v>16.998</v>
      </c>
      <c r="C731" s="118"/>
      <c r="D731" s="107" t="n">
        <v>0.110306</v>
      </c>
      <c r="E731" s="108" t="n">
        <v>0.13788</v>
      </c>
      <c r="F731" s="109" t="n">
        <f aca="false">ROUND(B731*E731,2)</f>
        <v>2.34</v>
      </c>
      <c r="H731" s="110" t="n">
        <v>37.738</v>
      </c>
      <c r="I731" s="111" t="n">
        <v>0.13788</v>
      </c>
      <c r="J731" s="112" t="n">
        <f aca="false">ROUND(H731*I731,2)</f>
        <v>5.2</v>
      </c>
      <c r="L731" s="113" t="n">
        <v>24.688</v>
      </c>
      <c r="M731" s="114" t="n">
        <v>0.13788</v>
      </c>
      <c r="N731" s="115" t="n">
        <f aca="false">ROUND(L731*M731,2)</f>
        <v>3.4</v>
      </c>
      <c r="O731" s="120" t="s">
        <v>619</v>
      </c>
      <c r="R731" s="117" t="s">
        <v>620</v>
      </c>
      <c r="AA731" s="0" t="n">
        <v>16.998</v>
      </c>
    </row>
    <row r="732" customFormat="false" ht="15" hidden="false" customHeight="false" outlineLevel="0" collapsed="false">
      <c r="A732" s="104" t="s">
        <v>621</v>
      </c>
      <c r="B732" s="105" t="n">
        <f aca="false">IF($P$730&lt;&gt;"",ROUND(AA732*(($AB$730/(1-$P$730))-71.7741)/17.1363,2),IF('Resumen 2.0TD'!$D$3="OPTIMIZAR",ROUND(MAX(AA732,MIN(AA732*(($AB$730/(1-'Resumen 2.0TD'!$F$3))-71.7741)/17.1363,AA732*(163.6137)/17.1363)),3),AA732))</f>
        <v>75.898</v>
      </c>
      <c r="C732" s="118"/>
      <c r="D732" s="107" t="n">
        <v>0.110306</v>
      </c>
      <c r="E732" s="108" t="n">
        <v>0.13788</v>
      </c>
      <c r="F732" s="109" t="n">
        <f aca="false">ROUND(B732*E732,2)</f>
        <v>10.46</v>
      </c>
      <c r="H732" s="110" t="n">
        <v>105.098</v>
      </c>
      <c r="I732" s="111" t="n">
        <v>0.13788</v>
      </c>
      <c r="J732" s="112" t="n">
        <f aca="false">ROUND(H732*I732,2)</f>
        <v>14.49</v>
      </c>
      <c r="L732" s="113" t="n">
        <v>88.855</v>
      </c>
      <c r="M732" s="114" t="n">
        <v>0.13788</v>
      </c>
      <c r="N732" s="115" t="n">
        <f aca="false">ROUND(L732*M732,2)</f>
        <v>12.25</v>
      </c>
      <c r="O732" s="120" t="s">
        <v>622</v>
      </c>
      <c r="AA732" s="0" t="n">
        <v>75.898</v>
      </c>
    </row>
    <row r="733" customFormat="false" ht="15" hidden="false" customHeight="false" outlineLevel="0" collapsed="false">
      <c r="A733" s="104" t="s">
        <v>139</v>
      </c>
      <c r="B733" s="105" t="n">
        <v>1</v>
      </c>
      <c r="C733" s="106" t="n">
        <f aca="false">$N$725-$L$725+1</f>
        <v>30</v>
      </c>
      <c r="D733" s="107" t="n">
        <v>1.3414</v>
      </c>
      <c r="E733" s="108" t="n">
        <v>3</v>
      </c>
      <c r="F733" s="109" t="n">
        <f aca="false">ROUND(B733*E733,2)</f>
        <v>3</v>
      </c>
      <c r="H733" s="110" t="n">
        <v>1</v>
      </c>
      <c r="I733" s="111" t="n">
        <v>3</v>
      </c>
      <c r="J733" s="112" t="n">
        <f aca="false">ROUND(H733*I733,2)</f>
        <v>3</v>
      </c>
      <c r="L733" s="113" t="n">
        <v>1</v>
      </c>
      <c r="M733" s="114" t="n">
        <v>3</v>
      </c>
      <c r="N733" s="115" t="n">
        <f aca="false">ROUND(L733*M733,2)</f>
        <v>3</v>
      </c>
    </row>
    <row r="734" customFormat="false" ht="15" hidden="false" customHeight="false" outlineLevel="0" collapsed="false">
      <c r="A734" s="104" t="s">
        <v>140</v>
      </c>
      <c r="B734" s="105" t="n">
        <v>30</v>
      </c>
      <c r="C734" s="106" t="n">
        <f aca="false">$N$725-$L$725+1</f>
        <v>30</v>
      </c>
      <c r="D734" s="107" t="n">
        <v>0.5736</v>
      </c>
      <c r="E734" s="108" t="n">
        <v>0.01274</v>
      </c>
      <c r="F734" s="109" t="n">
        <f aca="false">ROUND(B734*E734,2)</f>
        <v>0.38</v>
      </c>
      <c r="H734" s="110" t="n">
        <v>30</v>
      </c>
      <c r="I734" s="111" t="n">
        <v>0.01274</v>
      </c>
      <c r="J734" s="112" t="n">
        <f aca="false">ROUND(H734*I734,2)</f>
        <v>0.38</v>
      </c>
      <c r="L734" s="113" t="n">
        <v>30</v>
      </c>
      <c r="M734" s="114" t="n">
        <v>0.00629</v>
      </c>
      <c r="N734" s="115" t="n">
        <f aca="false">ROUND(L734*M734,2)</f>
        <v>0.19</v>
      </c>
    </row>
    <row r="735" customFormat="false" ht="15" hidden="false" customHeight="false" outlineLevel="0" collapsed="false">
      <c r="A735" s="104" t="s">
        <v>141</v>
      </c>
      <c r="B735" s="105" t="n">
        <v>3.68</v>
      </c>
      <c r="C735" s="118"/>
      <c r="D735" s="107" t="n">
        <v>0.24729</v>
      </c>
      <c r="E735" s="108" t="n">
        <v>1</v>
      </c>
      <c r="F735" s="109" t="n">
        <f aca="false">ROUND(B735*E735,2)</f>
        <v>3.68</v>
      </c>
      <c r="H735" s="110" t="n">
        <v>3.68</v>
      </c>
      <c r="I735" s="111" t="n">
        <v>1</v>
      </c>
      <c r="J735" s="112" t="n">
        <f aca="false">ROUND(H735*I735,2)</f>
        <v>3.68</v>
      </c>
      <c r="L735" s="113" t="n">
        <v>3.68</v>
      </c>
      <c r="M735" s="114" t="n">
        <v>1</v>
      </c>
      <c r="N735" s="115" t="n">
        <f aca="false">ROUND(L735*M735,2)</f>
        <v>3.68</v>
      </c>
    </row>
    <row r="736" customFormat="false" ht="15" hidden="false" customHeight="false" outlineLevel="0" collapsed="false">
      <c r="A736" s="121" t="s">
        <v>142</v>
      </c>
      <c r="F736" s="122" t="n">
        <f aca="false">ROUND((SUM(F728:F735)-F735)*1.1+F735,2)</f>
        <v>105.2</v>
      </c>
      <c r="J736" s="123" t="n">
        <f aca="false">ROUND(SUM(J728:J735),2)</f>
        <v>103.81</v>
      </c>
      <c r="N736" s="124" t="n">
        <f aca="false">ROUND(SUM(N728:N735),2)</f>
        <v>98.08</v>
      </c>
    </row>
    <row r="737" customFormat="false" ht="15" hidden="false" customHeight="false" outlineLevel="0" collapsed="false">
      <c r="A737" s="93" t="s">
        <v>143</v>
      </c>
      <c r="B737" s="125" t="n">
        <f aca="false">IF((F732+F731+F730+F728+F729)=0,"",((F732+F731+F730+F728+F729)-$AB$730)/(F732+F731+F730+F728+F729))</f>
        <v>0.143597523518164</v>
      </c>
      <c r="D737" s="126" t="str">
        <f aca="false">IF(B737="","SIN PC",IF(B737&gt;=0.3,"APROBAR",IF(B737&gt;=0.2,"REVISAR","RECHAZAR")))</f>
        <v>RECHAZAR</v>
      </c>
      <c r="E737" s="126"/>
      <c r="F737" s="126"/>
      <c r="AD737" s="0" t="n">
        <f aca="false">SUM(F730:F732)-17.1363</f>
        <v>-0.00629999999999598</v>
      </c>
    </row>
    <row r="738" customFormat="false" ht="15" hidden="false" customHeight="false" outlineLevel="0" collapsed="false">
      <c r="A738" s="127" t="s">
        <v>744</v>
      </c>
      <c r="B738" s="127"/>
      <c r="C738" s="127"/>
      <c r="D738" s="127"/>
      <c r="E738" s="127"/>
      <c r="F738" s="127"/>
    </row>
    <row r="739" customFormat="false" ht="15" hidden="false" customHeight="false" outlineLevel="0" collapsed="false">
      <c r="A739" s="128" t="s">
        <v>111</v>
      </c>
      <c r="B739" s="128" t="s">
        <v>745</v>
      </c>
      <c r="D739" s="128" t="s">
        <v>746</v>
      </c>
      <c r="E739" s="128" t="s">
        <v>747</v>
      </c>
      <c r="F739" s="128" t="s">
        <v>120</v>
      </c>
    </row>
    <row r="740" customFormat="false" ht="15" hidden="false" customHeight="false" outlineLevel="0" collapsed="false">
      <c r="A740" s="129" t="s">
        <v>748</v>
      </c>
      <c r="B740" s="130" t="n">
        <v>680</v>
      </c>
      <c r="C740" s="131"/>
      <c r="D740" s="107" t="n">
        <v>0.06</v>
      </c>
      <c r="E740" s="131"/>
      <c r="F740" s="132" t="n">
        <f aca="false">ROUND(B740*D740,2)</f>
        <v>40.8</v>
      </c>
    </row>
    <row r="741" customFormat="false" ht="15" hidden="false" customHeight="false" outlineLevel="0" collapsed="false">
      <c r="A741" s="129" t="s">
        <v>749</v>
      </c>
      <c r="B741" s="131"/>
      <c r="C741" s="131"/>
      <c r="D741" s="131"/>
      <c r="E741" s="133" t="n">
        <v>0.06</v>
      </c>
      <c r="F741" s="132" t="n">
        <v>17.13</v>
      </c>
    </row>
    <row r="742" customFormat="false" ht="15" hidden="false" customHeight="false" outlineLevel="0" collapsed="false">
      <c r="A742" s="134" t="s">
        <v>750</v>
      </c>
      <c r="B742" s="131"/>
      <c r="C742" s="131"/>
      <c r="D742" s="131"/>
      <c r="E742" s="131"/>
      <c r="F742" s="135" t="n">
        <f aca="false">F740-F741</f>
        <v>23.67</v>
      </c>
    </row>
    <row r="744" customFormat="false" ht="15" hidden="false" customHeight="false" outlineLevel="0" collapsed="false">
      <c r="A744" s="89" t="s">
        <v>983</v>
      </c>
      <c r="B744" s="89"/>
      <c r="C744" s="89"/>
      <c r="D744" s="89"/>
      <c r="E744" s="89"/>
      <c r="F744" s="89"/>
      <c r="H744" s="89" t="s">
        <v>984</v>
      </c>
      <c r="I744" s="89"/>
      <c r="J744" s="89"/>
      <c r="K744" s="89"/>
      <c r="L744" s="90" t="n">
        <v>46113</v>
      </c>
      <c r="M744" s="91" t="s">
        <v>608</v>
      </c>
      <c r="N744" s="90" t="n">
        <v>46142</v>
      </c>
      <c r="R744" s="92" t="s">
        <v>110</v>
      </c>
      <c r="S744" s="92"/>
      <c r="T744" s="92"/>
      <c r="U744" s="92"/>
      <c r="V744" s="92"/>
    </row>
    <row r="745" customFormat="false" ht="15" hidden="false" customHeight="false" outlineLevel="0" collapsed="false">
      <c r="A745" s="93" t="s">
        <v>111</v>
      </c>
      <c r="B745" s="94" t="s">
        <v>112</v>
      </c>
      <c r="C745" s="95"/>
      <c r="D745" s="95"/>
      <c r="E745" s="95"/>
      <c r="F745" s="95"/>
      <c r="H745" s="96" t="s">
        <v>985</v>
      </c>
      <c r="I745" s="97"/>
      <c r="J745" s="97"/>
      <c r="L745" s="98" t="s">
        <v>986</v>
      </c>
      <c r="M745" s="99"/>
      <c r="N745" s="99"/>
      <c r="R745" s="100" t="s">
        <v>987</v>
      </c>
    </row>
    <row r="746" customFormat="false" ht="15" hidden="false" customHeight="false" outlineLevel="0" collapsed="false">
      <c r="B746" s="81" t="s">
        <v>116</v>
      </c>
      <c r="C746" s="81" t="s">
        <v>117</v>
      </c>
      <c r="D746" s="81" t="s">
        <v>118</v>
      </c>
      <c r="E746" s="81" t="s">
        <v>119</v>
      </c>
      <c r="F746" s="81" t="s">
        <v>120</v>
      </c>
      <c r="H746" s="101" t="s">
        <v>116</v>
      </c>
      <c r="I746" s="101" t="s">
        <v>119</v>
      </c>
      <c r="J746" s="101" t="s">
        <v>120</v>
      </c>
      <c r="L746" s="102" t="s">
        <v>116</v>
      </c>
      <c r="M746" s="102" t="s">
        <v>119</v>
      </c>
      <c r="N746" s="102" t="s">
        <v>120</v>
      </c>
      <c r="R746" s="103" t="s">
        <v>988</v>
      </c>
    </row>
    <row r="747" customFormat="false" ht="15" hidden="false" customHeight="false" outlineLevel="0" collapsed="false">
      <c r="A747" s="104" t="s">
        <v>122</v>
      </c>
      <c r="B747" s="105" t="n">
        <v>5.5</v>
      </c>
      <c r="C747" s="106" t="n">
        <f aca="false">$N$744-$L$744+1</f>
        <v>30</v>
      </c>
      <c r="D747" s="107" t="n">
        <v>3.4086</v>
      </c>
      <c r="E747" s="108" t="n">
        <v>4.17</v>
      </c>
      <c r="F747" s="109" t="n">
        <f aca="false">ROUND(B747*E747,2)</f>
        <v>22.94</v>
      </c>
      <c r="H747" s="110" t="n">
        <v>5.5</v>
      </c>
      <c r="I747" s="111" t="n">
        <v>4.17</v>
      </c>
      <c r="J747" s="112" t="n">
        <f aca="false">ROUND(H747*I747,2)</f>
        <v>22.94</v>
      </c>
      <c r="L747" s="113" t="n">
        <v>5.5</v>
      </c>
      <c r="M747" s="114" t="n">
        <v>4.17</v>
      </c>
      <c r="N747" s="115" t="n">
        <f aca="false">ROUND(L747*M747,2)</f>
        <v>22.94</v>
      </c>
      <c r="R747" s="116" t="s">
        <v>989</v>
      </c>
    </row>
    <row r="748" customFormat="false" ht="15" hidden="false" customHeight="false" outlineLevel="0" collapsed="false">
      <c r="A748" s="104" t="s">
        <v>124</v>
      </c>
      <c r="B748" s="105" t="n">
        <v>5.5</v>
      </c>
      <c r="C748" s="106" t="n">
        <f aca="false">$N$744-$L$744+1</f>
        <v>30</v>
      </c>
      <c r="D748" s="107" t="n">
        <v>1.09728</v>
      </c>
      <c r="E748" s="108" t="n">
        <v>1.37</v>
      </c>
      <c r="F748" s="109" t="n">
        <f aca="false">ROUND(B748*E748,2)</f>
        <v>7.54</v>
      </c>
      <c r="H748" s="110" t="n">
        <v>5.5</v>
      </c>
      <c r="I748" s="111" t="n">
        <v>1.37</v>
      </c>
      <c r="J748" s="112" t="n">
        <f aca="false">ROUND(H748*I748,2)</f>
        <v>7.54</v>
      </c>
      <c r="L748" s="113" t="n">
        <v>5.5</v>
      </c>
      <c r="M748" s="114" t="n">
        <v>1.37</v>
      </c>
      <c r="N748" s="115" t="n">
        <f aca="false">ROUND(L748*M748,2)</f>
        <v>7.54</v>
      </c>
      <c r="R748" s="117" t="s">
        <v>990</v>
      </c>
    </row>
    <row r="749" customFormat="false" ht="15" hidden="false" customHeight="false" outlineLevel="0" collapsed="false">
      <c r="A749" s="104" t="s">
        <v>615</v>
      </c>
      <c r="B749" s="105" t="n">
        <f aca="false">IF($P$749&lt;&gt;"",ROUND(AA749*(($AB$749/(1-$P$749))-30.47)/7.5206,2),IF('Resumen 2.0TD'!$D$3="OPTIMIZAR",ROUND(MAX(AA749,MIN(AA749*(($AB$749/(1-'Resumen 2.0TD'!$F$3))-30.47)/7.5206,AA749*(32.0478)/7.5206)),3),AA749))</f>
        <v>12.756</v>
      </c>
      <c r="C749" s="118"/>
      <c r="D749" s="107" t="n">
        <v>0.110306</v>
      </c>
      <c r="E749" s="108" t="n">
        <v>0.14937</v>
      </c>
      <c r="F749" s="109" t="n">
        <f aca="false">ROUND(B749*E749,2)</f>
        <v>1.91</v>
      </c>
      <c r="H749" s="110" t="n">
        <v>43.963</v>
      </c>
      <c r="I749" s="111" t="n">
        <v>0.14937</v>
      </c>
      <c r="J749" s="112" t="n">
        <f aca="false">ROUND(H749*I749,2)</f>
        <v>6.57</v>
      </c>
      <c r="L749" s="113" t="n">
        <v>151.434</v>
      </c>
      <c r="M749" s="114" t="n">
        <v>0.14937</v>
      </c>
      <c r="N749" s="115" t="n">
        <f aca="false">ROUND(L749*M749,2)</f>
        <v>22.62</v>
      </c>
      <c r="O749" s="119" t="s">
        <v>616</v>
      </c>
      <c r="P749" s="79"/>
      <c r="R749" s="117" t="s">
        <v>991</v>
      </c>
      <c r="AA749" s="0" t="n">
        <v>12.756</v>
      </c>
      <c r="AB749" s="0" t="n">
        <f aca="false">B747*D747+B748*D748+AA749*D749+AA750*D750+AA751*D751</f>
        <v>30.336136794</v>
      </c>
    </row>
    <row r="750" customFormat="false" ht="15" hidden="false" customHeight="false" outlineLevel="0" collapsed="false">
      <c r="A750" s="104" t="s">
        <v>618</v>
      </c>
      <c r="B750" s="105" t="n">
        <f aca="false">IF($P$749&lt;&gt;"",ROUND(AA750*(($AB$749/(1-$P$749))-30.47)/7.5206,2),IF('Resumen 2.0TD'!$D$3="OPTIMIZAR",ROUND(MAX(AA750,MIN(AA750*(($AB$749/(1-'Resumen 2.0TD'!$F$3))-30.47)/7.5206,AA750*(32.0478)/7.5206)),3),AA750))</f>
        <v>7.701</v>
      </c>
      <c r="C750" s="118"/>
      <c r="D750" s="107" t="n">
        <v>0.110306</v>
      </c>
      <c r="E750" s="108" t="n">
        <v>0.14937</v>
      </c>
      <c r="F750" s="109" t="n">
        <f aca="false">ROUND(B750*E750,2)</f>
        <v>1.15</v>
      </c>
      <c r="H750" s="110" t="n">
        <v>17.986</v>
      </c>
      <c r="I750" s="111" t="n">
        <v>0.14937</v>
      </c>
      <c r="J750" s="112" t="n">
        <f aca="false">ROUND(H750*I750,2)</f>
        <v>2.69</v>
      </c>
      <c r="L750" s="113" t="n">
        <v>248.713</v>
      </c>
      <c r="M750" s="114" t="n">
        <v>0.14937</v>
      </c>
      <c r="N750" s="115" t="n">
        <f aca="false">ROUND(L750*M750,2)</f>
        <v>37.15</v>
      </c>
      <c r="O750" s="120" t="s">
        <v>619</v>
      </c>
      <c r="R750" s="117" t="s">
        <v>620</v>
      </c>
      <c r="AA750" s="0" t="n">
        <v>7.701</v>
      </c>
    </row>
    <row r="751" customFormat="false" ht="15" hidden="false" customHeight="false" outlineLevel="0" collapsed="false">
      <c r="A751" s="104" t="s">
        <v>621</v>
      </c>
      <c r="B751" s="105" t="n">
        <f aca="false">IF($P$749&lt;&gt;"",ROUND(AA751*(($AB$749/(1-$P$749))-30.47)/7.5206,2),IF('Resumen 2.0TD'!$D$3="OPTIMIZAR",ROUND(MAX(AA751,MIN(AA751*(($AB$749/(1-'Resumen 2.0TD'!$F$3))-30.47)/7.5206,AA751*(32.0478)/7.5206)),3),AA751))</f>
        <v>29.892</v>
      </c>
      <c r="C751" s="118"/>
      <c r="D751" s="107" t="n">
        <v>0.110306</v>
      </c>
      <c r="E751" s="108" t="n">
        <v>0.14937</v>
      </c>
      <c r="F751" s="109" t="n">
        <f aca="false">ROUND(B751*E751,2)</f>
        <v>4.46</v>
      </c>
      <c r="H751" s="110" t="n">
        <v>37.506</v>
      </c>
      <c r="I751" s="111" t="n">
        <v>0.14937</v>
      </c>
      <c r="J751" s="112" t="n">
        <f aca="false">ROUND(H751*I751,2)</f>
        <v>5.6</v>
      </c>
      <c r="L751" s="113" t="n">
        <v>338.836</v>
      </c>
      <c r="M751" s="114" t="n">
        <v>0.14937</v>
      </c>
      <c r="N751" s="115" t="n">
        <f aca="false">ROUND(L751*M751,2)</f>
        <v>50.61</v>
      </c>
      <c r="O751" s="120" t="s">
        <v>622</v>
      </c>
      <c r="AA751" s="0" t="n">
        <v>29.892</v>
      </c>
    </row>
    <row r="752" customFormat="false" ht="15" hidden="false" customHeight="false" outlineLevel="0" collapsed="false">
      <c r="A752" s="104" t="s">
        <v>139</v>
      </c>
      <c r="B752" s="105" t="n">
        <v>1</v>
      </c>
      <c r="C752" s="106" t="n">
        <f aca="false">$N$744-$L$744+1</f>
        <v>30</v>
      </c>
      <c r="D752" s="107" t="n">
        <v>0.7989</v>
      </c>
      <c r="E752" s="108" t="n">
        <v>4</v>
      </c>
      <c r="F752" s="109" t="n">
        <f aca="false">ROUND(B752*E752,2)</f>
        <v>4</v>
      </c>
      <c r="H752" s="110" t="n">
        <v>1</v>
      </c>
      <c r="I752" s="111" t="n">
        <v>4</v>
      </c>
      <c r="J752" s="112" t="n">
        <f aca="false">ROUND(H752*I752,2)</f>
        <v>4</v>
      </c>
      <c r="L752" s="113" t="n">
        <v>1</v>
      </c>
      <c r="M752" s="114" t="n">
        <v>4</v>
      </c>
      <c r="N752" s="115" t="n">
        <f aca="false">ROUND(L752*M752,2)</f>
        <v>4</v>
      </c>
    </row>
    <row r="753" customFormat="false" ht="15" hidden="false" customHeight="false" outlineLevel="0" collapsed="false">
      <c r="A753" s="104" t="s">
        <v>140</v>
      </c>
      <c r="B753" s="105" t="n">
        <v>30</v>
      </c>
      <c r="C753" s="106" t="n">
        <f aca="false">$N$744-$L$744+1</f>
        <v>30</v>
      </c>
      <c r="D753" s="107" t="n">
        <v>0.5736</v>
      </c>
      <c r="E753" s="108" t="n">
        <v>0.01274</v>
      </c>
      <c r="F753" s="109" t="n">
        <f aca="false">ROUND(B753*E753,2)</f>
        <v>0.38</v>
      </c>
      <c r="H753" s="110" t="n">
        <v>30</v>
      </c>
      <c r="I753" s="111" t="n">
        <v>0.01274</v>
      </c>
      <c r="J753" s="112" t="n">
        <f aca="false">ROUND(H753*I753,2)</f>
        <v>0.38</v>
      </c>
      <c r="L753" s="113" t="n">
        <v>30</v>
      </c>
      <c r="M753" s="114" t="n">
        <v>0.01274</v>
      </c>
      <c r="N753" s="115" t="n">
        <f aca="false">ROUND(L753*M753,2)</f>
        <v>0.38</v>
      </c>
    </row>
    <row r="754" customFormat="false" ht="15" hidden="false" customHeight="false" outlineLevel="0" collapsed="false">
      <c r="A754" s="104" t="s">
        <v>141</v>
      </c>
      <c r="B754" s="105" t="n">
        <v>1.57</v>
      </c>
      <c r="C754" s="118"/>
      <c r="D754" s="107" t="n">
        <v>0.24729</v>
      </c>
      <c r="E754" s="108" t="n">
        <v>1</v>
      </c>
      <c r="F754" s="109" t="n">
        <f aca="false">ROUND(B754*E754,2)</f>
        <v>1.57</v>
      </c>
      <c r="H754" s="110" t="n">
        <v>1.63</v>
      </c>
      <c r="I754" s="111" t="n">
        <v>1</v>
      </c>
      <c r="J754" s="112" t="n">
        <f aca="false">ROUND(H754*I754,2)</f>
        <v>1.63</v>
      </c>
      <c r="L754" s="113" t="n">
        <v>1.82</v>
      </c>
      <c r="M754" s="114" t="n">
        <v>1</v>
      </c>
      <c r="N754" s="115" t="n">
        <f aca="false">ROUND(L754*M754,2)</f>
        <v>1.82</v>
      </c>
    </row>
    <row r="755" customFormat="false" ht="15" hidden="false" customHeight="false" outlineLevel="0" collapsed="false">
      <c r="A755" s="121" t="s">
        <v>142</v>
      </c>
      <c r="F755" s="122" t="n">
        <f aca="false">ROUND((SUM(F747:F754)-F754)*1.1+F754,2)</f>
        <v>48.19</v>
      </c>
      <c r="J755" s="123" t="n">
        <f aca="false">ROUND(SUM(J747:J754),2)</f>
        <v>51.35</v>
      </c>
      <c r="N755" s="124" t="n">
        <f aca="false">ROUND(SUM(N747:N754),2)</f>
        <v>147.06</v>
      </c>
    </row>
    <row r="756" customFormat="false" ht="15" hidden="false" customHeight="false" outlineLevel="0" collapsed="false">
      <c r="A756" s="93" t="s">
        <v>143</v>
      </c>
      <c r="B756" s="125" t="n">
        <f aca="false">IF((F751+F750+F749+F747+F748)=0,"",((F751+F750+F749+F747+F748)-$AB$749)/(F751+F750+F749+F747+F748))</f>
        <v>0.201680610684211</v>
      </c>
      <c r="D756" s="126" t="str">
        <f aca="false">IF(B756="","SIN PC",IF(B756&gt;=0.3,"APROBAR",IF(B756&gt;=0.2,"REVISAR","RECHAZAR")))</f>
        <v>REVISAR</v>
      </c>
      <c r="E756" s="126"/>
      <c r="F756" s="126"/>
      <c r="AD756" s="0" t="n">
        <f aca="false">SUM(F749:F751)-7.5206</f>
        <v>-0.000600000000000378</v>
      </c>
    </row>
    <row r="757" customFormat="false" ht="15" hidden="false" customHeight="false" outlineLevel="0" collapsed="false">
      <c r="A757" s="127" t="s">
        <v>744</v>
      </c>
      <c r="B757" s="127"/>
      <c r="C757" s="127"/>
      <c r="D757" s="127"/>
      <c r="E757" s="127"/>
      <c r="F757" s="127"/>
    </row>
    <row r="758" customFormat="false" ht="15" hidden="false" customHeight="false" outlineLevel="0" collapsed="false">
      <c r="A758" s="128" t="s">
        <v>111</v>
      </c>
      <c r="B758" s="128" t="s">
        <v>745</v>
      </c>
      <c r="D758" s="128" t="s">
        <v>746</v>
      </c>
      <c r="E758" s="128" t="s">
        <v>747</v>
      </c>
      <c r="F758" s="128" t="s">
        <v>120</v>
      </c>
    </row>
    <row r="759" customFormat="false" ht="15" hidden="false" customHeight="false" outlineLevel="0" collapsed="false">
      <c r="A759" s="129" t="s">
        <v>748</v>
      </c>
      <c r="B759" s="130" t="n">
        <v>396</v>
      </c>
      <c r="C759" s="131"/>
      <c r="D759" s="107" t="n">
        <v>0.06</v>
      </c>
      <c r="E759" s="131"/>
      <c r="F759" s="132" t="n">
        <f aca="false">ROUND(B759*D759,2)</f>
        <v>23.76</v>
      </c>
    </row>
    <row r="760" customFormat="false" ht="15" hidden="false" customHeight="false" outlineLevel="0" collapsed="false">
      <c r="A760" s="129" t="s">
        <v>749</v>
      </c>
      <c r="B760" s="131"/>
      <c r="C760" s="131"/>
      <c r="D760" s="131"/>
      <c r="E760" s="133" t="n">
        <v>0.06</v>
      </c>
      <c r="F760" s="132" t="n">
        <v>7.52</v>
      </c>
    </row>
    <row r="761" customFormat="false" ht="15" hidden="false" customHeight="false" outlineLevel="0" collapsed="false">
      <c r="A761" s="134" t="s">
        <v>750</v>
      </c>
      <c r="B761" s="131"/>
      <c r="C761" s="131"/>
      <c r="D761" s="131"/>
      <c r="E761" s="131"/>
      <c r="F761" s="135" t="n">
        <f aca="false">F759-F760</f>
        <v>16.24</v>
      </c>
    </row>
    <row r="763" customFormat="false" ht="15" hidden="false" customHeight="false" outlineLevel="0" collapsed="false">
      <c r="A763" s="89" t="s">
        <v>992</v>
      </c>
      <c r="B763" s="89"/>
      <c r="C763" s="89"/>
      <c r="D763" s="89"/>
      <c r="E763" s="89"/>
      <c r="F763" s="89"/>
      <c r="H763" s="89" t="s">
        <v>993</v>
      </c>
      <c r="I763" s="89"/>
      <c r="J763" s="89"/>
      <c r="K763" s="89"/>
      <c r="L763" s="90" t="n">
        <v>46113</v>
      </c>
      <c r="M763" s="91" t="s">
        <v>608</v>
      </c>
      <c r="N763" s="90" t="n">
        <v>46142</v>
      </c>
      <c r="R763" s="92" t="s">
        <v>110</v>
      </c>
      <c r="S763" s="92"/>
      <c r="T763" s="92"/>
      <c r="U763" s="92"/>
      <c r="V763" s="92"/>
    </row>
    <row r="764" customFormat="false" ht="15" hidden="false" customHeight="false" outlineLevel="0" collapsed="false">
      <c r="A764" s="93" t="s">
        <v>111</v>
      </c>
      <c r="B764" s="94" t="s">
        <v>112</v>
      </c>
      <c r="C764" s="95"/>
      <c r="D764" s="95"/>
      <c r="E764" s="95"/>
      <c r="F764" s="95"/>
      <c r="H764" s="96" t="s">
        <v>994</v>
      </c>
      <c r="I764" s="97"/>
      <c r="J764" s="97"/>
      <c r="L764" s="98" t="s">
        <v>995</v>
      </c>
      <c r="M764" s="99"/>
      <c r="N764" s="99"/>
      <c r="R764" s="100" t="s">
        <v>996</v>
      </c>
    </row>
    <row r="765" customFormat="false" ht="15" hidden="false" customHeight="false" outlineLevel="0" collapsed="false">
      <c r="B765" s="81" t="s">
        <v>116</v>
      </c>
      <c r="C765" s="81" t="s">
        <v>117</v>
      </c>
      <c r="D765" s="81" t="s">
        <v>118</v>
      </c>
      <c r="E765" s="81" t="s">
        <v>119</v>
      </c>
      <c r="F765" s="81" t="s">
        <v>120</v>
      </c>
      <c r="H765" s="101" t="s">
        <v>116</v>
      </c>
      <c r="I765" s="101" t="s">
        <v>119</v>
      </c>
      <c r="J765" s="101" t="s">
        <v>120</v>
      </c>
      <c r="L765" s="102" t="s">
        <v>116</v>
      </c>
      <c r="M765" s="102" t="s">
        <v>119</v>
      </c>
      <c r="N765" s="102" t="s">
        <v>120</v>
      </c>
      <c r="R765" s="103" t="s">
        <v>997</v>
      </c>
    </row>
    <row r="766" customFormat="false" ht="15" hidden="false" customHeight="false" outlineLevel="0" collapsed="false">
      <c r="A766" s="104" t="s">
        <v>122</v>
      </c>
      <c r="B766" s="105" t="n">
        <v>5</v>
      </c>
      <c r="C766" s="106" t="n">
        <f aca="false">$N$763-$L$763+1</f>
        <v>30</v>
      </c>
      <c r="D766" s="107" t="n">
        <v>3.4086</v>
      </c>
      <c r="E766" s="108" t="n">
        <v>3.85</v>
      </c>
      <c r="F766" s="109" t="n">
        <f aca="false">ROUND(B766*E766,2)</f>
        <v>19.25</v>
      </c>
      <c r="H766" s="110" t="n">
        <v>5</v>
      </c>
      <c r="I766" s="111" t="n">
        <v>3.85</v>
      </c>
      <c r="J766" s="112" t="n">
        <f aca="false">ROUND(H766*I766,2)</f>
        <v>19.25</v>
      </c>
      <c r="L766" s="113" t="n">
        <v>5</v>
      </c>
      <c r="M766" s="114" t="n">
        <v>3.85</v>
      </c>
      <c r="N766" s="115" t="n">
        <f aca="false">ROUND(L766*M766,2)</f>
        <v>19.25</v>
      </c>
      <c r="R766" s="116" t="s">
        <v>998</v>
      </c>
    </row>
    <row r="767" customFormat="false" ht="15" hidden="false" customHeight="false" outlineLevel="0" collapsed="false">
      <c r="A767" s="104" t="s">
        <v>124</v>
      </c>
      <c r="B767" s="105" t="n">
        <v>5</v>
      </c>
      <c r="C767" s="106" t="n">
        <f aca="false">$N$763-$L$763+1</f>
        <v>30</v>
      </c>
      <c r="D767" s="107" t="n">
        <v>1.09728</v>
      </c>
      <c r="E767" s="108" t="n">
        <v>1.33</v>
      </c>
      <c r="F767" s="109" t="n">
        <f aca="false">ROUND(B767*E767,2)</f>
        <v>6.65</v>
      </c>
      <c r="H767" s="110" t="n">
        <v>5</v>
      </c>
      <c r="I767" s="111" t="n">
        <v>1.33</v>
      </c>
      <c r="J767" s="112" t="n">
        <f aca="false">ROUND(H767*I767,2)</f>
        <v>6.65</v>
      </c>
      <c r="L767" s="113" t="n">
        <v>5</v>
      </c>
      <c r="M767" s="114" t="n">
        <v>1.33</v>
      </c>
      <c r="N767" s="115" t="n">
        <f aca="false">ROUND(L767*M767,2)</f>
        <v>6.65</v>
      </c>
      <c r="R767" s="117" t="s">
        <v>999</v>
      </c>
    </row>
    <row r="768" customFormat="false" ht="15" hidden="false" customHeight="false" outlineLevel="0" collapsed="false">
      <c r="A768" s="104" t="s">
        <v>615</v>
      </c>
      <c r="B768" s="105" t="n">
        <f aca="false">IF($P$768&lt;&gt;"",ROUND(AA768*(($AB$768/(1-$P$768))-25.9)/5.4567,2),IF('Resumen 2.0TD'!$D$3="OPTIMIZAR",ROUND(MAX(AA768,MIN(AA768*(($AB$768/(1-'Resumen 2.0TD'!$F$3))-25.9)/5.4567,AA768*(68.1878)/5.4567)),3),AA768))</f>
        <v>6.788</v>
      </c>
      <c r="C768" s="118"/>
      <c r="D768" s="107" t="n">
        <v>0.110306</v>
      </c>
      <c r="E768" s="108" t="n">
        <v>0.13788</v>
      </c>
      <c r="F768" s="109" t="n">
        <f aca="false">ROUND(B768*E768,2)</f>
        <v>0.94</v>
      </c>
      <c r="H768" s="110" t="n">
        <v>46.764</v>
      </c>
      <c r="I768" s="111" t="n">
        <v>0.13788</v>
      </c>
      <c r="J768" s="112" t="n">
        <f aca="false">ROUND(H768*I768,2)</f>
        <v>6.45</v>
      </c>
      <c r="L768" s="113" t="n">
        <v>65.143</v>
      </c>
      <c r="M768" s="114" t="n">
        <v>0.13788</v>
      </c>
      <c r="N768" s="115" t="n">
        <f aca="false">ROUND(L768*M768,2)</f>
        <v>8.98</v>
      </c>
      <c r="O768" s="119" t="s">
        <v>616</v>
      </c>
      <c r="P768" s="79"/>
      <c r="R768" s="117" t="s">
        <v>1000</v>
      </c>
      <c r="AA768" s="0" t="n">
        <v>6.788</v>
      </c>
      <c r="AB768" s="0" t="n">
        <f aca="false">B766*D766+B767*D767+AA768*D768+AA769*D769+AA770*D770</f>
        <v>26.894870256</v>
      </c>
    </row>
    <row r="769" customFormat="false" ht="15" hidden="false" customHeight="false" outlineLevel="0" collapsed="false">
      <c r="A769" s="104" t="s">
        <v>618</v>
      </c>
      <c r="B769" s="105" t="n">
        <f aca="false">IF($P$768&lt;&gt;"",ROUND(AA769*(($AB$768/(1-$P$768))-25.9)/5.4567,2),IF('Resumen 2.0TD'!$D$3="OPTIMIZAR",ROUND(MAX(AA769,MIN(AA769*(($AB$768/(1-'Resumen 2.0TD'!$F$3))-25.9)/5.4567,AA769*(68.1878)/5.4567)),3),AA769))</f>
        <v>4.887</v>
      </c>
      <c r="C769" s="118"/>
      <c r="D769" s="107" t="n">
        <v>0.110306</v>
      </c>
      <c r="E769" s="108" t="n">
        <v>0.13788</v>
      </c>
      <c r="F769" s="109" t="n">
        <f aca="false">ROUND(B769*E769,2)</f>
        <v>0.67</v>
      </c>
      <c r="H769" s="110" t="n">
        <v>33.797</v>
      </c>
      <c r="I769" s="111" t="n">
        <v>0.13788</v>
      </c>
      <c r="J769" s="112" t="n">
        <f aca="false">ROUND(H769*I769,2)</f>
        <v>4.66</v>
      </c>
      <c r="L769" s="113" t="n">
        <v>82.196</v>
      </c>
      <c r="M769" s="114" t="n">
        <v>0.13788</v>
      </c>
      <c r="N769" s="115" t="n">
        <f aca="false">ROUND(L769*M769,2)</f>
        <v>11.33</v>
      </c>
      <c r="O769" s="120" t="s">
        <v>619</v>
      </c>
      <c r="R769" s="117" t="s">
        <v>620</v>
      </c>
      <c r="AA769" s="0" t="n">
        <v>4.887</v>
      </c>
    </row>
    <row r="770" customFormat="false" ht="15" hidden="false" customHeight="false" outlineLevel="0" collapsed="false">
      <c r="A770" s="104" t="s">
        <v>621</v>
      </c>
      <c r="B770" s="105" t="n">
        <f aca="false">IF($P$768&lt;&gt;"",ROUND(AA770*(($AB$768/(1-$P$768))-25.9)/5.4567,2),IF('Resumen 2.0TD'!$D$3="OPTIMIZAR",ROUND(MAX(AA770,MIN(AA770*(($AB$768/(1-'Resumen 2.0TD'!$F$3))-25.9)/5.4567,AA770*(68.1878)/5.4567)),3),AA770))</f>
        <v>27.901</v>
      </c>
      <c r="C770" s="118"/>
      <c r="D770" s="107" t="n">
        <v>0.110306</v>
      </c>
      <c r="E770" s="108" t="n">
        <v>0.13788</v>
      </c>
      <c r="F770" s="109" t="n">
        <f aca="false">ROUND(B770*E770,2)</f>
        <v>3.85</v>
      </c>
      <c r="H770" s="110" t="n">
        <v>49.444</v>
      </c>
      <c r="I770" s="111" t="n">
        <v>0.13788</v>
      </c>
      <c r="J770" s="112" t="n">
        <f aca="false">ROUND(H770*I770,2)</f>
        <v>6.82</v>
      </c>
      <c r="L770" s="113" t="n">
        <v>189.412</v>
      </c>
      <c r="M770" s="114" t="n">
        <v>0.13788</v>
      </c>
      <c r="N770" s="115" t="n">
        <f aca="false">ROUND(L770*M770,2)</f>
        <v>26.12</v>
      </c>
      <c r="O770" s="120" t="s">
        <v>622</v>
      </c>
      <c r="AA770" s="0" t="n">
        <v>27.901</v>
      </c>
    </row>
    <row r="771" customFormat="false" ht="15" hidden="false" customHeight="false" outlineLevel="0" collapsed="false">
      <c r="A771" s="104" t="s">
        <v>139</v>
      </c>
      <c r="B771" s="105" t="n">
        <v>1</v>
      </c>
      <c r="C771" s="106" t="n">
        <f aca="false">$N$763-$L$763+1</f>
        <v>30</v>
      </c>
      <c r="D771" s="107" t="n">
        <v>0.7989</v>
      </c>
      <c r="E771" s="108" t="n">
        <v>3</v>
      </c>
      <c r="F771" s="109" t="n">
        <f aca="false">ROUND(B771*E771,2)</f>
        <v>3</v>
      </c>
      <c r="H771" s="110" t="n">
        <v>1</v>
      </c>
      <c r="I771" s="111" t="n">
        <v>3</v>
      </c>
      <c r="J771" s="112" t="n">
        <f aca="false">ROUND(H771*I771,2)</f>
        <v>3</v>
      </c>
      <c r="L771" s="113" t="n">
        <v>1</v>
      </c>
      <c r="M771" s="114" t="n">
        <v>3</v>
      </c>
      <c r="N771" s="115" t="n">
        <f aca="false">ROUND(L771*M771,2)</f>
        <v>3</v>
      </c>
    </row>
    <row r="772" customFormat="false" ht="15" hidden="false" customHeight="false" outlineLevel="0" collapsed="false">
      <c r="A772" s="104" t="s">
        <v>140</v>
      </c>
      <c r="B772" s="105" t="n">
        <v>30</v>
      </c>
      <c r="C772" s="106" t="n">
        <f aca="false">$N$763-$L$763+1</f>
        <v>30</v>
      </c>
      <c r="D772" s="107" t="n">
        <v>0.5736</v>
      </c>
      <c r="E772" s="108" t="n">
        <v>0.01274</v>
      </c>
      <c r="F772" s="109" t="n">
        <f aca="false">ROUND(B772*E772,2)</f>
        <v>0.38</v>
      </c>
      <c r="H772" s="110" t="n">
        <v>30</v>
      </c>
      <c r="I772" s="111" t="n">
        <v>0.01274</v>
      </c>
      <c r="J772" s="112" t="n">
        <f aca="false">ROUND(H772*I772,2)</f>
        <v>0.38</v>
      </c>
      <c r="L772" s="113" t="n">
        <v>30</v>
      </c>
      <c r="M772" s="114" t="n">
        <v>0.00629</v>
      </c>
      <c r="N772" s="115" t="n">
        <f aca="false">ROUND(L772*M772,2)</f>
        <v>0.19</v>
      </c>
    </row>
    <row r="773" customFormat="false" ht="15" hidden="false" customHeight="false" outlineLevel="0" collapsed="false">
      <c r="A773" s="104" t="s">
        <v>141</v>
      </c>
      <c r="B773" s="105" t="n">
        <v>1.33</v>
      </c>
      <c r="C773" s="118"/>
      <c r="D773" s="107" t="n">
        <v>0.24729</v>
      </c>
      <c r="E773" s="108" t="n">
        <v>1</v>
      </c>
      <c r="F773" s="109" t="n">
        <f aca="false">ROUND(B773*E773,2)</f>
        <v>1.33</v>
      </c>
      <c r="H773" s="110" t="n">
        <v>1.33</v>
      </c>
      <c r="I773" s="111" t="n">
        <v>1</v>
      </c>
      <c r="J773" s="112" t="n">
        <f aca="false">ROUND(H773*I773,2)</f>
        <v>1.33</v>
      </c>
      <c r="L773" s="113" t="n">
        <v>2.9</v>
      </c>
      <c r="M773" s="114" t="n">
        <v>1</v>
      </c>
      <c r="N773" s="115" t="n">
        <f aca="false">ROUND(L773*M773,2)</f>
        <v>2.9</v>
      </c>
    </row>
    <row r="774" customFormat="false" ht="15" hidden="false" customHeight="false" outlineLevel="0" collapsed="false">
      <c r="A774" s="121" t="s">
        <v>142</v>
      </c>
      <c r="F774" s="122" t="n">
        <f aca="false">ROUND((SUM(F766:F773)-F773)*1.1+F773,2)</f>
        <v>39.54</v>
      </c>
      <c r="J774" s="123" t="n">
        <f aca="false">ROUND(SUM(J766:J773),2)</f>
        <v>48.54</v>
      </c>
      <c r="N774" s="124" t="n">
        <f aca="false">ROUND(SUM(N766:N773),2)</f>
        <v>78.42</v>
      </c>
    </row>
    <row r="775" customFormat="false" ht="15" hidden="false" customHeight="false" outlineLevel="0" collapsed="false">
      <c r="A775" s="93" t="s">
        <v>143</v>
      </c>
      <c r="B775" s="125" t="n">
        <f aca="false">IF((F770+F769+F768+F766+F767)=0,"",((F770+F769+F768+F766+F767)-$AB$768)/(F770+F769+F768+F766+F767))</f>
        <v>0.14238296377551</v>
      </c>
      <c r="D775" s="126" t="str">
        <f aca="false">IF(B775="","SIN PC",IF(B775&gt;=0.3,"APROBAR",IF(B775&gt;=0.2,"REVISAR","RECHAZAR")))</f>
        <v>RECHAZAR</v>
      </c>
      <c r="E775" s="126"/>
      <c r="F775" s="126"/>
      <c r="AD775" s="0" t="n">
        <f aca="false">SUM(F768:F770)-5.4567</f>
        <v>0.0033000000000003</v>
      </c>
    </row>
    <row r="776" customFormat="false" ht="15" hidden="false" customHeight="false" outlineLevel="0" collapsed="false">
      <c r="A776" s="127" t="s">
        <v>744</v>
      </c>
      <c r="B776" s="127"/>
      <c r="C776" s="127"/>
      <c r="D776" s="127"/>
      <c r="E776" s="127"/>
      <c r="F776" s="127"/>
    </row>
    <row r="777" customFormat="false" ht="15" hidden="false" customHeight="false" outlineLevel="0" collapsed="false">
      <c r="A777" s="128" t="s">
        <v>111</v>
      </c>
      <c r="B777" s="128" t="s">
        <v>745</v>
      </c>
      <c r="D777" s="128" t="s">
        <v>746</v>
      </c>
      <c r="E777" s="128" t="s">
        <v>747</v>
      </c>
      <c r="F777" s="128" t="s">
        <v>120</v>
      </c>
    </row>
    <row r="778" customFormat="false" ht="15" hidden="false" customHeight="false" outlineLevel="0" collapsed="false">
      <c r="A778" s="129" t="s">
        <v>748</v>
      </c>
      <c r="B778" s="130" t="n">
        <v>540</v>
      </c>
      <c r="C778" s="131"/>
      <c r="D778" s="107" t="n">
        <v>0.06</v>
      </c>
      <c r="E778" s="131"/>
      <c r="F778" s="132" t="n">
        <f aca="false">ROUND(B778*D778,2)</f>
        <v>32.4</v>
      </c>
    </row>
    <row r="779" customFormat="false" ht="15" hidden="false" customHeight="false" outlineLevel="0" collapsed="false">
      <c r="A779" s="129" t="s">
        <v>749</v>
      </c>
      <c r="B779" s="131"/>
      <c r="C779" s="131"/>
      <c r="D779" s="131"/>
      <c r="E779" s="133" t="n">
        <v>0.06</v>
      </c>
      <c r="F779" s="132" t="n">
        <v>5.46</v>
      </c>
    </row>
    <row r="780" customFormat="false" ht="15" hidden="false" customHeight="false" outlineLevel="0" collapsed="false">
      <c r="A780" s="134" t="s">
        <v>750</v>
      </c>
      <c r="B780" s="131"/>
      <c r="C780" s="131"/>
      <c r="D780" s="131"/>
      <c r="E780" s="131"/>
      <c r="F780" s="135" t="n">
        <f aca="false">F778-F779</f>
        <v>26.94</v>
      </c>
    </row>
    <row r="782" customFormat="false" ht="15" hidden="false" customHeight="false" outlineLevel="0" collapsed="false">
      <c r="A782" s="89" t="s">
        <v>1001</v>
      </c>
      <c r="B782" s="89"/>
      <c r="C782" s="89"/>
      <c r="D782" s="89"/>
      <c r="E782" s="89"/>
      <c r="F782" s="89"/>
      <c r="H782" s="89" t="s">
        <v>777</v>
      </c>
      <c r="I782" s="89"/>
      <c r="J782" s="89"/>
      <c r="K782" s="89"/>
      <c r="L782" s="90" t="n">
        <v>46113</v>
      </c>
      <c r="M782" s="91" t="s">
        <v>608</v>
      </c>
      <c r="N782" s="90" t="n">
        <v>46142</v>
      </c>
      <c r="R782" s="92" t="s">
        <v>110</v>
      </c>
      <c r="S782" s="92"/>
      <c r="T782" s="92"/>
      <c r="U782" s="92"/>
      <c r="V782" s="92"/>
    </row>
    <row r="783" customFormat="false" ht="15" hidden="false" customHeight="false" outlineLevel="0" collapsed="false">
      <c r="A783" s="93" t="s">
        <v>111</v>
      </c>
      <c r="B783" s="94" t="s">
        <v>112</v>
      </c>
      <c r="C783" s="95"/>
      <c r="D783" s="95"/>
      <c r="E783" s="95"/>
      <c r="F783" s="95"/>
      <c r="H783" s="96" t="s">
        <v>778</v>
      </c>
      <c r="I783" s="97"/>
      <c r="J783" s="97"/>
      <c r="L783" s="98" t="s">
        <v>779</v>
      </c>
      <c r="M783" s="99"/>
      <c r="N783" s="99"/>
      <c r="R783" s="100" t="s">
        <v>780</v>
      </c>
    </row>
    <row r="784" customFormat="false" ht="15" hidden="false" customHeight="false" outlineLevel="0" collapsed="false">
      <c r="B784" s="81" t="s">
        <v>116</v>
      </c>
      <c r="C784" s="81" t="s">
        <v>117</v>
      </c>
      <c r="D784" s="81" t="s">
        <v>118</v>
      </c>
      <c r="E784" s="81" t="s">
        <v>119</v>
      </c>
      <c r="F784" s="81" t="s">
        <v>120</v>
      </c>
      <c r="H784" s="101" t="s">
        <v>116</v>
      </c>
      <c r="I784" s="101" t="s">
        <v>119</v>
      </c>
      <c r="J784" s="101" t="s">
        <v>120</v>
      </c>
      <c r="L784" s="102" t="s">
        <v>116</v>
      </c>
      <c r="M784" s="102" t="s">
        <v>119</v>
      </c>
      <c r="N784" s="102" t="s">
        <v>120</v>
      </c>
      <c r="R784" s="103" t="s">
        <v>781</v>
      </c>
    </row>
    <row r="785" customFormat="false" ht="15" hidden="false" customHeight="false" outlineLevel="0" collapsed="false">
      <c r="A785" s="104" t="s">
        <v>122</v>
      </c>
      <c r="B785" s="105" t="n">
        <v>9.2</v>
      </c>
      <c r="C785" s="106" t="n">
        <f aca="false">$N$782-$L$782+1</f>
        <v>30</v>
      </c>
      <c r="D785" s="107" t="n">
        <v>3.4086</v>
      </c>
      <c r="E785" s="108" t="n">
        <v>4.17</v>
      </c>
      <c r="F785" s="109" t="n">
        <f aca="false">ROUND(B785*E785,2)</f>
        <v>38.36</v>
      </c>
      <c r="H785" s="110" t="n">
        <v>9.2</v>
      </c>
      <c r="I785" s="111" t="n">
        <v>4.17</v>
      </c>
      <c r="J785" s="112" t="n">
        <f aca="false">ROUND(H785*I785,2)</f>
        <v>38.36</v>
      </c>
      <c r="L785" s="113" t="n">
        <v>9.2</v>
      </c>
      <c r="M785" s="114" t="n">
        <v>4.17</v>
      </c>
      <c r="N785" s="115" t="n">
        <f aca="false">ROUND(L785*M785,2)</f>
        <v>38.36</v>
      </c>
      <c r="R785" s="116" t="s">
        <v>782</v>
      </c>
    </row>
    <row r="786" customFormat="false" ht="15" hidden="false" customHeight="false" outlineLevel="0" collapsed="false">
      <c r="A786" s="104" t="s">
        <v>124</v>
      </c>
      <c r="B786" s="105" t="n">
        <v>9.2</v>
      </c>
      <c r="C786" s="106" t="n">
        <f aca="false">$N$782-$L$782+1</f>
        <v>30</v>
      </c>
      <c r="D786" s="107" t="n">
        <v>1.09728</v>
      </c>
      <c r="E786" s="108" t="n">
        <v>1.37</v>
      </c>
      <c r="F786" s="109" t="n">
        <f aca="false">ROUND(B786*E786,2)</f>
        <v>12.6</v>
      </c>
      <c r="H786" s="110" t="n">
        <v>9.2</v>
      </c>
      <c r="I786" s="111" t="n">
        <v>1.37</v>
      </c>
      <c r="J786" s="112" t="n">
        <f aca="false">ROUND(H786*I786,2)</f>
        <v>12.6</v>
      </c>
      <c r="L786" s="113" t="n">
        <v>9.2</v>
      </c>
      <c r="M786" s="114" t="n">
        <v>1.37</v>
      </c>
      <c r="N786" s="115" t="n">
        <f aca="false">ROUND(L786*M786,2)</f>
        <v>12.6</v>
      </c>
      <c r="R786" s="117" t="s">
        <v>783</v>
      </c>
    </row>
    <row r="787" customFormat="false" ht="15" hidden="false" customHeight="false" outlineLevel="0" collapsed="false">
      <c r="A787" s="104" t="s">
        <v>615</v>
      </c>
      <c r="B787" s="105" t="n">
        <f aca="false">IF($P$787&lt;&gt;"",ROUND(AA787*(($AB$787/(1-$P$787))-50.968)/35.0461,2),IF('Resumen 2.0TD'!$D$3="OPTIMIZAR",ROUND(MAX(AA787,MIN(AA787*(($AB$787/(1-'Resumen 2.0TD'!$F$3))-50.968)/35.0461,AA787*(153.8798)/35.0461)),3),AA787))</f>
        <v>78.991</v>
      </c>
      <c r="C787" s="118"/>
      <c r="D787" s="107" t="n">
        <v>0.110306</v>
      </c>
      <c r="E787" s="108" t="n">
        <v>0.14937</v>
      </c>
      <c r="F787" s="109" t="n">
        <f aca="false">ROUND(B787*E787,2)</f>
        <v>11.8</v>
      </c>
      <c r="H787" s="110" t="n">
        <v>123.339</v>
      </c>
      <c r="I787" s="111" t="n">
        <v>0.14937</v>
      </c>
      <c r="J787" s="112" t="n">
        <f aca="false">ROUND(H787*I787,2)</f>
        <v>18.42</v>
      </c>
      <c r="L787" s="113" t="n">
        <v>83.493</v>
      </c>
      <c r="M787" s="114" t="n">
        <v>0.14937</v>
      </c>
      <c r="N787" s="115" t="n">
        <f aca="false">ROUND(L787*M787,2)</f>
        <v>12.47</v>
      </c>
      <c r="O787" s="119" t="s">
        <v>616</v>
      </c>
      <c r="P787" s="79"/>
      <c r="R787" s="117" t="s">
        <v>784</v>
      </c>
      <c r="AA787" s="0" t="n">
        <v>78.991</v>
      </c>
      <c r="AB787" s="0" t="n">
        <f aca="false">B785*D785+B786*D786+AA787*D787+AA788*D788+AA789*D789</f>
        <v>67.334751556</v>
      </c>
    </row>
    <row r="788" customFormat="false" ht="15" hidden="false" customHeight="false" outlineLevel="0" collapsed="false">
      <c r="A788" s="104" t="s">
        <v>618</v>
      </c>
      <c r="B788" s="105" t="n">
        <f aca="false">IF($P$787&lt;&gt;"",ROUND(AA788*(($AB$787/(1-$P$787))-50.968)/35.0461,2),IF('Resumen 2.0TD'!$D$3="OPTIMIZAR",ROUND(MAX(AA788,MIN(AA788*(($AB$787/(1-'Resumen 2.0TD'!$F$3))-50.968)/35.0461,AA788*(153.8798)/35.0461)),3),AA788))</f>
        <v>41.717</v>
      </c>
      <c r="C788" s="118"/>
      <c r="D788" s="107" t="n">
        <v>0.110306</v>
      </c>
      <c r="E788" s="108" t="n">
        <v>0.14937</v>
      </c>
      <c r="F788" s="109" t="n">
        <f aca="false">ROUND(B788*E788,2)</f>
        <v>6.23</v>
      </c>
      <c r="H788" s="110" t="n">
        <v>78.642</v>
      </c>
      <c r="I788" s="111" t="n">
        <v>0.14937</v>
      </c>
      <c r="J788" s="112" t="n">
        <f aca="false">ROUND(H788*I788,2)</f>
        <v>11.75</v>
      </c>
      <c r="L788" s="113" t="n">
        <v>41.141</v>
      </c>
      <c r="M788" s="114" t="n">
        <v>0.14937</v>
      </c>
      <c r="N788" s="115" t="n">
        <f aca="false">ROUND(L788*M788,2)</f>
        <v>6.15</v>
      </c>
      <c r="O788" s="120" t="s">
        <v>619</v>
      </c>
      <c r="R788" s="117" t="s">
        <v>620</v>
      </c>
      <c r="AA788" s="0" t="n">
        <v>41.717</v>
      </c>
    </row>
    <row r="789" customFormat="false" ht="15" hidden="false" customHeight="false" outlineLevel="0" collapsed="false">
      <c r="A789" s="104" t="s">
        <v>621</v>
      </c>
      <c r="B789" s="105" t="n">
        <f aca="false">IF($P$787&lt;&gt;"",ROUND(AA789*(($AB$787/(1-$P$787))-50.968)/35.0461,2),IF('Resumen 2.0TD'!$D$3="OPTIMIZAR",ROUND(MAX(AA789,MIN(AA789*(($AB$787/(1-'Resumen 2.0TD'!$F$3))-50.968)/35.0461,AA789*(153.8798)/35.0461)),3),AA789))</f>
        <v>113.918</v>
      </c>
      <c r="C789" s="118"/>
      <c r="D789" s="107" t="n">
        <v>0.110306</v>
      </c>
      <c r="E789" s="108" t="n">
        <v>0.14937</v>
      </c>
      <c r="F789" s="109" t="n">
        <f aca="false">ROUND(B789*E789,2)</f>
        <v>17.02</v>
      </c>
      <c r="H789" s="110" t="n">
        <v>162.137</v>
      </c>
      <c r="I789" s="111" t="n">
        <v>0.14937</v>
      </c>
      <c r="J789" s="112" t="n">
        <f aca="false">ROUND(H789*I789,2)</f>
        <v>24.22</v>
      </c>
      <c r="L789" s="113" t="n">
        <v>128.318</v>
      </c>
      <c r="M789" s="114" t="n">
        <v>0.14937</v>
      </c>
      <c r="N789" s="115" t="n">
        <f aca="false">ROUND(L789*M789,2)</f>
        <v>19.17</v>
      </c>
      <c r="O789" s="120" t="s">
        <v>622</v>
      </c>
      <c r="AA789" s="0" t="n">
        <v>113.918</v>
      </c>
    </row>
    <row r="790" customFormat="false" ht="15" hidden="false" customHeight="false" outlineLevel="0" collapsed="false">
      <c r="A790" s="104" t="s">
        <v>139</v>
      </c>
      <c r="B790" s="105" t="n">
        <v>1</v>
      </c>
      <c r="C790" s="106" t="n">
        <f aca="false">$N$782-$L$782+1</f>
        <v>30</v>
      </c>
      <c r="D790" s="107" t="n">
        <v>0.7989</v>
      </c>
      <c r="E790" s="108" t="n">
        <v>4</v>
      </c>
      <c r="F790" s="109" t="n">
        <f aca="false">ROUND(B790*E790,2)</f>
        <v>4</v>
      </c>
      <c r="H790" s="110" t="n">
        <v>1</v>
      </c>
      <c r="I790" s="111" t="n">
        <v>4</v>
      </c>
      <c r="J790" s="112" t="n">
        <f aca="false">ROUND(H790*I790,2)</f>
        <v>4</v>
      </c>
      <c r="L790" s="113" t="n">
        <v>1</v>
      </c>
      <c r="M790" s="114" t="n">
        <v>4</v>
      </c>
      <c r="N790" s="115" t="n">
        <f aca="false">ROUND(L790*M790,2)</f>
        <v>4</v>
      </c>
    </row>
    <row r="791" customFormat="false" ht="15" hidden="false" customHeight="false" outlineLevel="0" collapsed="false">
      <c r="A791" s="104" t="s">
        <v>140</v>
      </c>
      <c r="B791" s="105" t="n">
        <v>30</v>
      </c>
      <c r="C791" s="106" t="n">
        <f aca="false">$N$782-$L$782+1</f>
        <v>30</v>
      </c>
      <c r="D791" s="107" t="n">
        <v>0.5736</v>
      </c>
      <c r="E791" s="108" t="n">
        <v>0.01274</v>
      </c>
      <c r="F791" s="109" t="n">
        <f aca="false">ROUND(B791*E791,2)</f>
        <v>0.38</v>
      </c>
      <c r="H791" s="110" t="n">
        <v>30</v>
      </c>
      <c r="I791" s="111" t="n">
        <v>0.01274</v>
      </c>
      <c r="J791" s="112" t="n">
        <f aca="false">ROUND(H791*I791,2)</f>
        <v>0.38</v>
      </c>
      <c r="L791" s="113" t="n">
        <v>30</v>
      </c>
      <c r="M791" s="114" t="n">
        <v>0.00629</v>
      </c>
      <c r="N791" s="115" t="n">
        <f aca="false">ROUND(L791*M791,2)</f>
        <v>0.19</v>
      </c>
    </row>
    <row r="792" customFormat="false" ht="15" hidden="false" customHeight="false" outlineLevel="0" collapsed="false">
      <c r="A792" s="104" t="s">
        <v>141</v>
      </c>
      <c r="B792" s="105" t="n">
        <v>2.61</v>
      </c>
      <c r="C792" s="118"/>
      <c r="D792" s="107" t="n">
        <v>0.24729</v>
      </c>
      <c r="E792" s="108" t="n">
        <v>1</v>
      </c>
      <c r="F792" s="109" t="n">
        <f aca="false">ROUND(B792*E792,2)</f>
        <v>2.61</v>
      </c>
      <c r="H792" s="110" t="n">
        <v>4.22</v>
      </c>
      <c r="I792" s="111" t="n">
        <v>1</v>
      </c>
      <c r="J792" s="112" t="n">
        <f aca="false">ROUND(H792*I792,2)</f>
        <v>4.22</v>
      </c>
      <c r="L792" s="113" t="n">
        <v>2.83</v>
      </c>
      <c r="M792" s="114" t="n">
        <v>1</v>
      </c>
      <c r="N792" s="115" t="n">
        <f aca="false">ROUND(L792*M792,2)</f>
        <v>2.83</v>
      </c>
    </row>
    <row r="793" customFormat="false" ht="15" hidden="false" customHeight="false" outlineLevel="0" collapsed="false">
      <c r="A793" s="121" t="s">
        <v>142</v>
      </c>
      <c r="F793" s="122" t="n">
        <f aca="false">ROUND((SUM(F785:F792)-F792)*1.1+F792,2)</f>
        <v>102.04</v>
      </c>
      <c r="J793" s="123" t="n">
        <f aca="false">ROUND(SUM(J785:J792),2)</f>
        <v>113.95</v>
      </c>
      <c r="N793" s="124" t="n">
        <f aca="false">ROUND(SUM(N785:N792),2)</f>
        <v>95.77</v>
      </c>
    </row>
    <row r="794" customFormat="false" ht="15" hidden="false" customHeight="false" outlineLevel="0" collapsed="false">
      <c r="A794" s="93" t="s">
        <v>143</v>
      </c>
      <c r="B794" s="125" t="n">
        <f aca="false">IF((F789+F788+F787+F785+F786)=0,"",((F789+F788+F787+F785+F786)-$AB$787)/(F789+F788+F787+F785+F786))</f>
        <v>0.217128804139054</v>
      </c>
      <c r="D794" s="126" t="str">
        <f aca="false">IF(B794="","SIN PC",IF(B794&gt;=0.3,"APROBAR",IF(B794&gt;=0.2,"REVISAR","RECHAZAR")))</f>
        <v>REVISAR</v>
      </c>
      <c r="E794" s="126"/>
      <c r="F794" s="126"/>
      <c r="AD794" s="0" t="n">
        <f aca="false">SUM(F787:F789)-35.0461</f>
        <v>0.00389999999999446</v>
      </c>
    </row>
    <row r="795" customFormat="false" ht="15" hidden="false" customHeight="false" outlineLevel="0" collapsed="false">
      <c r="A795" s="127" t="s">
        <v>744</v>
      </c>
      <c r="B795" s="127"/>
      <c r="C795" s="127"/>
      <c r="D795" s="127"/>
      <c r="E795" s="127"/>
      <c r="F795" s="127"/>
    </row>
    <row r="796" customFormat="false" ht="15" hidden="false" customHeight="false" outlineLevel="0" collapsed="false">
      <c r="A796" s="128" t="s">
        <v>111</v>
      </c>
      <c r="B796" s="128" t="s">
        <v>745</v>
      </c>
      <c r="D796" s="128" t="s">
        <v>746</v>
      </c>
      <c r="E796" s="128" t="s">
        <v>747</v>
      </c>
      <c r="F796" s="128" t="s">
        <v>120</v>
      </c>
    </row>
    <row r="797" customFormat="false" ht="15" hidden="false" customHeight="false" outlineLevel="0" collapsed="false">
      <c r="A797" s="129" t="s">
        <v>748</v>
      </c>
      <c r="B797" s="130" t="n">
        <v>822</v>
      </c>
      <c r="C797" s="131"/>
      <c r="D797" s="107" t="n">
        <v>0.06</v>
      </c>
      <c r="E797" s="131"/>
      <c r="F797" s="132" t="n">
        <f aca="false">ROUND(B797*D797,2)</f>
        <v>49.32</v>
      </c>
    </row>
    <row r="798" customFormat="false" ht="15" hidden="false" customHeight="false" outlineLevel="0" collapsed="false">
      <c r="A798" s="129" t="s">
        <v>749</v>
      </c>
      <c r="B798" s="131"/>
      <c r="C798" s="131"/>
      <c r="D798" s="131"/>
      <c r="E798" s="133" t="n">
        <v>0.06</v>
      </c>
      <c r="F798" s="132" t="n">
        <v>35.05</v>
      </c>
    </row>
    <row r="799" customFormat="false" ht="15" hidden="false" customHeight="false" outlineLevel="0" collapsed="false">
      <c r="A799" s="134" t="s">
        <v>750</v>
      </c>
      <c r="B799" s="131"/>
      <c r="C799" s="131"/>
      <c r="D799" s="131"/>
      <c r="E799" s="131"/>
      <c r="F799" s="135" t="n">
        <f aca="false">F797-F798</f>
        <v>14.27</v>
      </c>
    </row>
    <row r="801" customFormat="false" ht="15" hidden="false" customHeight="false" outlineLevel="0" collapsed="false">
      <c r="A801" s="89" t="s">
        <v>1002</v>
      </c>
      <c r="B801" s="89"/>
      <c r="C801" s="89"/>
      <c r="D801" s="89"/>
      <c r="E801" s="89"/>
      <c r="F801" s="89"/>
      <c r="H801" s="89" t="s">
        <v>1003</v>
      </c>
      <c r="I801" s="89"/>
      <c r="J801" s="89"/>
      <c r="K801" s="89"/>
      <c r="L801" s="90" t="n">
        <v>46113</v>
      </c>
      <c r="M801" s="91" t="s">
        <v>608</v>
      </c>
      <c r="N801" s="90" t="n">
        <v>46142</v>
      </c>
      <c r="R801" s="92" t="s">
        <v>110</v>
      </c>
      <c r="S801" s="92"/>
      <c r="T801" s="92"/>
      <c r="U801" s="92"/>
      <c r="V801" s="92"/>
    </row>
    <row r="802" customFormat="false" ht="15" hidden="false" customHeight="false" outlineLevel="0" collapsed="false">
      <c r="A802" s="93" t="s">
        <v>111</v>
      </c>
      <c r="B802" s="94" t="s">
        <v>112</v>
      </c>
      <c r="C802" s="95"/>
      <c r="D802" s="95"/>
      <c r="E802" s="95"/>
      <c r="F802" s="95"/>
      <c r="H802" s="96" t="s">
        <v>1004</v>
      </c>
      <c r="I802" s="97"/>
      <c r="J802" s="97"/>
      <c r="L802" s="98" t="s">
        <v>1005</v>
      </c>
      <c r="M802" s="99"/>
      <c r="N802" s="99"/>
      <c r="R802" s="100" t="s">
        <v>1006</v>
      </c>
    </row>
    <row r="803" customFormat="false" ht="15" hidden="false" customHeight="false" outlineLevel="0" collapsed="false">
      <c r="B803" s="81" t="s">
        <v>116</v>
      </c>
      <c r="C803" s="81" t="s">
        <v>117</v>
      </c>
      <c r="D803" s="81" t="s">
        <v>118</v>
      </c>
      <c r="E803" s="81" t="s">
        <v>119</v>
      </c>
      <c r="F803" s="81" t="s">
        <v>120</v>
      </c>
      <c r="H803" s="101" t="s">
        <v>116</v>
      </c>
      <c r="I803" s="101" t="s">
        <v>119</v>
      </c>
      <c r="J803" s="101" t="s">
        <v>120</v>
      </c>
      <c r="L803" s="102" t="s">
        <v>116</v>
      </c>
      <c r="M803" s="102" t="s">
        <v>119</v>
      </c>
      <c r="N803" s="102" t="s">
        <v>120</v>
      </c>
      <c r="R803" s="103" t="s">
        <v>1007</v>
      </c>
    </row>
    <row r="804" customFormat="false" ht="15" hidden="false" customHeight="false" outlineLevel="0" collapsed="false">
      <c r="A804" s="104" t="s">
        <v>122</v>
      </c>
      <c r="B804" s="105" t="n">
        <v>5.5</v>
      </c>
      <c r="C804" s="106" t="n">
        <f aca="false">$N$801-$L$801+1</f>
        <v>30</v>
      </c>
      <c r="D804" s="107" t="n">
        <v>3.4086</v>
      </c>
      <c r="E804" s="108" t="n">
        <v>4.17</v>
      </c>
      <c r="F804" s="109" t="n">
        <f aca="false">ROUND(B804*E804,2)</f>
        <v>22.94</v>
      </c>
      <c r="H804" s="110" t="n">
        <v>5.5</v>
      </c>
      <c r="I804" s="111" t="n">
        <v>4.17</v>
      </c>
      <c r="J804" s="112" t="n">
        <f aca="false">ROUND(H804*I804,2)</f>
        <v>22.94</v>
      </c>
      <c r="L804" s="113" t="n">
        <v>5.5</v>
      </c>
      <c r="M804" s="114" t="n">
        <v>4.17</v>
      </c>
      <c r="N804" s="115" t="n">
        <f aca="false">ROUND(L804*M804,2)</f>
        <v>22.94</v>
      </c>
      <c r="R804" s="116" t="s">
        <v>1008</v>
      </c>
    </row>
    <row r="805" customFormat="false" ht="15" hidden="false" customHeight="false" outlineLevel="0" collapsed="false">
      <c r="A805" s="104" t="s">
        <v>124</v>
      </c>
      <c r="B805" s="105" t="n">
        <v>5.5</v>
      </c>
      <c r="C805" s="106" t="n">
        <f aca="false">$N$801-$L$801+1</f>
        <v>30</v>
      </c>
      <c r="D805" s="107" t="n">
        <v>1.09728</v>
      </c>
      <c r="E805" s="108" t="n">
        <v>1.37</v>
      </c>
      <c r="F805" s="109" t="n">
        <f aca="false">ROUND(B805*E805,2)</f>
        <v>7.54</v>
      </c>
      <c r="H805" s="110" t="n">
        <v>5.5</v>
      </c>
      <c r="I805" s="111" t="n">
        <v>1.37</v>
      </c>
      <c r="J805" s="112" t="n">
        <f aca="false">ROUND(H805*I805,2)</f>
        <v>7.54</v>
      </c>
      <c r="L805" s="113" t="n">
        <v>5.5</v>
      </c>
      <c r="M805" s="114" t="n">
        <v>1.37</v>
      </c>
      <c r="N805" s="115" t="n">
        <f aca="false">ROUND(L805*M805,2)</f>
        <v>7.54</v>
      </c>
      <c r="R805" s="117" t="s">
        <v>1009</v>
      </c>
    </row>
    <row r="806" customFormat="false" ht="15" hidden="false" customHeight="false" outlineLevel="0" collapsed="false">
      <c r="A806" s="104" t="s">
        <v>615</v>
      </c>
      <c r="B806" s="105" t="n">
        <f aca="false">IF($P$806&lt;&gt;"",ROUND(AA806*(($AB$806/(1-$P$806))-30.47)/15.6756,2),IF('Resumen 2.0TD'!$D$3="OPTIMIZAR",ROUND(MAX(AA806,MIN(AA806*(($AB$806/(1-'Resumen 2.0TD'!$F$3))-30.47)/15.6756,AA806*(99.0778)/15.6756)),3),AA806))</f>
        <v>45.983</v>
      </c>
      <c r="C806" s="118"/>
      <c r="D806" s="107" t="n">
        <v>0.110306</v>
      </c>
      <c r="E806" s="108" t="n">
        <v>0.14937</v>
      </c>
      <c r="F806" s="109" t="n">
        <f aca="false">ROUND(B806*E806,2)</f>
        <v>6.87</v>
      </c>
      <c r="H806" s="110" t="n">
        <v>35.293</v>
      </c>
      <c r="I806" s="111" t="n">
        <v>0.14937</v>
      </c>
      <c r="J806" s="112" t="n">
        <f aca="false">ROUND(H806*I806,2)</f>
        <v>5.27</v>
      </c>
      <c r="L806" s="113" t="n">
        <v>62.841</v>
      </c>
      <c r="M806" s="114" t="n">
        <v>0.14937</v>
      </c>
      <c r="N806" s="115" t="n">
        <f aca="false">ROUND(L806*M806,2)</f>
        <v>9.39</v>
      </c>
      <c r="O806" s="119" t="s">
        <v>616</v>
      </c>
      <c r="P806" s="79"/>
      <c r="R806" s="117" t="s">
        <v>1010</v>
      </c>
      <c r="AA806" s="0" t="n">
        <v>45.983</v>
      </c>
      <c r="AB806" s="0" t="n">
        <f aca="false">B804*D804+B805*D805+AA806*D806+AA807*D807+AA808*D808</f>
        <v>36.35840317</v>
      </c>
    </row>
    <row r="807" customFormat="false" ht="15" hidden="false" customHeight="false" outlineLevel="0" collapsed="false">
      <c r="A807" s="104" t="s">
        <v>618</v>
      </c>
      <c r="B807" s="105" t="n">
        <f aca="false">IF($P$806&lt;&gt;"",ROUND(AA807*(($AB$806/(1-$P$806))-30.47)/15.6756,2),IF('Resumen 2.0TD'!$D$3="OPTIMIZAR",ROUND(MAX(AA807,MIN(AA807*(($AB$806/(1-'Resumen 2.0TD'!$F$3))-30.47)/15.6756,AA807*(99.0778)/15.6756)),3),AA807))</f>
        <v>20.959</v>
      </c>
      <c r="C807" s="118"/>
      <c r="D807" s="107" t="n">
        <v>0.110306</v>
      </c>
      <c r="E807" s="108" t="n">
        <v>0.14937</v>
      </c>
      <c r="F807" s="109" t="n">
        <f aca="false">ROUND(B807*E807,2)</f>
        <v>3.13</v>
      </c>
      <c r="H807" s="110" t="n">
        <v>8.875</v>
      </c>
      <c r="I807" s="111" t="n">
        <v>0.14937</v>
      </c>
      <c r="J807" s="112" t="n">
        <f aca="false">ROUND(H807*I807,2)</f>
        <v>1.33</v>
      </c>
      <c r="L807" s="113" t="n">
        <v>47.221</v>
      </c>
      <c r="M807" s="114" t="n">
        <v>0.14937</v>
      </c>
      <c r="N807" s="115" t="n">
        <f aca="false">ROUND(L807*M807,2)</f>
        <v>7.05</v>
      </c>
      <c r="O807" s="120" t="s">
        <v>619</v>
      </c>
      <c r="R807" s="117" t="s">
        <v>620</v>
      </c>
      <c r="AA807" s="0" t="n">
        <v>20.959</v>
      </c>
    </row>
    <row r="808" customFormat="false" ht="15" hidden="false" customHeight="false" outlineLevel="0" collapsed="false">
      <c r="A808" s="104" t="s">
        <v>621</v>
      </c>
      <c r="B808" s="105" t="n">
        <f aca="false">IF($P$806&lt;&gt;"",ROUND(AA808*(($AB$806/(1-$P$806))-30.47)/15.6756,2),IF('Resumen 2.0TD'!$D$3="OPTIMIZAR",ROUND(MAX(AA808,MIN(AA808*(($AB$806/(1-'Resumen 2.0TD'!$F$3))-30.47)/15.6756,AA808*(99.0778)/15.6756)),3),AA808))</f>
        <v>38.003</v>
      </c>
      <c r="C808" s="118"/>
      <c r="D808" s="107" t="n">
        <v>0.110306</v>
      </c>
      <c r="E808" s="108" t="n">
        <v>0.14937</v>
      </c>
      <c r="F808" s="109" t="n">
        <f aca="false">ROUND(B808*E808,2)</f>
        <v>5.68</v>
      </c>
      <c r="H808" s="110" t="n">
        <v>47.621</v>
      </c>
      <c r="I808" s="111" t="n">
        <v>0.14937</v>
      </c>
      <c r="J808" s="112" t="n">
        <f aca="false">ROUND(H808*I808,2)</f>
        <v>7.11</v>
      </c>
      <c r="L808" s="113" t="n">
        <v>112.942</v>
      </c>
      <c r="M808" s="114" t="n">
        <v>0.14937</v>
      </c>
      <c r="N808" s="115" t="n">
        <f aca="false">ROUND(L808*M808,2)</f>
        <v>16.87</v>
      </c>
      <c r="O808" s="120" t="s">
        <v>622</v>
      </c>
      <c r="AA808" s="0" t="n">
        <v>38.003</v>
      </c>
    </row>
    <row r="809" customFormat="false" ht="15" hidden="false" customHeight="false" outlineLevel="0" collapsed="false">
      <c r="A809" s="104" t="s">
        <v>139</v>
      </c>
      <c r="B809" s="105" t="n">
        <v>1</v>
      </c>
      <c r="C809" s="106" t="n">
        <f aca="false">$N$801-$L$801+1</f>
        <v>30</v>
      </c>
      <c r="D809" s="107" t="n">
        <v>0.7989</v>
      </c>
      <c r="E809" s="108" t="n">
        <v>4</v>
      </c>
      <c r="F809" s="109" t="n">
        <f aca="false">ROUND(B809*E809,2)</f>
        <v>4</v>
      </c>
      <c r="H809" s="110" t="n">
        <v>1</v>
      </c>
      <c r="I809" s="111" t="n">
        <v>4</v>
      </c>
      <c r="J809" s="112" t="n">
        <f aca="false">ROUND(H809*I809,2)</f>
        <v>4</v>
      </c>
      <c r="L809" s="113" t="n">
        <v>1</v>
      </c>
      <c r="M809" s="114" t="n">
        <v>4</v>
      </c>
      <c r="N809" s="115" t="n">
        <f aca="false">ROUND(L809*M809,2)</f>
        <v>4</v>
      </c>
    </row>
    <row r="810" customFormat="false" ht="15" hidden="false" customHeight="false" outlineLevel="0" collapsed="false">
      <c r="A810" s="104" t="s">
        <v>140</v>
      </c>
      <c r="B810" s="105" t="n">
        <v>30</v>
      </c>
      <c r="C810" s="106" t="n">
        <f aca="false">$N$801-$L$801+1</f>
        <v>30</v>
      </c>
      <c r="D810" s="107" t="n">
        <v>0.5736</v>
      </c>
      <c r="E810" s="108" t="n">
        <v>0.01274</v>
      </c>
      <c r="F810" s="109" t="n">
        <f aca="false">ROUND(B810*E810,2)</f>
        <v>0.38</v>
      </c>
      <c r="H810" s="110" t="n">
        <v>30</v>
      </c>
      <c r="I810" s="111" t="n">
        <v>0.01274</v>
      </c>
      <c r="J810" s="112" t="n">
        <f aca="false">ROUND(H810*I810,2)</f>
        <v>0.38</v>
      </c>
      <c r="L810" s="113" t="n">
        <v>30</v>
      </c>
      <c r="M810" s="114" t="n">
        <v>0.00629</v>
      </c>
      <c r="N810" s="115" t="n">
        <f aca="false">ROUND(L810*M810,2)</f>
        <v>0.19</v>
      </c>
    </row>
    <row r="811" customFormat="false" ht="15" hidden="false" customHeight="false" outlineLevel="0" collapsed="false">
      <c r="A811" s="104" t="s">
        <v>141</v>
      </c>
      <c r="B811" s="105" t="n">
        <v>1.57</v>
      </c>
      <c r="C811" s="118"/>
      <c r="D811" s="107" t="n">
        <v>0.24729</v>
      </c>
      <c r="E811" s="108" t="n">
        <v>1</v>
      </c>
      <c r="F811" s="109" t="n">
        <f aca="false">ROUND(B811*E811,2)</f>
        <v>1.57</v>
      </c>
      <c r="H811" s="110" t="n">
        <v>1.57</v>
      </c>
      <c r="I811" s="111" t="n">
        <v>1</v>
      </c>
      <c r="J811" s="112" t="n">
        <f aca="false">ROUND(H811*I811,2)</f>
        <v>1.57</v>
      </c>
      <c r="L811" s="113" t="n">
        <v>2.56</v>
      </c>
      <c r="M811" s="114" t="n">
        <v>1</v>
      </c>
      <c r="N811" s="115" t="n">
        <f aca="false">ROUND(L811*M811,2)</f>
        <v>2.56</v>
      </c>
    </row>
    <row r="812" customFormat="false" ht="15" hidden="false" customHeight="false" outlineLevel="0" collapsed="false">
      <c r="A812" s="121" t="s">
        <v>142</v>
      </c>
      <c r="F812" s="122" t="n">
        <f aca="false">ROUND((SUM(F804:F811)-F811)*1.1+F811,2)</f>
        <v>57.16</v>
      </c>
      <c r="J812" s="123" t="n">
        <f aca="false">ROUND(SUM(J804:J811),2)</f>
        <v>50.14</v>
      </c>
      <c r="N812" s="124" t="n">
        <f aca="false">ROUND(SUM(N804:N811),2)</f>
        <v>70.54</v>
      </c>
    </row>
    <row r="813" customFormat="false" ht="15" hidden="false" customHeight="false" outlineLevel="0" collapsed="false">
      <c r="A813" s="93" t="s">
        <v>143</v>
      </c>
      <c r="B813" s="125" t="n">
        <f aca="false">IF((F808+F807+F806+F804+F805)=0,"",((F808+F807+F806+F804+F805)-$AB$806)/(F808+F807+F806+F804+F805))</f>
        <v>0.212339619367418</v>
      </c>
      <c r="D813" s="126" t="str">
        <f aca="false">IF(B813="","SIN PC",IF(B813&gt;=0.3,"APROBAR",IF(B813&gt;=0.2,"REVISAR","RECHAZAR")))</f>
        <v>REVISAR</v>
      </c>
      <c r="E813" s="126"/>
      <c r="F813" s="126"/>
      <c r="AD813" s="0" t="n">
        <f aca="false">SUM(F806:F808)-15.6756</f>
        <v>0.0044000000000004</v>
      </c>
    </row>
    <row r="814" customFormat="false" ht="15" hidden="false" customHeight="false" outlineLevel="0" collapsed="false">
      <c r="A814" s="127" t="s">
        <v>744</v>
      </c>
      <c r="B814" s="127"/>
      <c r="C814" s="127"/>
      <c r="D814" s="127"/>
      <c r="E814" s="127"/>
      <c r="F814" s="127"/>
    </row>
    <row r="815" customFormat="false" ht="15" hidden="false" customHeight="false" outlineLevel="0" collapsed="false">
      <c r="A815" s="128" t="s">
        <v>111</v>
      </c>
      <c r="B815" s="128" t="s">
        <v>745</v>
      </c>
      <c r="D815" s="128" t="s">
        <v>746</v>
      </c>
      <c r="E815" s="128" t="s">
        <v>747</v>
      </c>
      <c r="F815" s="128" t="s">
        <v>120</v>
      </c>
    </row>
    <row r="816" customFormat="false" ht="15" hidden="false" customHeight="false" outlineLevel="0" collapsed="false">
      <c r="A816" s="129" t="s">
        <v>748</v>
      </c>
      <c r="B816" s="130" t="n">
        <v>389</v>
      </c>
      <c r="C816" s="131"/>
      <c r="D816" s="107" t="n">
        <v>0.06</v>
      </c>
      <c r="E816" s="131"/>
      <c r="F816" s="132" t="n">
        <f aca="false">ROUND(B816*D816,2)</f>
        <v>23.34</v>
      </c>
    </row>
    <row r="817" customFormat="false" ht="15" hidden="false" customHeight="false" outlineLevel="0" collapsed="false">
      <c r="A817" s="129" t="s">
        <v>749</v>
      </c>
      <c r="B817" s="131"/>
      <c r="C817" s="131"/>
      <c r="D817" s="131"/>
      <c r="E817" s="133" t="n">
        <v>0.06</v>
      </c>
      <c r="F817" s="132" t="n">
        <v>15.68</v>
      </c>
    </row>
    <row r="818" customFormat="false" ht="15" hidden="false" customHeight="false" outlineLevel="0" collapsed="false">
      <c r="A818" s="134" t="s">
        <v>750</v>
      </c>
      <c r="B818" s="131"/>
      <c r="C818" s="131"/>
      <c r="D818" s="131"/>
      <c r="E818" s="131"/>
      <c r="F818" s="135" t="n">
        <f aca="false">F816-F817</f>
        <v>7.66</v>
      </c>
    </row>
    <row r="820" customFormat="false" ht="15" hidden="false" customHeight="false" outlineLevel="0" collapsed="false">
      <c r="A820" s="89" t="s">
        <v>1011</v>
      </c>
      <c r="B820" s="89"/>
      <c r="C820" s="89"/>
      <c r="D820" s="89"/>
      <c r="E820" s="89"/>
      <c r="F820" s="89"/>
      <c r="H820" s="89" t="s">
        <v>810</v>
      </c>
      <c r="I820" s="89"/>
      <c r="J820" s="89"/>
      <c r="K820" s="89"/>
      <c r="L820" s="90" t="n">
        <v>46113</v>
      </c>
      <c r="M820" s="91" t="s">
        <v>608</v>
      </c>
      <c r="N820" s="90" t="n">
        <v>46142</v>
      </c>
      <c r="R820" s="92" t="s">
        <v>110</v>
      </c>
      <c r="S820" s="92"/>
      <c r="T820" s="92"/>
      <c r="U820" s="92"/>
      <c r="V820" s="92"/>
    </row>
    <row r="821" customFormat="false" ht="15" hidden="false" customHeight="false" outlineLevel="0" collapsed="false">
      <c r="A821" s="93" t="s">
        <v>111</v>
      </c>
      <c r="B821" s="94" t="s">
        <v>112</v>
      </c>
      <c r="C821" s="95"/>
      <c r="D821" s="95"/>
      <c r="E821" s="95"/>
      <c r="F821" s="95"/>
      <c r="H821" s="96" t="s">
        <v>811</v>
      </c>
      <c r="I821" s="97"/>
      <c r="J821" s="97"/>
      <c r="L821" s="98" t="s">
        <v>812</v>
      </c>
      <c r="M821" s="99"/>
      <c r="N821" s="99"/>
      <c r="R821" s="100" t="s">
        <v>813</v>
      </c>
    </row>
    <row r="822" customFormat="false" ht="15" hidden="false" customHeight="false" outlineLevel="0" collapsed="false">
      <c r="B822" s="81" t="s">
        <v>116</v>
      </c>
      <c r="C822" s="81" t="s">
        <v>117</v>
      </c>
      <c r="D822" s="81" t="s">
        <v>118</v>
      </c>
      <c r="E822" s="81" t="s">
        <v>119</v>
      </c>
      <c r="F822" s="81" t="s">
        <v>120</v>
      </c>
      <c r="H822" s="101" t="s">
        <v>116</v>
      </c>
      <c r="I822" s="101" t="s">
        <v>119</v>
      </c>
      <c r="J822" s="101" t="s">
        <v>120</v>
      </c>
      <c r="L822" s="102" t="s">
        <v>116</v>
      </c>
      <c r="M822" s="102" t="s">
        <v>119</v>
      </c>
      <c r="N822" s="102" t="s">
        <v>120</v>
      </c>
      <c r="R822" s="103" t="s">
        <v>814</v>
      </c>
    </row>
    <row r="823" customFormat="false" ht="15" hidden="false" customHeight="false" outlineLevel="0" collapsed="false">
      <c r="A823" s="104" t="s">
        <v>122</v>
      </c>
      <c r="B823" s="105" t="n">
        <v>4.9</v>
      </c>
      <c r="C823" s="106" t="n">
        <f aca="false">$N$820-$L$820+1</f>
        <v>30</v>
      </c>
      <c r="D823" s="107" t="n">
        <v>3.4086</v>
      </c>
      <c r="E823" s="108" t="n">
        <v>3.85</v>
      </c>
      <c r="F823" s="109" t="n">
        <f aca="false">ROUND(B823*E823,2)</f>
        <v>18.87</v>
      </c>
      <c r="H823" s="110" t="n">
        <v>4.9</v>
      </c>
      <c r="I823" s="111" t="n">
        <v>3.85</v>
      </c>
      <c r="J823" s="112" t="n">
        <f aca="false">ROUND(H823*I823,2)</f>
        <v>18.87</v>
      </c>
      <c r="L823" s="113" t="n">
        <v>4.9</v>
      </c>
      <c r="M823" s="114" t="n">
        <v>3.85</v>
      </c>
      <c r="N823" s="115" t="n">
        <f aca="false">ROUND(L823*M823,2)</f>
        <v>18.87</v>
      </c>
      <c r="R823" s="116" t="s">
        <v>815</v>
      </c>
    </row>
    <row r="824" customFormat="false" ht="15" hidden="false" customHeight="false" outlineLevel="0" collapsed="false">
      <c r="A824" s="104" t="s">
        <v>124</v>
      </c>
      <c r="B824" s="105" t="n">
        <v>4.9</v>
      </c>
      <c r="C824" s="106" t="n">
        <f aca="false">$N$820-$L$820+1</f>
        <v>30</v>
      </c>
      <c r="D824" s="107" t="n">
        <v>1.09728</v>
      </c>
      <c r="E824" s="108" t="n">
        <v>1.33</v>
      </c>
      <c r="F824" s="109" t="n">
        <f aca="false">ROUND(B824*E824,2)</f>
        <v>6.52</v>
      </c>
      <c r="H824" s="110" t="n">
        <v>4.9</v>
      </c>
      <c r="I824" s="111" t="n">
        <v>1.33</v>
      </c>
      <c r="J824" s="112" t="n">
        <f aca="false">ROUND(H824*I824,2)</f>
        <v>6.52</v>
      </c>
      <c r="L824" s="113" t="n">
        <v>4.9</v>
      </c>
      <c r="M824" s="114" t="n">
        <v>1.33</v>
      </c>
      <c r="N824" s="115" t="n">
        <f aca="false">ROUND(L824*M824,2)</f>
        <v>6.52</v>
      </c>
      <c r="R824" s="117" t="s">
        <v>816</v>
      </c>
    </row>
    <row r="825" customFormat="false" ht="15" hidden="false" customHeight="false" outlineLevel="0" collapsed="false">
      <c r="A825" s="104" t="s">
        <v>615</v>
      </c>
      <c r="B825" s="105" t="n">
        <f aca="false">IF($P$825&lt;&gt;"",ROUND(AA825*(($AB$825/(1-$P$825))-25.382)/1.3591,2),IF('Resumen 2.0TD'!$D$3="OPTIMIZAR",ROUND(MAX(AA825,MIN(AA825*(($AB$825/(1-'Resumen 2.0TD'!$F$3))-25.382)/1.3591,AA825*(37.4458)/1.3591)),3),AA825))</f>
        <v>3.601</v>
      </c>
      <c r="C825" s="118"/>
      <c r="D825" s="107" t="n">
        <v>0.110306</v>
      </c>
      <c r="E825" s="108" t="n">
        <v>0.13788</v>
      </c>
      <c r="F825" s="109" t="n">
        <f aca="false">ROUND(B825*E825,2)</f>
        <v>0.5</v>
      </c>
      <c r="H825" s="110" t="n">
        <v>0.796</v>
      </c>
      <c r="I825" s="111" t="n">
        <v>0.13788</v>
      </c>
      <c r="J825" s="112" t="n">
        <f aca="false">ROUND(H825*I825,2)</f>
        <v>0.11</v>
      </c>
      <c r="L825" s="113" t="n">
        <v>1.331</v>
      </c>
      <c r="M825" s="114" t="n">
        <v>0.13788</v>
      </c>
      <c r="N825" s="115" t="n">
        <f aca="false">ROUND(L825*M825,2)</f>
        <v>0.18</v>
      </c>
      <c r="O825" s="119" t="s">
        <v>616</v>
      </c>
      <c r="P825" s="79"/>
      <c r="R825" s="117" t="s">
        <v>817</v>
      </c>
      <c r="AA825" s="0" t="n">
        <v>3.601</v>
      </c>
      <c r="AB825" s="0" t="n">
        <f aca="false">B823*D823+B824*D824+AA825*D825+AA826*D826+AA827*D827</f>
        <v>23.166098242</v>
      </c>
    </row>
    <row r="826" customFormat="false" ht="15" hidden="false" customHeight="false" outlineLevel="0" collapsed="false">
      <c r="A826" s="104" t="s">
        <v>618</v>
      </c>
      <c r="B826" s="105" t="n">
        <f aca="false">IF($P$825&lt;&gt;"",ROUND(AA826*(($AB$825/(1-$P$825))-25.382)/1.3591,2),IF('Resumen 2.0TD'!$D$3="OPTIMIZAR",ROUND(MAX(AA826,MIN(AA826*(($AB$825/(1-'Resumen 2.0TD'!$F$3))-25.382)/1.3591,AA826*(37.4458)/1.3591)),3),AA826))</f>
        <v>2.119</v>
      </c>
      <c r="C826" s="118"/>
      <c r="D826" s="107" t="n">
        <v>0.110306</v>
      </c>
      <c r="E826" s="108" t="n">
        <v>0.13788</v>
      </c>
      <c r="F826" s="109" t="n">
        <f aca="false">ROUND(B826*E826,2)</f>
        <v>0.29</v>
      </c>
      <c r="H826" s="110" t="n">
        <v>0.617</v>
      </c>
      <c r="I826" s="111" t="n">
        <v>0.13788</v>
      </c>
      <c r="J826" s="112" t="n">
        <f aca="false">ROUND(H826*I826,2)</f>
        <v>0.09</v>
      </c>
      <c r="L826" s="113" t="n">
        <v>1.534</v>
      </c>
      <c r="M826" s="114" t="n">
        <v>0.13788</v>
      </c>
      <c r="N826" s="115" t="n">
        <f aca="false">ROUND(L826*M826,2)</f>
        <v>0.21</v>
      </c>
      <c r="O826" s="120" t="s">
        <v>619</v>
      </c>
      <c r="R826" s="117" t="s">
        <v>620</v>
      </c>
      <c r="AA826" s="0" t="n">
        <v>2.119</v>
      </c>
    </row>
    <row r="827" customFormat="false" ht="15" hidden="false" customHeight="false" outlineLevel="0" collapsed="false">
      <c r="A827" s="104" t="s">
        <v>621</v>
      </c>
      <c r="B827" s="105" t="n">
        <f aca="false">IF($P$825&lt;&gt;"",ROUND(AA827*(($AB$825/(1-$P$825))-25.382)/1.3591,2),IF('Resumen 2.0TD'!$D$3="OPTIMIZAR",ROUND(MAX(AA827,MIN(AA827*(($AB$825/(1-'Resumen 2.0TD'!$F$3))-25.382)/1.3591,AA827*(37.4458)/1.3591)),3),AA827))</f>
        <v>4.137</v>
      </c>
      <c r="C827" s="118"/>
      <c r="D827" s="107" t="n">
        <v>0.110306</v>
      </c>
      <c r="E827" s="108" t="n">
        <v>0.13788</v>
      </c>
      <c r="F827" s="109" t="n">
        <f aca="false">ROUND(B827*E827,2)</f>
        <v>0.57</v>
      </c>
      <c r="H827" s="110" t="n">
        <v>5.036</v>
      </c>
      <c r="I827" s="111" t="n">
        <v>0.13788</v>
      </c>
      <c r="J827" s="112" t="n">
        <f aca="false">ROUND(H827*I827,2)</f>
        <v>0.69</v>
      </c>
      <c r="L827" s="113" t="n">
        <v>12.479</v>
      </c>
      <c r="M827" s="114" t="n">
        <v>0.13788</v>
      </c>
      <c r="N827" s="115" t="n">
        <f aca="false">ROUND(L827*M827,2)</f>
        <v>1.72</v>
      </c>
      <c r="O827" s="120" t="s">
        <v>622</v>
      </c>
      <c r="AA827" s="0" t="n">
        <v>4.137</v>
      </c>
    </row>
    <row r="828" customFormat="false" ht="15" hidden="false" customHeight="false" outlineLevel="0" collapsed="false">
      <c r="A828" s="104" t="s">
        <v>139</v>
      </c>
      <c r="B828" s="105" t="n">
        <v>1</v>
      </c>
      <c r="C828" s="106" t="n">
        <f aca="false">$N$820-$L$820+1</f>
        <v>30</v>
      </c>
      <c r="D828" s="107" t="n">
        <v>1.3414</v>
      </c>
      <c r="E828" s="108" t="n">
        <v>3</v>
      </c>
      <c r="F828" s="109" t="n">
        <f aca="false">ROUND(B828*E828,2)</f>
        <v>3</v>
      </c>
      <c r="H828" s="110" t="n">
        <v>1</v>
      </c>
      <c r="I828" s="111" t="n">
        <v>3</v>
      </c>
      <c r="J828" s="112" t="n">
        <f aca="false">ROUND(H828*I828,2)</f>
        <v>3</v>
      </c>
      <c r="L828" s="113" t="n">
        <v>1</v>
      </c>
      <c r="M828" s="114" t="n">
        <v>3</v>
      </c>
      <c r="N828" s="115" t="n">
        <f aca="false">ROUND(L828*M828,2)</f>
        <v>3</v>
      </c>
    </row>
    <row r="829" customFormat="false" ht="15" hidden="false" customHeight="false" outlineLevel="0" collapsed="false">
      <c r="A829" s="104" t="s">
        <v>140</v>
      </c>
      <c r="B829" s="105" t="n">
        <v>30</v>
      </c>
      <c r="C829" s="106" t="n">
        <f aca="false">$N$820-$L$820+1</f>
        <v>30</v>
      </c>
      <c r="D829" s="107" t="n">
        <v>0.5736</v>
      </c>
      <c r="E829" s="108" t="n">
        <v>0.01274</v>
      </c>
      <c r="F829" s="109" t="n">
        <f aca="false">ROUND(B829*E829,2)</f>
        <v>0.38</v>
      </c>
      <c r="H829" s="110" t="n">
        <v>30</v>
      </c>
      <c r="I829" s="111" t="n">
        <v>0.01912</v>
      </c>
      <c r="J829" s="112" t="n">
        <f aca="false">ROUND(H829*I829,2)</f>
        <v>0.57</v>
      </c>
      <c r="L829" s="113" t="n">
        <v>30</v>
      </c>
      <c r="M829" s="114" t="n">
        <v>0.00629</v>
      </c>
      <c r="N829" s="115" t="n">
        <f aca="false">ROUND(L829*M829,2)</f>
        <v>0.19</v>
      </c>
    </row>
    <row r="830" customFormat="false" ht="15" hidden="false" customHeight="false" outlineLevel="0" collapsed="false">
      <c r="A830" s="104" t="s">
        <v>141</v>
      </c>
      <c r="B830" s="105" t="n">
        <v>1.31</v>
      </c>
      <c r="C830" s="118"/>
      <c r="D830" s="107" t="n">
        <v>0.24729</v>
      </c>
      <c r="E830" s="108" t="n">
        <v>1</v>
      </c>
      <c r="F830" s="109" t="n">
        <f aca="false">ROUND(B830*E830,2)</f>
        <v>1.31</v>
      </c>
      <c r="H830" s="110" t="n">
        <v>1.31</v>
      </c>
      <c r="I830" s="111" t="n">
        <v>1</v>
      </c>
      <c r="J830" s="112" t="n">
        <f aca="false">ROUND(H830*I830,2)</f>
        <v>1.31</v>
      </c>
      <c r="L830" s="113" t="n">
        <v>1.31</v>
      </c>
      <c r="M830" s="114" t="n">
        <v>1</v>
      </c>
      <c r="N830" s="115" t="n">
        <f aca="false">ROUND(L830*M830,2)</f>
        <v>1.31</v>
      </c>
    </row>
    <row r="831" customFormat="false" ht="15" hidden="false" customHeight="false" outlineLevel="0" collapsed="false">
      <c r="A831" s="121" t="s">
        <v>142</v>
      </c>
      <c r="F831" s="122" t="n">
        <f aca="false">ROUND((SUM(F823:F830)-F830)*1.1+F830,2)</f>
        <v>34.45</v>
      </c>
      <c r="J831" s="123" t="n">
        <f aca="false">ROUND(SUM(J823:J830),2)</f>
        <v>31.16</v>
      </c>
      <c r="N831" s="124" t="n">
        <f aca="false">ROUND(SUM(N823:N830),2)</f>
        <v>32</v>
      </c>
    </row>
    <row r="832" customFormat="false" ht="15" hidden="false" customHeight="false" outlineLevel="0" collapsed="false">
      <c r="A832" s="93" t="s">
        <v>143</v>
      </c>
      <c r="B832" s="125" t="n">
        <f aca="false">IF((F827+F826+F825+F823+F824)=0,"",((F827+F826+F825+F823+F824)-$AB$825)/(F827+F826+F825+F823+F824))</f>
        <v>0.133977635813084</v>
      </c>
      <c r="D832" s="126" t="str">
        <f aca="false">IF(B832="","SIN PC",IF(B832&gt;=0.3,"APROBAR",IF(B832&gt;=0.2,"REVISAR","RECHAZAR")))</f>
        <v>RECHAZAR</v>
      </c>
      <c r="E832" s="126"/>
      <c r="F832" s="126"/>
      <c r="AD832" s="0" t="n">
        <f aca="false">SUM(F825:F827)-1.3591</f>
        <v>0.000899999999999901</v>
      </c>
    </row>
    <row r="833" customFormat="false" ht="15" hidden="false" customHeight="false" outlineLevel="0" collapsed="false">
      <c r="A833" s="127" t="s">
        <v>744</v>
      </c>
      <c r="B833" s="127"/>
      <c r="C833" s="127"/>
      <c r="D833" s="127"/>
      <c r="E833" s="127"/>
      <c r="F833" s="127"/>
    </row>
    <row r="834" customFormat="false" ht="15" hidden="false" customHeight="false" outlineLevel="0" collapsed="false">
      <c r="A834" s="128" t="s">
        <v>111</v>
      </c>
      <c r="B834" s="128" t="s">
        <v>745</v>
      </c>
      <c r="D834" s="128" t="s">
        <v>746</v>
      </c>
      <c r="E834" s="128" t="s">
        <v>747</v>
      </c>
      <c r="F834" s="128" t="s">
        <v>120</v>
      </c>
    </row>
    <row r="835" customFormat="false" ht="15" hidden="false" customHeight="false" outlineLevel="0" collapsed="false">
      <c r="A835" s="129" t="s">
        <v>748</v>
      </c>
      <c r="B835" s="130" t="n">
        <v>193</v>
      </c>
      <c r="C835" s="131"/>
      <c r="D835" s="107" t="n">
        <v>0.06</v>
      </c>
      <c r="E835" s="131"/>
      <c r="F835" s="132" t="n">
        <f aca="false">ROUND(B835*D835,2)</f>
        <v>11.58</v>
      </c>
    </row>
    <row r="836" customFormat="false" ht="15" hidden="false" customHeight="false" outlineLevel="0" collapsed="false">
      <c r="A836" s="129" t="s">
        <v>749</v>
      </c>
      <c r="B836" s="131"/>
      <c r="C836" s="131"/>
      <c r="D836" s="131"/>
      <c r="E836" s="133" t="n">
        <v>0.1</v>
      </c>
      <c r="F836" s="132" t="n">
        <v>1.36</v>
      </c>
    </row>
    <row r="837" customFormat="false" ht="15" hidden="false" customHeight="false" outlineLevel="0" collapsed="false">
      <c r="A837" s="134" t="s">
        <v>750</v>
      </c>
      <c r="B837" s="131"/>
      <c r="C837" s="131"/>
      <c r="D837" s="131"/>
      <c r="E837" s="131"/>
      <c r="F837" s="135" t="n">
        <f aca="false">F835-F836</f>
        <v>10.22</v>
      </c>
    </row>
    <row r="839" customFormat="false" ht="15" hidden="false" customHeight="false" outlineLevel="0" collapsed="false">
      <c r="A839" s="89" t="s">
        <v>1012</v>
      </c>
      <c r="B839" s="89"/>
      <c r="C839" s="89"/>
      <c r="D839" s="89"/>
      <c r="E839" s="89"/>
      <c r="F839" s="89"/>
      <c r="H839" s="89" t="s">
        <v>1013</v>
      </c>
      <c r="I839" s="89"/>
      <c r="J839" s="89"/>
      <c r="K839" s="89"/>
      <c r="L839" s="90" t="n">
        <v>46113</v>
      </c>
      <c r="M839" s="91" t="s">
        <v>608</v>
      </c>
      <c r="N839" s="90" t="n">
        <v>46142</v>
      </c>
      <c r="R839" s="92" t="s">
        <v>110</v>
      </c>
      <c r="S839" s="92"/>
      <c r="T839" s="92"/>
      <c r="U839" s="92"/>
      <c r="V839" s="92"/>
    </row>
    <row r="840" customFormat="false" ht="15" hidden="false" customHeight="false" outlineLevel="0" collapsed="false">
      <c r="A840" s="93" t="s">
        <v>111</v>
      </c>
      <c r="B840" s="94" t="s">
        <v>112</v>
      </c>
      <c r="C840" s="95"/>
      <c r="D840" s="95"/>
      <c r="E840" s="95"/>
      <c r="F840" s="95"/>
      <c r="H840" s="96" t="s">
        <v>1014</v>
      </c>
      <c r="I840" s="97"/>
      <c r="J840" s="97"/>
      <c r="L840" s="98" t="s">
        <v>1015</v>
      </c>
      <c r="M840" s="99"/>
      <c r="N840" s="99"/>
      <c r="R840" s="100" t="s">
        <v>1016</v>
      </c>
    </row>
    <row r="841" customFormat="false" ht="15" hidden="false" customHeight="false" outlineLevel="0" collapsed="false">
      <c r="B841" s="81" t="s">
        <v>116</v>
      </c>
      <c r="C841" s="81" t="s">
        <v>117</v>
      </c>
      <c r="D841" s="81" t="s">
        <v>118</v>
      </c>
      <c r="E841" s="81" t="s">
        <v>119</v>
      </c>
      <c r="F841" s="81" t="s">
        <v>120</v>
      </c>
      <c r="H841" s="101" t="s">
        <v>116</v>
      </c>
      <c r="I841" s="101" t="s">
        <v>119</v>
      </c>
      <c r="J841" s="101" t="s">
        <v>120</v>
      </c>
      <c r="L841" s="102" t="s">
        <v>116</v>
      </c>
      <c r="M841" s="102" t="s">
        <v>119</v>
      </c>
      <c r="N841" s="102" t="s">
        <v>120</v>
      </c>
      <c r="R841" s="103" t="s">
        <v>1017</v>
      </c>
    </row>
    <row r="842" customFormat="false" ht="15" hidden="false" customHeight="false" outlineLevel="0" collapsed="false">
      <c r="A842" s="104" t="s">
        <v>122</v>
      </c>
      <c r="B842" s="105" t="n">
        <v>10.392</v>
      </c>
      <c r="C842" s="106" t="n">
        <f aca="false">$N$839-$L$839+1</f>
        <v>30</v>
      </c>
      <c r="D842" s="107" t="n">
        <v>3.4086</v>
      </c>
      <c r="E842" s="108" t="n">
        <v>4.82</v>
      </c>
      <c r="F842" s="109" t="n">
        <f aca="false">ROUND(B842*E842,2)</f>
        <v>50.09</v>
      </c>
      <c r="H842" s="110" t="n">
        <v>10.392</v>
      </c>
      <c r="I842" s="111" t="n">
        <v>4.82</v>
      </c>
      <c r="J842" s="112" t="n">
        <f aca="false">ROUND(H842*I842,2)</f>
        <v>50.09</v>
      </c>
      <c r="L842" s="113" t="n">
        <v>10.392</v>
      </c>
      <c r="M842" s="114" t="n">
        <v>4.82</v>
      </c>
      <c r="N842" s="115" t="n">
        <f aca="false">ROUND(L842*M842,2)</f>
        <v>50.09</v>
      </c>
      <c r="R842" s="116" t="s">
        <v>1018</v>
      </c>
    </row>
    <row r="843" customFormat="false" ht="15" hidden="false" customHeight="false" outlineLevel="0" collapsed="false">
      <c r="A843" s="104" t="s">
        <v>124</v>
      </c>
      <c r="B843" s="105" t="n">
        <v>10.392</v>
      </c>
      <c r="C843" s="106" t="n">
        <f aca="false">$N$839-$L$839+1</f>
        <v>30</v>
      </c>
      <c r="D843" s="107" t="n">
        <v>1.09728</v>
      </c>
      <c r="E843" s="108" t="n">
        <v>2.3744</v>
      </c>
      <c r="F843" s="109" t="n">
        <f aca="false">ROUND(B843*E843,2)</f>
        <v>24.67</v>
      </c>
      <c r="H843" s="110" t="n">
        <v>10.392</v>
      </c>
      <c r="I843" s="111" t="n">
        <v>2.3744</v>
      </c>
      <c r="J843" s="112" t="n">
        <f aca="false">ROUND(H843*I843,2)</f>
        <v>24.67</v>
      </c>
      <c r="L843" s="113" t="n">
        <v>10.392</v>
      </c>
      <c r="M843" s="114" t="n">
        <v>2.3744</v>
      </c>
      <c r="N843" s="115" t="n">
        <f aca="false">ROUND(L843*M843,2)</f>
        <v>24.67</v>
      </c>
      <c r="R843" s="117" t="s">
        <v>1019</v>
      </c>
    </row>
    <row r="844" customFormat="false" ht="15" hidden="false" customHeight="false" outlineLevel="0" collapsed="false">
      <c r="A844" s="104" t="s">
        <v>615</v>
      </c>
      <c r="B844" s="105" t="n">
        <f aca="false">IF($P$844&lt;&gt;"",ROUND(AA844*(($AB$844/(1-$P$844))-74.7642)/172.2702,2),IF('Resumen 2.0TD'!$D$3="OPTIMIZAR",ROUND(MAX(AA844,MIN(AA844*(($AB$844/(1-'Resumen 2.0TD'!$F$3))-74.7642)/172.2702,AA844*(377.5036)/172.2702)),3),AA844))</f>
        <v>248.72</v>
      </c>
      <c r="C844" s="118"/>
      <c r="D844" s="107" t="n">
        <v>0.110306</v>
      </c>
      <c r="E844" s="108" t="n">
        <v>0.1724</v>
      </c>
      <c r="F844" s="109" t="n">
        <f aca="false">ROUND(B844*E844,2)</f>
        <v>42.88</v>
      </c>
      <c r="H844" s="110" t="n">
        <v>307.624</v>
      </c>
      <c r="I844" s="111" t="n">
        <v>0.1724</v>
      </c>
      <c r="J844" s="112" t="n">
        <f aca="false">ROUND(H844*I844,2)</f>
        <v>53.03</v>
      </c>
      <c r="L844" s="113" t="n">
        <v>126.994</v>
      </c>
      <c r="M844" s="114" t="n">
        <v>0.1724</v>
      </c>
      <c r="N844" s="115" t="n">
        <f aca="false">ROUND(L844*M844,2)</f>
        <v>21.89</v>
      </c>
      <c r="O844" s="119" t="s">
        <v>616</v>
      </c>
      <c r="P844" s="79"/>
      <c r="R844" s="117" t="s">
        <v>1020</v>
      </c>
      <c r="AA844" s="0" t="n">
        <v>248.72</v>
      </c>
      <c r="AB844" s="0" t="n">
        <f aca="false">B842*D842+B843*D843+AA844*D844+AA845*D845+AA846*D846</f>
        <v>157.048044542</v>
      </c>
    </row>
    <row r="845" customFormat="false" ht="15" hidden="false" customHeight="false" outlineLevel="0" collapsed="false">
      <c r="A845" s="104" t="s">
        <v>618</v>
      </c>
      <c r="B845" s="105" t="n">
        <f aca="false">IF($P$844&lt;&gt;"",ROUND(AA845*(($AB$844/(1-$P$844))-74.7642)/172.2702,2),IF('Resumen 2.0TD'!$D$3="OPTIMIZAR",ROUND(MAX(AA845,MIN(AA845*(($AB$844/(1-'Resumen 2.0TD'!$F$3))-74.7642)/172.2702,AA845*(377.5036)/172.2702)),3),AA845))</f>
        <v>127.873</v>
      </c>
      <c r="C845" s="118"/>
      <c r="D845" s="107" t="n">
        <v>0.110306</v>
      </c>
      <c r="E845" s="108" t="n">
        <v>0.1724</v>
      </c>
      <c r="F845" s="109" t="n">
        <f aca="false">ROUND(B845*E845,2)</f>
        <v>22.05</v>
      </c>
      <c r="H845" s="110" t="n">
        <v>184.631</v>
      </c>
      <c r="I845" s="111" t="n">
        <v>0.1724</v>
      </c>
      <c r="J845" s="112" t="n">
        <f aca="false">ROUND(H845*I845,2)</f>
        <v>31.83</v>
      </c>
      <c r="L845" s="113" t="n">
        <v>94.513</v>
      </c>
      <c r="M845" s="114" t="n">
        <v>0.1724</v>
      </c>
      <c r="N845" s="115" t="n">
        <f aca="false">ROUND(L845*M845,2)</f>
        <v>16.29</v>
      </c>
      <c r="O845" s="120" t="s">
        <v>619</v>
      </c>
      <c r="R845" s="117" t="s">
        <v>620</v>
      </c>
      <c r="AA845" s="0" t="n">
        <v>127.873</v>
      </c>
    </row>
    <row r="846" customFormat="false" ht="15" hidden="false" customHeight="false" outlineLevel="0" collapsed="false">
      <c r="A846" s="104" t="s">
        <v>621</v>
      </c>
      <c r="B846" s="105" t="n">
        <f aca="false">IF($P$844&lt;&gt;"",ROUND(AA846*(($AB$844/(1-$P$844))-74.7642)/172.2702,2),IF('Resumen 2.0TD'!$D$3="OPTIMIZAR",ROUND(MAX(AA846,MIN(AA846*(($AB$844/(1-'Resumen 2.0TD'!$F$3))-74.7642)/172.2702,AA846*(377.5036)/172.2702)),3),AA846))</f>
        <v>622.654</v>
      </c>
      <c r="C846" s="118"/>
      <c r="D846" s="107" t="n">
        <v>0.110306</v>
      </c>
      <c r="E846" s="108" t="n">
        <v>0.1724</v>
      </c>
      <c r="F846" s="109" t="n">
        <f aca="false">ROUND(B846*E846,2)</f>
        <v>107.35</v>
      </c>
      <c r="H846" s="110" t="n">
        <v>644.924</v>
      </c>
      <c r="I846" s="111" t="n">
        <v>0.1724</v>
      </c>
      <c r="J846" s="112" t="n">
        <f aca="false">ROUND(H846*I846,2)</f>
        <v>111.18</v>
      </c>
      <c r="L846" s="113" t="n">
        <v>402.404</v>
      </c>
      <c r="M846" s="114" t="n">
        <v>0.1724</v>
      </c>
      <c r="N846" s="115" t="n">
        <f aca="false">ROUND(L846*M846,2)</f>
        <v>69.37</v>
      </c>
      <c r="O846" s="120" t="s">
        <v>622</v>
      </c>
      <c r="AA846" s="0" t="n">
        <v>622.654</v>
      </c>
    </row>
    <row r="847" customFormat="false" ht="15" hidden="false" customHeight="false" outlineLevel="0" collapsed="false">
      <c r="A847" s="104" t="s">
        <v>139</v>
      </c>
      <c r="B847" s="105" t="n">
        <v>1</v>
      </c>
      <c r="C847" s="106" t="n">
        <f aca="false">$N$839-$L$839+1</f>
        <v>30</v>
      </c>
      <c r="D847" s="107" t="n">
        <v>1.3414</v>
      </c>
      <c r="E847" s="108" t="n">
        <v>6</v>
      </c>
      <c r="F847" s="109" t="n">
        <f aca="false">ROUND(B847*E847,2)</f>
        <v>6</v>
      </c>
      <c r="H847" s="110" t="n">
        <v>1</v>
      </c>
      <c r="I847" s="111" t="n">
        <v>6</v>
      </c>
      <c r="J847" s="112" t="n">
        <f aca="false">ROUND(H847*I847,2)</f>
        <v>6</v>
      </c>
      <c r="L847" s="113" t="n">
        <v>1</v>
      </c>
      <c r="M847" s="114" t="n">
        <v>6</v>
      </c>
      <c r="N847" s="115" t="n">
        <f aca="false">ROUND(L847*M847,2)</f>
        <v>6</v>
      </c>
    </row>
    <row r="848" customFormat="false" ht="15" hidden="false" customHeight="false" outlineLevel="0" collapsed="false">
      <c r="A848" s="104" t="s">
        <v>140</v>
      </c>
      <c r="B848" s="105" t="n">
        <v>30</v>
      </c>
      <c r="C848" s="106" t="n">
        <f aca="false">$N$839-$L$839+1</f>
        <v>30</v>
      </c>
      <c r="D848" s="107" t="n">
        <v>0.5736</v>
      </c>
      <c r="E848" s="108" t="n">
        <v>0.01274</v>
      </c>
      <c r="F848" s="109" t="n">
        <f aca="false">ROUND(B848*E848,2)</f>
        <v>0.38</v>
      </c>
      <c r="H848" s="110" t="n">
        <v>30</v>
      </c>
      <c r="I848" s="111" t="n">
        <v>0.01274</v>
      </c>
      <c r="J848" s="112" t="n">
        <f aca="false">ROUND(H848*I848,2)</f>
        <v>0.38</v>
      </c>
      <c r="L848" s="113" t="n">
        <v>30</v>
      </c>
      <c r="M848" s="114" t="n">
        <v>0.00629</v>
      </c>
      <c r="N848" s="115" t="n">
        <f aca="false">ROUND(L848*M848,2)</f>
        <v>0.19</v>
      </c>
    </row>
    <row r="849" customFormat="false" ht="15" hidden="false" customHeight="false" outlineLevel="0" collapsed="false">
      <c r="A849" s="104" t="s">
        <v>141</v>
      </c>
      <c r="B849" s="105" t="n">
        <v>11.94</v>
      </c>
      <c r="C849" s="118"/>
      <c r="D849" s="107" t="n">
        <v>0.24729</v>
      </c>
      <c r="E849" s="108" t="n">
        <v>1</v>
      </c>
      <c r="F849" s="109" t="n">
        <f aca="false">ROUND(B849*E849,2)</f>
        <v>11.94</v>
      </c>
      <c r="H849" s="110" t="n">
        <v>13.32</v>
      </c>
      <c r="I849" s="111" t="n">
        <v>1</v>
      </c>
      <c r="J849" s="112" t="n">
        <f aca="false">ROUND(H849*I849,2)</f>
        <v>13.32</v>
      </c>
      <c r="L849" s="113" t="n">
        <v>8.56</v>
      </c>
      <c r="M849" s="114" t="n">
        <v>1</v>
      </c>
      <c r="N849" s="115" t="n">
        <f aca="false">ROUND(L849*M849,2)</f>
        <v>8.56</v>
      </c>
    </row>
    <row r="850" customFormat="false" ht="15" hidden="false" customHeight="false" outlineLevel="0" collapsed="false">
      <c r="A850" s="121" t="s">
        <v>142</v>
      </c>
      <c r="F850" s="122" t="n">
        <f aca="false">ROUND((SUM(F842:F849)-F849)*1.1+F849,2)</f>
        <v>290.7</v>
      </c>
      <c r="J850" s="123" t="n">
        <f aca="false">ROUND(SUM(J842:J849),2)</f>
        <v>290.5</v>
      </c>
      <c r="N850" s="124" t="n">
        <f aca="false">ROUND(SUM(N842:N849),2)</f>
        <v>197.06</v>
      </c>
    </row>
    <row r="851" customFormat="false" ht="15" hidden="false" customHeight="false" outlineLevel="0" collapsed="false">
      <c r="A851" s="93" t="s">
        <v>143</v>
      </c>
      <c r="B851" s="125" t="n">
        <f aca="false">IF((F846+F845+F844+F842+F843)=0,"",((F846+F845+F844+F842+F843)-$AB$844)/(F846+F845+F844+F842+F843))</f>
        <v>0.364280907780117</v>
      </c>
      <c r="D851" s="126" t="str">
        <f aca="false">IF(B851="","SIN PC",IF(B851&gt;=0.3,"APROBAR",IF(B851&gt;=0.2,"REVISAR","RECHAZAR")))</f>
        <v>APROBAR</v>
      </c>
      <c r="E851" s="126"/>
      <c r="F851" s="126"/>
      <c r="AD851" s="0" t="n">
        <f aca="false">SUM(F844:F846)-172.2702</f>
        <v>0.00980000000001269</v>
      </c>
    </row>
    <row r="852" customFormat="false" ht="15" hidden="false" customHeight="false" outlineLevel="0" collapsed="false">
      <c r="A852" s="127" t="s">
        <v>744</v>
      </c>
      <c r="B852" s="127"/>
      <c r="C852" s="127"/>
      <c r="D852" s="127"/>
      <c r="E852" s="127"/>
      <c r="F852" s="127"/>
    </row>
    <row r="853" customFormat="false" ht="15" hidden="false" customHeight="false" outlineLevel="0" collapsed="false">
      <c r="A853" s="128" t="s">
        <v>111</v>
      </c>
      <c r="B853" s="128" t="s">
        <v>745</v>
      </c>
      <c r="D853" s="128" t="s">
        <v>746</v>
      </c>
      <c r="E853" s="128" t="s">
        <v>747</v>
      </c>
      <c r="F853" s="128" t="s">
        <v>120</v>
      </c>
    </row>
    <row r="854" customFormat="false" ht="15" hidden="false" customHeight="false" outlineLevel="0" collapsed="false">
      <c r="A854" s="129" t="s">
        <v>748</v>
      </c>
      <c r="B854" s="130" t="n">
        <v>368</v>
      </c>
      <c r="C854" s="131"/>
      <c r="D854" s="107" t="n">
        <v>0.06</v>
      </c>
      <c r="E854" s="131"/>
      <c r="F854" s="132" t="n">
        <f aca="false">ROUND(B854*D854,2)</f>
        <v>22.08</v>
      </c>
    </row>
    <row r="855" customFormat="false" ht="15" hidden="false" customHeight="false" outlineLevel="0" collapsed="false">
      <c r="A855" s="129" t="s">
        <v>749</v>
      </c>
      <c r="B855" s="131"/>
      <c r="C855" s="131"/>
      <c r="D855" s="131"/>
      <c r="E855" s="133" t="n">
        <v>0.06</v>
      </c>
      <c r="F855" s="132" t="n">
        <v>13.63</v>
      </c>
    </row>
    <row r="856" customFormat="false" ht="15" hidden="false" customHeight="false" outlineLevel="0" collapsed="false">
      <c r="A856" s="134" t="s">
        <v>750</v>
      </c>
      <c r="B856" s="131"/>
      <c r="C856" s="131"/>
      <c r="D856" s="131"/>
      <c r="E856" s="131"/>
      <c r="F856" s="135" t="n">
        <f aca="false">F854-F855</f>
        <v>8.45</v>
      </c>
    </row>
    <row r="858" customFormat="false" ht="15" hidden="false" customHeight="false" outlineLevel="0" collapsed="false">
      <c r="A858" s="89" t="s">
        <v>1021</v>
      </c>
      <c r="B858" s="89"/>
      <c r="C858" s="89"/>
      <c r="D858" s="89"/>
      <c r="E858" s="89"/>
      <c r="F858" s="89"/>
      <c r="H858" s="89" t="s">
        <v>736</v>
      </c>
      <c r="I858" s="89"/>
      <c r="J858" s="89"/>
      <c r="K858" s="89"/>
      <c r="L858" s="90" t="n">
        <v>46113</v>
      </c>
      <c r="M858" s="91" t="s">
        <v>608</v>
      </c>
      <c r="N858" s="90" t="n">
        <v>46142</v>
      </c>
      <c r="R858" s="92" t="s">
        <v>110</v>
      </c>
      <c r="S858" s="92"/>
      <c r="T858" s="92"/>
      <c r="U858" s="92"/>
      <c r="V858" s="92"/>
    </row>
    <row r="859" customFormat="false" ht="15" hidden="false" customHeight="false" outlineLevel="0" collapsed="false">
      <c r="A859" s="93" t="s">
        <v>111</v>
      </c>
      <c r="B859" s="94" t="s">
        <v>112</v>
      </c>
      <c r="C859" s="95"/>
      <c r="D859" s="95"/>
      <c r="E859" s="95"/>
      <c r="F859" s="95"/>
      <c r="H859" s="96" t="s">
        <v>737</v>
      </c>
      <c r="I859" s="97"/>
      <c r="J859" s="97"/>
      <c r="L859" s="98" t="s">
        <v>738</v>
      </c>
      <c r="M859" s="99"/>
      <c r="N859" s="99"/>
      <c r="R859" s="100" t="s">
        <v>739</v>
      </c>
    </row>
    <row r="860" customFormat="false" ht="15" hidden="false" customHeight="false" outlineLevel="0" collapsed="false">
      <c r="B860" s="81" t="s">
        <v>116</v>
      </c>
      <c r="C860" s="81" t="s">
        <v>117</v>
      </c>
      <c r="D860" s="81" t="s">
        <v>118</v>
      </c>
      <c r="E860" s="81" t="s">
        <v>119</v>
      </c>
      <c r="F860" s="81" t="s">
        <v>120</v>
      </c>
      <c r="H860" s="101" t="s">
        <v>116</v>
      </c>
      <c r="I860" s="101" t="s">
        <v>119</v>
      </c>
      <c r="J860" s="101" t="s">
        <v>120</v>
      </c>
      <c r="L860" s="102" t="s">
        <v>116</v>
      </c>
      <c r="M860" s="102" t="s">
        <v>119</v>
      </c>
      <c r="N860" s="102" t="s">
        <v>120</v>
      </c>
      <c r="R860" s="103" t="s">
        <v>740</v>
      </c>
    </row>
    <row r="861" customFormat="false" ht="15" hidden="false" customHeight="false" outlineLevel="0" collapsed="false">
      <c r="A861" s="104" t="s">
        <v>122</v>
      </c>
      <c r="B861" s="105" t="n">
        <v>9.2</v>
      </c>
      <c r="C861" s="106" t="n">
        <f aca="false">$N$858-$L$858+1</f>
        <v>30</v>
      </c>
      <c r="D861" s="107" t="n">
        <v>3.4086</v>
      </c>
      <c r="E861" s="108" t="n">
        <v>4.17</v>
      </c>
      <c r="F861" s="109" t="n">
        <f aca="false">ROUND(B861*E861,2)</f>
        <v>38.36</v>
      </c>
      <c r="H861" s="110" t="n">
        <v>9.2</v>
      </c>
      <c r="I861" s="111" t="n">
        <v>4.17</v>
      </c>
      <c r="J861" s="112" t="n">
        <f aca="false">ROUND(H861*I861,2)</f>
        <v>38.36</v>
      </c>
      <c r="L861" s="113" t="n">
        <v>9.2</v>
      </c>
      <c r="M861" s="114" t="n">
        <v>4.17</v>
      </c>
      <c r="N861" s="115" t="n">
        <f aca="false">ROUND(L861*M861,2)</f>
        <v>38.36</v>
      </c>
      <c r="R861" s="116" t="s">
        <v>741</v>
      </c>
    </row>
    <row r="862" customFormat="false" ht="15" hidden="false" customHeight="false" outlineLevel="0" collapsed="false">
      <c r="A862" s="104" t="s">
        <v>124</v>
      </c>
      <c r="B862" s="105" t="n">
        <v>9.2</v>
      </c>
      <c r="C862" s="106" t="n">
        <f aca="false">$N$858-$L$858+1</f>
        <v>30</v>
      </c>
      <c r="D862" s="107" t="n">
        <v>1.09728</v>
      </c>
      <c r="E862" s="108" t="n">
        <v>1.37</v>
      </c>
      <c r="F862" s="109" t="n">
        <f aca="false">ROUND(B862*E862,2)</f>
        <v>12.6</v>
      </c>
      <c r="H862" s="110" t="n">
        <v>9.2</v>
      </c>
      <c r="I862" s="111" t="n">
        <v>1.37</v>
      </c>
      <c r="J862" s="112" t="n">
        <f aca="false">ROUND(H862*I862,2)</f>
        <v>12.6</v>
      </c>
      <c r="L862" s="113" t="n">
        <v>9.2</v>
      </c>
      <c r="M862" s="114" t="n">
        <v>1.37</v>
      </c>
      <c r="N862" s="115" t="n">
        <f aca="false">ROUND(L862*M862,2)</f>
        <v>12.6</v>
      </c>
      <c r="R862" s="117" t="s">
        <v>742</v>
      </c>
    </row>
    <row r="863" customFormat="false" ht="15" hidden="false" customHeight="false" outlineLevel="0" collapsed="false">
      <c r="A863" s="104" t="s">
        <v>615</v>
      </c>
      <c r="B863" s="105" t="n">
        <f aca="false">IF($P$863&lt;&gt;"",ROUND(AA863*(($AB$863/(1-$P$863))-50.968)/151.1427,2),IF('Resumen 2.0TD'!$D$3="OPTIMIZAR",ROUND(MAX(AA863,MIN(AA863*(($AB$863/(1-'Resumen 2.0TD'!$F$3))-50.968)/151.1427,AA863*(171.1098)/151.1427)),3),AA863))</f>
        <v>113.96</v>
      </c>
      <c r="C863" s="118"/>
      <c r="D863" s="107" t="n">
        <v>0.110306</v>
      </c>
      <c r="E863" s="108" t="n">
        <v>0.14937</v>
      </c>
      <c r="F863" s="109" t="n">
        <f aca="false">ROUND(B863*E863,2)</f>
        <v>17.02</v>
      </c>
      <c r="H863" s="110" t="n">
        <v>96.082</v>
      </c>
      <c r="I863" s="111" t="n">
        <v>0.14937</v>
      </c>
      <c r="J863" s="112" t="n">
        <f aca="false">ROUND(H863*I863,2)</f>
        <v>14.35</v>
      </c>
      <c r="L863" s="113" t="n">
        <v>106.421</v>
      </c>
      <c r="M863" s="114" t="n">
        <v>0.14937</v>
      </c>
      <c r="N863" s="115" t="n">
        <f aca="false">ROUND(L863*M863,2)</f>
        <v>15.9</v>
      </c>
      <c r="O863" s="119" t="s">
        <v>616</v>
      </c>
      <c r="P863" s="79"/>
      <c r="R863" s="117" t="s">
        <v>743</v>
      </c>
      <c r="AA863" s="0" t="n">
        <v>113.96</v>
      </c>
      <c r="AB863" s="0" t="n">
        <f aca="false">B861*D861+B862*D862+AA863*D863+AA864*D864+AA865*D865</f>
        <v>153.069207608</v>
      </c>
    </row>
    <row r="864" customFormat="false" ht="15" hidden="false" customHeight="false" outlineLevel="0" collapsed="false">
      <c r="A864" s="104" t="s">
        <v>618</v>
      </c>
      <c r="B864" s="105" t="n">
        <f aca="false">IF($P$863&lt;&gt;"",ROUND(AA864*(($AB$863/(1-$P$863))-50.968)/151.1427,2),IF('Resumen 2.0TD'!$D$3="OPTIMIZAR",ROUND(MAX(AA864,MIN(AA864*(($AB$863/(1-'Resumen 2.0TD'!$F$3))-50.968)/151.1427,AA864*(171.1098)/151.1427)),3),AA864))</f>
        <v>192.413</v>
      </c>
      <c r="C864" s="118"/>
      <c r="D864" s="107" t="n">
        <v>0.110306</v>
      </c>
      <c r="E864" s="108" t="n">
        <v>0.14937</v>
      </c>
      <c r="F864" s="109" t="n">
        <f aca="false">ROUND(B864*E864,2)</f>
        <v>28.74</v>
      </c>
      <c r="H864" s="110" t="n">
        <v>96.138</v>
      </c>
      <c r="I864" s="111" t="n">
        <v>0.14937</v>
      </c>
      <c r="J864" s="112" t="n">
        <f aca="false">ROUND(H864*I864,2)</f>
        <v>14.36</v>
      </c>
      <c r="L864" s="113" t="n">
        <v>134.85</v>
      </c>
      <c r="M864" s="114" t="n">
        <v>0.14937</v>
      </c>
      <c r="N864" s="115" t="n">
        <f aca="false">ROUND(L864*M864,2)</f>
        <v>20.14</v>
      </c>
      <c r="O864" s="120" t="s">
        <v>619</v>
      </c>
      <c r="R864" s="117" t="s">
        <v>620</v>
      </c>
      <c r="AA864" s="0" t="n">
        <v>192.413</v>
      </c>
    </row>
    <row r="865" customFormat="false" ht="15" hidden="false" customHeight="false" outlineLevel="0" collapsed="false">
      <c r="A865" s="104" t="s">
        <v>621</v>
      </c>
      <c r="B865" s="105" t="n">
        <f aca="false">IF($P$863&lt;&gt;"",ROUND(AA865*(($AB$863/(1-$P$863))-50.968)/151.1427,2),IF('Resumen 2.0TD'!$D$3="OPTIMIZAR",ROUND(MAX(AA865,MIN(AA865*(($AB$863/(1-'Resumen 2.0TD'!$F$3))-50.968)/151.1427,AA865*(171.1098)/151.1427)),3),AA865))</f>
        <v>705.495</v>
      </c>
      <c r="C865" s="118"/>
      <c r="D865" s="107" t="n">
        <v>0.110306</v>
      </c>
      <c r="E865" s="108" t="n">
        <v>0.14937</v>
      </c>
      <c r="F865" s="109" t="n">
        <f aca="false">ROUND(B865*E865,2)</f>
        <v>105.38</v>
      </c>
      <c r="H865" s="110" t="n">
        <v>293.989</v>
      </c>
      <c r="I865" s="111" t="n">
        <v>0.14937</v>
      </c>
      <c r="J865" s="112" t="n">
        <f aca="false">ROUND(H865*I865,2)</f>
        <v>43.91</v>
      </c>
      <c r="L865" s="113" t="n">
        <v>432.121</v>
      </c>
      <c r="M865" s="114" t="n">
        <v>0.14937</v>
      </c>
      <c r="N865" s="115" t="n">
        <f aca="false">ROUND(L865*M865,2)</f>
        <v>64.55</v>
      </c>
      <c r="O865" s="120" t="s">
        <v>622</v>
      </c>
      <c r="AA865" s="0" t="n">
        <v>705.495</v>
      </c>
    </row>
    <row r="866" customFormat="false" ht="15" hidden="false" customHeight="false" outlineLevel="0" collapsed="false">
      <c r="A866" s="104" t="s">
        <v>139</v>
      </c>
      <c r="B866" s="105" t="n">
        <v>1</v>
      </c>
      <c r="C866" s="106" t="n">
        <f aca="false">$N$858-$L$858+1</f>
        <v>30</v>
      </c>
      <c r="D866" s="107" t="n">
        <v>0.7989</v>
      </c>
      <c r="E866" s="108" t="n">
        <v>4</v>
      </c>
      <c r="F866" s="109" t="n">
        <f aca="false">ROUND(B866*E866,2)</f>
        <v>4</v>
      </c>
      <c r="H866" s="110" t="n">
        <v>1</v>
      </c>
      <c r="I866" s="111" t="n">
        <v>4</v>
      </c>
      <c r="J866" s="112" t="n">
        <f aca="false">ROUND(H866*I866,2)</f>
        <v>4</v>
      </c>
      <c r="L866" s="113" t="n">
        <v>1</v>
      </c>
      <c r="M866" s="114" t="n">
        <v>4</v>
      </c>
      <c r="N866" s="115" t="n">
        <f aca="false">ROUND(L866*M866,2)</f>
        <v>4</v>
      </c>
    </row>
    <row r="867" customFormat="false" ht="15" hidden="false" customHeight="false" outlineLevel="0" collapsed="false">
      <c r="A867" s="104" t="s">
        <v>140</v>
      </c>
      <c r="B867" s="105" t="n">
        <v>30</v>
      </c>
      <c r="C867" s="106" t="n">
        <f aca="false">$N$858-$L$858+1</f>
        <v>30</v>
      </c>
      <c r="D867" s="107" t="n">
        <v>0.5736</v>
      </c>
      <c r="E867" s="108" t="n">
        <v>0.01274</v>
      </c>
      <c r="F867" s="109" t="n">
        <f aca="false">ROUND(B867*E867,2)</f>
        <v>0.38</v>
      </c>
      <c r="H867" s="110" t="n">
        <v>30</v>
      </c>
      <c r="I867" s="111" t="n">
        <v>0.01274</v>
      </c>
      <c r="J867" s="112" t="n">
        <f aca="false">ROUND(H867*I867,2)</f>
        <v>0.38</v>
      </c>
      <c r="L867" s="113" t="n">
        <v>30</v>
      </c>
      <c r="M867" s="114" t="n">
        <v>0.00629</v>
      </c>
      <c r="N867" s="115" t="n">
        <f aca="false">ROUND(L867*M867,2)</f>
        <v>0.19</v>
      </c>
    </row>
    <row r="868" customFormat="false" ht="15" hidden="false" customHeight="false" outlineLevel="0" collapsed="false">
      <c r="A868" s="104" t="s">
        <v>141</v>
      </c>
      <c r="B868" s="105" t="n">
        <v>10.21</v>
      </c>
      <c r="C868" s="118"/>
      <c r="D868" s="107" t="n">
        <v>0.24729</v>
      </c>
      <c r="E868" s="108" t="n">
        <v>1</v>
      </c>
      <c r="F868" s="109" t="n">
        <f aca="false">ROUND(B868*E868,2)</f>
        <v>10.21</v>
      </c>
      <c r="H868" s="110" t="n">
        <v>6.2</v>
      </c>
      <c r="I868" s="111" t="n">
        <v>1</v>
      </c>
      <c r="J868" s="112" t="n">
        <f aca="false">ROUND(H868*I868,2)</f>
        <v>6.2</v>
      </c>
      <c r="L868" s="113" t="n">
        <v>7.41</v>
      </c>
      <c r="M868" s="114" t="n">
        <v>1</v>
      </c>
      <c r="N868" s="115" t="n">
        <f aca="false">ROUND(L868*M868,2)</f>
        <v>7.41</v>
      </c>
    </row>
    <row r="869" customFormat="false" ht="15" hidden="false" customHeight="false" outlineLevel="0" collapsed="false">
      <c r="A869" s="121" t="s">
        <v>142</v>
      </c>
      <c r="F869" s="122" t="n">
        <f aca="false">ROUND((SUM(F861:F868)-F868)*1.1+F868,2)</f>
        <v>237.34</v>
      </c>
      <c r="J869" s="123" t="n">
        <f aca="false">ROUND(SUM(J861:J868),2)</f>
        <v>134.16</v>
      </c>
      <c r="N869" s="124" t="n">
        <f aca="false">ROUND(SUM(N861:N868),2)</f>
        <v>163.15</v>
      </c>
    </row>
    <row r="870" customFormat="false" ht="15" hidden="false" customHeight="false" outlineLevel="0" collapsed="false">
      <c r="A870" s="93" t="s">
        <v>143</v>
      </c>
      <c r="B870" s="125" t="n">
        <f aca="false">IF((F865+F864+F863+F861+F862)=0,"",((F865+F864+F863+F861+F862)-$AB$863)/(F865+F864+F863+F861+F862))</f>
        <v>0.242606592736269</v>
      </c>
      <c r="D870" s="126" t="str">
        <f aca="false">IF(B870="","SIN PC",IF(B870&gt;=0.3,"APROBAR",IF(B870&gt;=0.2,"REVISAR","RECHAZAR")))</f>
        <v>REVISAR</v>
      </c>
      <c r="E870" s="126"/>
      <c r="F870" s="126"/>
      <c r="AD870" s="0" t="n">
        <f aca="false">SUM(F863:F865)-151.1427</f>
        <v>-0.00270000000000437</v>
      </c>
    </row>
    <row r="871" customFormat="false" ht="15" hidden="false" customHeight="false" outlineLevel="0" collapsed="false">
      <c r="A871" s="127" t="s">
        <v>744</v>
      </c>
      <c r="B871" s="127"/>
      <c r="C871" s="127"/>
      <c r="D871" s="127"/>
      <c r="E871" s="127"/>
      <c r="F871" s="127"/>
    </row>
    <row r="872" customFormat="false" ht="15" hidden="false" customHeight="false" outlineLevel="0" collapsed="false">
      <c r="A872" s="128" t="s">
        <v>111</v>
      </c>
      <c r="B872" s="128" t="s">
        <v>745</v>
      </c>
      <c r="D872" s="128" t="s">
        <v>746</v>
      </c>
      <c r="E872" s="128" t="s">
        <v>747</v>
      </c>
      <c r="F872" s="128" t="s">
        <v>120</v>
      </c>
    </row>
    <row r="873" customFormat="false" ht="15" hidden="false" customHeight="false" outlineLevel="0" collapsed="false">
      <c r="A873" s="129" t="s">
        <v>748</v>
      </c>
      <c r="B873" s="130" t="n">
        <v>43</v>
      </c>
      <c r="C873" s="131"/>
      <c r="D873" s="107" t="n">
        <v>0.06</v>
      </c>
      <c r="E873" s="131"/>
      <c r="F873" s="132" t="n">
        <f aca="false">ROUND(B873*D873,2)</f>
        <v>2.58</v>
      </c>
    </row>
    <row r="874" customFormat="false" ht="15" hidden="false" customHeight="false" outlineLevel="0" collapsed="false">
      <c r="A874" s="129" t="s">
        <v>749</v>
      </c>
      <c r="B874" s="131"/>
      <c r="C874" s="131"/>
      <c r="D874" s="131"/>
      <c r="E874" s="133" t="n">
        <v>0.06</v>
      </c>
      <c r="F874" s="132" t="n">
        <v>2.53</v>
      </c>
    </row>
    <row r="875" customFormat="false" ht="15" hidden="false" customHeight="false" outlineLevel="0" collapsed="false">
      <c r="A875" s="134" t="s">
        <v>750</v>
      </c>
      <c r="B875" s="131"/>
      <c r="C875" s="131"/>
      <c r="D875" s="131"/>
      <c r="E875" s="131"/>
      <c r="F875" s="135" t="n">
        <f aca="false">F873-F874</f>
        <v>0.0500000000000003</v>
      </c>
    </row>
    <row r="877" customFormat="false" ht="15" hidden="false" customHeight="false" outlineLevel="0" collapsed="false">
      <c r="A877" s="89" t="s">
        <v>1022</v>
      </c>
      <c r="B877" s="89"/>
      <c r="C877" s="89"/>
      <c r="D877" s="89"/>
      <c r="E877" s="89"/>
      <c r="F877" s="89"/>
      <c r="H877" s="89" t="s">
        <v>1023</v>
      </c>
      <c r="I877" s="89"/>
      <c r="J877" s="89"/>
      <c r="K877" s="89"/>
      <c r="L877" s="90" t="n">
        <v>46113</v>
      </c>
      <c r="M877" s="91" t="s">
        <v>608</v>
      </c>
      <c r="N877" s="90" t="n">
        <v>46142</v>
      </c>
      <c r="R877" s="92" t="s">
        <v>110</v>
      </c>
      <c r="S877" s="92"/>
      <c r="T877" s="92"/>
      <c r="U877" s="92"/>
      <c r="V877" s="92"/>
    </row>
    <row r="878" customFormat="false" ht="15" hidden="false" customHeight="false" outlineLevel="0" collapsed="false">
      <c r="A878" s="93" t="s">
        <v>111</v>
      </c>
      <c r="B878" s="94" t="s">
        <v>112</v>
      </c>
      <c r="C878" s="95"/>
      <c r="D878" s="95"/>
      <c r="E878" s="95"/>
      <c r="F878" s="95"/>
      <c r="H878" s="96" t="s">
        <v>1024</v>
      </c>
      <c r="I878" s="97"/>
      <c r="J878" s="97"/>
      <c r="L878" s="98" t="s">
        <v>1025</v>
      </c>
      <c r="M878" s="99"/>
      <c r="N878" s="99"/>
      <c r="R878" s="100" t="s">
        <v>1026</v>
      </c>
    </row>
    <row r="879" customFormat="false" ht="15" hidden="false" customHeight="false" outlineLevel="0" collapsed="false">
      <c r="B879" s="81" t="s">
        <v>116</v>
      </c>
      <c r="C879" s="81" t="s">
        <v>117</v>
      </c>
      <c r="D879" s="81" t="s">
        <v>118</v>
      </c>
      <c r="E879" s="81" t="s">
        <v>119</v>
      </c>
      <c r="F879" s="81" t="s">
        <v>120</v>
      </c>
      <c r="H879" s="101" t="s">
        <v>116</v>
      </c>
      <c r="I879" s="101" t="s">
        <v>119</v>
      </c>
      <c r="J879" s="101" t="s">
        <v>120</v>
      </c>
      <c r="L879" s="102" t="s">
        <v>116</v>
      </c>
      <c r="M879" s="102" t="s">
        <v>119</v>
      </c>
      <c r="N879" s="102" t="s">
        <v>120</v>
      </c>
      <c r="R879" s="103" t="s">
        <v>1027</v>
      </c>
    </row>
    <row r="880" customFormat="false" ht="15" hidden="false" customHeight="false" outlineLevel="0" collapsed="false">
      <c r="A880" s="104" t="s">
        <v>122</v>
      </c>
      <c r="B880" s="105" t="n">
        <v>5.75</v>
      </c>
      <c r="C880" s="106" t="n">
        <f aca="false">$N$877-$L$877+1</f>
        <v>30</v>
      </c>
      <c r="D880" s="107" t="n">
        <v>3.68919</v>
      </c>
      <c r="E880" s="108" t="n">
        <v>3.85</v>
      </c>
      <c r="F880" s="109" t="n">
        <f aca="false">ROUND(B880*E880,2)</f>
        <v>22.14</v>
      </c>
      <c r="H880" s="110" t="n">
        <v>5.75</v>
      </c>
      <c r="I880" s="111" t="n">
        <v>3.85</v>
      </c>
      <c r="J880" s="112" t="n">
        <f aca="false">ROUND(H880*I880,2)</f>
        <v>22.14</v>
      </c>
      <c r="L880" s="113" t="n">
        <v>5.75</v>
      </c>
      <c r="M880" s="114" t="n">
        <v>3.85</v>
      </c>
      <c r="N880" s="115" t="n">
        <f aca="false">ROUND(L880*M880,2)</f>
        <v>22.14</v>
      </c>
      <c r="R880" s="116" t="s">
        <v>1028</v>
      </c>
    </row>
    <row r="881" customFormat="false" ht="15" hidden="false" customHeight="false" outlineLevel="0" collapsed="false">
      <c r="A881" s="104" t="s">
        <v>124</v>
      </c>
      <c r="B881" s="105" t="n">
        <v>5.75</v>
      </c>
      <c r="C881" s="106" t="n">
        <f aca="false">$N$877-$L$877+1</f>
        <v>30</v>
      </c>
      <c r="D881" s="107" t="n">
        <v>1.31928</v>
      </c>
      <c r="E881" s="108" t="n">
        <v>1.33</v>
      </c>
      <c r="F881" s="109" t="n">
        <f aca="false">ROUND(B881*E881,2)</f>
        <v>7.65</v>
      </c>
      <c r="H881" s="110" t="n">
        <v>5.75</v>
      </c>
      <c r="I881" s="111" t="n">
        <v>1.33</v>
      </c>
      <c r="J881" s="112" t="n">
        <f aca="false">ROUND(H881*I881,2)</f>
        <v>7.65</v>
      </c>
      <c r="L881" s="113" t="n">
        <v>5.75</v>
      </c>
      <c r="M881" s="114" t="n">
        <v>1.33</v>
      </c>
      <c r="N881" s="115" t="n">
        <f aca="false">ROUND(L881*M881,2)</f>
        <v>7.65</v>
      </c>
      <c r="R881" s="117" t="s">
        <v>1029</v>
      </c>
    </row>
    <row r="882" customFormat="false" ht="15" hidden="false" customHeight="false" outlineLevel="0" collapsed="false">
      <c r="A882" s="104" t="s">
        <v>615</v>
      </c>
      <c r="B882" s="105" t="n">
        <f aca="false">IF($P$882&lt;&gt;"",ROUND(AA882*(($AB$882/(1-$P$882))-29.785)/26.9981,2),IF('Resumen 2.0TD'!$D$3="OPTIMIZAR",ROUND(MAX(AA882,MIN(AA882*(($AB$882/(1-'Resumen 2.0TD'!$F$3))-29.785)/26.9981,AA882*(239.6028)/26.9981)),3),AA882))</f>
        <v>44.552</v>
      </c>
      <c r="C882" s="118"/>
      <c r="D882" s="107" t="n">
        <v>0.111171</v>
      </c>
      <c r="E882" s="108" t="n">
        <v>0.13788</v>
      </c>
      <c r="F882" s="109" t="n">
        <f aca="false">ROUND(B882*E882,2)</f>
        <v>6.14</v>
      </c>
      <c r="H882" s="110" t="n">
        <v>202.672</v>
      </c>
      <c r="I882" s="111" t="n">
        <v>0.13788</v>
      </c>
      <c r="J882" s="112" t="n">
        <f aca="false">ROUND(H882*I882,2)</f>
        <v>27.94</v>
      </c>
      <c r="L882" s="113" t="n">
        <v>219.602</v>
      </c>
      <c r="M882" s="114" t="n">
        <v>0.13788</v>
      </c>
      <c r="N882" s="115" t="n">
        <f aca="false">ROUND(L882*M882,2)</f>
        <v>30.28</v>
      </c>
      <c r="O882" s="119" t="s">
        <v>616</v>
      </c>
      <c r="P882" s="79"/>
      <c r="R882" s="117" t="s">
        <v>1030</v>
      </c>
      <c r="AA882" s="0" t="n">
        <v>44.552</v>
      </c>
      <c r="AB882" s="0" t="n">
        <f aca="false">B880*D880+B881*D881+AA882*D882+AA883*D883+AA884*D884</f>
        <v>50.566984839</v>
      </c>
    </row>
    <row r="883" customFormat="false" ht="15" hidden="false" customHeight="false" outlineLevel="0" collapsed="false">
      <c r="A883" s="104" t="s">
        <v>618</v>
      </c>
      <c r="B883" s="105" t="n">
        <f aca="false">IF($P$882&lt;&gt;"",ROUND(AA883*(($AB$882/(1-$P$882))-29.785)/26.9981,2),IF('Resumen 2.0TD'!$D$3="OPTIMIZAR",ROUND(MAX(AA883,MIN(AA883*(($AB$882/(1-'Resumen 2.0TD'!$F$3))-29.785)/26.9981,AA883*(239.6028)/26.9981)),3),AA883))</f>
        <v>38.348</v>
      </c>
      <c r="C883" s="118"/>
      <c r="D883" s="107" t="n">
        <v>0.111171</v>
      </c>
      <c r="E883" s="108" t="n">
        <v>0.13788</v>
      </c>
      <c r="F883" s="109" t="n">
        <f aca="false">ROUND(B883*E883,2)</f>
        <v>5.29</v>
      </c>
      <c r="H883" s="110" t="n">
        <v>153.524</v>
      </c>
      <c r="I883" s="111" t="n">
        <v>0.13788</v>
      </c>
      <c r="J883" s="112" t="n">
        <f aca="false">ROUND(H883*I883,2)</f>
        <v>21.17</v>
      </c>
      <c r="L883" s="113" t="n">
        <v>170.548</v>
      </c>
      <c r="M883" s="114" t="n">
        <v>0.13788</v>
      </c>
      <c r="N883" s="115" t="n">
        <f aca="false">ROUND(L883*M883,2)</f>
        <v>23.52</v>
      </c>
      <c r="O883" s="120" t="s">
        <v>619</v>
      </c>
      <c r="R883" s="117" t="s">
        <v>620</v>
      </c>
      <c r="AA883" s="0" t="n">
        <v>38.348</v>
      </c>
    </row>
    <row r="884" customFormat="false" ht="15" hidden="false" customHeight="false" outlineLevel="0" collapsed="false">
      <c r="A884" s="104" t="s">
        <v>621</v>
      </c>
      <c r="B884" s="105" t="n">
        <f aca="false">IF($P$882&lt;&gt;"",ROUND(AA884*(($AB$882/(1-$P$882))-29.785)/26.9981,2),IF('Resumen 2.0TD'!$D$3="OPTIMIZAR",ROUND(MAX(AA884,MIN(AA884*(($AB$882/(1-'Resumen 2.0TD'!$F$3))-29.785)/26.9981,AA884*(239.6028)/26.9981)),3),AA884))</f>
        <v>112.909</v>
      </c>
      <c r="C884" s="118"/>
      <c r="D884" s="107" t="n">
        <v>0.111171</v>
      </c>
      <c r="E884" s="108" t="n">
        <v>0.13788</v>
      </c>
      <c r="F884" s="109" t="n">
        <f aca="false">ROUND(B884*E884,2)</f>
        <v>15.57</v>
      </c>
      <c r="H884" s="110" t="n">
        <v>347.574</v>
      </c>
      <c r="I884" s="111" t="n">
        <v>0.13788</v>
      </c>
      <c r="J884" s="112" t="n">
        <f aca="false">ROUND(H884*I884,2)</f>
        <v>47.92</v>
      </c>
      <c r="L884" s="113" t="n">
        <v>460.107</v>
      </c>
      <c r="M884" s="114" t="n">
        <v>0.13788</v>
      </c>
      <c r="N884" s="115" t="n">
        <f aca="false">ROUND(L884*M884,2)</f>
        <v>63.44</v>
      </c>
      <c r="O884" s="120" t="s">
        <v>622</v>
      </c>
      <c r="AA884" s="0" t="n">
        <v>112.909</v>
      </c>
    </row>
    <row r="885" customFormat="false" ht="15" hidden="false" customHeight="false" outlineLevel="0" collapsed="false">
      <c r="A885" s="104" t="s">
        <v>139</v>
      </c>
      <c r="B885" s="105" t="n">
        <v>1</v>
      </c>
      <c r="C885" s="106" t="n">
        <f aca="false">$N$877-$L$877+1</f>
        <v>30</v>
      </c>
      <c r="D885" s="107" t="n">
        <v>0.7989</v>
      </c>
      <c r="E885" s="108" t="n">
        <v>3</v>
      </c>
      <c r="F885" s="109" t="n">
        <f aca="false">ROUND(B885*E885,2)</f>
        <v>3</v>
      </c>
      <c r="H885" s="110" t="n">
        <v>1</v>
      </c>
      <c r="I885" s="111" t="n">
        <v>3</v>
      </c>
      <c r="J885" s="112" t="n">
        <f aca="false">ROUND(H885*I885,2)</f>
        <v>3</v>
      </c>
      <c r="L885" s="113" t="n">
        <v>1</v>
      </c>
      <c r="M885" s="114" t="n">
        <v>3</v>
      </c>
      <c r="N885" s="115" t="n">
        <f aca="false">ROUND(L885*M885,2)</f>
        <v>3</v>
      </c>
    </row>
    <row r="886" customFormat="false" ht="15" hidden="false" customHeight="false" outlineLevel="0" collapsed="false">
      <c r="A886" s="104" t="s">
        <v>140</v>
      </c>
      <c r="B886" s="105" t="n">
        <v>30</v>
      </c>
      <c r="C886" s="106" t="n">
        <f aca="false">$N$877-$L$877+1</f>
        <v>30</v>
      </c>
      <c r="D886" s="107" t="n">
        <v>0.5736</v>
      </c>
      <c r="E886" s="108" t="n">
        <v>0.01274</v>
      </c>
      <c r="F886" s="109" t="n">
        <f aca="false">ROUND(B886*E886,2)</f>
        <v>0.38</v>
      </c>
      <c r="H886" s="110" t="n">
        <v>30</v>
      </c>
      <c r="I886" s="111" t="n">
        <v>0.01274</v>
      </c>
      <c r="J886" s="112" t="n">
        <f aca="false">ROUND(H886*I886,2)</f>
        <v>0.38</v>
      </c>
      <c r="L886" s="113" t="n">
        <v>30</v>
      </c>
      <c r="M886" s="114" t="n">
        <v>0.00629</v>
      </c>
      <c r="N886" s="115" t="n">
        <f aca="false">ROUND(L886*M886,2)</f>
        <v>0.19</v>
      </c>
    </row>
    <row r="887" customFormat="false" ht="15" hidden="false" customHeight="false" outlineLevel="0" collapsed="false">
      <c r="A887" s="104" t="s">
        <v>141</v>
      </c>
      <c r="B887" s="105" t="n">
        <v>2.91</v>
      </c>
      <c r="C887" s="118"/>
      <c r="D887" s="107" t="n">
        <v>0.27312</v>
      </c>
      <c r="E887" s="108" t="n">
        <v>1</v>
      </c>
      <c r="F887" s="109" t="n">
        <f aca="false">ROUND(B887*E887,2)</f>
        <v>2.91</v>
      </c>
      <c r="H887" s="110" t="n">
        <v>6.49</v>
      </c>
      <c r="I887" s="111" t="n">
        <v>1</v>
      </c>
      <c r="J887" s="112" t="n">
        <f aca="false">ROUND(H887*I887,2)</f>
        <v>6.49</v>
      </c>
      <c r="L887" s="113" t="n">
        <v>7.52</v>
      </c>
      <c r="M887" s="114" t="n">
        <v>1</v>
      </c>
      <c r="N887" s="115" t="n">
        <f aca="false">ROUND(L887*M887,2)</f>
        <v>7.52</v>
      </c>
    </row>
    <row r="888" customFormat="false" ht="15" hidden="false" customHeight="false" outlineLevel="0" collapsed="false">
      <c r="A888" s="121" t="s">
        <v>142</v>
      </c>
      <c r="F888" s="122" t="n">
        <f aca="false">ROUND((SUM(F880:F887)-F887)*1.1+F887,2)</f>
        <v>69.1</v>
      </c>
      <c r="J888" s="123" t="n">
        <f aca="false">ROUND(SUM(J880:J887),2)</f>
        <v>136.69</v>
      </c>
      <c r="N888" s="124" t="n">
        <f aca="false">ROUND(SUM(N880:N887),2)</f>
        <v>157.74</v>
      </c>
    </row>
    <row r="889" customFormat="false" ht="15" hidden="false" customHeight="false" outlineLevel="0" collapsed="false">
      <c r="A889" s="93" t="s">
        <v>143</v>
      </c>
      <c r="B889" s="125" t="n">
        <f aca="false">IF((F884+F883+F882+F880+F881)=0,"",((F884+F883+F882+F880+F881)-$AB$882)/(F884+F883+F882+F880+F881))</f>
        <v>0.109579418225039</v>
      </c>
      <c r="D889" s="126" t="str">
        <f aca="false">IF(B889="","SIN PC",IF(B889&gt;=0.3,"APROBAR",IF(B889&gt;=0.2,"REVISAR","RECHAZAR")))</f>
        <v>RECHAZAR</v>
      </c>
      <c r="E889" s="126"/>
      <c r="F889" s="126"/>
      <c r="AD889" s="0" t="n">
        <f aca="false">SUM(F882:F884)-26.9981</f>
        <v>0.00189999999999912</v>
      </c>
    </row>
    <row r="891" customFormat="false" ht="15" hidden="false" customHeight="false" outlineLevel="0" collapsed="false">
      <c r="A891" s="89" t="s">
        <v>1031</v>
      </c>
      <c r="B891" s="89"/>
      <c r="C891" s="89"/>
      <c r="D891" s="89"/>
      <c r="E891" s="89"/>
      <c r="F891" s="89"/>
      <c r="H891" s="89" t="s">
        <v>1032</v>
      </c>
      <c r="I891" s="89"/>
      <c r="J891" s="89"/>
      <c r="K891" s="89"/>
      <c r="L891" s="90" t="n">
        <v>46113</v>
      </c>
      <c r="M891" s="91" t="s">
        <v>608</v>
      </c>
      <c r="N891" s="90" t="n">
        <v>46142</v>
      </c>
      <c r="R891" s="92" t="s">
        <v>110</v>
      </c>
      <c r="S891" s="92"/>
      <c r="T891" s="92"/>
      <c r="U891" s="92"/>
      <c r="V891" s="92"/>
    </row>
    <row r="892" customFormat="false" ht="15" hidden="false" customHeight="false" outlineLevel="0" collapsed="false">
      <c r="A892" s="93" t="s">
        <v>111</v>
      </c>
      <c r="B892" s="94" t="s">
        <v>112</v>
      </c>
      <c r="C892" s="95"/>
      <c r="D892" s="95"/>
      <c r="E892" s="95"/>
      <c r="F892" s="95"/>
      <c r="H892" s="96" t="s">
        <v>1033</v>
      </c>
      <c r="I892" s="97"/>
      <c r="J892" s="97"/>
      <c r="L892" s="98" t="s">
        <v>1034</v>
      </c>
      <c r="M892" s="99"/>
      <c r="N892" s="99"/>
      <c r="R892" s="100" t="s">
        <v>1035</v>
      </c>
    </row>
    <row r="893" customFormat="false" ht="15" hidden="false" customHeight="false" outlineLevel="0" collapsed="false">
      <c r="B893" s="81" t="s">
        <v>116</v>
      </c>
      <c r="C893" s="81" t="s">
        <v>117</v>
      </c>
      <c r="D893" s="81" t="s">
        <v>118</v>
      </c>
      <c r="E893" s="81" t="s">
        <v>119</v>
      </c>
      <c r="F893" s="81" t="s">
        <v>120</v>
      </c>
      <c r="H893" s="101" t="s">
        <v>116</v>
      </c>
      <c r="I893" s="101" t="s">
        <v>119</v>
      </c>
      <c r="J893" s="101" t="s">
        <v>120</v>
      </c>
      <c r="L893" s="102" t="s">
        <v>116</v>
      </c>
      <c r="M893" s="102" t="s">
        <v>119</v>
      </c>
      <c r="N893" s="102" t="s">
        <v>120</v>
      </c>
      <c r="R893" s="103" t="s">
        <v>1036</v>
      </c>
    </row>
    <row r="894" customFormat="false" ht="15" hidden="false" customHeight="false" outlineLevel="0" collapsed="false">
      <c r="A894" s="104" t="s">
        <v>122</v>
      </c>
      <c r="B894" s="105" t="n">
        <v>5.75</v>
      </c>
      <c r="C894" s="106" t="n">
        <f aca="false">$N$891-$L$891+1</f>
        <v>30</v>
      </c>
      <c r="D894" s="107" t="n">
        <v>3.68919</v>
      </c>
      <c r="E894" s="108" t="n">
        <v>3.85</v>
      </c>
      <c r="F894" s="109" t="n">
        <f aca="false">ROUND(B894*E894,2)</f>
        <v>22.14</v>
      </c>
      <c r="H894" s="110" t="n">
        <v>5.75</v>
      </c>
      <c r="I894" s="111" t="n">
        <v>3.85</v>
      </c>
      <c r="J894" s="112" t="n">
        <f aca="false">ROUND(H894*I894,2)</f>
        <v>22.14</v>
      </c>
      <c r="L894" s="113" t="n">
        <v>5.75</v>
      </c>
      <c r="M894" s="114" t="n">
        <v>3.85</v>
      </c>
      <c r="N894" s="115" t="n">
        <f aca="false">ROUND(L894*M894,2)</f>
        <v>22.14</v>
      </c>
      <c r="R894" s="116" t="s">
        <v>1037</v>
      </c>
    </row>
    <row r="895" customFormat="false" ht="15" hidden="false" customHeight="false" outlineLevel="0" collapsed="false">
      <c r="A895" s="104" t="s">
        <v>124</v>
      </c>
      <c r="B895" s="105" t="n">
        <v>5.75</v>
      </c>
      <c r="C895" s="106" t="n">
        <f aca="false">$N$891-$L$891+1</f>
        <v>30</v>
      </c>
      <c r="D895" s="107" t="n">
        <v>1.31928</v>
      </c>
      <c r="E895" s="108" t="n">
        <v>1.33</v>
      </c>
      <c r="F895" s="109" t="n">
        <f aca="false">ROUND(B895*E895,2)</f>
        <v>7.65</v>
      </c>
      <c r="H895" s="110" t="n">
        <v>5.75</v>
      </c>
      <c r="I895" s="111" t="n">
        <v>1.33</v>
      </c>
      <c r="J895" s="112" t="n">
        <f aca="false">ROUND(H895*I895,2)</f>
        <v>7.65</v>
      </c>
      <c r="L895" s="113" t="n">
        <v>5.75</v>
      </c>
      <c r="M895" s="114" t="n">
        <v>1.33</v>
      </c>
      <c r="N895" s="115" t="n">
        <f aca="false">ROUND(L895*M895,2)</f>
        <v>7.65</v>
      </c>
      <c r="R895" s="117" t="s">
        <v>1038</v>
      </c>
    </row>
    <row r="896" customFormat="false" ht="15" hidden="false" customHeight="false" outlineLevel="0" collapsed="false">
      <c r="A896" s="104" t="s">
        <v>615</v>
      </c>
      <c r="B896" s="105" t="n">
        <f aca="false">IF($P$896&lt;&gt;"",ROUND(AA896*(($AB$896/(1-$P$896))-29.785)/31.0224,2),IF('Resumen 2.0TD'!$D$3="OPTIMIZAR",ROUND(MAX(AA896,MIN(AA896*(($AB$896/(1-'Resumen 2.0TD'!$F$3))-29.785)/31.0224,AA896*(98.4128)/31.0224)),3),AA896))</f>
        <v>70.476</v>
      </c>
      <c r="C896" s="118"/>
      <c r="D896" s="107" t="n">
        <v>0.111171</v>
      </c>
      <c r="E896" s="108" t="n">
        <v>0.13788</v>
      </c>
      <c r="F896" s="109" t="n">
        <f aca="false">ROUND(B896*E896,2)</f>
        <v>9.72</v>
      </c>
      <c r="H896" s="110" t="n">
        <v>78.588</v>
      </c>
      <c r="I896" s="111" t="n">
        <v>0.13788</v>
      </c>
      <c r="J896" s="112" t="n">
        <f aca="false">ROUND(H896*I896,2)</f>
        <v>10.84</v>
      </c>
      <c r="L896" s="113" t="n">
        <v>54.723</v>
      </c>
      <c r="M896" s="114" t="n">
        <v>0.13788</v>
      </c>
      <c r="N896" s="115" t="n">
        <f aca="false">ROUND(L896*M896,2)</f>
        <v>7.55</v>
      </c>
      <c r="O896" s="119" t="s">
        <v>616</v>
      </c>
      <c r="P896" s="79"/>
      <c r="R896" s="117" t="s">
        <v>1039</v>
      </c>
      <c r="AA896" s="0" t="n">
        <v>70.476</v>
      </c>
      <c r="AB896" s="0" t="n">
        <f aca="false">B894*D894+B895*D895+AA896*D896+AA897*D897+AA898*D898</f>
        <v>53.811732816</v>
      </c>
    </row>
    <row r="897" customFormat="false" ht="15" hidden="false" customHeight="false" outlineLevel="0" collapsed="false">
      <c r="A897" s="104" t="s">
        <v>618</v>
      </c>
      <c r="B897" s="105" t="n">
        <f aca="false">IF($P$896&lt;&gt;"",ROUND(AA897*(($AB$896/(1-$P$896))-29.785)/31.0224,2),IF('Resumen 2.0TD'!$D$3="OPTIMIZAR",ROUND(MAX(AA897,MIN(AA897*(($AB$896/(1-'Resumen 2.0TD'!$F$3))-29.785)/31.0224,AA897*(98.4128)/31.0224)),3),AA897))</f>
        <v>56.161</v>
      </c>
      <c r="C897" s="118"/>
      <c r="D897" s="107" t="n">
        <v>0.111171</v>
      </c>
      <c r="E897" s="108" t="n">
        <v>0.13788</v>
      </c>
      <c r="F897" s="109" t="n">
        <f aca="false">ROUND(B897*E897,2)</f>
        <v>7.74</v>
      </c>
      <c r="H897" s="110" t="n">
        <v>64.725</v>
      </c>
      <c r="I897" s="111" t="n">
        <v>0.13788</v>
      </c>
      <c r="J897" s="112" t="n">
        <f aca="false">ROUND(H897*I897,2)</f>
        <v>8.92</v>
      </c>
      <c r="L897" s="113" t="n">
        <v>44.247</v>
      </c>
      <c r="M897" s="114" t="n">
        <v>0.13788</v>
      </c>
      <c r="N897" s="115" t="n">
        <f aca="false">ROUND(L897*M897,2)</f>
        <v>6.1</v>
      </c>
      <c r="O897" s="120" t="s">
        <v>619</v>
      </c>
      <c r="R897" s="117" t="s">
        <v>620</v>
      </c>
      <c r="AA897" s="0" t="n">
        <v>56.161</v>
      </c>
    </row>
    <row r="898" customFormat="false" ht="15" hidden="false" customHeight="false" outlineLevel="0" collapsed="false">
      <c r="A898" s="104" t="s">
        <v>621</v>
      </c>
      <c r="B898" s="105" t="n">
        <f aca="false">IF($P$896&lt;&gt;"",ROUND(AA898*(($AB$896/(1-$P$896))-29.785)/31.0224,2),IF('Resumen 2.0TD'!$D$3="OPTIMIZAR",ROUND(MAX(AA898,MIN(AA898*(($AB$896/(1-'Resumen 2.0TD'!$F$3))-29.785)/31.0224,AA898*(98.4128)/31.0224)),3),AA898))</f>
        <v>98.359</v>
      </c>
      <c r="C898" s="118"/>
      <c r="D898" s="107" t="n">
        <v>0.111171</v>
      </c>
      <c r="E898" s="108" t="n">
        <v>0.13788</v>
      </c>
      <c r="F898" s="109" t="n">
        <f aca="false">ROUND(B898*E898,2)</f>
        <v>13.56</v>
      </c>
      <c r="H898" s="110" t="n">
        <v>98.77</v>
      </c>
      <c r="I898" s="111" t="n">
        <v>0.13788</v>
      </c>
      <c r="J898" s="112" t="n">
        <f aca="false">ROUND(H898*I898,2)</f>
        <v>13.62</v>
      </c>
      <c r="L898" s="113" t="n">
        <v>97.561</v>
      </c>
      <c r="M898" s="114" t="n">
        <v>0.13788</v>
      </c>
      <c r="N898" s="115" t="n">
        <f aca="false">ROUND(L898*M898,2)</f>
        <v>13.45</v>
      </c>
      <c r="O898" s="120" t="s">
        <v>622</v>
      </c>
      <c r="AA898" s="0" t="n">
        <v>98.359</v>
      </c>
    </row>
    <row r="899" customFormat="false" ht="15" hidden="false" customHeight="false" outlineLevel="0" collapsed="false">
      <c r="A899" s="104" t="s">
        <v>139</v>
      </c>
      <c r="B899" s="105" t="n">
        <v>1</v>
      </c>
      <c r="C899" s="106" t="n">
        <f aca="false">$N$891-$L$891+1</f>
        <v>30</v>
      </c>
      <c r="D899" s="107" t="n">
        <v>0.7989</v>
      </c>
      <c r="E899" s="108" t="n">
        <v>3</v>
      </c>
      <c r="F899" s="109" t="n">
        <f aca="false">ROUND(B899*E899,2)</f>
        <v>3</v>
      </c>
      <c r="H899" s="110" t="n">
        <v>1</v>
      </c>
      <c r="I899" s="111" t="n">
        <v>3</v>
      </c>
      <c r="J899" s="112" t="n">
        <f aca="false">ROUND(H899*I899,2)</f>
        <v>3</v>
      </c>
      <c r="L899" s="113" t="n">
        <v>1</v>
      </c>
      <c r="M899" s="114" t="n">
        <v>3</v>
      </c>
      <c r="N899" s="115" t="n">
        <f aca="false">ROUND(L899*M899,2)</f>
        <v>3</v>
      </c>
    </row>
    <row r="900" customFormat="false" ht="15" hidden="false" customHeight="false" outlineLevel="0" collapsed="false">
      <c r="A900" s="104" t="s">
        <v>140</v>
      </c>
      <c r="B900" s="105" t="n">
        <v>30</v>
      </c>
      <c r="C900" s="106" t="n">
        <f aca="false">$N$891-$L$891+1</f>
        <v>30</v>
      </c>
      <c r="D900" s="107" t="n">
        <v>0.5736</v>
      </c>
      <c r="E900" s="108" t="n">
        <v>0.01274</v>
      </c>
      <c r="F900" s="109" t="n">
        <f aca="false">ROUND(B900*E900,2)</f>
        <v>0.38</v>
      </c>
      <c r="H900" s="110" t="n">
        <v>30</v>
      </c>
      <c r="I900" s="111" t="n">
        <v>0.01274</v>
      </c>
      <c r="J900" s="112" t="n">
        <f aca="false">ROUND(H900*I900,2)</f>
        <v>0.38</v>
      </c>
      <c r="L900" s="113" t="n">
        <v>30</v>
      </c>
      <c r="M900" s="114" t="n">
        <v>0.00629</v>
      </c>
      <c r="N900" s="115" t="n">
        <f aca="false">ROUND(L900*M900,2)</f>
        <v>0.19</v>
      </c>
    </row>
    <row r="901" customFormat="false" ht="15" hidden="false" customHeight="false" outlineLevel="0" collapsed="false">
      <c r="A901" s="104" t="s">
        <v>141</v>
      </c>
      <c r="B901" s="105" t="n">
        <v>3.12</v>
      </c>
      <c r="C901" s="118"/>
      <c r="D901" s="107" t="n">
        <v>0.02671</v>
      </c>
      <c r="E901" s="108" t="n">
        <v>1</v>
      </c>
      <c r="F901" s="109" t="n">
        <f aca="false">ROUND(B901*E901,2)</f>
        <v>3.12</v>
      </c>
      <c r="H901" s="110" t="n">
        <v>3.24</v>
      </c>
      <c r="I901" s="111" t="n">
        <v>1</v>
      </c>
      <c r="J901" s="112" t="n">
        <f aca="false">ROUND(H901*I901,2)</f>
        <v>3.24</v>
      </c>
      <c r="L901" s="113" t="n">
        <v>2.92</v>
      </c>
      <c r="M901" s="114" t="n">
        <v>1</v>
      </c>
      <c r="N901" s="115" t="n">
        <f aca="false">ROUND(L901*M901,2)</f>
        <v>2.92</v>
      </c>
    </row>
    <row r="902" customFormat="false" ht="15" hidden="false" customHeight="false" outlineLevel="0" collapsed="false">
      <c r="A902" s="121" t="s">
        <v>142</v>
      </c>
      <c r="F902" s="122" t="n">
        <f aca="false">ROUND((SUM(F894:F901)-F901)*1.1+F901,2)</f>
        <v>73.73</v>
      </c>
      <c r="J902" s="123" t="n">
        <f aca="false">ROUND(SUM(J894:J901),2)</f>
        <v>69.79</v>
      </c>
      <c r="N902" s="124" t="n">
        <f aca="false">ROUND(SUM(N894:N901),2)</f>
        <v>63</v>
      </c>
    </row>
    <row r="903" customFormat="false" ht="15" hidden="false" customHeight="false" outlineLevel="0" collapsed="false">
      <c r="A903" s="93" t="s">
        <v>143</v>
      </c>
      <c r="B903" s="125" t="n">
        <f aca="false">IF((F898+F897+F896+F894+F895)=0,"",((F898+F897+F896+F894+F895)-$AB$896)/(F898+F897+F896+F894+F895))</f>
        <v>0.115084150370005</v>
      </c>
      <c r="D903" s="126" t="str">
        <f aca="false">IF(B903="","SIN PC",IF(B903&gt;=0.3,"APROBAR",IF(B903&gt;=0.2,"REVISAR","RECHAZAR")))</f>
        <v>RECHAZAR</v>
      </c>
      <c r="E903" s="126"/>
      <c r="F903" s="126"/>
      <c r="AD903" s="0" t="n">
        <f aca="false">SUM(F896:F898)-31.0224</f>
        <v>-0.00239999999999796</v>
      </c>
    </row>
    <row r="905" customFormat="false" ht="15" hidden="false" customHeight="false" outlineLevel="0" collapsed="false">
      <c r="A905" s="89" t="s">
        <v>1040</v>
      </c>
      <c r="B905" s="89"/>
      <c r="C905" s="89"/>
      <c r="D905" s="89"/>
      <c r="E905" s="89"/>
      <c r="F905" s="89"/>
      <c r="H905" s="89" t="s">
        <v>1041</v>
      </c>
      <c r="I905" s="89"/>
      <c r="J905" s="89"/>
      <c r="K905" s="89"/>
      <c r="L905" s="90" t="n">
        <v>46113</v>
      </c>
      <c r="M905" s="91" t="s">
        <v>608</v>
      </c>
      <c r="N905" s="90" t="n">
        <v>46142</v>
      </c>
      <c r="R905" s="92" t="s">
        <v>110</v>
      </c>
      <c r="S905" s="92"/>
      <c r="T905" s="92"/>
      <c r="U905" s="92"/>
      <c r="V905" s="92"/>
    </row>
    <row r="906" customFormat="false" ht="15" hidden="false" customHeight="false" outlineLevel="0" collapsed="false">
      <c r="A906" s="93" t="s">
        <v>111</v>
      </c>
      <c r="B906" s="94" t="s">
        <v>112</v>
      </c>
      <c r="C906" s="95"/>
      <c r="D906" s="95"/>
      <c r="E906" s="95"/>
      <c r="F906" s="95"/>
      <c r="H906" s="96" t="s">
        <v>1042</v>
      </c>
      <c r="I906" s="97"/>
      <c r="J906" s="97"/>
      <c r="L906" s="98" t="s">
        <v>1043</v>
      </c>
      <c r="M906" s="99"/>
      <c r="N906" s="99"/>
      <c r="R906" s="100" t="s">
        <v>1044</v>
      </c>
    </row>
    <row r="907" customFormat="false" ht="15" hidden="false" customHeight="false" outlineLevel="0" collapsed="false">
      <c r="B907" s="81" t="s">
        <v>116</v>
      </c>
      <c r="C907" s="81" t="s">
        <v>117</v>
      </c>
      <c r="D907" s="81" t="s">
        <v>118</v>
      </c>
      <c r="E907" s="81" t="s">
        <v>119</v>
      </c>
      <c r="F907" s="81" t="s">
        <v>120</v>
      </c>
      <c r="H907" s="101" t="s">
        <v>116</v>
      </c>
      <c r="I907" s="101" t="s">
        <v>119</v>
      </c>
      <c r="J907" s="101" t="s">
        <v>120</v>
      </c>
      <c r="L907" s="102" t="s">
        <v>116</v>
      </c>
      <c r="M907" s="102" t="s">
        <v>119</v>
      </c>
      <c r="N907" s="102" t="s">
        <v>120</v>
      </c>
      <c r="R907" s="103" t="s">
        <v>1045</v>
      </c>
    </row>
    <row r="908" customFormat="false" ht="15" hidden="false" customHeight="false" outlineLevel="0" collapsed="false">
      <c r="A908" s="104" t="s">
        <v>122</v>
      </c>
      <c r="B908" s="105" t="n">
        <v>8</v>
      </c>
      <c r="C908" s="106" t="n">
        <f aca="false">$N$905-$L$905+1</f>
        <v>30</v>
      </c>
      <c r="D908" s="107" t="n">
        <v>3.68919</v>
      </c>
      <c r="E908" s="108" t="n">
        <v>4.17</v>
      </c>
      <c r="F908" s="109" t="n">
        <f aca="false">ROUND(B908*E908,2)</f>
        <v>33.36</v>
      </c>
      <c r="H908" s="110" t="n">
        <v>8</v>
      </c>
      <c r="I908" s="111" t="n">
        <v>4.17</v>
      </c>
      <c r="J908" s="112" t="n">
        <f aca="false">ROUND(H908*I908,2)</f>
        <v>33.36</v>
      </c>
      <c r="L908" s="113" t="n">
        <v>8</v>
      </c>
      <c r="M908" s="114" t="n">
        <v>4.17</v>
      </c>
      <c r="N908" s="115" t="n">
        <f aca="false">ROUND(L908*M908,2)</f>
        <v>33.36</v>
      </c>
      <c r="R908" s="116" t="s">
        <v>1046</v>
      </c>
    </row>
    <row r="909" customFormat="false" ht="15" hidden="false" customHeight="false" outlineLevel="0" collapsed="false">
      <c r="A909" s="104" t="s">
        <v>124</v>
      </c>
      <c r="B909" s="105" t="n">
        <v>8</v>
      </c>
      <c r="C909" s="106" t="n">
        <f aca="false">$N$905-$L$905+1</f>
        <v>30</v>
      </c>
      <c r="D909" s="107" t="n">
        <v>1.31928</v>
      </c>
      <c r="E909" s="108" t="n">
        <v>1.37</v>
      </c>
      <c r="F909" s="109" t="n">
        <f aca="false">ROUND(B909*E909,2)</f>
        <v>10.96</v>
      </c>
      <c r="H909" s="110" t="n">
        <v>8</v>
      </c>
      <c r="I909" s="111" t="n">
        <v>1.37</v>
      </c>
      <c r="J909" s="112" t="n">
        <f aca="false">ROUND(H909*I909,2)</f>
        <v>10.96</v>
      </c>
      <c r="L909" s="113" t="n">
        <v>8</v>
      </c>
      <c r="M909" s="114" t="n">
        <v>1.37</v>
      </c>
      <c r="N909" s="115" t="n">
        <f aca="false">ROUND(L909*M909,2)</f>
        <v>10.96</v>
      </c>
      <c r="R909" s="117" t="s">
        <v>1047</v>
      </c>
    </row>
    <row r="910" customFormat="false" ht="15" hidden="false" customHeight="false" outlineLevel="0" collapsed="false">
      <c r="A910" s="104" t="s">
        <v>615</v>
      </c>
      <c r="B910" s="105" t="n">
        <f aca="false">IF($P$910&lt;&gt;"",ROUND(AA910*(($AB$910/(1-$P$910))-44.32)/10.3071,2),IF('Resumen 2.0TD'!$D$3="OPTIMIZAR",ROUND(MAX(AA910,MIN(AA910*(($AB$910/(1-'Resumen 2.0TD'!$F$3))-44.32)/10.3071,AA910*(42.4378)/10.3071)),3),AA910))</f>
        <v>18.702</v>
      </c>
      <c r="C910" s="118"/>
      <c r="D910" s="107" t="n">
        <v>0.111171</v>
      </c>
      <c r="E910" s="108" t="n">
        <v>0.14937</v>
      </c>
      <c r="F910" s="109" t="n">
        <f aca="false">ROUND(B910*E910,2)</f>
        <v>2.79</v>
      </c>
      <c r="H910" s="110" t="n">
        <v>10.161</v>
      </c>
      <c r="I910" s="111" t="n">
        <v>0.14937</v>
      </c>
      <c r="J910" s="112" t="n">
        <f aca="false">ROUND(H910*I910,2)</f>
        <v>1.52</v>
      </c>
      <c r="L910" s="113" t="n">
        <v>16.125</v>
      </c>
      <c r="M910" s="114" t="n">
        <v>0.14937</v>
      </c>
      <c r="N910" s="115" t="n">
        <f aca="false">ROUND(L910*M910,2)</f>
        <v>2.41</v>
      </c>
      <c r="O910" s="119" t="s">
        <v>616</v>
      </c>
      <c r="P910" s="79"/>
      <c r="R910" s="117" t="s">
        <v>1048</v>
      </c>
      <c r="AA910" s="0" t="n">
        <v>18.702</v>
      </c>
      <c r="AB910" s="0" t="n">
        <f aca="false">B908*D908+B909*D909+AA910*D910+AA911*D911+AA912*D912</f>
        <v>47.739003684</v>
      </c>
    </row>
    <row r="911" customFormat="false" ht="15" hidden="false" customHeight="false" outlineLevel="0" collapsed="false">
      <c r="A911" s="104" t="s">
        <v>618</v>
      </c>
      <c r="B911" s="105" t="n">
        <f aca="false">IF($P$910&lt;&gt;"",ROUND(AA911*(($AB$910/(1-$P$910))-44.32)/10.3071,2),IF('Resumen 2.0TD'!$D$3="OPTIMIZAR",ROUND(MAX(AA911,MIN(AA911*(($AB$910/(1-'Resumen 2.0TD'!$F$3))-44.32)/10.3071,AA911*(42.4378)/10.3071)),3),AA911))</f>
        <v>11.327</v>
      </c>
      <c r="C911" s="118"/>
      <c r="D911" s="107" t="n">
        <v>0.111171</v>
      </c>
      <c r="E911" s="108" t="n">
        <v>0.14937</v>
      </c>
      <c r="F911" s="109" t="n">
        <f aca="false">ROUND(B911*E911,2)</f>
        <v>1.69</v>
      </c>
      <c r="H911" s="110" t="n">
        <v>5.62</v>
      </c>
      <c r="I911" s="111" t="n">
        <v>0.14937</v>
      </c>
      <c r="J911" s="112" t="n">
        <f aca="false">ROUND(H911*I911,2)</f>
        <v>0.84</v>
      </c>
      <c r="L911" s="113" t="n">
        <v>32.41</v>
      </c>
      <c r="M911" s="114" t="n">
        <v>0.14937</v>
      </c>
      <c r="N911" s="115" t="n">
        <f aca="false">ROUND(L911*M911,2)</f>
        <v>4.84</v>
      </c>
      <c r="O911" s="120" t="s">
        <v>619</v>
      </c>
      <c r="R911" s="117" t="s">
        <v>620</v>
      </c>
      <c r="AA911" s="0" t="n">
        <v>11.327</v>
      </c>
    </row>
    <row r="912" customFormat="false" ht="15" hidden="false" customHeight="false" outlineLevel="0" collapsed="false">
      <c r="A912" s="104" t="s">
        <v>621</v>
      </c>
      <c r="B912" s="105" t="n">
        <f aca="false">IF($P$910&lt;&gt;"",ROUND(AA912*(($AB$910/(1-$P$910))-44.32)/10.3071,2),IF('Resumen 2.0TD'!$D$3="OPTIMIZAR",ROUND(MAX(AA912,MIN(AA912*(($AB$910/(1-'Resumen 2.0TD'!$F$3))-44.32)/10.3071,AA912*(42.4378)/10.3071)),3),AA912))</f>
        <v>38.975</v>
      </c>
      <c r="C912" s="118"/>
      <c r="D912" s="107" t="n">
        <v>0.111171</v>
      </c>
      <c r="E912" s="108" t="n">
        <v>0.14937</v>
      </c>
      <c r="F912" s="109" t="n">
        <f aca="false">ROUND(B912*E912,2)</f>
        <v>5.82</v>
      </c>
      <c r="H912" s="110" t="n">
        <v>8.715</v>
      </c>
      <c r="I912" s="111" t="n">
        <v>0.14937</v>
      </c>
      <c r="J912" s="112" t="n">
        <f aca="false">ROUND(H912*I912,2)</f>
        <v>1.3</v>
      </c>
      <c r="L912" s="113" t="n">
        <v>76.933</v>
      </c>
      <c r="M912" s="114" t="n">
        <v>0.14937</v>
      </c>
      <c r="N912" s="115" t="n">
        <f aca="false">ROUND(L912*M912,2)</f>
        <v>11.49</v>
      </c>
      <c r="O912" s="120" t="s">
        <v>622</v>
      </c>
      <c r="AA912" s="0" t="n">
        <v>38.975</v>
      </c>
    </row>
    <row r="913" customFormat="false" ht="15" hidden="false" customHeight="false" outlineLevel="0" collapsed="false">
      <c r="A913" s="104" t="s">
        <v>139</v>
      </c>
      <c r="B913" s="105" t="n">
        <v>1</v>
      </c>
      <c r="C913" s="106" t="n">
        <f aca="false">$N$905-$L$905+1</f>
        <v>30</v>
      </c>
      <c r="D913" s="107" t="n">
        <v>1.3414</v>
      </c>
      <c r="E913" s="108" t="n">
        <v>4</v>
      </c>
      <c r="F913" s="109" t="n">
        <f aca="false">ROUND(B913*E913,2)</f>
        <v>4</v>
      </c>
      <c r="H913" s="110" t="n">
        <v>1</v>
      </c>
      <c r="I913" s="111" t="n">
        <v>4</v>
      </c>
      <c r="J913" s="112" t="n">
        <f aca="false">ROUND(H913*I913,2)</f>
        <v>4</v>
      </c>
      <c r="L913" s="113" t="n">
        <v>1</v>
      </c>
      <c r="M913" s="114" t="n">
        <v>4</v>
      </c>
      <c r="N913" s="115" t="n">
        <f aca="false">ROUND(L913*M913,2)</f>
        <v>4</v>
      </c>
    </row>
    <row r="914" customFormat="false" ht="15" hidden="false" customHeight="false" outlineLevel="0" collapsed="false">
      <c r="A914" s="104" t="s">
        <v>140</v>
      </c>
      <c r="B914" s="105" t="n">
        <v>30</v>
      </c>
      <c r="C914" s="106" t="n">
        <f aca="false">$N$905-$L$905+1</f>
        <v>30</v>
      </c>
      <c r="D914" s="107" t="n">
        <v>0.5736</v>
      </c>
      <c r="E914" s="108" t="n">
        <v>0.01274</v>
      </c>
      <c r="F914" s="109" t="n">
        <f aca="false">ROUND(B914*E914,2)</f>
        <v>0.38</v>
      </c>
      <c r="H914" s="110" t="n">
        <v>30</v>
      </c>
      <c r="I914" s="111" t="n">
        <v>0.01274</v>
      </c>
      <c r="J914" s="112" t="n">
        <f aca="false">ROUND(H914*I914,2)</f>
        <v>0.38</v>
      </c>
      <c r="L914" s="113" t="n">
        <v>30</v>
      </c>
      <c r="M914" s="114" t="n">
        <v>0.00629</v>
      </c>
      <c r="N914" s="115" t="n">
        <f aca="false">ROUND(L914*M914,2)</f>
        <v>0.19</v>
      </c>
    </row>
    <row r="915" customFormat="false" ht="15" hidden="false" customHeight="false" outlineLevel="0" collapsed="false">
      <c r="A915" s="104" t="s">
        <v>141</v>
      </c>
      <c r="B915" s="105" t="n">
        <v>2.27</v>
      </c>
      <c r="C915" s="118"/>
      <c r="D915" s="107" t="n">
        <v>0.27312</v>
      </c>
      <c r="E915" s="108" t="n">
        <v>1</v>
      </c>
      <c r="F915" s="109" t="n">
        <f aca="false">ROUND(B915*E915,2)</f>
        <v>2.27</v>
      </c>
      <c r="H915" s="110" t="n">
        <v>2.27</v>
      </c>
      <c r="I915" s="111" t="n">
        <v>1</v>
      </c>
      <c r="J915" s="112" t="n">
        <f aca="false">ROUND(H915*I915,2)</f>
        <v>2.27</v>
      </c>
      <c r="L915" s="113" t="n">
        <v>2.27</v>
      </c>
      <c r="M915" s="114" t="n">
        <v>1</v>
      </c>
      <c r="N915" s="115" t="n">
        <f aca="false">ROUND(L915*M915,2)</f>
        <v>2.27</v>
      </c>
    </row>
    <row r="916" customFormat="false" ht="15" hidden="false" customHeight="false" outlineLevel="0" collapsed="false">
      <c r="A916" s="121" t="s">
        <v>142</v>
      </c>
      <c r="F916" s="122" t="n">
        <f aca="false">ROUND((SUM(F908:F915)-F915)*1.1+F915,2)</f>
        <v>67.17</v>
      </c>
      <c r="J916" s="123" t="n">
        <f aca="false">ROUND(SUM(J908:J915),2)</f>
        <v>54.63</v>
      </c>
      <c r="N916" s="124" t="n">
        <f aca="false">ROUND(SUM(N908:N915),2)</f>
        <v>69.52</v>
      </c>
    </row>
    <row r="917" customFormat="false" ht="15" hidden="false" customHeight="false" outlineLevel="0" collapsed="false">
      <c r="A917" s="93" t="s">
        <v>143</v>
      </c>
      <c r="B917" s="125" t="n">
        <f aca="false">IF((F912+F911+F910+F908+F909)=0,"",((F912+F911+F910+F908+F909)-$AB$910)/(F912+F911+F910+F908+F909))</f>
        <v>0.125979427242768</v>
      </c>
      <c r="D917" s="126" t="str">
        <f aca="false">IF(B917="","SIN PC",IF(B917&gt;=0.3,"APROBAR",IF(B917&gt;=0.2,"REVISAR","RECHAZAR")))</f>
        <v>RECHAZAR</v>
      </c>
      <c r="E917" s="126"/>
      <c r="F917" s="126"/>
      <c r="AD917" s="0" t="n">
        <f aca="false">SUM(F910:F912)-10.3071</f>
        <v>-0.00709999999999944</v>
      </c>
    </row>
    <row r="918" customFormat="false" ht="15" hidden="false" customHeight="false" outlineLevel="0" collapsed="false">
      <c r="A918" s="127" t="s">
        <v>744</v>
      </c>
      <c r="B918" s="127"/>
      <c r="C918" s="127"/>
      <c r="D918" s="127"/>
      <c r="E918" s="127"/>
      <c r="F918" s="127"/>
    </row>
    <row r="919" customFormat="false" ht="15" hidden="false" customHeight="false" outlineLevel="0" collapsed="false">
      <c r="A919" s="128" t="s">
        <v>111</v>
      </c>
      <c r="B919" s="128" t="s">
        <v>745</v>
      </c>
      <c r="D919" s="128" t="s">
        <v>746</v>
      </c>
      <c r="E919" s="128" t="s">
        <v>747</v>
      </c>
      <c r="F919" s="128" t="s">
        <v>120</v>
      </c>
    </row>
    <row r="920" customFormat="false" ht="15" hidden="false" customHeight="false" outlineLevel="0" collapsed="false">
      <c r="A920" s="129" t="s">
        <v>748</v>
      </c>
      <c r="B920" s="130" t="n">
        <v>497</v>
      </c>
      <c r="C920" s="131"/>
      <c r="D920" s="107" t="n">
        <v>0.06</v>
      </c>
      <c r="E920" s="131"/>
      <c r="F920" s="132" t="n">
        <f aca="false">ROUND(B920*D920,2)</f>
        <v>29.82</v>
      </c>
    </row>
    <row r="921" customFormat="false" ht="15" hidden="false" customHeight="false" outlineLevel="0" collapsed="false">
      <c r="A921" s="129" t="s">
        <v>749</v>
      </c>
      <c r="B921" s="131"/>
      <c r="C921" s="131"/>
      <c r="D921" s="131"/>
      <c r="E921" s="133" t="n">
        <v>0.06</v>
      </c>
      <c r="F921" s="132" t="n">
        <v>10.3</v>
      </c>
    </row>
    <row r="922" customFormat="false" ht="15" hidden="false" customHeight="false" outlineLevel="0" collapsed="false">
      <c r="A922" s="134" t="s">
        <v>750</v>
      </c>
      <c r="B922" s="131"/>
      <c r="C922" s="131"/>
      <c r="D922" s="131"/>
      <c r="E922" s="131"/>
      <c r="F922" s="135" t="n">
        <f aca="false">F920-F921</f>
        <v>19.52</v>
      </c>
    </row>
    <row r="924" customFormat="false" ht="15" hidden="false" customHeight="false" outlineLevel="0" collapsed="false">
      <c r="A924" s="89" t="s">
        <v>1049</v>
      </c>
      <c r="B924" s="89"/>
      <c r="C924" s="89"/>
      <c r="D924" s="89"/>
      <c r="E924" s="89"/>
      <c r="F924" s="89"/>
      <c r="H924" s="89" t="s">
        <v>1050</v>
      </c>
      <c r="I924" s="89"/>
      <c r="J924" s="89"/>
      <c r="K924" s="89"/>
      <c r="L924" s="90" t="n">
        <v>46113</v>
      </c>
      <c r="M924" s="91" t="s">
        <v>608</v>
      </c>
      <c r="N924" s="90" t="n">
        <v>46142</v>
      </c>
      <c r="R924" s="92" t="s">
        <v>110</v>
      </c>
      <c r="S924" s="92"/>
      <c r="T924" s="92"/>
      <c r="U924" s="92"/>
      <c r="V924" s="92"/>
    </row>
    <row r="925" customFormat="false" ht="15" hidden="false" customHeight="false" outlineLevel="0" collapsed="false">
      <c r="A925" s="93" t="s">
        <v>111</v>
      </c>
      <c r="B925" s="94" t="s">
        <v>112</v>
      </c>
      <c r="C925" s="95"/>
      <c r="D925" s="95"/>
      <c r="E925" s="95"/>
      <c r="F925" s="95"/>
      <c r="H925" s="96" t="s">
        <v>1051</v>
      </c>
      <c r="I925" s="97"/>
      <c r="J925" s="97"/>
      <c r="L925" s="98" t="s">
        <v>1052</v>
      </c>
      <c r="M925" s="99"/>
      <c r="N925" s="99"/>
      <c r="R925" s="100" t="s">
        <v>1053</v>
      </c>
    </row>
    <row r="926" customFormat="false" ht="15" hidden="false" customHeight="false" outlineLevel="0" collapsed="false">
      <c r="B926" s="81" t="s">
        <v>116</v>
      </c>
      <c r="C926" s="81" t="s">
        <v>117</v>
      </c>
      <c r="D926" s="81" t="s">
        <v>118</v>
      </c>
      <c r="E926" s="81" t="s">
        <v>119</v>
      </c>
      <c r="F926" s="81" t="s">
        <v>120</v>
      </c>
      <c r="H926" s="101" t="s">
        <v>116</v>
      </c>
      <c r="I926" s="101" t="s">
        <v>119</v>
      </c>
      <c r="J926" s="101" t="s">
        <v>120</v>
      </c>
      <c r="L926" s="102" t="s">
        <v>116</v>
      </c>
      <c r="M926" s="102" t="s">
        <v>119</v>
      </c>
      <c r="N926" s="102" t="s">
        <v>120</v>
      </c>
      <c r="R926" s="103" t="s">
        <v>1054</v>
      </c>
    </row>
    <row r="927" customFormat="false" ht="15" hidden="false" customHeight="false" outlineLevel="0" collapsed="false">
      <c r="A927" s="104" t="s">
        <v>122</v>
      </c>
      <c r="B927" s="105" t="n">
        <v>5.75</v>
      </c>
      <c r="C927" s="106" t="n">
        <f aca="false">$N$924-$L$924+1</f>
        <v>30</v>
      </c>
      <c r="D927" s="107" t="n">
        <v>3.4086</v>
      </c>
      <c r="E927" s="108" t="n">
        <v>3.85</v>
      </c>
      <c r="F927" s="109" t="n">
        <f aca="false">ROUND(B927*E927,2)</f>
        <v>22.14</v>
      </c>
      <c r="H927" s="110" t="n">
        <v>5.75</v>
      </c>
      <c r="I927" s="111" t="n">
        <v>3.85</v>
      </c>
      <c r="J927" s="112" t="n">
        <f aca="false">ROUND(H927*I927,2)</f>
        <v>22.14</v>
      </c>
      <c r="L927" s="113" t="n">
        <v>5.75</v>
      </c>
      <c r="M927" s="114" t="n">
        <v>3.85</v>
      </c>
      <c r="N927" s="115" t="n">
        <f aca="false">ROUND(L927*M927,2)</f>
        <v>22.14</v>
      </c>
      <c r="R927" s="116" t="s">
        <v>1055</v>
      </c>
    </row>
    <row r="928" customFormat="false" ht="15" hidden="false" customHeight="false" outlineLevel="0" collapsed="false">
      <c r="A928" s="104" t="s">
        <v>124</v>
      </c>
      <c r="B928" s="105" t="n">
        <v>5.75</v>
      </c>
      <c r="C928" s="106" t="n">
        <f aca="false">$N$924-$L$924+1</f>
        <v>30</v>
      </c>
      <c r="D928" s="107" t="n">
        <v>1.09728</v>
      </c>
      <c r="E928" s="108" t="n">
        <v>1.33</v>
      </c>
      <c r="F928" s="109" t="n">
        <f aca="false">ROUND(B928*E928,2)</f>
        <v>7.65</v>
      </c>
      <c r="H928" s="110" t="n">
        <v>5.75</v>
      </c>
      <c r="I928" s="111" t="n">
        <v>1.33</v>
      </c>
      <c r="J928" s="112" t="n">
        <f aca="false">ROUND(H928*I928,2)</f>
        <v>7.65</v>
      </c>
      <c r="L928" s="113" t="n">
        <v>5.75</v>
      </c>
      <c r="M928" s="114" t="n">
        <v>1.33</v>
      </c>
      <c r="N928" s="115" t="n">
        <f aca="false">ROUND(L928*M928,2)</f>
        <v>7.65</v>
      </c>
      <c r="R928" s="117" t="s">
        <v>1056</v>
      </c>
    </row>
    <row r="929" customFormat="false" ht="15" hidden="false" customHeight="false" outlineLevel="0" collapsed="false">
      <c r="A929" s="104" t="s">
        <v>615</v>
      </c>
      <c r="B929" s="105" t="n">
        <f aca="false">IF($P$929&lt;&gt;"",ROUND(AA929*(($AB$929/(1-$P$929))-29.785)/22.5536,2),IF('Resumen 2.0TD'!$D$3="OPTIMIZAR",ROUND(MAX(AA929,MIN(AA929*(($AB$929/(1-'Resumen 2.0TD'!$F$3))-29.785)/22.5536,AA929*(99.4728)/22.5536)),3),AA929))</f>
        <v>27.781</v>
      </c>
      <c r="C929" s="118"/>
      <c r="D929" s="107" t="n">
        <v>0.110306</v>
      </c>
      <c r="E929" s="108" t="n">
        <v>0.13788</v>
      </c>
      <c r="F929" s="109" t="n">
        <f aca="false">ROUND(B929*E929,2)</f>
        <v>3.83</v>
      </c>
      <c r="H929" s="110" t="n">
        <v>143.791</v>
      </c>
      <c r="I929" s="111" t="n">
        <v>0.13788</v>
      </c>
      <c r="J929" s="112" t="n">
        <f aca="false">ROUND(H929*I929,2)</f>
        <v>19.83</v>
      </c>
      <c r="L929" s="113" t="n">
        <v>47.398</v>
      </c>
      <c r="M929" s="114" t="n">
        <v>0.13788</v>
      </c>
      <c r="N929" s="115" t="n">
        <f aca="false">ROUND(L929*M929,2)</f>
        <v>6.54</v>
      </c>
      <c r="O929" s="119" t="s">
        <v>616</v>
      </c>
      <c r="P929" s="79"/>
      <c r="R929" s="117" t="s">
        <v>1057</v>
      </c>
      <c r="AA929" s="0" t="n">
        <v>27.781</v>
      </c>
      <c r="AB929" s="0" t="n">
        <f aca="false">B927*D927+B928*D928+AA929*D929+AA930*D930+AA931*D931</f>
        <v>43.952003644</v>
      </c>
    </row>
    <row r="930" customFormat="false" ht="15" hidden="false" customHeight="false" outlineLevel="0" collapsed="false">
      <c r="A930" s="104" t="s">
        <v>618</v>
      </c>
      <c r="B930" s="105" t="n">
        <f aca="false">IF($P$929&lt;&gt;"",ROUND(AA930*(($AB$929/(1-$P$929))-29.785)/22.5536,2),IF('Resumen 2.0TD'!$D$3="OPTIMIZAR",ROUND(MAX(AA930,MIN(AA930*(($AB$929/(1-'Resumen 2.0TD'!$F$3))-29.785)/22.5536,AA930*(99.4728)/22.5536)),3),AA930))</f>
        <v>24.761</v>
      </c>
      <c r="C930" s="118"/>
      <c r="D930" s="107" t="n">
        <v>0.110306</v>
      </c>
      <c r="E930" s="108" t="n">
        <v>0.13788</v>
      </c>
      <c r="F930" s="109" t="n">
        <f aca="false">ROUND(B930*E930,2)</f>
        <v>3.41</v>
      </c>
      <c r="H930" s="110" t="n">
        <v>150.307</v>
      </c>
      <c r="I930" s="111" t="n">
        <v>0.13788</v>
      </c>
      <c r="J930" s="112" t="n">
        <f aca="false">ROUND(H930*I930,2)</f>
        <v>20.72</v>
      </c>
      <c r="L930" s="113" t="n">
        <v>43.539</v>
      </c>
      <c r="M930" s="114" t="n">
        <v>0.13788</v>
      </c>
      <c r="N930" s="115" t="n">
        <f aca="false">ROUND(L930*M930,2)</f>
        <v>6</v>
      </c>
      <c r="O930" s="120" t="s">
        <v>619</v>
      </c>
      <c r="R930" s="117" t="s">
        <v>620</v>
      </c>
      <c r="AA930" s="0" t="n">
        <v>24.761</v>
      </c>
    </row>
    <row r="931" customFormat="false" ht="15" hidden="false" customHeight="false" outlineLevel="0" collapsed="false">
      <c r="A931" s="104" t="s">
        <v>621</v>
      </c>
      <c r="B931" s="105" t="n">
        <f aca="false">IF($P$929&lt;&gt;"",ROUND(AA931*(($AB$929/(1-$P$929))-29.785)/22.5536,2),IF('Resumen 2.0TD'!$D$3="OPTIMIZAR",ROUND(MAX(AA931,MIN(AA931*(($AB$929/(1-'Resumen 2.0TD'!$F$3))-29.785)/22.5536,AA931*(99.4728)/22.5536)),3),AA931))</f>
        <v>111.032</v>
      </c>
      <c r="C931" s="118"/>
      <c r="D931" s="107" t="n">
        <v>0.110306</v>
      </c>
      <c r="E931" s="108" t="n">
        <v>0.13788</v>
      </c>
      <c r="F931" s="109" t="n">
        <f aca="false">ROUND(B931*E931,2)</f>
        <v>15.31</v>
      </c>
      <c r="H931" s="110" t="n">
        <v>318.111</v>
      </c>
      <c r="I931" s="111" t="n">
        <v>0.13788</v>
      </c>
      <c r="J931" s="112" t="n">
        <f aca="false">ROUND(H931*I931,2)</f>
        <v>43.86</v>
      </c>
      <c r="L931" s="113" t="n">
        <v>128.628</v>
      </c>
      <c r="M931" s="114" t="n">
        <v>0.13788</v>
      </c>
      <c r="N931" s="115" t="n">
        <f aca="false">ROUND(L931*M931,2)</f>
        <v>17.74</v>
      </c>
      <c r="O931" s="120" t="s">
        <v>622</v>
      </c>
      <c r="AA931" s="0" t="n">
        <v>111.032</v>
      </c>
    </row>
    <row r="932" customFormat="false" ht="15" hidden="false" customHeight="false" outlineLevel="0" collapsed="false">
      <c r="A932" s="104" t="s">
        <v>139</v>
      </c>
      <c r="B932" s="105" t="n">
        <v>1</v>
      </c>
      <c r="C932" s="106" t="n">
        <f aca="false">$N$924-$L$924+1</f>
        <v>30</v>
      </c>
      <c r="D932" s="107" t="n">
        <v>0.7989</v>
      </c>
      <c r="E932" s="108" t="n">
        <v>3</v>
      </c>
      <c r="F932" s="109" t="n">
        <f aca="false">ROUND(B932*E932,2)</f>
        <v>3</v>
      </c>
      <c r="H932" s="110" t="n">
        <v>1</v>
      </c>
      <c r="I932" s="111" t="n">
        <v>3</v>
      </c>
      <c r="J932" s="112" t="n">
        <f aca="false">ROUND(H932*I932,2)</f>
        <v>3</v>
      </c>
      <c r="L932" s="113" t="n">
        <v>1</v>
      </c>
      <c r="M932" s="114" t="n">
        <v>3</v>
      </c>
      <c r="N932" s="115" t="n">
        <f aca="false">ROUND(L932*M932,2)</f>
        <v>3</v>
      </c>
    </row>
    <row r="933" customFormat="false" ht="15" hidden="false" customHeight="false" outlineLevel="0" collapsed="false">
      <c r="A933" s="104" t="s">
        <v>140</v>
      </c>
      <c r="B933" s="105" t="n">
        <v>30</v>
      </c>
      <c r="C933" s="106" t="n">
        <f aca="false">$N$924-$L$924+1</f>
        <v>30</v>
      </c>
      <c r="D933" s="107" t="n">
        <v>0.5736</v>
      </c>
      <c r="E933" s="108" t="n">
        <v>0.01274</v>
      </c>
      <c r="F933" s="109" t="n">
        <f aca="false">ROUND(B933*E933,2)</f>
        <v>0.38</v>
      </c>
      <c r="H933" s="110" t="n">
        <v>30</v>
      </c>
      <c r="I933" s="111" t="n">
        <v>0.01274</v>
      </c>
      <c r="J933" s="112" t="n">
        <f aca="false">ROUND(H933*I933,2)</f>
        <v>0.38</v>
      </c>
      <c r="L933" s="113" t="n">
        <v>30</v>
      </c>
      <c r="M933" s="114" t="n">
        <v>0.00629</v>
      </c>
      <c r="N933" s="115" t="n">
        <f aca="false">ROUND(L933*M933,2)</f>
        <v>0.19</v>
      </c>
    </row>
    <row r="934" customFormat="false" ht="15" hidden="false" customHeight="false" outlineLevel="0" collapsed="false">
      <c r="A934" s="104" t="s">
        <v>141</v>
      </c>
      <c r="B934" s="105" t="n">
        <v>1.53</v>
      </c>
      <c r="C934" s="118"/>
      <c r="D934" s="107" t="n">
        <v>0.24729</v>
      </c>
      <c r="E934" s="108" t="n">
        <v>1</v>
      </c>
      <c r="F934" s="109" t="n">
        <f aca="false">ROUND(B934*E934,2)</f>
        <v>1.53</v>
      </c>
      <c r="H934" s="110" t="n">
        <v>4.75</v>
      </c>
      <c r="I934" s="111" t="n">
        <v>1</v>
      </c>
      <c r="J934" s="112" t="n">
        <f aca="false">ROUND(H934*I934,2)</f>
        <v>4.75</v>
      </c>
      <c r="L934" s="113" t="n">
        <v>1.79</v>
      </c>
      <c r="M934" s="114" t="n">
        <v>1</v>
      </c>
      <c r="N934" s="115" t="n">
        <f aca="false">ROUND(L934*M934,2)</f>
        <v>1.79</v>
      </c>
    </row>
    <row r="935" customFormat="false" ht="15" hidden="false" customHeight="false" outlineLevel="0" collapsed="false">
      <c r="A935" s="121" t="s">
        <v>142</v>
      </c>
      <c r="F935" s="122" t="n">
        <f aca="false">ROUND((SUM(F927:F934)-F934)*1.1+F934,2)</f>
        <v>62.82</v>
      </c>
      <c r="J935" s="123" t="n">
        <f aca="false">ROUND(SUM(J927:J934),2)</f>
        <v>122.33</v>
      </c>
      <c r="N935" s="124" t="n">
        <f aca="false">ROUND(SUM(N927:N934),2)</f>
        <v>65.05</v>
      </c>
    </row>
    <row r="936" customFormat="false" ht="15" hidden="false" customHeight="false" outlineLevel="0" collapsed="false">
      <c r="A936" s="93" t="s">
        <v>143</v>
      </c>
      <c r="B936" s="125" t="n">
        <f aca="false">IF((F931+F930+F929+F927+F928)=0,"",((F931+F930+F929+F927+F928)-$AB$929)/(F931+F930+F929+F927+F928))</f>
        <v>0.160259769889186</v>
      </c>
      <c r="D936" s="126" t="str">
        <f aca="false">IF(B936="","SIN PC",IF(B936&gt;=0.3,"APROBAR",IF(B936&gt;=0.2,"REVISAR","RECHAZAR")))</f>
        <v>RECHAZAR</v>
      </c>
      <c r="E936" s="126"/>
      <c r="F936" s="126"/>
      <c r="AD936" s="0" t="n">
        <f aca="false">SUM(F929:F931)-22.5536</f>
        <v>-0.00359999999999872</v>
      </c>
    </row>
    <row r="937" customFormat="false" ht="15" hidden="false" customHeight="false" outlineLevel="0" collapsed="false">
      <c r="A937" s="127" t="s">
        <v>744</v>
      </c>
      <c r="B937" s="127"/>
      <c r="C937" s="127"/>
      <c r="D937" s="127"/>
      <c r="E937" s="127"/>
      <c r="F937" s="127"/>
    </row>
    <row r="938" customFormat="false" ht="15" hidden="false" customHeight="false" outlineLevel="0" collapsed="false">
      <c r="A938" s="128" t="s">
        <v>111</v>
      </c>
      <c r="B938" s="128" t="s">
        <v>745</v>
      </c>
      <c r="D938" s="128" t="s">
        <v>746</v>
      </c>
      <c r="E938" s="128" t="s">
        <v>747</v>
      </c>
      <c r="F938" s="128" t="s">
        <v>120</v>
      </c>
    </row>
    <row r="939" customFormat="false" ht="15" hidden="false" customHeight="false" outlineLevel="0" collapsed="false">
      <c r="A939" s="129" t="s">
        <v>748</v>
      </c>
      <c r="B939" s="130" t="n">
        <v>696</v>
      </c>
      <c r="C939" s="131"/>
      <c r="D939" s="107" t="n">
        <v>0.06</v>
      </c>
      <c r="E939" s="131"/>
      <c r="F939" s="132" t="n">
        <f aca="false">ROUND(B939*D939,2)</f>
        <v>41.76</v>
      </c>
    </row>
    <row r="940" customFormat="false" ht="15" hidden="false" customHeight="false" outlineLevel="0" collapsed="false">
      <c r="A940" s="129" t="s">
        <v>749</v>
      </c>
      <c r="B940" s="131"/>
      <c r="C940" s="131"/>
      <c r="D940" s="131"/>
      <c r="E940" s="133" t="n">
        <v>0.06</v>
      </c>
      <c r="F940" s="132" t="n">
        <v>22.55</v>
      </c>
    </row>
    <row r="941" customFormat="false" ht="15" hidden="false" customHeight="false" outlineLevel="0" collapsed="false">
      <c r="A941" s="134" t="s">
        <v>750</v>
      </c>
      <c r="B941" s="131"/>
      <c r="C941" s="131"/>
      <c r="D941" s="131"/>
      <c r="E941" s="131"/>
      <c r="F941" s="135" t="n">
        <f aca="false">F939-F940</f>
        <v>19.21</v>
      </c>
    </row>
    <row r="943" customFormat="false" ht="15" hidden="false" customHeight="false" outlineLevel="0" collapsed="false">
      <c r="A943" s="89" t="s">
        <v>1058</v>
      </c>
      <c r="B943" s="89"/>
      <c r="C943" s="89"/>
      <c r="D943" s="89"/>
      <c r="E943" s="89"/>
      <c r="F943" s="89"/>
      <c r="H943" s="89" t="s">
        <v>1059</v>
      </c>
      <c r="I943" s="89"/>
      <c r="J943" s="89"/>
      <c r="K943" s="89"/>
      <c r="L943" s="90" t="n">
        <v>46113</v>
      </c>
      <c r="M943" s="91" t="s">
        <v>608</v>
      </c>
      <c r="N943" s="90" t="n">
        <v>46142</v>
      </c>
      <c r="R943" s="92" t="s">
        <v>110</v>
      </c>
      <c r="S943" s="92"/>
      <c r="T943" s="92"/>
      <c r="U943" s="92"/>
      <c r="V943" s="92"/>
    </row>
    <row r="944" customFormat="false" ht="15" hidden="false" customHeight="false" outlineLevel="0" collapsed="false">
      <c r="A944" s="93" t="s">
        <v>111</v>
      </c>
      <c r="B944" s="94" t="s">
        <v>112</v>
      </c>
      <c r="C944" s="95"/>
      <c r="D944" s="95"/>
      <c r="E944" s="95"/>
      <c r="F944" s="95"/>
      <c r="H944" s="96" t="s">
        <v>1060</v>
      </c>
      <c r="I944" s="97"/>
      <c r="J944" s="97"/>
      <c r="L944" s="98" t="s">
        <v>1061</v>
      </c>
      <c r="M944" s="99"/>
      <c r="N944" s="99"/>
      <c r="R944" s="100" t="s">
        <v>1062</v>
      </c>
    </row>
    <row r="945" customFormat="false" ht="15" hidden="false" customHeight="false" outlineLevel="0" collapsed="false">
      <c r="B945" s="81" t="s">
        <v>116</v>
      </c>
      <c r="C945" s="81" t="s">
        <v>117</v>
      </c>
      <c r="D945" s="81" t="s">
        <v>118</v>
      </c>
      <c r="E945" s="81" t="s">
        <v>119</v>
      </c>
      <c r="F945" s="81" t="s">
        <v>120</v>
      </c>
      <c r="H945" s="101" t="s">
        <v>116</v>
      </c>
      <c r="I945" s="101" t="s">
        <v>119</v>
      </c>
      <c r="J945" s="101" t="s">
        <v>120</v>
      </c>
      <c r="L945" s="102" t="s">
        <v>116</v>
      </c>
      <c r="M945" s="102" t="s">
        <v>119</v>
      </c>
      <c r="N945" s="102" t="s">
        <v>120</v>
      </c>
      <c r="R945" s="103" t="s">
        <v>1063</v>
      </c>
    </row>
    <row r="946" customFormat="false" ht="15" hidden="false" customHeight="false" outlineLevel="0" collapsed="false">
      <c r="A946" s="104" t="s">
        <v>122</v>
      </c>
      <c r="B946" s="105" t="n">
        <v>6.9</v>
      </c>
      <c r="C946" s="106" t="n">
        <f aca="false">$N$943-$L$943+1</f>
        <v>30</v>
      </c>
      <c r="D946" s="107" t="n">
        <v>3.68919</v>
      </c>
      <c r="E946" s="108" t="n">
        <v>3.85</v>
      </c>
      <c r="F946" s="109" t="n">
        <f aca="false">ROUND(B946*E946,2)</f>
        <v>26.57</v>
      </c>
      <c r="H946" s="110" t="n">
        <v>6.9</v>
      </c>
      <c r="I946" s="111" t="n">
        <v>3.85</v>
      </c>
      <c r="J946" s="112" t="n">
        <f aca="false">ROUND(H946*I946,2)</f>
        <v>26.57</v>
      </c>
      <c r="L946" s="113" t="n">
        <v>6.9</v>
      </c>
      <c r="M946" s="114" t="n">
        <v>3.85</v>
      </c>
      <c r="N946" s="115" t="n">
        <f aca="false">ROUND(L946*M946,2)</f>
        <v>26.57</v>
      </c>
      <c r="R946" s="116" t="s">
        <v>1064</v>
      </c>
    </row>
    <row r="947" customFormat="false" ht="15" hidden="false" customHeight="false" outlineLevel="0" collapsed="false">
      <c r="A947" s="104" t="s">
        <v>124</v>
      </c>
      <c r="B947" s="105" t="n">
        <v>6.9</v>
      </c>
      <c r="C947" s="106" t="n">
        <f aca="false">$N$943-$L$943+1</f>
        <v>30</v>
      </c>
      <c r="D947" s="107" t="n">
        <v>1.31928</v>
      </c>
      <c r="E947" s="108" t="n">
        <v>1.33</v>
      </c>
      <c r="F947" s="109" t="n">
        <f aca="false">ROUND(B947*E947,2)</f>
        <v>9.18</v>
      </c>
      <c r="H947" s="110" t="n">
        <v>6.9</v>
      </c>
      <c r="I947" s="111" t="n">
        <v>1.33</v>
      </c>
      <c r="J947" s="112" t="n">
        <f aca="false">ROUND(H947*I947,2)</f>
        <v>9.18</v>
      </c>
      <c r="L947" s="113" t="n">
        <v>6.9</v>
      </c>
      <c r="M947" s="114" t="n">
        <v>1.33</v>
      </c>
      <c r="N947" s="115" t="n">
        <f aca="false">ROUND(L947*M947,2)</f>
        <v>9.18</v>
      </c>
      <c r="R947" s="117" t="s">
        <v>1065</v>
      </c>
    </row>
    <row r="948" customFormat="false" ht="15" hidden="false" customHeight="false" outlineLevel="0" collapsed="false">
      <c r="A948" s="104" t="s">
        <v>615</v>
      </c>
      <c r="B948" s="105" t="n">
        <f aca="false">IF($P$948&lt;&gt;"",ROUND(AA948*(($AB$948/(1-$P$948))-35.742)/76.417,2),IF('Resumen 2.0TD'!$D$3="OPTIMIZAR",ROUND(MAX(AA948,MIN(AA948*(($AB$948/(1-'Resumen 2.0TD'!$F$3))-35.742)/76.417,AA948*(189.8258)/76.417)),3),AA948))</f>
        <v>136.763</v>
      </c>
      <c r="C948" s="118"/>
      <c r="D948" s="107" t="n">
        <v>0.111171</v>
      </c>
      <c r="E948" s="108" t="n">
        <v>0.13788</v>
      </c>
      <c r="F948" s="109" t="n">
        <f aca="false">ROUND(B948*E948,2)</f>
        <v>18.86</v>
      </c>
      <c r="H948" s="110" t="n">
        <v>139.124</v>
      </c>
      <c r="I948" s="111" t="n">
        <v>0.13788</v>
      </c>
      <c r="J948" s="112" t="n">
        <f aca="false">ROUND(H948*I948,2)</f>
        <v>19.18</v>
      </c>
      <c r="L948" s="113" t="n">
        <v>132.822</v>
      </c>
      <c r="M948" s="114" t="n">
        <v>0.13788</v>
      </c>
      <c r="N948" s="115" t="n">
        <f aca="false">ROUND(L948*M948,2)</f>
        <v>18.31</v>
      </c>
      <c r="O948" s="119" t="s">
        <v>616</v>
      </c>
      <c r="P948" s="79"/>
      <c r="R948" s="117" t="s">
        <v>1066</v>
      </c>
      <c r="AA948" s="0" t="n">
        <v>136.763</v>
      </c>
      <c r="AB948" s="0" t="n">
        <f aca="false">B946*D946+B947*D947+AA948*D948+AA949*D949+AA950*D950</f>
        <v>96.172523988</v>
      </c>
    </row>
    <row r="949" customFormat="false" ht="15" hidden="false" customHeight="false" outlineLevel="0" collapsed="false">
      <c r="A949" s="104" t="s">
        <v>618</v>
      </c>
      <c r="B949" s="105" t="n">
        <f aca="false">IF($P$948&lt;&gt;"",ROUND(AA949*(($AB$948/(1-$P$948))-35.742)/76.417,2),IF('Resumen 2.0TD'!$D$3="OPTIMIZAR",ROUND(MAX(AA949,MIN(AA949*(($AB$948/(1-'Resumen 2.0TD'!$F$3))-35.742)/76.417,AA949*(189.8258)/76.417)),3),AA949))</f>
        <v>148.395</v>
      </c>
      <c r="C949" s="118"/>
      <c r="D949" s="107" t="n">
        <v>0.111171</v>
      </c>
      <c r="E949" s="108" t="n">
        <v>0.13788</v>
      </c>
      <c r="F949" s="109" t="n">
        <f aca="false">ROUND(B949*E949,2)</f>
        <v>20.46</v>
      </c>
      <c r="H949" s="110" t="n">
        <v>191.742</v>
      </c>
      <c r="I949" s="111" t="n">
        <v>0.13788</v>
      </c>
      <c r="J949" s="112" t="n">
        <f aca="false">ROUND(H949*I949,2)</f>
        <v>26.44</v>
      </c>
      <c r="L949" s="113" t="n">
        <v>135.016</v>
      </c>
      <c r="M949" s="114" t="n">
        <v>0.13788</v>
      </c>
      <c r="N949" s="115" t="n">
        <f aca="false">ROUND(L949*M949,2)</f>
        <v>18.62</v>
      </c>
      <c r="O949" s="120" t="s">
        <v>619</v>
      </c>
      <c r="R949" s="117" t="s">
        <v>620</v>
      </c>
      <c r="AA949" s="0" t="n">
        <v>148.395</v>
      </c>
    </row>
    <row r="950" customFormat="false" ht="15" hidden="false" customHeight="false" outlineLevel="0" collapsed="false">
      <c r="A950" s="104" t="s">
        <v>621</v>
      </c>
      <c r="B950" s="105" t="n">
        <f aca="false">IF($P$948&lt;&gt;"",ROUND(AA950*(($AB$948/(1-$P$948))-35.742)/76.417,2),IF('Resumen 2.0TD'!$D$3="OPTIMIZAR",ROUND(MAX(AA950,MIN(AA950*(($AB$948/(1-'Resumen 2.0TD'!$F$3))-35.742)/76.417,AA950*(189.8258)/76.417)),3),AA950))</f>
        <v>269.07</v>
      </c>
      <c r="C950" s="118"/>
      <c r="D950" s="107" t="n">
        <v>0.111171</v>
      </c>
      <c r="E950" s="108" t="n">
        <v>0.13788</v>
      </c>
      <c r="F950" s="109" t="n">
        <f aca="false">ROUND(B950*E950,2)</f>
        <v>37.1</v>
      </c>
      <c r="H950" s="110" t="n">
        <v>358.561</v>
      </c>
      <c r="I950" s="111" t="n">
        <v>0.13788</v>
      </c>
      <c r="J950" s="112" t="n">
        <f aca="false">ROUND(H950*I950,2)</f>
        <v>49.44</v>
      </c>
      <c r="L950" s="113" t="n">
        <v>286.383</v>
      </c>
      <c r="M950" s="114" t="n">
        <v>0.13788</v>
      </c>
      <c r="N950" s="115" t="n">
        <f aca="false">ROUND(L950*M950,2)</f>
        <v>39.49</v>
      </c>
      <c r="O950" s="120" t="s">
        <v>622</v>
      </c>
      <c r="AA950" s="0" t="n">
        <v>269.07</v>
      </c>
    </row>
    <row r="951" customFormat="false" ht="15" hidden="false" customHeight="false" outlineLevel="0" collapsed="false">
      <c r="A951" s="104" t="s">
        <v>139</v>
      </c>
      <c r="B951" s="105" t="n">
        <v>1</v>
      </c>
      <c r="C951" s="106" t="n">
        <f aca="false">$N$943-$L$943+1</f>
        <v>30</v>
      </c>
      <c r="D951" s="107" t="n">
        <v>0.7989</v>
      </c>
      <c r="E951" s="108" t="n">
        <v>3</v>
      </c>
      <c r="F951" s="109" t="n">
        <f aca="false">ROUND(B951*E951,2)</f>
        <v>3</v>
      </c>
      <c r="H951" s="110" t="n">
        <v>1</v>
      </c>
      <c r="I951" s="111" t="n">
        <v>3</v>
      </c>
      <c r="J951" s="112" t="n">
        <f aca="false">ROUND(H951*I951,2)</f>
        <v>3</v>
      </c>
      <c r="L951" s="113" t="n">
        <v>1</v>
      </c>
      <c r="M951" s="114" t="n">
        <v>3</v>
      </c>
      <c r="N951" s="115" t="n">
        <f aca="false">ROUND(L951*M951,2)</f>
        <v>3</v>
      </c>
    </row>
    <row r="952" customFormat="false" ht="15" hidden="false" customHeight="false" outlineLevel="0" collapsed="false">
      <c r="A952" s="104" t="s">
        <v>140</v>
      </c>
      <c r="B952" s="105" t="n">
        <v>30</v>
      </c>
      <c r="C952" s="106" t="n">
        <f aca="false">$N$943-$L$943+1</f>
        <v>30</v>
      </c>
      <c r="D952" s="107" t="n">
        <v>0.5736</v>
      </c>
      <c r="E952" s="108" t="n">
        <v>0.01274</v>
      </c>
      <c r="F952" s="109" t="n">
        <f aca="false">ROUND(B952*E952,2)</f>
        <v>0.38</v>
      </c>
      <c r="H952" s="110" t="n">
        <v>30</v>
      </c>
      <c r="I952" s="111" t="n">
        <v>0.01274</v>
      </c>
      <c r="J952" s="112" t="n">
        <f aca="false">ROUND(H952*I952,2)</f>
        <v>0.38</v>
      </c>
      <c r="L952" s="113" t="n">
        <v>30</v>
      </c>
      <c r="M952" s="114" t="n">
        <v>0.00629</v>
      </c>
      <c r="N952" s="115" t="n">
        <f aca="false">ROUND(L952*M952,2)</f>
        <v>0.19</v>
      </c>
    </row>
    <row r="953" customFormat="false" ht="15" hidden="false" customHeight="false" outlineLevel="0" collapsed="false">
      <c r="A953" s="104" t="s">
        <v>141</v>
      </c>
      <c r="B953" s="105" t="n">
        <v>5.74</v>
      </c>
      <c r="C953" s="118"/>
      <c r="D953" s="107" t="n">
        <v>0.27312</v>
      </c>
      <c r="E953" s="108" t="n">
        <v>1</v>
      </c>
      <c r="F953" s="109" t="n">
        <f aca="false">ROUND(B953*E953,2)</f>
        <v>5.74</v>
      </c>
      <c r="H953" s="110" t="n">
        <v>6.69</v>
      </c>
      <c r="I953" s="111" t="n">
        <v>1</v>
      </c>
      <c r="J953" s="112" t="n">
        <f aca="false">ROUND(H953*I953,2)</f>
        <v>6.69</v>
      </c>
      <c r="L953" s="113" t="n">
        <v>5.74</v>
      </c>
      <c r="M953" s="114" t="n">
        <v>1</v>
      </c>
      <c r="N953" s="115" t="n">
        <f aca="false">ROUND(L953*M953,2)</f>
        <v>5.74</v>
      </c>
    </row>
    <row r="954" customFormat="false" ht="15" hidden="false" customHeight="false" outlineLevel="0" collapsed="false">
      <c r="A954" s="121" t="s">
        <v>142</v>
      </c>
      <c r="F954" s="122" t="n">
        <f aca="false">ROUND((SUM(F946:F953)-F953)*1.1+F953,2)</f>
        <v>132.85</v>
      </c>
      <c r="J954" s="123" t="n">
        <f aca="false">ROUND(SUM(J946:J953),2)</f>
        <v>140.88</v>
      </c>
      <c r="N954" s="124" t="n">
        <f aca="false">ROUND(SUM(N946:N953),2)</f>
        <v>121.1</v>
      </c>
    </row>
    <row r="955" customFormat="false" ht="15" hidden="false" customHeight="false" outlineLevel="0" collapsed="false">
      <c r="A955" s="93" t="s">
        <v>143</v>
      </c>
      <c r="B955" s="125" t="n">
        <f aca="false">IF((F950+F949+F948+F946+F947)=0,"",((F950+F949+F948+F946+F947)-$AB$948)/(F950+F949+F948+F946+F947))</f>
        <v>0.142618133297673</v>
      </c>
      <c r="D955" s="126" t="str">
        <f aca="false">IF(B955="","SIN PC",IF(B955&gt;=0.3,"APROBAR",IF(B955&gt;=0.2,"REVISAR","RECHAZAR")))</f>
        <v>RECHAZAR</v>
      </c>
      <c r="E955" s="126"/>
      <c r="F955" s="126"/>
      <c r="AD955" s="0" t="n">
        <f aca="false">SUM(F948:F950)-76.417</f>
        <v>0.00300000000000011</v>
      </c>
    </row>
    <row r="957" customFormat="false" ht="15" hidden="false" customHeight="false" outlineLevel="0" collapsed="false">
      <c r="A957" s="89" t="s">
        <v>1067</v>
      </c>
      <c r="B957" s="89"/>
      <c r="C957" s="89"/>
      <c r="D957" s="89"/>
      <c r="E957" s="89"/>
      <c r="F957" s="89"/>
      <c r="H957" s="89" t="s">
        <v>1068</v>
      </c>
      <c r="I957" s="89"/>
      <c r="J957" s="89"/>
      <c r="K957" s="89"/>
      <c r="L957" s="90" t="n">
        <v>46113</v>
      </c>
      <c r="M957" s="91" t="s">
        <v>608</v>
      </c>
      <c r="N957" s="90" t="n">
        <v>46142</v>
      </c>
      <c r="R957" s="92" t="s">
        <v>110</v>
      </c>
      <c r="S957" s="92"/>
      <c r="T957" s="92"/>
      <c r="U957" s="92"/>
      <c r="V957" s="92"/>
    </row>
    <row r="958" customFormat="false" ht="15" hidden="false" customHeight="false" outlineLevel="0" collapsed="false">
      <c r="A958" s="93" t="s">
        <v>111</v>
      </c>
      <c r="B958" s="94" t="s">
        <v>112</v>
      </c>
      <c r="C958" s="95"/>
      <c r="D958" s="95"/>
      <c r="E958" s="95"/>
      <c r="F958" s="95"/>
      <c r="H958" s="96" t="s">
        <v>1069</v>
      </c>
      <c r="I958" s="97"/>
      <c r="J958" s="97"/>
      <c r="L958" s="98" t="s">
        <v>1070</v>
      </c>
      <c r="M958" s="99"/>
      <c r="N958" s="99"/>
      <c r="R958" s="100" t="s">
        <v>1071</v>
      </c>
    </row>
    <row r="959" customFormat="false" ht="15" hidden="false" customHeight="false" outlineLevel="0" collapsed="false">
      <c r="B959" s="81" t="s">
        <v>116</v>
      </c>
      <c r="C959" s="81" t="s">
        <v>117</v>
      </c>
      <c r="D959" s="81" t="s">
        <v>118</v>
      </c>
      <c r="E959" s="81" t="s">
        <v>119</v>
      </c>
      <c r="F959" s="81" t="s">
        <v>120</v>
      </c>
      <c r="H959" s="101" t="s">
        <v>116</v>
      </c>
      <c r="I959" s="101" t="s">
        <v>119</v>
      </c>
      <c r="J959" s="101" t="s">
        <v>120</v>
      </c>
      <c r="L959" s="102" t="s">
        <v>116</v>
      </c>
      <c r="M959" s="102" t="s">
        <v>119</v>
      </c>
      <c r="N959" s="102" t="s">
        <v>120</v>
      </c>
      <c r="R959" s="103" t="s">
        <v>1072</v>
      </c>
    </row>
    <row r="960" customFormat="false" ht="15" hidden="false" customHeight="false" outlineLevel="0" collapsed="false">
      <c r="A960" s="104" t="s">
        <v>122</v>
      </c>
      <c r="B960" s="105" t="n">
        <v>6.9</v>
      </c>
      <c r="C960" s="106" t="n">
        <f aca="false">$N$957-$L$957+1</f>
        <v>30</v>
      </c>
      <c r="D960" s="107" t="n">
        <v>3.4086</v>
      </c>
      <c r="E960" s="108" t="n">
        <v>4.17</v>
      </c>
      <c r="F960" s="109" t="n">
        <f aca="false">ROUND(B960*E960,2)</f>
        <v>28.77</v>
      </c>
      <c r="H960" s="110" t="n">
        <v>6.9</v>
      </c>
      <c r="I960" s="111" t="n">
        <v>4.17</v>
      </c>
      <c r="J960" s="112" t="n">
        <f aca="false">ROUND(H960*I960,2)</f>
        <v>28.77</v>
      </c>
      <c r="L960" s="113" t="n">
        <v>6.9</v>
      </c>
      <c r="M960" s="114" t="n">
        <v>4.17</v>
      </c>
      <c r="N960" s="115" t="n">
        <f aca="false">ROUND(L960*M960,2)</f>
        <v>28.77</v>
      </c>
      <c r="R960" s="116" t="s">
        <v>1073</v>
      </c>
    </row>
    <row r="961" customFormat="false" ht="15" hidden="false" customHeight="false" outlineLevel="0" collapsed="false">
      <c r="A961" s="104" t="s">
        <v>124</v>
      </c>
      <c r="B961" s="105" t="n">
        <v>6.9</v>
      </c>
      <c r="C961" s="106" t="n">
        <f aca="false">$N$957-$L$957+1</f>
        <v>30</v>
      </c>
      <c r="D961" s="107" t="n">
        <v>1.09728</v>
      </c>
      <c r="E961" s="108" t="n">
        <v>1.37</v>
      </c>
      <c r="F961" s="109" t="n">
        <f aca="false">ROUND(B961*E961,2)</f>
        <v>9.45</v>
      </c>
      <c r="H961" s="110" t="n">
        <v>6.9</v>
      </c>
      <c r="I961" s="111" t="n">
        <v>1.37</v>
      </c>
      <c r="J961" s="112" t="n">
        <f aca="false">ROUND(H961*I961,2)</f>
        <v>9.45</v>
      </c>
      <c r="L961" s="113" t="n">
        <v>6.9</v>
      </c>
      <c r="M961" s="114" t="n">
        <v>1.37</v>
      </c>
      <c r="N961" s="115" t="n">
        <f aca="false">ROUND(L961*M961,2)</f>
        <v>9.45</v>
      </c>
      <c r="R961" s="117" t="s">
        <v>1074</v>
      </c>
    </row>
    <row r="962" customFormat="false" ht="15" hidden="false" customHeight="false" outlineLevel="0" collapsed="false">
      <c r="A962" s="104" t="s">
        <v>615</v>
      </c>
      <c r="B962" s="105" t="n">
        <f aca="false">IF($P$962&lt;&gt;"",ROUND(AA962*(($AB$962/(1-$P$962))-38.226)/60.5407,2),IF('Resumen 2.0TD'!$D$3="OPTIMIZAR",ROUND(MAX(AA962,MIN(AA962*(($AB$962/(1-'Resumen 2.0TD'!$F$3))-38.226)/60.5407,AA962*(183.5918)/60.5407)),3),AA962))</f>
        <v>104.446</v>
      </c>
      <c r="C962" s="118"/>
      <c r="D962" s="107" t="n">
        <v>0.110306</v>
      </c>
      <c r="E962" s="108" t="n">
        <v>0.14937</v>
      </c>
      <c r="F962" s="109" t="n">
        <f aca="false">ROUND(B962*E962,2)</f>
        <v>15.6</v>
      </c>
      <c r="H962" s="110" t="n">
        <v>270.046</v>
      </c>
      <c r="I962" s="111" t="n">
        <v>0.14937</v>
      </c>
      <c r="J962" s="112" t="n">
        <f aca="false">ROUND(H962*I962,2)</f>
        <v>40.34</v>
      </c>
      <c r="L962" s="113" t="n">
        <v>94.717</v>
      </c>
      <c r="M962" s="114" t="n">
        <v>0.14937</v>
      </c>
      <c r="N962" s="115" t="n">
        <f aca="false">ROUND(L962*M962,2)</f>
        <v>14.15</v>
      </c>
      <c r="O962" s="119" t="s">
        <v>616</v>
      </c>
      <c r="P962" s="79"/>
      <c r="R962" s="117" t="s">
        <v>1075</v>
      </c>
      <c r="AA962" s="0" t="n">
        <v>104.446</v>
      </c>
      <c r="AB962" s="0" t="n">
        <f aca="false">B960*D960+B961*D961+AA962*D962+AA963*D963+AA964*D964</f>
        <v>75.798365942</v>
      </c>
    </row>
    <row r="963" customFormat="false" ht="15" hidden="false" customHeight="false" outlineLevel="0" collapsed="false">
      <c r="A963" s="104" t="s">
        <v>618</v>
      </c>
      <c r="B963" s="105" t="n">
        <f aca="false">IF($P$962&lt;&gt;"",ROUND(AA963*(($AB$962/(1-$P$962))-38.226)/60.5407,2),IF('Resumen 2.0TD'!$D$3="OPTIMIZAR",ROUND(MAX(AA963,MIN(AA963*(($AB$962/(1-'Resumen 2.0TD'!$F$3))-38.226)/60.5407,AA963*(183.5918)/60.5407)),3),AA963))</f>
        <v>73.601</v>
      </c>
      <c r="C963" s="118"/>
      <c r="D963" s="107" t="n">
        <v>0.110306</v>
      </c>
      <c r="E963" s="108" t="n">
        <v>0.14937</v>
      </c>
      <c r="F963" s="109" t="n">
        <f aca="false">ROUND(B963*E963,2)</f>
        <v>10.99</v>
      </c>
      <c r="H963" s="110" t="n">
        <v>255.747</v>
      </c>
      <c r="I963" s="111" t="n">
        <v>0.14937</v>
      </c>
      <c r="J963" s="112" t="n">
        <f aca="false">ROUND(H963*I963,2)</f>
        <v>38.2</v>
      </c>
      <c r="L963" s="113" t="n">
        <v>78.591</v>
      </c>
      <c r="M963" s="114" t="n">
        <v>0.14937</v>
      </c>
      <c r="N963" s="115" t="n">
        <f aca="false">ROUND(L963*M963,2)</f>
        <v>11.74</v>
      </c>
      <c r="O963" s="120" t="s">
        <v>619</v>
      </c>
      <c r="R963" s="117" t="s">
        <v>620</v>
      </c>
      <c r="AA963" s="0" t="n">
        <v>73.601</v>
      </c>
    </row>
    <row r="964" customFormat="false" ht="15" hidden="false" customHeight="false" outlineLevel="0" collapsed="false">
      <c r="A964" s="104" t="s">
        <v>621</v>
      </c>
      <c r="B964" s="105" t="n">
        <f aca="false">IF($P$962&lt;&gt;"",ROUND(AA964*(($AB$962/(1-$P$962))-38.226)/60.5407,2),IF('Resumen 2.0TD'!$D$3="OPTIMIZAR",ROUND(MAX(AA964,MIN(AA964*(($AB$962/(1-'Resumen 2.0TD'!$F$3))-38.226)/60.5407,AA964*(183.5918)/60.5407)),3),AA964))</f>
        <v>227.26</v>
      </c>
      <c r="C964" s="118"/>
      <c r="D964" s="107" t="n">
        <v>0.110306</v>
      </c>
      <c r="E964" s="108" t="n">
        <v>0.14937</v>
      </c>
      <c r="F964" s="109" t="n">
        <f aca="false">ROUND(B964*E964,2)</f>
        <v>33.95</v>
      </c>
      <c r="H964" s="110" t="n">
        <v>369.092</v>
      </c>
      <c r="I964" s="111" t="n">
        <v>0.14937</v>
      </c>
      <c r="J964" s="112" t="n">
        <f aca="false">ROUND(H964*I964,2)</f>
        <v>55.13</v>
      </c>
      <c r="L964" s="113" t="n">
        <v>160.305</v>
      </c>
      <c r="M964" s="114" t="n">
        <v>0.14937</v>
      </c>
      <c r="N964" s="115" t="n">
        <f aca="false">ROUND(L964*M964,2)</f>
        <v>23.94</v>
      </c>
      <c r="O964" s="120" t="s">
        <v>622</v>
      </c>
      <c r="AA964" s="0" t="n">
        <v>227.26</v>
      </c>
    </row>
    <row r="965" customFormat="false" ht="15" hidden="false" customHeight="false" outlineLevel="0" collapsed="false">
      <c r="A965" s="104" t="s">
        <v>139</v>
      </c>
      <c r="B965" s="105" t="n">
        <v>1</v>
      </c>
      <c r="C965" s="106" t="n">
        <f aca="false">$N$957-$L$957+1</f>
        <v>30</v>
      </c>
      <c r="D965" s="107" t="n">
        <v>0.7989</v>
      </c>
      <c r="E965" s="108" t="n">
        <v>4</v>
      </c>
      <c r="F965" s="109" t="n">
        <f aca="false">ROUND(B965*E965,2)</f>
        <v>4</v>
      </c>
      <c r="H965" s="110" t="n">
        <v>1</v>
      </c>
      <c r="I965" s="111" t="n">
        <v>4</v>
      </c>
      <c r="J965" s="112" t="n">
        <f aca="false">ROUND(H965*I965,2)</f>
        <v>4</v>
      </c>
      <c r="L965" s="113" t="n">
        <v>1</v>
      </c>
      <c r="M965" s="114" t="n">
        <v>4</v>
      </c>
      <c r="N965" s="115" t="n">
        <f aca="false">ROUND(L965*M965,2)</f>
        <v>4</v>
      </c>
    </row>
    <row r="966" customFormat="false" ht="15" hidden="false" customHeight="false" outlineLevel="0" collapsed="false">
      <c r="A966" s="104" t="s">
        <v>140</v>
      </c>
      <c r="B966" s="105" t="n">
        <v>30</v>
      </c>
      <c r="C966" s="106" t="n">
        <f aca="false">$N$957-$L$957+1</f>
        <v>30</v>
      </c>
      <c r="D966" s="107" t="n">
        <v>0.5736</v>
      </c>
      <c r="E966" s="108" t="n">
        <v>0.01274</v>
      </c>
      <c r="F966" s="109" t="n">
        <f aca="false">ROUND(B966*E966,2)</f>
        <v>0.38</v>
      </c>
      <c r="H966" s="110" t="n">
        <v>30</v>
      </c>
      <c r="I966" s="111" t="n">
        <v>0.01274</v>
      </c>
      <c r="J966" s="112" t="n">
        <f aca="false">ROUND(H966*I966,2)</f>
        <v>0.38</v>
      </c>
      <c r="L966" s="113" t="n">
        <v>30</v>
      </c>
      <c r="M966" s="114" t="n">
        <v>0.00629</v>
      </c>
      <c r="N966" s="115" t="n">
        <f aca="false">ROUND(L966*M966,2)</f>
        <v>0.19</v>
      </c>
    </row>
    <row r="967" customFormat="false" ht="15" hidden="false" customHeight="false" outlineLevel="0" collapsed="false">
      <c r="A967" s="104" t="s">
        <v>141</v>
      </c>
      <c r="B967" s="105" t="n">
        <v>4.34</v>
      </c>
      <c r="C967" s="118"/>
      <c r="D967" s="107" t="n">
        <v>0.24729</v>
      </c>
      <c r="E967" s="108" t="n">
        <v>1</v>
      </c>
      <c r="F967" s="109" t="n">
        <f aca="false">ROUND(B967*E967,2)</f>
        <v>4.34</v>
      </c>
      <c r="H967" s="110" t="n">
        <v>8.45</v>
      </c>
      <c r="I967" s="111" t="n">
        <v>1</v>
      </c>
      <c r="J967" s="112" t="n">
        <f aca="false">ROUND(H967*I967,2)</f>
        <v>8.45</v>
      </c>
      <c r="L967" s="113" t="n">
        <v>3.75</v>
      </c>
      <c r="M967" s="114" t="n">
        <v>1</v>
      </c>
      <c r="N967" s="115" t="n">
        <f aca="false">ROUND(L967*M967,2)</f>
        <v>3.75</v>
      </c>
    </row>
    <row r="968" customFormat="false" ht="15" hidden="false" customHeight="false" outlineLevel="0" collapsed="false">
      <c r="A968" s="121" t="s">
        <v>142</v>
      </c>
      <c r="F968" s="122" t="n">
        <f aca="false">ROUND((SUM(F960:F967)-F967)*1.1+F967,2)</f>
        <v>117.79</v>
      </c>
      <c r="J968" s="123" t="n">
        <f aca="false">ROUND(SUM(J960:J967),2)</f>
        <v>184.72</v>
      </c>
      <c r="N968" s="124" t="n">
        <f aca="false">ROUND(SUM(N960:N967),2)</f>
        <v>95.99</v>
      </c>
    </row>
    <row r="969" customFormat="false" ht="15" hidden="false" customHeight="false" outlineLevel="0" collapsed="false">
      <c r="A969" s="93" t="s">
        <v>143</v>
      </c>
      <c r="B969" s="125" t="n">
        <f aca="false">IF((F964+F963+F962+F960+F961)=0,"",((F964+F963+F962+F960+F961)-$AB$962)/(F964+F963+F962+F960+F961))</f>
        <v>0.232499332300527</v>
      </c>
      <c r="D969" s="126" t="str">
        <f aca="false">IF(B969="","SIN PC",IF(B969&gt;=0.3,"APROBAR",IF(B969&gt;=0.2,"REVISAR","RECHAZAR")))</f>
        <v>REVISAR</v>
      </c>
      <c r="E969" s="126"/>
      <c r="F969" s="126"/>
      <c r="AD969" s="0" t="n">
        <f aca="false">SUM(F962:F964)-60.5407</f>
        <v>-0.000699999999994816</v>
      </c>
    </row>
    <row r="970" customFormat="false" ht="15" hidden="false" customHeight="false" outlineLevel="0" collapsed="false">
      <c r="A970" s="127" t="s">
        <v>744</v>
      </c>
      <c r="B970" s="127"/>
      <c r="C970" s="127"/>
      <c r="D970" s="127"/>
      <c r="E970" s="127"/>
      <c r="F970" s="127"/>
    </row>
    <row r="971" customFormat="false" ht="15" hidden="false" customHeight="false" outlineLevel="0" collapsed="false">
      <c r="A971" s="128" t="s">
        <v>111</v>
      </c>
      <c r="B971" s="128" t="s">
        <v>745</v>
      </c>
      <c r="D971" s="128" t="s">
        <v>746</v>
      </c>
      <c r="E971" s="128" t="s">
        <v>747</v>
      </c>
      <c r="F971" s="128" t="s">
        <v>120</v>
      </c>
    </row>
    <row r="972" customFormat="false" ht="15" hidden="false" customHeight="false" outlineLevel="0" collapsed="false">
      <c r="A972" s="129" t="s">
        <v>748</v>
      </c>
      <c r="B972" s="130" t="n">
        <v>263</v>
      </c>
      <c r="C972" s="131"/>
      <c r="D972" s="107" t="n">
        <v>0.06</v>
      </c>
      <c r="E972" s="131"/>
      <c r="F972" s="132" t="n">
        <f aca="false">ROUND(B972*D972,2)</f>
        <v>15.78</v>
      </c>
    </row>
    <row r="973" customFormat="false" ht="15" hidden="false" customHeight="false" outlineLevel="0" collapsed="false">
      <c r="A973" s="129" t="s">
        <v>749</v>
      </c>
      <c r="B973" s="131"/>
      <c r="C973" s="131"/>
      <c r="D973" s="131"/>
      <c r="E973" s="133" t="n">
        <v>0.06</v>
      </c>
      <c r="F973" s="132" t="n">
        <v>13.98</v>
      </c>
    </row>
    <row r="974" customFormat="false" ht="15" hidden="false" customHeight="false" outlineLevel="0" collapsed="false">
      <c r="A974" s="134" t="s">
        <v>750</v>
      </c>
      <c r="B974" s="131"/>
      <c r="C974" s="131"/>
      <c r="D974" s="131"/>
      <c r="E974" s="131"/>
      <c r="F974" s="135" t="n">
        <f aca="false">F972-F973</f>
        <v>1.8</v>
      </c>
    </row>
    <row r="976" customFormat="false" ht="15" hidden="false" customHeight="false" outlineLevel="0" collapsed="false">
      <c r="A976" s="89" t="s">
        <v>1076</v>
      </c>
      <c r="B976" s="89"/>
      <c r="C976" s="89"/>
      <c r="D976" s="89"/>
      <c r="E976" s="89"/>
      <c r="F976" s="89"/>
      <c r="H976" s="89" t="s">
        <v>1077</v>
      </c>
      <c r="I976" s="89"/>
      <c r="J976" s="89"/>
      <c r="K976" s="89"/>
      <c r="L976" s="90" t="n">
        <v>46113</v>
      </c>
      <c r="M976" s="91" t="s">
        <v>608</v>
      </c>
      <c r="N976" s="90" t="n">
        <v>46142</v>
      </c>
      <c r="R976" s="92" t="s">
        <v>110</v>
      </c>
      <c r="S976" s="92"/>
      <c r="T976" s="92"/>
      <c r="U976" s="92"/>
      <c r="V976" s="92"/>
    </row>
    <row r="977" customFormat="false" ht="15" hidden="false" customHeight="false" outlineLevel="0" collapsed="false">
      <c r="A977" s="93" t="s">
        <v>111</v>
      </c>
      <c r="B977" s="94" t="s">
        <v>112</v>
      </c>
      <c r="C977" s="95"/>
      <c r="D977" s="95"/>
      <c r="E977" s="95"/>
      <c r="F977" s="95"/>
      <c r="H977" s="96" t="s">
        <v>1078</v>
      </c>
      <c r="I977" s="97"/>
      <c r="J977" s="97"/>
      <c r="L977" s="98" t="s">
        <v>1079</v>
      </c>
      <c r="M977" s="99"/>
      <c r="N977" s="99"/>
      <c r="R977" s="100" t="s">
        <v>1080</v>
      </c>
    </row>
    <row r="978" customFormat="false" ht="15" hidden="false" customHeight="false" outlineLevel="0" collapsed="false">
      <c r="B978" s="81" t="s">
        <v>116</v>
      </c>
      <c r="C978" s="81" t="s">
        <v>117</v>
      </c>
      <c r="D978" s="81" t="s">
        <v>118</v>
      </c>
      <c r="E978" s="81" t="s">
        <v>119</v>
      </c>
      <c r="F978" s="81" t="s">
        <v>120</v>
      </c>
      <c r="H978" s="101" t="s">
        <v>116</v>
      </c>
      <c r="I978" s="101" t="s">
        <v>119</v>
      </c>
      <c r="J978" s="101" t="s">
        <v>120</v>
      </c>
      <c r="L978" s="102" t="s">
        <v>116</v>
      </c>
      <c r="M978" s="102" t="s">
        <v>119</v>
      </c>
      <c r="N978" s="102" t="s">
        <v>120</v>
      </c>
      <c r="R978" s="103" t="s">
        <v>1081</v>
      </c>
    </row>
    <row r="979" customFormat="false" ht="15" hidden="false" customHeight="false" outlineLevel="0" collapsed="false">
      <c r="A979" s="104" t="s">
        <v>122</v>
      </c>
      <c r="B979" s="105" t="n">
        <v>13.2</v>
      </c>
      <c r="C979" s="106" t="n">
        <f aca="false">$N$976-$L$976+1</f>
        <v>30</v>
      </c>
      <c r="D979" s="107" t="n">
        <v>3.68919</v>
      </c>
      <c r="E979" s="108" t="n">
        <v>4.17</v>
      </c>
      <c r="F979" s="109" t="n">
        <f aca="false">ROUND(B979*E979,2)</f>
        <v>55.04</v>
      </c>
      <c r="H979" s="110" t="n">
        <v>13.2</v>
      </c>
      <c r="I979" s="111" t="n">
        <v>4.17</v>
      </c>
      <c r="J979" s="112" t="n">
        <f aca="false">ROUND(H979*I979,2)</f>
        <v>55.04</v>
      </c>
      <c r="L979" s="113" t="n">
        <v>13.2</v>
      </c>
      <c r="M979" s="114" t="n">
        <v>4.17</v>
      </c>
      <c r="N979" s="115" t="n">
        <f aca="false">ROUND(L979*M979,2)</f>
        <v>55.04</v>
      </c>
      <c r="R979" s="116" t="s">
        <v>1082</v>
      </c>
    </row>
    <row r="980" customFormat="false" ht="15" hidden="false" customHeight="false" outlineLevel="0" collapsed="false">
      <c r="A980" s="104" t="s">
        <v>124</v>
      </c>
      <c r="B980" s="105" t="n">
        <v>13.2</v>
      </c>
      <c r="C980" s="106" t="n">
        <f aca="false">$N$976-$L$976+1</f>
        <v>30</v>
      </c>
      <c r="D980" s="107" t="n">
        <v>1.31928</v>
      </c>
      <c r="E980" s="108" t="n">
        <v>1.37</v>
      </c>
      <c r="F980" s="109" t="n">
        <f aca="false">ROUND(B980*E980,2)</f>
        <v>18.08</v>
      </c>
      <c r="H980" s="110" t="n">
        <v>13.2</v>
      </c>
      <c r="I980" s="111" t="n">
        <v>1.37</v>
      </c>
      <c r="J980" s="112" t="n">
        <f aca="false">ROUND(H980*I980,2)</f>
        <v>18.08</v>
      </c>
      <c r="L980" s="113" t="n">
        <v>13.2</v>
      </c>
      <c r="M980" s="114" t="n">
        <v>1.37</v>
      </c>
      <c r="N980" s="115" t="n">
        <f aca="false">ROUND(L980*M980,2)</f>
        <v>18.08</v>
      </c>
      <c r="R980" s="117" t="s">
        <v>1083</v>
      </c>
    </row>
    <row r="981" customFormat="false" ht="15" hidden="false" customHeight="false" outlineLevel="0" collapsed="false">
      <c r="A981" s="104" t="s">
        <v>615</v>
      </c>
      <c r="B981" s="105" t="n">
        <f aca="false">IF($P$981&lt;&gt;"",ROUND(AA981*(($AB$981/(1-$P$981))-73.128)/337.4462,2),IF('Resumen 2.0TD'!$D$3="OPTIMIZAR",ROUND(MAX(AA981,MIN(AA981*(($AB$981/(1-'Resumen 2.0TD'!$F$3))-73.128)/337.4462,AA981*(1695.1698)/337.4462)),3),AA981))</f>
        <v>797.316</v>
      </c>
      <c r="C981" s="118"/>
      <c r="D981" s="107" t="n">
        <v>0.111171</v>
      </c>
      <c r="E981" s="108" t="n">
        <v>0.1092</v>
      </c>
      <c r="F981" s="109" t="n">
        <f aca="false">ROUND(B981*E981,2)</f>
        <v>87.07</v>
      </c>
      <c r="H981" s="110" t="n">
        <v>787.095</v>
      </c>
      <c r="I981" s="111" t="n">
        <v>0.1092</v>
      </c>
      <c r="J981" s="112" t="n">
        <f aca="false">ROUND(H981*I981,2)</f>
        <v>85.95</v>
      </c>
      <c r="L981" s="113" t="n">
        <v>696.122</v>
      </c>
      <c r="M981" s="114" t="n">
        <v>0.14937</v>
      </c>
      <c r="N981" s="115" t="n">
        <f aca="false">ROUND(L981*M981,2)</f>
        <v>103.98</v>
      </c>
      <c r="O981" s="119" t="s">
        <v>616</v>
      </c>
      <c r="P981" s="79"/>
      <c r="R981" s="117" t="s">
        <v>1084</v>
      </c>
      <c r="AA981" s="0" t="n">
        <v>797.316</v>
      </c>
      <c r="AB981" s="0" t="n">
        <f aca="false">B979*D979+B980*D980+AA981*D981+AA982*D982+AA983*D983</f>
        <v>409.648759557</v>
      </c>
    </row>
    <row r="982" customFormat="false" ht="15" hidden="false" customHeight="false" outlineLevel="0" collapsed="false">
      <c r="A982" s="104" t="s">
        <v>618</v>
      </c>
      <c r="B982" s="105" t="n">
        <f aca="false">IF($P$981&lt;&gt;"",ROUND(AA982*(($AB$981/(1-$P$981))-73.128)/337.4462,2),IF('Resumen 2.0TD'!$D$3="OPTIMIZAR",ROUND(MAX(AA982,MIN(AA982*(($AB$981/(1-'Resumen 2.0TD'!$F$3))-73.128)/337.4462,AA982*(1695.1698)/337.4462)),3),AA982))</f>
        <v>730.891</v>
      </c>
      <c r="C982" s="118"/>
      <c r="D982" s="107" t="n">
        <v>0.111171</v>
      </c>
      <c r="E982" s="108" t="n">
        <v>0.1092</v>
      </c>
      <c r="F982" s="109" t="n">
        <f aca="false">ROUND(B982*E982,2)</f>
        <v>79.81</v>
      </c>
      <c r="H982" s="110" t="n">
        <v>706.901</v>
      </c>
      <c r="I982" s="111" t="n">
        <v>0.1092</v>
      </c>
      <c r="J982" s="112" t="n">
        <f aca="false">ROUND(H982*I982,2)</f>
        <v>77.19</v>
      </c>
      <c r="L982" s="113" t="n">
        <v>659.449</v>
      </c>
      <c r="M982" s="114" t="n">
        <v>0.14937</v>
      </c>
      <c r="N982" s="115" t="n">
        <f aca="false">ROUND(L982*M982,2)</f>
        <v>98.5</v>
      </c>
      <c r="O982" s="120" t="s">
        <v>619</v>
      </c>
      <c r="R982" s="117" t="s">
        <v>620</v>
      </c>
      <c r="AA982" s="0" t="n">
        <v>730.891</v>
      </c>
    </row>
    <row r="983" customFormat="false" ht="15" hidden="false" customHeight="false" outlineLevel="0" collapsed="false">
      <c r="A983" s="104" t="s">
        <v>621</v>
      </c>
      <c r="B983" s="105" t="n">
        <f aca="false">IF($P$981&lt;&gt;"",ROUND(AA983*(($AB$981/(1-$P$981))-73.128)/337.4462,2),IF('Resumen 2.0TD'!$D$3="OPTIMIZAR",ROUND(MAX(AA983,MIN(AA983*(($AB$981/(1-'Resumen 2.0TD'!$F$3))-73.128)/337.4462,AA983*(1695.1698)/337.4462)),3),AA983))</f>
        <v>1561.96</v>
      </c>
      <c r="C983" s="118"/>
      <c r="D983" s="107" t="n">
        <v>0.111171</v>
      </c>
      <c r="E983" s="108" t="n">
        <v>0.1092</v>
      </c>
      <c r="F983" s="109" t="n">
        <f aca="false">ROUND(B983*E983,2)</f>
        <v>170.57</v>
      </c>
      <c r="H983" s="110" t="n">
        <v>1261.87</v>
      </c>
      <c r="I983" s="111" t="n">
        <v>0.1092</v>
      </c>
      <c r="J983" s="112" t="n">
        <f aca="false">ROUND(H983*I983,2)</f>
        <v>137.8</v>
      </c>
      <c r="L983" s="113" t="n">
        <v>1600.04</v>
      </c>
      <c r="M983" s="114" t="n">
        <v>0.14937</v>
      </c>
      <c r="N983" s="115" t="n">
        <f aca="false">ROUND(L983*M983,2)</f>
        <v>239</v>
      </c>
      <c r="O983" s="120" t="s">
        <v>622</v>
      </c>
      <c r="AA983" s="0" t="n">
        <v>1561.96</v>
      </c>
    </row>
    <row r="984" customFormat="false" ht="15" hidden="false" customHeight="false" outlineLevel="0" collapsed="false">
      <c r="A984" s="104" t="s">
        <v>139</v>
      </c>
      <c r="B984" s="105" t="n">
        <v>1</v>
      </c>
      <c r="C984" s="106" t="n">
        <f aca="false">$N$976-$L$976+1</f>
        <v>30</v>
      </c>
      <c r="D984" s="107" t="n">
        <v>1.3414</v>
      </c>
      <c r="E984" s="108" t="n">
        <v>4</v>
      </c>
      <c r="F984" s="109" t="n">
        <f aca="false">ROUND(B984*E984,2)</f>
        <v>4</v>
      </c>
      <c r="H984" s="110" t="n">
        <v>1</v>
      </c>
      <c r="I984" s="111" t="n">
        <v>4</v>
      </c>
      <c r="J984" s="112" t="n">
        <f aca="false">ROUND(H984*I984,2)</f>
        <v>4</v>
      </c>
      <c r="L984" s="113" t="n">
        <v>1</v>
      </c>
      <c r="M984" s="114" t="n">
        <v>4</v>
      </c>
      <c r="N984" s="115" t="n">
        <f aca="false">ROUND(L984*M984,2)</f>
        <v>4</v>
      </c>
    </row>
    <row r="985" customFormat="false" ht="15" hidden="false" customHeight="false" outlineLevel="0" collapsed="false">
      <c r="A985" s="104" t="s">
        <v>140</v>
      </c>
      <c r="B985" s="105" t="n">
        <v>30</v>
      </c>
      <c r="C985" s="106" t="n">
        <f aca="false">$N$976-$L$976+1</f>
        <v>30</v>
      </c>
      <c r="D985" s="107" t="n">
        <v>0.5736</v>
      </c>
      <c r="E985" s="108" t="n">
        <v>0.01274</v>
      </c>
      <c r="F985" s="109" t="n">
        <f aca="false">ROUND(B985*E985,2)</f>
        <v>0.38</v>
      </c>
      <c r="H985" s="110" t="n">
        <v>30</v>
      </c>
      <c r="I985" s="111" t="n">
        <v>0.01274</v>
      </c>
      <c r="J985" s="112" t="n">
        <f aca="false">ROUND(H985*I985,2)</f>
        <v>0.38</v>
      </c>
      <c r="L985" s="113" t="n">
        <v>30</v>
      </c>
      <c r="M985" s="114" t="n">
        <v>0.01247</v>
      </c>
      <c r="N985" s="115" t="n">
        <f aca="false">ROUND(L985*M985,2)</f>
        <v>0.37</v>
      </c>
    </row>
    <row r="986" customFormat="false" ht="15" hidden="false" customHeight="false" outlineLevel="0" collapsed="false">
      <c r="A986" s="104" t="s">
        <v>141</v>
      </c>
      <c r="B986" s="105" t="n">
        <v>22.13</v>
      </c>
      <c r="C986" s="118"/>
      <c r="D986" s="107" t="n">
        <v>0.27312</v>
      </c>
      <c r="E986" s="108" t="n">
        <v>1</v>
      </c>
      <c r="F986" s="109" t="n">
        <f aca="false">ROUND(B986*E986,2)</f>
        <v>22.13</v>
      </c>
      <c r="H986" s="110" t="n">
        <v>20.2</v>
      </c>
      <c r="I986" s="111" t="n">
        <v>1</v>
      </c>
      <c r="J986" s="112" t="n">
        <f aca="false">ROUND(H986*I986,2)</f>
        <v>20.2</v>
      </c>
      <c r="L986" s="113" t="n">
        <v>25.86</v>
      </c>
      <c r="M986" s="114" t="n">
        <v>1</v>
      </c>
      <c r="N986" s="115" t="n">
        <f aca="false">ROUND(L986*M986,2)</f>
        <v>25.86</v>
      </c>
    </row>
    <row r="987" customFormat="false" ht="15" hidden="false" customHeight="false" outlineLevel="0" collapsed="false">
      <c r="A987" s="121" t="s">
        <v>142</v>
      </c>
      <c r="F987" s="122" t="n">
        <f aca="false">ROUND((SUM(F979:F986)-F986)*1.1+F986,2)</f>
        <v>478.58</v>
      </c>
      <c r="J987" s="123" t="n">
        <f aca="false">ROUND(SUM(J979:J986),2)</f>
        <v>398.64</v>
      </c>
      <c r="N987" s="124" t="n">
        <f aca="false">ROUND(SUM(N979:N986),2)</f>
        <v>544.83</v>
      </c>
    </row>
    <row r="988" customFormat="false" ht="15" hidden="false" customHeight="false" outlineLevel="0" collapsed="false">
      <c r="A988" s="93" t="s">
        <v>143</v>
      </c>
      <c r="B988" s="125" t="n">
        <f aca="false">IF((F983+F982+F981+F979+F980)=0,"",((F983+F982+F981+F979+F980)-$AB$981)/(F983+F982+F981+F979+F980))</f>
        <v>0.00224380846871406</v>
      </c>
      <c r="D988" s="126" t="str">
        <f aca="false">IF(B988="","SIN PC",IF(B988&gt;=0.3,"APROBAR",IF(B988&gt;=0.2,"REVISAR","RECHAZAR")))</f>
        <v>RECHAZAR</v>
      </c>
      <c r="E988" s="126"/>
      <c r="F988" s="126"/>
      <c r="AD988" s="0" t="n">
        <f aca="false">SUM(F981:F983)-337.4462</f>
        <v>0.00380000000001246</v>
      </c>
    </row>
    <row r="990" customFormat="false" ht="15" hidden="false" customHeight="false" outlineLevel="0" collapsed="false">
      <c r="A990" s="89" t="s">
        <v>1085</v>
      </c>
      <c r="B990" s="89"/>
      <c r="C990" s="89"/>
      <c r="D990" s="89"/>
      <c r="E990" s="89"/>
      <c r="F990" s="89"/>
      <c r="H990" s="89" t="s">
        <v>1086</v>
      </c>
      <c r="I990" s="89"/>
      <c r="J990" s="89"/>
      <c r="K990" s="89"/>
      <c r="L990" s="90" t="n">
        <v>46113</v>
      </c>
      <c r="M990" s="91" t="s">
        <v>608</v>
      </c>
      <c r="N990" s="90" t="n">
        <v>46142</v>
      </c>
      <c r="R990" s="92" t="s">
        <v>110</v>
      </c>
      <c r="S990" s="92"/>
      <c r="T990" s="92"/>
      <c r="U990" s="92"/>
      <c r="V990" s="92"/>
    </row>
    <row r="991" customFormat="false" ht="15" hidden="false" customHeight="false" outlineLevel="0" collapsed="false">
      <c r="A991" s="93" t="s">
        <v>111</v>
      </c>
      <c r="B991" s="94" t="s">
        <v>112</v>
      </c>
      <c r="C991" s="95"/>
      <c r="D991" s="95"/>
      <c r="E991" s="95"/>
      <c r="F991" s="95"/>
      <c r="H991" s="96" t="s">
        <v>1087</v>
      </c>
      <c r="I991" s="97"/>
      <c r="J991" s="97"/>
      <c r="L991" s="98" t="s">
        <v>1088</v>
      </c>
      <c r="M991" s="99"/>
      <c r="N991" s="99"/>
      <c r="R991" s="100" t="s">
        <v>1089</v>
      </c>
    </row>
    <row r="992" customFormat="false" ht="15" hidden="false" customHeight="false" outlineLevel="0" collapsed="false">
      <c r="B992" s="81" t="s">
        <v>116</v>
      </c>
      <c r="C992" s="81" t="s">
        <v>117</v>
      </c>
      <c r="D992" s="81" t="s">
        <v>118</v>
      </c>
      <c r="E992" s="81" t="s">
        <v>119</v>
      </c>
      <c r="F992" s="81" t="s">
        <v>120</v>
      </c>
      <c r="H992" s="101" t="s">
        <v>116</v>
      </c>
      <c r="I992" s="101" t="s">
        <v>119</v>
      </c>
      <c r="J992" s="101" t="s">
        <v>120</v>
      </c>
      <c r="L992" s="102" t="s">
        <v>116</v>
      </c>
      <c r="M992" s="102" t="s">
        <v>119</v>
      </c>
      <c r="N992" s="102" t="s">
        <v>120</v>
      </c>
      <c r="R992" s="103" t="s">
        <v>1090</v>
      </c>
    </row>
    <row r="993" customFormat="false" ht="15" hidden="false" customHeight="false" outlineLevel="0" collapsed="false">
      <c r="A993" s="104" t="s">
        <v>122</v>
      </c>
      <c r="B993" s="105" t="n">
        <v>4.6</v>
      </c>
      <c r="C993" s="106" t="n">
        <f aca="false">$N$990-$L$990+1</f>
        <v>30</v>
      </c>
      <c r="D993" s="107" t="n">
        <v>3.68919</v>
      </c>
      <c r="E993" s="108" t="n">
        <v>4.17</v>
      </c>
      <c r="F993" s="109" t="n">
        <f aca="false">ROUND(B993*E993,2)</f>
        <v>19.18</v>
      </c>
      <c r="H993" s="110" t="n">
        <v>4.6</v>
      </c>
      <c r="I993" s="111" t="n">
        <v>4.17</v>
      </c>
      <c r="J993" s="112" t="n">
        <f aca="false">ROUND(H993*I993,2)</f>
        <v>19.18</v>
      </c>
      <c r="L993" s="113" t="n">
        <v>4.6</v>
      </c>
      <c r="M993" s="114" t="n">
        <v>4.17</v>
      </c>
      <c r="N993" s="115" t="n">
        <f aca="false">ROUND(L993*M993,2)</f>
        <v>19.18</v>
      </c>
      <c r="R993" s="116" t="s">
        <v>1091</v>
      </c>
    </row>
    <row r="994" customFormat="false" ht="15" hidden="false" customHeight="false" outlineLevel="0" collapsed="false">
      <c r="A994" s="104" t="s">
        <v>124</v>
      </c>
      <c r="B994" s="105" t="n">
        <v>4.6</v>
      </c>
      <c r="C994" s="106" t="n">
        <f aca="false">$N$990-$L$990+1</f>
        <v>30</v>
      </c>
      <c r="D994" s="107" t="n">
        <v>1.31928</v>
      </c>
      <c r="E994" s="108" t="n">
        <v>1.37</v>
      </c>
      <c r="F994" s="109" t="n">
        <f aca="false">ROUND(B994*E994,2)</f>
        <v>6.3</v>
      </c>
      <c r="H994" s="110" t="n">
        <v>4.6</v>
      </c>
      <c r="I994" s="111" t="n">
        <v>1.37</v>
      </c>
      <c r="J994" s="112" t="n">
        <f aca="false">ROUND(H994*I994,2)</f>
        <v>6.3</v>
      </c>
      <c r="L994" s="113" t="n">
        <v>4.6</v>
      </c>
      <c r="M994" s="114" t="n">
        <v>1.37</v>
      </c>
      <c r="N994" s="115" t="n">
        <f aca="false">ROUND(L994*M994,2)</f>
        <v>6.3</v>
      </c>
      <c r="R994" s="117" t="s">
        <v>1092</v>
      </c>
    </row>
    <row r="995" customFormat="false" ht="15" hidden="false" customHeight="false" outlineLevel="0" collapsed="false">
      <c r="A995" s="104" t="s">
        <v>615</v>
      </c>
      <c r="B995" s="105" t="n">
        <f aca="false">IF($P$995&lt;&gt;"",ROUND(AA995*(($AB$995/(1-$P$995))-25.484)/40.2116,2),IF('Resumen 2.0TD'!$D$3="OPTIMIZAR",ROUND(MAX(AA995,MIN(AA995*(($AB$995/(1-'Resumen 2.0TD'!$F$3))-25.484)/40.2116,AA995*(129.8338)/40.2116)),3),AA995))</f>
        <v>80.064</v>
      </c>
      <c r="C995" s="118"/>
      <c r="D995" s="107" t="n">
        <v>0.111171</v>
      </c>
      <c r="E995" s="108" t="n">
        <v>0.14937</v>
      </c>
      <c r="F995" s="109" t="n">
        <f aca="false">ROUND(B995*E995,2)</f>
        <v>11.96</v>
      </c>
      <c r="H995" s="110" t="n">
        <v>104.197</v>
      </c>
      <c r="I995" s="111" t="n">
        <v>0.14937</v>
      </c>
      <c r="J995" s="112" t="n">
        <f aca="false">ROUND(H995*I995,2)</f>
        <v>15.56</v>
      </c>
      <c r="L995" s="113" t="n">
        <v>65.208</v>
      </c>
      <c r="M995" s="114" t="n">
        <v>0.14937</v>
      </c>
      <c r="N995" s="115" t="n">
        <f aca="false">ROUND(L995*M995,2)</f>
        <v>9.74</v>
      </c>
      <c r="O995" s="119" t="s">
        <v>616</v>
      </c>
      <c r="P995" s="79"/>
      <c r="R995" s="117" t="s">
        <v>1093</v>
      </c>
      <c r="AA995" s="0" t="n">
        <v>80.064</v>
      </c>
      <c r="AB995" s="0" t="n">
        <f aca="false">B993*D993+B994*D994+AA995*D995+AA996*D996+AA997*D997</f>
        <v>52.967084568</v>
      </c>
    </row>
    <row r="996" customFormat="false" ht="15" hidden="false" customHeight="false" outlineLevel="0" collapsed="false">
      <c r="A996" s="104" t="s">
        <v>618</v>
      </c>
      <c r="B996" s="105" t="n">
        <f aca="false">IF($P$995&lt;&gt;"",ROUND(AA996*(($AB$995/(1-$P$995))-25.484)/40.2116,2),IF('Resumen 2.0TD'!$D$3="OPTIMIZAR",ROUND(MAX(AA996,MIN(AA996*(($AB$995/(1-'Resumen 2.0TD'!$F$3))-25.484)/40.2116,AA996*(129.8338)/40.2116)),3),AA996))</f>
        <v>83.934</v>
      </c>
      <c r="C996" s="118"/>
      <c r="D996" s="107" t="n">
        <v>0.111171</v>
      </c>
      <c r="E996" s="108" t="n">
        <v>0.14937</v>
      </c>
      <c r="F996" s="109" t="n">
        <f aca="false">ROUND(B996*E996,2)</f>
        <v>12.54</v>
      </c>
      <c r="H996" s="110" t="n">
        <v>106.21</v>
      </c>
      <c r="I996" s="111" t="n">
        <v>0.14937</v>
      </c>
      <c r="J996" s="112" t="n">
        <f aca="false">ROUND(H996*I996,2)</f>
        <v>15.86</v>
      </c>
      <c r="L996" s="113" t="n">
        <v>66.151</v>
      </c>
      <c r="M996" s="114" t="n">
        <v>0.14937</v>
      </c>
      <c r="N996" s="115" t="n">
        <f aca="false">ROUND(L996*M996,2)</f>
        <v>9.88</v>
      </c>
      <c r="O996" s="120" t="s">
        <v>619</v>
      </c>
      <c r="R996" s="117" t="s">
        <v>620</v>
      </c>
      <c r="AA996" s="0" t="n">
        <v>83.934</v>
      </c>
    </row>
    <row r="997" customFormat="false" ht="15" hidden="false" customHeight="false" outlineLevel="0" collapsed="false">
      <c r="A997" s="104" t="s">
        <v>621</v>
      </c>
      <c r="B997" s="105" t="n">
        <f aca="false">IF($P$995&lt;&gt;"",ROUND(AA997*(($AB$995/(1-$P$995))-25.484)/40.2116,2),IF('Resumen 2.0TD'!$D$3="OPTIMIZAR",ROUND(MAX(AA997,MIN(AA997*(($AB$995/(1-'Resumen 2.0TD'!$F$3))-25.484)/40.2116,AA997*(129.8338)/40.2116)),3),AA997))</f>
        <v>105.21</v>
      </c>
      <c r="C997" s="118"/>
      <c r="D997" s="107" t="n">
        <v>0.111171</v>
      </c>
      <c r="E997" s="108" t="n">
        <v>0.14937</v>
      </c>
      <c r="F997" s="109" t="n">
        <f aca="false">ROUND(B997*E997,2)</f>
        <v>15.72</v>
      </c>
      <c r="H997" s="110" t="n">
        <v>139.307</v>
      </c>
      <c r="I997" s="111" t="n">
        <v>0.14937</v>
      </c>
      <c r="J997" s="112" t="n">
        <f aca="false">ROUND(H997*I997,2)</f>
        <v>20.81</v>
      </c>
      <c r="L997" s="113" t="n">
        <v>91.495</v>
      </c>
      <c r="M997" s="114" t="n">
        <v>0.14937</v>
      </c>
      <c r="N997" s="115" t="n">
        <f aca="false">ROUND(L997*M997,2)</f>
        <v>13.67</v>
      </c>
      <c r="O997" s="120" t="s">
        <v>622</v>
      </c>
      <c r="AA997" s="0" t="n">
        <v>105.21</v>
      </c>
    </row>
    <row r="998" customFormat="false" ht="15" hidden="false" customHeight="false" outlineLevel="0" collapsed="false">
      <c r="A998" s="104" t="s">
        <v>139</v>
      </c>
      <c r="B998" s="105" t="n">
        <v>1</v>
      </c>
      <c r="C998" s="106" t="n">
        <f aca="false">$N$990-$L$990+1</f>
        <v>30</v>
      </c>
      <c r="D998" s="107" t="n">
        <v>0.7989</v>
      </c>
      <c r="E998" s="108" t="n">
        <v>4</v>
      </c>
      <c r="F998" s="109" t="n">
        <f aca="false">ROUND(B998*E998,2)</f>
        <v>4</v>
      </c>
      <c r="H998" s="110" t="n">
        <v>1</v>
      </c>
      <c r="I998" s="111" t="n">
        <v>4</v>
      </c>
      <c r="J998" s="112" t="n">
        <f aca="false">ROUND(H998*I998,2)</f>
        <v>4</v>
      </c>
      <c r="L998" s="113" t="n">
        <v>1</v>
      </c>
      <c r="M998" s="114" t="n">
        <v>4</v>
      </c>
      <c r="N998" s="115" t="n">
        <f aca="false">ROUND(L998*M998,2)</f>
        <v>4</v>
      </c>
    </row>
    <row r="999" customFormat="false" ht="15" hidden="false" customHeight="false" outlineLevel="0" collapsed="false">
      <c r="A999" s="104" t="s">
        <v>140</v>
      </c>
      <c r="B999" s="105" t="n">
        <v>30</v>
      </c>
      <c r="C999" s="106" t="n">
        <f aca="false">$N$990-$L$990+1</f>
        <v>30</v>
      </c>
      <c r="D999" s="107" t="n">
        <v>0.5736</v>
      </c>
      <c r="E999" s="108" t="n">
        <v>0.01274</v>
      </c>
      <c r="F999" s="109" t="n">
        <f aca="false">ROUND(B999*E999,2)</f>
        <v>0.38</v>
      </c>
      <c r="H999" s="110" t="n">
        <v>30</v>
      </c>
      <c r="I999" s="111" t="n">
        <v>0.01274</v>
      </c>
      <c r="J999" s="112" t="n">
        <f aca="false">ROUND(H999*I999,2)</f>
        <v>0.38</v>
      </c>
      <c r="L999" s="113" t="n">
        <v>30</v>
      </c>
      <c r="M999" s="114" t="n">
        <v>0.00629</v>
      </c>
      <c r="N999" s="115" t="n">
        <f aca="false">ROUND(L999*M999,2)</f>
        <v>0.19</v>
      </c>
    </row>
    <row r="1000" customFormat="false" ht="15" hidden="false" customHeight="false" outlineLevel="0" collapsed="false">
      <c r="A1000" s="104" t="s">
        <v>141</v>
      </c>
      <c r="B1000" s="105" t="n">
        <v>3.37</v>
      </c>
      <c r="C1000" s="118"/>
      <c r="D1000" s="107" t="n">
        <v>0.27312</v>
      </c>
      <c r="E1000" s="108" t="n">
        <v>1</v>
      </c>
      <c r="F1000" s="109" t="n">
        <f aca="false">ROUND(B1000*E1000,2)</f>
        <v>3.37</v>
      </c>
      <c r="H1000" s="110" t="n">
        <v>3.98</v>
      </c>
      <c r="I1000" s="111" t="n">
        <v>1</v>
      </c>
      <c r="J1000" s="112" t="n">
        <f aca="false">ROUND(H1000*I1000,2)</f>
        <v>3.98</v>
      </c>
      <c r="L1000" s="113" t="n">
        <v>3.01</v>
      </c>
      <c r="M1000" s="114" t="n">
        <v>1</v>
      </c>
      <c r="N1000" s="115" t="n">
        <f aca="false">ROUND(L1000*M1000,2)</f>
        <v>3.01</v>
      </c>
    </row>
    <row r="1001" customFormat="false" ht="15" hidden="false" customHeight="false" outlineLevel="0" collapsed="false">
      <c r="A1001" s="121" t="s">
        <v>142</v>
      </c>
      <c r="F1001" s="122" t="n">
        <f aca="false">ROUND((SUM(F993:F1000)-F1000)*1.1+F1000,2)</f>
        <v>80.46</v>
      </c>
      <c r="J1001" s="123" t="n">
        <f aca="false">ROUND(SUM(J993:J1000),2)</f>
        <v>86.07</v>
      </c>
      <c r="N1001" s="124" t="n">
        <f aca="false">ROUND(SUM(N993:N1000),2)</f>
        <v>65.97</v>
      </c>
    </row>
    <row r="1002" customFormat="false" ht="15" hidden="false" customHeight="false" outlineLevel="0" collapsed="false">
      <c r="A1002" s="93" t="s">
        <v>143</v>
      </c>
      <c r="B1002" s="125" t="n">
        <f aca="false">IF((F997+F996+F995+F993+F994)=0,"",((F997+F996+F995+F993+F994)-$AB$995)/(F997+F996+F995+F993+F994))</f>
        <v>0.193803887853881</v>
      </c>
      <c r="D1002" s="126" t="str">
        <f aca="false">IF(B1002="","SIN PC",IF(B1002&gt;=0.3,"APROBAR",IF(B1002&gt;=0.2,"REVISAR","RECHAZAR")))</f>
        <v>RECHAZAR</v>
      </c>
      <c r="E1002" s="126"/>
      <c r="F1002" s="126"/>
      <c r="AD1002" s="0" t="n">
        <f aca="false">SUM(F995:F997)-40.2116</f>
        <v>0.00840000000000174</v>
      </c>
    </row>
    <row r="1004" customFormat="false" ht="15" hidden="false" customHeight="false" outlineLevel="0" collapsed="false">
      <c r="A1004" s="89" t="s">
        <v>1094</v>
      </c>
      <c r="B1004" s="89"/>
      <c r="C1004" s="89"/>
      <c r="D1004" s="89"/>
      <c r="E1004" s="89"/>
      <c r="F1004" s="89"/>
      <c r="H1004" s="89" t="s">
        <v>1095</v>
      </c>
      <c r="I1004" s="89"/>
      <c r="J1004" s="89"/>
      <c r="K1004" s="89"/>
      <c r="L1004" s="90" t="n">
        <v>46113</v>
      </c>
      <c r="M1004" s="91" t="s">
        <v>608</v>
      </c>
      <c r="N1004" s="90" t="n">
        <v>46142</v>
      </c>
      <c r="R1004" s="92" t="s">
        <v>110</v>
      </c>
      <c r="S1004" s="92"/>
      <c r="T1004" s="92"/>
      <c r="U1004" s="92"/>
      <c r="V1004" s="92"/>
    </row>
    <row r="1005" customFormat="false" ht="15" hidden="false" customHeight="false" outlineLevel="0" collapsed="false">
      <c r="A1005" s="93" t="s">
        <v>111</v>
      </c>
      <c r="B1005" s="94" t="s">
        <v>112</v>
      </c>
      <c r="C1005" s="95"/>
      <c r="D1005" s="95"/>
      <c r="E1005" s="95"/>
      <c r="F1005" s="95"/>
      <c r="H1005" s="96" t="s">
        <v>1096</v>
      </c>
      <c r="I1005" s="97"/>
      <c r="J1005" s="97"/>
      <c r="L1005" s="98" t="s">
        <v>1097</v>
      </c>
      <c r="M1005" s="99"/>
      <c r="N1005" s="99"/>
      <c r="R1005" s="100" t="s">
        <v>1098</v>
      </c>
    </row>
    <row r="1006" customFormat="false" ht="15" hidden="false" customHeight="false" outlineLevel="0" collapsed="false">
      <c r="B1006" s="81" t="s">
        <v>116</v>
      </c>
      <c r="C1006" s="81" t="s">
        <v>117</v>
      </c>
      <c r="D1006" s="81" t="s">
        <v>118</v>
      </c>
      <c r="E1006" s="81" t="s">
        <v>119</v>
      </c>
      <c r="F1006" s="81" t="s">
        <v>120</v>
      </c>
      <c r="H1006" s="101" t="s">
        <v>116</v>
      </c>
      <c r="I1006" s="101" t="s">
        <v>119</v>
      </c>
      <c r="J1006" s="101" t="s">
        <v>120</v>
      </c>
      <c r="L1006" s="102" t="s">
        <v>116</v>
      </c>
      <c r="M1006" s="102" t="s">
        <v>119</v>
      </c>
      <c r="N1006" s="102" t="s">
        <v>120</v>
      </c>
      <c r="R1006" s="103" t="s">
        <v>1099</v>
      </c>
    </row>
    <row r="1007" customFormat="false" ht="15" hidden="false" customHeight="false" outlineLevel="0" collapsed="false">
      <c r="A1007" s="104" t="s">
        <v>122</v>
      </c>
      <c r="B1007" s="105" t="n">
        <v>10.392</v>
      </c>
      <c r="C1007" s="106" t="n">
        <f aca="false">$N$1004-$L$1004+1</f>
        <v>30</v>
      </c>
      <c r="D1007" s="107" t="n">
        <v>3.4086</v>
      </c>
      <c r="E1007" s="108" t="n">
        <v>4.17</v>
      </c>
      <c r="F1007" s="109" t="n">
        <f aca="false">ROUND(B1007*E1007,2)</f>
        <v>43.33</v>
      </c>
      <c r="H1007" s="110" t="n">
        <v>10.392</v>
      </c>
      <c r="I1007" s="111" t="n">
        <v>4.17</v>
      </c>
      <c r="J1007" s="112" t="n">
        <f aca="false">ROUND(H1007*I1007,2)</f>
        <v>43.33</v>
      </c>
      <c r="L1007" s="113" t="n">
        <v>10.392</v>
      </c>
      <c r="M1007" s="114" t="n">
        <v>4.17</v>
      </c>
      <c r="N1007" s="115" t="n">
        <f aca="false">ROUND(L1007*M1007,2)</f>
        <v>43.33</v>
      </c>
      <c r="R1007" s="116" t="s">
        <v>1100</v>
      </c>
    </row>
    <row r="1008" customFormat="false" ht="15" hidden="false" customHeight="false" outlineLevel="0" collapsed="false">
      <c r="A1008" s="104" t="s">
        <v>124</v>
      </c>
      <c r="B1008" s="105" t="n">
        <v>10.392</v>
      </c>
      <c r="C1008" s="106" t="n">
        <f aca="false">$N$1004-$L$1004+1</f>
        <v>30</v>
      </c>
      <c r="D1008" s="107" t="n">
        <v>1.09728</v>
      </c>
      <c r="E1008" s="108" t="n">
        <v>1.37</v>
      </c>
      <c r="F1008" s="109" t="n">
        <f aca="false">ROUND(B1008*E1008,2)</f>
        <v>14.24</v>
      </c>
      <c r="H1008" s="110" t="n">
        <v>10.392</v>
      </c>
      <c r="I1008" s="111" t="n">
        <v>1.37</v>
      </c>
      <c r="J1008" s="112" t="n">
        <f aca="false">ROUND(H1008*I1008,2)</f>
        <v>14.24</v>
      </c>
      <c r="L1008" s="113" t="n">
        <v>10.392</v>
      </c>
      <c r="M1008" s="114" t="n">
        <v>1.37</v>
      </c>
      <c r="N1008" s="115" t="n">
        <f aca="false">ROUND(L1008*M1008,2)</f>
        <v>14.24</v>
      </c>
      <c r="R1008" s="117" t="s">
        <v>1101</v>
      </c>
    </row>
    <row r="1009" customFormat="false" ht="15" hidden="false" customHeight="false" outlineLevel="0" collapsed="false">
      <c r="A1009" s="104" t="s">
        <v>615</v>
      </c>
      <c r="B1009" s="105" t="n">
        <f aca="false">IF($P$1009&lt;&gt;"",ROUND(AA1009*(($AB$1009/(1-$P$1009))-57.5717)/18.414,2),IF('Resumen 2.0TD'!$D$3="OPTIMIZAR",ROUND(MAX(AA1009,MIN(AA1009*(($AB$1009/(1-'Resumen 2.0TD'!$F$3))-57.5717)/18.414,AA1009*(248.5561)/18.414)),3),AA1009))</f>
        <v>5.433</v>
      </c>
      <c r="C1009" s="118"/>
      <c r="D1009" s="107" t="n">
        <v>0.110306</v>
      </c>
      <c r="E1009" s="108" t="n">
        <v>0.14937</v>
      </c>
      <c r="F1009" s="109" t="n">
        <f aca="false">ROUND(B1009*E1009,2)</f>
        <v>0.81</v>
      </c>
      <c r="H1009" s="110" t="n">
        <v>120.342</v>
      </c>
      <c r="I1009" s="111" t="n">
        <v>0.14937</v>
      </c>
      <c r="J1009" s="112" t="n">
        <f aca="false">ROUND(H1009*I1009,2)</f>
        <v>17.98</v>
      </c>
      <c r="L1009" s="113" t="n">
        <v>66.733</v>
      </c>
      <c r="M1009" s="114" t="n">
        <v>0.14937</v>
      </c>
      <c r="N1009" s="115" t="n">
        <f aca="false">ROUND(L1009*M1009,2)</f>
        <v>9.97</v>
      </c>
      <c r="O1009" s="119" t="s">
        <v>616</v>
      </c>
      <c r="P1009" s="79"/>
      <c r="R1009" s="117" t="s">
        <v>1102</v>
      </c>
      <c r="AA1009" s="0" t="n">
        <v>5.433</v>
      </c>
      <c r="AB1009" s="0" t="n">
        <f aca="false">B1007*D1007+B1008*D1008+AA1009*D1009+AA1010*D1010+AA1011*D1011</f>
        <v>60.423408028</v>
      </c>
    </row>
    <row r="1010" customFormat="false" ht="15" hidden="false" customHeight="false" outlineLevel="0" collapsed="false">
      <c r="A1010" s="104" t="s">
        <v>618</v>
      </c>
      <c r="B1010" s="105" t="n">
        <f aca="false">IF($P$1009&lt;&gt;"",ROUND(AA1010*(($AB$1009/(1-$P$1009))-57.5717)/18.414,2),IF('Resumen 2.0TD'!$D$3="OPTIMIZAR",ROUND(MAX(AA1010,MIN(AA1010*(($AB$1009/(1-'Resumen 2.0TD'!$F$3))-57.5717)/18.414,AA1010*(248.5561)/18.414)),3),AA1010))</f>
        <v>25.091</v>
      </c>
      <c r="C1010" s="118"/>
      <c r="D1010" s="107" t="n">
        <v>0.110306</v>
      </c>
      <c r="E1010" s="108" t="n">
        <v>0.14937</v>
      </c>
      <c r="F1010" s="109" t="n">
        <f aca="false">ROUND(B1010*E1010,2)</f>
        <v>3.75</v>
      </c>
      <c r="H1010" s="110" t="n">
        <v>124.689</v>
      </c>
      <c r="I1010" s="111" t="n">
        <v>0.14937</v>
      </c>
      <c r="J1010" s="112" t="n">
        <f aca="false">ROUND(H1010*I1010,2)</f>
        <v>18.62</v>
      </c>
      <c r="L1010" s="113" t="n">
        <v>85.038</v>
      </c>
      <c r="M1010" s="114" t="n">
        <v>0.14937</v>
      </c>
      <c r="N1010" s="115" t="n">
        <f aca="false">ROUND(L1010*M1010,2)</f>
        <v>12.7</v>
      </c>
      <c r="O1010" s="120" t="s">
        <v>619</v>
      </c>
      <c r="R1010" s="117" t="s">
        <v>620</v>
      </c>
      <c r="AA1010" s="0" t="n">
        <v>25.091</v>
      </c>
    </row>
    <row r="1011" customFormat="false" ht="15" hidden="false" customHeight="false" outlineLevel="0" collapsed="false">
      <c r="A1011" s="104" t="s">
        <v>621</v>
      </c>
      <c r="B1011" s="105" t="n">
        <f aca="false">IF($P$1009&lt;&gt;"",ROUND(AA1011*(($AB$1009/(1-$P$1009))-57.5717)/18.414,2),IF('Resumen 2.0TD'!$D$3="OPTIMIZAR",ROUND(MAX(AA1011,MIN(AA1011*(($AB$1009/(1-'Resumen 2.0TD'!$F$3))-57.5717)/18.414,AA1011*(248.5561)/18.414)),3),AA1011))</f>
        <v>92.754</v>
      </c>
      <c r="C1011" s="118"/>
      <c r="D1011" s="107" t="n">
        <v>0.110306</v>
      </c>
      <c r="E1011" s="108" t="n">
        <v>0.14937</v>
      </c>
      <c r="F1011" s="109" t="n">
        <f aca="false">ROUND(B1011*E1011,2)</f>
        <v>13.85</v>
      </c>
      <c r="H1011" s="110" t="n">
        <v>279.65</v>
      </c>
      <c r="I1011" s="111" t="n">
        <v>0.14937</v>
      </c>
      <c r="J1011" s="112" t="n">
        <f aca="false">ROUND(H1011*I1011,2)</f>
        <v>41.77</v>
      </c>
      <c r="L1011" s="113" t="n">
        <v>257.035</v>
      </c>
      <c r="M1011" s="114" t="n">
        <v>0.14937</v>
      </c>
      <c r="N1011" s="115" t="n">
        <f aca="false">ROUND(L1011*M1011,2)</f>
        <v>38.39</v>
      </c>
      <c r="O1011" s="120" t="s">
        <v>622</v>
      </c>
      <c r="AA1011" s="0" t="n">
        <v>92.754</v>
      </c>
    </row>
    <row r="1012" customFormat="false" ht="15" hidden="false" customHeight="false" outlineLevel="0" collapsed="false">
      <c r="A1012" s="104" t="s">
        <v>139</v>
      </c>
      <c r="B1012" s="105" t="n">
        <v>1</v>
      </c>
      <c r="C1012" s="106" t="n">
        <f aca="false">$N$1004-$L$1004+1</f>
        <v>30</v>
      </c>
      <c r="D1012" s="107" t="n">
        <v>1.3414</v>
      </c>
      <c r="E1012" s="108" t="n">
        <v>4</v>
      </c>
      <c r="F1012" s="109" t="n">
        <f aca="false">ROUND(B1012*E1012,2)</f>
        <v>4</v>
      </c>
      <c r="H1012" s="110" t="n">
        <v>1</v>
      </c>
      <c r="I1012" s="111" t="n">
        <v>4</v>
      </c>
      <c r="J1012" s="112" t="n">
        <f aca="false">ROUND(H1012*I1012,2)</f>
        <v>4</v>
      </c>
      <c r="L1012" s="113" t="n">
        <v>1</v>
      </c>
      <c r="M1012" s="114" t="n">
        <v>4</v>
      </c>
      <c r="N1012" s="115" t="n">
        <f aca="false">ROUND(L1012*M1012,2)</f>
        <v>4</v>
      </c>
    </row>
    <row r="1013" customFormat="false" ht="15" hidden="false" customHeight="false" outlineLevel="0" collapsed="false">
      <c r="A1013" s="104" t="s">
        <v>140</v>
      </c>
      <c r="B1013" s="105" t="n">
        <v>30</v>
      </c>
      <c r="C1013" s="106" t="n">
        <f aca="false">$N$1004-$L$1004+1</f>
        <v>30</v>
      </c>
      <c r="D1013" s="107" t="n">
        <v>0.5736</v>
      </c>
      <c r="E1013" s="108" t="n">
        <v>0.01274</v>
      </c>
      <c r="F1013" s="109" t="n">
        <f aca="false">ROUND(B1013*E1013,2)</f>
        <v>0.38</v>
      </c>
      <c r="H1013" s="110" t="n">
        <v>30</v>
      </c>
      <c r="I1013" s="111" t="n">
        <v>0.01274</v>
      </c>
      <c r="J1013" s="112" t="n">
        <f aca="false">ROUND(H1013*I1013,2)</f>
        <v>0.38</v>
      </c>
      <c r="L1013" s="113" t="n">
        <v>30</v>
      </c>
      <c r="M1013" s="114" t="n">
        <v>0.00629</v>
      </c>
      <c r="N1013" s="115" t="n">
        <f aca="false">ROUND(L1013*M1013,2)</f>
        <v>0.19</v>
      </c>
    </row>
    <row r="1014" customFormat="false" ht="15" hidden="false" customHeight="false" outlineLevel="0" collapsed="false">
      <c r="A1014" s="104" t="s">
        <v>141</v>
      </c>
      <c r="B1014" s="105" t="n">
        <v>2.95</v>
      </c>
      <c r="C1014" s="118"/>
      <c r="D1014" s="107" t="n">
        <v>0.24729</v>
      </c>
      <c r="E1014" s="108" t="n">
        <v>1</v>
      </c>
      <c r="F1014" s="109" t="n">
        <f aca="false">ROUND(B1014*E1014,2)</f>
        <v>2.95</v>
      </c>
      <c r="H1014" s="110" t="n">
        <v>5.77</v>
      </c>
      <c r="I1014" s="111" t="n">
        <v>1</v>
      </c>
      <c r="J1014" s="112" t="n">
        <f aca="false">ROUND(H1014*I1014,2)</f>
        <v>5.77</v>
      </c>
      <c r="L1014" s="113" t="n">
        <v>5.01</v>
      </c>
      <c r="M1014" s="114" t="n">
        <v>1</v>
      </c>
      <c r="N1014" s="115" t="n">
        <f aca="false">ROUND(L1014*M1014,2)</f>
        <v>5.01</v>
      </c>
    </row>
    <row r="1015" customFormat="false" ht="15" hidden="false" customHeight="false" outlineLevel="0" collapsed="false">
      <c r="A1015" s="121" t="s">
        <v>142</v>
      </c>
      <c r="F1015" s="122" t="n">
        <f aca="false">ROUND((SUM(F1007:F1014)-F1014)*1.1+F1014,2)</f>
        <v>91.35</v>
      </c>
      <c r="J1015" s="123" t="n">
        <f aca="false">ROUND(SUM(J1007:J1014),2)</f>
        <v>146.09</v>
      </c>
      <c r="N1015" s="124" t="n">
        <f aca="false">ROUND(SUM(N1007:N1014),2)</f>
        <v>127.83</v>
      </c>
    </row>
    <row r="1016" customFormat="false" ht="15" hidden="false" customHeight="false" outlineLevel="0" collapsed="false">
      <c r="A1016" s="93" t="s">
        <v>143</v>
      </c>
      <c r="B1016" s="125" t="n">
        <f aca="false">IF((F1011+F1010+F1009+F1007+F1008)=0,"",((F1011+F1010+F1009+F1007+F1008)-$AB$1009)/(F1011+F1010+F1009+F1007+F1008))</f>
        <v>0.204745880126349</v>
      </c>
      <c r="D1016" s="126" t="str">
        <f aca="false">IF(B1016="","SIN PC",IF(B1016&gt;=0.3,"APROBAR",IF(B1016&gt;=0.2,"REVISAR","RECHAZAR")))</f>
        <v>REVISAR</v>
      </c>
      <c r="E1016" s="126"/>
      <c r="F1016" s="126"/>
      <c r="AD1016" s="0" t="n">
        <f aca="false">SUM(F1009:F1011)-18.414</f>
        <v>-0.00400000000000134</v>
      </c>
    </row>
    <row r="1017" customFormat="false" ht="15" hidden="false" customHeight="false" outlineLevel="0" collapsed="false">
      <c r="A1017" s="127" t="s">
        <v>744</v>
      </c>
      <c r="B1017" s="127"/>
      <c r="C1017" s="127"/>
      <c r="D1017" s="127"/>
      <c r="E1017" s="127"/>
      <c r="F1017" s="127"/>
    </row>
    <row r="1018" customFormat="false" ht="15" hidden="false" customHeight="false" outlineLevel="0" collapsed="false">
      <c r="A1018" s="128" t="s">
        <v>111</v>
      </c>
      <c r="B1018" s="128" t="s">
        <v>745</v>
      </c>
      <c r="D1018" s="128" t="s">
        <v>746</v>
      </c>
      <c r="E1018" s="128" t="s">
        <v>747</v>
      </c>
      <c r="F1018" s="128" t="s">
        <v>120</v>
      </c>
    </row>
    <row r="1019" customFormat="false" ht="15" hidden="false" customHeight="false" outlineLevel="0" collapsed="false">
      <c r="A1019" s="129" t="s">
        <v>748</v>
      </c>
      <c r="B1019" s="130" t="n">
        <v>709</v>
      </c>
      <c r="C1019" s="131"/>
      <c r="D1019" s="107" t="n">
        <v>0.06</v>
      </c>
      <c r="E1019" s="131"/>
      <c r="F1019" s="132" t="n">
        <f aca="false">ROUND(B1019*D1019,2)</f>
        <v>42.54</v>
      </c>
    </row>
    <row r="1020" customFormat="false" ht="15" hidden="false" customHeight="false" outlineLevel="0" collapsed="false">
      <c r="A1020" s="129" t="s">
        <v>749</v>
      </c>
      <c r="B1020" s="131"/>
      <c r="C1020" s="131"/>
      <c r="D1020" s="131"/>
      <c r="E1020" s="133" t="n">
        <v>0.06</v>
      </c>
      <c r="F1020" s="132" t="n">
        <v>18.41</v>
      </c>
    </row>
    <row r="1021" customFormat="false" ht="15" hidden="false" customHeight="false" outlineLevel="0" collapsed="false">
      <c r="A1021" s="134" t="s">
        <v>750</v>
      </c>
      <c r="B1021" s="131"/>
      <c r="C1021" s="131"/>
      <c r="D1021" s="131"/>
      <c r="E1021" s="131"/>
      <c r="F1021" s="135" t="n">
        <f aca="false">F1019-F1020</f>
        <v>24.13</v>
      </c>
    </row>
    <row r="1023" customFormat="false" ht="15" hidden="false" customHeight="false" outlineLevel="0" collapsed="false">
      <c r="A1023" s="89" t="s">
        <v>1103</v>
      </c>
      <c r="B1023" s="89"/>
      <c r="C1023" s="89"/>
      <c r="D1023" s="89"/>
      <c r="E1023" s="89"/>
      <c r="F1023" s="89"/>
      <c r="H1023" s="89" t="s">
        <v>1104</v>
      </c>
      <c r="I1023" s="89"/>
      <c r="J1023" s="89"/>
      <c r="K1023" s="89"/>
      <c r="L1023" s="90" t="n">
        <v>46113</v>
      </c>
      <c r="M1023" s="91" t="s">
        <v>608</v>
      </c>
      <c r="N1023" s="90" t="n">
        <v>46142</v>
      </c>
      <c r="R1023" s="92" t="s">
        <v>110</v>
      </c>
      <c r="S1023" s="92"/>
      <c r="T1023" s="92"/>
      <c r="U1023" s="92"/>
      <c r="V1023" s="92"/>
    </row>
    <row r="1024" customFormat="false" ht="15" hidden="false" customHeight="false" outlineLevel="0" collapsed="false">
      <c r="A1024" s="93" t="s">
        <v>111</v>
      </c>
      <c r="B1024" s="94" t="s">
        <v>112</v>
      </c>
      <c r="C1024" s="95"/>
      <c r="D1024" s="95"/>
      <c r="E1024" s="95"/>
      <c r="F1024" s="95"/>
      <c r="H1024" s="96" t="s">
        <v>1105</v>
      </c>
      <c r="I1024" s="97"/>
      <c r="J1024" s="97"/>
      <c r="L1024" s="98" t="s">
        <v>1106</v>
      </c>
      <c r="M1024" s="99"/>
      <c r="N1024" s="99"/>
      <c r="R1024" s="100" t="s">
        <v>1107</v>
      </c>
    </row>
    <row r="1025" customFormat="false" ht="15" hidden="false" customHeight="false" outlineLevel="0" collapsed="false">
      <c r="B1025" s="81" t="s">
        <v>116</v>
      </c>
      <c r="C1025" s="81" t="s">
        <v>117</v>
      </c>
      <c r="D1025" s="81" t="s">
        <v>118</v>
      </c>
      <c r="E1025" s="81" t="s">
        <v>119</v>
      </c>
      <c r="F1025" s="81" t="s">
        <v>120</v>
      </c>
      <c r="H1025" s="101" t="s">
        <v>116</v>
      </c>
      <c r="I1025" s="101" t="s">
        <v>119</v>
      </c>
      <c r="J1025" s="101" t="s">
        <v>120</v>
      </c>
      <c r="L1025" s="102" t="s">
        <v>116</v>
      </c>
      <c r="M1025" s="102" t="s">
        <v>119</v>
      </c>
      <c r="N1025" s="102" t="s">
        <v>120</v>
      </c>
      <c r="R1025" s="103" t="s">
        <v>1108</v>
      </c>
    </row>
    <row r="1026" customFormat="false" ht="15" hidden="false" customHeight="false" outlineLevel="0" collapsed="false">
      <c r="A1026" s="104" t="s">
        <v>122</v>
      </c>
      <c r="B1026" s="105" t="n">
        <v>5.5</v>
      </c>
      <c r="C1026" s="106" t="n">
        <f aca="false">$N$1023-$L$1023+1</f>
        <v>30</v>
      </c>
      <c r="D1026" s="107" t="n">
        <v>3.4086</v>
      </c>
      <c r="E1026" s="108" t="n">
        <v>4.17</v>
      </c>
      <c r="F1026" s="109" t="n">
        <f aca="false">ROUND(B1026*E1026,2)</f>
        <v>22.94</v>
      </c>
      <c r="H1026" s="110" t="n">
        <v>5.5</v>
      </c>
      <c r="I1026" s="111" t="n">
        <v>4.17</v>
      </c>
      <c r="J1026" s="112" t="n">
        <f aca="false">ROUND(H1026*I1026,2)</f>
        <v>22.94</v>
      </c>
      <c r="L1026" s="113" t="n">
        <v>5.5</v>
      </c>
      <c r="M1026" s="114" t="n">
        <v>4.17</v>
      </c>
      <c r="N1026" s="115" t="n">
        <f aca="false">ROUND(L1026*M1026,2)</f>
        <v>22.94</v>
      </c>
      <c r="R1026" s="116" t="s">
        <v>1109</v>
      </c>
    </row>
    <row r="1027" customFormat="false" ht="15" hidden="false" customHeight="false" outlineLevel="0" collapsed="false">
      <c r="A1027" s="104" t="s">
        <v>124</v>
      </c>
      <c r="B1027" s="105" t="n">
        <v>5.5</v>
      </c>
      <c r="C1027" s="106" t="n">
        <f aca="false">$N$1023-$L$1023+1</f>
        <v>30</v>
      </c>
      <c r="D1027" s="107" t="n">
        <v>1.09728</v>
      </c>
      <c r="E1027" s="108" t="n">
        <v>1.37</v>
      </c>
      <c r="F1027" s="109" t="n">
        <f aca="false">ROUND(B1027*E1027,2)</f>
        <v>7.54</v>
      </c>
      <c r="H1027" s="110" t="n">
        <v>5.5</v>
      </c>
      <c r="I1027" s="111" t="n">
        <v>1.37</v>
      </c>
      <c r="J1027" s="112" t="n">
        <f aca="false">ROUND(H1027*I1027,2)</f>
        <v>7.54</v>
      </c>
      <c r="L1027" s="113" t="n">
        <v>5.5</v>
      </c>
      <c r="M1027" s="114" t="n">
        <v>1.37</v>
      </c>
      <c r="N1027" s="115" t="n">
        <f aca="false">ROUND(L1027*M1027,2)</f>
        <v>7.54</v>
      </c>
      <c r="R1027" s="117" t="s">
        <v>1110</v>
      </c>
    </row>
    <row r="1028" customFormat="false" ht="15" hidden="false" customHeight="false" outlineLevel="0" collapsed="false">
      <c r="A1028" s="104" t="s">
        <v>615</v>
      </c>
      <c r="B1028" s="105" t="n">
        <f aca="false">IF($P$1028&lt;&gt;"",ROUND(AA1028*(($AB$1028/(1-$P$1028))-30.47)/11.3584,2),IF('Resumen 2.0TD'!$D$3="OPTIMIZAR",ROUND(MAX(AA1028,MIN(AA1028*(($AB$1028/(1-'Resumen 2.0TD'!$F$3))-30.47)/11.3584,AA1028*(1.2078)/11.3584)),3),AA1028))</f>
        <v>17.133</v>
      </c>
      <c r="C1028" s="118"/>
      <c r="D1028" s="107" t="n">
        <v>0.110306</v>
      </c>
      <c r="E1028" s="108" t="n">
        <v>0.14937</v>
      </c>
      <c r="F1028" s="109" t="n">
        <f aca="false">ROUND(B1028*E1028,2)</f>
        <v>2.56</v>
      </c>
      <c r="H1028" s="110" t="n">
        <v>18.236</v>
      </c>
      <c r="I1028" s="111" t="n">
        <v>0.14937</v>
      </c>
      <c r="J1028" s="112" t="n">
        <f aca="false">ROUND(H1028*I1028,2)</f>
        <v>2.72</v>
      </c>
      <c r="L1028" s="113" t="n">
        <v>4.307</v>
      </c>
      <c r="M1028" s="114" t="n">
        <v>0.14937</v>
      </c>
      <c r="N1028" s="115" t="n">
        <f aca="false">ROUND(L1028*M1028,2)</f>
        <v>0.64</v>
      </c>
      <c r="O1028" s="119" t="s">
        <v>616</v>
      </c>
      <c r="P1028" s="79"/>
      <c r="R1028" s="117" t="s">
        <v>1111</v>
      </c>
      <c r="AA1028" s="0" t="n">
        <v>17.133</v>
      </c>
      <c r="AB1028" s="0" t="n">
        <f aca="false">B1026*D1026+B1027*D1027+AA1028*D1028+AA1029*D1029+AA1030*D1030</f>
        <v>33.170228852</v>
      </c>
    </row>
    <row r="1029" customFormat="false" ht="15" hidden="false" customHeight="false" outlineLevel="0" collapsed="false">
      <c r="A1029" s="104" t="s">
        <v>618</v>
      </c>
      <c r="B1029" s="105" t="n">
        <f aca="false">IF($P$1028&lt;&gt;"",ROUND(AA1029*(($AB$1028/(1-$P$1028))-30.47)/11.3584,2),IF('Resumen 2.0TD'!$D$3="OPTIMIZAR",ROUND(MAX(AA1029,MIN(AA1029*(($AB$1028/(1-'Resumen 2.0TD'!$F$3))-30.47)/11.3584,AA1029*(1.2078)/11.3584)),3),AA1029))</f>
        <v>17.593</v>
      </c>
      <c r="C1029" s="118"/>
      <c r="D1029" s="107" t="n">
        <v>0.110306</v>
      </c>
      <c r="E1029" s="108" t="n">
        <v>0.14937</v>
      </c>
      <c r="F1029" s="109" t="n">
        <f aca="false">ROUND(B1029*E1029,2)</f>
        <v>2.63</v>
      </c>
      <c r="H1029" s="110" t="n">
        <v>3.786</v>
      </c>
      <c r="I1029" s="111" t="n">
        <v>0.14937</v>
      </c>
      <c r="J1029" s="112" t="n">
        <f aca="false">ROUND(H1029*I1029,2)</f>
        <v>0.57</v>
      </c>
      <c r="L1029" s="113" t="n">
        <v>2.934</v>
      </c>
      <c r="M1029" s="114" t="n">
        <v>0.14937</v>
      </c>
      <c r="N1029" s="115" t="n">
        <f aca="false">ROUND(L1029*M1029,2)</f>
        <v>0.44</v>
      </c>
      <c r="O1029" s="120" t="s">
        <v>619</v>
      </c>
      <c r="R1029" s="117" t="s">
        <v>620</v>
      </c>
      <c r="AA1029" s="0" t="n">
        <v>17.593</v>
      </c>
    </row>
    <row r="1030" customFormat="false" ht="15" hidden="false" customHeight="false" outlineLevel="0" collapsed="false">
      <c r="A1030" s="104" t="s">
        <v>621</v>
      </c>
      <c r="B1030" s="105" t="n">
        <f aca="false">IF($P$1028&lt;&gt;"",ROUND(AA1030*(($AB$1028/(1-$P$1028))-30.47)/11.3584,2),IF('Resumen 2.0TD'!$D$3="OPTIMIZAR",ROUND(MAX(AA1030,MIN(AA1030*(($AB$1028/(1-'Resumen 2.0TD'!$F$3))-30.47)/11.3584,AA1030*(1.2078)/11.3584)),3),AA1030))</f>
        <v>41.316</v>
      </c>
      <c r="C1030" s="118"/>
      <c r="D1030" s="107" t="n">
        <v>0.110306</v>
      </c>
      <c r="E1030" s="108" t="n">
        <v>0.14937</v>
      </c>
      <c r="F1030" s="109" t="n">
        <f aca="false">ROUND(B1030*E1030,2)</f>
        <v>6.17</v>
      </c>
      <c r="H1030" s="110" t="n">
        <v>18.968</v>
      </c>
      <c r="I1030" s="111" t="n">
        <v>0.14937</v>
      </c>
      <c r="J1030" s="112" t="n">
        <f aca="false">ROUND(H1030*I1030,2)</f>
        <v>2.83</v>
      </c>
      <c r="L1030" s="113" t="n">
        <v>16.756</v>
      </c>
      <c r="M1030" s="114" t="n">
        <v>0.14937</v>
      </c>
      <c r="N1030" s="115" t="n">
        <f aca="false">ROUND(L1030*M1030,2)</f>
        <v>2.5</v>
      </c>
      <c r="O1030" s="120" t="s">
        <v>622</v>
      </c>
      <c r="AA1030" s="0" t="n">
        <v>41.316</v>
      </c>
    </row>
    <row r="1031" customFormat="false" ht="15" hidden="false" customHeight="false" outlineLevel="0" collapsed="false">
      <c r="A1031" s="104" t="s">
        <v>139</v>
      </c>
      <c r="B1031" s="105" t="n">
        <v>1</v>
      </c>
      <c r="C1031" s="106" t="n">
        <f aca="false">$N$1023-$L$1023+1</f>
        <v>30</v>
      </c>
      <c r="D1031" s="107" t="n">
        <v>0.7989</v>
      </c>
      <c r="E1031" s="108" t="n">
        <v>4</v>
      </c>
      <c r="F1031" s="109" t="n">
        <f aca="false">ROUND(B1031*E1031,2)</f>
        <v>4</v>
      </c>
      <c r="H1031" s="110" t="n">
        <v>1</v>
      </c>
      <c r="I1031" s="111" t="n">
        <v>4</v>
      </c>
      <c r="J1031" s="112" t="n">
        <f aca="false">ROUND(H1031*I1031,2)</f>
        <v>4</v>
      </c>
      <c r="L1031" s="113" t="n">
        <v>1</v>
      </c>
      <c r="M1031" s="114" t="n">
        <v>4</v>
      </c>
      <c r="N1031" s="115" t="n">
        <f aca="false">ROUND(L1031*M1031,2)</f>
        <v>4</v>
      </c>
    </row>
    <row r="1032" customFormat="false" ht="15" hidden="false" customHeight="false" outlineLevel="0" collapsed="false">
      <c r="A1032" s="104" t="s">
        <v>140</v>
      </c>
      <c r="B1032" s="105" t="n">
        <v>30</v>
      </c>
      <c r="C1032" s="106" t="n">
        <f aca="false">$N$1023-$L$1023+1</f>
        <v>30</v>
      </c>
      <c r="D1032" s="107" t="n">
        <v>0.5736</v>
      </c>
      <c r="E1032" s="108" t="n">
        <v>0.01274</v>
      </c>
      <c r="F1032" s="109" t="n">
        <f aca="false">ROUND(B1032*E1032,2)</f>
        <v>0.38</v>
      </c>
      <c r="H1032" s="110" t="n">
        <v>30</v>
      </c>
      <c r="I1032" s="111" t="n">
        <v>0.01274</v>
      </c>
      <c r="J1032" s="112" t="n">
        <f aca="false">ROUND(H1032*I1032,2)</f>
        <v>0.38</v>
      </c>
      <c r="L1032" s="113" t="n">
        <v>30</v>
      </c>
      <c r="M1032" s="114" t="n">
        <v>0.00629</v>
      </c>
      <c r="N1032" s="115" t="n">
        <f aca="false">ROUND(L1032*M1032,2)</f>
        <v>0.19</v>
      </c>
    </row>
    <row r="1033" customFormat="false" ht="15" hidden="false" customHeight="false" outlineLevel="0" collapsed="false">
      <c r="A1033" s="104" t="s">
        <v>141</v>
      </c>
      <c r="B1033" s="105" t="n">
        <v>1.57</v>
      </c>
      <c r="C1033" s="118"/>
      <c r="D1033" s="107" t="n">
        <v>0.24729</v>
      </c>
      <c r="E1033" s="108" t="n">
        <v>1</v>
      </c>
      <c r="F1033" s="109" t="n">
        <f aca="false">ROUND(B1033*E1033,2)</f>
        <v>1.57</v>
      </c>
      <c r="H1033" s="110" t="n">
        <v>1.57</v>
      </c>
      <c r="I1033" s="111" t="n">
        <v>1</v>
      </c>
      <c r="J1033" s="112" t="n">
        <f aca="false">ROUND(H1033*I1033,2)</f>
        <v>1.57</v>
      </c>
      <c r="L1033" s="113" t="n">
        <v>1.57</v>
      </c>
      <c r="M1033" s="114" t="n">
        <v>1</v>
      </c>
      <c r="N1033" s="115" t="n">
        <f aca="false">ROUND(L1033*M1033,2)</f>
        <v>1.57</v>
      </c>
    </row>
    <row r="1034" customFormat="false" ht="15" hidden="false" customHeight="false" outlineLevel="0" collapsed="false">
      <c r="A1034" s="121" t="s">
        <v>142</v>
      </c>
      <c r="F1034" s="122" t="n">
        <f aca="false">ROUND((SUM(F1026:F1033)-F1033)*1.1+F1033,2)</f>
        <v>52.41</v>
      </c>
      <c r="J1034" s="123" t="n">
        <f aca="false">ROUND(SUM(J1026:J1033),2)</f>
        <v>42.55</v>
      </c>
      <c r="N1034" s="124" t="n">
        <f aca="false">ROUND(SUM(N1026:N1033),2)</f>
        <v>39.82</v>
      </c>
    </row>
    <row r="1035" customFormat="false" ht="15" hidden="false" customHeight="false" outlineLevel="0" collapsed="false">
      <c r="A1035" s="93" t="s">
        <v>143</v>
      </c>
      <c r="B1035" s="125" t="n">
        <f aca="false">IF((F1030+F1029+F1028+F1026+F1027)=0,"",((F1030+F1029+F1028+F1026+F1027)-$AB$1028)/(F1030+F1029+F1028+F1026+F1027))</f>
        <v>0.207212503537285</v>
      </c>
      <c r="D1035" s="126" t="str">
        <f aca="false">IF(B1035="","SIN PC",IF(B1035&gt;=0.3,"APROBAR",IF(B1035&gt;=0.2,"REVISAR","RECHAZAR")))</f>
        <v>REVISAR</v>
      </c>
      <c r="E1035" s="126"/>
      <c r="F1035" s="126"/>
      <c r="AD1035" s="0" t="n">
        <f aca="false">SUM(F1028:F1030)-11.3584</f>
        <v>0.00159999999999982</v>
      </c>
    </row>
    <row r="1036" customFormat="false" ht="15" hidden="false" customHeight="false" outlineLevel="0" collapsed="false">
      <c r="A1036" s="127" t="s">
        <v>744</v>
      </c>
      <c r="B1036" s="127"/>
      <c r="C1036" s="127"/>
      <c r="D1036" s="127"/>
      <c r="E1036" s="127"/>
      <c r="F1036" s="127"/>
    </row>
    <row r="1037" customFormat="false" ht="15" hidden="false" customHeight="false" outlineLevel="0" collapsed="false">
      <c r="A1037" s="128" t="s">
        <v>111</v>
      </c>
      <c r="B1037" s="128" t="s">
        <v>745</v>
      </c>
      <c r="D1037" s="128" t="s">
        <v>746</v>
      </c>
      <c r="E1037" s="128" t="s">
        <v>747</v>
      </c>
      <c r="F1037" s="128" t="s">
        <v>120</v>
      </c>
    </row>
    <row r="1038" customFormat="false" ht="15" hidden="false" customHeight="false" outlineLevel="0" collapsed="false">
      <c r="A1038" s="129" t="s">
        <v>748</v>
      </c>
      <c r="B1038" s="130" t="n">
        <v>697</v>
      </c>
      <c r="C1038" s="131"/>
      <c r="D1038" s="107" t="n">
        <v>0.06</v>
      </c>
      <c r="E1038" s="131"/>
      <c r="F1038" s="132" t="n">
        <f aca="false">ROUND(B1038*D1038,2)</f>
        <v>41.82</v>
      </c>
    </row>
    <row r="1039" customFormat="false" ht="15" hidden="false" customHeight="false" outlineLevel="0" collapsed="false">
      <c r="A1039" s="129" t="s">
        <v>749</v>
      </c>
      <c r="B1039" s="131"/>
      <c r="C1039" s="131"/>
      <c r="D1039" s="131"/>
      <c r="E1039" s="133" t="n">
        <v>0.06</v>
      </c>
      <c r="F1039" s="132" t="n">
        <v>11.36</v>
      </c>
    </row>
    <row r="1040" customFormat="false" ht="15" hidden="false" customHeight="false" outlineLevel="0" collapsed="false">
      <c r="A1040" s="134" t="s">
        <v>750</v>
      </c>
      <c r="B1040" s="131"/>
      <c r="C1040" s="131"/>
      <c r="D1040" s="131"/>
      <c r="E1040" s="131"/>
      <c r="F1040" s="135" t="n">
        <f aca="false">F1038-F1039</f>
        <v>30.46</v>
      </c>
    </row>
    <row r="1042" customFormat="false" ht="15" hidden="false" customHeight="false" outlineLevel="0" collapsed="false">
      <c r="A1042" s="89" t="s">
        <v>1112</v>
      </c>
      <c r="B1042" s="89"/>
      <c r="C1042" s="89"/>
      <c r="D1042" s="89"/>
      <c r="E1042" s="89"/>
      <c r="F1042" s="89"/>
      <c r="H1042" s="89" t="s">
        <v>1113</v>
      </c>
      <c r="I1042" s="89"/>
      <c r="J1042" s="89"/>
      <c r="K1042" s="89"/>
      <c r="L1042" s="90" t="n">
        <v>46113</v>
      </c>
      <c r="M1042" s="91" t="s">
        <v>608</v>
      </c>
      <c r="N1042" s="90" t="n">
        <v>46142</v>
      </c>
      <c r="R1042" s="92" t="s">
        <v>110</v>
      </c>
      <c r="S1042" s="92"/>
      <c r="T1042" s="92"/>
      <c r="U1042" s="92"/>
      <c r="V1042" s="92"/>
    </row>
    <row r="1043" customFormat="false" ht="15" hidden="false" customHeight="false" outlineLevel="0" collapsed="false">
      <c r="A1043" s="93" t="s">
        <v>111</v>
      </c>
      <c r="B1043" s="94" t="s">
        <v>112</v>
      </c>
      <c r="C1043" s="95"/>
      <c r="D1043" s="95"/>
      <c r="E1043" s="95"/>
      <c r="F1043" s="95"/>
      <c r="H1043" s="96" t="s">
        <v>1114</v>
      </c>
      <c r="I1043" s="97"/>
      <c r="J1043" s="97"/>
      <c r="L1043" s="98" t="s">
        <v>1115</v>
      </c>
      <c r="M1043" s="99"/>
      <c r="N1043" s="99"/>
      <c r="R1043" s="100" t="s">
        <v>1116</v>
      </c>
    </row>
    <row r="1044" customFormat="false" ht="15" hidden="false" customHeight="false" outlineLevel="0" collapsed="false">
      <c r="B1044" s="81" t="s">
        <v>116</v>
      </c>
      <c r="C1044" s="81" t="s">
        <v>117</v>
      </c>
      <c r="D1044" s="81" t="s">
        <v>118</v>
      </c>
      <c r="E1044" s="81" t="s">
        <v>119</v>
      </c>
      <c r="F1044" s="81" t="s">
        <v>120</v>
      </c>
      <c r="H1044" s="101" t="s">
        <v>116</v>
      </c>
      <c r="I1044" s="101" t="s">
        <v>119</v>
      </c>
      <c r="J1044" s="101" t="s">
        <v>120</v>
      </c>
      <c r="L1044" s="102" t="s">
        <v>116</v>
      </c>
      <c r="M1044" s="102" t="s">
        <v>119</v>
      </c>
      <c r="N1044" s="102" t="s">
        <v>120</v>
      </c>
      <c r="R1044" s="103" t="s">
        <v>1117</v>
      </c>
    </row>
    <row r="1045" customFormat="false" ht="15" hidden="false" customHeight="false" outlineLevel="0" collapsed="false">
      <c r="A1045" s="104" t="s">
        <v>122</v>
      </c>
      <c r="B1045" s="105" t="n">
        <v>5.5</v>
      </c>
      <c r="C1045" s="106" t="n">
        <f aca="false">$N$1042-$L$1042+1</f>
        <v>30</v>
      </c>
      <c r="D1045" s="107" t="n">
        <v>3.4086</v>
      </c>
      <c r="E1045" s="108" t="n">
        <v>3.85</v>
      </c>
      <c r="F1045" s="109" t="n">
        <f aca="false">ROUND(B1045*E1045,2)</f>
        <v>21.18</v>
      </c>
      <c r="H1045" s="110" t="n">
        <v>5.5</v>
      </c>
      <c r="I1045" s="111" t="n">
        <v>3.85</v>
      </c>
      <c r="J1045" s="112" t="n">
        <f aca="false">ROUND(H1045*I1045,2)</f>
        <v>21.18</v>
      </c>
      <c r="L1045" s="113" t="n">
        <v>5.5</v>
      </c>
      <c r="M1045" s="114" t="n">
        <v>3.85</v>
      </c>
      <c r="N1045" s="115" t="n">
        <f aca="false">ROUND(L1045*M1045,2)</f>
        <v>21.18</v>
      </c>
      <c r="R1045" s="116" t="s">
        <v>1118</v>
      </c>
    </row>
    <row r="1046" customFormat="false" ht="15" hidden="false" customHeight="false" outlineLevel="0" collapsed="false">
      <c r="A1046" s="104" t="s">
        <v>124</v>
      </c>
      <c r="B1046" s="105" t="n">
        <v>5.5</v>
      </c>
      <c r="C1046" s="106" t="n">
        <f aca="false">$N$1042-$L$1042+1</f>
        <v>30</v>
      </c>
      <c r="D1046" s="107" t="n">
        <v>1.09728</v>
      </c>
      <c r="E1046" s="108" t="n">
        <v>1.33</v>
      </c>
      <c r="F1046" s="109" t="n">
        <f aca="false">ROUND(B1046*E1046,2)</f>
        <v>7.32</v>
      </c>
      <c r="H1046" s="110" t="n">
        <v>5.5</v>
      </c>
      <c r="I1046" s="111" t="n">
        <v>1.33</v>
      </c>
      <c r="J1046" s="112" t="n">
        <f aca="false">ROUND(H1046*I1046,2)</f>
        <v>7.32</v>
      </c>
      <c r="L1046" s="113" t="n">
        <v>5.5</v>
      </c>
      <c r="M1046" s="114" t="n">
        <v>1.33</v>
      </c>
      <c r="N1046" s="115" t="n">
        <f aca="false">ROUND(L1046*M1046,2)</f>
        <v>7.32</v>
      </c>
      <c r="R1046" s="117" t="s">
        <v>1119</v>
      </c>
    </row>
    <row r="1047" customFormat="false" ht="15" hidden="false" customHeight="false" outlineLevel="0" collapsed="false">
      <c r="A1047" s="104" t="s">
        <v>615</v>
      </c>
      <c r="B1047" s="105" t="n">
        <f aca="false">IF($P$1047&lt;&gt;"",ROUND(AA1047*(($AB$1047/(1-$P$1047))-28.49)/31.1272,2),IF('Resumen 2.0TD'!$D$3="OPTIMIZAR",ROUND(MAX(AA1047,MIN(AA1047*(($AB$1047/(1-'Resumen 2.0TD'!$F$3))-28.49)/31.1272,AA1047*(253.8878)/31.1272)),3),AA1047))</f>
        <v>50.062</v>
      </c>
      <c r="C1047" s="118"/>
      <c r="D1047" s="107" t="n">
        <v>0.110306</v>
      </c>
      <c r="E1047" s="108" t="n">
        <v>0.13788</v>
      </c>
      <c r="F1047" s="109" t="n">
        <f aca="false">ROUND(B1047*E1047,2)</f>
        <v>6.9</v>
      </c>
      <c r="H1047" s="110" t="n">
        <v>68.467</v>
      </c>
      <c r="I1047" s="111" t="n">
        <v>0.13788</v>
      </c>
      <c r="J1047" s="112" t="n">
        <f aca="false">ROUND(H1047*I1047,2)</f>
        <v>9.44</v>
      </c>
      <c r="L1047" s="113" t="n">
        <v>87.612</v>
      </c>
      <c r="M1047" s="114" t="n">
        <v>0.13788</v>
      </c>
      <c r="N1047" s="115" t="n">
        <f aca="false">ROUND(L1047*M1047,2)</f>
        <v>12.08</v>
      </c>
      <c r="O1047" s="119" t="s">
        <v>616</v>
      </c>
      <c r="P1047" s="79"/>
      <c r="R1047" s="117" t="s">
        <v>1120</v>
      </c>
      <c r="AA1047" s="0" t="n">
        <v>50.062</v>
      </c>
      <c r="AB1047" s="0" t="n">
        <f aca="false">B1045*D1045+B1046*D1046+AA1047*D1047+AA1048*D1048+AA1049*D1049</f>
        <v>49.684581336</v>
      </c>
    </row>
    <row r="1048" customFormat="false" ht="15" hidden="false" customHeight="false" outlineLevel="0" collapsed="false">
      <c r="A1048" s="104" t="s">
        <v>618</v>
      </c>
      <c r="B1048" s="105" t="n">
        <f aca="false">IF($P$1047&lt;&gt;"",ROUND(AA1048*(($AB$1047/(1-$P$1047))-28.49)/31.1272,2),IF('Resumen 2.0TD'!$D$3="OPTIMIZAR",ROUND(MAX(AA1048,MIN(AA1048*(($AB$1047/(1-'Resumen 2.0TD'!$F$3))-28.49)/31.1272,AA1048*(253.8878)/31.1272)),3),AA1048))</f>
        <v>48.315</v>
      </c>
      <c r="C1048" s="118"/>
      <c r="D1048" s="107" t="n">
        <v>0.110306</v>
      </c>
      <c r="E1048" s="108" t="n">
        <v>0.13788</v>
      </c>
      <c r="F1048" s="109" t="n">
        <f aca="false">ROUND(B1048*E1048,2)</f>
        <v>6.66</v>
      </c>
      <c r="H1048" s="110" t="n">
        <v>58.682</v>
      </c>
      <c r="I1048" s="111" t="n">
        <v>0.13788</v>
      </c>
      <c r="J1048" s="112" t="n">
        <f aca="false">ROUND(H1048*I1048,2)</f>
        <v>8.09</v>
      </c>
      <c r="L1048" s="113" t="n">
        <v>74.993</v>
      </c>
      <c r="M1048" s="114" t="n">
        <v>0.13788</v>
      </c>
      <c r="N1048" s="115" t="n">
        <f aca="false">ROUND(L1048*M1048,2)</f>
        <v>10.34</v>
      </c>
      <c r="O1048" s="120" t="s">
        <v>619</v>
      </c>
      <c r="R1048" s="117" t="s">
        <v>620</v>
      </c>
      <c r="AA1048" s="0" t="n">
        <v>48.315</v>
      </c>
    </row>
    <row r="1049" customFormat="false" ht="15" hidden="false" customHeight="false" outlineLevel="0" collapsed="false">
      <c r="A1049" s="104" t="s">
        <v>621</v>
      </c>
      <c r="B1049" s="105" t="n">
        <f aca="false">IF($P$1047&lt;&gt;"",ROUND(AA1049*(($AB$1047/(1-$P$1047))-28.49)/31.1272,2),IF('Resumen 2.0TD'!$D$3="OPTIMIZAR",ROUND(MAX(AA1049,MIN(AA1049*(($AB$1047/(1-'Resumen 2.0TD'!$F$3))-28.49)/31.1272,AA1049*(253.8878)/31.1272)),3),AA1049))</f>
        <v>127.379</v>
      </c>
      <c r="C1049" s="118"/>
      <c r="D1049" s="107" t="n">
        <v>0.110306</v>
      </c>
      <c r="E1049" s="108" t="n">
        <v>0.13788</v>
      </c>
      <c r="F1049" s="109" t="n">
        <f aca="false">ROUND(B1049*E1049,2)</f>
        <v>17.56</v>
      </c>
      <c r="H1049" s="110" t="n">
        <v>140.567</v>
      </c>
      <c r="I1049" s="111" t="n">
        <v>0.13788</v>
      </c>
      <c r="J1049" s="112" t="n">
        <f aca="false">ROUND(H1049*I1049,2)</f>
        <v>19.38</v>
      </c>
      <c r="L1049" s="113" t="n">
        <v>155.738</v>
      </c>
      <c r="M1049" s="114" t="n">
        <v>0.13788</v>
      </c>
      <c r="N1049" s="115" t="n">
        <f aca="false">ROUND(L1049*M1049,2)</f>
        <v>21.47</v>
      </c>
      <c r="O1049" s="120" t="s">
        <v>622</v>
      </c>
      <c r="AA1049" s="0" t="n">
        <v>127.379</v>
      </c>
    </row>
    <row r="1050" customFormat="false" ht="15" hidden="false" customHeight="false" outlineLevel="0" collapsed="false">
      <c r="A1050" s="104" t="s">
        <v>139</v>
      </c>
      <c r="B1050" s="105" t="n">
        <v>1</v>
      </c>
      <c r="C1050" s="106" t="n">
        <f aca="false">$N$1042-$L$1042+1</f>
        <v>30</v>
      </c>
      <c r="D1050" s="107" t="n">
        <v>0.7989</v>
      </c>
      <c r="E1050" s="108" t="n">
        <v>3</v>
      </c>
      <c r="F1050" s="109" t="n">
        <f aca="false">ROUND(B1050*E1050,2)</f>
        <v>3</v>
      </c>
      <c r="H1050" s="110" t="n">
        <v>1</v>
      </c>
      <c r="I1050" s="111" t="n">
        <v>3</v>
      </c>
      <c r="J1050" s="112" t="n">
        <f aca="false">ROUND(H1050*I1050,2)</f>
        <v>3</v>
      </c>
      <c r="L1050" s="113" t="n">
        <v>1</v>
      </c>
      <c r="M1050" s="114" t="n">
        <v>3</v>
      </c>
      <c r="N1050" s="115" t="n">
        <f aca="false">ROUND(L1050*M1050,2)</f>
        <v>3</v>
      </c>
    </row>
    <row r="1051" customFormat="false" ht="15" hidden="false" customHeight="false" outlineLevel="0" collapsed="false">
      <c r="A1051" s="104" t="s">
        <v>140</v>
      </c>
      <c r="B1051" s="105" t="n">
        <v>30</v>
      </c>
      <c r="C1051" s="106" t="n">
        <f aca="false">$N$1042-$L$1042+1</f>
        <v>30</v>
      </c>
      <c r="D1051" s="107" t="n">
        <v>0.5736</v>
      </c>
      <c r="E1051" s="108" t="n">
        <v>0.01274</v>
      </c>
      <c r="F1051" s="109" t="n">
        <f aca="false">ROUND(B1051*E1051,2)</f>
        <v>0.38</v>
      </c>
      <c r="H1051" s="110" t="n">
        <v>30</v>
      </c>
      <c r="I1051" s="111" t="n">
        <v>0.01274</v>
      </c>
      <c r="J1051" s="112" t="n">
        <f aca="false">ROUND(H1051*I1051,2)</f>
        <v>0.38</v>
      </c>
      <c r="L1051" s="113" t="n">
        <v>30</v>
      </c>
      <c r="M1051" s="114" t="n">
        <v>0.00629</v>
      </c>
      <c r="N1051" s="115" t="n">
        <f aca="false">ROUND(L1051*M1051,2)</f>
        <v>0.19</v>
      </c>
    </row>
    <row r="1052" customFormat="false" ht="15" hidden="false" customHeight="false" outlineLevel="0" collapsed="false">
      <c r="A1052" s="104" t="s">
        <v>141</v>
      </c>
      <c r="B1052" s="105" t="n">
        <v>2.5</v>
      </c>
      <c r="C1052" s="118"/>
      <c r="D1052" s="107" t="n">
        <v>0.24729</v>
      </c>
      <c r="E1052" s="108" t="n">
        <v>1</v>
      </c>
      <c r="F1052" s="109" t="n">
        <f aca="false">ROUND(B1052*E1052,2)</f>
        <v>2.5</v>
      </c>
      <c r="H1052" s="110" t="n">
        <v>3.03</v>
      </c>
      <c r="I1052" s="111" t="n">
        <v>1</v>
      </c>
      <c r="J1052" s="112" t="n">
        <f aca="false">ROUND(H1052*I1052,2)</f>
        <v>3.03</v>
      </c>
      <c r="L1052" s="113" t="n">
        <v>3.12</v>
      </c>
      <c r="M1052" s="114" t="n">
        <v>1</v>
      </c>
      <c r="N1052" s="115" t="n">
        <f aca="false">ROUND(L1052*M1052,2)</f>
        <v>3.12</v>
      </c>
    </row>
    <row r="1053" customFormat="false" ht="15" hidden="false" customHeight="false" outlineLevel="0" collapsed="false">
      <c r="A1053" s="121" t="s">
        <v>142</v>
      </c>
      <c r="F1053" s="122" t="n">
        <f aca="false">ROUND((SUM(F1045:F1052)-F1052)*1.1+F1052,2)</f>
        <v>71.8</v>
      </c>
      <c r="J1053" s="123" t="n">
        <f aca="false">ROUND(SUM(J1045:J1052),2)</f>
        <v>71.82</v>
      </c>
      <c r="N1053" s="124" t="n">
        <f aca="false">ROUND(SUM(N1045:N1052),2)</f>
        <v>78.7</v>
      </c>
    </row>
    <row r="1054" customFormat="false" ht="15" hidden="false" customHeight="false" outlineLevel="0" collapsed="false">
      <c r="A1054" s="93" t="s">
        <v>143</v>
      </c>
      <c r="B1054" s="125" t="n">
        <f aca="false">IF((F1049+F1048+F1047+F1045+F1046)=0,"",((F1049+F1048+F1047+F1045+F1046)-$AB$1047)/(F1049+F1048+F1047+F1045+F1046))</f>
        <v>0.166645734048977</v>
      </c>
      <c r="D1054" s="126" t="str">
        <f aca="false">IF(B1054="","SIN PC",IF(B1054&gt;=0.3,"APROBAR",IF(B1054&gt;=0.2,"REVISAR","RECHAZAR")))</f>
        <v>RECHAZAR</v>
      </c>
      <c r="E1054" s="126"/>
      <c r="F1054" s="126"/>
      <c r="AD1054" s="0" t="n">
        <f aca="false">SUM(F1047:F1049)-31.1272</f>
        <v>-0.00720000000000098</v>
      </c>
    </row>
    <row r="1055" customFormat="false" ht="15" hidden="false" customHeight="false" outlineLevel="0" collapsed="false">
      <c r="A1055" s="127" t="s">
        <v>744</v>
      </c>
      <c r="B1055" s="127"/>
      <c r="C1055" s="127"/>
      <c r="D1055" s="127"/>
      <c r="E1055" s="127"/>
      <c r="F1055" s="127"/>
    </row>
    <row r="1056" customFormat="false" ht="15" hidden="false" customHeight="false" outlineLevel="0" collapsed="false">
      <c r="A1056" s="128" t="s">
        <v>111</v>
      </c>
      <c r="B1056" s="128" t="s">
        <v>745</v>
      </c>
      <c r="D1056" s="128" t="s">
        <v>746</v>
      </c>
      <c r="E1056" s="128" t="s">
        <v>747</v>
      </c>
      <c r="F1056" s="128" t="s">
        <v>120</v>
      </c>
    </row>
    <row r="1057" customFormat="false" ht="15" hidden="false" customHeight="false" outlineLevel="0" collapsed="false">
      <c r="A1057" s="129" t="s">
        <v>748</v>
      </c>
      <c r="B1057" s="130" t="n">
        <v>171</v>
      </c>
      <c r="C1057" s="131"/>
      <c r="D1057" s="107" t="n">
        <v>0.06</v>
      </c>
      <c r="E1057" s="131"/>
      <c r="F1057" s="132" t="n">
        <f aca="false">ROUND(B1057*D1057,2)</f>
        <v>10.26</v>
      </c>
    </row>
    <row r="1058" customFormat="false" ht="15" hidden="false" customHeight="false" outlineLevel="0" collapsed="false">
      <c r="A1058" s="129" t="s">
        <v>749</v>
      </c>
      <c r="B1058" s="131"/>
      <c r="C1058" s="131"/>
      <c r="D1058" s="131"/>
      <c r="E1058" s="133" t="n">
        <v>0.06</v>
      </c>
      <c r="F1058" s="132" t="n">
        <v>10.81</v>
      </c>
    </row>
    <row r="1059" customFormat="false" ht="15" hidden="false" customHeight="false" outlineLevel="0" collapsed="false">
      <c r="A1059" s="134" t="s">
        <v>750</v>
      </c>
      <c r="B1059" s="131"/>
      <c r="C1059" s="131"/>
      <c r="D1059" s="131"/>
      <c r="E1059" s="131"/>
      <c r="F1059" s="135" t="n">
        <f aca="false">F1057-F1058</f>
        <v>-0.550000000000001</v>
      </c>
    </row>
    <row r="1061" customFormat="false" ht="15" hidden="false" customHeight="false" outlineLevel="0" collapsed="false">
      <c r="A1061" s="89" t="s">
        <v>1121</v>
      </c>
      <c r="B1061" s="89"/>
      <c r="C1061" s="89"/>
      <c r="D1061" s="89"/>
      <c r="E1061" s="89"/>
      <c r="F1061" s="89"/>
      <c r="H1061" s="89" t="s">
        <v>1122</v>
      </c>
      <c r="I1061" s="89"/>
      <c r="J1061" s="89"/>
      <c r="K1061" s="89"/>
      <c r="L1061" s="90" t="n">
        <v>46113</v>
      </c>
      <c r="M1061" s="91" t="s">
        <v>608</v>
      </c>
      <c r="N1061" s="90" t="n">
        <v>46142</v>
      </c>
      <c r="R1061" s="92" t="s">
        <v>110</v>
      </c>
      <c r="S1061" s="92"/>
      <c r="T1061" s="92"/>
      <c r="U1061" s="92"/>
      <c r="V1061" s="92"/>
    </row>
    <row r="1062" customFormat="false" ht="15" hidden="false" customHeight="false" outlineLevel="0" collapsed="false">
      <c r="A1062" s="93" t="s">
        <v>111</v>
      </c>
      <c r="B1062" s="94" t="s">
        <v>112</v>
      </c>
      <c r="C1062" s="95"/>
      <c r="D1062" s="95"/>
      <c r="E1062" s="95"/>
      <c r="F1062" s="95"/>
      <c r="H1062" s="96" t="s">
        <v>1123</v>
      </c>
      <c r="I1062" s="97"/>
      <c r="J1062" s="97"/>
      <c r="L1062" s="98" t="s">
        <v>1124</v>
      </c>
      <c r="M1062" s="99"/>
      <c r="N1062" s="99"/>
      <c r="R1062" s="100" t="s">
        <v>1125</v>
      </c>
    </row>
    <row r="1063" customFormat="false" ht="15" hidden="false" customHeight="false" outlineLevel="0" collapsed="false">
      <c r="B1063" s="81" t="s">
        <v>116</v>
      </c>
      <c r="C1063" s="81" t="s">
        <v>117</v>
      </c>
      <c r="D1063" s="81" t="s">
        <v>118</v>
      </c>
      <c r="E1063" s="81" t="s">
        <v>119</v>
      </c>
      <c r="F1063" s="81" t="s">
        <v>120</v>
      </c>
      <c r="H1063" s="101" t="s">
        <v>116</v>
      </c>
      <c r="I1063" s="101" t="s">
        <v>119</v>
      </c>
      <c r="J1063" s="101" t="s">
        <v>120</v>
      </c>
      <c r="L1063" s="102" t="s">
        <v>116</v>
      </c>
      <c r="M1063" s="102" t="s">
        <v>119</v>
      </c>
      <c r="N1063" s="102" t="s">
        <v>120</v>
      </c>
      <c r="R1063" s="103" t="s">
        <v>1126</v>
      </c>
    </row>
    <row r="1064" customFormat="false" ht="15" hidden="false" customHeight="false" outlineLevel="0" collapsed="false">
      <c r="A1064" s="104" t="s">
        <v>122</v>
      </c>
      <c r="B1064" s="105" t="n">
        <v>5.75</v>
      </c>
      <c r="C1064" s="106" t="n">
        <f aca="false">$N$1061-$L$1061+1</f>
        <v>30</v>
      </c>
      <c r="D1064" s="107" t="n">
        <v>3.68919</v>
      </c>
      <c r="E1064" s="108" t="n">
        <v>4.17</v>
      </c>
      <c r="F1064" s="109" t="n">
        <f aca="false">ROUND(B1064*E1064,2)</f>
        <v>23.98</v>
      </c>
      <c r="H1064" s="110" t="n">
        <v>5.75</v>
      </c>
      <c r="I1064" s="111" t="n">
        <v>4.17</v>
      </c>
      <c r="J1064" s="112" t="n">
        <f aca="false">ROUND(H1064*I1064,2)</f>
        <v>23.98</v>
      </c>
      <c r="L1064" s="113" t="n">
        <v>5.75</v>
      </c>
      <c r="M1064" s="114" t="n">
        <v>4.17</v>
      </c>
      <c r="N1064" s="115" t="n">
        <f aca="false">ROUND(L1064*M1064,2)</f>
        <v>23.98</v>
      </c>
      <c r="R1064" s="116" t="s">
        <v>1127</v>
      </c>
    </row>
    <row r="1065" customFormat="false" ht="15" hidden="false" customHeight="false" outlineLevel="0" collapsed="false">
      <c r="A1065" s="104" t="s">
        <v>124</v>
      </c>
      <c r="B1065" s="105" t="n">
        <v>5.75</v>
      </c>
      <c r="C1065" s="106" t="n">
        <f aca="false">$N$1061-$L$1061+1</f>
        <v>30</v>
      </c>
      <c r="D1065" s="107" t="n">
        <v>1.31928</v>
      </c>
      <c r="E1065" s="108" t="n">
        <v>1.37</v>
      </c>
      <c r="F1065" s="109" t="n">
        <f aca="false">ROUND(B1065*E1065,2)</f>
        <v>7.88</v>
      </c>
      <c r="H1065" s="110" t="n">
        <v>5.75</v>
      </c>
      <c r="I1065" s="111" t="n">
        <v>1.37</v>
      </c>
      <c r="J1065" s="112" t="n">
        <f aca="false">ROUND(H1065*I1065,2)</f>
        <v>7.88</v>
      </c>
      <c r="L1065" s="113" t="n">
        <v>5.75</v>
      </c>
      <c r="M1065" s="114" t="n">
        <v>1.37</v>
      </c>
      <c r="N1065" s="115" t="n">
        <f aca="false">ROUND(L1065*M1065,2)</f>
        <v>7.88</v>
      </c>
      <c r="R1065" s="117" t="s">
        <v>1128</v>
      </c>
    </row>
    <row r="1066" customFormat="false" ht="15" hidden="false" customHeight="false" outlineLevel="0" collapsed="false">
      <c r="A1066" s="104" t="s">
        <v>615</v>
      </c>
      <c r="B1066" s="105" t="n">
        <f aca="false">IF($P$1066&lt;&gt;"",ROUND(AA1066*(($AB$1066/(1-$P$1066))-31.855)/197.8389,2),IF('Resumen 2.0TD'!$D$3="OPTIMIZAR",ROUND(MAX(AA1066,MIN(AA1066*(($AB$1066/(1-'Resumen 2.0TD'!$F$3))-31.855)/197.8389,AA1066*(453.9628)/197.8389)),3),AA1066))</f>
        <v>329.249</v>
      </c>
      <c r="C1066" s="118"/>
      <c r="D1066" s="107" t="n">
        <v>0.111171</v>
      </c>
      <c r="E1066" s="108" t="n">
        <v>0.14937</v>
      </c>
      <c r="F1066" s="109" t="n">
        <f aca="false">ROUND(B1066*E1066,2)</f>
        <v>49.18</v>
      </c>
      <c r="H1066" s="110" t="n">
        <v>400.896</v>
      </c>
      <c r="I1066" s="111" t="n">
        <v>0.139</v>
      </c>
      <c r="J1066" s="112" t="n">
        <f aca="false">ROUND(H1066*I1066,2)</f>
        <v>55.72</v>
      </c>
      <c r="L1066" s="113" t="n">
        <v>250.786</v>
      </c>
      <c r="M1066" s="114" t="n">
        <v>0.14937</v>
      </c>
      <c r="N1066" s="115" t="n">
        <f aca="false">ROUND(L1066*M1066,2)</f>
        <v>37.46</v>
      </c>
      <c r="O1066" s="119" t="s">
        <v>616</v>
      </c>
      <c r="P1066" s="79"/>
      <c r="R1066" s="117" t="s">
        <v>1129</v>
      </c>
      <c r="AA1066" s="0" t="n">
        <v>329.249</v>
      </c>
      <c r="AB1066" s="0" t="n">
        <f aca="false">B1064*D1064+B1065*D1065+AA1066*D1066+AA1067*D1067+AA1068*D1068</f>
        <v>176.043469119</v>
      </c>
    </row>
    <row r="1067" customFormat="false" ht="15" hidden="false" customHeight="false" outlineLevel="0" collapsed="false">
      <c r="A1067" s="104" t="s">
        <v>618</v>
      </c>
      <c r="B1067" s="105" t="n">
        <f aca="false">IF($P$1066&lt;&gt;"",ROUND(AA1067*(($AB$1066/(1-$P$1066))-31.855)/197.8389,2),IF('Resumen 2.0TD'!$D$3="OPTIMIZAR",ROUND(MAX(AA1067,MIN(AA1067*(($AB$1066/(1-'Resumen 2.0TD'!$F$3))-31.855)/197.8389,AA1067*(453.9628)/197.8389)),3),AA1067))</f>
        <v>316.565</v>
      </c>
      <c r="C1067" s="118"/>
      <c r="D1067" s="107" t="n">
        <v>0.111171</v>
      </c>
      <c r="E1067" s="108" t="n">
        <v>0.14937</v>
      </c>
      <c r="F1067" s="109" t="n">
        <f aca="false">ROUND(B1067*E1067,2)</f>
        <v>47.29</v>
      </c>
      <c r="H1067" s="110" t="n">
        <v>379.298</v>
      </c>
      <c r="I1067" s="111" t="n">
        <v>0.135</v>
      </c>
      <c r="J1067" s="112" t="n">
        <f aca="false">ROUND(H1067*I1067,2)</f>
        <v>51.21</v>
      </c>
      <c r="L1067" s="113" t="n">
        <v>263.486</v>
      </c>
      <c r="M1067" s="114" t="n">
        <v>0.14937</v>
      </c>
      <c r="N1067" s="115" t="n">
        <f aca="false">ROUND(L1067*M1067,2)</f>
        <v>39.36</v>
      </c>
      <c r="O1067" s="120" t="s">
        <v>619</v>
      </c>
      <c r="R1067" s="117" t="s">
        <v>620</v>
      </c>
      <c r="AA1067" s="0" t="n">
        <v>316.565</v>
      </c>
    </row>
    <row r="1068" customFormat="false" ht="15" hidden="false" customHeight="false" outlineLevel="0" collapsed="false">
      <c r="A1068" s="104" t="s">
        <v>621</v>
      </c>
      <c r="B1068" s="105" t="n">
        <f aca="false">IF($P$1066&lt;&gt;"",ROUND(AA1068*(($AB$1066/(1-$P$1066))-31.855)/197.8389,2),IF('Resumen 2.0TD'!$D$3="OPTIMIZAR",ROUND(MAX(AA1068,MIN(AA1068*(($AB$1066/(1-'Resumen 2.0TD'!$F$3))-31.855)/197.8389,AA1068*(453.9628)/197.8389)),3),AA1068))</f>
        <v>678.675</v>
      </c>
      <c r="C1068" s="118"/>
      <c r="D1068" s="107" t="n">
        <v>0.111171</v>
      </c>
      <c r="E1068" s="108" t="n">
        <v>0.14937</v>
      </c>
      <c r="F1068" s="109" t="n">
        <f aca="false">ROUND(B1068*E1068,2)</f>
        <v>101.37</v>
      </c>
      <c r="H1068" s="110" t="n">
        <v>590.773</v>
      </c>
      <c r="I1068" s="111" t="n">
        <v>0.135</v>
      </c>
      <c r="J1068" s="112" t="n">
        <f aca="false">ROUND(H1068*I1068,2)</f>
        <v>79.75</v>
      </c>
      <c r="L1068" s="113" t="n">
        <v>539.254</v>
      </c>
      <c r="M1068" s="114" t="n">
        <v>0.14937</v>
      </c>
      <c r="N1068" s="115" t="n">
        <f aca="false">ROUND(L1068*M1068,2)</f>
        <v>80.55</v>
      </c>
      <c r="O1068" s="120" t="s">
        <v>622</v>
      </c>
      <c r="AA1068" s="0" t="n">
        <v>678.675</v>
      </c>
    </row>
    <row r="1069" customFormat="false" ht="15" hidden="false" customHeight="false" outlineLevel="0" collapsed="false">
      <c r="A1069" s="104" t="s">
        <v>139</v>
      </c>
      <c r="B1069" s="105" t="n">
        <v>1</v>
      </c>
      <c r="C1069" s="106" t="n">
        <f aca="false">$N$1061-$L$1061+1</f>
        <v>30</v>
      </c>
      <c r="D1069" s="107" t="n">
        <v>0.7989</v>
      </c>
      <c r="E1069" s="108" t="n">
        <v>4</v>
      </c>
      <c r="F1069" s="109" t="n">
        <f aca="false">ROUND(B1069*E1069,2)</f>
        <v>4</v>
      </c>
      <c r="H1069" s="110" t="n">
        <v>1</v>
      </c>
      <c r="I1069" s="111" t="n">
        <v>4</v>
      </c>
      <c r="J1069" s="112" t="n">
        <f aca="false">ROUND(H1069*I1069,2)</f>
        <v>4</v>
      </c>
      <c r="L1069" s="113" t="n">
        <v>1</v>
      </c>
      <c r="M1069" s="114" t="n">
        <v>4</v>
      </c>
      <c r="N1069" s="115" t="n">
        <f aca="false">ROUND(L1069*M1069,2)</f>
        <v>4</v>
      </c>
    </row>
    <row r="1070" customFormat="false" ht="15" hidden="false" customHeight="false" outlineLevel="0" collapsed="false">
      <c r="A1070" s="104" t="s">
        <v>140</v>
      </c>
      <c r="B1070" s="105" t="n">
        <v>30</v>
      </c>
      <c r="C1070" s="106" t="n">
        <f aca="false">$N$1061-$L$1061+1</f>
        <v>30</v>
      </c>
      <c r="D1070" s="107" t="n">
        <v>0.5736</v>
      </c>
      <c r="E1070" s="108" t="n">
        <v>0.01274</v>
      </c>
      <c r="F1070" s="109" t="n">
        <f aca="false">ROUND(B1070*E1070,2)</f>
        <v>0.38</v>
      </c>
      <c r="H1070" s="110" t="n">
        <v>30</v>
      </c>
      <c r="I1070" s="111" t="n">
        <v>0.01274</v>
      </c>
      <c r="J1070" s="112" t="n">
        <f aca="false">ROUND(H1070*I1070,2)</f>
        <v>0.38</v>
      </c>
      <c r="L1070" s="113" t="n">
        <v>30</v>
      </c>
      <c r="M1070" s="114" t="n">
        <v>0.00629</v>
      </c>
      <c r="N1070" s="115" t="n">
        <f aca="false">ROUND(L1070*M1070,2)</f>
        <v>0.19</v>
      </c>
    </row>
    <row r="1071" customFormat="false" ht="15" hidden="false" customHeight="false" outlineLevel="0" collapsed="false">
      <c r="A1071" s="104" t="s">
        <v>141</v>
      </c>
      <c r="B1071" s="105" t="n">
        <v>11.75</v>
      </c>
      <c r="C1071" s="118"/>
      <c r="D1071" s="107" t="n">
        <v>0.27312</v>
      </c>
      <c r="E1071" s="108" t="n">
        <v>1</v>
      </c>
      <c r="F1071" s="109" t="n">
        <f aca="false">ROUND(B1071*E1071,2)</f>
        <v>11.75</v>
      </c>
      <c r="H1071" s="110" t="n">
        <v>11.93</v>
      </c>
      <c r="I1071" s="111" t="n">
        <v>1</v>
      </c>
      <c r="J1071" s="112" t="n">
        <f aca="false">ROUND(H1071*I1071,2)</f>
        <v>11.93</v>
      </c>
      <c r="L1071" s="113" t="n">
        <v>9.68</v>
      </c>
      <c r="M1071" s="114" t="n">
        <v>1</v>
      </c>
      <c r="N1071" s="115" t="n">
        <f aca="false">ROUND(L1071*M1071,2)</f>
        <v>9.68</v>
      </c>
    </row>
    <row r="1072" customFormat="false" ht="15" hidden="false" customHeight="false" outlineLevel="0" collapsed="false">
      <c r="A1072" s="121" t="s">
        <v>142</v>
      </c>
      <c r="F1072" s="122" t="n">
        <f aca="false">ROUND((SUM(F1064:F1071)-F1071)*1.1+F1071,2)</f>
        <v>269.24</v>
      </c>
      <c r="J1072" s="123" t="n">
        <f aca="false">ROUND(SUM(J1064:J1071),2)</f>
        <v>234.85</v>
      </c>
      <c r="N1072" s="124" t="n">
        <f aca="false">ROUND(SUM(N1064:N1071),2)</f>
        <v>203.1</v>
      </c>
    </row>
    <row r="1073" customFormat="false" ht="15" hidden="false" customHeight="false" outlineLevel="0" collapsed="false">
      <c r="A1073" s="93" t="s">
        <v>143</v>
      </c>
      <c r="B1073" s="125" t="n">
        <f aca="false">IF((F1068+F1067+F1066+F1064+F1065)=0,"",((F1068+F1067+F1066+F1064+F1065)-$AB$1066)/(F1068+F1067+F1066+F1064+F1065))</f>
        <v>0.233593952464084</v>
      </c>
      <c r="D1073" s="126" t="str">
        <f aca="false">IF(B1073="","SIN PC",IF(B1073&gt;=0.3,"APROBAR",IF(B1073&gt;=0.2,"REVISAR","RECHAZAR")))</f>
        <v>REVISAR</v>
      </c>
      <c r="E1073" s="126"/>
      <c r="F1073" s="126"/>
      <c r="AD1073" s="0" t="n">
        <f aca="false">SUM(F1066:F1068)-197.8389</f>
        <v>0.00110000000000809</v>
      </c>
    </row>
    <row r="1075" customFormat="false" ht="15" hidden="false" customHeight="false" outlineLevel="0" collapsed="false">
      <c r="A1075" s="89" t="s">
        <v>1130</v>
      </c>
      <c r="B1075" s="89"/>
      <c r="C1075" s="89"/>
      <c r="D1075" s="89"/>
      <c r="E1075" s="89"/>
      <c r="F1075" s="89"/>
      <c r="H1075" s="89" t="s">
        <v>1131</v>
      </c>
      <c r="I1075" s="89"/>
      <c r="J1075" s="89"/>
      <c r="K1075" s="89"/>
      <c r="L1075" s="90" t="n">
        <v>46113</v>
      </c>
      <c r="M1075" s="91" t="s">
        <v>608</v>
      </c>
      <c r="N1075" s="90" t="n">
        <v>46142</v>
      </c>
      <c r="R1075" s="92" t="s">
        <v>110</v>
      </c>
      <c r="S1075" s="92"/>
      <c r="T1075" s="92"/>
      <c r="U1075" s="92"/>
      <c r="V1075" s="92"/>
    </row>
    <row r="1076" customFormat="false" ht="15" hidden="false" customHeight="false" outlineLevel="0" collapsed="false">
      <c r="A1076" s="93" t="s">
        <v>111</v>
      </c>
      <c r="B1076" s="94" t="s">
        <v>112</v>
      </c>
      <c r="C1076" s="95"/>
      <c r="D1076" s="95"/>
      <c r="E1076" s="95"/>
      <c r="F1076" s="95"/>
      <c r="H1076" s="96" t="s">
        <v>1132</v>
      </c>
      <c r="I1076" s="97"/>
      <c r="J1076" s="97"/>
      <c r="L1076" s="98" t="s">
        <v>1133</v>
      </c>
      <c r="M1076" s="99"/>
      <c r="N1076" s="99"/>
      <c r="R1076" s="100" t="s">
        <v>1134</v>
      </c>
    </row>
    <row r="1077" customFormat="false" ht="15" hidden="false" customHeight="false" outlineLevel="0" collapsed="false">
      <c r="B1077" s="81" t="s">
        <v>116</v>
      </c>
      <c r="C1077" s="81" t="s">
        <v>117</v>
      </c>
      <c r="D1077" s="81" t="s">
        <v>118</v>
      </c>
      <c r="E1077" s="81" t="s">
        <v>119</v>
      </c>
      <c r="F1077" s="81" t="s">
        <v>120</v>
      </c>
      <c r="H1077" s="101" t="s">
        <v>116</v>
      </c>
      <c r="I1077" s="101" t="s">
        <v>119</v>
      </c>
      <c r="J1077" s="101" t="s">
        <v>120</v>
      </c>
      <c r="L1077" s="102" t="s">
        <v>116</v>
      </c>
      <c r="M1077" s="102" t="s">
        <v>119</v>
      </c>
      <c r="N1077" s="102" t="s">
        <v>120</v>
      </c>
      <c r="R1077" s="103" t="s">
        <v>1135</v>
      </c>
    </row>
    <row r="1078" customFormat="false" ht="15" hidden="false" customHeight="false" outlineLevel="0" collapsed="false">
      <c r="A1078" s="104" t="s">
        <v>122</v>
      </c>
      <c r="B1078" s="105" t="n">
        <v>5.75</v>
      </c>
      <c r="C1078" s="106" t="n">
        <f aca="false">$N$1075-$L$1075+1</f>
        <v>30</v>
      </c>
      <c r="D1078" s="107" t="n">
        <v>3.68919</v>
      </c>
      <c r="E1078" s="108" t="n">
        <v>3.85</v>
      </c>
      <c r="F1078" s="109" t="n">
        <f aca="false">ROUND(B1078*E1078,2)</f>
        <v>22.14</v>
      </c>
      <c r="H1078" s="110" t="n">
        <v>5.75</v>
      </c>
      <c r="I1078" s="111" t="n">
        <v>3.85</v>
      </c>
      <c r="J1078" s="112" t="n">
        <f aca="false">ROUND(H1078*I1078,2)</f>
        <v>22.14</v>
      </c>
      <c r="L1078" s="113" t="n">
        <v>5.75</v>
      </c>
      <c r="M1078" s="114" t="n">
        <v>3.85</v>
      </c>
      <c r="N1078" s="115" t="n">
        <f aca="false">ROUND(L1078*M1078,2)</f>
        <v>22.14</v>
      </c>
      <c r="R1078" s="116" t="s">
        <v>1136</v>
      </c>
    </row>
    <row r="1079" customFormat="false" ht="15" hidden="false" customHeight="false" outlineLevel="0" collapsed="false">
      <c r="A1079" s="104" t="s">
        <v>124</v>
      </c>
      <c r="B1079" s="105" t="n">
        <v>5.75</v>
      </c>
      <c r="C1079" s="106" t="n">
        <f aca="false">$N$1075-$L$1075+1</f>
        <v>30</v>
      </c>
      <c r="D1079" s="107" t="n">
        <v>1.31928</v>
      </c>
      <c r="E1079" s="108" t="n">
        <v>1.33</v>
      </c>
      <c r="F1079" s="109" t="n">
        <f aca="false">ROUND(B1079*E1079,2)</f>
        <v>7.65</v>
      </c>
      <c r="H1079" s="110" t="n">
        <v>5.75</v>
      </c>
      <c r="I1079" s="111" t="n">
        <v>1.33</v>
      </c>
      <c r="J1079" s="112" t="n">
        <f aca="false">ROUND(H1079*I1079,2)</f>
        <v>7.65</v>
      </c>
      <c r="L1079" s="113" t="n">
        <v>5.75</v>
      </c>
      <c r="M1079" s="114" t="n">
        <v>1.33</v>
      </c>
      <c r="N1079" s="115" t="n">
        <f aca="false">ROUND(L1079*M1079,2)</f>
        <v>7.65</v>
      </c>
      <c r="R1079" s="117" t="s">
        <v>1137</v>
      </c>
    </row>
    <row r="1080" customFormat="false" ht="15" hidden="false" customHeight="false" outlineLevel="0" collapsed="false">
      <c r="A1080" s="104" t="s">
        <v>615</v>
      </c>
      <c r="B1080" s="105" t="n">
        <f aca="false">IF($P$1080&lt;&gt;"",ROUND(AA1080*(($AB$1080/(1-$P$1080))-29.785)/59.1472,2),IF('Resumen 2.0TD'!$D$3="OPTIMIZAR",ROUND(MAX(AA1080,MIN(AA1080*(($AB$1080/(1-'Resumen 2.0TD'!$F$3))-29.785)/59.1472,AA1080*(129.0728)/59.1472)),3),AA1080))</f>
        <v>151.71</v>
      </c>
      <c r="C1080" s="118"/>
      <c r="D1080" s="107" t="n">
        <v>0.111171</v>
      </c>
      <c r="E1080" s="108" t="n">
        <v>0.13788</v>
      </c>
      <c r="F1080" s="109" t="n">
        <f aca="false">ROUND(B1080*E1080,2)</f>
        <v>20.92</v>
      </c>
      <c r="H1080" s="110" t="n">
        <v>137.206</v>
      </c>
      <c r="I1080" s="111" t="n">
        <v>0.13788</v>
      </c>
      <c r="J1080" s="112" t="n">
        <f aca="false">ROUND(H1080*I1080,2)</f>
        <v>18.92</v>
      </c>
      <c r="L1080" s="113" t="n">
        <v>102.969</v>
      </c>
      <c r="M1080" s="114" t="n">
        <v>0.13788</v>
      </c>
      <c r="N1080" s="115" t="n">
        <f aca="false">ROUND(L1080*M1080,2)</f>
        <v>14.2</v>
      </c>
      <c r="O1080" s="119" t="s">
        <v>616</v>
      </c>
      <c r="P1080" s="79"/>
      <c r="R1080" s="117" t="s">
        <v>1138</v>
      </c>
      <c r="AA1080" s="0" t="n">
        <v>151.71</v>
      </c>
      <c r="AB1080" s="0" t="n">
        <f aca="false">B1078*D1078+B1079*D1079+AA1080*D1080+AA1081*D1081+AA1082*D1082</f>
        <v>76.488393396</v>
      </c>
    </row>
    <row r="1081" customFormat="false" ht="15" hidden="false" customHeight="false" outlineLevel="0" collapsed="false">
      <c r="A1081" s="104" t="s">
        <v>618</v>
      </c>
      <c r="B1081" s="105" t="n">
        <f aca="false">IF($P$1080&lt;&gt;"",ROUND(AA1081*(($AB$1080/(1-$P$1080))-29.785)/59.1472,2),IF('Resumen 2.0TD'!$D$3="OPTIMIZAR",ROUND(MAX(AA1081,MIN(AA1081*(($AB$1080/(1-'Resumen 2.0TD'!$F$3))-29.785)/59.1472,AA1081*(129.0728)/59.1472)),3),AA1081))</f>
        <v>145.141</v>
      </c>
      <c r="C1081" s="118"/>
      <c r="D1081" s="107" t="n">
        <v>0.111171</v>
      </c>
      <c r="E1081" s="108" t="n">
        <v>0.13788</v>
      </c>
      <c r="F1081" s="109" t="n">
        <f aca="false">ROUND(B1081*E1081,2)</f>
        <v>20.01</v>
      </c>
      <c r="H1081" s="110" t="n">
        <v>123.453</v>
      </c>
      <c r="I1081" s="111" t="n">
        <v>0.13788</v>
      </c>
      <c r="J1081" s="112" t="n">
        <f aca="false">ROUND(H1081*I1081,2)</f>
        <v>17.02</v>
      </c>
      <c r="L1081" s="113" t="n">
        <v>106.748</v>
      </c>
      <c r="M1081" s="114" t="n">
        <v>0.13788</v>
      </c>
      <c r="N1081" s="115" t="n">
        <f aca="false">ROUND(L1081*M1081,2)</f>
        <v>14.72</v>
      </c>
      <c r="O1081" s="120" t="s">
        <v>619</v>
      </c>
      <c r="R1081" s="117" t="s">
        <v>620</v>
      </c>
      <c r="AA1081" s="0" t="n">
        <v>145.141</v>
      </c>
    </row>
    <row r="1082" customFormat="false" ht="15" hidden="false" customHeight="false" outlineLevel="0" collapsed="false">
      <c r="A1082" s="104" t="s">
        <v>621</v>
      </c>
      <c r="B1082" s="105" t="n">
        <f aca="false">IF($P$1080&lt;&gt;"",ROUND(AA1082*(($AB$1080/(1-$P$1080))-29.785)/59.1472,2),IF('Resumen 2.0TD'!$D$3="OPTIMIZAR",ROUND(MAX(AA1082,MIN(AA1082*(($AB$1080/(1-'Resumen 2.0TD'!$F$3))-29.785)/59.1472,AA1082*(129.0728)/59.1472)),3),AA1082))</f>
        <v>132.125</v>
      </c>
      <c r="C1082" s="118"/>
      <c r="D1082" s="107" t="n">
        <v>0.111171</v>
      </c>
      <c r="E1082" s="108" t="n">
        <v>0.13788</v>
      </c>
      <c r="F1082" s="109" t="n">
        <f aca="false">ROUND(B1082*E1082,2)</f>
        <v>18.22</v>
      </c>
      <c r="H1082" s="110" t="n">
        <v>120.741</v>
      </c>
      <c r="I1082" s="111" t="n">
        <v>0.13788</v>
      </c>
      <c r="J1082" s="112" t="n">
        <f aca="false">ROUND(H1082*I1082,2)</f>
        <v>16.65</v>
      </c>
      <c r="L1082" s="113" t="n">
        <v>110.985</v>
      </c>
      <c r="M1082" s="114" t="n">
        <v>0.13788</v>
      </c>
      <c r="N1082" s="115" t="n">
        <f aca="false">ROUND(L1082*M1082,2)</f>
        <v>15.3</v>
      </c>
      <c r="O1082" s="120" t="s">
        <v>622</v>
      </c>
      <c r="AA1082" s="0" t="n">
        <v>132.125</v>
      </c>
    </row>
    <row r="1083" customFormat="false" ht="15" hidden="false" customHeight="false" outlineLevel="0" collapsed="false">
      <c r="A1083" s="104" t="s">
        <v>139</v>
      </c>
      <c r="B1083" s="105" t="n">
        <v>1</v>
      </c>
      <c r="C1083" s="106" t="n">
        <f aca="false">$N$1075-$L$1075+1</f>
        <v>30</v>
      </c>
      <c r="D1083" s="107" t="n">
        <v>0.7989</v>
      </c>
      <c r="E1083" s="108" t="n">
        <v>3</v>
      </c>
      <c r="F1083" s="109" t="n">
        <f aca="false">ROUND(B1083*E1083,2)</f>
        <v>3</v>
      </c>
      <c r="H1083" s="110" t="n">
        <v>1</v>
      </c>
      <c r="I1083" s="111" t="n">
        <v>3</v>
      </c>
      <c r="J1083" s="112" t="n">
        <f aca="false">ROUND(H1083*I1083,2)</f>
        <v>3</v>
      </c>
      <c r="L1083" s="113" t="n">
        <v>1</v>
      </c>
      <c r="M1083" s="114" t="n">
        <v>3</v>
      </c>
      <c r="N1083" s="115" t="n">
        <f aca="false">ROUND(L1083*M1083,2)</f>
        <v>3</v>
      </c>
    </row>
    <row r="1084" customFormat="false" ht="15" hidden="false" customHeight="false" outlineLevel="0" collapsed="false">
      <c r="A1084" s="104" t="s">
        <v>140</v>
      </c>
      <c r="B1084" s="105" t="n">
        <v>30</v>
      </c>
      <c r="C1084" s="106" t="n">
        <f aca="false">$N$1075-$L$1075+1</f>
        <v>30</v>
      </c>
      <c r="D1084" s="107" t="n">
        <v>0.5736</v>
      </c>
      <c r="E1084" s="108" t="n">
        <v>0.01274</v>
      </c>
      <c r="F1084" s="109" t="n">
        <f aca="false">ROUND(B1084*E1084,2)</f>
        <v>0.38</v>
      </c>
      <c r="H1084" s="110" t="n">
        <v>30</v>
      </c>
      <c r="I1084" s="111" t="n">
        <v>0.01274</v>
      </c>
      <c r="J1084" s="112" t="n">
        <f aca="false">ROUND(H1084*I1084,2)</f>
        <v>0.38</v>
      </c>
      <c r="L1084" s="113" t="n">
        <v>30</v>
      </c>
      <c r="M1084" s="114" t="n">
        <v>0.00629</v>
      </c>
      <c r="N1084" s="115" t="n">
        <f aca="false">ROUND(L1084*M1084,2)</f>
        <v>0.19</v>
      </c>
    </row>
    <row r="1085" customFormat="false" ht="15" hidden="false" customHeight="false" outlineLevel="0" collapsed="false">
      <c r="A1085" s="104" t="s">
        <v>141</v>
      </c>
      <c r="B1085" s="105" t="n">
        <v>4.55</v>
      </c>
      <c r="C1085" s="118"/>
      <c r="D1085" s="107" t="n">
        <v>0.02671</v>
      </c>
      <c r="E1085" s="108" t="n">
        <v>1</v>
      </c>
      <c r="F1085" s="109" t="n">
        <f aca="false">ROUND(B1085*E1085,2)</f>
        <v>4.55</v>
      </c>
      <c r="H1085" s="110" t="n">
        <v>4.22</v>
      </c>
      <c r="I1085" s="111" t="n">
        <v>1</v>
      </c>
      <c r="J1085" s="112" t="n">
        <f aca="false">ROUND(H1085*I1085,2)</f>
        <v>4.22</v>
      </c>
      <c r="L1085" s="113" t="n">
        <v>3.79</v>
      </c>
      <c r="M1085" s="114" t="n">
        <v>1</v>
      </c>
      <c r="N1085" s="115" t="n">
        <f aca="false">ROUND(L1085*M1085,2)</f>
        <v>3.79</v>
      </c>
    </row>
    <row r="1086" customFormat="false" ht="15" hidden="false" customHeight="false" outlineLevel="0" collapsed="false">
      <c r="A1086" s="121" t="s">
        <v>142</v>
      </c>
      <c r="F1086" s="122" t="n">
        <f aca="false">ROUND((SUM(F1078:F1085)-F1085)*1.1+F1085,2)</f>
        <v>106.1</v>
      </c>
      <c r="J1086" s="123" t="n">
        <f aca="false">ROUND(SUM(J1078:J1085),2)</f>
        <v>89.98</v>
      </c>
      <c r="N1086" s="124" t="n">
        <f aca="false">ROUND(SUM(N1078:N1085),2)</f>
        <v>80.99</v>
      </c>
    </row>
    <row r="1087" customFormat="false" ht="15" hidden="false" customHeight="false" outlineLevel="0" collapsed="false">
      <c r="A1087" s="93" t="s">
        <v>143</v>
      </c>
      <c r="B1087" s="125" t="n">
        <f aca="false">IF((F1082+F1081+F1080+F1078+F1079)=0,"",((F1082+F1081+F1080+F1078+F1079)-$AB$1080)/(F1082+F1081+F1080+F1078+F1079))</f>
        <v>0.140000074252305</v>
      </c>
      <c r="D1087" s="126" t="str">
        <f aca="false">IF(B1087="","SIN PC",IF(B1087&gt;=0.3,"APROBAR",IF(B1087&gt;=0.2,"REVISAR","RECHAZAR")))</f>
        <v>RECHAZAR</v>
      </c>
      <c r="E1087" s="126"/>
      <c r="F1087" s="126"/>
      <c r="AD1087" s="0" t="n">
        <f aca="false">SUM(F1080:F1082)-59.1472</f>
        <v>0.00280000000000769</v>
      </c>
    </row>
    <row r="1089" customFormat="false" ht="15" hidden="false" customHeight="false" outlineLevel="0" collapsed="false">
      <c r="A1089" s="89" t="s">
        <v>1139</v>
      </c>
      <c r="B1089" s="89"/>
      <c r="C1089" s="89"/>
      <c r="D1089" s="89"/>
      <c r="E1089" s="89"/>
      <c r="F1089" s="89"/>
      <c r="H1089" s="89" t="s">
        <v>1140</v>
      </c>
      <c r="I1089" s="89"/>
      <c r="J1089" s="89"/>
      <c r="K1089" s="89"/>
      <c r="L1089" s="90" t="n">
        <v>46113</v>
      </c>
      <c r="M1089" s="91" t="s">
        <v>608</v>
      </c>
      <c r="N1089" s="90" t="n">
        <v>46142</v>
      </c>
      <c r="R1089" s="92" t="s">
        <v>110</v>
      </c>
      <c r="S1089" s="92"/>
      <c r="T1089" s="92"/>
      <c r="U1089" s="92"/>
      <c r="V1089" s="92"/>
    </row>
    <row r="1090" customFormat="false" ht="15" hidden="false" customHeight="false" outlineLevel="0" collapsed="false">
      <c r="A1090" s="93" t="s">
        <v>111</v>
      </c>
      <c r="B1090" s="94" t="s">
        <v>112</v>
      </c>
      <c r="C1090" s="95"/>
      <c r="D1090" s="95"/>
      <c r="E1090" s="95"/>
      <c r="F1090" s="95"/>
      <c r="H1090" s="96" t="s">
        <v>1141</v>
      </c>
      <c r="I1090" s="97"/>
      <c r="J1090" s="97"/>
      <c r="L1090" s="98" t="s">
        <v>1142</v>
      </c>
      <c r="M1090" s="99"/>
      <c r="N1090" s="99"/>
      <c r="R1090" s="100" t="s">
        <v>1143</v>
      </c>
    </row>
    <row r="1091" customFormat="false" ht="15" hidden="false" customHeight="false" outlineLevel="0" collapsed="false">
      <c r="B1091" s="81" t="s">
        <v>116</v>
      </c>
      <c r="C1091" s="81" t="s">
        <v>117</v>
      </c>
      <c r="D1091" s="81" t="s">
        <v>118</v>
      </c>
      <c r="E1091" s="81" t="s">
        <v>119</v>
      </c>
      <c r="F1091" s="81" t="s">
        <v>120</v>
      </c>
      <c r="H1091" s="101" t="s">
        <v>116</v>
      </c>
      <c r="I1091" s="101" t="s">
        <v>119</v>
      </c>
      <c r="J1091" s="101" t="s">
        <v>120</v>
      </c>
      <c r="L1091" s="102" t="s">
        <v>116</v>
      </c>
      <c r="M1091" s="102" t="s">
        <v>119</v>
      </c>
      <c r="N1091" s="102" t="s">
        <v>120</v>
      </c>
      <c r="R1091" s="103" t="s">
        <v>1144</v>
      </c>
    </row>
    <row r="1092" customFormat="false" ht="15" hidden="false" customHeight="false" outlineLevel="0" collapsed="false">
      <c r="A1092" s="104" t="s">
        <v>122</v>
      </c>
      <c r="B1092" s="105" t="n">
        <v>10</v>
      </c>
      <c r="C1092" s="106" t="n">
        <f aca="false">$N$1089-$L$1089+1</f>
        <v>30</v>
      </c>
      <c r="D1092" s="107" t="n">
        <v>3.68919</v>
      </c>
      <c r="E1092" s="108" t="n">
        <v>3.85</v>
      </c>
      <c r="F1092" s="109" t="n">
        <f aca="false">ROUND(B1092*E1092,2)</f>
        <v>38.5</v>
      </c>
      <c r="H1092" s="110" t="n">
        <v>10</v>
      </c>
      <c r="I1092" s="111" t="n">
        <v>3.85</v>
      </c>
      <c r="J1092" s="112" t="n">
        <f aca="false">ROUND(H1092*I1092,2)</f>
        <v>38.5</v>
      </c>
      <c r="L1092" s="113" t="n">
        <v>10</v>
      </c>
      <c r="M1092" s="114" t="n">
        <v>3.85</v>
      </c>
      <c r="N1092" s="115" t="n">
        <f aca="false">ROUND(L1092*M1092,2)</f>
        <v>38.5</v>
      </c>
      <c r="R1092" s="116" t="s">
        <v>1145</v>
      </c>
    </row>
    <row r="1093" customFormat="false" ht="15" hidden="false" customHeight="false" outlineLevel="0" collapsed="false">
      <c r="A1093" s="104" t="s">
        <v>124</v>
      </c>
      <c r="B1093" s="105" t="n">
        <v>10</v>
      </c>
      <c r="C1093" s="106" t="n">
        <f aca="false">$N$1089-$L$1089+1</f>
        <v>30</v>
      </c>
      <c r="D1093" s="107" t="n">
        <v>1.31928</v>
      </c>
      <c r="E1093" s="108" t="n">
        <v>1.33</v>
      </c>
      <c r="F1093" s="109" t="n">
        <f aca="false">ROUND(B1093*E1093,2)</f>
        <v>13.3</v>
      </c>
      <c r="H1093" s="110" t="n">
        <v>10</v>
      </c>
      <c r="I1093" s="111" t="n">
        <v>1.33</v>
      </c>
      <c r="J1093" s="112" t="n">
        <f aca="false">ROUND(H1093*I1093,2)</f>
        <v>13.3</v>
      </c>
      <c r="L1093" s="113" t="n">
        <v>10</v>
      </c>
      <c r="M1093" s="114" t="n">
        <v>1.33</v>
      </c>
      <c r="N1093" s="115" t="n">
        <f aca="false">ROUND(L1093*M1093,2)</f>
        <v>13.3</v>
      </c>
      <c r="R1093" s="117" t="s">
        <v>1146</v>
      </c>
    </row>
    <row r="1094" customFormat="false" ht="15" hidden="false" customHeight="false" outlineLevel="0" collapsed="false">
      <c r="A1094" s="104" t="s">
        <v>615</v>
      </c>
      <c r="B1094" s="105" t="n">
        <f aca="false">IF($P$1094&lt;&gt;"",ROUND(AA1094*(($AB$1094/(1-$P$1094))-51.8)/374.0067,2),IF('Resumen 2.0TD'!$D$3="OPTIMIZAR",ROUND(MAX(AA1094,MIN(AA1094*(($AB$1094/(1-'Resumen 2.0TD'!$F$3))-51.8)/374.0067,AA1094*(716.4178)/374.0067)),3),AA1094))</f>
        <v>694.92</v>
      </c>
      <c r="C1094" s="118"/>
      <c r="D1094" s="107" t="n">
        <v>0.111171</v>
      </c>
      <c r="E1094" s="108" t="n">
        <v>0.13788</v>
      </c>
      <c r="F1094" s="109" t="n">
        <f aca="false">ROUND(B1094*E1094,2)</f>
        <v>95.82</v>
      </c>
      <c r="H1094" s="110" t="n">
        <v>663.883</v>
      </c>
      <c r="I1094" s="111" t="n">
        <v>0.13788</v>
      </c>
      <c r="J1094" s="112" t="n">
        <f aca="false">ROUND(H1094*I1094,2)</f>
        <v>91.54</v>
      </c>
      <c r="L1094" s="113" t="n">
        <v>2990</v>
      </c>
      <c r="M1094" s="114" t="n">
        <v>0.13788</v>
      </c>
      <c r="N1094" s="115" t="n">
        <f aca="false">ROUND(L1094*M1094,2)</f>
        <v>412.26</v>
      </c>
      <c r="O1094" s="119" t="s">
        <v>616</v>
      </c>
      <c r="P1094" s="79"/>
      <c r="R1094" s="117" t="s">
        <v>1147</v>
      </c>
      <c r="AA1094" s="0" t="n">
        <v>694.92</v>
      </c>
      <c r="AB1094" s="0" t="n">
        <f aca="false">B1092*D1092+B1093*D1093+AA1094*D1094+AA1095*D1095+AA1096*D1096</f>
        <v>351.641818392</v>
      </c>
    </row>
    <row r="1095" customFormat="false" ht="15" hidden="false" customHeight="false" outlineLevel="0" collapsed="false">
      <c r="A1095" s="104" t="s">
        <v>618</v>
      </c>
      <c r="B1095" s="105" t="n">
        <f aca="false">IF($P$1094&lt;&gt;"",ROUND(AA1095*(($AB$1094/(1-$P$1094))-51.8)/374.0067,2),IF('Resumen 2.0TD'!$D$3="OPTIMIZAR",ROUND(MAX(AA1095,MIN(AA1095*(($AB$1094/(1-'Resumen 2.0TD'!$F$3))-51.8)/374.0067,AA1095*(716.4178)/374.0067)),3),AA1095))</f>
        <v>791.092</v>
      </c>
      <c r="C1095" s="118"/>
      <c r="D1095" s="107" t="n">
        <v>0.111171</v>
      </c>
      <c r="E1095" s="108" t="n">
        <v>0.13788</v>
      </c>
      <c r="F1095" s="109" t="n">
        <f aca="false">ROUND(B1095*E1095,2)</f>
        <v>109.08</v>
      </c>
      <c r="H1095" s="110" t="n">
        <v>676.67</v>
      </c>
      <c r="I1095" s="111" t="n">
        <v>0.13788</v>
      </c>
      <c r="J1095" s="112" t="n">
        <f aca="false">ROUND(H1095*I1095,2)</f>
        <v>93.3</v>
      </c>
      <c r="L1095" s="136"/>
      <c r="M1095" s="136"/>
      <c r="N1095" s="136"/>
      <c r="O1095" s="120" t="s">
        <v>619</v>
      </c>
      <c r="R1095" s="117" t="s">
        <v>620</v>
      </c>
      <c r="AA1095" s="0" t="n">
        <v>791.092</v>
      </c>
    </row>
    <row r="1096" customFormat="false" ht="15" hidden="false" customHeight="false" outlineLevel="0" collapsed="false">
      <c r="A1096" s="104" t="s">
        <v>621</v>
      </c>
      <c r="B1096" s="105" t="n">
        <f aca="false">IF($P$1094&lt;&gt;"",ROUND(AA1096*(($AB$1094/(1-$P$1094))-51.8)/374.0067,2),IF('Resumen 2.0TD'!$D$3="OPTIMIZAR",ROUND(MAX(AA1096,MIN(AA1096*(($AB$1094/(1-'Resumen 2.0TD'!$F$3))-51.8)/374.0067,AA1096*(716.4178)/374.0067)),3),AA1096))</f>
        <v>1226.54</v>
      </c>
      <c r="C1096" s="118"/>
      <c r="D1096" s="107" t="n">
        <v>0.111171</v>
      </c>
      <c r="E1096" s="108" t="n">
        <v>0.13788</v>
      </c>
      <c r="F1096" s="109" t="n">
        <f aca="false">ROUND(B1096*E1096,2)</f>
        <v>169.12</v>
      </c>
      <c r="H1096" s="110" t="n">
        <v>737.089</v>
      </c>
      <c r="I1096" s="111" t="n">
        <v>0.13788</v>
      </c>
      <c r="J1096" s="112" t="n">
        <f aca="false">ROUND(H1096*I1096,2)</f>
        <v>101.63</v>
      </c>
      <c r="L1096" s="136"/>
      <c r="M1096" s="136"/>
      <c r="N1096" s="136"/>
      <c r="O1096" s="120" t="s">
        <v>622</v>
      </c>
      <c r="AA1096" s="0" t="n">
        <v>1226.54</v>
      </c>
    </row>
    <row r="1097" customFormat="false" ht="15" hidden="false" customHeight="false" outlineLevel="0" collapsed="false">
      <c r="A1097" s="104" t="s">
        <v>139</v>
      </c>
      <c r="B1097" s="105" t="n">
        <v>1</v>
      </c>
      <c r="C1097" s="106" t="n">
        <f aca="false">$N$1089-$L$1089+1</f>
        <v>30</v>
      </c>
      <c r="D1097" s="107" t="n">
        <v>1.3414</v>
      </c>
      <c r="E1097" s="108" t="n">
        <v>3</v>
      </c>
      <c r="F1097" s="109" t="n">
        <f aca="false">ROUND(B1097*E1097,2)</f>
        <v>3</v>
      </c>
      <c r="H1097" s="110" t="n">
        <v>1</v>
      </c>
      <c r="I1097" s="111" t="n">
        <v>3</v>
      </c>
      <c r="J1097" s="112" t="n">
        <f aca="false">ROUND(H1097*I1097,2)</f>
        <v>3</v>
      </c>
      <c r="L1097" s="113" t="n">
        <v>1</v>
      </c>
      <c r="M1097" s="114" t="n">
        <v>3</v>
      </c>
      <c r="N1097" s="115" t="n">
        <f aca="false">ROUND(L1097*M1097,2)</f>
        <v>3</v>
      </c>
    </row>
    <row r="1098" customFormat="false" ht="15" hidden="false" customHeight="false" outlineLevel="0" collapsed="false">
      <c r="A1098" s="104" t="s">
        <v>140</v>
      </c>
      <c r="B1098" s="105" t="n">
        <v>30</v>
      </c>
      <c r="C1098" s="106" t="n">
        <f aca="false">$N$1089-$L$1089+1</f>
        <v>30</v>
      </c>
      <c r="D1098" s="107" t="n">
        <v>0.5736</v>
      </c>
      <c r="E1098" s="108" t="n">
        <v>0.01274</v>
      </c>
      <c r="F1098" s="109" t="n">
        <f aca="false">ROUND(B1098*E1098,2)</f>
        <v>0.38</v>
      </c>
      <c r="H1098" s="110" t="n">
        <v>30</v>
      </c>
      <c r="I1098" s="111" t="n">
        <v>0.01274</v>
      </c>
      <c r="J1098" s="112" t="n">
        <f aca="false">ROUND(H1098*I1098,2)</f>
        <v>0.38</v>
      </c>
      <c r="L1098" s="113" t="n">
        <v>30</v>
      </c>
      <c r="M1098" s="114" t="n">
        <v>0.01274</v>
      </c>
      <c r="N1098" s="115" t="n">
        <f aca="false">ROUND(L1098*M1098,2)</f>
        <v>0.38</v>
      </c>
    </row>
    <row r="1099" customFormat="false" ht="15" hidden="false" customHeight="false" outlineLevel="0" collapsed="false">
      <c r="A1099" s="104" t="s">
        <v>141</v>
      </c>
      <c r="B1099" s="105" t="n">
        <v>22.86</v>
      </c>
      <c r="C1099" s="118"/>
      <c r="D1099" s="107" t="n">
        <v>0.27312</v>
      </c>
      <c r="E1099" s="108" t="n">
        <v>1</v>
      </c>
      <c r="F1099" s="109" t="n">
        <f aca="false">ROUND(B1099*E1099,2)</f>
        <v>22.86</v>
      </c>
      <c r="H1099" s="110" t="n">
        <v>18.27</v>
      </c>
      <c r="I1099" s="111" t="n">
        <v>1</v>
      </c>
      <c r="J1099" s="112" t="n">
        <f aca="false">ROUND(H1099*I1099,2)</f>
        <v>18.27</v>
      </c>
      <c r="L1099" s="113" t="n">
        <v>25.14</v>
      </c>
      <c r="M1099" s="114" t="n">
        <v>1</v>
      </c>
      <c r="N1099" s="115" t="n">
        <f aca="false">ROUND(L1099*M1099,2)</f>
        <v>25.14</v>
      </c>
    </row>
    <row r="1100" customFormat="false" ht="15" hidden="false" customHeight="false" outlineLevel="0" collapsed="false">
      <c r="A1100" s="121" t="s">
        <v>142</v>
      </c>
      <c r="F1100" s="122" t="n">
        <f aca="false">ROUND((SUM(F1092:F1099)-F1099)*1.1+F1099,2)</f>
        <v>494.98</v>
      </c>
      <c r="J1100" s="123" t="n">
        <f aca="false">ROUND(SUM(J1092:J1099),2)</f>
        <v>359.92</v>
      </c>
      <c r="N1100" s="124" t="n">
        <f aca="false">ROUND(SUM(N1092:N1099),2)</f>
        <v>492.58</v>
      </c>
    </row>
    <row r="1101" customFormat="false" ht="15" hidden="false" customHeight="false" outlineLevel="0" collapsed="false">
      <c r="A1101" s="93" t="s">
        <v>143</v>
      </c>
      <c r="B1101" s="125" t="n">
        <f aca="false">IF((F1096+F1095+F1094+F1092+F1093)=0,"",((F1096+F1095+F1094+F1092+F1093)-$AB$1094)/(F1096+F1095+F1094+F1092+F1093))</f>
        <v>0.174200792842046</v>
      </c>
      <c r="D1101" s="126" t="str">
        <f aca="false">IF(B1101="","SIN PC",IF(B1101&gt;=0.3,"APROBAR",IF(B1101&gt;=0.2,"REVISAR","RECHAZAR")))</f>
        <v>RECHAZAR</v>
      </c>
      <c r="E1101" s="126"/>
      <c r="F1101" s="126"/>
      <c r="AD1101" s="0" t="n">
        <f aca="false">SUM(F1094:F1096)-374.0067</f>
        <v>0.0132999999999583</v>
      </c>
    </row>
    <row r="1103" customFormat="false" ht="15" hidden="false" customHeight="false" outlineLevel="0" collapsed="false">
      <c r="A1103" s="89" t="s">
        <v>1148</v>
      </c>
      <c r="B1103" s="89"/>
      <c r="C1103" s="89"/>
      <c r="D1103" s="89"/>
      <c r="E1103" s="89"/>
      <c r="F1103" s="89"/>
      <c r="H1103" s="89" t="s">
        <v>1149</v>
      </c>
      <c r="I1103" s="89"/>
      <c r="J1103" s="89"/>
      <c r="K1103" s="89"/>
      <c r="L1103" s="90" t="n">
        <v>46113</v>
      </c>
      <c r="M1103" s="91" t="s">
        <v>608</v>
      </c>
      <c r="N1103" s="90" t="n">
        <v>46142</v>
      </c>
      <c r="R1103" s="92" t="s">
        <v>110</v>
      </c>
      <c r="S1103" s="92"/>
      <c r="T1103" s="92"/>
      <c r="U1103" s="92"/>
      <c r="V1103" s="92"/>
    </row>
    <row r="1104" customFormat="false" ht="15" hidden="false" customHeight="false" outlineLevel="0" collapsed="false">
      <c r="A1104" s="93" t="s">
        <v>111</v>
      </c>
      <c r="B1104" s="94" t="s">
        <v>112</v>
      </c>
      <c r="C1104" s="95"/>
      <c r="D1104" s="95"/>
      <c r="E1104" s="95"/>
      <c r="F1104" s="95"/>
      <c r="H1104" s="96" t="s">
        <v>1150</v>
      </c>
      <c r="I1104" s="97"/>
      <c r="J1104" s="97"/>
      <c r="L1104" s="98" t="s">
        <v>1151</v>
      </c>
      <c r="M1104" s="99"/>
      <c r="N1104" s="99"/>
      <c r="R1104" s="100" t="s">
        <v>1152</v>
      </c>
    </row>
    <row r="1105" customFormat="false" ht="15" hidden="false" customHeight="false" outlineLevel="0" collapsed="false">
      <c r="B1105" s="81" t="s">
        <v>116</v>
      </c>
      <c r="C1105" s="81" t="s">
        <v>117</v>
      </c>
      <c r="D1105" s="81" t="s">
        <v>118</v>
      </c>
      <c r="E1105" s="81" t="s">
        <v>119</v>
      </c>
      <c r="F1105" s="81" t="s">
        <v>120</v>
      </c>
      <c r="H1105" s="101" t="s">
        <v>116</v>
      </c>
      <c r="I1105" s="101" t="s">
        <v>119</v>
      </c>
      <c r="J1105" s="101" t="s">
        <v>120</v>
      </c>
      <c r="L1105" s="102" t="s">
        <v>116</v>
      </c>
      <c r="M1105" s="102" t="s">
        <v>119</v>
      </c>
      <c r="N1105" s="102" t="s">
        <v>120</v>
      </c>
      <c r="R1105" s="103" t="s">
        <v>1153</v>
      </c>
    </row>
    <row r="1106" customFormat="false" ht="15" hidden="false" customHeight="false" outlineLevel="0" collapsed="false">
      <c r="A1106" s="104" t="s">
        <v>122</v>
      </c>
      <c r="B1106" s="105" t="n">
        <v>9.2</v>
      </c>
      <c r="C1106" s="106" t="n">
        <f aca="false">$N$1103-$L$1103+1</f>
        <v>30</v>
      </c>
      <c r="D1106" s="107" t="n">
        <v>3.4086</v>
      </c>
      <c r="E1106" s="108" t="n">
        <v>4.17</v>
      </c>
      <c r="F1106" s="109" t="n">
        <f aca="false">ROUND(B1106*E1106,2)</f>
        <v>38.36</v>
      </c>
      <c r="H1106" s="110" t="n">
        <v>9.2</v>
      </c>
      <c r="I1106" s="111" t="n">
        <v>4.17</v>
      </c>
      <c r="J1106" s="112" t="n">
        <f aca="false">ROUND(H1106*I1106,2)</f>
        <v>38.36</v>
      </c>
      <c r="L1106" s="113" t="n">
        <v>9.2</v>
      </c>
      <c r="M1106" s="114" t="n">
        <v>4.17</v>
      </c>
      <c r="N1106" s="115" t="n">
        <f aca="false">ROUND(L1106*M1106,2)</f>
        <v>38.36</v>
      </c>
      <c r="R1106" s="116" t="s">
        <v>1154</v>
      </c>
    </row>
    <row r="1107" customFormat="false" ht="15" hidden="false" customHeight="false" outlineLevel="0" collapsed="false">
      <c r="A1107" s="104" t="s">
        <v>124</v>
      </c>
      <c r="B1107" s="105" t="n">
        <v>9.2</v>
      </c>
      <c r="C1107" s="106" t="n">
        <f aca="false">$N$1103-$L$1103+1</f>
        <v>30</v>
      </c>
      <c r="D1107" s="107" t="n">
        <v>1.09728</v>
      </c>
      <c r="E1107" s="108" t="n">
        <v>1.37</v>
      </c>
      <c r="F1107" s="109" t="n">
        <f aca="false">ROUND(B1107*E1107,2)</f>
        <v>12.6</v>
      </c>
      <c r="H1107" s="110" t="n">
        <v>9.2</v>
      </c>
      <c r="I1107" s="111" t="n">
        <v>1.37</v>
      </c>
      <c r="J1107" s="112" t="n">
        <f aca="false">ROUND(H1107*I1107,2)</f>
        <v>12.6</v>
      </c>
      <c r="L1107" s="113" t="n">
        <v>9.2</v>
      </c>
      <c r="M1107" s="114" t="n">
        <v>1.37</v>
      </c>
      <c r="N1107" s="115" t="n">
        <f aca="false">ROUND(L1107*M1107,2)</f>
        <v>12.6</v>
      </c>
      <c r="R1107" s="117" t="s">
        <v>1155</v>
      </c>
    </row>
    <row r="1108" customFormat="false" ht="15" hidden="false" customHeight="false" outlineLevel="0" collapsed="false">
      <c r="A1108" s="104" t="s">
        <v>615</v>
      </c>
      <c r="B1108" s="105" t="n">
        <f aca="false">IF($P$1108&lt;&gt;"",ROUND(AA1108*(($AB$1108/(1-$P$1108))-50.968)/18.3933,2),IF('Resumen 2.0TD'!$D$3="OPTIMIZAR",ROUND(MAX(AA1108,MIN(AA1108*(($AB$1108/(1-'Resumen 2.0TD'!$F$3))-50.968)/18.3933,AA1108*(106.0398)/18.3933)),3),AA1108))</f>
        <v>37.814</v>
      </c>
      <c r="C1108" s="118"/>
      <c r="D1108" s="107" t="n">
        <v>0.110306</v>
      </c>
      <c r="E1108" s="108" t="n">
        <v>0.14937</v>
      </c>
      <c r="F1108" s="109" t="n">
        <f aca="false">ROUND(B1108*E1108,2)</f>
        <v>5.65</v>
      </c>
      <c r="H1108" s="110" t="n">
        <v>96.458</v>
      </c>
      <c r="I1108" s="111" t="n">
        <v>0.14937</v>
      </c>
      <c r="J1108" s="112" t="n">
        <f aca="false">ROUND(H1108*I1108,2)</f>
        <v>14.41</v>
      </c>
      <c r="L1108" s="113" t="n">
        <v>9.16</v>
      </c>
      <c r="M1108" s="114" t="n">
        <v>0.14937</v>
      </c>
      <c r="N1108" s="115" t="n">
        <f aca="false">ROUND(L1108*M1108,2)</f>
        <v>1.37</v>
      </c>
      <c r="O1108" s="119" t="s">
        <v>616</v>
      </c>
      <c r="P1108" s="79"/>
      <c r="R1108" s="117" t="s">
        <v>1156</v>
      </c>
      <c r="AA1108" s="0" t="n">
        <v>37.814</v>
      </c>
      <c r="AB1108" s="0" t="n">
        <f aca="false">B1106*D1106+B1107*D1107+AA1108*D1108+AA1109*D1109+AA1110*D1110</f>
        <v>55.037066534</v>
      </c>
    </row>
    <row r="1109" customFormat="false" ht="15" hidden="false" customHeight="false" outlineLevel="0" collapsed="false">
      <c r="A1109" s="104" t="s">
        <v>618</v>
      </c>
      <c r="B1109" s="105" t="n">
        <f aca="false">IF($P$1108&lt;&gt;"",ROUND(AA1109*(($AB$1108/(1-$P$1108))-50.968)/18.3933,2),IF('Resumen 2.0TD'!$D$3="OPTIMIZAR",ROUND(MAX(AA1109,MIN(AA1109*(($AB$1108/(1-'Resumen 2.0TD'!$F$3))-50.968)/18.3933,AA1109*(106.0398)/18.3933)),3),AA1109))</f>
        <v>21.919</v>
      </c>
      <c r="C1109" s="118"/>
      <c r="D1109" s="107" t="n">
        <v>0.110306</v>
      </c>
      <c r="E1109" s="108" t="n">
        <v>0.14937</v>
      </c>
      <c r="F1109" s="109" t="n">
        <f aca="false">ROUND(B1109*E1109,2)</f>
        <v>3.27</v>
      </c>
      <c r="H1109" s="110" t="n">
        <v>60.026</v>
      </c>
      <c r="I1109" s="111" t="n">
        <v>0.14937</v>
      </c>
      <c r="J1109" s="112" t="n">
        <f aca="false">ROUND(H1109*I1109,2)</f>
        <v>8.97</v>
      </c>
      <c r="L1109" s="113" t="n">
        <v>24.46</v>
      </c>
      <c r="M1109" s="114" t="n">
        <v>0.14937</v>
      </c>
      <c r="N1109" s="115" t="n">
        <f aca="false">ROUND(L1109*M1109,2)</f>
        <v>3.65</v>
      </c>
      <c r="O1109" s="120" t="s">
        <v>619</v>
      </c>
      <c r="R1109" s="117" t="s">
        <v>620</v>
      </c>
      <c r="AA1109" s="0" t="n">
        <v>21.919</v>
      </c>
    </row>
    <row r="1110" customFormat="false" ht="15" hidden="false" customHeight="false" outlineLevel="0" collapsed="false">
      <c r="A1110" s="104" t="s">
        <v>621</v>
      </c>
      <c r="B1110" s="105" t="n">
        <f aca="false">IF($P$1108&lt;&gt;"",ROUND(AA1110*(($AB$1108/(1-$P$1108))-50.968)/18.3933,2),IF('Resumen 2.0TD'!$D$3="OPTIMIZAR",ROUND(MAX(AA1110,MIN(AA1110*(($AB$1108/(1-'Resumen 2.0TD'!$F$3))-50.968)/18.3933,AA1110*(106.0398)/18.3933)),3),AA1110))</f>
        <v>63.406</v>
      </c>
      <c r="C1110" s="118"/>
      <c r="D1110" s="107" t="n">
        <v>0.110306</v>
      </c>
      <c r="E1110" s="108" t="n">
        <v>0.14937</v>
      </c>
      <c r="F1110" s="109" t="n">
        <f aca="false">ROUND(B1110*E1110,2)</f>
        <v>9.47</v>
      </c>
      <c r="H1110" s="110" t="n">
        <v>220.16</v>
      </c>
      <c r="I1110" s="111" t="n">
        <v>0.14937</v>
      </c>
      <c r="J1110" s="112" t="n">
        <f aca="false">ROUND(H1110*I1110,2)</f>
        <v>32.89</v>
      </c>
      <c r="L1110" s="113" t="n">
        <v>76.632</v>
      </c>
      <c r="M1110" s="114" t="n">
        <v>0.14937</v>
      </c>
      <c r="N1110" s="115" t="n">
        <f aca="false">ROUND(L1110*M1110,2)</f>
        <v>11.45</v>
      </c>
      <c r="O1110" s="120" t="s">
        <v>622</v>
      </c>
      <c r="AA1110" s="0" t="n">
        <v>63.406</v>
      </c>
    </row>
    <row r="1111" customFormat="false" ht="15" hidden="false" customHeight="false" outlineLevel="0" collapsed="false">
      <c r="A1111" s="104" t="s">
        <v>139</v>
      </c>
      <c r="B1111" s="105" t="n">
        <v>1</v>
      </c>
      <c r="C1111" s="106" t="n">
        <f aca="false">$N$1103-$L$1103+1</f>
        <v>30</v>
      </c>
      <c r="D1111" s="107" t="n">
        <v>0.7989</v>
      </c>
      <c r="E1111" s="108" t="n">
        <v>4</v>
      </c>
      <c r="F1111" s="109" t="n">
        <f aca="false">ROUND(B1111*E1111,2)</f>
        <v>4</v>
      </c>
      <c r="H1111" s="110" t="n">
        <v>1</v>
      </c>
      <c r="I1111" s="111" t="n">
        <v>4</v>
      </c>
      <c r="J1111" s="112" t="n">
        <f aca="false">ROUND(H1111*I1111,2)</f>
        <v>4</v>
      </c>
      <c r="L1111" s="113" t="n">
        <v>1</v>
      </c>
      <c r="M1111" s="114" t="n">
        <v>4</v>
      </c>
      <c r="N1111" s="115" t="n">
        <f aca="false">ROUND(L1111*M1111,2)</f>
        <v>4</v>
      </c>
    </row>
    <row r="1112" customFormat="false" ht="15" hidden="false" customHeight="false" outlineLevel="0" collapsed="false">
      <c r="A1112" s="104" t="s">
        <v>140</v>
      </c>
      <c r="B1112" s="105" t="n">
        <v>30</v>
      </c>
      <c r="C1112" s="106" t="n">
        <f aca="false">$N$1103-$L$1103+1</f>
        <v>30</v>
      </c>
      <c r="D1112" s="107" t="n">
        <v>0.5736</v>
      </c>
      <c r="E1112" s="108" t="n">
        <v>0.01274</v>
      </c>
      <c r="F1112" s="109" t="n">
        <f aca="false">ROUND(B1112*E1112,2)</f>
        <v>0.38</v>
      </c>
      <c r="H1112" s="110" t="n">
        <v>30</v>
      </c>
      <c r="I1112" s="111" t="n">
        <v>0.01274</v>
      </c>
      <c r="J1112" s="112" t="n">
        <f aca="false">ROUND(H1112*I1112,2)</f>
        <v>0.38</v>
      </c>
      <c r="L1112" s="113" t="n">
        <v>30</v>
      </c>
      <c r="M1112" s="114" t="n">
        <v>0.00629</v>
      </c>
      <c r="N1112" s="115" t="n">
        <f aca="false">ROUND(L1112*M1112,2)</f>
        <v>0.19</v>
      </c>
    </row>
    <row r="1113" customFormat="false" ht="15" hidden="false" customHeight="false" outlineLevel="0" collapsed="false">
      <c r="A1113" s="104" t="s">
        <v>141</v>
      </c>
      <c r="B1113" s="105" t="n">
        <v>2.61</v>
      </c>
      <c r="C1113" s="118"/>
      <c r="D1113" s="107" t="n">
        <v>0.24729</v>
      </c>
      <c r="E1113" s="108" t="n">
        <v>1</v>
      </c>
      <c r="F1113" s="109" t="n">
        <f aca="false">ROUND(B1113*E1113,2)</f>
        <v>2.61</v>
      </c>
      <c r="H1113" s="110" t="n">
        <v>4.89</v>
      </c>
      <c r="I1113" s="111" t="n">
        <v>1</v>
      </c>
      <c r="J1113" s="112" t="n">
        <f aca="false">ROUND(H1113*I1113,2)</f>
        <v>4.89</v>
      </c>
      <c r="L1113" s="113" t="n">
        <v>2.61</v>
      </c>
      <c r="M1113" s="114" t="n">
        <v>1</v>
      </c>
      <c r="N1113" s="115" t="n">
        <f aca="false">ROUND(L1113*M1113,2)</f>
        <v>2.61</v>
      </c>
    </row>
    <row r="1114" customFormat="false" ht="15" hidden="false" customHeight="false" outlineLevel="0" collapsed="false">
      <c r="A1114" s="121" t="s">
        <v>142</v>
      </c>
      <c r="F1114" s="122" t="n">
        <f aca="false">ROUND((SUM(F1106:F1113)-F1113)*1.1+F1113,2)</f>
        <v>83.71</v>
      </c>
      <c r="J1114" s="123" t="n">
        <f aca="false">ROUND(SUM(J1106:J1113),2)</f>
        <v>116.5</v>
      </c>
      <c r="N1114" s="124" t="n">
        <f aca="false">ROUND(SUM(N1106:N1113),2)</f>
        <v>74.23</v>
      </c>
    </row>
    <row r="1115" customFormat="false" ht="15" hidden="false" customHeight="false" outlineLevel="0" collapsed="false">
      <c r="A1115" s="93" t="s">
        <v>143</v>
      </c>
      <c r="B1115" s="125" t="n">
        <f aca="false">IF((F1110+F1109+F1108+F1106+F1107)=0,"",((F1110+F1109+F1108+F1106+F1107)-$AB$1108)/(F1110+F1109+F1108+F1106+F1107))</f>
        <v>0.20638692813266</v>
      </c>
      <c r="D1115" s="126" t="str">
        <f aca="false">IF(B1115="","SIN PC",IF(B1115&gt;=0.3,"APROBAR",IF(B1115&gt;=0.2,"REVISAR","RECHAZAR")))</f>
        <v>REVISAR</v>
      </c>
      <c r="E1115" s="126"/>
      <c r="F1115" s="126"/>
      <c r="AD1115" s="0" t="n">
        <f aca="false">SUM(F1108:F1110)-18.3933</f>
        <v>-0.00329999999999941</v>
      </c>
    </row>
    <row r="1116" customFormat="false" ht="15" hidden="false" customHeight="false" outlineLevel="0" collapsed="false">
      <c r="A1116" s="127" t="s">
        <v>744</v>
      </c>
      <c r="B1116" s="127"/>
      <c r="C1116" s="127"/>
      <c r="D1116" s="127"/>
      <c r="E1116" s="127"/>
      <c r="F1116" s="127"/>
    </row>
    <row r="1117" customFormat="false" ht="15" hidden="false" customHeight="false" outlineLevel="0" collapsed="false">
      <c r="A1117" s="128" t="s">
        <v>111</v>
      </c>
      <c r="B1117" s="128" t="s">
        <v>745</v>
      </c>
      <c r="D1117" s="128" t="s">
        <v>746</v>
      </c>
      <c r="E1117" s="128" t="s">
        <v>747</v>
      </c>
      <c r="F1117" s="128" t="s">
        <v>120</v>
      </c>
    </row>
    <row r="1118" customFormat="false" ht="15" hidden="false" customHeight="false" outlineLevel="0" collapsed="false">
      <c r="A1118" s="129" t="s">
        <v>748</v>
      </c>
      <c r="B1118" s="130" t="n">
        <v>403</v>
      </c>
      <c r="C1118" s="131"/>
      <c r="D1118" s="107" t="n">
        <v>0.06</v>
      </c>
      <c r="E1118" s="131"/>
      <c r="F1118" s="132" t="n">
        <f aca="false">ROUND(B1118*D1118,2)</f>
        <v>24.18</v>
      </c>
    </row>
    <row r="1119" customFormat="false" ht="15" hidden="false" customHeight="false" outlineLevel="0" collapsed="false">
      <c r="A1119" s="129" t="s">
        <v>749</v>
      </c>
      <c r="B1119" s="131"/>
      <c r="C1119" s="131"/>
      <c r="D1119" s="131"/>
      <c r="E1119" s="133" t="n">
        <v>0.06</v>
      </c>
      <c r="F1119" s="132" t="n">
        <v>18.39</v>
      </c>
    </row>
    <row r="1120" customFormat="false" ht="15" hidden="false" customHeight="false" outlineLevel="0" collapsed="false">
      <c r="A1120" s="134" t="s">
        <v>750</v>
      </c>
      <c r="B1120" s="131"/>
      <c r="C1120" s="131"/>
      <c r="D1120" s="131"/>
      <c r="E1120" s="131"/>
      <c r="F1120" s="135" t="n">
        <f aca="false">F1118-F1119</f>
        <v>5.79</v>
      </c>
    </row>
    <row r="1122" customFormat="false" ht="15" hidden="false" customHeight="false" outlineLevel="0" collapsed="false">
      <c r="A1122" s="89" t="s">
        <v>1157</v>
      </c>
      <c r="B1122" s="89"/>
      <c r="C1122" s="89"/>
      <c r="D1122" s="89"/>
      <c r="E1122" s="89"/>
      <c r="F1122" s="89"/>
      <c r="H1122" s="89" t="s">
        <v>1158</v>
      </c>
      <c r="I1122" s="89"/>
      <c r="J1122" s="89"/>
      <c r="K1122" s="89"/>
      <c r="L1122" s="90" t="n">
        <v>46113</v>
      </c>
      <c r="M1122" s="91" t="s">
        <v>608</v>
      </c>
      <c r="N1122" s="90" t="n">
        <v>46142</v>
      </c>
      <c r="R1122" s="92" t="s">
        <v>110</v>
      </c>
      <c r="S1122" s="92"/>
      <c r="T1122" s="92"/>
      <c r="U1122" s="92"/>
      <c r="V1122" s="92"/>
    </row>
    <row r="1123" customFormat="false" ht="15" hidden="false" customHeight="false" outlineLevel="0" collapsed="false">
      <c r="A1123" s="93" t="s">
        <v>111</v>
      </c>
      <c r="B1123" s="94" t="s">
        <v>112</v>
      </c>
      <c r="C1123" s="95"/>
      <c r="D1123" s="95"/>
      <c r="E1123" s="95"/>
      <c r="F1123" s="95"/>
      <c r="H1123" s="96" t="s">
        <v>1159</v>
      </c>
      <c r="I1123" s="97"/>
      <c r="J1123" s="97"/>
      <c r="L1123" s="98" t="s">
        <v>1160</v>
      </c>
      <c r="M1123" s="99"/>
      <c r="N1123" s="99"/>
      <c r="R1123" s="100" t="s">
        <v>1161</v>
      </c>
    </row>
    <row r="1124" customFormat="false" ht="15" hidden="false" customHeight="false" outlineLevel="0" collapsed="false">
      <c r="B1124" s="81" t="s">
        <v>116</v>
      </c>
      <c r="C1124" s="81" t="s">
        <v>117</v>
      </c>
      <c r="D1124" s="81" t="s">
        <v>118</v>
      </c>
      <c r="E1124" s="81" t="s">
        <v>119</v>
      </c>
      <c r="F1124" s="81" t="s">
        <v>120</v>
      </c>
      <c r="H1124" s="101" t="s">
        <v>116</v>
      </c>
      <c r="I1124" s="101" t="s">
        <v>119</v>
      </c>
      <c r="J1124" s="101" t="s">
        <v>120</v>
      </c>
      <c r="L1124" s="102" t="s">
        <v>116</v>
      </c>
      <c r="M1124" s="102" t="s">
        <v>119</v>
      </c>
      <c r="N1124" s="102" t="s">
        <v>120</v>
      </c>
      <c r="R1124" s="103" t="s">
        <v>1162</v>
      </c>
    </row>
    <row r="1125" customFormat="false" ht="15" hidden="false" customHeight="false" outlineLevel="0" collapsed="false">
      <c r="A1125" s="104" t="s">
        <v>122</v>
      </c>
      <c r="B1125" s="105" t="n">
        <v>3.3</v>
      </c>
      <c r="C1125" s="106" t="n">
        <f aca="false">$N$1122-$L$1122+1</f>
        <v>30</v>
      </c>
      <c r="D1125" s="107" t="n">
        <v>3.68919</v>
      </c>
      <c r="E1125" s="108" t="n">
        <v>3.85</v>
      </c>
      <c r="F1125" s="109" t="n">
        <f aca="false">ROUND(B1125*E1125,2)</f>
        <v>12.71</v>
      </c>
      <c r="H1125" s="110" t="n">
        <v>3.3</v>
      </c>
      <c r="I1125" s="111" t="n">
        <v>3.85</v>
      </c>
      <c r="J1125" s="112" t="n">
        <f aca="false">ROUND(H1125*I1125,2)</f>
        <v>12.71</v>
      </c>
      <c r="L1125" s="113" t="n">
        <v>3.3</v>
      </c>
      <c r="M1125" s="114" t="n">
        <v>3.85</v>
      </c>
      <c r="N1125" s="115" t="n">
        <f aca="false">ROUND(L1125*M1125,2)</f>
        <v>12.71</v>
      </c>
      <c r="R1125" s="116" t="s">
        <v>1163</v>
      </c>
    </row>
    <row r="1126" customFormat="false" ht="15" hidden="false" customHeight="false" outlineLevel="0" collapsed="false">
      <c r="A1126" s="104" t="s">
        <v>124</v>
      </c>
      <c r="B1126" s="105" t="n">
        <v>3.3</v>
      </c>
      <c r="C1126" s="106" t="n">
        <f aca="false">$N$1122-$L$1122+1</f>
        <v>30</v>
      </c>
      <c r="D1126" s="107" t="n">
        <v>1.31928</v>
      </c>
      <c r="E1126" s="108" t="n">
        <v>1.33</v>
      </c>
      <c r="F1126" s="109" t="n">
        <f aca="false">ROUND(B1126*E1126,2)</f>
        <v>4.39</v>
      </c>
      <c r="H1126" s="110" t="n">
        <v>3.3</v>
      </c>
      <c r="I1126" s="111" t="n">
        <v>1.33</v>
      </c>
      <c r="J1126" s="112" t="n">
        <f aca="false">ROUND(H1126*I1126,2)</f>
        <v>4.39</v>
      </c>
      <c r="L1126" s="113" t="n">
        <v>3.3</v>
      </c>
      <c r="M1126" s="114" t="n">
        <v>1.33</v>
      </c>
      <c r="N1126" s="115" t="n">
        <f aca="false">ROUND(L1126*M1126,2)</f>
        <v>4.39</v>
      </c>
      <c r="R1126" s="117" t="s">
        <v>1164</v>
      </c>
    </row>
    <row r="1127" customFormat="false" ht="15" hidden="false" customHeight="false" outlineLevel="0" collapsed="false">
      <c r="A1127" s="104" t="s">
        <v>615</v>
      </c>
      <c r="B1127" s="105" t="n">
        <f aca="false">IF($P$1127&lt;&gt;"",ROUND(AA1127*(($AB$1127/(1-$P$1127))-17.094)/8.0985,2),IF('Resumen 2.0TD'!$D$3="OPTIMIZAR",ROUND(MAX(AA1127,MIN(AA1127*(($AB$1127/(1-'Resumen 2.0TD'!$F$3))-17.094)/8.0985,AA1127*(32.5038)/8.0985)),3),AA1127))</f>
        <v>22.41</v>
      </c>
      <c r="C1127" s="118"/>
      <c r="D1127" s="107" t="n">
        <v>0.111171</v>
      </c>
      <c r="E1127" s="108" t="n">
        <v>0.13788</v>
      </c>
      <c r="F1127" s="109" t="n">
        <f aca="false">ROUND(B1127*E1127,2)</f>
        <v>3.09</v>
      </c>
      <c r="H1127" s="110" t="n">
        <v>19.923</v>
      </c>
      <c r="I1127" s="111" t="n">
        <v>0.13788</v>
      </c>
      <c r="J1127" s="112" t="n">
        <f aca="false">ROUND(H1127*I1127,2)</f>
        <v>2.75</v>
      </c>
      <c r="L1127" s="113" t="n">
        <v>31.912</v>
      </c>
      <c r="M1127" s="114" t="n">
        <v>0.13788</v>
      </c>
      <c r="N1127" s="115" t="n">
        <f aca="false">ROUND(L1127*M1127,2)</f>
        <v>4.4</v>
      </c>
      <c r="O1127" s="119" t="s">
        <v>616</v>
      </c>
      <c r="P1127" s="79"/>
      <c r="R1127" s="117" t="s">
        <v>1165</v>
      </c>
      <c r="AA1127" s="0" t="n">
        <v>22.41</v>
      </c>
      <c r="AB1127" s="0" t="n">
        <f aca="false">B1125*D1125+B1126*D1126+AA1127*D1127+AA1128*D1128+AA1129*D1129</f>
        <v>23.057690856</v>
      </c>
    </row>
    <row r="1128" customFormat="false" ht="15" hidden="false" customHeight="false" outlineLevel="0" collapsed="false">
      <c r="A1128" s="104" t="s">
        <v>618</v>
      </c>
      <c r="B1128" s="105" t="n">
        <f aca="false">IF($P$1127&lt;&gt;"",ROUND(AA1128*(($AB$1127/(1-$P$1127))-17.094)/8.0985,2),IF('Resumen 2.0TD'!$D$3="OPTIMIZAR",ROUND(MAX(AA1128,MIN(AA1128*(($AB$1127/(1-'Resumen 2.0TD'!$F$3))-17.094)/8.0985,AA1128*(32.5038)/8.0985)),3),AA1128))</f>
        <v>11.739</v>
      </c>
      <c r="C1128" s="118"/>
      <c r="D1128" s="107" t="n">
        <v>0.111171</v>
      </c>
      <c r="E1128" s="108" t="n">
        <v>0.13788</v>
      </c>
      <c r="F1128" s="109" t="n">
        <f aca="false">ROUND(B1128*E1128,2)</f>
        <v>1.62</v>
      </c>
      <c r="H1128" s="110" t="n">
        <v>14.315</v>
      </c>
      <c r="I1128" s="111" t="n">
        <v>0.13788</v>
      </c>
      <c r="J1128" s="112" t="n">
        <f aca="false">ROUND(H1128*I1128,2)</f>
        <v>1.97</v>
      </c>
      <c r="L1128" s="113" t="n">
        <v>16.468</v>
      </c>
      <c r="M1128" s="114" t="n">
        <v>0.13788</v>
      </c>
      <c r="N1128" s="115" t="n">
        <f aca="false">ROUND(L1128*M1128,2)</f>
        <v>2.27</v>
      </c>
      <c r="O1128" s="120" t="s">
        <v>619</v>
      </c>
      <c r="R1128" s="117" t="s">
        <v>620</v>
      </c>
      <c r="AA1128" s="0" t="n">
        <v>11.739</v>
      </c>
    </row>
    <row r="1129" customFormat="false" ht="15" hidden="false" customHeight="false" outlineLevel="0" collapsed="false">
      <c r="A1129" s="104" t="s">
        <v>621</v>
      </c>
      <c r="B1129" s="105" t="n">
        <f aca="false">IF($P$1127&lt;&gt;"",ROUND(AA1129*(($AB$1127/(1-$P$1127))-17.094)/8.0985,2),IF('Resumen 2.0TD'!$D$3="OPTIMIZAR",ROUND(MAX(AA1129,MIN(AA1129*(($AB$1127/(1-'Resumen 2.0TD'!$F$3))-17.094)/8.0985,AA1129*(32.5038)/8.0985)),3),AA1129))</f>
        <v>24.587</v>
      </c>
      <c r="C1129" s="118"/>
      <c r="D1129" s="107" t="n">
        <v>0.111171</v>
      </c>
      <c r="E1129" s="108" t="n">
        <v>0.13788</v>
      </c>
      <c r="F1129" s="109" t="n">
        <f aca="false">ROUND(B1129*E1129,2)</f>
        <v>3.39</v>
      </c>
      <c r="H1129" s="110" t="n">
        <v>26.446</v>
      </c>
      <c r="I1129" s="111" t="n">
        <v>0.13788</v>
      </c>
      <c r="J1129" s="112" t="n">
        <f aca="false">ROUND(H1129*I1129,2)</f>
        <v>3.65</v>
      </c>
      <c r="L1129" s="113" t="n">
        <v>24.569</v>
      </c>
      <c r="M1129" s="114" t="n">
        <v>0.13788</v>
      </c>
      <c r="N1129" s="115" t="n">
        <f aca="false">ROUND(L1129*M1129,2)</f>
        <v>3.39</v>
      </c>
      <c r="O1129" s="120" t="s">
        <v>622</v>
      </c>
      <c r="AA1129" s="0" t="n">
        <v>24.587</v>
      </c>
    </row>
    <row r="1130" customFormat="false" ht="15" hidden="false" customHeight="false" outlineLevel="0" collapsed="false">
      <c r="A1130" s="104" t="s">
        <v>139</v>
      </c>
      <c r="B1130" s="105" t="n">
        <v>1</v>
      </c>
      <c r="C1130" s="106" t="n">
        <f aca="false">$N$1122-$L$1122+1</f>
        <v>30</v>
      </c>
      <c r="D1130" s="107" t="n">
        <v>0.7989</v>
      </c>
      <c r="E1130" s="108" t="n">
        <v>3</v>
      </c>
      <c r="F1130" s="109" t="n">
        <f aca="false">ROUND(B1130*E1130,2)</f>
        <v>3</v>
      </c>
      <c r="H1130" s="110" t="n">
        <v>1</v>
      </c>
      <c r="I1130" s="111" t="n">
        <v>3</v>
      </c>
      <c r="J1130" s="112" t="n">
        <f aca="false">ROUND(H1130*I1130,2)</f>
        <v>3</v>
      </c>
      <c r="L1130" s="113" t="n">
        <v>1</v>
      </c>
      <c r="M1130" s="114" t="n">
        <v>3</v>
      </c>
      <c r="N1130" s="115" t="n">
        <f aca="false">ROUND(L1130*M1130,2)</f>
        <v>3</v>
      </c>
    </row>
    <row r="1131" customFormat="false" ht="15" hidden="false" customHeight="false" outlineLevel="0" collapsed="false">
      <c r="A1131" s="104" t="s">
        <v>140</v>
      </c>
      <c r="B1131" s="105" t="n">
        <v>30</v>
      </c>
      <c r="C1131" s="106" t="n">
        <f aca="false">$N$1122-$L$1122+1</f>
        <v>30</v>
      </c>
      <c r="D1131" s="107" t="n">
        <v>0.5736</v>
      </c>
      <c r="E1131" s="108" t="n">
        <v>0.01274</v>
      </c>
      <c r="F1131" s="109" t="n">
        <f aca="false">ROUND(B1131*E1131,2)</f>
        <v>0.38</v>
      </c>
      <c r="H1131" s="110" t="n">
        <v>30</v>
      </c>
      <c r="I1131" s="111" t="n">
        <v>0.01274</v>
      </c>
      <c r="J1131" s="112" t="n">
        <f aca="false">ROUND(H1131*I1131,2)</f>
        <v>0.38</v>
      </c>
      <c r="L1131" s="113" t="n">
        <v>30</v>
      </c>
      <c r="M1131" s="114" t="n">
        <v>0.00629</v>
      </c>
      <c r="N1131" s="115" t="n">
        <f aca="false">ROUND(L1131*M1131,2)</f>
        <v>0.19</v>
      </c>
    </row>
    <row r="1132" customFormat="false" ht="15" hidden="false" customHeight="false" outlineLevel="0" collapsed="false">
      <c r="A1132" s="104" t="s">
        <v>141</v>
      </c>
      <c r="B1132" s="105" t="n">
        <v>1.3</v>
      </c>
      <c r="C1132" s="118"/>
      <c r="D1132" s="107" t="n">
        <v>0.02671</v>
      </c>
      <c r="E1132" s="108" t="n">
        <v>1</v>
      </c>
      <c r="F1132" s="109" t="n">
        <f aca="false">ROUND(B1132*E1132,2)</f>
        <v>1.3</v>
      </c>
      <c r="H1132" s="110" t="n">
        <v>1.31</v>
      </c>
      <c r="I1132" s="111" t="n">
        <v>1</v>
      </c>
      <c r="J1132" s="112" t="n">
        <f aca="false">ROUND(H1132*I1132,2)</f>
        <v>1.31</v>
      </c>
      <c r="L1132" s="113" t="n">
        <v>1.4</v>
      </c>
      <c r="M1132" s="114" t="n">
        <v>1</v>
      </c>
      <c r="N1132" s="115" t="n">
        <f aca="false">ROUND(L1132*M1132,2)</f>
        <v>1.4</v>
      </c>
    </row>
    <row r="1133" customFormat="false" ht="15" hidden="false" customHeight="false" outlineLevel="0" collapsed="false">
      <c r="A1133" s="121" t="s">
        <v>142</v>
      </c>
      <c r="F1133" s="122" t="n">
        <f aca="false">ROUND((SUM(F1125:F1132)-F1132)*1.1+F1132,2)</f>
        <v>32.74</v>
      </c>
      <c r="J1133" s="123" t="n">
        <f aca="false">ROUND(SUM(J1125:J1132),2)</f>
        <v>30.16</v>
      </c>
      <c r="N1133" s="124" t="n">
        <f aca="false">ROUND(SUM(N1125:N1132),2)</f>
        <v>31.75</v>
      </c>
    </row>
    <row r="1134" customFormat="false" ht="15" hidden="false" customHeight="false" outlineLevel="0" collapsed="false">
      <c r="A1134" s="93" t="s">
        <v>143</v>
      </c>
      <c r="B1134" s="125" t="n">
        <f aca="false">IF((F1129+F1128+F1127+F1125+F1126)=0,"",((F1129+F1128+F1127+F1125+F1126)-$AB$1127)/(F1129+F1128+F1127+F1125+F1126))</f>
        <v>0.0850122676190476</v>
      </c>
      <c r="D1134" s="126" t="str">
        <f aca="false">IF(B1134="","SIN PC",IF(B1134&gt;=0.3,"APROBAR",IF(B1134&gt;=0.2,"REVISAR","RECHAZAR")))</f>
        <v>RECHAZAR</v>
      </c>
      <c r="E1134" s="126"/>
      <c r="F1134" s="126"/>
      <c r="AD1134" s="0" t="n">
        <f aca="false">SUM(F1127:F1129)-8.0985</f>
        <v>0.00150000000000006</v>
      </c>
    </row>
    <row r="1136" customFormat="false" ht="15" hidden="false" customHeight="false" outlineLevel="0" collapsed="false">
      <c r="A1136" s="89" t="s">
        <v>1166</v>
      </c>
      <c r="B1136" s="89"/>
      <c r="C1136" s="89"/>
      <c r="D1136" s="89"/>
      <c r="E1136" s="89"/>
      <c r="F1136" s="89"/>
      <c r="H1136" s="89" t="s">
        <v>1167</v>
      </c>
      <c r="I1136" s="89"/>
      <c r="J1136" s="89"/>
      <c r="K1136" s="89"/>
      <c r="L1136" s="90" t="n">
        <v>46113</v>
      </c>
      <c r="M1136" s="91" t="s">
        <v>608</v>
      </c>
      <c r="N1136" s="90" t="n">
        <v>46142</v>
      </c>
      <c r="R1136" s="92" t="s">
        <v>110</v>
      </c>
      <c r="S1136" s="92"/>
      <c r="T1136" s="92"/>
      <c r="U1136" s="92"/>
      <c r="V1136" s="92"/>
    </row>
    <row r="1137" customFormat="false" ht="15" hidden="false" customHeight="false" outlineLevel="0" collapsed="false">
      <c r="A1137" s="93" t="s">
        <v>111</v>
      </c>
      <c r="B1137" s="94" t="s">
        <v>112</v>
      </c>
      <c r="C1137" s="95"/>
      <c r="D1137" s="95"/>
      <c r="E1137" s="95"/>
      <c r="F1137" s="95"/>
      <c r="H1137" s="96" t="s">
        <v>1168</v>
      </c>
      <c r="I1137" s="97"/>
      <c r="J1137" s="97"/>
      <c r="L1137" s="98" t="s">
        <v>1169</v>
      </c>
      <c r="M1137" s="99"/>
      <c r="N1137" s="99"/>
      <c r="R1137" s="100" t="s">
        <v>1170</v>
      </c>
    </row>
    <row r="1138" customFormat="false" ht="15" hidden="false" customHeight="false" outlineLevel="0" collapsed="false">
      <c r="B1138" s="81" t="s">
        <v>116</v>
      </c>
      <c r="C1138" s="81" t="s">
        <v>117</v>
      </c>
      <c r="D1138" s="81" t="s">
        <v>118</v>
      </c>
      <c r="E1138" s="81" t="s">
        <v>119</v>
      </c>
      <c r="F1138" s="81" t="s">
        <v>120</v>
      </c>
      <c r="H1138" s="101" t="s">
        <v>116</v>
      </c>
      <c r="I1138" s="101" t="s">
        <v>119</v>
      </c>
      <c r="J1138" s="101" t="s">
        <v>120</v>
      </c>
      <c r="L1138" s="102" t="s">
        <v>116</v>
      </c>
      <c r="M1138" s="102" t="s">
        <v>119</v>
      </c>
      <c r="N1138" s="102" t="s">
        <v>120</v>
      </c>
      <c r="R1138" s="103" t="s">
        <v>1171</v>
      </c>
    </row>
    <row r="1139" customFormat="false" ht="15" hidden="false" customHeight="false" outlineLevel="0" collapsed="false">
      <c r="A1139" s="104" t="s">
        <v>122</v>
      </c>
      <c r="B1139" s="105" t="n">
        <v>8.8</v>
      </c>
      <c r="C1139" s="106" t="n">
        <f aca="false">$N$1136-$L$1136+1</f>
        <v>30</v>
      </c>
      <c r="D1139" s="107" t="n">
        <v>3.68919</v>
      </c>
      <c r="E1139" s="108" t="n">
        <v>3.85</v>
      </c>
      <c r="F1139" s="109" t="n">
        <f aca="false">ROUND(B1139*E1139,2)</f>
        <v>33.88</v>
      </c>
      <c r="H1139" s="110" t="n">
        <v>8.8</v>
      </c>
      <c r="I1139" s="111" t="n">
        <v>3.85</v>
      </c>
      <c r="J1139" s="112" t="n">
        <f aca="false">ROUND(H1139*I1139,2)</f>
        <v>33.88</v>
      </c>
      <c r="L1139" s="113" t="n">
        <v>8.8</v>
      </c>
      <c r="M1139" s="114" t="n">
        <v>3.85</v>
      </c>
      <c r="N1139" s="115" t="n">
        <f aca="false">ROUND(L1139*M1139,2)</f>
        <v>33.88</v>
      </c>
      <c r="R1139" s="116" t="s">
        <v>1172</v>
      </c>
    </row>
    <row r="1140" customFormat="false" ht="15" hidden="false" customHeight="false" outlineLevel="0" collapsed="false">
      <c r="A1140" s="104" t="s">
        <v>124</v>
      </c>
      <c r="B1140" s="105" t="n">
        <v>8.8</v>
      </c>
      <c r="C1140" s="106" t="n">
        <f aca="false">$N$1136-$L$1136+1</f>
        <v>30</v>
      </c>
      <c r="D1140" s="107" t="n">
        <v>1.31928</v>
      </c>
      <c r="E1140" s="108" t="n">
        <v>1.33</v>
      </c>
      <c r="F1140" s="109" t="n">
        <f aca="false">ROUND(B1140*E1140,2)</f>
        <v>11.7</v>
      </c>
      <c r="H1140" s="110" t="n">
        <v>8.8</v>
      </c>
      <c r="I1140" s="111" t="n">
        <v>1.33</v>
      </c>
      <c r="J1140" s="112" t="n">
        <f aca="false">ROUND(H1140*I1140,2)</f>
        <v>11.7</v>
      </c>
      <c r="L1140" s="113" t="n">
        <v>8.8</v>
      </c>
      <c r="M1140" s="114" t="n">
        <v>1.33</v>
      </c>
      <c r="N1140" s="115" t="n">
        <f aca="false">ROUND(L1140*M1140,2)</f>
        <v>11.7</v>
      </c>
      <c r="R1140" s="117" t="s">
        <v>1173</v>
      </c>
    </row>
    <row r="1141" customFormat="false" ht="15" hidden="false" customHeight="false" outlineLevel="0" collapsed="false">
      <c r="A1141" s="104" t="s">
        <v>615</v>
      </c>
      <c r="B1141" s="105" t="n">
        <f aca="false">IF($P$1141&lt;&gt;"",ROUND(AA1141*(($AB$1141/(1-$P$1141))-45.584)/185.634,2),IF('Resumen 2.0TD'!$D$3="OPTIMIZAR",ROUND(MAX(AA1141,MIN(AA1141*(($AB$1141/(1-'Resumen 2.0TD'!$F$3))-45.584)/185.634,AA1141*(397.6238)/185.634)),3),AA1141))</f>
        <v>334.871</v>
      </c>
      <c r="C1141" s="118"/>
      <c r="D1141" s="107" t="n">
        <v>0.111171</v>
      </c>
      <c r="E1141" s="108" t="n">
        <v>0.13788</v>
      </c>
      <c r="F1141" s="109" t="n">
        <f aca="false">ROUND(B1141*E1141,2)</f>
        <v>46.17</v>
      </c>
      <c r="H1141" s="110" t="n">
        <v>526.221</v>
      </c>
      <c r="I1141" s="111" t="n">
        <v>0.13788</v>
      </c>
      <c r="J1141" s="112" t="n">
        <f aca="false">ROUND(H1141*I1141,2)</f>
        <v>72.56</v>
      </c>
      <c r="L1141" s="113" t="n">
        <v>294.289</v>
      </c>
      <c r="M1141" s="114" t="n">
        <v>0.13788</v>
      </c>
      <c r="N1141" s="115" t="n">
        <f aca="false">ROUND(L1141*M1141,2)</f>
        <v>40.58</v>
      </c>
      <c r="O1141" s="119" t="s">
        <v>616</v>
      </c>
      <c r="P1141" s="79"/>
      <c r="R1141" s="117" t="s">
        <v>1174</v>
      </c>
      <c r="AA1141" s="0" t="n">
        <v>334.871</v>
      </c>
      <c r="AB1141" s="0" t="n">
        <f aca="false">B1139*D1139+B1140*D1140+AA1141*D1141+AA1142*D1142+AA1143*D1143</f>
        <v>193.749055995</v>
      </c>
    </row>
    <row r="1142" customFormat="false" ht="15" hidden="false" customHeight="false" outlineLevel="0" collapsed="false">
      <c r="A1142" s="104" t="s">
        <v>618</v>
      </c>
      <c r="B1142" s="105" t="n">
        <f aca="false">IF($P$1141&lt;&gt;"",ROUND(AA1142*(($AB$1141/(1-$P$1141))-45.584)/185.634,2),IF('Resumen 2.0TD'!$D$3="OPTIMIZAR",ROUND(MAX(AA1142,MIN(AA1142*(($AB$1141/(1-'Resumen 2.0TD'!$F$3))-45.584)/185.634,AA1142*(397.6238)/185.634)),3),AA1142))</f>
        <v>313.035</v>
      </c>
      <c r="C1142" s="118"/>
      <c r="D1142" s="107" t="n">
        <v>0.111171</v>
      </c>
      <c r="E1142" s="108" t="n">
        <v>0.13788</v>
      </c>
      <c r="F1142" s="109" t="n">
        <f aca="false">ROUND(B1142*E1142,2)</f>
        <v>43.16</v>
      </c>
      <c r="H1142" s="110" t="n">
        <v>556.114</v>
      </c>
      <c r="I1142" s="111" t="n">
        <v>0.13788</v>
      </c>
      <c r="J1142" s="112" t="n">
        <f aca="false">ROUND(H1142*I1142,2)</f>
        <v>76.68</v>
      </c>
      <c r="L1142" s="113" t="n">
        <v>356.427</v>
      </c>
      <c r="M1142" s="114" t="n">
        <v>0.13788</v>
      </c>
      <c r="N1142" s="115" t="n">
        <f aca="false">ROUND(L1142*M1142,2)</f>
        <v>49.14</v>
      </c>
      <c r="O1142" s="120" t="s">
        <v>619</v>
      </c>
      <c r="R1142" s="117" t="s">
        <v>620</v>
      </c>
      <c r="AA1142" s="0" t="n">
        <v>313.035</v>
      </c>
    </row>
    <row r="1143" customFormat="false" ht="15" hidden="false" customHeight="false" outlineLevel="0" collapsed="false">
      <c r="A1143" s="104" t="s">
        <v>621</v>
      </c>
      <c r="B1143" s="105" t="n">
        <f aca="false">IF($P$1141&lt;&gt;"",ROUND(AA1143*(($AB$1141/(1-$P$1141))-45.584)/185.634,2),IF('Resumen 2.0TD'!$D$3="OPTIMIZAR",ROUND(MAX(AA1143,MIN(AA1143*(($AB$1141/(1-'Resumen 2.0TD'!$F$3))-45.584)/185.634,AA1143*(397.6238)/185.634)),3),AA1143))</f>
        <v>698.439</v>
      </c>
      <c r="C1143" s="118"/>
      <c r="D1143" s="107" t="n">
        <v>0.111171</v>
      </c>
      <c r="E1143" s="108" t="n">
        <v>0.13788</v>
      </c>
      <c r="F1143" s="109" t="n">
        <f aca="false">ROUND(B1143*E1143,2)</f>
        <v>96.3</v>
      </c>
      <c r="H1143" s="110" t="n">
        <v>1161.64</v>
      </c>
      <c r="I1143" s="111" t="n">
        <v>0.13788</v>
      </c>
      <c r="J1143" s="112" t="n">
        <f aca="false">ROUND(H1143*I1143,2)</f>
        <v>160.17</v>
      </c>
      <c r="L1143" s="113" t="n">
        <v>764.901</v>
      </c>
      <c r="M1143" s="114" t="n">
        <v>0.13788</v>
      </c>
      <c r="N1143" s="115" t="n">
        <f aca="false">ROUND(L1143*M1143,2)</f>
        <v>105.46</v>
      </c>
      <c r="O1143" s="120" t="s">
        <v>622</v>
      </c>
      <c r="AA1143" s="0" t="n">
        <v>698.439</v>
      </c>
    </row>
    <row r="1144" customFormat="false" ht="15" hidden="false" customHeight="false" outlineLevel="0" collapsed="false">
      <c r="A1144" s="104" t="s">
        <v>139</v>
      </c>
      <c r="B1144" s="105" t="n">
        <v>1</v>
      </c>
      <c r="C1144" s="106" t="n">
        <f aca="false">$N$1136-$L$1136+1</f>
        <v>30</v>
      </c>
      <c r="D1144" s="107" t="n">
        <v>0.7989</v>
      </c>
      <c r="E1144" s="108" t="n">
        <v>3</v>
      </c>
      <c r="F1144" s="109" t="n">
        <f aca="false">ROUND(B1144*E1144,2)</f>
        <v>3</v>
      </c>
      <c r="H1144" s="110" t="n">
        <v>1</v>
      </c>
      <c r="I1144" s="111" t="n">
        <v>3</v>
      </c>
      <c r="J1144" s="112" t="n">
        <f aca="false">ROUND(H1144*I1144,2)</f>
        <v>3</v>
      </c>
      <c r="L1144" s="113" t="n">
        <v>1</v>
      </c>
      <c r="M1144" s="114" t="n">
        <v>3</v>
      </c>
      <c r="N1144" s="115" t="n">
        <f aca="false">ROUND(L1144*M1144,2)</f>
        <v>3</v>
      </c>
    </row>
    <row r="1145" customFormat="false" ht="15" hidden="false" customHeight="false" outlineLevel="0" collapsed="false">
      <c r="A1145" s="104" t="s">
        <v>140</v>
      </c>
      <c r="B1145" s="105" t="n">
        <v>30</v>
      </c>
      <c r="C1145" s="106" t="n">
        <f aca="false">$N$1136-$L$1136+1</f>
        <v>30</v>
      </c>
      <c r="D1145" s="107" t="n">
        <v>0.5736</v>
      </c>
      <c r="E1145" s="108" t="n">
        <v>0.01274</v>
      </c>
      <c r="F1145" s="109" t="n">
        <f aca="false">ROUND(B1145*E1145,2)</f>
        <v>0.38</v>
      </c>
      <c r="H1145" s="110" t="n">
        <v>30</v>
      </c>
      <c r="I1145" s="111" t="n">
        <v>0.01274</v>
      </c>
      <c r="J1145" s="112" t="n">
        <f aca="false">ROUND(H1145*I1145,2)</f>
        <v>0.38</v>
      </c>
      <c r="L1145" s="113" t="n">
        <v>30</v>
      </c>
      <c r="M1145" s="114" t="n">
        <v>0.00629</v>
      </c>
      <c r="N1145" s="115" t="n">
        <f aca="false">ROUND(L1145*M1145,2)</f>
        <v>0.19</v>
      </c>
    </row>
    <row r="1146" customFormat="false" ht="15" hidden="false" customHeight="false" outlineLevel="0" collapsed="false">
      <c r="A1146" s="104" t="s">
        <v>141</v>
      </c>
      <c r="B1146" s="105" t="n">
        <v>11.82</v>
      </c>
      <c r="C1146" s="118"/>
      <c r="D1146" s="107" t="n">
        <v>0.27312</v>
      </c>
      <c r="E1146" s="108" t="n">
        <v>1</v>
      </c>
      <c r="F1146" s="109" t="n">
        <f aca="false">ROUND(B1146*E1146,2)</f>
        <v>11.82</v>
      </c>
      <c r="H1146" s="110" t="n">
        <v>18.15</v>
      </c>
      <c r="I1146" s="111" t="n">
        <v>1</v>
      </c>
      <c r="J1146" s="112" t="n">
        <f aca="false">ROUND(H1146*I1146,2)</f>
        <v>18.15</v>
      </c>
      <c r="L1146" s="113" t="n">
        <v>12.31</v>
      </c>
      <c r="M1146" s="114" t="n">
        <v>1</v>
      </c>
      <c r="N1146" s="115" t="n">
        <f aca="false">ROUND(L1146*M1146,2)</f>
        <v>12.31</v>
      </c>
    </row>
    <row r="1147" customFormat="false" ht="15" hidden="false" customHeight="false" outlineLevel="0" collapsed="false">
      <c r="A1147" s="121" t="s">
        <v>142</v>
      </c>
      <c r="F1147" s="122" t="n">
        <f aca="false">ROUND((SUM(F1139:F1146)-F1146)*1.1+F1146,2)</f>
        <v>269.87</v>
      </c>
      <c r="J1147" s="123" t="n">
        <f aca="false">ROUND(SUM(J1139:J1146),2)</f>
        <v>376.52</v>
      </c>
      <c r="N1147" s="124" t="n">
        <f aca="false">ROUND(SUM(N1139:N1146),2)</f>
        <v>256.26</v>
      </c>
    </row>
    <row r="1148" customFormat="false" ht="15" hidden="false" customHeight="false" outlineLevel="0" collapsed="false">
      <c r="A1148" s="93" t="s">
        <v>143</v>
      </c>
      <c r="B1148" s="125" t="n">
        <f aca="false">IF((F1143+F1142+F1141+F1139+F1140)=0,"",((F1143+F1142+F1141+F1139+F1140)-$AB$1141)/(F1143+F1142+F1141+F1139+F1140))</f>
        <v>0.162021296678344</v>
      </c>
      <c r="D1148" s="126" t="str">
        <f aca="false">IF(B1148="","SIN PC",IF(B1148&gt;=0.3,"APROBAR",IF(B1148&gt;=0.2,"REVISAR","RECHAZAR")))</f>
        <v>RECHAZAR</v>
      </c>
      <c r="E1148" s="126"/>
      <c r="F1148" s="126"/>
      <c r="AD1148" s="0" t="n">
        <f aca="false">SUM(F1141:F1143)-185.634</f>
        <v>-0.00399999999999068</v>
      </c>
    </row>
    <row r="1150" customFormat="false" ht="15" hidden="false" customHeight="false" outlineLevel="0" collapsed="false">
      <c r="A1150" s="89" t="s">
        <v>1175</v>
      </c>
      <c r="B1150" s="89"/>
      <c r="C1150" s="89"/>
      <c r="D1150" s="89"/>
      <c r="E1150" s="89"/>
      <c r="F1150" s="89"/>
      <c r="H1150" s="89" t="s">
        <v>1176</v>
      </c>
      <c r="I1150" s="89"/>
      <c r="J1150" s="89"/>
      <c r="K1150" s="89"/>
      <c r="L1150" s="90" t="n">
        <v>46113</v>
      </c>
      <c r="M1150" s="91" t="s">
        <v>608</v>
      </c>
      <c r="N1150" s="90" t="n">
        <v>46142</v>
      </c>
      <c r="R1150" s="92" t="s">
        <v>110</v>
      </c>
      <c r="S1150" s="92"/>
      <c r="T1150" s="92"/>
      <c r="U1150" s="92"/>
      <c r="V1150" s="92"/>
    </row>
    <row r="1151" customFormat="false" ht="15" hidden="false" customHeight="false" outlineLevel="0" collapsed="false">
      <c r="A1151" s="93" t="s">
        <v>111</v>
      </c>
      <c r="B1151" s="94" t="s">
        <v>112</v>
      </c>
      <c r="C1151" s="95"/>
      <c r="D1151" s="95"/>
      <c r="E1151" s="95"/>
      <c r="F1151" s="95"/>
      <c r="H1151" s="96" t="s">
        <v>1177</v>
      </c>
      <c r="I1151" s="97"/>
      <c r="J1151" s="97"/>
      <c r="L1151" s="98" t="s">
        <v>1178</v>
      </c>
      <c r="M1151" s="99"/>
      <c r="N1151" s="99"/>
      <c r="R1151" s="100" t="s">
        <v>1179</v>
      </c>
    </row>
    <row r="1152" customFormat="false" ht="15" hidden="false" customHeight="false" outlineLevel="0" collapsed="false">
      <c r="B1152" s="81" t="s">
        <v>116</v>
      </c>
      <c r="C1152" s="81" t="s">
        <v>117</v>
      </c>
      <c r="D1152" s="81" t="s">
        <v>118</v>
      </c>
      <c r="E1152" s="81" t="s">
        <v>119</v>
      </c>
      <c r="F1152" s="81" t="s">
        <v>120</v>
      </c>
      <c r="H1152" s="101" t="s">
        <v>116</v>
      </c>
      <c r="I1152" s="101" t="s">
        <v>119</v>
      </c>
      <c r="J1152" s="101" t="s">
        <v>120</v>
      </c>
      <c r="L1152" s="102" t="s">
        <v>116</v>
      </c>
      <c r="M1152" s="102" t="s">
        <v>119</v>
      </c>
      <c r="N1152" s="102" t="s">
        <v>120</v>
      </c>
      <c r="R1152" s="103" t="s">
        <v>1180</v>
      </c>
    </row>
    <row r="1153" customFormat="false" ht="15" hidden="false" customHeight="false" outlineLevel="0" collapsed="false">
      <c r="A1153" s="104" t="s">
        <v>122</v>
      </c>
      <c r="B1153" s="105" t="n">
        <v>5</v>
      </c>
      <c r="C1153" s="106" t="n">
        <f aca="false">$N$1150-$L$1150+1</f>
        <v>30</v>
      </c>
      <c r="D1153" s="107" t="n">
        <v>3.68919</v>
      </c>
      <c r="E1153" s="108" t="n">
        <v>3.85</v>
      </c>
      <c r="F1153" s="109" t="n">
        <f aca="false">ROUND(B1153*E1153,2)</f>
        <v>19.25</v>
      </c>
      <c r="H1153" s="110" t="n">
        <v>5</v>
      </c>
      <c r="I1153" s="111" t="n">
        <v>3.85</v>
      </c>
      <c r="J1153" s="112" t="n">
        <f aca="false">ROUND(H1153*I1153,2)</f>
        <v>19.25</v>
      </c>
      <c r="L1153" s="113" t="n">
        <v>5</v>
      </c>
      <c r="M1153" s="114" t="n">
        <v>3.85</v>
      </c>
      <c r="N1153" s="115" t="n">
        <f aca="false">ROUND(L1153*M1153,2)</f>
        <v>19.25</v>
      </c>
      <c r="R1153" s="116" t="s">
        <v>1181</v>
      </c>
    </row>
    <row r="1154" customFormat="false" ht="15" hidden="false" customHeight="false" outlineLevel="0" collapsed="false">
      <c r="A1154" s="104" t="s">
        <v>124</v>
      </c>
      <c r="B1154" s="105" t="n">
        <v>5</v>
      </c>
      <c r="C1154" s="106" t="n">
        <f aca="false">$N$1150-$L$1150+1</f>
        <v>30</v>
      </c>
      <c r="D1154" s="107" t="n">
        <v>1.31928</v>
      </c>
      <c r="E1154" s="108" t="n">
        <v>1.33</v>
      </c>
      <c r="F1154" s="109" t="n">
        <f aca="false">ROUND(B1154*E1154,2)</f>
        <v>6.65</v>
      </c>
      <c r="H1154" s="110" t="n">
        <v>5</v>
      </c>
      <c r="I1154" s="111" t="n">
        <v>1.33</v>
      </c>
      <c r="J1154" s="112" t="n">
        <f aca="false">ROUND(H1154*I1154,2)</f>
        <v>6.65</v>
      </c>
      <c r="L1154" s="113" t="n">
        <v>5</v>
      </c>
      <c r="M1154" s="114" t="n">
        <v>1.33</v>
      </c>
      <c r="N1154" s="115" t="n">
        <f aca="false">ROUND(L1154*M1154,2)</f>
        <v>6.65</v>
      </c>
      <c r="R1154" s="117" t="s">
        <v>1182</v>
      </c>
    </row>
    <row r="1155" customFormat="false" ht="15" hidden="false" customHeight="false" outlineLevel="0" collapsed="false">
      <c r="A1155" s="104" t="s">
        <v>615</v>
      </c>
      <c r="B1155" s="105" t="n">
        <f aca="false">IF($P$1155&lt;&gt;"",ROUND(AA1155*(($AB$1155/(1-$P$1155))-25.9)/34.3931,2),IF('Resumen 2.0TD'!$D$3="OPTIMIZAR",ROUND(MAX(AA1155,MIN(AA1155*(($AB$1155/(1-'Resumen 2.0TD'!$F$3))-25.9)/34.3931,AA1155*(109.6478)/34.3931)),3),AA1155))</f>
        <v>85.061</v>
      </c>
      <c r="C1155" s="118"/>
      <c r="D1155" s="107" t="n">
        <v>0.111171</v>
      </c>
      <c r="E1155" s="108" t="n">
        <v>0.13788</v>
      </c>
      <c r="F1155" s="109" t="n">
        <f aca="false">ROUND(B1155*E1155,2)</f>
        <v>11.73</v>
      </c>
      <c r="H1155" s="110" t="n">
        <v>189.172</v>
      </c>
      <c r="I1155" s="111" t="n">
        <v>0.13788</v>
      </c>
      <c r="J1155" s="112" t="n">
        <f aca="false">ROUND(H1155*I1155,2)</f>
        <v>26.08</v>
      </c>
      <c r="L1155" s="113" t="n">
        <v>96.81</v>
      </c>
      <c r="M1155" s="114" t="n">
        <v>0.13788</v>
      </c>
      <c r="N1155" s="115" t="n">
        <f aca="false">ROUND(L1155*M1155,2)</f>
        <v>13.35</v>
      </c>
      <c r="O1155" s="119" t="s">
        <v>616</v>
      </c>
      <c r="P1155" s="79"/>
      <c r="R1155" s="117" t="s">
        <v>1183</v>
      </c>
      <c r="AA1155" s="0" t="n">
        <v>85.061</v>
      </c>
      <c r="AB1155" s="0" t="n">
        <f aca="false">B1153*D1153+B1154*D1154+AA1155*D1155+AA1156*D1156+AA1157*D1157</f>
        <v>52.773066582</v>
      </c>
    </row>
    <row r="1156" customFormat="false" ht="15" hidden="false" customHeight="false" outlineLevel="0" collapsed="false">
      <c r="A1156" s="104" t="s">
        <v>618</v>
      </c>
      <c r="B1156" s="105" t="n">
        <f aca="false">IF($P$1155&lt;&gt;"",ROUND(AA1156*(($AB$1155/(1-$P$1155))-25.9)/34.3931,2),IF('Resumen 2.0TD'!$D$3="OPTIMIZAR",ROUND(MAX(AA1156,MIN(AA1156*(($AB$1155/(1-'Resumen 2.0TD'!$F$3))-25.9)/34.3931,AA1156*(109.6478)/34.3931)),3),AA1156))</f>
        <v>62.424</v>
      </c>
      <c r="C1156" s="118"/>
      <c r="D1156" s="107" t="n">
        <v>0.111171</v>
      </c>
      <c r="E1156" s="108" t="n">
        <v>0.13788</v>
      </c>
      <c r="F1156" s="109" t="n">
        <f aca="false">ROUND(B1156*E1156,2)</f>
        <v>8.61</v>
      </c>
      <c r="H1156" s="110" t="n">
        <v>152.436</v>
      </c>
      <c r="I1156" s="111" t="n">
        <v>0.13788</v>
      </c>
      <c r="J1156" s="112" t="n">
        <f aca="false">ROUND(H1156*I1156,2)</f>
        <v>21.02</v>
      </c>
      <c r="L1156" s="113" t="n">
        <v>85.76</v>
      </c>
      <c r="M1156" s="114" t="n">
        <v>0.13788</v>
      </c>
      <c r="N1156" s="115" t="n">
        <f aca="false">ROUND(L1156*M1156,2)</f>
        <v>11.82</v>
      </c>
      <c r="O1156" s="120" t="s">
        <v>619</v>
      </c>
      <c r="R1156" s="117" t="s">
        <v>620</v>
      </c>
      <c r="AA1156" s="0" t="n">
        <v>62.424</v>
      </c>
    </row>
    <row r="1157" customFormat="false" ht="15" hidden="false" customHeight="false" outlineLevel="0" collapsed="false">
      <c r="A1157" s="104" t="s">
        <v>621</v>
      </c>
      <c r="B1157" s="105" t="n">
        <f aca="false">IF($P$1155&lt;&gt;"",ROUND(AA1157*(($AB$1155/(1-$P$1155))-25.9)/34.3931,2),IF('Resumen 2.0TD'!$D$3="OPTIMIZAR",ROUND(MAX(AA1157,MIN(AA1157*(($AB$1155/(1-'Resumen 2.0TD'!$F$3))-25.9)/34.3931,AA1157*(109.6478)/34.3931)),3),AA1157))</f>
        <v>101.957</v>
      </c>
      <c r="C1157" s="118"/>
      <c r="D1157" s="107" t="n">
        <v>0.111171</v>
      </c>
      <c r="E1157" s="108" t="n">
        <v>0.13788</v>
      </c>
      <c r="F1157" s="109" t="n">
        <f aca="false">ROUND(B1157*E1157,2)</f>
        <v>14.06</v>
      </c>
      <c r="H1157" s="110" t="n">
        <v>214.461</v>
      </c>
      <c r="I1157" s="111" t="n">
        <v>0.13788</v>
      </c>
      <c r="J1157" s="112" t="n">
        <f aca="false">ROUND(H1157*I1157,2)</f>
        <v>29.57</v>
      </c>
      <c r="L1157" s="113" t="n">
        <v>133.277</v>
      </c>
      <c r="M1157" s="114" t="n">
        <v>0.13788</v>
      </c>
      <c r="N1157" s="115" t="n">
        <f aca="false">ROUND(L1157*M1157,2)</f>
        <v>18.38</v>
      </c>
      <c r="O1157" s="120" t="s">
        <v>622</v>
      </c>
      <c r="AA1157" s="0" t="n">
        <v>101.957</v>
      </c>
    </row>
    <row r="1158" customFormat="false" ht="15" hidden="false" customHeight="false" outlineLevel="0" collapsed="false">
      <c r="A1158" s="104" t="s">
        <v>139</v>
      </c>
      <c r="B1158" s="105" t="n">
        <v>1</v>
      </c>
      <c r="C1158" s="106" t="n">
        <f aca="false">$N$1150-$L$1150+1</f>
        <v>30</v>
      </c>
      <c r="D1158" s="107" t="n">
        <v>0.7989</v>
      </c>
      <c r="E1158" s="108" t="n">
        <v>3</v>
      </c>
      <c r="F1158" s="109" t="n">
        <f aca="false">ROUND(B1158*E1158,2)</f>
        <v>3</v>
      </c>
      <c r="H1158" s="110" t="n">
        <v>1</v>
      </c>
      <c r="I1158" s="111" t="n">
        <v>3</v>
      </c>
      <c r="J1158" s="112" t="n">
        <f aca="false">ROUND(H1158*I1158,2)</f>
        <v>3</v>
      </c>
      <c r="L1158" s="113" t="n">
        <v>1</v>
      </c>
      <c r="M1158" s="114" t="n">
        <v>3</v>
      </c>
      <c r="N1158" s="115" t="n">
        <f aca="false">ROUND(L1158*M1158,2)</f>
        <v>3</v>
      </c>
    </row>
    <row r="1159" customFormat="false" ht="15" hidden="false" customHeight="false" outlineLevel="0" collapsed="false">
      <c r="A1159" s="104" t="s">
        <v>140</v>
      </c>
      <c r="B1159" s="105" t="n">
        <v>30</v>
      </c>
      <c r="C1159" s="106" t="n">
        <f aca="false">$N$1150-$L$1150+1</f>
        <v>30</v>
      </c>
      <c r="D1159" s="107" t="n">
        <v>0.5736</v>
      </c>
      <c r="E1159" s="108" t="n">
        <v>0.01274</v>
      </c>
      <c r="F1159" s="109" t="n">
        <f aca="false">ROUND(B1159*E1159,2)</f>
        <v>0.38</v>
      </c>
      <c r="H1159" s="110" t="n">
        <v>30</v>
      </c>
      <c r="I1159" s="111" t="n">
        <v>0.01274</v>
      </c>
      <c r="J1159" s="112" t="n">
        <f aca="false">ROUND(H1159*I1159,2)</f>
        <v>0.38</v>
      </c>
      <c r="L1159" s="113" t="n">
        <v>30</v>
      </c>
      <c r="M1159" s="114" t="n">
        <v>0.00629</v>
      </c>
      <c r="N1159" s="115" t="n">
        <f aca="false">ROUND(L1159*M1159,2)</f>
        <v>0.19</v>
      </c>
    </row>
    <row r="1160" customFormat="false" ht="15" hidden="false" customHeight="false" outlineLevel="0" collapsed="false">
      <c r="A1160" s="104" t="s">
        <v>141</v>
      </c>
      <c r="B1160" s="105" t="n">
        <v>3.09</v>
      </c>
      <c r="C1160" s="118"/>
      <c r="D1160" s="107" t="n">
        <v>0.27312</v>
      </c>
      <c r="E1160" s="108" t="n">
        <v>1</v>
      </c>
      <c r="F1160" s="109" t="n">
        <f aca="false">ROUND(B1160*E1160,2)</f>
        <v>3.09</v>
      </c>
      <c r="H1160" s="110" t="n">
        <v>5.25</v>
      </c>
      <c r="I1160" s="111" t="n">
        <v>1</v>
      </c>
      <c r="J1160" s="112" t="n">
        <f aca="false">ROUND(H1160*I1160,2)</f>
        <v>5.25</v>
      </c>
      <c r="L1160" s="113" t="n">
        <v>3.56</v>
      </c>
      <c r="M1160" s="114" t="n">
        <v>1</v>
      </c>
      <c r="N1160" s="115" t="n">
        <f aca="false">ROUND(L1160*M1160,2)</f>
        <v>3.56</v>
      </c>
    </row>
    <row r="1161" customFormat="false" ht="15" hidden="false" customHeight="false" outlineLevel="0" collapsed="false">
      <c r="A1161" s="121" t="s">
        <v>142</v>
      </c>
      <c r="F1161" s="122" t="n">
        <f aca="false">ROUND((SUM(F1153:F1160)-F1160)*1.1+F1160,2)</f>
        <v>73.14</v>
      </c>
      <c r="J1161" s="123" t="n">
        <f aca="false">ROUND(SUM(J1153:J1160),2)</f>
        <v>111.2</v>
      </c>
      <c r="N1161" s="124" t="n">
        <f aca="false">ROUND(SUM(N1153:N1160),2)</f>
        <v>76.2</v>
      </c>
    </row>
    <row r="1162" customFormat="false" ht="15" hidden="false" customHeight="false" outlineLevel="0" collapsed="false">
      <c r="A1162" s="93" t="s">
        <v>143</v>
      </c>
      <c r="B1162" s="125" t="n">
        <f aca="false">IF((F1157+F1156+F1155+F1153+F1154)=0,"",((F1157+F1156+F1155+F1153+F1154)-$AB$1155)/(F1157+F1156+F1155+F1153+F1154))</f>
        <v>0.124824766467662</v>
      </c>
      <c r="D1162" s="126" t="str">
        <f aca="false">IF(B1162="","SIN PC",IF(B1162&gt;=0.3,"APROBAR",IF(B1162&gt;=0.2,"REVISAR","RECHAZAR")))</f>
        <v>RECHAZAR</v>
      </c>
      <c r="E1162" s="126"/>
      <c r="F1162" s="126"/>
      <c r="AD1162" s="0" t="n">
        <f aca="false">SUM(F1155:F1157)-34.3931</f>
        <v>0.00690000000000168</v>
      </c>
    </row>
    <row r="1164" customFormat="false" ht="15" hidden="false" customHeight="false" outlineLevel="0" collapsed="false">
      <c r="A1164" s="89" t="s">
        <v>1184</v>
      </c>
      <c r="B1164" s="89"/>
      <c r="C1164" s="89"/>
      <c r="D1164" s="89"/>
      <c r="E1164" s="89"/>
      <c r="F1164" s="89"/>
      <c r="H1164" s="89" t="s">
        <v>1185</v>
      </c>
      <c r="I1164" s="89"/>
      <c r="J1164" s="89"/>
      <c r="K1164" s="89"/>
      <c r="L1164" s="90" t="n">
        <v>46113</v>
      </c>
      <c r="M1164" s="91" t="s">
        <v>608</v>
      </c>
      <c r="N1164" s="90" t="n">
        <v>46142</v>
      </c>
      <c r="R1164" s="92" t="s">
        <v>110</v>
      </c>
      <c r="S1164" s="92"/>
      <c r="T1164" s="92"/>
      <c r="U1164" s="92"/>
      <c r="V1164" s="92"/>
    </row>
    <row r="1165" customFormat="false" ht="15" hidden="false" customHeight="false" outlineLevel="0" collapsed="false">
      <c r="A1165" s="93" t="s">
        <v>111</v>
      </c>
      <c r="B1165" s="94" t="s">
        <v>112</v>
      </c>
      <c r="C1165" s="95"/>
      <c r="D1165" s="95"/>
      <c r="E1165" s="95"/>
      <c r="F1165" s="95"/>
      <c r="H1165" s="96" t="s">
        <v>1186</v>
      </c>
      <c r="I1165" s="97"/>
      <c r="J1165" s="97"/>
      <c r="L1165" s="98" t="s">
        <v>1187</v>
      </c>
      <c r="M1165" s="99"/>
      <c r="N1165" s="99"/>
      <c r="R1165" s="100" t="s">
        <v>1188</v>
      </c>
    </row>
    <row r="1166" customFormat="false" ht="15" hidden="false" customHeight="false" outlineLevel="0" collapsed="false">
      <c r="B1166" s="81" t="s">
        <v>116</v>
      </c>
      <c r="C1166" s="81" t="s">
        <v>117</v>
      </c>
      <c r="D1166" s="81" t="s">
        <v>118</v>
      </c>
      <c r="E1166" s="81" t="s">
        <v>119</v>
      </c>
      <c r="F1166" s="81" t="s">
        <v>120</v>
      </c>
      <c r="H1166" s="101" t="s">
        <v>116</v>
      </c>
      <c r="I1166" s="101" t="s">
        <v>119</v>
      </c>
      <c r="J1166" s="101" t="s">
        <v>120</v>
      </c>
      <c r="L1166" s="102" t="s">
        <v>116</v>
      </c>
      <c r="M1166" s="102" t="s">
        <v>119</v>
      </c>
      <c r="N1166" s="102" t="s">
        <v>120</v>
      </c>
      <c r="R1166" s="103" t="s">
        <v>1189</v>
      </c>
    </row>
    <row r="1167" customFormat="false" ht="15" hidden="false" customHeight="false" outlineLevel="0" collapsed="false">
      <c r="A1167" s="104" t="s">
        <v>122</v>
      </c>
      <c r="B1167" s="105" t="n">
        <v>5.75</v>
      </c>
      <c r="C1167" s="106" t="n">
        <f aca="false">$N$1164-$L$1164+1</f>
        <v>30</v>
      </c>
      <c r="D1167" s="107" t="n">
        <v>3.4086</v>
      </c>
      <c r="E1167" s="108" t="n">
        <v>3.85</v>
      </c>
      <c r="F1167" s="109" t="n">
        <f aca="false">ROUND(B1167*E1167,2)</f>
        <v>22.14</v>
      </c>
      <c r="H1167" s="110" t="n">
        <v>5.75</v>
      </c>
      <c r="I1167" s="111" t="n">
        <v>3.85</v>
      </c>
      <c r="J1167" s="112" t="n">
        <f aca="false">ROUND(H1167*I1167,2)</f>
        <v>22.14</v>
      </c>
      <c r="L1167" s="113" t="n">
        <v>5.75</v>
      </c>
      <c r="M1167" s="114" t="n">
        <v>3.85</v>
      </c>
      <c r="N1167" s="115" t="n">
        <f aca="false">ROUND(L1167*M1167,2)</f>
        <v>22.14</v>
      </c>
      <c r="R1167" s="116" t="s">
        <v>1190</v>
      </c>
    </row>
    <row r="1168" customFormat="false" ht="15" hidden="false" customHeight="false" outlineLevel="0" collapsed="false">
      <c r="A1168" s="104" t="s">
        <v>124</v>
      </c>
      <c r="B1168" s="105" t="n">
        <v>5.75</v>
      </c>
      <c r="C1168" s="106" t="n">
        <f aca="false">$N$1164-$L$1164+1</f>
        <v>30</v>
      </c>
      <c r="D1168" s="107" t="n">
        <v>1.09728</v>
      </c>
      <c r="E1168" s="108" t="n">
        <v>1.33</v>
      </c>
      <c r="F1168" s="109" t="n">
        <f aca="false">ROUND(B1168*E1168,2)</f>
        <v>7.65</v>
      </c>
      <c r="H1168" s="110" t="n">
        <v>5.75</v>
      </c>
      <c r="I1168" s="111" t="n">
        <v>1.33</v>
      </c>
      <c r="J1168" s="112" t="n">
        <f aca="false">ROUND(H1168*I1168,2)</f>
        <v>7.65</v>
      </c>
      <c r="L1168" s="113" t="n">
        <v>5.75</v>
      </c>
      <c r="M1168" s="114" t="n">
        <v>1.33</v>
      </c>
      <c r="N1168" s="115" t="n">
        <f aca="false">ROUND(L1168*M1168,2)</f>
        <v>7.65</v>
      </c>
      <c r="R1168" s="117" t="s">
        <v>1191</v>
      </c>
    </row>
    <row r="1169" customFormat="false" ht="15" hidden="false" customHeight="false" outlineLevel="0" collapsed="false">
      <c r="A1169" s="104" t="s">
        <v>615</v>
      </c>
      <c r="B1169" s="105" t="n">
        <f aca="false">IF($P$1169&lt;&gt;"",ROUND(AA1169*(($AB$1169/(1-$P$1169))-29.785)/66.9687,2),IF('Resumen 2.0TD'!$D$3="OPTIMIZAR",ROUND(MAX(AA1169,MIN(AA1169*(($AB$1169/(1-'Resumen 2.0TD'!$F$3))-29.785)/66.9687,AA1169*(103.4428)/66.9687)),3),AA1169))</f>
        <v>196.826</v>
      </c>
      <c r="C1169" s="118"/>
      <c r="D1169" s="107" t="n">
        <v>0.110306</v>
      </c>
      <c r="E1169" s="108" t="n">
        <v>0.13788</v>
      </c>
      <c r="F1169" s="109" t="n">
        <f aca="false">ROUND(B1169*E1169,2)</f>
        <v>27.14</v>
      </c>
      <c r="H1169" s="110" t="n">
        <v>150.9</v>
      </c>
      <c r="I1169" s="111" t="n">
        <v>0.13788</v>
      </c>
      <c r="J1169" s="112" t="n">
        <f aca="false">ROUND(H1169*I1169,2)</f>
        <v>20.81</v>
      </c>
      <c r="L1169" s="113" t="n">
        <v>100.464</v>
      </c>
      <c r="M1169" s="114" t="n">
        <v>0.13788</v>
      </c>
      <c r="N1169" s="115" t="n">
        <f aca="false">ROUND(L1169*M1169,2)</f>
        <v>13.85</v>
      </c>
      <c r="O1169" s="119" t="s">
        <v>616</v>
      </c>
      <c r="P1169" s="79"/>
      <c r="R1169" s="117" t="s">
        <v>1192</v>
      </c>
      <c r="AA1169" s="0" t="n">
        <v>196.826</v>
      </c>
      <c r="AB1169" s="0" t="n">
        <f aca="false">B1167*D1167+B1168*D1168+AA1169*D1169+AA1170*D1170+AA1171*D1171</f>
        <v>79.484765118</v>
      </c>
    </row>
    <row r="1170" customFormat="false" ht="15" hidden="false" customHeight="false" outlineLevel="0" collapsed="false">
      <c r="A1170" s="104" t="s">
        <v>618</v>
      </c>
      <c r="B1170" s="105" t="n">
        <f aca="false">IF($P$1169&lt;&gt;"",ROUND(AA1170*(($AB$1169/(1-$P$1169))-29.785)/66.9687,2),IF('Resumen 2.0TD'!$D$3="OPTIMIZAR",ROUND(MAX(AA1170,MIN(AA1170*(($AB$1169/(1-'Resumen 2.0TD'!$F$3))-29.785)/66.9687,AA1170*(103.4428)/66.9687)),3),AA1170))</f>
        <v>159.465</v>
      </c>
      <c r="C1170" s="118"/>
      <c r="D1170" s="107" t="n">
        <v>0.110306</v>
      </c>
      <c r="E1170" s="108" t="n">
        <v>0.13788</v>
      </c>
      <c r="F1170" s="109" t="n">
        <f aca="false">ROUND(B1170*E1170,2)</f>
        <v>21.99</v>
      </c>
      <c r="H1170" s="110" t="n">
        <v>131.444</v>
      </c>
      <c r="I1170" s="111" t="n">
        <v>0.13788</v>
      </c>
      <c r="J1170" s="112" t="n">
        <f aca="false">ROUND(H1170*I1170,2)</f>
        <v>18.12</v>
      </c>
      <c r="L1170" s="113" t="n">
        <v>110.913</v>
      </c>
      <c r="M1170" s="114" t="n">
        <v>0.13788</v>
      </c>
      <c r="N1170" s="115" t="n">
        <f aca="false">ROUND(L1170*M1170,2)</f>
        <v>15.29</v>
      </c>
      <c r="O1170" s="120" t="s">
        <v>619</v>
      </c>
      <c r="R1170" s="117" t="s">
        <v>620</v>
      </c>
      <c r="AA1170" s="0" t="n">
        <v>159.465</v>
      </c>
    </row>
    <row r="1171" customFormat="false" ht="15" hidden="false" customHeight="false" outlineLevel="0" collapsed="false">
      <c r="A1171" s="104" t="s">
        <v>621</v>
      </c>
      <c r="B1171" s="105" t="n">
        <f aca="false">IF($P$1169&lt;&gt;"",ROUND(AA1171*(($AB$1169/(1-$P$1169))-29.785)/66.9687,2),IF('Resumen 2.0TD'!$D$3="OPTIMIZAR",ROUND(MAX(AA1171,MIN(AA1171*(($AB$1169/(1-'Resumen 2.0TD'!$F$3))-29.785)/66.9687,AA1171*(103.4428)/66.9687)),3),AA1171))</f>
        <v>129.412</v>
      </c>
      <c r="C1171" s="118"/>
      <c r="D1171" s="107" t="n">
        <v>0.110306</v>
      </c>
      <c r="E1171" s="108" t="n">
        <v>0.13788</v>
      </c>
      <c r="F1171" s="109" t="n">
        <f aca="false">ROUND(B1171*E1171,2)</f>
        <v>17.84</v>
      </c>
      <c r="H1171" s="110" t="n">
        <v>113.935</v>
      </c>
      <c r="I1171" s="111" t="n">
        <v>0.13788</v>
      </c>
      <c r="J1171" s="112" t="n">
        <f aca="false">ROUND(H1171*I1171,2)</f>
        <v>15.71</v>
      </c>
      <c r="L1171" s="113" t="n">
        <v>133.101</v>
      </c>
      <c r="M1171" s="114" t="n">
        <v>0.13788</v>
      </c>
      <c r="N1171" s="115" t="n">
        <f aca="false">ROUND(L1171*M1171,2)</f>
        <v>18.35</v>
      </c>
      <c r="O1171" s="120" t="s">
        <v>622</v>
      </c>
      <c r="AA1171" s="0" t="n">
        <v>129.412</v>
      </c>
    </row>
    <row r="1172" customFormat="false" ht="15" hidden="false" customHeight="false" outlineLevel="0" collapsed="false">
      <c r="A1172" s="104" t="s">
        <v>139</v>
      </c>
      <c r="B1172" s="105" t="n">
        <v>1</v>
      </c>
      <c r="C1172" s="106" t="n">
        <f aca="false">$N$1164-$L$1164+1</f>
        <v>30</v>
      </c>
      <c r="D1172" s="107" t="n">
        <v>0.7989</v>
      </c>
      <c r="E1172" s="108" t="n">
        <v>3</v>
      </c>
      <c r="F1172" s="109" t="n">
        <f aca="false">ROUND(B1172*E1172,2)</f>
        <v>3</v>
      </c>
      <c r="H1172" s="110" t="n">
        <v>1</v>
      </c>
      <c r="I1172" s="111" t="n">
        <v>3</v>
      </c>
      <c r="J1172" s="112" t="n">
        <f aca="false">ROUND(H1172*I1172,2)</f>
        <v>3</v>
      </c>
      <c r="L1172" s="113" t="n">
        <v>1</v>
      </c>
      <c r="M1172" s="114" t="n">
        <v>3</v>
      </c>
      <c r="N1172" s="115" t="n">
        <f aca="false">ROUND(L1172*M1172,2)</f>
        <v>3</v>
      </c>
    </row>
    <row r="1173" customFormat="false" ht="15" hidden="false" customHeight="false" outlineLevel="0" collapsed="false">
      <c r="A1173" s="104" t="s">
        <v>140</v>
      </c>
      <c r="B1173" s="105" t="n">
        <v>30</v>
      </c>
      <c r="C1173" s="106" t="n">
        <f aca="false">$N$1164-$L$1164+1</f>
        <v>30</v>
      </c>
      <c r="D1173" s="107" t="n">
        <v>0.5736</v>
      </c>
      <c r="E1173" s="108" t="n">
        <v>0.01274</v>
      </c>
      <c r="F1173" s="109" t="n">
        <f aca="false">ROUND(B1173*E1173,2)</f>
        <v>0.38</v>
      </c>
      <c r="H1173" s="110" t="n">
        <v>30</v>
      </c>
      <c r="I1173" s="111" t="n">
        <v>0.01274</v>
      </c>
      <c r="J1173" s="112" t="n">
        <f aca="false">ROUND(H1173*I1173,2)</f>
        <v>0.38</v>
      </c>
      <c r="L1173" s="113" t="n">
        <v>30</v>
      </c>
      <c r="M1173" s="114" t="n">
        <v>0.00629</v>
      </c>
      <c r="N1173" s="115" t="n">
        <f aca="false">ROUND(L1173*M1173,2)</f>
        <v>0.19</v>
      </c>
    </row>
    <row r="1174" customFormat="false" ht="15" hidden="false" customHeight="false" outlineLevel="0" collapsed="false">
      <c r="A1174" s="104" t="s">
        <v>141</v>
      </c>
      <c r="B1174" s="105" t="n">
        <v>4.95</v>
      </c>
      <c r="C1174" s="118"/>
      <c r="D1174" s="107" t="n">
        <v>0.24729</v>
      </c>
      <c r="E1174" s="108" t="n">
        <v>1</v>
      </c>
      <c r="F1174" s="109" t="n">
        <f aca="false">ROUND(B1174*E1174,2)</f>
        <v>4.95</v>
      </c>
      <c r="H1174" s="110" t="n">
        <v>4.32</v>
      </c>
      <c r="I1174" s="111" t="n">
        <v>1</v>
      </c>
      <c r="J1174" s="112" t="n">
        <f aca="false">ROUND(H1174*I1174,2)</f>
        <v>4.32</v>
      </c>
      <c r="L1174" s="113" t="n">
        <v>3.96</v>
      </c>
      <c r="M1174" s="114" t="n">
        <v>1</v>
      </c>
      <c r="N1174" s="115" t="n">
        <f aca="false">ROUND(L1174*M1174,2)</f>
        <v>3.96</v>
      </c>
    </row>
    <row r="1175" customFormat="false" ht="15" hidden="false" customHeight="false" outlineLevel="0" collapsed="false">
      <c r="A1175" s="121" t="s">
        <v>142</v>
      </c>
      <c r="F1175" s="122" t="n">
        <f aca="false">ROUND((SUM(F1167:F1174)-F1174)*1.1+F1174,2)</f>
        <v>115.1</v>
      </c>
      <c r="J1175" s="123" t="n">
        <f aca="false">ROUND(SUM(J1167:J1174),2)</f>
        <v>92.13</v>
      </c>
      <c r="N1175" s="124" t="n">
        <f aca="false">ROUND(SUM(N1167:N1174),2)</f>
        <v>84.43</v>
      </c>
    </row>
    <row r="1176" customFormat="false" ht="15" hidden="false" customHeight="false" outlineLevel="0" collapsed="false">
      <c r="A1176" s="93" t="s">
        <v>143</v>
      </c>
      <c r="B1176" s="125" t="n">
        <f aca="false">IF((F1171+F1170+F1169+F1167+F1168)=0,"",((F1171+F1170+F1169+F1167+F1168)-$AB$1169)/(F1171+F1170+F1169+F1167+F1168))</f>
        <v>0.17853694586606</v>
      </c>
      <c r="D1176" s="126" t="str">
        <f aca="false">IF(B1176="","SIN PC",IF(B1176&gt;=0.3,"APROBAR",IF(B1176&gt;=0.2,"REVISAR","RECHAZAR")))</f>
        <v>RECHAZAR</v>
      </c>
      <c r="E1176" s="126"/>
      <c r="F1176" s="126"/>
      <c r="AD1176" s="0" t="n">
        <f aca="false">SUM(F1169:F1171)-66.9687</f>
        <v>0.00130000000000052</v>
      </c>
    </row>
    <row r="1178" customFormat="false" ht="15" hidden="false" customHeight="false" outlineLevel="0" collapsed="false">
      <c r="A1178" s="89" t="s">
        <v>1193</v>
      </c>
      <c r="B1178" s="89"/>
      <c r="C1178" s="89"/>
      <c r="D1178" s="89"/>
      <c r="E1178" s="89"/>
      <c r="F1178" s="89"/>
      <c r="H1178" s="89" t="s">
        <v>786</v>
      </c>
      <c r="I1178" s="89"/>
      <c r="J1178" s="89"/>
      <c r="K1178" s="89"/>
      <c r="L1178" s="90" t="n">
        <v>46113</v>
      </c>
      <c r="M1178" s="91" t="s">
        <v>608</v>
      </c>
      <c r="N1178" s="90" t="n">
        <v>46142</v>
      </c>
      <c r="R1178" s="92" t="s">
        <v>110</v>
      </c>
      <c r="S1178" s="92"/>
      <c r="T1178" s="92"/>
      <c r="U1178" s="92"/>
      <c r="V1178" s="92"/>
    </row>
    <row r="1179" customFormat="false" ht="15" hidden="false" customHeight="false" outlineLevel="0" collapsed="false">
      <c r="A1179" s="93" t="s">
        <v>111</v>
      </c>
      <c r="B1179" s="94" t="s">
        <v>112</v>
      </c>
      <c r="C1179" s="95"/>
      <c r="D1179" s="95"/>
      <c r="E1179" s="95"/>
      <c r="F1179" s="95"/>
      <c r="H1179" s="96" t="s">
        <v>787</v>
      </c>
      <c r="I1179" s="97"/>
      <c r="J1179" s="97"/>
      <c r="L1179" s="98" t="s">
        <v>788</v>
      </c>
      <c r="M1179" s="99"/>
      <c r="N1179" s="99"/>
      <c r="R1179" s="100" t="s">
        <v>789</v>
      </c>
    </row>
    <row r="1180" customFormat="false" ht="15" hidden="false" customHeight="false" outlineLevel="0" collapsed="false">
      <c r="B1180" s="81" t="s">
        <v>116</v>
      </c>
      <c r="C1180" s="81" t="s">
        <v>117</v>
      </c>
      <c r="D1180" s="81" t="s">
        <v>118</v>
      </c>
      <c r="E1180" s="81" t="s">
        <v>119</v>
      </c>
      <c r="F1180" s="81" t="s">
        <v>120</v>
      </c>
      <c r="H1180" s="101" t="s">
        <v>116</v>
      </c>
      <c r="I1180" s="101" t="s">
        <v>119</v>
      </c>
      <c r="J1180" s="101" t="s">
        <v>120</v>
      </c>
      <c r="L1180" s="102" t="s">
        <v>116</v>
      </c>
      <c r="M1180" s="102" t="s">
        <v>119</v>
      </c>
      <c r="N1180" s="102" t="s">
        <v>120</v>
      </c>
      <c r="R1180" s="103" t="s">
        <v>790</v>
      </c>
    </row>
    <row r="1181" customFormat="false" ht="15" hidden="false" customHeight="false" outlineLevel="0" collapsed="false">
      <c r="A1181" s="104" t="s">
        <v>122</v>
      </c>
      <c r="B1181" s="105" t="n">
        <v>5.75</v>
      </c>
      <c r="C1181" s="106" t="n">
        <f aca="false">$N$1178-$L$1178+1</f>
        <v>30</v>
      </c>
      <c r="D1181" s="107" t="n">
        <v>3.68919</v>
      </c>
      <c r="E1181" s="108" t="n">
        <v>4.82</v>
      </c>
      <c r="F1181" s="109" t="n">
        <f aca="false">ROUND(B1181*E1181,2)</f>
        <v>27.72</v>
      </c>
      <c r="H1181" s="110" t="n">
        <v>5.75</v>
      </c>
      <c r="I1181" s="111" t="n">
        <v>4.82</v>
      </c>
      <c r="J1181" s="112" t="n">
        <f aca="false">ROUND(H1181*I1181,2)</f>
        <v>27.72</v>
      </c>
      <c r="L1181" s="113" t="n">
        <v>5.75</v>
      </c>
      <c r="M1181" s="114" t="n">
        <v>4.82</v>
      </c>
      <c r="N1181" s="115" t="n">
        <f aca="false">ROUND(L1181*M1181,2)</f>
        <v>27.72</v>
      </c>
      <c r="R1181" s="116" t="s">
        <v>791</v>
      </c>
    </row>
    <row r="1182" customFormat="false" ht="15" hidden="false" customHeight="false" outlineLevel="0" collapsed="false">
      <c r="A1182" s="104" t="s">
        <v>124</v>
      </c>
      <c r="B1182" s="105" t="n">
        <v>5.75</v>
      </c>
      <c r="C1182" s="106" t="n">
        <f aca="false">$N$1178-$L$1178+1</f>
        <v>30</v>
      </c>
      <c r="D1182" s="107" t="n">
        <v>1.31928</v>
      </c>
      <c r="E1182" s="108" t="n">
        <v>2.3744</v>
      </c>
      <c r="F1182" s="109" t="n">
        <f aca="false">ROUND(B1182*E1182,2)</f>
        <v>13.65</v>
      </c>
      <c r="H1182" s="110" t="n">
        <v>5.75</v>
      </c>
      <c r="I1182" s="111" t="n">
        <v>2.3744</v>
      </c>
      <c r="J1182" s="112" t="n">
        <f aca="false">ROUND(H1182*I1182,2)</f>
        <v>13.65</v>
      </c>
      <c r="L1182" s="113" t="n">
        <v>5.75</v>
      </c>
      <c r="M1182" s="114" t="n">
        <v>2.3744</v>
      </c>
      <c r="N1182" s="115" t="n">
        <f aca="false">ROUND(L1182*M1182,2)</f>
        <v>13.65</v>
      </c>
      <c r="R1182" s="117" t="s">
        <v>792</v>
      </c>
    </row>
    <row r="1183" customFormat="false" ht="15" hidden="false" customHeight="false" outlineLevel="0" collapsed="false">
      <c r="A1183" s="104" t="s">
        <v>615</v>
      </c>
      <c r="B1183" s="105" t="n">
        <f aca="false">IF($P$1183&lt;&gt;"",ROUND(AA1183*(($AB$1183/(1-$P$1183))-41.3678)/22.5019,2),IF('Resumen 2.0TD'!$D$3="OPTIMIZAR",ROUND(MAX(AA1183,MIN(AA1183*(($AB$1183/(1-'Resumen 2.0TD'!$F$3))-41.3678)/22.5019,AA1183*(112.17)/22.5019)),3),AA1183))</f>
        <v>51.324</v>
      </c>
      <c r="C1183" s="118"/>
      <c r="D1183" s="107" t="n">
        <v>0.111171</v>
      </c>
      <c r="E1183" s="108" t="n">
        <v>0.139</v>
      </c>
      <c r="F1183" s="109" t="n">
        <f aca="false">ROUND(B1183*E1183,2)</f>
        <v>7.13</v>
      </c>
      <c r="H1183" s="110" t="n">
        <v>44.943</v>
      </c>
      <c r="I1183" s="111" t="n">
        <v>0.139</v>
      </c>
      <c r="J1183" s="112" t="n">
        <f aca="false">ROUND(H1183*I1183,2)</f>
        <v>6.25</v>
      </c>
      <c r="L1183" s="113" t="n">
        <v>55.127</v>
      </c>
      <c r="M1183" s="114" t="n">
        <v>0.1724</v>
      </c>
      <c r="N1183" s="115" t="n">
        <f aca="false">ROUND(L1183*M1183,2)</f>
        <v>9.5</v>
      </c>
      <c r="O1183" s="119" t="s">
        <v>616</v>
      </c>
      <c r="P1183" s="79"/>
      <c r="R1183" s="117" t="s">
        <v>793</v>
      </c>
      <c r="AA1183" s="0" t="n">
        <v>51.324</v>
      </c>
      <c r="AB1183" s="0" t="n">
        <f aca="false">B1181*D1181+B1182*D1182+AA1183*D1183+AA1184*D1184+AA1185*D1185</f>
        <v>46.795508664</v>
      </c>
    </row>
    <row r="1184" customFormat="false" ht="15" hidden="false" customHeight="false" outlineLevel="0" collapsed="false">
      <c r="A1184" s="104" t="s">
        <v>618</v>
      </c>
      <c r="B1184" s="105" t="n">
        <f aca="false">IF($P$1183&lt;&gt;"",ROUND(AA1184*(($AB$1183/(1-$P$1183))-41.3678)/22.5019,2),IF('Resumen 2.0TD'!$D$3="OPTIMIZAR",ROUND(MAX(AA1184,MIN(AA1184*(($AB$1183/(1-'Resumen 2.0TD'!$F$3))-41.3678)/22.5019,AA1184*(112.17)/22.5019)),3),AA1184))</f>
        <v>21.674</v>
      </c>
      <c r="C1184" s="118"/>
      <c r="D1184" s="107" t="n">
        <v>0.111171</v>
      </c>
      <c r="E1184" s="108" t="n">
        <v>0.139</v>
      </c>
      <c r="F1184" s="109" t="n">
        <f aca="false">ROUND(B1184*E1184,2)</f>
        <v>3.01</v>
      </c>
      <c r="H1184" s="110" t="n">
        <v>24.243</v>
      </c>
      <c r="I1184" s="111" t="n">
        <v>0.139</v>
      </c>
      <c r="J1184" s="112" t="n">
        <f aca="false">ROUND(H1184*I1184,2)</f>
        <v>3.37</v>
      </c>
      <c r="L1184" s="113" t="n">
        <v>55.993</v>
      </c>
      <c r="M1184" s="114" t="n">
        <v>0.1724</v>
      </c>
      <c r="N1184" s="115" t="n">
        <f aca="false">ROUND(L1184*M1184,2)</f>
        <v>9.65</v>
      </c>
      <c r="O1184" s="120" t="s">
        <v>619</v>
      </c>
      <c r="R1184" s="117" t="s">
        <v>620</v>
      </c>
      <c r="AA1184" s="0" t="n">
        <v>21.674</v>
      </c>
    </row>
    <row r="1185" customFormat="false" ht="15" hidden="false" customHeight="false" outlineLevel="0" collapsed="false">
      <c r="A1185" s="104" t="s">
        <v>621</v>
      </c>
      <c r="B1185" s="105" t="n">
        <f aca="false">IF($P$1183&lt;&gt;"",ROUND(AA1185*(($AB$1183/(1-$P$1183))-41.3678)/22.5019,2),IF('Resumen 2.0TD'!$D$3="OPTIMIZAR",ROUND(MAX(AA1185,MIN(AA1185*(($AB$1183/(1-'Resumen 2.0TD'!$F$3))-41.3678)/22.5019,AA1185*(112.17)/22.5019)),3),AA1185))</f>
        <v>88.886</v>
      </c>
      <c r="C1185" s="118"/>
      <c r="D1185" s="107" t="n">
        <v>0.111171</v>
      </c>
      <c r="E1185" s="108" t="n">
        <v>0.139</v>
      </c>
      <c r="F1185" s="109" t="n">
        <f aca="false">ROUND(B1185*E1185,2)</f>
        <v>12.36</v>
      </c>
      <c r="H1185" s="110" t="n">
        <v>88.21</v>
      </c>
      <c r="I1185" s="111" t="n">
        <v>0.139</v>
      </c>
      <c r="J1185" s="112" t="n">
        <f aca="false">ROUND(H1185*I1185,2)</f>
        <v>12.26</v>
      </c>
      <c r="L1185" s="113" t="n">
        <v>120.095</v>
      </c>
      <c r="M1185" s="114" t="n">
        <v>0.1724</v>
      </c>
      <c r="N1185" s="115" t="n">
        <f aca="false">ROUND(L1185*M1185,2)</f>
        <v>20.7</v>
      </c>
      <c r="O1185" s="120" t="s">
        <v>622</v>
      </c>
      <c r="AA1185" s="0" t="n">
        <v>88.886</v>
      </c>
    </row>
    <row r="1186" customFormat="false" ht="15" hidden="false" customHeight="false" outlineLevel="0" collapsed="false">
      <c r="A1186" s="104" t="s">
        <v>139</v>
      </c>
      <c r="B1186" s="105" t="n">
        <v>1</v>
      </c>
      <c r="C1186" s="106" t="n">
        <f aca="false">$N$1178-$L$1178+1</f>
        <v>30</v>
      </c>
      <c r="D1186" s="107" t="n">
        <v>0.7989</v>
      </c>
      <c r="E1186" s="108" t="n">
        <v>6</v>
      </c>
      <c r="F1186" s="109" t="n">
        <f aca="false">ROUND(B1186*E1186,2)</f>
        <v>6</v>
      </c>
      <c r="H1186" s="110" t="n">
        <v>1</v>
      </c>
      <c r="I1186" s="111" t="n">
        <v>6</v>
      </c>
      <c r="J1186" s="112" t="n">
        <f aca="false">ROUND(H1186*I1186,2)</f>
        <v>6</v>
      </c>
      <c r="L1186" s="113" t="n">
        <v>1</v>
      </c>
      <c r="M1186" s="114" t="n">
        <v>6</v>
      </c>
      <c r="N1186" s="115" t="n">
        <f aca="false">ROUND(L1186*M1186,2)</f>
        <v>6</v>
      </c>
    </row>
    <row r="1187" customFormat="false" ht="15" hidden="false" customHeight="false" outlineLevel="0" collapsed="false">
      <c r="A1187" s="104" t="s">
        <v>140</v>
      </c>
      <c r="B1187" s="105" t="n">
        <v>30</v>
      </c>
      <c r="C1187" s="106" t="n">
        <f aca="false">$N$1178-$L$1178+1</f>
        <v>30</v>
      </c>
      <c r="D1187" s="107" t="n">
        <v>0.5736</v>
      </c>
      <c r="E1187" s="108" t="n">
        <v>0.01274</v>
      </c>
      <c r="F1187" s="109" t="n">
        <f aca="false">ROUND(B1187*E1187,2)</f>
        <v>0.38</v>
      </c>
      <c r="H1187" s="110" t="n">
        <v>30</v>
      </c>
      <c r="I1187" s="111" t="n">
        <v>0.01274</v>
      </c>
      <c r="J1187" s="112" t="n">
        <f aca="false">ROUND(H1187*I1187,2)</f>
        <v>0.38</v>
      </c>
      <c r="L1187" s="113" t="n">
        <v>30</v>
      </c>
      <c r="M1187" s="114" t="n">
        <v>0.00629</v>
      </c>
      <c r="N1187" s="115" t="n">
        <f aca="false">ROUND(L1187*M1187,2)</f>
        <v>0.19</v>
      </c>
    </row>
    <row r="1188" customFormat="false" ht="15" hidden="false" customHeight="false" outlineLevel="0" collapsed="false">
      <c r="A1188" s="104" t="s">
        <v>141</v>
      </c>
      <c r="B1188" s="105" t="n">
        <v>2.4</v>
      </c>
      <c r="C1188" s="118"/>
      <c r="D1188" s="107" t="n">
        <v>0.27312</v>
      </c>
      <c r="E1188" s="108" t="n">
        <v>1</v>
      </c>
      <c r="F1188" s="109" t="n">
        <f aca="false">ROUND(B1188*E1188,2)</f>
        <v>2.4</v>
      </c>
      <c r="H1188" s="110" t="n">
        <v>2.53</v>
      </c>
      <c r="I1188" s="111" t="n">
        <v>1</v>
      </c>
      <c r="J1188" s="112" t="n">
        <f aca="false">ROUND(H1188*I1188,2)</f>
        <v>2.53</v>
      </c>
      <c r="L1188" s="113" t="n">
        <v>3.33</v>
      </c>
      <c r="M1188" s="114" t="n">
        <v>1</v>
      </c>
      <c r="N1188" s="115" t="n">
        <f aca="false">ROUND(L1188*M1188,2)</f>
        <v>3.33</v>
      </c>
    </row>
    <row r="1189" customFormat="false" ht="15" hidden="false" customHeight="false" outlineLevel="0" collapsed="false">
      <c r="A1189" s="121" t="s">
        <v>142</v>
      </c>
      <c r="F1189" s="122" t="n">
        <f aca="false">ROUND((SUM(F1181:F1188)-F1188)*1.1+F1188,2)</f>
        <v>79.68</v>
      </c>
      <c r="J1189" s="123" t="n">
        <f aca="false">ROUND(SUM(J1181:J1188),2)</f>
        <v>72.16</v>
      </c>
      <c r="N1189" s="124" t="n">
        <f aca="false">ROUND(SUM(N1181:N1188),2)</f>
        <v>90.74</v>
      </c>
    </row>
    <row r="1190" customFormat="false" ht="15" hidden="false" customHeight="false" outlineLevel="0" collapsed="false">
      <c r="A1190" s="93" t="s">
        <v>143</v>
      </c>
      <c r="B1190" s="125" t="n">
        <f aca="false">IF((F1185+F1184+F1183+F1181+F1182)=0,"",((F1185+F1184+F1183+F1181+F1182)-$AB$1183)/(F1185+F1184+F1183+F1181+F1182))</f>
        <v>0.267331945138563</v>
      </c>
      <c r="D1190" s="126" t="str">
        <f aca="false">IF(B1190="","SIN PC",IF(B1190&gt;=0.3,"APROBAR",IF(B1190&gt;=0.2,"REVISAR","RECHAZAR")))</f>
        <v>REVISAR</v>
      </c>
      <c r="E1190" s="126"/>
      <c r="F1190" s="126"/>
      <c r="AD1190" s="0" t="n">
        <f aca="false">SUM(F1183:F1185)-22.5019</f>
        <v>-0.00189999999999912</v>
      </c>
    </row>
    <row r="1191" customFormat="false" ht="15" hidden="false" customHeight="false" outlineLevel="0" collapsed="false">
      <c r="A1191" s="127" t="s">
        <v>744</v>
      </c>
      <c r="B1191" s="127"/>
      <c r="C1191" s="127"/>
      <c r="D1191" s="127"/>
      <c r="E1191" s="127"/>
      <c r="F1191" s="127"/>
    </row>
    <row r="1192" customFormat="false" ht="15" hidden="false" customHeight="false" outlineLevel="0" collapsed="false">
      <c r="A1192" s="128" t="s">
        <v>111</v>
      </c>
      <c r="B1192" s="128" t="s">
        <v>745</v>
      </c>
      <c r="D1192" s="128" t="s">
        <v>746</v>
      </c>
      <c r="E1192" s="128" t="s">
        <v>747</v>
      </c>
      <c r="F1192" s="128" t="s">
        <v>120</v>
      </c>
    </row>
    <row r="1193" customFormat="false" ht="15" hidden="false" customHeight="false" outlineLevel="0" collapsed="false">
      <c r="A1193" s="129" t="s">
        <v>748</v>
      </c>
      <c r="B1193" s="130" t="n">
        <v>524</v>
      </c>
      <c r="C1193" s="131"/>
      <c r="D1193" s="107" t="n">
        <v>0.06</v>
      </c>
      <c r="E1193" s="131"/>
      <c r="F1193" s="132" t="n">
        <f aca="false">ROUND(B1193*D1193,2)</f>
        <v>31.44</v>
      </c>
    </row>
    <row r="1194" customFormat="false" ht="15" hidden="false" customHeight="false" outlineLevel="0" collapsed="false">
      <c r="A1194" s="129" t="s">
        <v>749</v>
      </c>
      <c r="B1194" s="131"/>
      <c r="C1194" s="131"/>
      <c r="D1194" s="131"/>
      <c r="E1194" s="133" t="n">
        <v>0.06</v>
      </c>
      <c r="F1194" s="132" t="n">
        <v>17.17</v>
      </c>
    </row>
    <row r="1195" customFormat="false" ht="15" hidden="false" customHeight="false" outlineLevel="0" collapsed="false">
      <c r="A1195" s="134" t="s">
        <v>750</v>
      </c>
      <c r="B1195" s="131"/>
      <c r="C1195" s="131"/>
      <c r="D1195" s="131"/>
      <c r="E1195" s="131"/>
      <c r="F1195" s="135" t="n">
        <f aca="false">F1193-F1194</f>
        <v>14.27</v>
      </c>
    </row>
    <row r="1197" customFormat="false" ht="15" hidden="false" customHeight="false" outlineLevel="0" collapsed="false">
      <c r="A1197" s="89" t="s">
        <v>1194</v>
      </c>
      <c r="B1197" s="89"/>
      <c r="C1197" s="89"/>
      <c r="D1197" s="89"/>
      <c r="E1197" s="89"/>
      <c r="F1197" s="89"/>
      <c r="H1197" s="89" t="s">
        <v>1195</v>
      </c>
      <c r="I1197" s="89"/>
      <c r="J1197" s="89"/>
      <c r="K1197" s="89"/>
      <c r="L1197" s="90" t="n">
        <v>46113</v>
      </c>
      <c r="M1197" s="91" t="s">
        <v>608</v>
      </c>
      <c r="N1197" s="90" t="n">
        <v>46142</v>
      </c>
      <c r="R1197" s="92" t="s">
        <v>110</v>
      </c>
      <c r="S1197" s="92"/>
      <c r="T1197" s="92"/>
      <c r="U1197" s="92"/>
      <c r="V1197" s="92"/>
    </row>
    <row r="1198" customFormat="false" ht="15" hidden="false" customHeight="false" outlineLevel="0" collapsed="false">
      <c r="A1198" s="93" t="s">
        <v>111</v>
      </c>
      <c r="B1198" s="94" t="s">
        <v>112</v>
      </c>
      <c r="C1198" s="95"/>
      <c r="D1198" s="95"/>
      <c r="E1198" s="95"/>
      <c r="F1198" s="95"/>
      <c r="H1198" s="96" t="s">
        <v>1196</v>
      </c>
      <c r="I1198" s="97"/>
      <c r="J1198" s="97"/>
      <c r="L1198" s="98" t="s">
        <v>1197</v>
      </c>
      <c r="M1198" s="99"/>
      <c r="N1198" s="99"/>
      <c r="R1198" s="100" t="s">
        <v>1198</v>
      </c>
    </row>
    <row r="1199" customFormat="false" ht="15" hidden="false" customHeight="false" outlineLevel="0" collapsed="false">
      <c r="B1199" s="81" t="s">
        <v>116</v>
      </c>
      <c r="C1199" s="81" t="s">
        <v>117</v>
      </c>
      <c r="D1199" s="81" t="s">
        <v>118</v>
      </c>
      <c r="E1199" s="81" t="s">
        <v>119</v>
      </c>
      <c r="F1199" s="81" t="s">
        <v>120</v>
      </c>
      <c r="H1199" s="101" t="s">
        <v>116</v>
      </c>
      <c r="I1199" s="101" t="s">
        <v>119</v>
      </c>
      <c r="J1199" s="101" t="s">
        <v>120</v>
      </c>
      <c r="L1199" s="102" t="s">
        <v>116</v>
      </c>
      <c r="M1199" s="102" t="s">
        <v>119</v>
      </c>
      <c r="N1199" s="102" t="s">
        <v>120</v>
      </c>
      <c r="R1199" s="103" t="s">
        <v>1199</v>
      </c>
    </row>
    <row r="1200" customFormat="false" ht="15" hidden="false" customHeight="false" outlineLevel="0" collapsed="false">
      <c r="A1200" s="104" t="s">
        <v>122</v>
      </c>
      <c r="B1200" s="105" t="n">
        <v>5.75</v>
      </c>
      <c r="C1200" s="106" t="n">
        <f aca="false">$N$1197-$L$1197+1</f>
        <v>30</v>
      </c>
      <c r="D1200" s="107" t="n">
        <v>3.68919</v>
      </c>
      <c r="E1200" s="108" t="n">
        <v>4.17</v>
      </c>
      <c r="F1200" s="109" t="n">
        <f aca="false">ROUND(B1200*E1200,2)</f>
        <v>23.98</v>
      </c>
      <c r="H1200" s="110" t="n">
        <v>5.75</v>
      </c>
      <c r="I1200" s="111" t="n">
        <v>4.17</v>
      </c>
      <c r="J1200" s="112" t="n">
        <f aca="false">ROUND(H1200*I1200,2)</f>
        <v>23.98</v>
      </c>
      <c r="L1200" s="113" t="n">
        <v>5.75</v>
      </c>
      <c r="M1200" s="114" t="n">
        <v>4.17</v>
      </c>
      <c r="N1200" s="115" t="n">
        <f aca="false">ROUND(L1200*M1200,2)</f>
        <v>23.98</v>
      </c>
      <c r="R1200" s="116" t="s">
        <v>1200</v>
      </c>
    </row>
    <row r="1201" customFormat="false" ht="15" hidden="false" customHeight="false" outlineLevel="0" collapsed="false">
      <c r="A1201" s="104" t="s">
        <v>124</v>
      </c>
      <c r="B1201" s="105" t="n">
        <v>5.75</v>
      </c>
      <c r="C1201" s="106" t="n">
        <f aca="false">$N$1197-$L$1197+1</f>
        <v>30</v>
      </c>
      <c r="D1201" s="107" t="n">
        <v>1.31928</v>
      </c>
      <c r="E1201" s="108" t="n">
        <v>1.37</v>
      </c>
      <c r="F1201" s="109" t="n">
        <f aca="false">ROUND(B1201*E1201,2)</f>
        <v>7.88</v>
      </c>
      <c r="H1201" s="110" t="n">
        <v>5.75</v>
      </c>
      <c r="I1201" s="111" t="n">
        <v>1.37</v>
      </c>
      <c r="J1201" s="112" t="n">
        <f aca="false">ROUND(H1201*I1201,2)</f>
        <v>7.88</v>
      </c>
      <c r="L1201" s="113" t="n">
        <v>5.75</v>
      </c>
      <c r="M1201" s="114" t="n">
        <v>1.37</v>
      </c>
      <c r="N1201" s="115" t="n">
        <f aca="false">ROUND(L1201*M1201,2)</f>
        <v>7.88</v>
      </c>
      <c r="R1201" s="117" t="s">
        <v>1201</v>
      </c>
    </row>
    <row r="1202" customFormat="false" ht="15" hidden="false" customHeight="false" outlineLevel="0" collapsed="false">
      <c r="A1202" s="104" t="s">
        <v>615</v>
      </c>
      <c r="B1202" s="105" t="n">
        <f aca="false">IF($P$1202&lt;&gt;"",ROUND(AA1202*(($AB$1202/(1-$P$1202))-31.855)/74.1698,2),IF('Resumen 2.0TD'!$D$3="OPTIMIZAR",ROUND(MAX(AA1202,MIN(AA1202*(($AB$1202/(1-'Resumen 2.0TD'!$F$3))-31.855)/74.1698,AA1202*(173.0728)/74.1698)),3),AA1202))</f>
        <v>209.96</v>
      </c>
      <c r="C1202" s="118"/>
      <c r="D1202" s="107" t="n">
        <v>0.111171</v>
      </c>
      <c r="E1202" s="108" t="n">
        <v>0.135</v>
      </c>
      <c r="F1202" s="109" t="n">
        <f aca="false">ROUND(B1202*E1202,2)</f>
        <v>28.34</v>
      </c>
      <c r="H1202" s="110" t="n">
        <v>207.556</v>
      </c>
      <c r="I1202" s="111" t="n">
        <v>0.139</v>
      </c>
      <c r="J1202" s="112" t="n">
        <f aca="false">ROUND(H1202*I1202,2)</f>
        <v>28.85</v>
      </c>
      <c r="L1202" s="113" t="n">
        <v>226.375</v>
      </c>
      <c r="M1202" s="114" t="n">
        <v>0.14937</v>
      </c>
      <c r="N1202" s="115" t="n">
        <f aca="false">ROUND(L1202*M1202,2)</f>
        <v>33.81</v>
      </c>
      <c r="O1202" s="119" t="s">
        <v>616</v>
      </c>
      <c r="P1202" s="79"/>
      <c r="R1202" s="117" t="s">
        <v>1202</v>
      </c>
      <c r="AA1202" s="0" t="n">
        <v>209.96</v>
      </c>
      <c r="AB1202" s="0" t="n">
        <f aca="false">B1200*D1200+B1201*D1201+AA1202*D1202+AA1203*D1203+AA1204*D1204</f>
        <v>89.876716926</v>
      </c>
    </row>
    <row r="1203" customFormat="false" ht="15" hidden="false" customHeight="false" outlineLevel="0" collapsed="false">
      <c r="A1203" s="104" t="s">
        <v>618</v>
      </c>
      <c r="B1203" s="105" t="n">
        <f aca="false">IF($P$1202&lt;&gt;"",ROUND(AA1203*(($AB$1202/(1-$P$1202))-31.855)/74.1698,2),IF('Resumen 2.0TD'!$D$3="OPTIMIZAR",ROUND(MAX(AA1203,MIN(AA1203*(($AB$1202/(1-'Resumen 2.0TD'!$F$3))-31.855)/74.1698,AA1203*(173.0728)/74.1698)),3),AA1203))</f>
        <v>122.245</v>
      </c>
      <c r="C1203" s="118"/>
      <c r="D1203" s="107" t="n">
        <v>0.111171</v>
      </c>
      <c r="E1203" s="108" t="n">
        <v>0.135</v>
      </c>
      <c r="F1203" s="109" t="n">
        <f aca="false">ROUND(B1203*E1203,2)</f>
        <v>16.5</v>
      </c>
      <c r="H1203" s="110" t="n">
        <v>169.317</v>
      </c>
      <c r="I1203" s="111" t="n">
        <v>0.13</v>
      </c>
      <c r="J1203" s="112" t="n">
        <f aca="false">ROUND(H1203*I1203,2)</f>
        <v>22.01</v>
      </c>
      <c r="L1203" s="113" t="n">
        <v>152.843</v>
      </c>
      <c r="M1203" s="114" t="n">
        <v>0.14937</v>
      </c>
      <c r="N1203" s="115" t="n">
        <f aca="false">ROUND(L1203*M1203,2)</f>
        <v>22.83</v>
      </c>
      <c r="O1203" s="120" t="s">
        <v>619</v>
      </c>
      <c r="R1203" s="117" t="s">
        <v>620</v>
      </c>
      <c r="AA1203" s="0" t="n">
        <v>122.245</v>
      </c>
    </row>
    <row r="1204" customFormat="false" ht="15" hidden="false" customHeight="false" outlineLevel="0" collapsed="false">
      <c r="A1204" s="104" t="s">
        <v>621</v>
      </c>
      <c r="B1204" s="105" t="n">
        <f aca="false">IF($P$1202&lt;&gt;"",ROUND(AA1204*(($AB$1202/(1-$P$1202))-31.855)/74.1698,2),IF('Resumen 2.0TD'!$D$3="OPTIMIZAR",ROUND(MAX(AA1204,MIN(AA1204*(($AB$1202/(1-'Resumen 2.0TD'!$F$3))-31.855)/74.1698,AA1204*(173.0728)/74.1698)),3),AA1204))</f>
        <v>217.201</v>
      </c>
      <c r="C1204" s="118"/>
      <c r="D1204" s="107" t="n">
        <v>0.111171</v>
      </c>
      <c r="E1204" s="108" t="n">
        <v>0.135</v>
      </c>
      <c r="F1204" s="109" t="n">
        <f aca="false">ROUND(B1204*E1204,2)</f>
        <v>29.32</v>
      </c>
      <c r="H1204" s="110" t="n">
        <v>245.327</v>
      </c>
      <c r="I1204" s="111" t="n">
        <v>0.13</v>
      </c>
      <c r="J1204" s="112" t="n">
        <f aca="false">ROUND(H1204*I1204,2)</f>
        <v>31.89</v>
      </c>
      <c r="L1204" s="113" t="n">
        <v>270.158</v>
      </c>
      <c r="M1204" s="114" t="n">
        <v>0.14937</v>
      </c>
      <c r="N1204" s="115" t="n">
        <f aca="false">ROUND(L1204*M1204,2)</f>
        <v>40.35</v>
      </c>
      <c r="O1204" s="120" t="s">
        <v>622</v>
      </c>
      <c r="AA1204" s="0" t="n">
        <v>217.201</v>
      </c>
    </row>
    <row r="1205" customFormat="false" ht="15" hidden="false" customHeight="false" outlineLevel="0" collapsed="false">
      <c r="A1205" s="104" t="s">
        <v>139</v>
      </c>
      <c r="B1205" s="105" t="n">
        <v>1</v>
      </c>
      <c r="C1205" s="106" t="n">
        <f aca="false">$N$1197-$L$1197+1</f>
        <v>30</v>
      </c>
      <c r="D1205" s="107" t="n">
        <v>0.7989</v>
      </c>
      <c r="E1205" s="108" t="n">
        <v>4</v>
      </c>
      <c r="F1205" s="109" t="n">
        <f aca="false">ROUND(B1205*E1205,2)</f>
        <v>4</v>
      </c>
      <c r="H1205" s="110" t="n">
        <v>1</v>
      </c>
      <c r="I1205" s="111" t="n">
        <v>4</v>
      </c>
      <c r="J1205" s="112" t="n">
        <f aca="false">ROUND(H1205*I1205,2)</f>
        <v>4</v>
      </c>
      <c r="L1205" s="113" t="n">
        <v>1</v>
      </c>
      <c r="M1205" s="114" t="n">
        <v>4</v>
      </c>
      <c r="N1205" s="115" t="n">
        <f aca="false">ROUND(L1205*M1205,2)</f>
        <v>4</v>
      </c>
    </row>
    <row r="1206" customFormat="false" ht="15" hidden="false" customHeight="false" outlineLevel="0" collapsed="false">
      <c r="A1206" s="104" t="s">
        <v>140</v>
      </c>
      <c r="B1206" s="105" t="n">
        <v>30</v>
      </c>
      <c r="C1206" s="106" t="n">
        <f aca="false">$N$1197-$L$1197+1</f>
        <v>30</v>
      </c>
      <c r="D1206" s="107" t="n">
        <v>0.5736</v>
      </c>
      <c r="E1206" s="108" t="n">
        <v>0.01274</v>
      </c>
      <c r="F1206" s="109" t="n">
        <f aca="false">ROUND(B1206*E1206,2)</f>
        <v>0.38</v>
      </c>
      <c r="H1206" s="110" t="n">
        <v>30</v>
      </c>
      <c r="I1206" s="111" t="n">
        <v>0.01274</v>
      </c>
      <c r="J1206" s="112" t="n">
        <f aca="false">ROUND(H1206*I1206,2)</f>
        <v>0.38</v>
      </c>
      <c r="L1206" s="113" t="n">
        <v>30</v>
      </c>
      <c r="M1206" s="114" t="n">
        <v>0.00629</v>
      </c>
      <c r="N1206" s="115" t="n">
        <f aca="false">ROUND(L1206*M1206,2)</f>
        <v>0.19</v>
      </c>
    </row>
    <row r="1207" customFormat="false" ht="15" hidden="false" customHeight="false" outlineLevel="0" collapsed="false">
      <c r="A1207" s="104" t="s">
        <v>141</v>
      </c>
      <c r="B1207" s="105" t="n">
        <v>5.83</v>
      </c>
      <c r="C1207" s="118"/>
      <c r="D1207" s="107" t="n">
        <v>0.27312</v>
      </c>
      <c r="E1207" s="108" t="n">
        <v>1</v>
      </c>
      <c r="F1207" s="109" t="n">
        <f aca="false">ROUND(B1207*E1207,2)</f>
        <v>5.83</v>
      </c>
      <c r="H1207" s="110" t="n">
        <v>6.4</v>
      </c>
      <c r="I1207" s="111" t="n">
        <v>1</v>
      </c>
      <c r="J1207" s="112" t="n">
        <f aca="false">ROUND(H1207*I1207,2)</f>
        <v>6.4</v>
      </c>
      <c r="L1207" s="113" t="n">
        <v>6.59</v>
      </c>
      <c r="M1207" s="114" t="n">
        <v>1</v>
      </c>
      <c r="N1207" s="115" t="n">
        <f aca="false">ROUND(L1207*M1207,2)</f>
        <v>6.59</v>
      </c>
    </row>
    <row r="1208" customFormat="false" ht="15" hidden="false" customHeight="false" outlineLevel="0" collapsed="false">
      <c r="A1208" s="121" t="s">
        <v>142</v>
      </c>
      <c r="F1208" s="122" t="n">
        <f aca="false">ROUND((SUM(F1200:F1207)-F1207)*1.1+F1207,2)</f>
        <v>127.27</v>
      </c>
      <c r="J1208" s="123" t="n">
        <f aca="false">ROUND(SUM(J1200:J1207),2)</f>
        <v>125.39</v>
      </c>
      <c r="N1208" s="124" t="n">
        <f aca="false">ROUND(SUM(N1200:N1207),2)</f>
        <v>139.63</v>
      </c>
    </row>
    <row r="1209" customFormat="false" ht="15" hidden="false" customHeight="false" outlineLevel="0" collapsed="false">
      <c r="A1209" s="93" t="s">
        <v>143</v>
      </c>
      <c r="B1209" s="125" t="n">
        <f aca="false">IF((F1204+F1203+F1202+F1200+F1201)=0,"",((F1204+F1203+F1202+F1200+F1201)-$AB$1202)/(F1204+F1203+F1202+F1200+F1201))</f>
        <v>0.152266393831353</v>
      </c>
      <c r="D1209" s="126" t="str">
        <f aca="false">IF(B1209="","SIN PC",IF(B1209&gt;=0.3,"APROBAR",IF(B1209&gt;=0.2,"REVISAR","RECHAZAR")))</f>
        <v>RECHAZAR</v>
      </c>
      <c r="E1209" s="126"/>
      <c r="F1209" s="126"/>
      <c r="AD1209" s="0" t="n">
        <f aca="false">SUM(F1202:F1204)-74.1698</f>
        <v>-0.00979999999999848</v>
      </c>
    </row>
    <row r="1211" customFormat="false" ht="15" hidden="false" customHeight="false" outlineLevel="0" collapsed="false">
      <c r="A1211" s="89" t="s">
        <v>1203</v>
      </c>
      <c r="B1211" s="89"/>
      <c r="C1211" s="89"/>
      <c r="D1211" s="89"/>
      <c r="E1211" s="89"/>
      <c r="F1211" s="89"/>
      <c r="H1211" s="89" t="s">
        <v>1204</v>
      </c>
      <c r="I1211" s="89"/>
      <c r="J1211" s="89"/>
      <c r="K1211" s="89"/>
      <c r="L1211" s="90" t="n">
        <v>46113</v>
      </c>
      <c r="M1211" s="91" t="s">
        <v>608</v>
      </c>
      <c r="N1211" s="90" t="n">
        <v>46142</v>
      </c>
      <c r="R1211" s="92" t="s">
        <v>110</v>
      </c>
      <c r="S1211" s="92"/>
      <c r="T1211" s="92"/>
      <c r="U1211" s="92"/>
      <c r="V1211" s="92"/>
    </row>
    <row r="1212" customFormat="false" ht="15" hidden="false" customHeight="false" outlineLevel="0" collapsed="false">
      <c r="A1212" s="93" t="s">
        <v>111</v>
      </c>
      <c r="B1212" s="94" t="s">
        <v>112</v>
      </c>
      <c r="C1212" s="95"/>
      <c r="D1212" s="95"/>
      <c r="E1212" s="95"/>
      <c r="F1212" s="95"/>
      <c r="H1212" s="96" t="s">
        <v>1205</v>
      </c>
      <c r="I1212" s="97"/>
      <c r="J1212" s="97"/>
      <c r="L1212" s="98" t="s">
        <v>1206</v>
      </c>
      <c r="M1212" s="99"/>
      <c r="N1212" s="99"/>
      <c r="R1212" s="100" t="s">
        <v>1207</v>
      </c>
    </row>
    <row r="1213" customFormat="false" ht="15" hidden="false" customHeight="false" outlineLevel="0" collapsed="false">
      <c r="B1213" s="81" t="s">
        <v>116</v>
      </c>
      <c r="C1213" s="81" t="s">
        <v>117</v>
      </c>
      <c r="D1213" s="81" t="s">
        <v>118</v>
      </c>
      <c r="E1213" s="81" t="s">
        <v>119</v>
      </c>
      <c r="F1213" s="81" t="s">
        <v>120</v>
      </c>
      <c r="H1213" s="101" t="s">
        <v>116</v>
      </c>
      <c r="I1213" s="101" t="s">
        <v>119</v>
      </c>
      <c r="J1213" s="101" t="s">
        <v>120</v>
      </c>
      <c r="L1213" s="102" t="s">
        <v>116</v>
      </c>
      <c r="M1213" s="102" t="s">
        <v>119</v>
      </c>
      <c r="N1213" s="102" t="s">
        <v>120</v>
      </c>
      <c r="R1213" s="103" t="s">
        <v>1208</v>
      </c>
    </row>
    <row r="1214" customFormat="false" ht="15" hidden="false" customHeight="false" outlineLevel="0" collapsed="false">
      <c r="A1214" s="104" t="s">
        <v>122</v>
      </c>
      <c r="B1214" s="105" t="n">
        <v>5.5</v>
      </c>
      <c r="C1214" s="106" t="n">
        <f aca="false">$N$1211-$L$1211+1</f>
        <v>30</v>
      </c>
      <c r="D1214" s="107" t="n">
        <v>3.68919</v>
      </c>
      <c r="E1214" s="108" t="n">
        <v>3.85</v>
      </c>
      <c r="F1214" s="109" t="n">
        <f aca="false">ROUND(B1214*E1214,2)</f>
        <v>21.18</v>
      </c>
      <c r="H1214" s="110" t="n">
        <v>5.5</v>
      </c>
      <c r="I1214" s="111" t="n">
        <v>3.85</v>
      </c>
      <c r="J1214" s="112" t="n">
        <f aca="false">ROUND(H1214*I1214,2)</f>
        <v>21.18</v>
      </c>
      <c r="L1214" s="113" t="n">
        <v>5.5</v>
      </c>
      <c r="M1214" s="114" t="n">
        <v>3.85</v>
      </c>
      <c r="N1214" s="115" t="n">
        <f aca="false">ROUND(L1214*M1214,2)</f>
        <v>21.18</v>
      </c>
      <c r="R1214" s="116" t="s">
        <v>1209</v>
      </c>
    </row>
    <row r="1215" customFormat="false" ht="15" hidden="false" customHeight="false" outlineLevel="0" collapsed="false">
      <c r="A1215" s="104" t="s">
        <v>124</v>
      </c>
      <c r="B1215" s="105" t="n">
        <v>5.5</v>
      </c>
      <c r="C1215" s="106" t="n">
        <f aca="false">$N$1211-$L$1211+1</f>
        <v>30</v>
      </c>
      <c r="D1215" s="107" t="n">
        <v>1.31928</v>
      </c>
      <c r="E1215" s="108" t="n">
        <v>1.33</v>
      </c>
      <c r="F1215" s="109" t="n">
        <f aca="false">ROUND(B1215*E1215,2)</f>
        <v>7.32</v>
      </c>
      <c r="H1215" s="110" t="n">
        <v>5.5</v>
      </c>
      <c r="I1215" s="111" t="n">
        <v>1.33</v>
      </c>
      <c r="J1215" s="112" t="n">
        <f aca="false">ROUND(H1215*I1215,2)</f>
        <v>7.32</v>
      </c>
      <c r="L1215" s="113" t="n">
        <v>5.5</v>
      </c>
      <c r="M1215" s="114" t="n">
        <v>1.33</v>
      </c>
      <c r="N1215" s="115" t="n">
        <f aca="false">ROUND(L1215*M1215,2)</f>
        <v>7.32</v>
      </c>
      <c r="R1215" s="117" t="s">
        <v>1210</v>
      </c>
    </row>
    <row r="1216" customFormat="false" ht="15" hidden="false" customHeight="false" outlineLevel="0" collapsed="false">
      <c r="A1216" s="104" t="s">
        <v>615</v>
      </c>
      <c r="B1216" s="105" t="n">
        <f aca="false">IF($P$1216&lt;&gt;"",ROUND(AA1216*(($AB$1216/(1-$P$1216))-28.49)/20.4834,2),IF('Resumen 2.0TD'!$D$3="OPTIMIZAR",ROUND(MAX(AA1216,MIN(AA1216*(($AB$1216/(1-'Resumen 2.0TD'!$F$3))-28.49)/20.4834,AA1216*(60.5613)/20.4834)),3),AA1216))</f>
        <v>53.507</v>
      </c>
      <c r="C1216" s="118"/>
      <c r="D1216" s="107" t="n">
        <v>0.111171</v>
      </c>
      <c r="E1216" s="108" t="n">
        <v>0.129</v>
      </c>
      <c r="F1216" s="109" t="n">
        <f aca="false">ROUND(B1216*E1216,2)</f>
        <v>6.9</v>
      </c>
      <c r="H1216" s="110" t="n">
        <v>92.627</v>
      </c>
      <c r="I1216" s="111" t="n">
        <v>0.129</v>
      </c>
      <c r="J1216" s="112" t="n">
        <f aca="false">ROUND(H1216*I1216,2)</f>
        <v>11.95</v>
      </c>
      <c r="L1216" s="113" t="n">
        <v>51.292</v>
      </c>
      <c r="M1216" s="114" t="n">
        <v>0.129</v>
      </c>
      <c r="N1216" s="115" t="n">
        <f aca="false">ROUND(L1216*M1216,2)</f>
        <v>6.62</v>
      </c>
      <c r="O1216" s="119" t="s">
        <v>616</v>
      </c>
      <c r="P1216" s="79"/>
      <c r="R1216" s="117" t="s">
        <v>1211</v>
      </c>
      <c r="AA1216" s="0" t="n">
        <v>53.507</v>
      </c>
      <c r="AB1216" s="0" t="n">
        <f aca="false">B1214*D1214+B1215*D1215+AA1216*D1216+AA1217*D1217+AA1218*D1218</f>
        <v>45.198983406</v>
      </c>
    </row>
    <row r="1217" customFormat="false" ht="15" hidden="false" customHeight="false" outlineLevel="0" collapsed="false">
      <c r="A1217" s="104" t="s">
        <v>618</v>
      </c>
      <c r="B1217" s="105" t="n">
        <f aca="false">IF($P$1216&lt;&gt;"",ROUND(AA1217*(($AB$1216/(1-$P$1216))-28.49)/20.4834,2),IF('Resumen 2.0TD'!$D$3="OPTIMIZAR",ROUND(MAX(AA1217,MIN(AA1217*(($AB$1216/(1-'Resumen 2.0TD'!$F$3))-28.49)/20.4834,AA1217*(60.5613)/20.4834)),3),AA1217))</f>
        <v>42.168</v>
      </c>
      <c r="C1217" s="118"/>
      <c r="D1217" s="107" t="n">
        <v>0.111171</v>
      </c>
      <c r="E1217" s="108" t="n">
        <v>0.129</v>
      </c>
      <c r="F1217" s="109" t="n">
        <f aca="false">ROUND(B1217*E1217,2)</f>
        <v>5.44</v>
      </c>
      <c r="H1217" s="110" t="n">
        <v>63.818</v>
      </c>
      <c r="I1217" s="111" t="n">
        <v>0.129</v>
      </c>
      <c r="J1217" s="112" t="n">
        <f aca="false">ROUND(H1217*I1217,2)</f>
        <v>8.23</v>
      </c>
      <c r="L1217" s="113" t="n">
        <v>37.431</v>
      </c>
      <c r="M1217" s="114" t="n">
        <v>0.129</v>
      </c>
      <c r="N1217" s="115" t="n">
        <f aca="false">ROUND(L1217*M1217,2)</f>
        <v>4.83</v>
      </c>
      <c r="O1217" s="120" t="s">
        <v>619</v>
      </c>
      <c r="R1217" s="117" t="s">
        <v>620</v>
      </c>
      <c r="AA1217" s="0" t="n">
        <v>42.168</v>
      </c>
    </row>
    <row r="1218" customFormat="false" ht="15" hidden="false" customHeight="false" outlineLevel="0" collapsed="false">
      <c r="A1218" s="104" t="s">
        <v>621</v>
      </c>
      <c r="B1218" s="105" t="n">
        <f aca="false">IF($P$1216&lt;&gt;"",ROUND(AA1218*(($AB$1216/(1-$P$1216))-28.49)/20.4834,2),IF('Resumen 2.0TD'!$D$3="OPTIMIZAR",ROUND(MAX(AA1218,MIN(AA1218*(($AB$1216/(1-'Resumen 2.0TD'!$F$3))-28.49)/20.4834,AA1218*(60.5613)/20.4834)),3),AA1218))</f>
        <v>63.111</v>
      </c>
      <c r="C1218" s="118"/>
      <c r="D1218" s="107" t="n">
        <v>0.111171</v>
      </c>
      <c r="E1218" s="108" t="n">
        <v>0.129</v>
      </c>
      <c r="F1218" s="109" t="n">
        <f aca="false">ROUND(B1218*E1218,2)</f>
        <v>8.14</v>
      </c>
      <c r="H1218" s="110" t="n">
        <v>111.282</v>
      </c>
      <c r="I1218" s="111" t="n">
        <v>0.129</v>
      </c>
      <c r="J1218" s="112" t="n">
        <f aca="false">ROUND(H1218*I1218,2)</f>
        <v>14.36</v>
      </c>
      <c r="L1218" s="113" t="n">
        <v>57.706</v>
      </c>
      <c r="M1218" s="114" t="n">
        <v>0.129</v>
      </c>
      <c r="N1218" s="115" t="n">
        <f aca="false">ROUND(L1218*M1218,2)</f>
        <v>7.44</v>
      </c>
      <c r="O1218" s="120" t="s">
        <v>622</v>
      </c>
      <c r="AA1218" s="0" t="n">
        <v>63.111</v>
      </c>
    </row>
    <row r="1219" customFormat="false" ht="15" hidden="false" customHeight="false" outlineLevel="0" collapsed="false">
      <c r="A1219" s="104" t="s">
        <v>139</v>
      </c>
      <c r="B1219" s="105" t="n">
        <v>1</v>
      </c>
      <c r="C1219" s="106" t="n">
        <f aca="false">$N$1211-$L$1211+1</f>
        <v>30</v>
      </c>
      <c r="D1219" s="107" t="n">
        <v>0.7989</v>
      </c>
      <c r="E1219" s="108" t="n">
        <v>3</v>
      </c>
      <c r="F1219" s="109" t="n">
        <f aca="false">ROUND(B1219*E1219,2)</f>
        <v>3</v>
      </c>
      <c r="H1219" s="110" t="n">
        <v>1</v>
      </c>
      <c r="I1219" s="111" t="n">
        <v>3</v>
      </c>
      <c r="J1219" s="112" t="n">
        <f aca="false">ROUND(H1219*I1219,2)</f>
        <v>3</v>
      </c>
      <c r="L1219" s="113" t="n">
        <v>1</v>
      </c>
      <c r="M1219" s="114" t="n">
        <v>3</v>
      </c>
      <c r="N1219" s="115" t="n">
        <f aca="false">ROUND(L1219*M1219,2)</f>
        <v>3</v>
      </c>
    </row>
    <row r="1220" customFormat="false" ht="15" hidden="false" customHeight="false" outlineLevel="0" collapsed="false">
      <c r="A1220" s="104" t="s">
        <v>140</v>
      </c>
      <c r="B1220" s="105" t="n">
        <v>30</v>
      </c>
      <c r="C1220" s="106" t="n">
        <f aca="false">$N$1211-$L$1211+1</f>
        <v>30</v>
      </c>
      <c r="D1220" s="107" t="n">
        <v>0.5736</v>
      </c>
      <c r="E1220" s="108" t="n">
        <v>0.00629</v>
      </c>
      <c r="F1220" s="109" t="n">
        <f aca="false">ROUND(B1220*E1220,2)</f>
        <v>0.19</v>
      </c>
      <c r="H1220" s="110" t="n">
        <v>30</v>
      </c>
      <c r="I1220" s="111" t="n">
        <v>0.00629</v>
      </c>
      <c r="J1220" s="112" t="n">
        <f aca="false">ROUND(H1220*I1220,2)</f>
        <v>0.19</v>
      </c>
      <c r="L1220" s="113" t="n">
        <v>30</v>
      </c>
      <c r="M1220" s="114" t="n">
        <v>0.00629</v>
      </c>
      <c r="N1220" s="115" t="n">
        <f aca="false">ROUND(L1220*M1220,2)</f>
        <v>0.19</v>
      </c>
    </row>
    <row r="1221" customFormat="false" ht="15" hidden="false" customHeight="false" outlineLevel="0" collapsed="false">
      <c r="A1221" s="104" t="s">
        <v>141</v>
      </c>
      <c r="B1221" s="105" t="n">
        <v>2.51</v>
      </c>
      <c r="C1221" s="118"/>
      <c r="D1221" s="107" t="n">
        <v>0.27312</v>
      </c>
      <c r="E1221" s="108" t="n">
        <v>1</v>
      </c>
      <c r="F1221" s="109" t="n">
        <f aca="false">ROUND(B1221*E1221,2)</f>
        <v>2.51</v>
      </c>
      <c r="H1221" s="110" t="n">
        <v>3.23</v>
      </c>
      <c r="I1221" s="111" t="n">
        <v>1</v>
      </c>
      <c r="J1221" s="112" t="n">
        <f aca="false">ROUND(H1221*I1221,2)</f>
        <v>3.23</v>
      </c>
      <c r="L1221" s="113" t="n">
        <v>2.43</v>
      </c>
      <c r="M1221" s="114" t="n">
        <v>1</v>
      </c>
      <c r="N1221" s="115" t="n">
        <f aca="false">ROUND(L1221*M1221,2)</f>
        <v>2.43</v>
      </c>
    </row>
    <row r="1222" customFormat="false" ht="15" hidden="false" customHeight="false" outlineLevel="0" collapsed="false">
      <c r="A1222" s="121" t="s">
        <v>142</v>
      </c>
      <c r="F1222" s="122" t="n">
        <f aca="false">ROUND((SUM(F1214:F1221)-F1221)*1.1+F1221,2)</f>
        <v>59.9</v>
      </c>
      <c r="J1222" s="123" t="n">
        <f aca="false">ROUND(SUM(J1214:J1221),2)</f>
        <v>69.46</v>
      </c>
      <c r="N1222" s="124" t="n">
        <f aca="false">ROUND(SUM(N1214:N1221),2)</f>
        <v>53.01</v>
      </c>
    </row>
    <row r="1223" customFormat="false" ht="15" hidden="false" customHeight="false" outlineLevel="0" collapsed="false">
      <c r="A1223" s="93" t="s">
        <v>143</v>
      </c>
      <c r="B1223" s="125" t="n">
        <f aca="false">IF((F1218+F1217+F1216+F1214+F1215)=0,"",((F1218+F1217+F1216+F1214+F1215)-$AB$1216)/(F1218+F1217+F1216+F1214+F1215))</f>
        <v>0.0771951121682319</v>
      </c>
      <c r="D1223" s="126" t="str">
        <f aca="false">IF(B1223="","SIN PC",IF(B1223&gt;=0.3,"APROBAR",IF(B1223&gt;=0.2,"REVISAR","RECHAZAR")))</f>
        <v>RECHAZAR</v>
      </c>
      <c r="E1223" s="126"/>
      <c r="F1223" s="126"/>
      <c r="AD1223" s="0" t="n">
        <f aca="false">SUM(F1216:F1218)-20.4834</f>
        <v>-0.00339999999999918</v>
      </c>
    </row>
    <row r="1225" customFormat="false" ht="15" hidden="false" customHeight="false" outlineLevel="0" collapsed="false">
      <c r="A1225" s="89" t="s">
        <v>1212</v>
      </c>
      <c r="B1225" s="89"/>
      <c r="C1225" s="89"/>
      <c r="D1225" s="89"/>
      <c r="E1225" s="89"/>
      <c r="F1225" s="89"/>
      <c r="H1225" s="89" t="s">
        <v>1213</v>
      </c>
      <c r="I1225" s="89"/>
      <c r="J1225" s="89"/>
      <c r="K1225" s="89"/>
      <c r="L1225" s="90" t="n">
        <v>46113</v>
      </c>
      <c r="M1225" s="91" t="s">
        <v>608</v>
      </c>
      <c r="N1225" s="90" t="n">
        <v>46142</v>
      </c>
      <c r="R1225" s="92" t="s">
        <v>110</v>
      </c>
      <c r="S1225" s="92"/>
      <c r="T1225" s="92"/>
      <c r="U1225" s="92"/>
      <c r="V1225" s="92"/>
    </row>
    <row r="1226" customFormat="false" ht="15" hidden="false" customHeight="false" outlineLevel="0" collapsed="false">
      <c r="A1226" s="93" t="s">
        <v>111</v>
      </c>
      <c r="B1226" s="94" t="s">
        <v>112</v>
      </c>
      <c r="C1226" s="95"/>
      <c r="D1226" s="95"/>
      <c r="E1226" s="95"/>
      <c r="F1226" s="95"/>
      <c r="H1226" s="96" t="s">
        <v>1214</v>
      </c>
      <c r="I1226" s="97"/>
      <c r="J1226" s="97"/>
      <c r="L1226" s="98" t="s">
        <v>1215</v>
      </c>
      <c r="M1226" s="99"/>
      <c r="N1226" s="99"/>
      <c r="R1226" s="100" t="s">
        <v>1216</v>
      </c>
    </row>
    <row r="1227" customFormat="false" ht="15" hidden="false" customHeight="false" outlineLevel="0" collapsed="false">
      <c r="B1227" s="81" t="s">
        <v>116</v>
      </c>
      <c r="C1227" s="81" t="s">
        <v>117</v>
      </c>
      <c r="D1227" s="81" t="s">
        <v>118</v>
      </c>
      <c r="E1227" s="81" t="s">
        <v>119</v>
      </c>
      <c r="F1227" s="81" t="s">
        <v>120</v>
      </c>
      <c r="H1227" s="101" t="s">
        <v>116</v>
      </c>
      <c r="I1227" s="101" t="s">
        <v>119</v>
      </c>
      <c r="J1227" s="101" t="s">
        <v>120</v>
      </c>
      <c r="L1227" s="102" t="s">
        <v>116</v>
      </c>
      <c r="M1227" s="102" t="s">
        <v>119</v>
      </c>
      <c r="N1227" s="102" t="s">
        <v>120</v>
      </c>
      <c r="R1227" s="103" t="s">
        <v>1217</v>
      </c>
    </row>
    <row r="1228" customFormat="false" ht="15" hidden="false" customHeight="false" outlineLevel="0" collapsed="false">
      <c r="A1228" s="104" t="s">
        <v>122</v>
      </c>
      <c r="B1228" s="105" t="n">
        <v>5</v>
      </c>
      <c r="C1228" s="106" t="n">
        <f aca="false">$N$1225-$L$1225+1</f>
        <v>30</v>
      </c>
      <c r="D1228" s="107" t="n">
        <v>3.68919</v>
      </c>
      <c r="E1228" s="108" t="n">
        <v>3.85</v>
      </c>
      <c r="F1228" s="109" t="n">
        <f aca="false">ROUND(B1228*E1228,2)</f>
        <v>19.25</v>
      </c>
      <c r="H1228" s="110" t="n">
        <v>5</v>
      </c>
      <c r="I1228" s="111" t="n">
        <v>3.85</v>
      </c>
      <c r="J1228" s="112" t="n">
        <f aca="false">ROUND(H1228*I1228,2)</f>
        <v>19.25</v>
      </c>
      <c r="L1228" s="113" t="n">
        <v>5</v>
      </c>
      <c r="M1228" s="114" t="n">
        <v>3.85</v>
      </c>
      <c r="N1228" s="115" t="n">
        <f aca="false">ROUND(L1228*M1228,2)</f>
        <v>19.25</v>
      </c>
      <c r="R1228" s="116" t="s">
        <v>1218</v>
      </c>
    </row>
    <row r="1229" customFormat="false" ht="15" hidden="false" customHeight="false" outlineLevel="0" collapsed="false">
      <c r="A1229" s="104" t="s">
        <v>124</v>
      </c>
      <c r="B1229" s="105" t="n">
        <v>5</v>
      </c>
      <c r="C1229" s="106" t="n">
        <f aca="false">$N$1225-$L$1225+1</f>
        <v>30</v>
      </c>
      <c r="D1229" s="107" t="n">
        <v>1.31928</v>
      </c>
      <c r="E1229" s="108" t="n">
        <v>1.33</v>
      </c>
      <c r="F1229" s="109" t="n">
        <f aca="false">ROUND(B1229*E1229,2)</f>
        <v>6.65</v>
      </c>
      <c r="H1229" s="110" t="n">
        <v>5</v>
      </c>
      <c r="I1229" s="111" t="n">
        <v>1.33</v>
      </c>
      <c r="J1229" s="112" t="n">
        <f aca="false">ROUND(H1229*I1229,2)</f>
        <v>6.65</v>
      </c>
      <c r="L1229" s="113" t="n">
        <v>5</v>
      </c>
      <c r="M1229" s="114" t="n">
        <v>1.33</v>
      </c>
      <c r="N1229" s="115" t="n">
        <f aca="false">ROUND(L1229*M1229,2)</f>
        <v>6.65</v>
      </c>
      <c r="R1229" s="117" t="s">
        <v>1219</v>
      </c>
    </row>
    <row r="1230" customFormat="false" ht="15" hidden="false" customHeight="false" outlineLevel="0" collapsed="false">
      <c r="A1230" s="104" t="s">
        <v>615</v>
      </c>
      <c r="B1230" s="105" t="n">
        <f aca="false">IF($P$1230&lt;&gt;"",ROUND(AA1230*(($AB$1230/(1-$P$1230))-25.9)/95.0874,2),IF('Resumen 2.0TD'!$D$3="OPTIMIZAR",ROUND(MAX(AA1230,MIN(AA1230*(($AB$1230/(1-'Resumen 2.0TD'!$F$3))-25.9)/95.0874,AA1230*(-6.3222)/95.0874)),3),AA1230))</f>
        <v>190.077</v>
      </c>
      <c r="C1230" s="118"/>
      <c r="D1230" s="107" t="n">
        <v>0.111171</v>
      </c>
      <c r="E1230" s="108" t="n">
        <v>0.13788</v>
      </c>
      <c r="F1230" s="109" t="n">
        <f aca="false">ROUND(B1230*E1230,2)</f>
        <v>26.21</v>
      </c>
      <c r="H1230" s="110" t="n">
        <v>329.109</v>
      </c>
      <c r="I1230" s="111" t="n">
        <v>0.13788</v>
      </c>
      <c r="J1230" s="112" t="n">
        <f aca="false">ROUND(H1230*I1230,2)</f>
        <v>45.38</v>
      </c>
      <c r="L1230" s="136"/>
      <c r="M1230" s="136"/>
      <c r="N1230" s="136"/>
      <c r="O1230" s="119" t="s">
        <v>616</v>
      </c>
      <c r="P1230" s="79"/>
      <c r="R1230" s="117" t="s">
        <v>1220</v>
      </c>
      <c r="AA1230" s="0" t="n">
        <v>190.077</v>
      </c>
      <c r="AB1230" s="0" t="n">
        <f aca="false">B1228*D1228+B1229*D1229+AA1230*D1230+AA1231*D1231+AA1232*D1232</f>
        <v>101.710207269</v>
      </c>
    </row>
    <row r="1231" customFormat="false" ht="15" hidden="false" customHeight="false" outlineLevel="0" collapsed="false">
      <c r="A1231" s="104" t="s">
        <v>618</v>
      </c>
      <c r="B1231" s="105" t="n">
        <f aca="false">IF($P$1230&lt;&gt;"",ROUND(AA1231*(($AB$1230/(1-$P$1230))-25.9)/95.0874,2),IF('Resumen 2.0TD'!$D$3="OPTIMIZAR",ROUND(MAX(AA1231,MIN(AA1231*(($AB$1230/(1-'Resumen 2.0TD'!$F$3))-25.9)/95.0874,AA1231*(-6.3222)/95.0874)),3),AA1231))</f>
        <v>146.507</v>
      </c>
      <c r="C1231" s="118"/>
      <c r="D1231" s="107" t="n">
        <v>0.111171</v>
      </c>
      <c r="E1231" s="108" t="n">
        <v>0.13788</v>
      </c>
      <c r="F1231" s="109" t="n">
        <f aca="false">ROUND(B1231*E1231,2)</f>
        <v>20.2</v>
      </c>
      <c r="H1231" s="110" t="n">
        <v>322.196</v>
      </c>
      <c r="I1231" s="111" t="n">
        <v>0.13788</v>
      </c>
      <c r="J1231" s="112" t="n">
        <f aca="false">ROUND(H1231*I1231,2)</f>
        <v>44.42</v>
      </c>
      <c r="L1231" s="136"/>
      <c r="M1231" s="136"/>
      <c r="N1231" s="136"/>
      <c r="O1231" s="120" t="s">
        <v>619</v>
      </c>
      <c r="R1231" s="117" t="s">
        <v>620</v>
      </c>
      <c r="AA1231" s="0" t="n">
        <v>146.507</v>
      </c>
    </row>
    <row r="1232" customFormat="false" ht="15" hidden="false" customHeight="false" outlineLevel="0" collapsed="false">
      <c r="A1232" s="104" t="s">
        <v>621</v>
      </c>
      <c r="B1232" s="105" t="n">
        <f aca="false">IF($P$1230&lt;&gt;"",ROUND(AA1232*(($AB$1230/(1-$P$1230))-25.9)/95.0874,2),IF('Resumen 2.0TD'!$D$3="OPTIMIZAR",ROUND(MAX(AA1232,MIN(AA1232*(($AB$1230/(1-'Resumen 2.0TD'!$F$3))-25.9)/95.0874,AA1232*(-6.3222)/95.0874)),3),AA1232))</f>
        <v>353.055</v>
      </c>
      <c r="C1232" s="118"/>
      <c r="D1232" s="107" t="n">
        <v>0.111171</v>
      </c>
      <c r="E1232" s="108" t="n">
        <v>0.13788</v>
      </c>
      <c r="F1232" s="109" t="n">
        <f aca="false">ROUND(B1232*E1232,2)</f>
        <v>48.68</v>
      </c>
      <c r="H1232" s="110" t="n">
        <v>608.369</v>
      </c>
      <c r="I1232" s="111" t="n">
        <v>0.13788</v>
      </c>
      <c r="J1232" s="112" t="n">
        <f aca="false">ROUND(H1232*I1232,2)</f>
        <v>83.88</v>
      </c>
      <c r="L1232" s="113" t="n">
        <v>0.171</v>
      </c>
      <c r="M1232" s="114" t="n">
        <v>0.13788</v>
      </c>
      <c r="N1232" s="115" t="n">
        <f aca="false">ROUND(L1232*M1232,2)</f>
        <v>0.02</v>
      </c>
      <c r="O1232" s="120" t="s">
        <v>622</v>
      </c>
      <c r="AA1232" s="0" t="n">
        <v>353.055</v>
      </c>
    </row>
    <row r="1233" customFormat="false" ht="15" hidden="false" customHeight="false" outlineLevel="0" collapsed="false">
      <c r="A1233" s="104" t="s">
        <v>139</v>
      </c>
      <c r="B1233" s="105" t="n">
        <v>1</v>
      </c>
      <c r="C1233" s="106" t="n">
        <f aca="false">$N$1225-$L$1225+1</f>
        <v>30</v>
      </c>
      <c r="D1233" s="107" t="n">
        <v>0.7989</v>
      </c>
      <c r="E1233" s="108" t="n">
        <v>3</v>
      </c>
      <c r="F1233" s="109" t="n">
        <f aca="false">ROUND(B1233*E1233,2)</f>
        <v>3</v>
      </c>
      <c r="H1233" s="110" t="n">
        <v>1</v>
      </c>
      <c r="I1233" s="111" t="n">
        <v>3</v>
      </c>
      <c r="J1233" s="112" t="n">
        <f aca="false">ROUND(H1233*I1233,2)</f>
        <v>3</v>
      </c>
      <c r="L1233" s="113" t="n">
        <v>1</v>
      </c>
      <c r="M1233" s="114" t="n">
        <v>3</v>
      </c>
      <c r="N1233" s="115" t="n">
        <f aca="false">ROUND(L1233*M1233,2)</f>
        <v>3</v>
      </c>
    </row>
    <row r="1234" customFormat="false" ht="15" hidden="false" customHeight="false" outlineLevel="0" collapsed="false">
      <c r="A1234" s="104" t="s">
        <v>140</v>
      </c>
      <c r="B1234" s="105" t="n">
        <v>30</v>
      </c>
      <c r="C1234" s="106" t="n">
        <f aca="false">$N$1225-$L$1225+1</f>
        <v>30</v>
      </c>
      <c r="D1234" s="107" t="n">
        <v>0.5736</v>
      </c>
      <c r="E1234" s="108" t="n">
        <v>0.01274</v>
      </c>
      <c r="F1234" s="109" t="n">
        <f aca="false">ROUND(B1234*E1234,2)</f>
        <v>0.38</v>
      </c>
      <c r="H1234" s="110" t="n">
        <v>30</v>
      </c>
      <c r="I1234" s="111" t="n">
        <v>0.01274</v>
      </c>
      <c r="J1234" s="112" t="n">
        <f aca="false">ROUND(H1234*I1234,2)</f>
        <v>0.38</v>
      </c>
      <c r="L1234" s="113" t="n">
        <v>30</v>
      </c>
      <c r="M1234" s="114" t="n">
        <v>0.00629</v>
      </c>
      <c r="N1234" s="115" t="n">
        <f aca="false">ROUND(L1234*M1234,2)</f>
        <v>0.19</v>
      </c>
    </row>
    <row r="1235" customFormat="false" ht="15" hidden="false" customHeight="false" outlineLevel="0" collapsed="false">
      <c r="A1235" s="104" t="s">
        <v>141</v>
      </c>
      <c r="B1235" s="105" t="n">
        <v>6.19</v>
      </c>
      <c r="C1235" s="118"/>
      <c r="D1235" s="107" t="n">
        <v>0.27312</v>
      </c>
      <c r="E1235" s="108" t="n">
        <v>1</v>
      </c>
      <c r="F1235" s="109" t="n">
        <f aca="false">ROUND(B1235*E1235,2)</f>
        <v>6.19</v>
      </c>
      <c r="H1235" s="110" t="n">
        <v>10.21</v>
      </c>
      <c r="I1235" s="111" t="n">
        <v>1</v>
      </c>
      <c r="J1235" s="112" t="n">
        <f aca="false">ROUND(H1235*I1235,2)</f>
        <v>10.21</v>
      </c>
      <c r="L1235" s="113" t="n">
        <v>1.33</v>
      </c>
      <c r="M1235" s="114" t="n">
        <v>1</v>
      </c>
      <c r="N1235" s="115" t="n">
        <f aca="false">ROUND(L1235*M1235,2)</f>
        <v>1.33</v>
      </c>
    </row>
    <row r="1236" customFormat="false" ht="15" hidden="false" customHeight="false" outlineLevel="0" collapsed="false">
      <c r="A1236" s="121" t="s">
        <v>142</v>
      </c>
      <c r="F1236" s="122" t="n">
        <f aca="false">ROUND((SUM(F1228:F1235)-F1235)*1.1+F1235,2)</f>
        <v>143</v>
      </c>
      <c r="J1236" s="123" t="n">
        <f aca="false">ROUND(SUM(J1228:J1235),2)</f>
        <v>213.17</v>
      </c>
      <c r="N1236" s="124" t="n">
        <f aca="false">ROUND(SUM(N1228:N1235),2)</f>
        <v>30.44</v>
      </c>
    </row>
    <row r="1237" customFormat="false" ht="15" hidden="false" customHeight="false" outlineLevel="0" collapsed="false">
      <c r="A1237" s="93" t="s">
        <v>143</v>
      </c>
      <c r="B1237" s="125" t="n">
        <f aca="false">IF((F1232+F1231+F1230+F1228+F1229)=0,"",((F1232+F1231+F1230+F1228+F1229)-$AB$1230)/(F1232+F1231+F1230+F1228+F1229))</f>
        <v>0.159350299454501</v>
      </c>
      <c r="D1237" s="126" t="str">
        <f aca="false">IF(B1237="","SIN PC",IF(B1237&gt;=0.3,"APROBAR",IF(B1237&gt;=0.2,"REVISAR","RECHAZAR")))</f>
        <v>RECHAZAR</v>
      </c>
      <c r="E1237" s="126"/>
      <c r="F1237" s="126"/>
      <c r="AD1237" s="0" t="n">
        <f aca="false">SUM(F1230:F1232)-95.0874</f>
        <v>0.00260000000000105</v>
      </c>
    </row>
    <row r="1239" customFormat="false" ht="15" hidden="false" customHeight="false" outlineLevel="0" collapsed="false">
      <c r="A1239" s="89" t="s">
        <v>1221</v>
      </c>
      <c r="B1239" s="89"/>
      <c r="C1239" s="89"/>
      <c r="D1239" s="89"/>
      <c r="E1239" s="89"/>
      <c r="F1239" s="89"/>
      <c r="H1239" s="89" t="s">
        <v>1222</v>
      </c>
      <c r="I1239" s="89"/>
      <c r="J1239" s="89"/>
      <c r="K1239" s="89"/>
      <c r="L1239" s="90" t="n">
        <v>46113</v>
      </c>
      <c r="M1239" s="91" t="s">
        <v>608</v>
      </c>
      <c r="N1239" s="90" t="n">
        <v>46142</v>
      </c>
      <c r="R1239" s="92" t="s">
        <v>110</v>
      </c>
      <c r="S1239" s="92"/>
      <c r="T1239" s="92"/>
      <c r="U1239" s="92"/>
      <c r="V1239" s="92"/>
    </row>
    <row r="1240" customFormat="false" ht="15" hidden="false" customHeight="false" outlineLevel="0" collapsed="false">
      <c r="A1240" s="93" t="s">
        <v>111</v>
      </c>
      <c r="B1240" s="94" t="s">
        <v>112</v>
      </c>
      <c r="C1240" s="95"/>
      <c r="D1240" s="95"/>
      <c r="E1240" s="95"/>
      <c r="F1240" s="95"/>
      <c r="H1240" s="96" t="s">
        <v>1223</v>
      </c>
      <c r="I1240" s="97"/>
      <c r="J1240" s="97"/>
      <c r="L1240" s="98" t="s">
        <v>1224</v>
      </c>
      <c r="M1240" s="99"/>
      <c r="N1240" s="99"/>
      <c r="R1240" s="100" t="s">
        <v>1225</v>
      </c>
    </row>
    <row r="1241" customFormat="false" ht="15" hidden="false" customHeight="false" outlineLevel="0" collapsed="false">
      <c r="B1241" s="81" t="s">
        <v>116</v>
      </c>
      <c r="C1241" s="81" t="s">
        <v>117</v>
      </c>
      <c r="D1241" s="81" t="s">
        <v>118</v>
      </c>
      <c r="E1241" s="81" t="s">
        <v>119</v>
      </c>
      <c r="F1241" s="81" t="s">
        <v>120</v>
      </c>
      <c r="H1241" s="101" t="s">
        <v>116</v>
      </c>
      <c r="I1241" s="101" t="s">
        <v>119</v>
      </c>
      <c r="J1241" s="101" t="s">
        <v>120</v>
      </c>
      <c r="L1241" s="102" t="s">
        <v>116</v>
      </c>
      <c r="M1241" s="102" t="s">
        <v>119</v>
      </c>
      <c r="N1241" s="102" t="s">
        <v>120</v>
      </c>
      <c r="R1241" s="103" t="s">
        <v>1226</v>
      </c>
    </row>
    <row r="1242" customFormat="false" ht="15" hidden="false" customHeight="false" outlineLevel="0" collapsed="false">
      <c r="A1242" s="104" t="s">
        <v>122</v>
      </c>
      <c r="B1242" s="105" t="n">
        <v>9.9</v>
      </c>
      <c r="C1242" s="106" t="n">
        <f aca="false">$N$1239-$L$1239+1</f>
        <v>30</v>
      </c>
      <c r="D1242" s="107" t="n">
        <v>3.68919</v>
      </c>
      <c r="E1242" s="108" t="n">
        <v>3.85</v>
      </c>
      <c r="F1242" s="109" t="n">
        <f aca="false">ROUND(B1242*E1242,2)</f>
        <v>38.12</v>
      </c>
      <c r="H1242" s="110" t="n">
        <v>9.9</v>
      </c>
      <c r="I1242" s="111" t="n">
        <v>3.85</v>
      </c>
      <c r="J1242" s="112" t="n">
        <f aca="false">ROUND(H1242*I1242,2)</f>
        <v>38.12</v>
      </c>
      <c r="L1242" s="113" t="n">
        <v>9.9</v>
      </c>
      <c r="M1242" s="114" t="n">
        <v>4.17</v>
      </c>
      <c r="N1242" s="115" t="n">
        <f aca="false">ROUND(L1242*M1242,2)</f>
        <v>41.28</v>
      </c>
      <c r="R1242" s="116" t="s">
        <v>1227</v>
      </c>
    </row>
    <row r="1243" customFormat="false" ht="15" hidden="false" customHeight="false" outlineLevel="0" collapsed="false">
      <c r="A1243" s="104" t="s">
        <v>124</v>
      </c>
      <c r="B1243" s="105" t="n">
        <v>9.9</v>
      </c>
      <c r="C1243" s="106" t="n">
        <f aca="false">$N$1239-$L$1239+1</f>
        <v>30</v>
      </c>
      <c r="D1243" s="107" t="n">
        <v>1.31928</v>
      </c>
      <c r="E1243" s="108" t="n">
        <v>1.33</v>
      </c>
      <c r="F1243" s="109" t="n">
        <f aca="false">ROUND(B1243*E1243,2)</f>
        <v>13.17</v>
      </c>
      <c r="H1243" s="110" t="n">
        <v>9.9</v>
      </c>
      <c r="I1243" s="111" t="n">
        <v>1.33</v>
      </c>
      <c r="J1243" s="112" t="n">
        <f aca="false">ROUND(H1243*I1243,2)</f>
        <v>13.17</v>
      </c>
      <c r="L1243" s="136"/>
      <c r="M1243" s="136"/>
      <c r="N1243" s="136"/>
      <c r="R1243" s="117" t="s">
        <v>1228</v>
      </c>
    </row>
    <row r="1244" customFormat="false" ht="15" hidden="false" customHeight="false" outlineLevel="0" collapsed="false">
      <c r="A1244" s="104" t="s">
        <v>615</v>
      </c>
      <c r="B1244" s="105" t="n">
        <f aca="false">IF($P$1244&lt;&gt;"",ROUND(AA1244*(($AB$1244/(1-$P$1244))-51.282)/46.5007,2),IF('Resumen 2.0TD'!$D$3="OPTIMIZAR",ROUND(MAX(AA1244,MIN(AA1244*(($AB$1244/(1-'Resumen 2.0TD'!$F$3))-51.282)/46.5007,AA1244*(209.5458)/46.5007)),3),AA1244))</f>
        <v>145.06</v>
      </c>
      <c r="C1244" s="118"/>
      <c r="D1244" s="107" t="n">
        <v>0.111171</v>
      </c>
      <c r="E1244" s="108" t="n">
        <v>0.13788</v>
      </c>
      <c r="F1244" s="109" t="n">
        <f aca="false">ROUND(B1244*E1244,2)</f>
        <v>20</v>
      </c>
      <c r="H1244" s="110" t="n">
        <v>197.868</v>
      </c>
      <c r="I1244" s="111" t="n">
        <v>0.13788</v>
      </c>
      <c r="J1244" s="112" t="n">
        <f aca="false">ROUND(H1244*I1244,2)</f>
        <v>27.28</v>
      </c>
      <c r="L1244" s="113" t="n">
        <v>305</v>
      </c>
      <c r="M1244" s="114" t="n">
        <v>0.13788</v>
      </c>
      <c r="N1244" s="115" t="n">
        <f aca="false">ROUND(L1244*M1244,2)</f>
        <v>42.05</v>
      </c>
      <c r="O1244" s="119" t="s">
        <v>616</v>
      </c>
      <c r="P1244" s="79"/>
      <c r="R1244" s="117" t="s">
        <v>1229</v>
      </c>
      <c r="AA1244" s="0" t="n">
        <v>145.06</v>
      </c>
      <c r="AB1244" s="0" t="n">
        <f aca="false">B1242*D1242+B1243*D1243+AA1244*D1244+AA1245*D1245+AA1246*D1246</f>
        <v>87.076828605</v>
      </c>
    </row>
    <row r="1245" customFormat="false" ht="15" hidden="false" customHeight="false" outlineLevel="0" collapsed="false">
      <c r="A1245" s="104" t="s">
        <v>618</v>
      </c>
      <c r="B1245" s="105" t="n">
        <f aca="false">IF($P$1244&lt;&gt;"",ROUND(AA1245*(($AB$1244/(1-$P$1244))-51.282)/46.5007,2),IF('Resumen 2.0TD'!$D$3="OPTIMIZAR",ROUND(MAX(AA1245,MIN(AA1245*(($AB$1244/(1-'Resumen 2.0TD'!$F$3))-51.282)/46.5007,AA1245*(209.5458)/46.5007)),3),AA1245))</f>
        <v>62.333</v>
      </c>
      <c r="C1245" s="118"/>
      <c r="D1245" s="107" t="n">
        <v>0.111171</v>
      </c>
      <c r="E1245" s="108" t="n">
        <v>0.13788</v>
      </c>
      <c r="F1245" s="109" t="n">
        <f aca="false">ROUND(B1245*E1245,2)</f>
        <v>8.59</v>
      </c>
      <c r="H1245" s="110" t="n">
        <v>91.815</v>
      </c>
      <c r="I1245" s="111" t="n">
        <v>0.13788</v>
      </c>
      <c r="J1245" s="112" t="n">
        <f aca="false">ROUND(H1245*I1245,2)</f>
        <v>12.66</v>
      </c>
      <c r="L1245" s="136"/>
      <c r="M1245" s="136"/>
      <c r="N1245" s="136"/>
      <c r="O1245" s="120" t="s">
        <v>619</v>
      </c>
      <c r="R1245" s="117" t="s">
        <v>620</v>
      </c>
      <c r="AA1245" s="0" t="n">
        <v>62.333</v>
      </c>
    </row>
    <row r="1246" customFormat="false" ht="15" hidden="false" customHeight="false" outlineLevel="0" collapsed="false">
      <c r="A1246" s="104" t="s">
        <v>621</v>
      </c>
      <c r="B1246" s="105" t="n">
        <f aca="false">IF($P$1244&lt;&gt;"",ROUND(AA1246*(($AB$1244/(1-$P$1244))-51.282)/46.5007,2),IF('Resumen 2.0TD'!$D$3="OPTIMIZAR",ROUND(MAX(AA1246,MIN(AA1246*(($AB$1244/(1-'Resumen 2.0TD'!$F$3))-51.282)/46.5007,AA1246*(209.5458)/46.5007)),3),AA1246))</f>
        <v>129.862</v>
      </c>
      <c r="C1246" s="118"/>
      <c r="D1246" s="107" t="n">
        <v>0.111171</v>
      </c>
      <c r="E1246" s="108" t="n">
        <v>0.13788</v>
      </c>
      <c r="F1246" s="109" t="n">
        <f aca="false">ROUND(B1246*E1246,2)</f>
        <v>17.91</v>
      </c>
      <c r="H1246" s="110" t="n">
        <v>162.875</v>
      </c>
      <c r="I1246" s="111" t="n">
        <v>0.13788</v>
      </c>
      <c r="J1246" s="112" t="n">
        <f aca="false">ROUND(H1246*I1246,2)</f>
        <v>22.46</v>
      </c>
      <c r="L1246" s="136"/>
      <c r="M1246" s="136"/>
      <c r="N1246" s="136"/>
      <c r="O1246" s="120" t="s">
        <v>622</v>
      </c>
      <c r="AA1246" s="0" t="n">
        <v>129.862</v>
      </c>
    </row>
    <row r="1247" customFormat="false" ht="15" hidden="false" customHeight="false" outlineLevel="0" collapsed="false">
      <c r="A1247" s="104" t="s">
        <v>139</v>
      </c>
      <c r="B1247" s="105" t="n">
        <v>1</v>
      </c>
      <c r="C1247" s="106" t="n">
        <f aca="false">$N$1239-$L$1239+1</f>
        <v>30</v>
      </c>
      <c r="D1247" s="107" t="n">
        <v>1.3414</v>
      </c>
      <c r="E1247" s="108" t="n">
        <v>3</v>
      </c>
      <c r="F1247" s="109" t="n">
        <f aca="false">ROUND(B1247*E1247,2)</f>
        <v>3</v>
      </c>
      <c r="H1247" s="110" t="n">
        <v>1</v>
      </c>
      <c r="I1247" s="111" t="n">
        <v>3</v>
      </c>
      <c r="J1247" s="112" t="n">
        <f aca="false">ROUND(H1247*I1247,2)</f>
        <v>3</v>
      </c>
      <c r="L1247" s="113" t="n">
        <v>1</v>
      </c>
      <c r="M1247" s="114" t="n">
        <v>3</v>
      </c>
      <c r="N1247" s="115" t="n">
        <f aca="false">ROUND(L1247*M1247,2)</f>
        <v>3</v>
      </c>
    </row>
    <row r="1248" customFormat="false" ht="15" hidden="false" customHeight="false" outlineLevel="0" collapsed="false">
      <c r="A1248" s="104" t="s">
        <v>140</v>
      </c>
      <c r="B1248" s="105" t="n">
        <v>30</v>
      </c>
      <c r="C1248" s="106" t="n">
        <f aca="false">$N$1239-$L$1239+1</f>
        <v>30</v>
      </c>
      <c r="D1248" s="107" t="n">
        <v>0.5736</v>
      </c>
      <c r="E1248" s="108" t="n">
        <v>0.01274</v>
      </c>
      <c r="F1248" s="109" t="n">
        <f aca="false">ROUND(B1248*E1248,2)</f>
        <v>0.38</v>
      </c>
      <c r="H1248" s="110" t="n">
        <v>30</v>
      </c>
      <c r="I1248" s="111" t="n">
        <v>0.01274</v>
      </c>
      <c r="J1248" s="112" t="n">
        <f aca="false">ROUND(H1248*I1248,2)</f>
        <v>0.38</v>
      </c>
      <c r="L1248" s="113" t="n">
        <v>30</v>
      </c>
      <c r="M1248" s="114" t="n">
        <v>0.01274</v>
      </c>
      <c r="N1248" s="115" t="n">
        <f aca="false">ROUND(L1248*M1248,2)</f>
        <v>0.38</v>
      </c>
    </row>
    <row r="1249" customFormat="false" ht="15" hidden="false" customHeight="false" outlineLevel="0" collapsed="false">
      <c r="A1249" s="104" t="s">
        <v>141</v>
      </c>
      <c r="B1249" s="105" t="n">
        <v>5.01</v>
      </c>
      <c r="C1249" s="118"/>
      <c r="D1249" s="107" t="n">
        <v>0.02671</v>
      </c>
      <c r="E1249" s="108" t="n">
        <v>1</v>
      </c>
      <c r="F1249" s="109" t="n">
        <f aca="false">ROUND(B1249*E1249,2)</f>
        <v>5.01</v>
      </c>
      <c r="H1249" s="110" t="n">
        <v>5.82</v>
      </c>
      <c r="I1249" s="111" t="n">
        <v>1</v>
      </c>
      <c r="J1249" s="112" t="n">
        <f aca="false">ROUND(H1249*I1249,2)</f>
        <v>5.82</v>
      </c>
      <c r="L1249" s="113" t="n">
        <v>5</v>
      </c>
      <c r="M1249" s="114" t="n">
        <v>1</v>
      </c>
      <c r="N1249" s="115" t="n">
        <f aca="false">ROUND(L1249*M1249,2)</f>
        <v>5</v>
      </c>
    </row>
    <row r="1250" customFormat="false" ht="15" hidden="false" customHeight="false" outlineLevel="0" collapsed="false">
      <c r="A1250" s="121" t="s">
        <v>142</v>
      </c>
      <c r="F1250" s="122" t="n">
        <f aca="false">ROUND((SUM(F1242:F1249)-F1249)*1.1+F1249,2)</f>
        <v>116.3</v>
      </c>
      <c r="J1250" s="123" t="n">
        <f aca="false">ROUND(SUM(J1242:J1249),2)</f>
        <v>122.89</v>
      </c>
      <c r="N1250" s="124" t="n">
        <f aca="false">ROUND(SUM(N1242:N1249),2)</f>
        <v>91.71</v>
      </c>
    </row>
    <row r="1251" customFormat="false" ht="15" hidden="false" customHeight="false" outlineLevel="0" collapsed="false">
      <c r="A1251" s="93" t="s">
        <v>143</v>
      </c>
      <c r="B1251" s="125" t="n">
        <f aca="false">IF((F1246+F1245+F1244+F1242+F1243)=0,"",((F1246+F1245+F1244+F1242+F1243)-$AB$1244)/(F1246+F1245+F1244+F1242+F1243))</f>
        <v>0.109552831526741</v>
      </c>
      <c r="D1251" s="126" t="str">
        <f aca="false">IF(B1251="","SIN PC",IF(B1251&gt;=0.3,"APROBAR",IF(B1251&gt;=0.2,"REVISAR","RECHAZAR")))</f>
        <v>RECHAZAR</v>
      </c>
      <c r="E1251" s="126"/>
      <c r="F1251" s="126"/>
      <c r="AD1251" s="0" t="n">
        <f aca="false">SUM(F1244:F1246)-46.5007</f>
        <v>-0.000700000000001921</v>
      </c>
    </row>
    <row r="1253" customFormat="false" ht="15" hidden="false" customHeight="false" outlineLevel="0" collapsed="false">
      <c r="A1253" s="89" t="s">
        <v>1230</v>
      </c>
      <c r="B1253" s="89"/>
      <c r="C1253" s="89"/>
      <c r="D1253" s="89"/>
      <c r="E1253" s="89"/>
      <c r="F1253" s="89"/>
      <c r="H1253" s="89" t="s">
        <v>1231</v>
      </c>
      <c r="I1253" s="89"/>
      <c r="J1253" s="89"/>
      <c r="K1253" s="89"/>
      <c r="L1253" s="90" t="n">
        <v>46113</v>
      </c>
      <c r="M1253" s="91" t="s">
        <v>608</v>
      </c>
      <c r="N1253" s="90" t="n">
        <v>46142</v>
      </c>
      <c r="R1253" s="92" t="s">
        <v>110</v>
      </c>
      <c r="S1253" s="92"/>
      <c r="T1253" s="92"/>
      <c r="U1253" s="92"/>
      <c r="V1253" s="92"/>
    </row>
    <row r="1254" customFormat="false" ht="15" hidden="false" customHeight="false" outlineLevel="0" collapsed="false">
      <c r="A1254" s="93" t="s">
        <v>111</v>
      </c>
      <c r="B1254" s="94" t="s">
        <v>112</v>
      </c>
      <c r="C1254" s="95"/>
      <c r="D1254" s="95"/>
      <c r="E1254" s="95"/>
      <c r="F1254" s="95"/>
      <c r="H1254" s="96" t="s">
        <v>1232</v>
      </c>
      <c r="I1254" s="97"/>
      <c r="J1254" s="97"/>
      <c r="L1254" s="98" t="s">
        <v>1233</v>
      </c>
      <c r="M1254" s="99"/>
      <c r="N1254" s="99"/>
      <c r="R1254" s="100" t="s">
        <v>1234</v>
      </c>
    </row>
    <row r="1255" customFormat="false" ht="15" hidden="false" customHeight="false" outlineLevel="0" collapsed="false">
      <c r="B1255" s="81" t="s">
        <v>116</v>
      </c>
      <c r="C1255" s="81" t="s">
        <v>117</v>
      </c>
      <c r="D1255" s="81" t="s">
        <v>118</v>
      </c>
      <c r="E1255" s="81" t="s">
        <v>119</v>
      </c>
      <c r="F1255" s="81" t="s">
        <v>120</v>
      </c>
      <c r="H1255" s="101" t="s">
        <v>116</v>
      </c>
      <c r="I1255" s="101" t="s">
        <v>119</v>
      </c>
      <c r="J1255" s="101" t="s">
        <v>120</v>
      </c>
      <c r="L1255" s="102" t="s">
        <v>116</v>
      </c>
      <c r="M1255" s="102" t="s">
        <v>119</v>
      </c>
      <c r="N1255" s="102" t="s">
        <v>120</v>
      </c>
      <c r="R1255" s="103" t="s">
        <v>1235</v>
      </c>
    </row>
    <row r="1256" customFormat="false" ht="15" hidden="false" customHeight="false" outlineLevel="0" collapsed="false">
      <c r="A1256" s="104" t="s">
        <v>122</v>
      </c>
      <c r="B1256" s="105" t="n">
        <v>11</v>
      </c>
      <c r="C1256" s="106" t="n">
        <f aca="false">$N$1253-$L$1253+1</f>
        <v>30</v>
      </c>
      <c r="D1256" s="107" t="n">
        <v>3.68919</v>
      </c>
      <c r="E1256" s="108" t="n">
        <v>4.17</v>
      </c>
      <c r="F1256" s="109" t="n">
        <f aca="false">ROUND(B1256*E1256,2)</f>
        <v>45.87</v>
      </c>
      <c r="H1256" s="110" t="n">
        <v>11</v>
      </c>
      <c r="I1256" s="111" t="n">
        <v>4.17</v>
      </c>
      <c r="J1256" s="112" t="n">
        <f aca="false">ROUND(H1256*I1256,2)</f>
        <v>45.87</v>
      </c>
      <c r="L1256" s="113" t="n">
        <v>11</v>
      </c>
      <c r="M1256" s="114" t="n">
        <v>4.17</v>
      </c>
      <c r="N1256" s="115" t="n">
        <f aca="false">ROUND(L1256*M1256,2)</f>
        <v>45.87</v>
      </c>
      <c r="R1256" s="116" t="s">
        <v>1236</v>
      </c>
    </row>
    <row r="1257" customFormat="false" ht="15" hidden="false" customHeight="false" outlineLevel="0" collapsed="false">
      <c r="A1257" s="104" t="s">
        <v>124</v>
      </c>
      <c r="B1257" s="105" t="n">
        <v>11</v>
      </c>
      <c r="C1257" s="106" t="n">
        <f aca="false">$N$1253-$L$1253+1</f>
        <v>30</v>
      </c>
      <c r="D1257" s="107" t="n">
        <v>1.31928</v>
      </c>
      <c r="E1257" s="108" t="n">
        <v>1.37</v>
      </c>
      <c r="F1257" s="109" t="n">
        <f aca="false">ROUND(B1257*E1257,2)</f>
        <v>15.07</v>
      </c>
      <c r="H1257" s="110" t="n">
        <v>11</v>
      </c>
      <c r="I1257" s="111" t="n">
        <v>1.37</v>
      </c>
      <c r="J1257" s="112" t="n">
        <f aca="false">ROUND(H1257*I1257,2)</f>
        <v>15.07</v>
      </c>
      <c r="L1257" s="113" t="n">
        <v>11</v>
      </c>
      <c r="M1257" s="114" t="n">
        <v>1.37</v>
      </c>
      <c r="N1257" s="115" t="n">
        <f aca="false">ROUND(L1257*M1257,2)</f>
        <v>15.07</v>
      </c>
      <c r="R1257" s="117" t="s">
        <v>1237</v>
      </c>
    </row>
    <row r="1258" customFormat="false" ht="15" hidden="false" customHeight="false" outlineLevel="0" collapsed="false">
      <c r="A1258" s="104" t="s">
        <v>615</v>
      </c>
      <c r="B1258" s="105" t="n">
        <f aca="false">IF($P$1258&lt;&gt;"",ROUND(AA1258*(($AB$1258/(1-$P$1258))-60.94)/403.742,2),IF('Resumen 2.0TD'!$D$3="OPTIMIZAR",ROUND(MAX(AA1258,MIN(AA1258*(($AB$1258/(1-'Resumen 2.0TD'!$F$3))-60.94)/403.742,AA1258*(668.7878)/403.742)),3),AA1258))</f>
        <v>837.455</v>
      </c>
      <c r="C1258" s="118"/>
      <c r="D1258" s="107" t="n">
        <v>0.111171</v>
      </c>
      <c r="E1258" s="108" t="n">
        <v>0.129</v>
      </c>
      <c r="F1258" s="109" t="n">
        <f aca="false">ROUND(B1258*E1258,2)</f>
        <v>108.03</v>
      </c>
      <c r="H1258" s="110" t="n">
        <v>741.323</v>
      </c>
      <c r="I1258" s="111" t="n">
        <v>0.129</v>
      </c>
      <c r="J1258" s="112" t="n">
        <f aca="false">ROUND(H1258*I1258,2)</f>
        <v>95.63</v>
      </c>
      <c r="L1258" s="113" t="n">
        <v>617.707</v>
      </c>
      <c r="M1258" s="114" t="n">
        <v>0.14937</v>
      </c>
      <c r="N1258" s="115" t="n">
        <f aca="false">ROUND(L1258*M1258,2)</f>
        <v>92.27</v>
      </c>
      <c r="O1258" s="119" t="s">
        <v>616</v>
      </c>
      <c r="P1258" s="79"/>
      <c r="R1258" s="117" t="s">
        <v>1238</v>
      </c>
      <c r="AA1258" s="0" t="n">
        <v>837.455</v>
      </c>
      <c r="AB1258" s="0" t="n">
        <f aca="false">B1256*D1256+B1257*D1257+AA1258*D1258+AA1259*D1259+AA1260*D1260</f>
        <v>403.034275893</v>
      </c>
    </row>
    <row r="1259" customFormat="false" ht="15" hidden="false" customHeight="false" outlineLevel="0" collapsed="false">
      <c r="A1259" s="104" t="s">
        <v>618</v>
      </c>
      <c r="B1259" s="105" t="n">
        <f aca="false">IF($P$1258&lt;&gt;"",ROUND(AA1259*(($AB$1258/(1-$P$1258))-60.94)/403.742,2),IF('Resumen 2.0TD'!$D$3="OPTIMIZAR",ROUND(MAX(AA1259,MIN(AA1259*(($AB$1258/(1-'Resumen 2.0TD'!$F$3))-60.94)/403.742,AA1259*(668.7878)/403.742)),3),AA1259))</f>
        <v>780.818</v>
      </c>
      <c r="C1259" s="118"/>
      <c r="D1259" s="107" t="n">
        <v>0.111171</v>
      </c>
      <c r="E1259" s="108" t="n">
        <v>0.129</v>
      </c>
      <c r="F1259" s="109" t="n">
        <f aca="false">ROUND(B1259*E1259,2)</f>
        <v>100.73</v>
      </c>
      <c r="H1259" s="110" t="n">
        <v>536.852</v>
      </c>
      <c r="I1259" s="111" t="n">
        <v>0.129</v>
      </c>
      <c r="J1259" s="112" t="n">
        <f aca="false">ROUND(H1259*I1259,2)</f>
        <v>69.25</v>
      </c>
      <c r="L1259" s="113" t="n">
        <v>506.77</v>
      </c>
      <c r="M1259" s="114" t="n">
        <v>0.14937</v>
      </c>
      <c r="N1259" s="115" t="n">
        <f aca="false">ROUND(L1259*M1259,2)</f>
        <v>75.7</v>
      </c>
      <c r="O1259" s="120" t="s">
        <v>619</v>
      </c>
      <c r="R1259" s="117" t="s">
        <v>620</v>
      </c>
      <c r="AA1259" s="0" t="n">
        <v>780.818</v>
      </c>
    </row>
    <row r="1260" customFormat="false" ht="15" hidden="false" customHeight="false" outlineLevel="0" collapsed="false">
      <c r="A1260" s="104" t="s">
        <v>621</v>
      </c>
      <c r="B1260" s="105" t="n">
        <f aca="false">IF($P$1258&lt;&gt;"",ROUND(AA1260*(($AB$1258/(1-$P$1258))-60.94)/403.742,2),IF('Resumen 2.0TD'!$D$3="OPTIMIZAR",ROUND(MAX(AA1260,MIN(AA1260*(($AB$1258/(1-'Resumen 2.0TD'!$F$3))-60.94)/403.742,AA1260*(668.7878)/403.742)),3),AA1260))</f>
        <v>1511.51</v>
      </c>
      <c r="C1260" s="118"/>
      <c r="D1260" s="107" t="n">
        <v>0.111171</v>
      </c>
      <c r="E1260" s="108" t="n">
        <v>0.129</v>
      </c>
      <c r="F1260" s="109" t="n">
        <f aca="false">ROUND(B1260*E1260,2)</f>
        <v>194.98</v>
      </c>
      <c r="H1260" s="110" t="n">
        <v>1298.26</v>
      </c>
      <c r="I1260" s="111" t="n">
        <v>0.129</v>
      </c>
      <c r="J1260" s="112" t="n">
        <f aca="false">ROUND(H1260*I1260,2)</f>
        <v>167.48</v>
      </c>
      <c r="L1260" s="113" t="n">
        <v>1039.06</v>
      </c>
      <c r="M1260" s="114" t="n">
        <v>0.14937</v>
      </c>
      <c r="N1260" s="115" t="n">
        <f aca="false">ROUND(L1260*M1260,2)</f>
        <v>155.2</v>
      </c>
      <c r="O1260" s="120" t="s">
        <v>622</v>
      </c>
      <c r="AA1260" s="0" t="n">
        <v>1511.51</v>
      </c>
    </row>
    <row r="1261" customFormat="false" ht="15" hidden="false" customHeight="false" outlineLevel="0" collapsed="false">
      <c r="A1261" s="104" t="s">
        <v>139</v>
      </c>
      <c r="B1261" s="105" t="n">
        <v>1</v>
      </c>
      <c r="C1261" s="106" t="n">
        <f aca="false">$N$1253-$L$1253+1</f>
        <v>30</v>
      </c>
      <c r="D1261" s="107" t="n">
        <v>1.3414</v>
      </c>
      <c r="E1261" s="108" t="n">
        <v>4</v>
      </c>
      <c r="F1261" s="109" t="n">
        <f aca="false">ROUND(B1261*E1261,2)</f>
        <v>4</v>
      </c>
      <c r="H1261" s="110" t="n">
        <v>1</v>
      </c>
      <c r="I1261" s="111" t="n">
        <v>1</v>
      </c>
      <c r="J1261" s="112" t="n">
        <f aca="false">ROUND(H1261*I1261,2)</f>
        <v>1</v>
      </c>
      <c r="L1261" s="113" t="n">
        <v>1</v>
      </c>
      <c r="M1261" s="114" t="n">
        <v>4</v>
      </c>
      <c r="N1261" s="115" t="n">
        <f aca="false">ROUND(L1261*M1261,2)</f>
        <v>4</v>
      </c>
    </row>
    <row r="1262" customFormat="false" ht="15" hidden="false" customHeight="false" outlineLevel="0" collapsed="false">
      <c r="A1262" s="104" t="s">
        <v>140</v>
      </c>
      <c r="B1262" s="105" t="n">
        <v>30</v>
      </c>
      <c r="C1262" s="106" t="n">
        <f aca="false">$N$1253-$L$1253+1</f>
        <v>30</v>
      </c>
      <c r="D1262" s="107" t="n">
        <v>0.5736</v>
      </c>
      <c r="E1262" s="108" t="n">
        <v>0.01274</v>
      </c>
      <c r="F1262" s="109" t="n">
        <f aca="false">ROUND(B1262*E1262,2)</f>
        <v>0.38</v>
      </c>
      <c r="H1262" s="110" t="n">
        <v>30</v>
      </c>
      <c r="I1262" s="111" t="n">
        <v>0.01274</v>
      </c>
      <c r="J1262" s="112" t="n">
        <f aca="false">ROUND(H1262*I1262,2)</f>
        <v>0.38</v>
      </c>
      <c r="L1262" s="113" t="n">
        <v>30</v>
      </c>
      <c r="M1262" s="114" t="n">
        <v>0.00629</v>
      </c>
      <c r="N1262" s="115" t="n">
        <f aca="false">ROUND(L1262*M1262,2)</f>
        <v>0.19</v>
      </c>
    </row>
    <row r="1263" customFormat="false" ht="15" hidden="false" customHeight="false" outlineLevel="0" collapsed="false">
      <c r="A1263" s="104" t="s">
        <v>141</v>
      </c>
      <c r="B1263" s="105" t="n">
        <v>25.15</v>
      </c>
      <c r="C1263" s="118"/>
      <c r="D1263" s="107" t="n">
        <v>0.27312</v>
      </c>
      <c r="E1263" s="108" t="n">
        <v>1</v>
      </c>
      <c r="F1263" s="109" t="n">
        <f aca="false">ROUND(B1263*E1263,2)</f>
        <v>25.15</v>
      </c>
      <c r="H1263" s="110" t="n">
        <v>21.33</v>
      </c>
      <c r="I1263" s="111" t="n">
        <v>1</v>
      </c>
      <c r="J1263" s="112" t="n">
        <f aca="false">ROUND(H1263*I1263,2)</f>
        <v>21.33</v>
      </c>
      <c r="L1263" s="113" t="n">
        <v>19.64</v>
      </c>
      <c r="M1263" s="114" t="n">
        <v>1</v>
      </c>
      <c r="N1263" s="115" t="n">
        <f aca="false">ROUND(L1263*M1263,2)</f>
        <v>19.64</v>
      </c>
    </row>
    <row r="1264" customFormat="false" ht="15" hidden="false" customHeight="false" outlineLevel="0" collapsed="false">
      <c r="A1264" s="121" t="s">
        <v>142</v>
      </c>
      <c r="F1264" s="122" t="n">
        <f aca="false">ROUND((SUM(F1256:F1263)-F1263)*1.1+F1263,2)</f>
        <v>541.12</v>
      </c>
      <c r="J1264" s="123" t="n">
        <f aca="false">ROUND(SUM(J1256:J1263),2)</f>
        <v>416.01</v>
      </c>
      <c r="N1264" s="124" t="n">
        <f aca="false">ROUND(SUM(N1256:N1263),2)</f>
        <v>407.94</v>
      </c>
    </row>
    <row r="1265" customFormat="false" ht="15" hidden="false" customHeight="false" outlineLevel="0" collapsed="false">
      <c r="A1265" s="93" t="s">
        <v>143</v>
      </c>
      <c r="B1265" s="125" t="n">
        <f aca="false">IF((F1260+F1259+F1258+F1256+F1257)=0,"",((F1260+F1259+F1258+F1256+F1257)-$AB$1258)/(F1260+F1259+F1258+F1256+F1257))</f>
        <v>0.132662744484376</v>
      </c>
      <c r="D1265" s="126" t="str">
        <f aca="false">IF(B1265="","SIN PC",IF(B1265&gt;=0.3,"APROBAR",IF(B1265&gt;=0.2,"REVISAR","RECHAZAR")))</f>
        <v>RECHAZAR</v>
      </c>
      <c r="E1265" s="126"/>
      <c r="F1265" s="126"/>
      <c r="AD1265" s="0" t="n">
        <f aca="false">SUM(F1258:F1260)-403.742</f>
        <v>-0.00200000000000955</v>
      </c>
    </row>
    <row r="1267" customFormat="false" ht="15" hidden="false" customHeight="false" outlineLevel="0" collapsed="false">
      <c r="A1267" s="89" t="s">
        <v>1239</v>
      </c>
      <c r="B1267" s="89"/>
      <c r="C1267" s="89"/>
      <c r="D1267" s="89"/>
      <c r="E1267" s="89"/>
      <c r="F1267" s="89"/>
      <c r="H1267" s="89" t="s">
        <v>1240</v>
      </c>
      <c r="I1267" s="89"/>
      <c r="J1267" s="89"/>
      <c r="K1267" s="89"/>
      <c r="L1267" s="90" t="n">
        <v>46113</v>
      </c>
      <c r="M1267" s="91" t="s">
        <v>608</v>
      </c>
      <c r="N1267" s="90" t="n">
        <v>46142</v>
      </c>
      <c r="R1267" s="92" t="s">
        <v>110</v>
      </c>
      <c r="S1267" s="92"/>
      <c r="T1267" s="92"/>
      <c r="U1267" s="92"/>
      <c r="V1267" s="92"/>
    </row>
    <row r="1268" customFormat="false" ht="15" hidden="false" customHeight="false" outlineLevel="0" collapsed="false">
      <c r="A1268" s="93" t="s">
        <v>111</v>
      </c>
      <c r="B1268" s="94" t="s">
        <v>112</v>
      </c>
      <c r="C1268" s="95"/>
      <c r="D1268" s="95"/>
      <c r="E1268" s="95"/>
      <c r="F1268" s="95"/>
      <c r="H1268" s="96" t="s">
        <v>1241</v>
      </c>
      <c r="I1268" s="97"/>
      <c r="J1268" s="97"/>
      <c r="L1268" s="98" t="s">
        <v>1242</v>
      </c>
      <c r="M1268" s="99"/>
      <c r="N1268" s="99"/>
      <c r="R1268" s="100" t="s">
        <v>1243</v>
      </c>
    </row>
    <row r="1269" customFormat="false" ht="15" hidden="false" customHeight="false" outlineLevel="0" collapsed="false">
      <c r="B1269" s="81" t="s">
        <v>116</v>
      </c>
      <c r="C1269" s="81" t="s">
        <v>117</v>
      </c>
      <c r="D1269" s="81" t="s">
        <v>118</v>
      </c>
      <c r="E1269" s="81" t="s">
        <v>119</v>
      </c>
      <c r="F1269" s="81" t="s">
        <v>120</v>
      </c>
      <c r="H1269" s="101" t="s">
        <v>116</v>
      </c>
      <c r="I1269" s="101" t="s">
        <v>119</v>
      </c>
      <c r="J1269" s="101" t="s">
        <v>120</v>
      </c>
      <c r="L1269" s="102" t="s">
        <v>116</v>
      </c>
      <c r="M1269" s="102" t="s">
        <v>119</v>
      </c>
      <c r="N1269" s="102" t="s">
        <v>120</v>
      </c>
      <c r="R1269" s="103" t="s">
        <v>1244</v>
      </c>
    </row>
    <row r="1270" customFormat="false" ht="15" hidden="false" customHeight="false" outlineLevel="0" collapsed="false">
      <c r="A1270" s="104" t="s">
        <v>122</v>
      </c>
      <c r="B1270" s="105" t="n">
        <v>3.45</v>
      </c>
      <c r="C1270" s="106" t="n">
        <f aca="false">$N$1267-$L$1267+1</f>
        <v>30</v>
      </c>
      <c r="D1270" s="107" t="n">
        <v>3.68919</v>
      </c>
      <c r="E1270" s="108" t="n">
        <v>3.85</v>
      </c>
      <c r="F1270" s="109" t="n">
        <f aca="false">ROUND(B1270*E1270,2)</f>
        <v>13.28</v>
      </c>
      <c r="H1270" s="110" t="n">
        <v>3.45</v>
      </c>
      <c r="I1270" s="111" t="n">
        <v>3.85</v>
      </c>
      <c r="J1270" s="112" t="n">
        <f aca="false">ROUND(H1270*I1270,2)</f>
        <v>13.28</v>
      </c>
      <c r="L1270" s="113" t="n">
        <v>3.45</v>
      </c>
      <c r="M1270" s="114" t="n">
        <v>3.85</v>
      </c>
      <c r="N1270" s="115" t="n">
        <f aca="false">ROUND(L1270*M1270,2)</f>
        <v>13.28</v>
      </c>
      <c r="R1270" s="116" t="s">
        <v>1245</v>
      </c>
    </row>
    <row r="1271" customFormat="false" ht="15" hidden="false" customHeight="false" outlineLevel="0" collapsed="false">
      <c r="A1271" s="104" t="s">
        <v>124</v>
      </c>
      <c r="B1271" s="105" t="n">
        <v>3.45</v>
      </c>
      <c r="C1271" s="106" t="n">
        <f aca="false">$N$1267-$L$1267+1</f>
        <v>30</v>
      </c>
      <c r="D1271" s="107" t="n">
        <v>1.31928</v>
      </c>
      <c r="E1271" s="108" t="n">
        <v>1.33</v>
      </c>
      <c r="F1271" s="109" t="n">
        <f aca="false">ROUND(B1271*E1271,2)</f>
        <v>4.59</v>
      </c>
      <c r="H1271" s="110" t="n">
        <v>3.45</v>
      </c>
      <c r="I1271" s="111" t="n">
        <v>1.33</v>
      </c>
      <c r="J1271" s="112" t="n">
        <f aca="false">ROUND(H1271*I1271,2)</f>
        <v>4.59</v>
      </c>
      <c r="L1271" s="113" t="n">
        <v>3.45</v>
      </c>
      <c r="M1271" s="114" t="n">
        <v>1.33</v>
      </c>
      <c r="N1271" s="115" t="n">
        <f aca="false">ROUND(L1271*M1271,2)</f>
        <v>4.59</v>
      </c>
      <c r="R1271" s="117" t="s">
        <v>1246</v>
      </c>
    </row>
    <row r="1272" customFormat="false" ht="15" hidden="false" customHeight="false" outlineLevel="0" collapsed="false">
      <c r="A1272" s="104" t="s">
        <v>615</v>
      </c>
      <c r="B1272" s="105" t="n">
        <f aca="false">IF($P$1272&lt;&gt;"",ROUND(AA1272*(($AB$1272/(1-$P$1272))-17.871)/83.2412,2),IF('Resumen 2.0TD'!$D$3="OPTIMIZAR",ROUND(MAX(AA1272,MIN(AA1272*(($AB$1272/(1-'Resumen 2.0TD'!$F$3))-17.871)/83.2412,AA1272*(191.6868)/83.2412)),3),AA1272))</f>
        <v>108.642</v>
      </c>
      <c r="C1272" s="118"/>
      <c r="D1272" s="107" t="n">
        <v>0.120671</v>
      </c>
      <c r="E1272" s="108" t="n">
        <v>0.13788</v>
      </c>
      <c r="F1272" s="109" t="n">
        <f aca="false">ROUND(B1272*E1272,2)</f>
        <v>14.98</v>
      </c>
      <c r="H1272" s="110" t="n">
        <v>194.824</v>
      </c>
      <c r="I1272" s="111" t="n">
        <v>0.13788</v>
      </c>
      <c r="J1272" s="112" t="n">
        <f aca="false">ROUND(H1272*I1272,2)</f>
        <v>26.86</v>
      </c>
      <c r="L1272" s="113" t="n">
        <v>1250</v>
      </c>
      <c r="M1272" s="114" t="n">
        <v>0.13788</v>
      </c>
      <c r="N1272" s="115" t="n">
        <f aca="false">ROUND(L1272*M1272,2)</f>
        <v>172.35</v>
      </c>
      <c r="O1272" s="119" t="s">
        <v>616</v>
      </c>
      <c r="P1272" s="79"/>
      <c r="R1272" s="117" t="s">
        <v>1247</v>
      </c>
      <c r="AA1272" s="0" t="n">
        <v>108.642</v>
      </c>
      <c r="AB1272" s="0" t="n">
        <f aca="false">B1270*D1270+B1271*D1271+AA1272*D1272+AA1273*D1273+AA1274*D1274</f>
        <v>90.130958962</v>
      </c>
    </row>
    <row r="1273" customFormat="false" ht="15" hidden="false" customHeight="false" outlineLevel="0" collapsed="false">
      <c r="A1273" s="104" t="s">
        <v>618</v>
      </c>
      <c r="B1273" s="105" t="n">
        <f aca="false">IF($P$1272&lt;&gt;"",ROUND(AA1273*(($AB$1272/(1-$P$1272))-17.871)/83.2412,2),IF('Resumen 2.0TD'!$D$3="OPTIMIZAR",ROUND(MAX(AA1273,MIN(AA1273*(($AB$1272/(1-'Resumen 2.0TD'!$F$3))-17.871)/83.2412,AA1273*(191.6868)/83.2412)),3),AA1273))</f>
        <v>211.867</v>
      </c>
      <c r="C1273" s="118"/>
      <c r="D1273" s="107" t="n">
        <v>0.120671</v>
      </c>
      <c r="E1273" s="108" t="n">
        <v>0.13788</v>
      </c>
      <c r="F1273" s="109" t="n">
        <f aca="false">ROUND(B1273*E1273,2)</f>
        <v>29.21</v>
      </c>
      <c r="H1273" s="110" t="n">
        <v>192.971</v>
      </c>
      <c r="I1273" s="111" t="n">
        <v>0.13788</v>
      </c>
      <c r="J1273" s="112" t="n">
        <f aca="false">ROUND(H1273*I1273,2)</f>
        <v>26.61</v>
      </c>
      <c r="L1273" s="136"/>
      <c r="M1273" s="136"/>
      <c r="N1273" s="136"/>
      <c r="O1273" s="120" t="s">
        <v>619</v>
      </c>
      <c r="R1273" s="117" t="s">
        <v>620</v>
      </c>
      <c r="AA1273" s="0" t="n">
        <v>211.867</v>
      </c>
    </row>
    <row r="1274" customFormat="false" ht="15" hidden="false" customHeight="false" outlineLevel="0" collapsed="false">
      <c r="A1274" s="104" t="s">
        <v>621</v>
      </c>
      <c r="B1274" s="105" t="n">
        <f aca="false">IF($P$1272&lt;&gt;"",ROUND(AA1274*(($AB$1272/(1-$P$1272))-17.871)/83.2412,2),IF('Resumen 2.0TD'!$D$3="OPTIMIZAR",ROUND(MAX(AA1274,MIN(AA1274*(($AB$1272/(1-'Resumen 2.0TD'!$F$3))-17.871)/83.2412,AA1274*(191.6868)/83.2412)),3),AA1274))</f>
        <v>283.213</v>
      </c>
      <c r="C1274" s="118"/>
      <c r="D1274" s="107" t="n">
        <v>0.120671</v>
      </c>
      <c r="E1274" s="108" t="n">
        <v>0.13788</v>
      </c>
      <c r="F1274" s="109" t="n">
        <f aca="false">ROUND(B1274*E1274,2)</f>
        <v>39.05</v>
      </c>
      <c r="H1274" s="110" t="n">
        <v>134.629</v>
      </c>
      <c r="I1274" s="111" t="n">
        <v>0.13788</v>
      </c>
      <c r="J1274" s="112" t="n">
        <f aca="false">ROUND(H1274*I1274,2)</f>
        <v>18.56</v>
      </c>
      <c r="L1274" s="136"/>
      <c r="M1274" s="136"/>
      <c r="N1274" s="136"/>
      <c r="O1274" s="120" t="s">
        <v>622</v>
      </c>
      <c r="AA1274" s="0" t="n">
        <v>283.213</v>
      </c>
    </row>
    <row r="1275" customFormat="false" ht="15" hidden="false" customHeight="false" outlineLevel="0" collapsed="false">
      <c r="A1275" s="104" t="s">
        <v>139</v>
      </c>
      <c r="B1275" s="105" t="n">
        <v>1</v>
      </c>
      <c r="C1275" s="106" t="n">
        <f aca="false">$N$1267-$L$1267+1</f>
        <v>30</v>
      </c>
      <c r="D1275" s="107" t="n">
        <v>0.7989</v>
      </c>
      <c r="E1275" s="108" t="n">
        <v>3</v>
      </c>
      <c r="F1275" s="109" t="n">
        <f aca="false">ROUND(B1275*E1275,2)</f>
        <v>3</v>
      </c>
      <c r="H1275" s="110" t="n">
        <v>1</v>
      </c>
      <c r="I1275" s="111" t="n">
        <v>3</v>
      </c>
      <c r="J1275" s="112" t="n">
        <f aca="false">ROUND(H1275*I1275,2)</f>
        <v>3</v>
      </c>
      <c r="L1275" s="113" t="n">
        <v>1</v>
      </c>
      <c r="M1275" s="114" t="n">
        <v>3</v>
      </c>
      <c r="N1275" s="115" t="n">
        <f aca="false">ROUND(L1275*M1275,2)</f>
        <v>3</v>
      </c>
    </row>
    <row r="1276" customFormat="false" ht="15" hidden="false" customHeight="false" outlineLevel="0" collapsed="false">
      <c r="A1276" s="104" t="s">
        <v>140</v>
      </c>
      <c r="B1276" s="105" t="n">
        <v>30</v>
      </c>
      <c r="C1276" s="106" t="n">
        <f aca="false">$N$1267-$L$1267+1</f>
        <v>30</v>
      </c>
      <c r="D1276" s="107" t="n">
        <v>0.5736</v>
      </c>
      <c r="E1276" s="108" t="n">
        <v>0.01274</v>
      </c>
      <c r="F1276" s="109" t="n">
        <f aca="false">ROUND(B1276*E1276,2)</f>
        <v>0.38</v>
      </c>
      <c r="H1276" s="110" t="n">
        <v>30</v>
      </c>
      <c r="I1276" s="111" t="n">
        <v>0.01274</v>
      </c>
      <c r="J1276" s="112" t="n">
        <f aca="false">ROUND(H1276*I1276,2)</f>
        <v>0.38</v>
      </c>
      <c r="L1276" s="113" t="n">
        <v>30</v>
      </c>
      <c r="M1276" s="114" t="n">
        <v>0.00629</v>
      </c>
      <c r="N1276" s="115" t="n">
        <f aca="false">ROUND(L1276*M1276,2)</f>
        <v>0.19</v>
      </c>
    </row>
    <row r="1277" customFormat="false" ht="15" hidden="false" customHeight="false" outlineLevel="0" collapsed="false">
      <c r="A1277" s="104" t="s">
        <v>141</v>
      </c>
      <c r="B1277" s="105" t="n">
        <v>5.53</v>
      </c>
      <c r="C1277" s="118"/>
      <c r="D1277" s="107" t="n">
        <v>0.27458</v>
      </c>
      <c r="E1277" s="108" t="n">
        <v>1</v>
      </c>
      <c r="F1277" s="109" t="n">
        <f aca="false">ROUND(B1277*E1277,2)</f>
        <v>5.53</v>
      </c>
      <c r="H1277" s="110" t="n">
        <v>4.92</v>
      </c>
      <c r="I1277" s="111" t="n">
        <v>1</v>
      </c>
      <c r="J1277" s="112" t="n">
        <f aca="false">ROUND(H1277*I1277,2)</f>
        <v>4.92</v>
      </c>
      <c r="L1277" s="113" t="n">
        <v>0.92</v>
      </c>
      <c r="M1277" s="114" t="n">
        <v>1</v>
      </c>
      <c r="N1277" s="115" t="n">
        <f aca="false">ROUND(L1277*M1277,2)</f>
        <v>0.92</v>
      </c>
    </row>
    <row r="1278" customFormat="false" ht="15" hidden="false" customHeight="false" outlineLevel="0" collapsed="false">
      <c r="A1278" s="121" t="s">
        <v>142</v>
      </c>
      <c r="F1278" s="122" t="n">
        <f aca="false">ROUND((SUM(F1270:F1277)-F1277)*1.1+F1277,2)</f>
        <v>120.47</v>
      </c>
      <c r="J1278" s="123" t="n">
        <f aca="false">ROUND(SUM(J1270:J1277),2)</f>
        <v>98.2</v>
      </c>
      <c r="N1278" s="124" t="n">
        <f aca="false">ROUND(SUM(N1270:N1277),2)</f>
        <v>194.33</v>
      </c>
    </row>
    <row r="1279" customFormat="false" ht="15" hidden="false" customHeight="false" outlineLevel="0" collapsed="false">
      <c r="A1279" s="93" t="s">
        <v>143</v>
      </c>
      <c r="B1279" s="125" t="n">
        <f aca="false">IF((F1274+F1273+F1272+F1270+F1271)=0,"",((F1274+F1273+F1272+F1270+F1271)-$AB$1272)/(F1274+F1273+F1272+F1270+F1271))</f>
        <v>0.108585115596875</v>
      </c>
      <c r="D1279" s="126" t="str">
        <f aca="false">IF(B1279="","SIN PC",IF(B1279&gt;=0.3,"APROBAR",IF(B1279&gt;=0.2,"REVISAR","RECHAZAR")))</f>
        <v>RECHAZAR</v>
      </c>
      <c r="E1279" s="126"/>
      <c r="F1279" s="126"/>
      <c r="AD1279" s="0" t="n">
        <f aca="false">SUM(F1272:F1274)-83.2412</f>
        <v>-0.00120000000001141</v>
      </c>
    </row>
    <row r="1281" customFormat="false" ht="15" hidden="false" customHeight="false" outlineLevel="0" collapsed="false">
      <c r="A1281" s="89" t="s">
        <v>1248</v>
      </c>
      <c r="B1281" s="89"/>
      <c r="C1281" s="89"/>
      <c r="D1281" s="89"/>
      <c r="E1281" s="89"/>
      <c r="F1281" s="89"/>
      <c r="H1281" s="89" t="s">
        <v>1249</v>
      </c>
      <c r="I1281" s="89"/>
      <c r="J1281" s="89"/>
      <c r="K1281" s="89"/>
      <c r="L1281" s="90" t="n">
        <v>46113</v>
      </c>
      <c r="M1281" s="91" t="s">
        <v>608</v>
      </c>
      <c r="N1281" s="90" t="n">
        <v>46142</v>
      </c>
      <c r="R1281" s="92" t="s">
        <v>110</v>
      </c>
      <c r="S1281" s="92"/>
      <c r="T1281" s="92"/>
      <c r="U1281" s="92"/>
      <c r="V1281" s="92"/>
    </row>
    <row r="1282" customFormat="false" ht="15" hidden="false" customHeight="false" outlineLevel="0" collapsed="false">
      <c r="A1282" s="93" t="s">
        <v>111</v>
      </c>
      <c r="B1282" s="94" t="s">
        <v>112</v>
      </c>
      <c r="C1282" s="95"/>
      <c r="D1282" s="95"/>
      <c r="E1282" s="95"/>
      <c r="F1282" s="95"/>
      <c r="H1282" s="96" t="s">
        <v>1250</v>
      </c>
      <c r="I1282" s="97"/>
      <c r="J1282" s="97"/>
      <c r="L1282" s="98" t="s">
        <v>1251</v>
      </c>
      <c r="M1282" s="99"/>
      <c r="N1282" s="99"/>
      <c r="R1282" s="100" t="s">
        <v>1252</v>
      </c>
    </row>
    <row r="1283" customFormat="false" ht="15" hidden="false" customHeight="false" outlineLevel="0" collapsed="false">
      <c r="B1283" s="81" t="s">
        <v>116</v>
      </c>
      <c r="C1283" s="81" t="s">
        <v>117</v>
      </c>
      <c r="D1283" s="81" t="s">
        <v>118</v>
      </c>
      <c r="E1283" s="81" t="s">
        <v>119</v>
      </c>
      <c r="F1283" s="81" t="s">
        <v>120</v>
      </c>
      <c r="H1283" s="101" t="s">
        <v>116</v>
      </c>
      <c r="I1283" s="101" t="s">
        <v>119</v>
      </c>
      <c r="J1283" s="101" t="s">
        <v>120</v>
      </c>
      <c r="L1283" s="102" t="s">
        <v>116</v>
      </c>
      <c r="M1283" s="102" t="s">
        <v>119</v>
      </c>
      <c r="N1283" s="102" t="s">
        <v>120</v>
      </c>
      <c r="R1283" s="103" t="s">
        <v>1253</v>
      </c>
    </row>
    <row r="1284" customFormat="false" ht="15" hidden="false" customHeight="false" outlineLevel="0" collapsed="false">
      <c r="A1284" s="104" t="s">
        <v>122</v>
      </c>
      <c r="B1284" s="105" t="n">
        <v>5.5</v>
      </c>
      <c r="C1284" s="106" t="n">
        <f aca="false">$N$1281-$L$1281+1</f>
        <v>30</v>
      </c>
      <c r="D1284" s="107" t="n">
        <v>3.68919</v>
      </c>
      <c r="E1284" s="108" t="n">
        <v>3.85</v>
      </c>
      <c r="F1284" s="109" t="n">
        <f aca="false">ROUND(B1284*E1284,2)</f>
        <v>21.18</v>
      </c>
      <c r="H1284" s="110" t="n">
        <v>5.5</v>
      </c>
      <c r="I1284" s="111" t="n">
        <v>3.85</v>
      </c>
      <c r="J1284" s="112" t="n">
        <f aca="false">ROUND(H1284*I1284,2)</f>
        <v>21.18</v>
      </c>
      <c r="L1284" s="113" t="n">
        <v>5.5</v>
      </c>
      <c r="M1284" s="114" t="n">
        <v>3.85</v>
      </c>
      <c r="N1284" s="115" t="n">
        <f aca="false">ROUND(L1284*M1284,2)</f>
        <v>21.18</v>
      </c>
      <c r="R1284" s="116" t="s">
        <v>1254</v>
      </c>
    </row>
    <row r="1285" customFormat="false" ht="15" hidden="false" customHeight="false" outlineLevel="0" collapsed="false">
      <c r="A1285" s="104" t="s">
        <v>124</v>
      </c>
      <c r="B1285" s="105" t="n">
        <v>5.5</v>
      </c>
      <c r="C1285" s="106" t="n">
        <f aca="false">$N$1281-$L$1281+1</f>
        <v>30</v>
      </c>
      <c r="D1285" s="107" t="n">
        <v>1.31928</v>
      </c>
      <c r="E1285" s="108" t="n">
        <v>1.33</v>
      </c>
      <c r="F1285" s="109" t="n">
        <f aca="false">ROUND(B1285*E1285,2)</f>
        <v>7.32</v>
      </c>
      <c r="H1285" s="110" t="n">
        <v>5.5</v>
      </c>
      <c r="I1285" s="111" t="n">
        <v>1.33</v>
      </c>
      <c r="J1285" s="112" t="n">
        <f aca="false">ROUND(H1285*I1285,2)</f>
        <v>7.32</v>
      </c>
      <c r="L1285" s="113" t="n">
        <v>5.5</v>
      </c>
      <c r="M1285" s="114" t="n">
        <v>1.33</v>
      </c>
      <c r="N1285" s="115" t="n">
        <f aca="false">ROUND(L1285*M1285,2)</f>
        <v>7.32</v>
      </c>
      <c r="R1285" s="117" t="s">
        <v>1255</v>
      </c>
    </row>
    <row r="1286" customFormat="false" ht="15" hidden="false" customHeight="false" outlineLevel="0" collapsed="false">
      <c r="A1286" s="104" t="s">
        <v>615</v>
      </c>
      <c r="B1286" s="105" t="n">
        <f aca="false">IF($P$1286&lt;&gt;"",ROUND(AA1286*(($AB$1286/(1-$P$1286))-28.49)/56.8271,2),IF('Resumen 2.0TD'!$D$3="OPTIMIZAR",ROUND(MAX(AA1286,MIN(AA1286*(($AB$1286/(1-'Resumen 2.0TD'!$F$3))-28.49)/56.8271,AA1286*(73.1778)/56.8271)),3),AA1286))</f>
        <v>124.019</v>
      </c>
      <c r="C1286" s="118"/>
      <c r="D1286" s="107" t="n">
        <v>0.111171</v>
      </c>
      <c r="E1286" s="108" t="n">
        <v>0.129</v>
      </c>
      <c r="F1286" s="109" t="n">
        <f aca="false">ROUND(B1286*E1286,2)</f>
        <v>16</v>
      </c>
      <c r="H1286" s="110" t="n">
        <v>124.004</v>
      </c>
      <c r="I1286" s="111" t="n">
        <v>0.13788</v>
      </c>
      <c r="J1286" s="112" t="n">
        <f aca="false">ROUND(H1286*I1286,2)</f>
        <v>17.1</v>
      </c>
      <c r="L1286" s="113" t="n">
        <v>37.809</v>
      </c>
      <c r="M1286" s="114" t="n">
        <v>0.13788</v>
      </c>
      <c r="N1286" s="115" t="n">
        <f aca="false">ROUND(L1286*M1286,2)</f>
        <v>5.21</v>
      </c>
      <c r="O1286" s="119" t="s">
        <v>616</v>
      </c>
      <c r="P1286" s="79"/>
      <c r="R1286" s="117" t="s">
        <v>1256</v>
      </c>
      <c r="AA1286" s="0" t="n">
        <v>124.019</v>
      </c>
      <c r="AB1286" s="0" t="n">
        <f aca="false">B1284*D1284+B1285*D1285+AA1286*D1286+AA1287*D1287+AA1288*D1288</f>
        <v>76.51963392</v>
      </c>
    </row>
    <row r="1287" customFormat="false" ht="15" hidden="false" customHeight="false" outlineLevel="0" collapsed="false">
      <c r="A1287" s="104" t="s">
        <v>618</v>
      </c>
      <c r="B1287" s="105" t="n">
        <f aca="false">IF($P$1286&lt;&gt;"",ROUND(AA1287*(($AB$1286/(1-$P$1286))-28.49)/56.8271,2),IF('Resumen 2.0TD'!$D$3="OPTIMIZAR",ROUND(MAX(AA1287,MIN(AA1287*(($AB$1286/(1-'Resumen 2.0TD'!$F$3))-28.49)/56.8271,AA1287*(73.1778)/56.8271)),3),AA1287))</f>
        <v>90.667</v>
      </c>
      <c r="C1287" s="118"/>
      <c r="D1287" s="107" t="n">
        <v>0.111171</v>
      </c>
      <c r="E1287" s="108" t="n">
        <v>0.129</v>
      </c>
      <c r="F1287" s="109" t="n">
        <f aca="false">ROUND(B1287*E1287,2)</f>
        <v>11.7</v>
      </c>
      <c r="H1287" s="110" t="n">
        <v>117.61</v>
      </c>
      <c r="I1287" s="111" t="n">
        <v>0.13788</v>
      </c>
      <c r="J1287" s="112" t="n">
        <f aca="false">ROUND(H1287*I1287,2)</f>
        <v>16.22</v>
      </c>
      <c r="L1287" s="113" t="n">
        <v>40.053</v>
      </c>
      <c r="M1287" s="114" t="n">
        <v>0.13788</v>
      </c>
      <c r="N1287" s="115" t="n">
        <f aca="false">ROUND(L1287*M1287,2)</f>
        <v>5.52</v>
      </c>
      <c r="O1287" s="120" t="s">
        <v>619</v>
      </c>
      <c r="R1287" s="117" t="s">
        <v>620</v>
      </c>
      <c r="AA1287" s="0" t="n">
        <v>90.667</v>
      </c>
    </row>
    <row r="1288" customFormat="false" ht="15" hidden="false" customHeight="false" outlineLevel="0" collapsed="false">
      <c r="A1288" s="104" t="s">
        <v>621</v>
      </c>
      <c r="B1288" s="105" t="n">
        <f aca="false">IF($P$1286&lt;&gt;"",ROUND(AA1288*(($AB$1286/(1-$P$1286))-28.49)/56.8271,2),IF('Resumen 2.0TD'!$D$3="OPTIMIZAR",ROUND(MAX(AA1288,MIN(AA1288*(($AB$1286/(1-'Resumen 2.0TD'!$F$3))-28.49)/56.8271,AA1288*(73.1778)/56.8271)),3),AA1288))</f>
        <v>225.834</v>
      </c>
      <c r="C1288" s="118"/>
      <c r="D1288" s="107" t="n">
        <v>0.111171</v>
      </c>
      <c r="E1288" s="108" t="n">
        <v>0.129</v>
      </c>
      <c r="F1288" s="109" t="n">
        <f aca="false">ROUND(B1288*E1288,2)</f>
        <v>29.13</v>
      </c>
      <c r="H1288" s="110" t="n">
        <v>232.776</v>
      </c>
      <c r="I1288" s="111" t="n">
        <v>0.13788</v>
      </c>
      <c r="J1288" s="112" t="n">
        <f aca="false">ROUND(H1288*I1288,2)</f>
        <v>32.1</v>
      </c>
      <c r="L1288" s="113" t="n">
        <v>99.488</v>
      </c>
      <c r="M1288" s="114" t="n">
        <v>0.13788</v>
      </c>
      <c r="N1288" s="115" t="n">
        <f aca="false">ROUND(L1288*M1288,2)</f>
        <v>13.72</v>
      </c>
      <c r="O1288" s="120" t="s">
        <v>622</v>
      </c>
      <c r="AA1288" s="0" t="n">
        <v>225.834</v>
      </c>
    </row>
    <row r="1289" customFormat="false" ht="15" hidden="false" customHeight="false" outlineLevel="0" collapsed="false">
      <c r="A1289" s="104" t="s">
        <v>139</v>
      </c>
      <c r="B1289" s="105" t="n">
        <v>1</v>
      </c>
      <c r="C1289" s="106" t="n">
        <f aca="false">$N$1281-$L$1281+1</f>
        <v>30</v>
      </c>
      <c r="D1289" s="107" t="n">
        <v>0.7989</v>
      </c>
      <c r="E1289" s="108" t="n">
        <v>3</v>
      </c>
      <c r="F1289" s="109" t="n">
        <f aca="false">ROUND(B1289*E1289,2)</f>
        <v>3</v>
      </c>
      <c r="H1289" s="110" t="n">
        <v>1</v>
      </c>
      <c r="I1289" s="111" t="n">
        <v>3</v>
      </c>
      <c r="J1289" s="112" t="n">
        <f aca="false">ROUND(H1289*I1289,2)</f>
        <v>3</v>
      </c>
      <c r="L1289" s="113" t="n">
        <v>1</v>
      </c>
      <c r="M1289" s="114" t="n">
        <v>3</v>
      </c>
      <c r="N1289" s="115" t="n">
        <f aca="false">ROUND(L1289*M1289,2)</f>
        <v>3</v>
      </c>
    </row>
    <row r="1290" customFormat="false" ht="15" hidden="false" customHeight="false" outlineLevel="0" collapsed="false">
      <c r="A1290" s="104" t="s">
        <v>140</v>
      </c>
      <c r="B1290" s="105" t="n">
        <v>30</v>
      </c>
      <c r="C1290" s="106" t="n">
        <f aca="false">$N$1281-$L$1281+1</f>
        <v>30</v>
      </c>
      <c r="D1290" s="107" t="n">
        <v>0.5736</v>
      </c>
      <c r="E1290" s="108" t="n">
        <v>0.01274</v>
      </c>
      <c r="F1290" s="109" t="n">
        <f aca="false">ROUND(B1290*E1290,2)</f>
        <v>0.38</v>
      </c>
      <c r="H1290" s="110" t="n">
        <v>30</v>
      </c>
      <c r="I1290" s="111" t="n">
        <v>0.01274</v>
      </c>
      <c r="J1290" s="112" t="n">
        <f aca="false">ROUND(H1290*I1290,2)</f>
        <v>0.38</v>
      </c>
      <c r="L1290" s="113" t="n">
        <v>30</v>
      </c>
      <c r="M1290" s="114" t="n">
        <v>0.00629</v>
      </c>
      <c r="N1290" s="115" t="n">
        <f aca="false">ROUND(L1290*M1290,2)</f>
        <v>0.19</v>
      </c>
    </row>
    <row r="1291" customFormat="false" ht="15" hidden="false" customHeight="false" outlineLevel="0" collapsed="false">
      <c r="A1291" s="104" t="s">
        <v>141</v>
      </c>
      <c r="B1291" s="105" t="n">
        <v>4.76</v>
      </c>
      <c r="C1291" s="118"/>
      <c r="D1291" s="107" t="n">
        <v>0.27312</v>
      </c>
      <c r="E1291" s="108" t="n">
        <v>1</v>
      </c>
      <c r="F1291" s="109" t="n">
        <f aca="false">ROUND(B1291*E1291,2)</f>
        <v>4.76</v>
      </c>
      <c r="H1291" s="110" t="n">
        <v>4.81</v>
      </c>
      <c r="I1291" s="111" t="n">
        <v>1</v>
      </c>
      <c r="J1291" s="112" t="n">
        <f aca="false">ROUND(H1291*I1291,2)</f>
        <v>4.81</v>
      </c>
      <c r="L1291" s="113" t="n">
        <v>2.72</v>
      </c>
      <c r="M1291" s="114" t="n">
        <v>1</v>
      </c>
      <c r="N1291" s="115" t="n">
        <f aca="false">ROUND(L1291*M1291,2)</f>
        <v>2.72</v>
      </c>
    </row>
    <row r="1292" customFormat="false" ht="15" hidden="false" customHeight="false" outlineLevel="0" collapsed="false">
      <c r="A1292" s="121" t="s">
        <v>142</v>
      </c>
      <c r="F1292" s="122" t="n">
        <f aca="false">ROUND((SUM(F1284:F1291)-F1291)*1.1+F1291,2)</f>
        <v>102.34</v>
      </c>
      <c r="J1292" s="123" t="n">
        <f aca="false">ROUND(SUM(J1284:J1291),2)</f>
        <v>102.11</v>
      </c>
      <c r="N1292" s="124" t="n">
        <f aca="false">ROUND(SUM(N1284:N1291),2)</f>
        <v>58.86</v>
      </c>
    </row>
    <row r="1293" customFormat="false" ht="15" hidden="false" customHeight="false" outlineLevel="0" collapsed="false">
      <c r="A1293" s="93" t="s">
        <v>143</v>
      </c>
      <c r="B1293" s="125" t="n">
        <f aca="false">IF((F1288+F1287+F1286+F1284+F1285)=0,"",((F1288+F1287+F1286+F1284+F1285)-$AB$1286)/(F1288+F1287+F1286+F1284+F1285))</f>
        <v>0.103250510723075</v>
      </c>
      <c r="D1293" s="126" t="str">
        <f aca="false">IF(B1293="","SIN PC",IF(B1293&gt;=0.3,"APROBAR",IF(B1293&gt;=0.2,"REVISAR","RECHAZAR")))</f>
        <v>RECHAZAR</v>
      </c>
      <c r="E1293" s="126"/>
      <c r="F1293" s="126"/>
      <c r="AD1293" s="0" t="n">
        <f aca="false">SUM(F1286:F1288)-56.8271</f>
        <v>0.00289999999999679</v>
      </c>
    </row>
    <row r="1295" customFormat="false" ht="15" hidden="false" customHeight="false" outlineLevel="0" collapsed="false">
      <c r="A1295" s="89" t="s">
        <v>1257</v>
      </c>
      <c r="B1295" s="89"/>
      <c r="C1295" s="89"/>
      <c r="D1295" s="89"/>
      <c r="E1295" s="89"/>
      <c r="F1295" s="89"/>
      <c r="H1295" s="89" t="s">
        <v>1258</v>
      </c>
      <c r="I1295" s="89"/>
      <c r="J1295" s="89"/>
      <c r="K1295" s="89"/>
      <c r="L1295" s="90" t="n">
        <v>46113</v>
      </c>
      <c r="M1295" s="91" t="s">
        <v>608</v>
      </c>
      <c r="N1295" s="90" t="n">
        <v>46142</v>
      </c>
      <c r="R1295" s="92" t="s">
        <v>110</v>
      </c>
      <c r="S1295" s="92"/>
      <c r="T1295" s="92"/>
      <c r="U1295" s="92"/>
      <c r="V1295" s="92"/>
    </row>
    <row r="1296" customFormat="false" ht="15" hidden="false" customHeight="false" outlineLevel="0" collapsed="false">
      <c r="A1296" s="93" t="s">
        <v>111</v>
      </c>
      <c r="B1296" s="94" t="s">
        <v>112</v>
      </c>
      <c r="C1296" s="95"/>
      <c r="D1296" s="95"/>
      <c r="E1296" s="95"/>
      <c r="F1296" s="95"/>
      <c r="H1296" s="96" t="s">
        <v>1259</v>
      </c>
      <c r="I1296" s="97"/>
      <c r="J1296" s="97"/>
      <c r="L1296" s="98" t="s">
        <v>1260</v>
      </c>
      <c r="M1296" s="99"/>
      <c r="N1296" s="99"/>
      <c r="R1296" s="100" t="s">
        <v>1261</v>
      </c>
    </row>
    <row r="1297" customFormat="false" ht="15" hidden="false" customHeight="false" outlineLevel="0" collapsed="false">
      <c r="B1297" s="81" t="s">
        <v>116</v>
      </c>
      <c r="C1297" s="81" t="s">
        <v>117</v>
      </c>
      <c r="D1297" s="81" t="s">
        <v>118</v>
      </c>
      <c r="E1297" s="81" t="s">
        <v>119</v>
      </c>
      <c r="F1297" s="81" t="s">
        <v>120</v>
      </c>
      <c r="H1297" s="101" t="s">
        <v>116</v>
      </c>
      <c r="I1297" s="101" t="s">
        <v>119</v>
      </c>
      <c r="J1297" s="101" t="s">
        <v>120</v>
      </c>
      <c r="L1297" s="102" t="s">
        <v>116</v>
      </c>
      <c r="M1297" s="102" t="s">
        <v>119</v>
      </c>
      <c r="N1297" s="102" t="s">
        <v>120</v>
      </c>
      <c r="R1297" s="103" t="s">
        <v>1262</v>
      </c>
    </row>
    <row r="1298" customFormat="false" ht="15" hidden="false" customHeight="false" outlineLevel="0" collapsed="false">
      <c r="A1298" s="104" t="s">
        <v>122</v>
      </c>
      <c r="B1298" s="105" t="n">
        <v>10</v>
      </c>
      <c r="C1298" s="106" t="n">
        <f aca="false">$N$1295-$L$1295+1</f>
        <v>30</v>
      </c>
      <c r="D1298" s="107" t="n">
        <v>3.68919</v>
      </c>
      <c r="E1298" s="108" t="n">
        <v>4.17</v>
      </c>
      <c r="F1298" s="109" t="n">
        <f aca="false">ROUND(B1298*E1298,2)</f>
        <v>41.7</v>
      </c>
      <c r="H1298" s="110" t="n">
        <v>10</v>
      </c>
      <c r="I1298" s="111" t="n">
        <v>4.17</v>
      </c>
      <c r="J1298" s="112" t="n">
        <f aca="false">ROUND(H1298*I1298,2)</f>
        <v>41.7</v>
      </c>
      <c r="L1298" s="113" t="n">
        <v>10</v>
      </c>
      <c r="M1298" s="114" t="n">
        <v>4.82</v>
      </c>
      <c r="N1298" s="115" t="n">
        <f aca="false">ROUND(L1298*M1298,2)</f>
        <v>48.2</v>
      </c>
      <c r="R1298" s="116" t="s">
        <v>1263</v>
      </c>
    </row>
    <row r="1299" customFormat="false" ht="15" hidden="false" customHeight="false" outlineLevel="0" collapsed="false">
      <c r="A1299" s="104" t="s">
        <v>124</v>
      </c>
      <c r="B1299" s="105" t="n">
        <v>10</v>
      </c>
      <c r="C1299" s="106" t="n">
        <f aca="false">$N$1295-$L$1295+1</f>
        <v>30</v>
      </c>
      <c r="D1299" s="107" t="n">
        <v>1.31928</v>
      </c>
      <c r="E1299" s="108" t="n">
        <v>1.37</v>
      </c>
      <c r="F1299" s="109" t="n">
        <f aca="false">ROUND(B1299*E1299,2)</f>
        <v>13.7</v>
      </c>
      <c r="H1299" s="110" t="n">
        <v>10</v>
      </c>
      <c r="I1299" s="111" t="n">
        <v>1.37</v>
      </c>
      <c r="J1299" s="112" t="n">
        <f aca="false">ROUND(H1299*I1299,2)</f>
        <v>13.7</v>
      </c>
      <c r="L1299" s="113" t="n">
        <v>10</v>
      </c>
      <c r="M1299" s="114" t="n">
        <v>2.3744</v>
      </c>
      <c r="N1299" s="115" t="n">
        <f aca="false">ROUND(L1299*M1299,2)</f>
        <v>23.74</v>
      </c>
      <c r="R1299" s="117" t="s">
        <v>1264</v>
      </c>
    </row>
    <row r="1300" customFormat="false" ht="15" hidden="false" customHeight="false" outlineLevel="0" collapsed="false">
      <c r="A1300" s="104" t="s">
        <v>615</v>
      </c>
      <c r="B1300" s="105" t="n">
        <f aca="false">IF($P$1300&lt;&gt;"",ROUND(AA1300*(($AB$1300/(1-$P$1300))-55.4)/48.8904,2),IF('Resumen 2.0TD'!$D$3="OPTIMIZAR",ROUND(MAX(AA1300,MIN(AA1300*(($AB$1300/(1-'Resumen 2.0TD'!$F$3))-55.4)/48.8904,AA1300*(281.1778)/48.8904)),3),AA1300))</f>
        <v>69.66</v>
      </c>
      <c r="C1300" s="118"/>
      <c r="D1300" s="107" t="n">
        <v>0.111171</v>
      </c>
      <c r="E1300" s="108" t="n">
        <v>0.14937</v>
      </c>
      <c r="F1300" s="109" t="n">
        <f aca="false">ROUND(B1300*E1300,2)</f>
        <v>10.41</v>
      </c>
      <c r="H1300" s="110" t="n">
        <v>162.325</v>
      </c>
      <c r="I1300" s="111" t="n">
        <v>0.14937</v>
      </c>
      <c r="J1300" s="112" t="n">
        <f aca="false">ROUND(H1300*I1300,2)</f>
        <v>24.25</v>
      </c>
      <c r="L1300" s="113" t="n">
        <v>140.276</v>
      </c>
      <c r="M1300" s="114" t="n">
        <v>0.1724</v>
      </c>
      <c r="N1300" s="115" t="n">
        <f aca="false">ROUND(L1300*M1300,2)</f>
        <v>24.18</v>
      </c>
      <c r="O1300" s="119" t="s">
        <v>616</v>
      </c>
      <c r="P1300" s="79"/>
      <c r="R1300" s="117" t="s">
        <v>1265</v>
      </c>
      <c r="AA1300" s="0" t="n">
        <v>69.66</v>
      </c>
      <c r="AB1300" s="0" t="n">
        <f aca="false">B1298*D1298+B1299*D1299+AA1300*D1300+AA1301*D1301+AA1302*D1302</f>
        <v>86.472191181</v>
      </c>
    </row>
    <row r="1301" customFormat="false" ht="15" hidden="false" customHeight="false" outlineLevel="0" collapsed="false">
      <c r="A1301" s="104" t="s">
        <v>618</v>
      </c>
      <c r="B1301" s="105" t="n">
        <f aca="false">IF($P$1300&lt;&gt;"",ROUND(AA1301*(($AB$1300/(1-$P$1300))-55.4)/48.8904,2),IF('Resumen 2.0TD'!$D$3="OPTIMIZAR",ROUND(MAX(AA1301,MIN(AA1301*(($AB$1300/(1-'Resumen 2.0TD'!$F$3))-55.4)/48.8904,AA1301*(281.1778)/48.8904)),3),AA1301))</f>
        <v>77.549</v>
      </c>
      <c r="C1301" s="118"/>
      <c r="D1301" s="107" t="n">
        <v>0.111171</v>
      </c>
      <c r="E1301" s="108" t="n">
        <v>0.14937</v>
      </c>
      <c r="F1301" s="109" t="n">
        <f aca="false">ROUND(B1301*E1301,2)</f>
        <v>11.58</v>
      </c>
      <c r="H1301" s="110" t="n">
        <v>166.724</v>
      </c>
      <c r="I1301" s="111" t="n">
        <v>0.14937</v>
      </c>
      <c r="J1301" s="112" t="n">
        <f aca="false">ROUND(H1301*I1301,2)</f>
        <v>24.9</v>
      </c>
      <c r="L1301" s="113" t="n">
        <v>114.937</v>
      </c>
      <c r="M1301" s="114" t="n">
        <v>0.1724</v>
      </c>
      <c r="N1301" s="115" t="n">
        <f aca="false">ROUND(L1301*M1301,2)</f>
        <v>19.82</v>
      </c>
      <c r="O1301" s="120" t="s">
        <v>619</v>
      </c>
      <c r="R1301" s="117" t="s">
        <v>620</v>
      </c>
      <c r="AA1301" s="0" t="n">
        <v>77.549</v>
      </c>
    </row>
    <row r="1302" customFormat="false" ht="15" hidden="false" customHeight="false" outlineLevel="0" collapsed="false">
      <c r="A1302" s="104" t="s">
        <v>621</v>
      </c>
      <c r="B1302" s="105" t="n">
        <f aca="false">IF($P$1300&lt;&gt;"",ROUND(AA1302*(($AB$1300/(1-$P$1300))-55.4)/48.8904,2),IF('Resumen 2.0TD'!$D$3="OPTIMIZAR",ROUND(MAX(AA1302,MIN(AA1302*(($AB$1300/(1-'Resumen 2.0TD'!$F$3))-55.4)/48.8904,AA1302*(281.1778)/48.8904)),3),AA1302))</f>
        <v>180.102</v>
      </c>
      <c r="C1302" s="118"/>
      <c r="D1302" s="107" t="n">
        <v>0.111171</v>
      </c>
      <c r="E1302" s="108" t="n">
        <v>0.14937</v>
      </c>
      <c r="F1302" s="109" t="n">
        <f aca="false">ROUND(B1302*E1302,2)</f>
        <v>26.9</v>
      </c>
      <c r="H1302" s="110" t="n">
        <v>286.938</v>
      </c>
      <c r="I1302" s="111" t="n">
        <v>0.14937</v>
      </c>
      <c r="J1302" s="112" t="n">
        <f aca="false">ROUND(H1302*I1302,2)</f>
        <v>42.86</v>
      </c>
      <c r="L1302" s="113" t="n">
        <v>234.658</v>
      </c>
      <c r="M1302" s="114" t="n">
        <v>0.1724</v>
      </c>
      <c r="N1302" s="115" t="n">
        <f aca="false">ROUND(L1302*M1302,2)</f>
        <v>40.46</v>
      </c>
      <c r="O1302" s="120" t="s">
        <v>622</v>
      </c>
      <c r="AA1302" s="0" t="n">
        <v>180.102</v>
      </c>
    </row>
    <row r="1303" customFormat="false" ht="15" hidden="false" customHeight="false" outlineLevel="0" collapsed="false">
      <c r="A1303" s="104" t="s">
        <v>139</v>
      </c>
      <c r="B1303" s="105" t="n">
        <v>1</v>
      </c>
      <c r="C1303" s="106" t="n">
        <f aca="false">$N$1295-$L$1295+1</f>
        <v>30</v>
      </c>
      <c r="D1303" s="107" t="n">
        <v>0.7989</v>
      </c>
      <c r="E1303" s="108" t="n">
        <v>4</v>
      </c>
      <c r="F1303" s="109" t="n">
        <f aca="false">ROUND(B1303*E1303,2)</f>
        <v>4</v>
      </c>
      <c r="H1303" s="110" t="n">
        <v>1</v>
      </c>
      <c r="I1303" s="111" t="n">
        <v>4</v>
      </c>
      <c r="J1303" s="112" t="n">
        <f aca="false">ROUND(H1303*I1303,2)</f>
        <v>4</v>
      </c>
      <c r="L1303" s="113" t="n">
        <v>1</v>
      </c>
      <c r="M1303" s="114" t="n">
        <v>6</v>
      </c>
      <c r="N1303" s="115" t="n">
        <f aca="false">ROUND(L1303*M1303,2)</f>
        <v>6</v>
      </c>
    </row>
    <row r="1304" customFormat="false" ht="15" hidden="false" customHeight="false" outlineLevel="0" collapsed="false">
      <c r="A1304" s="104" t="s">
        <v>140</v>
      </c>
      <c r="B1304" s="105" t="n">
        <v>30</v>
      </c>
      <c r="C1304" s="106" t="n">
        <f aca="false">$N$1295-$L$1295+1</f>
        <v>30</v>
      </c>
      <c r="D1304" s="107" t="n">
        <v>0.5736</v>
      </c>
      <c r="E1304" s="108" t="n">
        <v>0.01274</v>
      </c>
      <c r="F1304" s="109" t="n">
        <f aca="false">ROUND(B1304*E1304,2)</f>
        <v>0.38</v>
      </c>
      <c r="H1304" s="110" t="n">
        <v>30</v>
      </c>
      <c r="I1304" s="111" t="n">
        <v>0.01274</v>
      </c>
      <c r="J1304" s="112" t="n">
        <f aca="false">ROUND(H1304*I1304,2)</f>
        <v>0.38</v>
      </c>
      <c r="L1304" s="113" t="n">
        <v>30</v>
      </c>
      <c r="M1304" s="114" t="n">
        <v>0.00629</v>
      </c>
      <c r="N1304" s="115" t="n">
        <f aca="false">ROUND(L1304*M1304,2)</f>
        <v>0.19</v>
      </c>
    </row>
    <row r="1305" customFormat="false" ht="15" hidden="false" customHeight="false" outlineLevel="0" collapsed="false">
      <c r="A1305" s="104" t="s">
        <v>141</v>
      </c>
      <c r="B1305" s="105" t="n">
        <v>5.34</v>
      </c>
      <c r="C1305" s="118"/>
      <c r="D1305" s="107" t="n">
        <v>0.02671</v>
      </c>
      <c r="E1305" s="108" t="n">
        <v>1</v>
      </c>
      <c r="F1305" s="109" t="n">
        <f aca="false">ROUND(B1305*E1305,2)</f>
        <v>5.34</v>
      </c>
      <c r="H1305" s="110" t="n">
        <v>7.54</v>
      </c>
      <c r="I1305" s="111" t="n">
        <v>1</v>
      </c>
      <c r="J1305" s="112" t="n">
        <f aca="false">ROUND(H1305*I1305,2)</f>
        <v>7.54</v>
      </c>
      <c r="L1305" s="113" t="n">
        <v>8</v>
      </c>
      <c r="M1305" s="114" t="n">
        <v>1</v>
      </c>
      <c r="N1305" s="115" t="n">
        <f aca="false">ROUND(L1305*M1305,2)</f>
        <v>8</v>
      </c>
    </row>
    <row r="1306" customFormat="false" ht="15" hidden="false" customHeight="false" outlineLevel="0" collapsed="false">
      <c r="A1306" s="121" t="s">
        <v>142</v>
      </c>
      <c r="F1306" s="122" t="n">
        <f aca="false">ROUND((SUM(F1298:F1305)-F1305)*1.1+F1305,2)</f>
        <v>124.88</v>
      </c>
      <c r="J1306" s="123" t="n">
        <f aca="false">ROUND(SUM(J1298:J1305),2)</f>
        <v>159.33</v>
      </c>
      <c r="N1306" s="124" t="n">
        <f aca="false">ROUND(SUM(N1298:N1305),2)</f>
        <v>170.59</v>
      </c>
    </row>
    <row r="1307" customFormat="false" ht="15" hidden="false" customHeight="false" outlineLevel="0" collapsed="false">
      <c r="A1307" s="93" t="s">
        <v>143</v>
      </c>
      <c r="B1307" s="125" t="n">
        <f aca="false">IF((F1302+F1301+F1300+F1298+F1299)=0,"",((F1302+F1301+F1300+F1298+F1299)-$AB$1300)/(F1302+F1301+F1300+F1298+F1299))</f>
        <v>0.170848679825487</v>
      </c>
      <c r="D1307" s="126" t="str">
        <f aca="false">IF(B1307="","SIN PC",IF(B1307&gt;=0.3,"APROBAR",IF(B1307&gt;=0.2,"REVISAR","RECHAZAR")))</f>
        <v>RECHAZAR</v>
      </c>
      <c r="E1307" s="126"/>
      <c r="F1307" s="126"/>
      <c r="AD1307" s="0" t="n">
        <f aca="false">SUM(F1300:F1302)-48.8904</f>
        <v>-0.000399999999999068</v>
      </c>
    </row>
    <row r="1309" customFormat="false" ht="15" hidden="false" customHeight="false" outlineLevel="0" collapsed="false">
      <c r="A1309" s="89" t="s">
        <v>1266</v>
      </c>
      <c r="B1309" s="89"/>
      <c r="C1309" s="89"/>
      <c r="D1309" s="89"/>
      <c r="E1309" s="89"/>
      <c r="F1309" s="89"/>
      <c r="H1309" s="89" t="s">
        <v>1267</v>
      </c>
      <c r="I1309" s="89"/>
      <c r="J1309" s="89"/>
      <c r="K1309" s="89"/>
      <c r="L1309" s="90" t="n">
        <v>46113</v>
      </c>
      <c r="M1309" s="91" t="s">
        <v>608</v>
      </c>
      <c r="N1309" s="90" t="n">
        <v>46142</v>
      </c>
      <c r="R1309" s="92" t="s">
        <v>110</v>
      </c>
      <c r="S1309" s="92"/>
      <c r="T1309" s="92"/>
      <c r="U1309" s="92"/>
      <c r="V1309" s="92"/>
    </row>
    <row r="1310" customFormat="false" ht="15" hidden="false" customHeight="false" outlineLevel="0" collapsed="false">
      <c r="A1310" s="93" t="s">
        <v>111</v>
      </c>
      <c r="B1310" s="94" t="s">
        <v>112</v>
      </c>
      <c r="C1310" s="95"/>
      <c r="D1310" s="95"/>
      <c r="E1310" s="95"/>
      <c r="F1310" s="95"/>
      <c r="H1310" s="96" t="s">
        <v>1268</v>
      </c>
      <c r="I1310" s="97"/>
      <c r="J1310" s="97"/>
      <c r="L1310" s="98" t="s">
        <v>1269</v>
      </c>
      <c r="M1310" s="99"/>
      <c r="N1310" s="99"/>
      <c r="R1310" s="100" t="s">
        <v>1270</v>
      </c>
    </row>
    <row r="1311" customFormat="false" ht="15" hidden="false" customHeight="false" outlineLevel="0" collapsed="false">
      <c r="B1311" s="81" t="s">
        <v>116</v>
      </c>
      <c r="C1311" s="81" t="s">
        <v>117</v>
      </c>
      <c r="D1311" s="81" t="s">
        <v>118</v>
      </c>
      <c r="E1311" s="81" t="s">
        <v>119</v>
      </c>
      <c r="F1311" s="81" t="s">
        <v>120</v>
      </c>
      <c r="H1311" s="101" t="s">
        <v>116</v>
      </c>
      <c r="I1311" s="101" t="s">
        <v>119</v>
      </c>
      <c r="J1311" s="101" t="s">
        <v>120</v>
      </c>
      <c r="L1311" s="102" t="s">
        <v>116</v>
      </c>
      <c r="M1311" s="102" t="s">
        <v>119</v>
      </c>
      <c r="N1311" s="102" t="s">
        <v>120</v>
      </c>
      <c r="R1311" s="103" t="s">
        <v>1271</v>
      </c>
    </row>
    <row r="1312" customFormat="false" ht="15" hidden="false" customHeight="false" outlineLevel="0" collapsed="false">
      <c r="A1312" s="104" t="s">
        <v>122</v>
      </c>
      <c r="B1312" s="105" t="n">
        <v>10.392</v>
      </c>
      <c r="C1312" s="106" t="n">
        <f aca="false">$N$1309-$L$1309+1</f>
        <v>30</v>
      </c>
      <c r="D1312" s="107" t="n">
        <v>3.68919</v>
      </c>
      <c r="E1312" s="108" t="n">
        <v>4.17</v>
      </c>
      <c r="F1312" s="109" t="n">
        <f aca="false">ROUND(B1312*E1312,2)</f>
        <v>43.33</v>
      </c>
      <c r="H1312" s="110" t="n">
        <v>10.392</v>
      </c>
      <c r="I1312" s="111" t="n">
        <v>4.17</v>
      </c>
      <c r="J1312" s="112" t="n">
        <f aca="false">ROUND(H1312*I1312,2)</f>
        <v>43.33</v>
      </c>
      <c r="L1312" s="113" t="n">
        <v>10.392</v>
      </c>
      <c r="M1312" s="114" t="n">
        <v>4.17</v>
      </c>
      <c r="N1312" s="115" t="n">
        <f aca="false">ROUND(L1312*M1312,2)</f>
        <v>43.33</v>
      </c>
      <c r="R1312" s="116" t="s">
        <v>1272</v>
      </c>
    </row>
    <row r="1313" customFormat="false" ht="15" hidden="false" customHeight="false" outlineLevel="0" collapsed="false">
      <c r="A1313" s="104" t="s">
        <v>124</v>
      </c>
      <c r="B1313" s="105" t="n">
        <v>10.392</v>
      </c>
      <c r="C1313" s="106" t="n">
        <f aca="false">$N$1309-$L$1309+1</f>
        <v>30</v>
      </c>
      <c r="D1313" s="107" t="n">
        <v>1.31928</v>
      </c>
      <c r="E1313" s="108" t="n">
        <v>1.37</v>
      </c>
      <c r="F1313" s="109" t="n">
        <f aca="false">ROUND(B1313*E1313,2)</f>
        <v>14.24</v>
      </c>
      <c r="H1313" s="110" t="n">
        <v>10.392</v>
      </c>
      <c r="I1313" s="111" t="n">
        <v>1.37</v>
      </c>
      <c r="J1313" s="112" t="n">
        <f aca="false">ROUND(H1313*I1313,2)</f>
        <v>14.24</v>
      </c>
      <c r="L1313" s="113" t="n">
        <v>10.392</v>
      </c>
      <c r="M1313" s="114" t="n">
        <v>1.37</v>
      </c>
      <c r="N1313" s="115" t="n">
        <f aca="false">ROUND(L1313*M1313,2)</f>
        <v>14.24</v>
      </c>
      <c r="R1313" s="117" t="s">
        <v>1273</v>
      </c>
    </row>
    <row r="1314" customFormat="false" ht="15" hidden="false" customHeight="false" outlineLevel="0" collapsed="false">
      <c r="A1314" s="104" t="s">
        <v>615</v>
      </c>
      <c r="B1314" s="105" t="n">
        <f aca="false">IF($P$1314&lt;&gt;"",ROUND(AA1314*(($AB$1314/(1-$P$1314))-57.5717)/36.9954,2),IF('Resumen 2.0TD'!$D$3="OPTIMIZAR",ROUND(MAX(AA1314,MIN(AA1314*(($AB$1314/(1-'Resumen 2.0TD'!$F$3))-57.5717)/36.9954,AA1314*(93.6161)/36.9954)),3),AA1314))</f>
        <v>71.746</v>
      </c>
      <c r="C1314" s="118"/>
      <c r="D1314" s="107" t="n">
        <v>0.111171</v>
      </c>
      <c r="E1314" s="108" t="n">
        <v>0.14937</v>
      </c>
      <c r="F1314" s="109" t="n">
        <f aca="false">ROUND(B1314*E1314,2)</f>
        <v>10.72</v>
      </c>
      <c r="H1314" s="110" t="n">
        <v>213.802</v>
      </c>
      <c r="I1314" s="111" t="n">
        <v>0.14937</v>
      </c>
      <c r="J1314" s="112" t="n">
        <f aca="false">ROUND(H1314*I1314,2)</f>
        <v>31.94</v>
      </c>
      <c r="L1314" s="113" t="n">
        <v>77.051</v>
      </c>
      <c r="M1314" s="114" t="n">
        <v>0.14937</v>
      </c>
      <c r="N1314" s="115" t="n">
        <f aca="false">ROUND(L1314*M1314,2)</f>
        <v>11.51</v>
      </c>
      <c r="O1314" s="119" t="s">
        <v>616</v>
      </c>
      <c r="P1314" s="79"/>
      <c r="R1314" s="117" t="s">
        <v>1274</v>
      </c>
      <c r="AA1314" s="0" t="n">
        <v>71.746</v>
      </c>
      <c r="AB1314" s="0" t="n">
        <f aca="false">B1312*D1312+B1313*D1313+AA1314*D1314+AA1315*D1315+AA1316*D1316</f>
        <v>79.582408836</v>
      </c>
    </row>
    <row r="1315" customFormat="false" ht="15" hidden="false" customHeight="false" outlineLevel="0" collapsed="false">
      <c r="A1315" s="104" t="s">
        <v>618</v>
      </c>
      <c r="B1315" s="105" t="n">
        <f aca="false">IF($P$1314&lt;&gt;"",ROUND(AA1315*(($AB$1314/(1-$P$1314))-57.5717)/36.9954,2),IF('Resumen 2.0TD'!$D$3="OPTIMIZAR",ROUND(MAX(AA1315,MIN(AA1315*(($AB$1314/(1-'Resumen 2.0TD'!$F$3))-57.5717)/36.9954,AA1315*(93.6161)/36.9954)),3),AA1315))</f>
        <v>115.72</v>
      </c>
      <c r="C1315" s="118"/>
      <c r="D1315" s="107" t="n">
        <v>0.111171</v>
      </c>
      <c r="E1315" s="108" t="n">
        <v>0.14937</v>
      </c>
      <c r="F1315" s="109" t="n">
        <f aca="false">ROUND(B1315*E1315,2)</f>
        <v>17.29</v>
      </c>
      <c r="H1315" s="110" t="n">
        <v>189.608</v>
      </c>
      <c r="I1315" s="111" t="n">
        <v>0.14937</v>
      </c>
      <c r="J1315" s="112" t="n">
        <f aca="false">ROUND(H1315*I1315,2)</f>
        <v>28.32</v>
      </c>
      <c r="L1315" s="113" t="n">
        <v>136.372</v>
      </c>
      <c r="M1315" s="114" t="n">
        <v>0.14937</v>
      </c>
      <c r="N1315" s="115" t="n">
        <f aca="false">ROUND(L1315*M1315,2)</f>
        <v>20.37</v>
      </c>
      <c r="O1315" s="120" t="s">
        <v>619</v>
      </c>
      <c r="R1315" s="117" t="s">
        <v>620</v>
      </c>
      <c r="AA1315" s="0" t="n">
        <v>115.72</v>
      </c>
    </row>
    <row r="1316" customFormat="false" ht="15" hidden="false" customHeight="false" outlineLevel="0" collapsed="false">
      <c r="A1316" s="104" t="s">
        <v>621</v>
      </c>
      <c r="B1316" s="105" t="n">
        <f aca="false">IF($P$1314&lt;&gt;"",ROUND(AA1316*(($AB$1314/(1-$P$1314))-57.5717)/36.9954,2),IF('Resumen 2.0TD'!$D$3="OPTIMIZAR",ROUND(MAX(AA1316,MIN(AA1316*(($AB$1314/(1-'Resumen 2.0TD'!$F$3))-57.5717)/36.9954,AA1316*(93.6161)/36.9954)),3),AA1316))</f>
        <v>60.21</v>
      </c>
      <c r="C1316" s="118"/>
      <c r="D1316" s="107" t="n">
        <v>0.111171</v>
      </c>
      <c r="E1316" s="108" t="n">
        <v>0.14937</v>
      </c>
      <c r="F1316" s="109" t="n">
        <f aca="false">ROUND(B1316*E1316,2)</f>
        <v>8.99</v>
      </c>
      <c r="H1316" s="110" t="n">
        <v>44.88</v>
      </c>
      <c r="I1316" s="111" t="n">
        <v>0.14937</v>
      </c>
      <c r="J1316" s="112" t="n">
        <f aca="false">ROUND(H1316*I1316,2)</f>
        <v>6.7</v>
      </c>
      <c r="L1316" s="113" t="n">
        <v>55.37</v>
      </c>
      <c r="M1316" s="114" t="n">
        <v>0.14937</v>
      </c>
      <c r="N1316" s="115" t="n">
        <f aca="false">ROUND(L1316*M1316,2)</f>
        <v>8.27</v>
      </c>
      <c r="O1316" s="120" t="s">
        <v>622</v>
      </c>
      <c r="AA1316" s="0" t="n">
        <v>60.21</v>
      </c>
    </row>
    <row r="1317" customFormat="false" ht="15" hidden="false" customHeight="false" outlineLevel="0" collapsed="false">
      <c r="A1317" s="104" t="s">
        <v>139</v>
      </c>
      <c r="B1317" s="105" t="n">
        <v>1</v>
      </c>
      <c r="C1317" s="106" t="n">
        <f aca="false">$N$1309-$L$1309+1</f>
        <v>30</v>
      </c>
      <c r="D1317" s="107" t="n">
        <v>1.3414</v>
      </c>
      <c r="E1317" s="108" t="n">
        <v>4</v>
      </c>
      <c r="F1317" s="109" t="n">
        <f aca="false">ROUND(B1317*E1317,2)</f>
        <v>4</v>
      </c>
      <c r="H1317" s="110" t="n">
        <v>1</v>
      </c>
      <c r="I1317" s="111" t="n">
        <v>4</v>
      </c>
      <c r="J1317" s="112" t="n">
        <f aca="false">ROUND(H1317*I1317,2)</f>
        <v>4</v>
      </c>
      <c r="L1317" s="113" t="n">
        <v>1</v>
      </c>
      <c r="M1317" s="114" t="n">
        <v>4</v>
      </c>
      <c r="N1317" s="115" t="n">
        <f aca="false">ROUND(L1317*M1317,2)</f>
        <v>4</v>
      </c>
    </row>
    <row r="1318" customFormat="false" ht="15" hidden="false" customHeight="false" outlineLevel="0" collapsed="false">
      <c r="A1318" s="104" t="s">
        <v>140</v>
      </c>
      <c r="B1318" s="105" t="n">
        <v>30</v>
      </c>
      <c r="C1318" s="106" t="n">
        <f aca="false">$N$1309-$L$1309+1</f>
        <v>30</v>
      </c>
      <c r="D1318" s="107" t="n">
        <v>0.5736</v>
      </c>
      <c r="E1318" s="108" t="n">
        <v>0.01274</v>
      </c>
      <c r="F1318" s="109" t="n">
        <f aca="false">ROUND(B1318*E1318,2)</f>
        <v>0.38</v>
      </c>
      <c r="H1318" s="110" t="n">
        <v>30</v>
      </c>
      <c r="I1318" s="111" t="n">
        <v>0.01274</v>
      </c>
      <c r="J1318" s="112" t="n">
        <f aca="false">ROUND(H1318*I1318,2)</f>
        <v>0.38</v>
      </c>
      <c r="L1318" s="113" t="n">
        <v>30</v>
      </c>
      <c r="M1318" s="114" t="n">
        <v>0.00629</v>
      </c>
      <c r="N1318" s="115" t="n">
        <f aca="false">ROUND(L1318*M1318,2)</f>
        <v>0.19</v>
      </c>
    </row>
    <row r="1319" customFormat="false" ht="15" hidden="false" customHeight="false" outlineLevel="0" collapsed="false">
      <c r="A1319" s="104" t="s">
        <v>141</v>
      </c>
      <c r="B1319" s="105" t="n">
        <v>4.84</v>
      </c>
      <c r="C1319" s="118"/>
      <c r="D1319" s="107" t="n">
        <v>0.02671</v>
      </c>
      <c r="E1319" s="108" t="n">
        <v>1</v>
      </c>
      <c r="F1319" s="109" t="n">
        <f aca="false">ROUND(B1319*E1319,2)</f>
        <v>4.84</v>
      </c>
      <c r="H1319" s="110" t="n">
        <v>6.37</v>
      </c>
      <c r="I1319" s="111" t="n">
        <v>1</v>
      </c>
      <c r="J1319" s="112" t="n">
        <f aca="false">ROUND(H1319*I1319,2)</f>
        <v>6.37</v>
      </c>
      <c r="L1319" s="113" t="n">
        <v>5</v>
      </c>
      <c r="M1319" s="114" t="n">
        <v>1</v>
      </c>
      <c r="N1319" s="115" t="n">
        <f aca="false">ROUND(L1319*M1319,2)</f>
        <v>5</v>
      </c>
    </row>
    <row r="1320" customFormat="false" ht="15" hidden="false" customHeight="false" outlineLevel="0" collapsed="false">
      <c r="A1320" s="121" t="s">
        <v>142</v>
      </c>
      <c r="F1320" s="122" t="n">
        <f aca="false">ROUND((SUM(F1312:F1319)-F1319)*1.1+F1319,2)</f>
        <v>113.69</v>
      </c>
      <c r="J1320" s="123" t="n">
        <f aca="false">ROUND(SUM(J1312:J1319),2)</f>
        <v>135.28</v>
      </c>
      <c r="N1320" s="124" t="n">
        <f aca="false">ROUND(SUM(N1312:N1319),2)</f>
        <v>106.91</v>
      </c>
    </row>
    <row r="1321" customFormat="false" ht="15" hidden="false" customHeight="false" outlineLevel="0" collapsed="false">
      <c r="A1321" s="93" t="s">
        <v>143</v>
      </c>
      <c r="B1321" s="125" t="n">
        <f aca="false">IF((F1316+F1315+F1314+F1312+F1313)=0,"",((F1316+F1315+F1314+F1312+F1313)-$AB$1314)/(F1316+F1315+F1314+F1312+F1313))</f>
        <v>0.158481454626203</v>
      </c>
      <c r="D1321" s="126" t="str">
        <f aca="false">IF(B1321="","SIN PC",IF(B1321&gt;=0.3,"APROBAR",IF(B1321&gt;=0.2,"REVISAR","RECHAZAR")))</f>
        <v>RECHAZAR</v>
      </c>
      <c r="E1321" s="126"/>
      <c r="F1321" s="126"/>
      <c r="AD1321" s="0" t="n">
        <f aca="false">SUM(F1314:F1316)-36.9954</f>
        <v>0.00460000000000349</v>
      </c>
    </row>
    <row r="1323" customFormat="false" ht="15" hidden="false" customHeight="false" outlineLevel="0" collapsed="false">
      <c r="A1323" s="89" t="s">
        <v>1275</v>
      </c>
      <c r="B1323" s="89"/>
      <c r="C1323" s="89"/>
      <c r="D1323" s="89"/>
      <c r="E1323" s="89"/>
      <c r="F1323" s="89"/>
      <c r="H1323" s="89" t="s">
        <v>1276</v>
      </c>
      <c r="I1323" s="89"/>
      <c r="J1323" s="89"/>
      <c r="K1323" s="89"/>
      <c r="L1323" s="90" t="n">
        <v>46113</v>
      </c>
      <c r="M1323" s="91" t="s">
        <v>608</v>
      </c>
      <c r="N1323" s="90" t="n">
        <v>46142</v>
      </c>
      <c r="R1323" s="92" t="s">
        <v>110</v>
      </c>
      <c r="S1323" s="92"/>
      <c r="T1323" s="92"/>
      <c r="U1323" s="92"/>
      <c r="V1323" s="92"/>
    </row>
    <row r="1324" customFormat="false" ht="15" hidden="false" customHeight="false" outlineLevel="0" collapsed="false">
      <c r="A1324" s="93" t="s">
        <v>111</v>
      </c>
      <c r="B1324" s="94" t="s">
        <v>112</v>
      </c>
      <c r="C1324" s="95"/>
      <c r="D1324" s="95"/>
      <c r="E1324" s="95"/>
      <c r="F1324" s="95"/>
      <c r="H1324" s="96" t="s">
        <v>1277</v>
      </c>
      <c r="I1324" s="97"/>
      <c r="J1324" s="97"/>
      <c r="L1324" s="98" t="s">
        <v>1278</v>
      </c>
      <c r="M1324" s="99"/>
      <c r="N1324" s="99"/>
      <c r="R1324" s="100" t="s">
        <v>1279</v>
      </c>
    </row>
    <row r="1325" customFormat="false" ht="15" hidden="false" customHeight="false" outlineLevel="0" collapsed="false">
      <c r="B1325" s="81" t="s">
        <v>116</v>
      </c>
      <c r="C1325" s="81" t="s">
        <v>117</v>
      </c>
      <c r="D1325" s="81" t="s">
        <v>118</v>
      </c>
      <c r="E1325" s="81" t="s">
        <v>119</v>
      </c>
      <c r="F1325" s="81" t="s">
        <v>120</v>
      </c>
      <c r="H1325" s="101" t="s">
        <v>116</v>
      </c>
      <c r="I1325" s="101" t="s">
        <v>119</v>
      </c>
      <c r="J1325" s="101" t="s">
        <v>120</v>
      </c>
      <c r="L1325" s="102" t="s">
        <v>116</v>
      </c>
      <c r="M1325" s="102" t="s">
        <v>119</v>
      </c>
      <c r="N1325" s="102" t="s">
        <v>120</v>
      </c>
      <c r="R1325" s="103" t="s">
        <v>1280</v>
      </c>
    </row>
    <row r="1326" customFormat="false" ht="15" hidden="false" customHeight="false" outlineLevel="0" collapsed="false">
      <c r="A1326" s="104" t="s">
        <v>122</v>
      </c>
      <c r="B1326" s="105" t="n">
        <v>9.9</v>
      </c>
      <c r="C1326" s="106" t="n">
        <f aca="false">$N$1323-$L$1323+1</f>
        <v>30</v>
      </c>
      <c r="D1326" s="107" t="n">
        <v>3.68919</v>
      </c>
      <c r="E1326" s="108" t="n">
        <v>3.85</v>
      </c>
      <c r="F1326" s="109" t="n">
        <f aca="false">ROUND(B1326*E1326,2)</f>
        <v>38.12</v>
      </c>
      <c r="H1326" s="110" t="n">
        <v>9.9</v>
      </c>
      <c r="I1326" s="111" t="n">
        <v>3.85</v>
      </c>
      <c r="J1326" s="112" t="n">
        <f aca="false">ROUND(H1326*I1326,2)</f>
        <v>38.12</v>
      </c>
      <c r="L1326" s="113" t="n">
        <v>9.9</v>
      </c>
      <c r="M1326" s="114" t="n">
        <v>3.85</v>
      </c>
      <c r="N1326" s="115" t="n">
        <f aca="false">ROUND(L1326*M1326,2)</f>
        <v>38.12</v>
      </c>
      <c r="R1326" s="116" t="s">
        <v>1281</v>
      </c>
    </row>
    <row r="1327" customFormat="false" ht="15" hidden="false" customHeight="false" outlineLevel="0" collapsed="false">
      <c r="A1327" s="104" t="s">
        <v>124</v>
      </c>
      <c r="B1327" s="105" t="n">
        <v>9.9</v>
      </c>
      <c r="C1327" s="106" t="n">
        <f aca="false">$N$1323-$L$1323+1</f>
        <v>30</v>
      </c>
      <c r="D1327" s="107" t="n">
        <v>1.31928</v>
      </c>
      <c r="E1327" s="108" t="n">
        <v>1.33</v>
      </c>
      <c r="F1327" s="109" t="n">
        <f aca="false">ROUND(B1327*E1327,2)</f>
        <v>13.17</v>
      </c>
      <c r="H1327" s="110" t="n">
        <v>9.9</v>
      </c>
      <c r="I1327" s="111" t="n">
        <v>1.33</v>
      </c>
      <c r="J1327" s="112" t="n">
        <f aca="false">ROUND(H1327*I1327,2)</f>
        <v>13.17</v>
      </c>
      <c r="L1327" s="113" t="n">
        <v>9.9</v>
      </c>
      <c r="M1327" s="114" t="n">
        <v>1.33</v>
      </c>
      <c r="N1327" s="115" t="n">
        <f aca="false">ROUND(L1327*M1327,2)</f>
        <v>13.17</v>
      </c>
      <c r="R1327" s="117" t="s">
        <v>1282</v>
      </c>
    </row>
    <row r="1328" customFormat="false" ht="15" hidden="false" customHeight="false" outlineLevel="0" collapsed="false">
      <c r="A1328" s="104" t="s">
        <v>615</v>
      </c>
      <c r="B1328" s="105" t="n">
        <f aca="false">IF($P$1328&lt;&gt;"",ROUND(AA1328*(($AB$1328/(1-$P$1328))-51.282)/24.6888,2),IF('Resumen 2.0TD'!$D$3="OPTIMIZAR",ROUND(MAX(AA1328,MIN(AA1328*(($AB$1328/(1-'Resumen 2.0TD'!$F$3))-51.282)/24.6888,AA1328*(52.0458)/24.6888)),3),AA1328))</f>
        <v>54.432</v>
      </c>
      <c r="C1328" s="118"/>
      <c r="D1328" s="107" t="n">
        <v>0.111171</v>
      </c>
      <c r="E1328" s="108" t="n">
        <v>0.13788</v>
      </c>
      <c r="F1328" s="109" t="n">
        <f aca="false">ROUND(B1328*E1328,2)</f>
        <v>7.51</v>
      </c>
      <c r="H1328" s="110" t="n">
        <v>64.228</v>
      </c>
      <c r="I1328" s="111" t="n">
        <v>0.13788</v>
      </c>
      <c r="J1328" s="112" t="n">
        <f aca="false">ROUND(H1328*I1328,2)</f>
        <v>8.86</v>
      </c>
      <c r="L1328" s="113" t="n">
        <v>47.516</v>
      </c>
      <c r="M1328" s="114" t="n">
        <v>0.13788</v>
      </c>
      <c r="N1328" s="115" t="n">
        <f aca="false">ROUND(L1328*M1328,2)</f>
        <v>6.55</v>
      </c>
      <c r="O1328" s="119" t="s">
        <v>616</v>
      </c>
      <c r="P1328" s="79"/>
      <c r="R1328" s="117" t="s">
        <v>1283</v>
      </c>
      <c r="AA1328" s="0" t="n">
        <v>54.432</v>
      </c>
      <c r="AB1328" s="0" t="n">
        <f aca="false">B1326*D1326+B1327*D1327+AA1328*D1328+AA1329*D1329+AA1330*D1330</f>
        <v>69.49013226</v>
      </c>
    </row>
    <row r="1329" customFormat="false" ht="15" hidden="false" customHeight="false" outlineLevel="0" collapsed="false">
      <c r="A1329" s="104" t="s">
        <v>618</v>
      </c>
      <c r="B1329" s="105" t="n">
        <f aca="false">IF($P$1328&lt;&gt;"",ROUND(AA1329*(($AB$1328/(1-$P$1328))-51.282)/24.6888,2),IF('Resumen 2.0TD'!$D$3="OPTIMIZAR",ROUND(MAX(AA1329,MIN(AA1329*(($AB$1328/(1-'Resumen 2.0TD'!$F$3))-51.282)/24.6888,AA1329*(52.0458)/24.6888)),3),AA1329))</f>
        <v>65.256</v>
      </c>
      <c r="C1329" s="118"/>
      <c r="D1329" s="107" t="n">
        <v>0.111171</v>
      </c>
      <c r="E1329" s="108" t="n">
        <v>0.13788</v>
      </c>
      <c r="F1329" s="109" t="n">
        <f aca="false">ROUND(B1329*E1329,2)</f>
        <v>9</v>
      </c>
      <c r="H1329" s="110" t="n">
        <v>72.528</v>
      </c>
      <c r="I1329" s="111" t="n">
        <v>0.13788</v>
      </c>
      <c r="J1329" s="112" t="n">
        <f aca="false">ROUND(H1329*I1329,2)</f>
        <v>10</v>
      </c>
      <c r="L1329" s="113" t="n">
        <v>70.601</v>
      </c>
      <c r="M1329" s="114" t="n">
        <v>0.13788</v>
      </c>
      <c r="N1329" s="115" t="n">
        <f aca="false">ROUND(L1329*M1329,2)</f>
        <v>9.73</v>
      </c>
      <c r="O1329" s="120" t="s">
        <v>619</v>
      </c>
      <c r="R1329" s="117" t="s">
        <v>620</v>
      </c>
      <c r="AA1329" s="0" t="n">
        <v>65.256</v>
      </c>
    </row>
    <row r="1330" customFormat="false" ht="15" hidden="false" customHeight="false" outlineLevel="0" collapsed="false">
      <c r="A1330" s="104" t="s">
        <v>621</v>
      </c>
      <c r="B1330" s="105" t="n">
        <f aca="false">IF($P$1328&lt;&gt;"",ROUND(AA1330*(($AB$1328/(1-$P$1328))-51.282)/24.6888,2),IF('Resumen 2.0TD'!$D$3="OPTIMIZAR",ROUND(MAX(AA1330,MIN(AA1330*(($AB$1328/(1-'Resumen 2.0TD'!$F$3))-51.282)/24.6888,AA1330*(52.0458)/24.6888)),3),AA1330))</f>
        <v>59.372</v>
      </c>
      <c r="C1330" s="118"/>
      <c r="D1330" s="107" t="n">
        <v>0.111171</v>
      </c>
      <c r="E1330" s="108" t="n">
        <v>0.13788</v>
      </c>
      <c r="F1330" s="109" t="n">
        <f aca="false">ROUND(B1330*E1330,2)</f>
        <v>8.19</v>
      </c>
      <c r="H1330" s="110" t="n">
        <v>51.703</v>
      </c>
      <c r="I1330" s="111" t="n">
        <v>0.13788</v>
      </c>
      <c r="J1330" s="112" t="n">
        <f aca="false">ROUND(H1330*I1330,2)</f>
        <v>7.13</v>
      </c>
      <c r="L1330" s="113" t="n">
        <v>59.669</v>
      </c>
      <c r="M1330" s="114" t="n">
        <v>0.13788</v>
      </c>
      <c r="N1330" s="115" t="n">
        <f aca="false">ROUND(L1330*M1330,2)</f>
        <v>8.23</v>
      </c>
      <c r="O1330" s="120" t="s">
        <v>622</v>
      </c>
      <c r="AA1330" s="0" t="n">
        <v>59.372</v>
      </c>
    </row>
    <row r="1331" customFormat="false" ht="15" hidden="false" customHeight="false" outlineLevel="0" collapsed="false">
      <c r="A1331" s="104" t="s">
        <v>139</v>
      </c>
      <c r="B1331" s="105" t="n">
        <v>1</v>
      </c>
      <c r="C1331" s="106" t="n">
        <f aca="false">$N$1323-$L$1323+1</f>
        <v>30</v>
      </c>
      <c r="D1331" s="107" t="n">
        <v>1.3414</v>
      </c>
      <c r="E1331" s="108" t="n">
        <v>3</v>
      </c>
      <c r="F1331" s="109" t="n">
        <f aca="false">ROUND(B1331*E1331,2)</f>
        <v>3</v>
      </c>
      <c r="H1331" s="110" t="n">
        <v>1</v>
      </c>
      <c r="I1331" s="111" t="n">
        <v>3</v>
      </c>
      <c r="J1331" s="112" t="n">
        <f aca="false">ROUND(H1331*I1331,2)</f>
        <v>3</v>
      </c>
      <c r="L1331" s="113" t="n">
        <v>1</v>
      </c>
      <c r="M1331" s="114" t="n">
        <v>3</v>
      </c>
      <c r="N1331" s="115" t="n">
        <f aca="false">ROUND(L1331*M1331,2)</f>
        <v>3</v>
      </c>
    </row>
    <row r="1332" customFormat="false" ht="15" hidden="false" customHeight="false" outlineLevel="0" collapsed="false">
      <c r="A1332" s="104" t="s">
        <v>140</v>
      </c>
      <c r="B1332" s="105" t="n">
        <v>30</v>
      </c>
      <c r="C1332" s="106" t="n">
        <f aca="false">$N$1323-$L$1323+1</f>
        <v>30</v>
      </c>
      <c r="D1332" s="107" t="n">
        <v>0.5736</v>
      </c>
      <c r="E1332" s="108" t="n">
        <v>0.01274</v>
      </c>
      <c r="F1332" s="109" t="n">
        <f aca="false">ROUND(B1332*E1332,2)</f>
        <v>0.38</v>
      </c>
      <c r="H1332" s="110" t="n">
        <v>30</v>
      </c>
      <c r="I1332" s="111" t="n">
        <v>0.01274</v>
      </c>
      <c r="J1332" s="112" t="n">
        <f aca="false">ROUND(H1332*I1332,2)</f>
        <v>0.38</v>
      </c>
      <c r="L1332" s="113" t="n">
        <v>30</v>
      </c>
      <c r="M1332" s="114" t="n">
        <v>0.00629</v>
      </c>
      <c r="N1332" s="115" t="n">
        <f aca="false">ROUND(L1332*M1332,2)</f>
        <v>0.19</v>
      </c>
    </row>
    <row r="1333" customFormat="false" ht="15" hidden="false" customHeight="false" outlineLevel="0" collapsed="false">
      <c r="A1333" s="104" t="s">
        <v>141</v>
      </c>
      <c r="B1333" s="105" t="n">
        <v>3.89</v>
      </c>
      <c r="C1333" s="118"/>
      <c r="D1333" s="107" t="n">
        <v>0.02671</v>
      </c>
      <c r="E1333" s="108" t="n">
        <v>1</v>
      </c>
      <c r="F1333" s="109" t="n">
        <f aca="false">ROUND(B1333*E1333,2)</f>
        <v>3.89</v>
      </c>
      <c r="H1333" s="110" t="n">
        <v>3.96</v>
      </c>
      <c r="I1333" s="111" t="n">
        <v>1</v>
      </c>
      <c r="J1333" s="112" t="n">
        <f aca="false">ROUND(H1333*I1333,2)</f>
        <v>3.96</v>
      </c>
      <c r="L1333" s="113" t="n">
        <v>3.88</v>
      </c>
      <c r="M1333" s="114" t="n">
        <v>1</v>
      </c>
      <c r="N1333" s="115" t="n">
        <f aca="false">ROUND(L1333*M1333,2)</f>
        <v>3.88</v>
      </c>
    </row>
    <row r="1334" customFormat="false" ht="15" hidden="false" customHeight="false" outlineLevel="0" collapsed="false">
      <c r="A1334" s="121" t="s">
        <v>142</v>
      </c>
      <c r="F1334" s="122" t="n">
        <f aca="false">ROUND((SUM(F1326:F1333)-F1333)*1.1+F1333,2)</f>
        <v>91.2</v>
      </c>
      <c r="J1334" s="123" t="n">
        <f aca="false">ROUND(SUM(J1326:J1333),2)</f>
        <v>84.62</v>
      </c>
      <c r="N1334" s="124" t="n">
        <f aca="false">ROUND(SUM(N1326:N1333),2)</f>
        <v>82.87</v>
      </c>
    </row>
    <row r="1335" customFormat="false" ht="15" hidden="false" customHeight="false" outlineLevel="0" collapsed="false">
      <c r="A1335" s="93" t="s">
        <v>143</v>
      </c>
      <c r="B1335" s="125" t="n">
        <f aca="false">IF((F1330+F1329+F1328+F1326+F1327)=0,"",((F1330+F1329+F1328+F1326+F1327)-$AB$1328)/(F1330+F1329+F1328+F1326+F1327))</f>
        <v>0.085535830240821</v>
      </c>
      <c r="D1335" s="126" t="str">
        <f aca="false">IF(B1335="","SIN PC",IF(B1335&gt;=0.3,"APROBAR",IF(B1335&gt;=0.2,"REVISAR","RECHAZAR")))</f>
        <v>RECHAZAR</v>
      </c>
      <c r="E1335" s="126"/>
      <c r="F1335" s="126"/>
      <c r="AD1335" s="0" t="n">
        <f aca="false">SUM(F1328:F1330)-24.6888</f>
        <v>0.0111999999999952</v>
      </c>
    </row>
    <row r="1337" customFormat="false" ht="15" hidden="false" customHeight="false" outlineLevel="0" collapsed="false">
      <c r="A1337" s="89" t="s">
        <v>1284</v>
      </c>
      <c r="B1337" s="89"/>
      <c r="C1337" s="89"/>
      <c r="D1337" s="89"/>
      <c r="E1337" s="89"/>
      <c r="F1337" s="89"/>
      <c r="H1337" s="89" t="s">
        <v>1285</v>
      </c>
      <c r="I1337" s="89"/>
      <c r="J1337" s="89"/>
      <c r="K1337" s="89"/>
      <c r="L1337" s="90" t="n">
        <v>46113</v>
      </c>
      <c r="M1337" s="91" t="s">
        <v>608</v>
      </c>
      <c r="N1337" s="90" t="n">
        <v>46142</v>
      </c>
      <c r="R1337" s="92" t="s">
        <v>110</v>
      </c>
      <c r="S1337" s="92"/>
      <c r="T1337" s="92"/>
      <c r="U1337" s="92"/>
      <c r="V1337" s="92"/>
    </row>
    <row r="1338" customFormat="false" ht="15" hidden="false" customHeight="false" outlineLevel="0" collapsed="false">
      <c r="A1338" s="93" t="s">
        <v>111</v>
      </c>
      <c r="B1338" s="94" t="s">
        <v>112</v>
      </c>
      <c r="C1338" s="95"/>
      <c r="D1338" s="95"/>
      <c r="E1338" s="95"/>
      <c r="F1338" s="95"/>
      <c r="H1338" s="96" t="s">
        <v>1286</v>
      </c>
      <c r="I1338" s="97"/>
      <c r="J1338" s="97"/>
      <c r="L1338" s="98" t="s">
        <v>1287</v>
      </c>
      <c r="M1338" s="99"/>
      <c r="N1338" s="99"/>
      <c r="R1338" s="100" t="s">
        <v>1288</v>
      </c>
    </row>
    <row r="1339" customFormat="false" ht="15" hidden="false" customHeight="false" outlineLevel="0" collapsed="false">
      <c r="B1339" s="81" t="s">
        <v>116</v>
      </c>
      <c r="C1339" s="81" t="s">
        <v>117</v>
      </c>
      <c r="D1339" s="81" t="s">
        <v>118</v>
      </c>
      <c r="E1339" s="81" t="s">
        <v>119</v>
      </c>
      <c r="F1339" s="81" t="s">
        <v>120</v>
      </c>
      <c r="H1339" s="101" t="s">
        <v>116</v>
      </c>
      <c r="I1339" s="101" t="s">
        <v>119</v>
      </c>
      <c r="J1339" s="101" t="s">
        <v>120</v>
      </c>
      <c r="L1339" s="102" t="s">
        <v>116</v>
      </c>
      <c r="M1339" s="102" t="s">
        <v>119</v>
      </c>
      <c r="N1339" s="102" t="s">
        <v>120</v>
      </c>
      <c r="R1339" s="103" t="s">
        <v>1289</v>
      </c>
    </row>
    <row r="1340" customFormat="false" ht="15" hidden="false" customHeight="false" outlineLevel="0" collapsed="false">
      <c r="A1340" s="104" t="s">
        <v>122</v>
      </c>
      <c r="B1340" s="105" t="n">
        <v>10.392</v>
      </c>
      <c r="C1340" s="106" t="n">
        <f aca="false">$N$1337-$L$1337+1</f>
        <v>30</v>
      </c>
      <c r="D1340" s="107" t="n">
        <v>3.68919</v>
      </c>
      <c r="E1340" s="108" t="n">
        <v>3.85</v>
      </c>
      <c r="F1340" s="109" t="n">
        <f aca="false">ROUND(B1340*E1340,2)</f>
        <v>40.01</v>
      </c>
      <c r="H1340" s="110" t="n">
        <v>10.392</v>
      </c>
      <c r="I1340" s="111" t="n">
        <v>3.85</v>
      </c>
      <c r="J1340" s="112" t="n">
        <f aca="false">ROUND(H1340*I1340,2)</f>
        <v>40.01</v>
      </c>
      <c r="L1340" s="113" t="n">
        <v>10.392</v>
      </c>
      <c r="M1340" s="114" t="n">
        <v>3.85</v>
      </c>
      <c r="N1340" s="115" t="n">
        <f aca="false">ROUND(L1340*M1340,2)</f>
        <v>40.01</v>
      </c>
      <c r="R1340" s="116" t="s">
        <v>1290</v>
      </c>
    </row>
    <row r="1341" customFormat="false" ht="15" hidden="false" customHeight="false" outlineLevel="0" collapsed="false">
      <c r="A1341" s="104" t="s">
        <v>124</v>
      </c>
      <c r="B1341" s="105" t="n">
        <v>10.392</v>
      </c>
      <c r="C1341" s="106" t="n">
        <f aca="false">$N$1337-$L$1337+1</f>
        <v>30</v>
      </c>
      <c r="D1341" s="107" t="n">
        <v>1.31928</v>
      </c>
      <c r="E1341" s="108" t="n">
        <v>1.33</v>
      </c>
      <c r="F1341" s="109" t="n">
        <f aca="false">ROUND(B1341*E1341,2)</f>
        <v>13.82</v>
      </c>
      <c r="H1341" s="110" t="n">
        <v>10.392</v>
      </c>
      <c r="I1341" s="111" t="n">
        <v>1.33</v>
      </c>
      <c r="J1341" s="112" t="n">
        <f aca="false">ROUND(H1341*I1341,2)</f>
        <v>13.82</v>
      </c>
      <c r="L1341" s="113" t="n">
        <v>10.392</v>
      </c>
      <c r="M1341" s="114" t="n">
        <v>1.33</v>
      </c>
      <c r="N1341" s="115" t="n">
        <f aca="false">ROUND(L1341*M1341,2)</f>
        <v>13.82</v>
      </c>
      <c r="R1341" s="117" t="s">
        <v>1291</v>
      </c>
    </row>
    <row r="1342" customFormat="false" ht="15" hidden="false" customHeight="false" outlineLevel="0" collapsed="false">
      <c r="A1342" s="104" t="s">
        <v>615</v>
      </c>
      <c r="B1342" s="105" t="n">
        <f aca="false">IF($P$1342&lt;&gt;"",ROUND(AA1342*(($AB$1342/(1-$P$1342))-53.8306)/32.4159,2),IF('Resumen 2.0TD'!$D$3="OPTIMIZAR",ROUND(MAX(AA1342,MIN(AA1342*(($AB$1342/(1-'Resumen 2.0TD'!$F$3))-53.8306)/32.4159,AA1342*(51.5572)/32.4159)),3),AA1342))</f>
        <v>79.094</v>
      </c>
      <c r="C1342" s="118"/>
      <c r="D1342" s="107" t="n">
        <v>0.111171</v>
      </c>
      <c r="E1342" s="108" t="n">
        <v>0.13788</v>
      </c>
      <c r="F1342" s="109" t="n">
        <f aca="false">ROUND(B1342*E1342,2)</f>
        <v>10.91</v>
      </c>
      <c r="H1342" s="110" t="n">
        <v>103.876</v>
      </c>
      <c r="I1342" s="111" t="n">
        <v>0.13788</v>
      </c>
      <c r="J1342" s="112" t="n">
        <f aca="false">ROUND(H1342*I1342,2)</f>
        <v>14.32</v>
      </c>
      <c r="L1342" s="113" t="n">
        <v>65.746</v>
      </c>
      <c r="M1342" s="114" t="n">
        <v>0.13788</v>
      </c>
      <c r="N1342" s="115" t="n">
        <f aca="false">ROUND(L1342*M1342,2)</f>
        <v>9.07</v>
      </c>
      <c r="O1342" s="119" t="s">
        <v>616</v>
      </c>
      <c r="P1342" s="79"/>
      <c r="R1342" s="117" t="s">
        <v>1292</v>
      </c>
      <c r="AA1342" s="0" t="n">
        <v>79.094</v>
      </c>
      <c r="AB1342" s="0" t="n">
        <f aca="false">B1340*D1340+B1341*D1341+AA1342*D1342+AA1343*D1343+AA1344*D1344</f>
        <v>78.184544682</v>
      </c>
    </row>
    <row r="1343" customFormat="false" ht="15" hidden="false" customHeight="false" outlineLevel="0" collapsed="false">
      <c r="A1343" s="104" t="s">
        <v>618</v>
      </c>
      <c r="B1343" s="105" t="n">
        <f aca="false">IF($P$1342&lt;&gt;"",ROUND(AA1343*(($AB$1342/(1-$P$1342))-53.8306)/32.4159,2),IF('Resumen 2.0TD'!$D$3="OPTIMIZAR",ROUND(MAX(AA1343,MIN(AA1343*(($AB$1342/(1-'Resumen 2.0TD'!$F$3))-53.8306)/32.4159,AA1343*(51.5572)/32.4159)),3),AA1343))</f>
        <v>86.546</v>
      </c>
      <c r="C1343" s="118"/>
      <c r="D1343" s="107" t="n">
        <v>0.111171</v>
      </c>
      <c r="E1343" s="108" t="n">
        <v>0.13788</v>
      </c>
      <c r="F1343" s="109" t="n">
        <f aca="false">ROUND(B1343*E1343,2)</f>
        <v>11.93</v>
      </c>
      <c r="H1343" s="110" t="n">
        <v>99.261</v>
      </c>
      <c r="I1343" s="111" t="n">
        <v>0.13788</v>
      </c>
      <c r="J1343" s="112" t="n">
        <f aca="false">ROUND(H1343*I1343,2)</f>
        <v>13.69</v>
      </c>
      <c r="L1343" s="113" t="n">
        <v>75.474</v>
      </c>
      <c r="M1343" s="114" t="n">
        <v>0.13788</v>
      </c>
      <c r="N1343" s="115" t="n">
        <f aca="false">ROUND(L1343*M1343,2)</f>
        <v>10.41</v>
      </c>
      <c r="O1343" s="120" t="s">
        <v>619</v>
      </c>
      <c r="R1343" s="117" t="s">
        <v>620</v>
      </c>
      <c r="AA1343" s="0" t="n">
        <v>86.546</v>
      </c>
    </row>
    <row r="1344" customFormat="false" ht="15" hidden="false" customHeight="false" outlineLevel="0" collapsed="false">
      <c r="A1344" s="104" t="s">
        <v>621</v>
      </c>
      <c r="B1344" s="105" t="n">
        <f aca="false">IF($P$1342&lt;&gt;"",ROUND(AA1344*(($AB$1342/(1-$P$1342))-53.8306)/32.4159,2),IF('Resumen 2.0TD'!$D$3="OPTIMIZAR",ROUND(MAX(AA1344,MIN(AA1344*(($AB$1342/(1-'Resumen 2.0TD'!$F$3))-53.8306)/32.4159,AA1344*(51.5572)/32.4159)),3),AA1344))</f>
        <v>69.462</v>
      </c>
      <c r="C1344" s="118"/>
      <c r="D1344" s="107" t="n">
        <v>0.111171</v>
      </c>
      <c r="E1344" s="108" t="n">
        <v>0.13788</v>
      </c>
      <c r="F1344" s="109" t="n">
        <f aca="false">ROUND(B1344*E1344,2)</f>
        <v>9.58</v>
      </c>
      <c r="H1344" s="110" t="n">
        <v>52.48</v>
      </c>
      <c r="I1344" s="111" t="n">
        <v>0.13788</v>
      </c>
      <c r="J1344" s="112" t="n">
        <f aca="false">ROUND(H1344*I1344,2)</f>
        <v>7.24</v>
      </c>
      <c r="L1344" s="113" t="n">
        <v>62.344</v>
      </c>
      <c r="M1344" s="114" t="n">
        <v>0.13788</v>
      </c>
      <c r="N1344" s="115" t="n">
        <f aca="false">ROUND(L1344*M1344,2)</f>
        <v>8.6</v>
      </c>
      <c r="O1344" s="120" t="s">
        <v>622</v>
      </c>
      <c r="AA1344" s="0" t="n">
        <v>69.462</v>
      </c>
    </row>
    <row r="1345" customFormat="false" ht="15" hidden="false" customHeight="false" outlineLevel="0" collapsed="false">
      <c r="A1345" s="104" t="s">
        <v>139</v>
      </c>
      <c r="B1345" s="105" t="n">
        <v>1</v>
      </c>
      <c r="C1345" s="106" t="n">
        <f aca="false">$N$1337-$L$1337+1</f>
        <v>30</v>
      </c>
      <c r="D1345" s="107" t="n">
        <v>1.3414</v>
      </c>
      <c r="E1345" s="108" t="n">
        <v>3</v>
      </c>
      <c r="F1345" s="109" t="n">
        <f aca="false">ROUND(B1345*E1345,2)</f>
        <v>3</v>
      </c>
      <c r="H1345" s="110" t="n">
        <v>1</v>
      </c>
      <c r="I1345" s="111" t="n">
        <v>3</v>
      </c>
      <c r="J1345" s="112" t="n">
        <f aca="false">ROUND(H1345*I1345,2)</f>
        <v>3</v>
      </c>
      <c r="L1345" s="113" t="n">
        <v>1</v>
      </c>
      <c r="M1345" s="114" t="n">
        <v>3</v>
      </c>
      <c r="N1345" s="115" t="n">
        <f aca="false">ROUND(L1345*M1345,2)</f>
        <v>3</v>
      </c>
    </row>
    <row r="1346" customFormat="false" ht="15" hidden="false" customHeight="false" outlineLevel="0" collapsed="false">
      <c r="A1346" s="104" t="s">
        <v>140</v>
      </c>
      <c r="B1346" s="105" t="n">
        <v>30</v>
      </c>
      <c r="C1346" s="106" t="n">
        <f aca="false">$N$1337-$L$1337+1</f>
        <v>30</v>
      </c>
      <c r="D1346" s="107" t="n">
        <v>0.5736</v>
      </c>
      <c r="E1346" s="108" t="n">
        <v>0.01274</v>
      </c>
      <c r="F1346" s="109" t="n">
        <f aca="false">ROUND(B1346*E1346,2)</f>
        <v>0.38</v>
      </c>
      <c r="H1346" s="110" t="n">
        <v>30</v>
      </c>
      <c r="I1346" s="111" t="n">
        <v>0.01274</v>
      </c>
      <c r="J1346" s="112" t="n">
        <f aca="false">ROUND(H1346*I1346,2)</f>
        <v>0.38</v>
      </c>
      <c r="L1346" s="113" t="n">
        <v>30</v>
      </c>
      <c r="M1346" s="114" t="n">
        <v>0.00629</v>
      </c>
      <c r="N1346" s="115" t="n">
        <f aca="false">ROUND(L1346*M1346,2)</f>
        <v>0.19</v>
      </c>
    </row>
    <row r="1347" customFormat="false" ht="15" hidden="false" customHeight="false" outlineLevel="0" collapsed="false">
      <c r="A1347" s="104" t="s">
        <v>141</v>
      </c>
      <c r="B1347" s="105" t="n">
        <v>4.42</v>
      </c>
      <c r="C1347" s="118"/>
      <c r="D1347" s="107" t="n">
        <v>0.02671</v>
      </c>
      <c r="E1347" s="108" t="n">
        <v>1</v>
      </c>
      <c r="F1347" s="109" t="n">
        <f aca="false">ROUND(B1347*E1347,2)</f>
        <v>4.42</v>
      </c>
      <c r="H1347" s="110" t="n">
        <v>4.56</v>
      </c>
      <c r="I1347" s="111" t="n">
        <v>1</v>
      </c>
      <c r="J1347" s="112" t="n">
        <f aca="false">ROUND(H1347*I1347,2)</f>
        <v>4.56</v>
      </c>
      <c r="L1347" s="113" t="n">
        <v>4.2</v>
      </c>
      <c r="M1347" s="114" t="n">
        <v>1</v>
      </c>
      <c r="N1347" s="115" t="n">
        <f aca="false">ROUND(L1347*M1347,2)</f>
        <v>4.2</v>
      </c>
    </row>
    <row r="1348" customFormat="false" ht="15" hidden="false" customHeight="false" outlineLevel="0" collapsed="false">
      <c r="A1348" s="121" t="s">
        <v>142</v>
      </c>
      <c r="F1348" s="122" t="n">
        <f aca="false">ROUND((SUM(F1340:F1347)-F1347)*1.1+F1347,2)</f>
        <v>103.01</v>
      </c>
      <c r="J1348" s="123" t="n">
        <f aca="false">ROUND(SUM(J1340:J1347),2)</f>
        <v>97.02</v>
      </c>
      <c r="N1348" s="124" t="n">
        <f aca="false">ROUND(SUM(N1340:N1347),2)</f>
        <v>89.3</v>
      </c>
    </row>
    <row r="1349" customFormat="false" ht="15" hidden="false" customHeight="false" outlineLevel="0" collapsed="false">
      <c r="A1349" s="93" t="s">
        <v>143</v>
      </c>
      <c r="B1349" s="125" t="n">
        <f aca="false">IF((F1344+F1343+F1342+F1340+F1341)=0,"",((F1344+F1343+F1342+F1340+F1341)-$AB$1342)/(F1344+F1343+F1342+F1340+F1341))</f>
        <v>0.093512525426087</v>
      </c>
      <c r="D1349" s="126" t="str">
        <f aca="false">IF(B1349="","SIN PC",IF(B1349&gt;=0.3,"APROBAR",IF(B1349&gt;=0.2,"REVISAR","RECHAZAR")))</f>
        <v>RECHAZAR</v>
      </c>
      <c r="E1349" s="126"/>
      <c r="F1349" s="126"/>
      <c r="AD1349" s="0" t="n">
        <f aca="false">SUM(F1342:F1344)-32.4159</f>
        <v>0.0041000000000011</v>
      </c>
    </row>
    <row r="1351" customFormat="false" ht="15" hidden="false" customHeight="false" outlineLevel="0" collapsed="false">
      <c r="A1351" s="89" t="s">
        <v>1293</v>
      </c>
      <c r="B1351" s="89"/>
      <c r="C1351" s="89"/>
      <c r="D1351" s="89"/>
      <c r="E1351" s="89"/>
      <c r="F1351" s="89"/>
      <c r="H1351" s="89" t="s">
        <v>1294</v>
      </c>
      <c r="I1351" s="89"/>
      <c r="J1351" s="89"/>
      <c r="K1351" s="89"/>
      <c r="L1351" s="90" t="n">
        <v>46113</v>
      </c>
      <c r="M1351" s="91" t="s">
        <v>608</v>
      </c>
      <c r="N1351" s="90" t="n">
        <v>46142</v>
      </c>
      <c r="R1351" s="92" t="s">
        <v>110</v>
      </c>
      <c r="S1351" s="92"/>
      <c r="T1351" s="92"/>
      <c r="U1351" s="92"/>
      <c r="V1351" s="92"/>
    </row>
    <row r="1352" customFormat="false" ht="15" hidden="false" customHeight="false" outlineLevel="0" collapsed="false">
      <c r="A1352" s="93" t="s">
        <v>111</v>
      </c>
      <c r="B1352" s="94" t="s">
        <v>112</v>
      </c>
      <c r="C1352" s="95"/>
      <c r="D1352" s="95"/>
      <c r="E1352" s="95"/>
      <c r="F1352" s="95"/>
      <c r="H1352" s="96" t="s">
        <v>1295</v>
      </c>
      <c r="I1352" s="97"/>
      <c r="J1352" s="97"/>
      <c r="L1352" s="98" t="s">
        <v>1296</v>
      </c>
      <c r="M1352" s="99"/>
      <c r="N1352" s="99"/>
      <c r="R1352" s="100" t="s">
        <v>1297</v>
      </c>
    </row>
    <row r="1353" customFormat="false" ht="15" hidden="false" customHeight="false" outlineLevel="0" collapsed="false">
      <c r="B1353" s="81" t="s">
        <v>116</v>
      </c>
      <c r="C1353" s="81" t="s">
        <v>117</v>
      </c>
      <c r="D1353" s="81" t="s">
        <v>118</v>
      </c>
      <c r="E1353" s="81" t="s">
        <v>119</v>
      </c>
      <c r="F1353" s="81" t="s">
        <v>120</v>
      </c>
      <c r="H1353" s="101" t="s">
        <v>116</v>
      </c>
      <c r="I1353" s="101" t="s">
        <v>119</v>
      </c>
      <c r="J1353" s="101" t="s">
        <v>120</v>
      </c>
      <c r="L1353" s="102" t="s">
        <v>116</v>
      </c>
      <c r="M1353" s="102" t="s">
        <v>119</v>
      </c>
      <c r="N1353" s="102" t="s">
        <v>120</v>
      </c>
      <c r="R1353" s="103" t="s">
        <v>1298</v>
      </c>
    </row>
    <row r="1354" customFormat="false" ht="15" hidden="false" customHeight="false" outlineLevel="0" collapsed="false">
      <c r="A1354" s="104" t="s">
        <v>122</v>
      </c>
      <c r="B1354" s="105" t="n">
        <v>4</v>
      </c>
      <c r="C1354" s="106" t="n">
        <f aca="false">$N$1351-$L$1351+1</f>
        <v>30</v>
      </c>
      <c r="D1354" s="107" t="n">
        <v>3.68919</v>
      </c>
      <c r="E1354" s="108" t="n">
        <v>3.85</v>
      </c>
      <c r="F1354" s="109" t="n">
        <f aca="false">ROUND(B1354*E1354,2)</f>
        <v>15.4</v>
      </c>
      <c r="H1354" s="110" t="n">
        <v>4</v>
      </c>
      <c r="I1354" s="111" t="n">
        <v>3.85</v>
      </c>
      <c r="J1354" s="112" t="n">
        <f aca="false">ROUND(H1354*I1354,2)</f>
        <v>15.4</v>
      </c>
      <c r="L1354" s="113" t="n">
        <v>4</v>
      </c>
      <c r="M1354" s="114" t="n">
        <v>3.85</v>
      </c>
      <c r="N1354" s="115" t="n">
        <f aca="false">ROUND(L1354*M1354,2)</f>
        <v>15.4</v>
      </c>
      <c r="R1354" s="116" t="s">
        <v>1299</v>
      </c>
    </row>
    <row r="1355" customFormat="false" ht="15" hidden="false" customHeight="false" outlineLevel="0" collapsed="false">
      <c r="A1355" s="104" t="s">
        <v>124</v>
      </c>
      <c r="B1355" s="105" t="n">
        <v>4</v>
      </c>
      <c r="C1355" s="106" t="n">
        <f aca="false">$N$1351-$L$1351+1</f>
        <v>30</v>
      </c>
      <c r="D1355" s="107" t="n">
        <v>1.31928</v>
      </c>
      <c r="E1355" s="108" t="n">
        <v>1.33</v>
      </c>
      <c r="F1355" s="109" t="n">
        <f aca="false">ROUND(B1355*E1355,2)</f>
        <v>5.32</v>
      </c>
      <c r="H1355" s="110" t="n">
        <v>4</v>
      </c>
      <c r="I1355" s="111" t="n">
        <v>1.33</v>
      </c>
      <c r="J1355" s="112" t="n">
        <f aca="false">ROUND(H1355*I1355,2)</f>
        <v>5.32</v>
      </c>
      <c r="L1355" s="113" t="n">
        <v>4</v>
      </c>
      <c r="M1355" s="114" t="n">
        <v>1.33</v>
      </c>
      <c r="N1355" s="115" t="n">
        <f aca="false">ROUND(L1355*M1355,2)</f>
        <v>5.32</v>
      </c>
      <c r="R1355" s="117" t="s">
        <v>1300</v>
      </c>
    </row>
    <row r="1356" customFormat="false" ht="15" hidden="false" customHeight="false" outlineLevel="0" collapsed="false">
      <c r="A1356" s="104" t="s">
        <v>615</v>
      </c>
      <c r="B1356" s="105" t="n">
        <f aca="false">IF($P$1356&lt;&gt;"",ROUND(AA1356*(($AB$1356/(1-$P$1356))-20.72)/25.3607,2),IF('Resumen 2.0TD'!$D$3="OPTIMIZAR",ROUND(MAX(AA1356,MIN(AA1356*(($AB$1356/(1-'Resumen 2.0TD'!$F$3))-20.72)/25.3607,AA1356*(57.3678)/25.3607)),3),AA1356))</f>
        <v>62.414</v>
      </c>
      <c r="C1356" s="118"/>
      <c r="D1356" s="107" t="n">
        <v>0.111171</v>
      </c>
      <c r="E1356" s="108" t="n">
        <v>0.13788</v>
      </c>
      <c r="F1356" s="109" t="n">
        <f aca="false">ROUND(B1356*E1356,2)</f>
        <v>8.61</v>
      </c>
      <c r="H1356" s="110" t="n">
        <v>80.85</v>
      </c>
      <c r="I1356" s="111" t="n">
        <v>0.13788</v>
      </c>
      <c r="J1356" s="112" t="n">
        <f aca="false">ROUND(H1356*I1356,2)</f>
        <v>11.15</v>
      </c>
      <c r="L1356" s="113" t="n">
        <v>59.974</v>
      </c>
      <c r="M1356" s="114" t="n">
        <v>0.13788</v>
      </c>
      <c r="N1356" s="115" t="n">
        <f aca="false">ROUND(L1356*M1356,2)</f>
        <v>8.27</v>
      </c>
      <c r="O1356" s="119" t="s">
        <v>616</v>
      </c>
      <c r="P1356" s="79"/>
      <c r="R1356" s="117" t="s">
        <v>1301</v>
      </c>
      <c r="AA1356" s="0" t="n">
        <v>62.414</v>
      </c>
      <c r="AB1356" s="0" t="n">
        <f aca="false">B1354*D1354+B1355*D1355+AA1356*D1356+AA1357*D1357+AA1358*D1358</f>
        <v>40.481895543</v>
      </c>
    </row>
    <row r="1357" customFormat="false" ht="15" hidden="false" customHeight="false" outlineLevel="0" collapsed="false">
      <c r="A1357" s="104" t="s">
        <v>618</v>
      </c>
      <c r="B1357" s="105" t="n">
        <f aca="false">IF($P$1356&lt;&gt;"",ROUND(AA1357*(($AB$1356/(1-$P$1356))-20.72)/25.3607,2),IF('Resumen 2.0TD'!$D$3="OPTIMIZAR",ROUND(MAX(AA1357,MIN(AA1357*(($AB$1356/(1-'Resumen 2.0TD'!$F$3))-20.72)/25.3607,AA1357*(57.3678)/25.3607)),3),AA1357))</f>
        <v>49.451</v>
      </c>
      <c r="C1357" s="118"/>
      <c r="D1357" s="107" t="n">
        <v>0.111171</v>
      </c>
      <c r="E1357" s="108" t="n">
        <v>0.13788</v>
      </c>
      <c r="F1357" s="109" t="n">
        <f aca="false">ROUND(B1357*E1357,2)</f>
        <v>6.82</v>
      </c>
      <c r="H1357" s="110" t="n">
        <v>66.351</v>
      </c>
      <c r="I1357" s="111" t="n">
        <v>0.13788</v>
      </c>
      <c r="J1357" s="112" t="n">
        <f aca="false">ROUND(H1357*I1357,2)</f>
        <v>9.15</v>
      </c>
      <c r="L1357" s="113" t="n">
        <v>42.199</v>
      </c>
      <c r="M1357" s="114" t="n">
        <v>0.13788</v>
      </c>
      <c r="N1357" s="115" t="n">
        <f aca="false">ROUND(L1357*M1357,2)</f>
        <v>5.82</v>
      </c>
      <c r="O1357" s="120" t="s">
        <v>619</v>
      </c>
      <c r="R1357" s="117" t="s">
        <v>620</v>
      </c>
      <c r="AA1357" s="0" t="n">
        <v>49.451</v>
      </c>
    </row>
    <row r="1358" customFormat="false" ht="15" hidden="false" customHeight="false" outlineLevel="0" collapsed="false">
      <c r="A1358" s="104" t="s">
        <v>621</v>
      </c>
      <c r="B1358" s="105" t="n">
        <f aca="false">IF($P$1356&lt;&gt;"",ROUND(AA1358*(($AB$1356/(1-$P$1356))-20.72)/25.3607,2),IF('Resumen 2.0TD'!$D$3="OPTIMIZAR",ROUND(MAX(AA1358,MIN(AA1358*(($AB$1356/(1-'Resumen 2.0TD'!$F$3))-20.72)/25.3607,AA1358*(57.3678)/25.3607)),3),AA1358))</f>
        <v>72.068</v>
      </c>
      <c r="C1358" s="118"/>
      <c r="D1358" s="107" t="n">
        <v>0.111171</v>
      </c>
      <c r="E1358" s="108" t="n">
        <v>0.13788</v>
      </c>
      <c r="F1358" s="109" t="n">
        <f aca="false">ROUND(B1358*E1358,2)</f>
        <v>9.94</v>
      </c>
      <c r="H1358" s="110" t="n">
        <v>99.416</v>
      </c>
      <c r="I1358" s="111" t="n">
        <v>0.13788</v>
      </c>
      <c r="J1358" s="112" t="n">
        <f aca="false">ROUND(H1358*I1358,2)</f>
        <v>13.71</v>
      </c>
      <c r="L1358" s="113" t="n">
        <v>74.276</v>
      </c>
      <c r="M1358" s="114" t="n">
        <v>0.13788</v>
      </c>
      <c r="N1358" s="115" t="n">
        <f aca="false">ROUND(L1358*M1358,2)</f>
        <v>10.24</v>
      </c>
      <c r="O1358" s="120" t="s">
        <v>622</v>
      </c>
      <c r="AA1358" s="0" t="n">
        <v>72.068</v>
      </c>
    </row>
    <row r="1359" customFormat="false" ht="15" hidden="false" customHeight="false" outlineLevel="0" collapsed="false">
      <c r="A1359" s="104" t="s">
        <v>139</v>
      </c>
      <c r="B1359" s="105" t="n">
        <v>1</v>
      </c>
      <c r="C1359" s="106" t="n">
        <f aca="false">$N$1351-$L$1351+1</f>
        <v>30</v>
      </c>
      <c r="D1359" s="107" t="n">
        <v>0.7989</v>
      </c>
      <c r="E1359" s="108" t="n">
        <v>3</v>
      </c>
      <c r="F1359" s="109" t="n">
        <f aca="false">ROUND(B1359*E1359,2)</f>
        <v>3</v>
      </c>
      <c r="H1359" s="110" t="n">
        <v>1</v>
      </c>
      <c r="I1359" s="111" t="n">
        <v>3</v>
      </c>
      <c r="J1359" s="112" t="n">
        <f aca="false">ROUND(H1359*I1359,2)</f>
        <v>3</v>
      </c>
      <c r="L1359" s="113" t="n">
        <v>1</v>
      </c>
      <c r="M1359" s="114" t="n">
        <v>3</v>
      </c>
      <c r="N1359" s="115" t="n">
        <f aca="false">ROUND(L1359*M1359,2)</f>
        <v>3</v>
      </c>
    </row>
    <row r="1360" customFormat="false" ht="15" hidden="false" customHeight="false" outlineLevel="0" collapsed="false">
      <c r="A1360" s="104" t="s">
        <v>140</v>
      </c>
      <c r="B1360" s="105" t="n">
        <v>30</v>
      </c>
      <c r="C1360" s="106" t="n">
        <f aca="false">$N$1351-$L$1351+1</f>
        <v>30</v>
      </c>
      <c r="D1360" s="107" t="n">
        <v>0.5736</v>
      </c>
      <c r="E1360" s="108" t="n">
        <v>0.01274</v>
      </c>
      <c r="F1360" s="109" t="n">
        <f aca="false">ROUND(B1360*E1360,2)</f>
        <v>0.38</v>
      </c>
      <c r="H1360" s="110" t="n">
        <v>30</v>
      </c>
      <c r="I1360" s="111" t="n">
        <v>0.01274</v>
      </c>
      <c r="J1360" s="112" t="n">
        <f aca="false">ROUND(H1360*I1360,2)</f>
        <v>0.38</v>
      </c>
      <c r="L1360" s="113" t="n">
        <v>30</v>
      </c>
      <c r="M1360" s="114" t="n">
        <v>0.00629</v>
      </c>
      <c r="N1360" s="115" t="n">
        <f aca="false">ROUND(L1360*M1360,2)</f>
        <v>0.19</v>
      </c>
    </row>
    <row r="1361" customFormat="false" ht="15" hidden="false" customHeight="false" outlineLevel="0" collapsed="false">
      <c r="A1361" s="104" t="s">
        <v>141</v>
      </c>
      <c r="B1361" s="105" t="n">
        <v>2.36</v>
      </c>
      <c r="C1361" s="118"/>
      <c r="D1361" s="107" t="n">
        <v>0.27312</v>
      </c>
      <c r="E1361" s="108" t="n">
        <v>1</v>
      </c>
      <c r="F1361" s="109" t="n">
        <f aca="false">ROUND(B1361*E1361,2)</f>
        <v>2.36</v>
      </c>
      <c r="H1361" s="110" t="n">
        <v>2.81</v>
      </c>
      <c r="I1361" s="111" t="n">
        <v>1</v>
      </c>
      <c r="J1361" s="112" t="n">
        <f aca="false">ROUND(H1361*I1361,2)</f>
        <v>2.81</v>
      </c>
      <c r="L1361" s="113" t="n">
        <v>2.31</v>
      </c>
      <c r="M1361" s="114" t="n">
        <v>1</v>
      </c>
      <c r="N1361" s="115" t="n">
        <f aca="false">ROUND(L1361*M1361,2)</f>
        <v>2.31</v>
      </c>
    </row>
    <row r="1362" customFormat="false" ht="15" hidden="false" customHeight="false" outlineLevel="0" collapsed="false">
      <c r="A1362" s="121" t="s">
        <v>142</v>
      </c>
      <c r="F1362" s="122" t="n">
        <f aca="false">ROUND((SUM(F1354:F1361)-F1361)*1.1+F1361,2)</f>
        <v>56.78</v>
      </c>
      <c r="J1362" s="123" t="n">
        <f aca="false">ROUND(SUM(J1354:J1361),2)</f>
        <v>60.92</v>
      </c>
      <c r="N1362" s="124" t="n">
        <f aca="false">ROUND(SUM(N1354:N1361),2)</f>
        <v>50.55</v>
      </c>
    </row>
    <row r="1363" customFormat="false" ht="15" hidden="false" customHeight="false" outlineLevel="0" collapsed="false">
      <c r="A1363" s="93" t="s">
        <v>143</v>
      </c>
      <c r="B1363" s="125" t="n">
        <f aca="false">IF((F1358+F1357+F1356+F1354+F1355)=0,"",((F1358+F1357+F1356+F1354+F1355)-$AB$1356)/(F1358+F1357+F1356+F1354+F1355))</f>
        <v>0.121677250097635</v>
      </c>
      <c r="D1363" s="126" t="str">
        <f aca="false">IF(B1363="","SIN PC",IF(B1363&gt;=0.3,"APROBAR",IF(B1363&gt;=0.2,"REVISAR","RECHAZAR")))</f>
        <v>RECHAZAR</v>
      </c>
      <c r="E1363" s="126"/>
      <c r="F1363" s="126"/>
      <c r="AD1363" s="0" t="n">
        <f aca="false">SUM(F1356:F1358)-25.3607</f>
        <v>0.00929999999999609</v>
      </c>
    </row>
    <row r="1365" customFormat="false" ht="15" hidden="false" customHeight="false" outlineLevel="0" collapsed="false">
      <c r="A1365" s="89" t="s">
        <v>1302</v>
      </c>
      <c r="B1365" s="89"/>
      <c r="C1365" s="89"/>
      <c r="D1365" s="89"/>
      <c r="E1365" s="89"/>
      <c r="F1365" s="89"/>
      <c r="H1365" s="89" t="s">
        <v>752</v>
      </c>
      <c r="I1365" s="89"/>
      <c r="J1365" s="89"/>
      <c r="K1365" s="89"/>
      <c r="L1365" s="90" t="n">
        <v>46113</v>
      </c>
      <c r="M1365" s="91" t="s">
        <v>608</v>
      </c>
      <c r="N1365" s="90" t="n">
        <v>46142</v>
      </c>
      <c r="R1365" s="92" t="s">
        <v>110</v>
      </c>
      <c r="S1365" s="92"/>
      <c r="T1365" s="92"/>
      <c r="U1365" s="92"/>
      <c r="V1365" s="92"/>
    </row>
    <row r="1366" customFormat="false" ht="15" hidden="false" customHeight="false" outlineLevel="0" collapsed="false">
      <c r="A1366" s="93" t="s">
        <v>111</v>
      </c>
      <c r="B1366" s="94" t="s">
        <v>112</v>
      </c>
      <c r="C1366" s="95"/>
      <c r="D1366" s="95"/>
      <c r="E1366" s="95"/>
      <c r="F1366" s="95"/>
      <c r="H1366" s="96" t="s">
        <v>753</v>
      </c>
      <c r="I1366" s="97"/>
      <c r="J1366" s="97"/>
      <c r="L1366" s="98" t="s">
        <v>754</v>
      </c>
      <c r="M1366" s="99"/>
      <c r="N1366" s="99"/>
      <c r="R1366" s="100" t="s">
        <v>755</v>
      </c>
    </row>
    <row r="1367" customFormat="false" ht="15" hidden="false" customHeight="false" outlineLevel="0" collapsed="false">
      <c r="B1367" s="81" t="s">
        <v>116</v>
      </c>
      <c r="C1367" s="81" t="s">
        <v>117</v>
      </c>
      <c r="D1367" s="81" t="s">
        <v>118</v>
      </c>
      <c r="E1367" s="81" t="s">
        <v>119</v>
      </c>
      <c r="F1367" s="81" t="s">
        <v>120</v>
      </c>
      <c r="H1367" s="101" t="s">
        <v>116</v>
      </c>
      <c r="I1367" s="101" t="s">
        <v>119</v>
      </c>
      <c r="J1367" s="101" t="s">
        <v>120</v>
      </c>
      <c r="L1367" s="102" t="s">
        <v>116</v>
      </c>
      <c r="M1367" s="102" t="s">
        <v>119</v>
      </c>
      <c r="N1367" s="102" t="s">
        <v>120</v>
      </c>
      <c r="R1367" s="103" t="s">
        <v>756</v>
      </c>
    </row>
    <row r="1368" customFormat="false" ht="15" hidden="false" customHeight="false" outlineLevel="0" collapsed="false">
      <c r="A1368" s="104" t="s">
        <v>122</v>
      </c>
      <c r="B1368" s="105" t="n">
        <v>13.2</v>
      </c>
      <c r="C1368" s="106" t="n">
        <f aca="false">$N$1365-$L$1365+1</f>
        <v>30</v>
      </c>
      <c r="D1368" s="107" t="n">
        <v>3.68919</v>
      </c>
      <c r="E1368" s="108" t="n">
        <v>3.85</v>
      </c>
      <c r="F1368" s="109" t="n">
        <f aca="false">ROUND(B1368*E1368,2)</f>
        <v>50.82</v>
      </c>
      <c r="H1368" s="110" t="n">
        <v>13.2</v>
      </c>
      <c r="I1368" s="111" t="n">
        <v>3.85</v>
      </c>
      <c r="J1368" s="112" t="n">
        <f aca="false">ROUND(H1368*I1368,2)</f>
        <v>50.82</v>
      </c>
      <c r="L1368" s="113" t="n">
        <v>13.2</v>
      </c>
      <c r="M1368" s="114" t="n">
        <v>3.85</v>
      </c>
      <c r="N1368" s="115" t="n">
        <f aca="false">ROUND(L1368*M1368,2)</f>
        <v>50.82</v>
      </c>
      <c r="R1368" s="116" t="s">
        <v>757</v>
      </c>
    </row>
    <row r="1369" customFormat="false" ht="15" hidden="false" customHeight="false" outlineLevel="0" collapsed="false">
      <c r="A1369" s="104" t="s">
        <v>124</v>
      </c>
      <c r="B1369" s="105" t="n">
        <v>13.2</v>
      </c>
      <c r="C1369" s="106" t="n">
        <f aca="false">$N$1365-$L$1365+1</f>
        <v>30</v>
      </c>
      <c r="D1369" s="107" t="n">
        <v>1.31928</v>
      </c>
      <c r="E1369" s="108" t="n">
        <v>1.33</v>
      </c>
      <c r="F1369" s="109" t="n">
        <f aca="false">ROUND(B1369*E1369,2)</f>
        <v>17.56</v>
      </c>
      <c r="H1369" s="110" t="n">
        <v>13.2</v>
      </c>
      <c r="I1369" s="111" t="n">
        <v>1.33</v>
      </c>
      <c r="J1369" s="112" t="n">
        <f aca="false">ROUND(H1369*I1369,2)</f>
        <v>17.56</v>
      </c>
      <c r="L1369" s="113" t="n">
        <v>13.2</v>
      </c>
      <c r="M1369" s="114" t="n">
        <v>1.33</v>
      </c>
      <c r="N1369" s="115" t="n">
        <f aca="false">ROUND(L1369*M1369,2)</f>
        <v>17.56</v>
      </c>
      <c r="R1369" s="117" t="s">
        <v>758</v>
      </c>
    </row>
    <row r="1370" customFormat="false" ht="15" hidden="false" customHeight="false" outlineLevel="0" collapsed="false">
      <c r="A1370" s="104" t="s">
        <v>615</v>
      </c>
      <c r="B1370" s="105" t="n">
        <f aca="false">IF($P$1370&lt;&gt;"",ROUND(AA1370*(($AB$1370/(1-$P$1370))-68.376)/122.8025,2),IF('Resumen 2.0TD'!$D$3="OPTIMIZAR",ROUND(MAX(AA1370,MIN(AA1370*(($AB$1370/(1-'Resumen 2.0TD'!$F$3))-68.376)/122.8025,AA1370*(209.7518)/122.8025)),3),AA1370))</f>
        <v>258.488</v>
      </c>
      <c r="C1370" s="118"/>
      <c r="D1370" s="107" t="n">
        <v>0.111171</v>
      </c>
      <c r="E1370" s="108" t="n">
        <v>0.13788</v>
      </c>
      <c r="F1370" s="109" t="n">
        <f aca="false">ROUND(B1370*E1370,2)</f>
        <v>35.64</v>
      </c>
      <c r="H1370" s="110" t="n">
        <v>442.536</v>
      </c>
      <c r="I1370" s="111" t="n">
        <v>0.129</v>
      </c>
      <c r="J1370" s="112" t="n">
        <f aca="false">ROUND(H1370*I1370,2)</f>
        <v>57.09</v>
      </c>
      <c r="L1370" s="113" t="n">
        <v>256.232</v>
      </c>
      <c r="M1370" s="114" t="n">
        <v>0.13788</v>
      </c>
      <c r="N1370" s="115" t="n">
        <f aca="false">ROUND(L1370*M1370,2)</f>
        <v>35.33</v>
      </c>
      <c r="O1370" s="119" t="s">
        <v>616</v>
      </c>
      <c r="P1370" s="79"/>
      <c r="R1370" s="117" t="s">
        <v>759</v>
      </c>
      <c r="AA1370" s="0" t="n">
        <v>258.488</v>
      </c>
      <c r="AB1370" s="0" t="n">
        <f aca="false">B1368*D1368+B1369*D1369+AA1370*D1370+AA1371*D1371+AA1372*D1372</f>
        <v>165.126032808</v>
      </c>
    </row>
    <row r="1371" customFormat="false" ht="15" hidden="false" customHeight="false" outlineLevel="0" collapsed="false">
      <c r="A1371" s="104" t="s">
        <v>618</v>
      </c>
      <c r="B1371" s="105" t="n">
        <f aca="false">IF($P$1370&lt;&gt;"",ROUND(AA1371*(($AB$1370/(1-$P$1370))-68.376)/122.8025,2),IF('Resumen 2.0TD'!$D$3="OPTIMIZAR",ROUND(MAX(AA1371,MIN(AA1371*(($AB$1370/(1-'Resumen 2.0TD'!$F$3))-68.376)/122.8025,AA1371*(209.7518)/122.8025)),3),AA1371))</f>
        <v>305.423</v>
      </c>
      <c r="C1371" s="118"/>
      <c r="D1371" s="107" t="n">
        <v>0.111171</v>
      </c>
      <c r="E1371" s="108" t="n">
        <v>0.13788</v>
      </c>
      <c r="F1371" s="109" t="n">
        <f aca="false">ROUND(B1371*E1371,2)</f>
        <v>42.11</v>
      </c>
      <c r="H1371" s="110" t="n">
        <v>441.527</v>
      </c>
      <c r="I1371" s="111" t="n">
        <v>0.129</v>
      </c>
      <c r="J1371" s="112" t="n">
        <f aca="false">ROUND(H1371*I1371,2)</f>
        <v>56.96</v>
      </c>
      <c r="L1371" s="113" t="n">
        <v>333.72</v>
      </c>
      <c r="M1371" s="114" t="n">
        <v>0.13788</v>
      </c>
      <c r="N1371" s="115" t="n">
        <f aca="false">ROUND(L1371*M1371,2)</f>
        <v>46.01</v>
      </c>
      <c r="O1371" s="120" t="s">
        <v>619</v>
      </c>
      <c r="R1371" s="117" t="s">
        <v>620</v>
      </c>
      <c r="AA1371" s="0" t="n">
        <v>305.423</v>
      </c>
    </row>
    <row r="1372" customFormat="false" ht="15" hidden="false" customHeight="false" outlineLevel="0" collapsed="false">
      <c r="A1372" s="104" t="s">
        <v>621</v>
      </c>
      <c r="B1372" s="105" t="n">
        <f aca="false">IF($P$1370&lt;&gt;"",ROUND(AA1372*(($AB$1370/(1-$P$1370))-68.376)/122.8025,2),IF('Resumen 2.0TD'!$D$3="OPTIMIZAR",ROUND(MAX(AA1372,MIN(AA1372*(($AB$1370/(1-'Resumen 2.0TD'!$F$3))-68.376)/122.8025,AA1372*(209.7518)/122.8025)),3),AA1372))</f>
        <v>326.737</v>
      </c>
      <c r="C1372" s="118"/>
      <c r="D1372" s="107" t="n">
        <v>0.111171</v>
      </c>
      <c r="E1372" s="108" t="n">
        <v>0.13788</v>
      </c>
      <c r="F1372" s="109" t="n">
        <f aca="false">ROUND(B1372*E1372,2)</f>
        <v>45.05</v>
      </c>
      <c r="H1372" s="110" t="n">
        <v>295.773</v>
      </c>
      <c r="I1372" s="111" t="n">
        <v>0.129</v>
      </c>
      <c r="J1372" s="112" t="n">
        <f aca="false">ROUND(H1372*I1372,2)</f>
        <v>38.15</v>
      </c>
      <c r="L1372" s="113" t="n">
        <v>202.335</v>
      </c>
      <c r="M1372" s="114" t="n">
        <v>0.13788</v>
      </c>
      <c r="N1372" s="115" t="n">
        <f aca="false">ROUND(L1372*M1372,2)</f>
        <v>27.9</v>
      </c>
      <c r="O1372" s="120" t="s">
        <v>622</v>
      </c>
      <c r="AA1372" s="0" t="n">
        <v>326.737</v>
      </c>
    </row>
    <row r="1373" customFormat="false" ht="15" hidden="false" customHeight="false" outlineLevel="0" collapsed="false">
      <c r="A1373" s="104" t="s">
        <v>139</v>
      </c>
      <c r="B1373" s="105" t="n">
        <v>1</v>
      </c>
      <c r="C1373" s="106" t="n">
        <f aca="false">$N$1365-$L$1365+1</f>
        <v>30</v>
      </c>
      <c r="D1373" s="107" t="n">
        <v>1.3414</v>
      </c>
      <c r="E1373" s="108" t="n">
        <v>3</v>
      </c>
      <c r="F1373" s="109" t="n">
        <f aca="false">ROUND(B1373*E1373,2)</f>
        <v>3</v>
      </c>
      <c r="H1373" s="110" t="n">
        <v>1</v>
      </c>
      <c r="I1373" s="111" t="n">
        <v>3</v>
      </c>
      <c r="J1373" s="112" t="n">
        <f aca="false">ROUND(H1373*I1373,2)</f>
        <v>3</v>
      </c>
      <c r="L1373" s="113" t="n">
        <v>1</v>
      </c>
      <c r="M1373" s="114" t="n">
        <v>3</v>
      </c>
      <c r="N1373" s="115" t="n">
        <f aca="false">ROUND(L1373*M1373,2)</f>
        <v>3</v>
      </c>
    </row>
    <row r="1374" customFormat="false" ht="15" hidden="false" customHeight="false" outlineLevel="0" collapsed="false">
      <c r="A1374" s="104" t="s">
        <v>140</v>
      </c>
      <c r="B1374" s="105" t="n">
        <v>30</v>
      </c>
      <c r="C1374" s="106" t="n">
        <f aca="false">$N$1365-$L$1365+1</f>
        <v>30</v>
      </c>
      <c r="D1374" s="107" t="n">
        <v>0.5736</v>
      </c>
      <c r="E1374" s="108" t="n">
        <v>0.01274</v>
      </c>
      <c r="F1374" s="109" t="n">
        <f aca="false">ROUND(B1374*E1374,2)</f>
        <v>0.38</v>
      </c>
      <c r="H1374" s="110" t="n">
        <v>30</v>
      </c>
      <c r="I1374" s="111" t="n">
        <v>0.01274</v>
      </c>
      <c r="J1374" s="112" t="n">
        <f aca="false">ROUND(H1374*I1374,2)</f>
        <v>0.38</v>
      </c>
      <c r="L1374" s="113" t="n">
        <v>30</v>
      </c>
      <c r="M1374" s="114" t="n">
        <v>0.00629</v>
      </c>
      <c r="N1374" s="115" t="n">
        <f aca="false">ROUND(L1374*M1374,2)</f>
        <v>0.19</v>
      </c>
    </row>
    <row r="1375" customFormat="false" ht="15" hidden="false" customHeight="false" outlineLevel="0" collapsed="false">
      <c r="A1375" s="104" t="s">
        <v>141</v>
      </c>
      <c r="B1375" s="105" t="n">
        <v>9.78</v>
      </c>
      <c r="C1375" s="118"/>
      <c r="D1375" s="107" t="n">
        <v>0.27312</v>
      </c>
      <c r="E1375" s="108" t="n">
        <v>1</v>
      </c>
      <c r="F1375" s="109" t="n">
        <f aca="false">ROUND(B1375*E1375,2)</f>
        <v>9.78</v>
      </c>
      <c r="H1375" s="110" t="n">
        <v>12.04</v>
      </c>
      <c r="I1375" s="111" t="n">
        <v>1</v>
      </c>
      <c r="J1375" s="112" t="n">
        <f aca="false">ROUND(H1375*I1375,2)</f>
        <v>12.04</v>
      </c>
      <c r="L1375" s="113" t="n">
        <v>9.09</v>
      </c>
      <c r="M1375" s="114" t="n">
        <v>1</v>
      </c>
      <c r="N1375" s="115" t="n">
        <f aca="false">ROUND(L1375*M1375,2)</f>
        <v>9.09</v>
      </c>
    </row>
    <row r="1376" customFormat="false" ht="15" hidden="false" customHeight="false" outlineLevel="0" collapsed="false">
      <c r="A1376" s="121" t="s">
        <v>142</v>
      </c>
      <c r="F1376" s="122" t="n">
        <f aca="false">ROUND((SUM(F1368:F1375)-F1375)*1.1+F1375,2)</f>
        <v>223.8</v>
      </c>
      <c r="J1376" s="123" t="n">
        <f aca="false">ROUND(SUM(J1368:J1375),2)</f>
        <v>236</v>
      </c>
      <c r="N1376" s="124" t="n">
        <f aca="false">ROUND(SUM(N1368:N1375),2)</f>
        <v>189.9</v>
      </c>
    </row>
    <row r="1377" customFormat="false" ht="15" hidden="false" customHeight="false" outlineLevel="0" collapsed="false">
      <c r="A1377" s="93" t="s">
        <v>143</v>
      </c>
      <c r="B1377" s="125" t="n">
        <f aca="false">IF((F1372+F1371+F1370+F1368+F1369)=0,"",((F1372+F1371+F1370+F1368+F1369)-$AB$1370)/(F1372+F1371+F1370+F1368+F1369))</f>
        <v>0.136279773993095</v>
      </c>
      <c r="D1377" s="126" t="str">
        <f aca="false">IF(B1377="","SIN PC",IF(B1377&gt;=0.3,"APROBAR",IF(B1377&gt;=0.2,"REVISAR","RECHAZAR")))</f>
        <v>RECHAZAR</v>
      </c>
      <c r="E1377" s="126"/>
      <c r="F1377" s="126"/>
      <c r="AD1377" s="0" t="n">
        <f aca="false">SUM(F1370:F1372)-122.8025</f>
        <v>-0.00249999999999773</v>
      </c>
    </row>
    <row r="1379" customFormat="false" ht="15" hidden="false" customHeight="false" outlineLevel="0" collapsed="false">
      <c r="A1379" s="89" t="s">
        <v>1303</v>
      </c>
      <c r="B1379" s="89"/>
      <c r="C1379" s="89"/>
      <c r="D1379" s="89"/>
      <c r="E1379" s="89"/>
      <c r="F1379" s="89"/>
      <c r="H1379" s="89" t="s">
        <v>1304</v>
      </c>
      <c r="I1379" s="89"/>
      <c r="J1379" s="89"/>
      <c r="K1379" s="89"/>
      <c r="L1379" s="90" t="n">
        <v>46113</v>
      </c>
      <c r="M1379" s="91" t="s">
        <v>608</v>
      </c>
      <c r="N1379" s="90" t="n">
        <v>46142</v>
      </c>
      <c r="R1379" s="92" t="s">
        <v>110</v>
      </c>
      <c r="S1379" s="92"/>
      <c r="T1379" s="92"/>
      <c r="U1379" s="92"/>
      <c r="V1379" s="92"/>
    </row>
    <row r="1380" customFormat="false" ht="15" hidden="false" customHeight="false" outlineLevel="0" collapsed="false">
      <c r="A1380" s="93" t="s">
        <v>111</v>
      </c>
      <c r="B1380" s="94" t="s">
        <v>112</v>
      </c>
      <c r="C1380" s="95"/>
      <c r="D1380" s="95"/>
      <c r="E1380" s="95"/>
      <c r="F1380" s="95"/>
      <c r="H1380" s="96" t="s">
        <v>1305</v>
      </c>
      <c r="I1380" s="97"/>
      <c r="J1380" s="97"/>
      <c r="L1380" s="98" t="s">
        <v>1306</v>
      </c>
      <c r="M1380" s="99"/>
      <c r="N1380" s="99"/>
      <c r="R1380" s="100" t="s">
        <v>1307</v>
      </c>
    </row>
    <row r="1381" customFormat="false" ht="15" hidden="false" customHeight="false" outlineLevel="0" collapsed="false">
      <c r="B1381" s="81" t="s">
        <v>116</v>
      </c>
      <c r="C1381" s="81" t="s">
        <v>117</v>
      </c>
      <c r="D1381" s="81" t="s">
        <v>118</v>
      </c>
      <c r="E1381" s="81" t="s">
        <v>119</v>
      </c>
      <c r="F1381" s="81" t="s">
        <v>120</v>
      </c>
      <c r="H1381" s="101" t="s">
        <v>116</v>
      </c>
      <c r="I1381" s="101" t="s">
        <v>119</v>
      </c>
      <c r="J1381" s="101" t="s">
        <v>120</v>
      </c>
      <c r="L1381" s="102" t="s">
        <v>116</v>
      </c>
      <c r="M1381" s="102" t="s">
        <v>119</v>
      </c>
      <c r="N1381" s="102" t="s">
        <v>120</v>
      </c>
      <c r="R1381" s="103" t="s">
        <v>1308</v>
      </c>
    </row>
    <row r="1382" customFormat="false" ht="15" hidden="false" customHeight="false" outlineLevel="0" collapsed="false">
      <c r="A1382" s="104" t="s">
        <v>122</v>
      </c>
      <c r="B1382" s="105" t="n">
        <v>10</v>
      </c>
      <c r="C1382" s="106" t="n">
        <f aca="false">$N$1379-$L$1379+1</f>
        <v>30</v>
      </c>
      <c r="D1382" s="107" t="n">
        <v>3.68919</v>
      </c>
      <c r="E1382" s="108" t="n">
        <v>3.85</v>
      </c>
      <c r="F1382" s="109" t="n">
        <f aca="false">ROUND(B1382*E1382,2)</f>
        <v>38.5</v>
      </c>
      <c r="H1382" s="110" t="n">
        <v>10</v>
      </c>
      <c r="I1382" s="111" t="n">
        <v>3.85</v>
      </c>
      <c r="J1382" s="112" t="n">
        <f aca="false">ROUND(H1382*I1382,2)</f>
        <v>38.5</v>
      </c>
      <c r="L1382" s="113" t="n">
        <v>10</v>
      </c>
      <c r="M1382" s="114" t="n">
        <v>3.85</v>
      </c>
      <c r="N1382" s="115" t="n">
        <f aca="false">ROUND(L1382*M1382,2)</f>
        <v>38.5</v>
      </c>
      <c r="R1382" s="116" t="s">
        <v>1309</v>
      </c>
    </row>
    <row r="1383" customFormat="false" ht="15" hidden="false" customHeight="false" outlineLevel="0" collapsed="false">
      <c r="A1383" s="104" t="s">
        <v>124</v>
      </c>
      <c r="B1383" s="105" t="n">
        <v>10</v>
      </c>
      <c r="C1383" s="106" t="n">
        <f aca="false">$N$1379-$L$1379+1</f>
        <v>30</v>
      </c>
      <c r="D1383" s="107" t="n">
        <v>1.31928</v>
      </c>
      <c r="E1383" s="108" t="n">
        <v>1.33</v>
      </c>
      <c r="F1383" s="109" t="n">
        <f aca="false">ROUND(B1383*E1383,2)</f>
        <v>13.3</v>
      </c>
      <c r="H1383" s="110" t="n">
        <v>10</v>
      </c>
      <c r="I1383" s="111" t="n">
        <v>1.33</v>
      </c>
      <c r="J1383" s="112" t="n">
        <f aca="false">ROUND(H1383*I1383,2)</f>
        <v>13.3</v>
      </c>
      <c r="L1383" s="113" t="n">
        <v>10</v>
      </c>
      <c r="M1383" s="114" t="n">
        <v>1.33</v>
      </c>
      <c r="N1383" s="115" t="n">
        <f aca="false">ROUND(L1383*M1383,2)</f>
        <v>13.3</v>
      </c>
      <c r="R1383" s="117" t="s">
        <v>1310</v>
      </c>
    </row>
    <row r="1384" customFormat="false" ht="15" hidden="false" customHeight="false" outlineLevel="0" collapsed="false">
      <c r="A1384" s="104" t="s">
        <v>615</v>
      </c>
      <c r="B1384" s="105" t="n">
        <f aca="false">IF($P$1384&lt;&gt;"",ROUND(AA1384*(($AB$1384/(1-$P$1384))-51.8)/132.0721,2),IF('Resumen 2.0TD'!$D$3="OPTIMIZAR",ROUND(MAX(AA1384,MIN(AA1384*(($AB$1384/(1-'Resumen 2.0TD'!$F$3))-51.8)/132.0721,AA1384*(261.1978)/132.0721)),3),AA1384))</f>
        <v>256.517</v>
      </c>
      <c r="C1384" s="118"/>
      <c r="D1384" s="107" t="n">
        <v>0.111171</v>
      </c>
      <c r="E1384" s="108" t="n">
        <v>0.13788</v>
      </c>
      <c r="F1384" s="109" t="n">
        <f aca="false">ROUND(B1384*E1384,2)</f>
        <v>35.37</v>
      </c>
      <c r="H1384" s="110" t="n">
        <v>322.159</v>
      </c>
      <c r="I1384" s="111" t="n">
        <v>0.13788</v>
      </c>
      <c r="J1384" s="112" t="n">
        <f aca="false">ROUND(H1384*I1384,2)</f>
        <v>44.42</v>
      </c>
      <c r="L1384" s="113" t="n">
        <v>262.054</v>
      </c>
      <c r="M1384" s="114" t="n">
        <v>0.13788</v>
      </c>
      <c r="N1384" s="115" t="n">
        <f aca="false">ROUND(L1384*M1384,2)</f>
        <v>36.13</v>
      </c>
      <c r="O1384" s="119" t="s">
        <v>616</v>
      </c>
      <c r="P1384" s="79"/>
      <c r="R1384" s="117" t="s">
        <v>1311</v>
      </c>
      <c r="AA1384" s="0" t="n">
        <v>256.517</v>
      </c>
      <c r="AB1384" s="0" t="n">
        <f aca="false">B1382*D1382+B1383*D1383+AA1384*D1384+AA1385*D1385+AA1386*D1386</f>
        <v>156.572843967</v>
      </c>
    </row>
    <row r="1385" customFormat="false" ht="15" hidden="false" customHeight="false" outlineLevel="0" collapsed="false">
      <c r="A1385" s="104" t="s">
        <v>618</v>
      </c>
      <c r="B1385" s="105" t="n">
        <f aca="false">IF($P$1384&lt;&gt;"",ROUND(AA1385*(($AB$1384/(1-$P$1384))-51.8)/132.0721,2),IF('Resumen 2.0TD'!$D$3="OPTIMIZAR",ROUND(MAX(AA1385,MIN(AA1385*(($AB$1384/(1-'Resumen 2.0TD'!$F$3))-51.8)/132.0721,AA1385*(261.1978)/132.0721)),3),AA1385))</f>
        <v>284.83</v>
      </c>
      <c r="C1385" s="118"/>
      <c r="D1385" s="107" t="n">
        <v>0.111171</v>
      </c>
      <c r="E1385" s="108" t="n">
        <v>0.13788</v>
      </c>
      <c r="F1385" s="109" t="n">
        <f aca="false">ROUND(B1385*E1385,2)</f>
        <v>39.27</v>
      </c>
      <c r="H1385" s="110" t="n">
        <v>285.568</v>
      </c>
      <c r="I1385" s="111" t="n">
        <v>0.13788</v>
      </c>
      <c r="J1385" s="112" t="n">
        <f aca="false">ROUND(H1385*I1385,2)</f>
        <v>39.37</v>
      </c>
      <c r="L1385" s="113" t="n">
        <v>260.83</v>
      </c>
      <c r="M1385" s="114" t="n">
        <v>0.13788</v>
      </c>
      <c r="N1385" s="115" t="n">
        <f aca="false">ROUND(L1385*M1385,2)</f>
        <v>35.96</v>
      </c>
      <c r="O1385" s="120" t="s">
        <v>619</v>
      </c>
      <c r="R1385" s="117" t="s">
        <v>620</v>
      </c>
      <c r="AA1385" s="0" t="n">
        <v>284.83</v>
      </c>
    </row>
    <row r="1386" customFormat="false" ht="15" hidden="false" customHeight="false" outlineLevel="0" collapsed="false">
      <c r="A1386" s="104" t="s">
        <v>621</v>
      </c>
      <c r="B1386" s="105" t="n">
        <f aca="false">IF($P$1384&lt;&gt;"",ROUND(AA1386*(($AB$1384/(1-$P$1384))-51.8)/132.0721,2),IF('Resumen 2.0TD'!$D$3="OPTIMIZAR",ROUND(MAX(AA1386,MIN(AA1386*(($AB$1384/(1-'Resumen 2.0TD'!$F$3))-51.8)/132.0721,AA1386*(261.1978)/132.0721)),3),AA1386))</f>
        <v>416.53</v>
      </c>
      <c r="C1386" s="118"/>
      <c r="D1386" s="107" t="n">
        <v>0.111171</v>
      </c>
      <c r="E1386" s="108" t="n">
        <v>0.13788</v>
      </c>
      <c r="F1386" s="109" t="n">
        <f aca="false">ROUND(B1386*E1386,2)</f>
        <v>57.43</v>
      </c>
      <c r="H1386" s="110" t="n">
        <v>420.518</v>
      </c>
      <c r="I1386" s="111" t="n">
        <v>0.13788</v>
      </c>
      <c r="J1386" s="112" t="n">
        <f aca="false">ROUND(H1386*I1386,2)</f>
        <v>57.98</v>
      </c>
      <c r="L1386" s="113" t="n">
        <v>409.775</v>
      </c>
      <c r="M1386" s="114" t="n">
        <v>0.13788</v>
      </c>
      <c r="N1386" s="115" t="n">
        <f aca="false">ROUND(L1386*M1386,2)</f>
        <v>56.5</v>
      </c>
      <c r="O1386" s="120" t="s">
        <v>622</v>
      </c>
      <c r="AA1386" s="0" t="n">
        <v>416.53</v>
      </c>
    </row>
    <row r="1387" customFormat="false" ht="15" hidden="false" customHeight="false" outlineLevel="0" collapsed="false">
      <c r="A1387" s="104" t="s">
        <v>139</v>
      </c>
      <c r="B1387" s="105" t="n">
        <v>1</v>
      </c>
      <c r="C1387" s="106" t="n">
        <f aca="false">$N$1379-$L$1379+1</f>
        <v>30</v>
      </c>
      <c r="D1387" s="107" t="n">
        <v>1.3414</v>
      </c>
      <c r="E1387" s="108" t="n">
        <v>3</v>
      </c>
      <c r="F1387" s="109" t="n">
        <f aca="false">ROUND(B1387*E1387,2)</f>
        <v>3</v>
      </c>
      <c r="H1387" s="110" t="n">
        <v>1</v>
      </c>
      <c r="I1387" s="111" t="n">
        <v>3</v>
      </c>
      <c r="J1387" s="112" t="n">
        <f aca="false">ROUND(H1387*I1387,2)</f>
        <v>3</v>
      </c>
      <c r="L1387" s="113" t="n">
        <v>1</v>
      </c>
      <c r="M1387" s="114" t="n">
        <v>3</v>
      </c>
      <c r="N1387" s="115" t="n">
        <f aca="false">ROUND(L1387*M1387,2)</f>
        <v>3</v>
      </c>
    </row>
    <row r="1388" customFormat="false" ht="15" hidden="false" customHeight="false" outlineLevel="0" collapsed="false">
      <c r="A1388" s="104" t="s">
        <v>140</v>
      </c>
      <c r="B1388" s="105" t="n">
        <v>30</v>
      </c>
      <c r="C1388" s="106" t="n">
        <f aca="false">$N$1379-$L$1379+1</f>
        <v>30</v>
      </c>
      <c r="D1388" s="107" t="n">
        <v>0.5736</v>
      </c>
      <c r="E1388" s="108" t="n">
        <v>0.01274</v>
      </c>
      <c r="F1388" s="109" t="n">
        <f aca="false">ROUND(B1388*E1388,2)</f>
        <v>0.38</v>
      </c>
      <c r="H1388" s="110" t="n">
        <v>30</v>
      </c>
      <c r="I1388" s="111" t="n">
        <v>0.01274</v>
      </c>
      <c r="J1388" s="112" t="n">
        <f aca="false">ROUND(H1388*I1388,2)</f>
        <v>0.38</v>
      </c>
      <c r="L1388" s="113" t="n">
        <v>30</v>
      </c>
      <c r="M1388" s="114" t="n">
        <v>0.00629</v>
      </c>
      <c r="N1388" s="115" t="n">
        <f aca="false">ROUND(L1388*M1388,2)</f>
        <v>0.19</v>
      </c>
    </row>
    <row r="1389" customFormat="false" ht="15" hidden="false" customHeight="false" outlineLevel="0" collapsed="false">
      <c r="A1389" s="104" t="s">
        <v>141</v>
      </c>
      <c r="B1389" s="105" t="n">
        <v>9.41</v>
      </c>
      <c r="C1389" s="118"/>
      <c r="D1389" s="107" t="n">
        <v>0.27312</v>
      </c>
      <c r="E1389" s="108" t="n">
        <v>1</v>
      </c>
      <c r="F1389" s="109" t="n">
        <f aca="false">ROUND(B1389*E1389,2)</f>
        <v>9.41</v>
      </c>
      <c r="H1389" s="110" t="n">
        <v>9.9</v>
      </c>
      <c r="I1389" s="111" t="n">
        <v>1</v>
      </c>
      <c r="J1389" s="112" t="n">
        <f aca="false">ROUND(H1389*I1389,2)</f>
        <v>9.9</v>
      </c>
      <c r="L1389" s="113" t="n">
        <v>9.23</v>
      </c>
      <c r="M1389" s="114" t="n">
        <v>1</v>
      </c>
      <c r="N1389" s="115" t="n">
        <f aca="false">ROUND(L1389*M1389,2)</f>
        <v>9.23</v>
      </c>
    </row>
    <row r="1390" customFormat="false" ht="15" hidden="false" customHeight="false" outlineLevel="0" collapsed="false">
      <c r="A1390" s="121" t="s">
        <v>142</v>
      </c>
      <c r="F1390" s="122" t="n">
        <f aca="false">ROUND((SUM(F1382:F1389)-F1389)*1.1+F1389,2)</f>
        <v>215.39</v>
      </c>
      <c r="J1390" s="123" t="n">
        <f aca="false">ROUND(SUM(J1382:J1389),2)</f>
        <v>206.85</v>
      </c>
      <c r="N1390" s="124" t="n">
        <f aca="false">ROUND(SUM(N1382:N1389),2)</f>
        <v>192.81</v>
      </c>
    </row>
    <row r="1391" customFormat="false" ht="15" hidden="false" customHeight="false" outlineLevel="0" collapsed="false">
      <c r="A1391" s="93" t="s">
        <v>143</v>
      </c>
      <c r="B1391" s="125" t="n">
        <f aca="false">IF((F1386+F1385+F1384+F1382+F1383)=0,"",((F1386+F1385+F1384+F1382+F1383)-$AB$1384)/(F1386+F1385+F1384+F1382+F1383))</f>
        <v>0.148458998384728</v>
      </c>
      <c r="D1391" s="126" t="str">
        <f aca="false">IF(B1391="","SIN PC",IF(B1391&gt;=0.3,"APROBAR",IF(B1391&gt;=0.2,"REVISAR","RECHAZAR")))</f>
        <v>RECHAZAR</v>
      </c>
      <c r="E1391" s="126"/>
      <c r="F1391" s="126"/>
      <c r="AD1391" s="0" t="n">
        <f aca="false">SUM(F1384:F1386)-132.0721</f>
        <v>-0.00210000000001287</v>
      </c>
    </row>
    <row r="1393" customFormat="false" ht="15" hidden="false" customHeight="false" outlineLevel="0" collapsed="false">
      <c r="A1393" s="89" t="s">
        <v>1312</v>
      </c>
      <c r="B1393" s="89"/>
      <c r="C1393" s="89"/>
      <c r="D1393" s="89"/>
      <c r="E1393" s="89"/>
      <c r="F1393" s="89"/>
      <c r="H1393" s="89" t="s">
        <v>1313</v>
      </c>
      <c r="I1393" s="89"/>
      <c r="J1393" s="89"/>
      <c r="K1393" s="89"/>
      <c r="L1393" s="90" t="n">
        <v>46113</v>
      </c>
      <c r="M1393" s="91" t="s">
        <v>608</v>
      </c>
      <c r="N1393" s="90" t="n">
        <v>46142</v>
      </c>
      <c r="R1393" s="92" t="s">
        <v>110</v>
      </c>
      <c r="S1393" s="92"/>
      <c r="T1393" s="92"/>
      <c r="U1393" s="92"/>
      <c r="V1393" s="92"/>
    </row>
    <row r="1394" customFormat="false" ht="15" hidden="false" customHeight="false" outlineLevel="0" collapsed="false">
      <c r="A1394" s="93" t="s">
        <v>111</v>
      </c>
      <c r="B1394" s="94" t="s">
        <v>112</v>
      </c>
      <c r="C1394" s="95"/>
      <c r="D1394" s="95"/>
      <c r="E1394" s="95"/>
      <c r="F1394" s="95"/>
      <c r="H1394" s="96" t="s">
        <v>1314</v>
      </c>
      <c r="I1394" s="97"/>
      <c r="J1394" s="97"/>
      <c r="L1394" s="98" t="s">
        <v>1315</v>
      </c>
      <c r="M1394" s="99"/>
      <c r="N1394" s="99"/>
      <c r="R1394" s="100" t="s">
        <v>1316</v>
      </c>
    </row>
    <row r="1395" customFormat="false" ht="15" hidden="false" customHeight="false" outlineLevel="0" collapsed="false">
      <c r="B1395" s="81" t="s">
        <v>116</v>
      </c>
      <c r="C1395" s="81" t="s">
        <v>117</v>
      </c>
      <c r="D1395" s="81" t="s">
        <v>118</v>
      </c>
      <c r="E1395" s="81" t="s">
        <v>119</v>
      </c>
      <c r="F1395" s="81" t="s">
        <v>120</v>
      </c>
      <c r="H1395" s="101" t="s">
        <v>116</v>
      </c>
      <c r="I1395" s="101" t="s">
        <v>119</v>
      </c>
      <c r="J1395" s="101" t="s">
        <v>120</v>
      </c>
      <c r="L1395" s="102" t="s">
        <v>116</v>
      </c>
      <c r="M1395" s="102" t="s">
        <v>119</v>
      </c>
      <c r="N1395" s="102" t="s">
        <v>120</v>
      </c>
      <c r="R1395" s="103" t="s">
        <v>1317</v>
      </c>
    </row>
    <row r="1396" customFormat="false" ht="15" hidden="false" customHeight="false" outlineLevel="0" collapsed="false">
      <c r="A1396" s="104" t="s">
        <v>122</v>
      </c>
      <c r="B1396" s="105" t="n">
        <v>10.1</v>
      </c>
      <c r="C1396" s="106" t="n">
        <f aca="false">$N$1393-$L$1393+1</f>
        <v>30</v>
      </c>
      <c r="D1396" s="107" t="n">
        <v>3.68919</v>
      </c>
      <c r="E1396" s="108" t="n">
        <v>3.85</v>
      </c>
      <c r="F1396" s="109" t="n">
        <f aca="false">ROUND(B1396*E1396,2)</f>
        <v>38.89</v>
      </c>
      <c r="H1396" s="110" t="n">
        <v>10.1</v>
      </c>
      <c r="I1396" s="111" t="n">
        <v>3.85</v>
      </c>
      <c r="J1396" s="112" t="n">
        <f aca="false">ROUND(H1396*I1396,2)</f>
        <v>38.89</v>
      </c>
      <c r="L1396" s="113" t="n">
        <v>10.1</v>
      </c>
      <c r="M1396" s="114" t="n">
        <v>3.85</v>
      </c>
      <c r="N1396" s="115" t="n">
        <f aca="false">ROUND(L1396*M1396,2)</f>
        <v>38.89</v>
      </c>
      <c r="R1396" s="116" t="s">
        <v>1318</v>
      </c>
    </row>
    <row r="1397" customFormat="false" ht="15" hidden="false" customHeight="false" outlineLevel="0" collapsed="false">
      <c r="A1397" s="104" t="s">
        <v>124</v>
      </c>
      <c r="B1397" s="105" t="n">
        <v>10.1</v>
      </c>
      <c r="C1397" s="106" t="n">
        <f aca="false">$N$1393-$L$1393+1</f>
        <v>30</v>
      </c>
      <c r="D1397" s="107" t="n">
        <v>1.31928</v>
      </c>
      <c r="E1397" s="108" t="n">
        <v>1.33</v>
      </c>
      <c r="F1397" s="109" t="n">
        <f aca="false">ROUND(B1397*E1397,2)</f>
        <v>13.43</v>
      </c>
      <c r="H1397" s="110" t="n">
        <v>10.1</v>
      </c>
      <c r="I1397" s="111" t="n">
        <v>1.33</v>
      </c>
      <c r="J1397" s="112" t="n">
        <f aca="false">ROUND(H1397*I1397,2)</f>
        <v>13.43</v>
      </c>
      <c r="L1397" s="113" t="n">
        <v>10.1</v>
      </c>
      <c r="M1397" s="114" t="n">
        <v>1.33</v>
      </c>
      <c r="N1397" s="115" t="n">
        <f aca="false">ROUND(L1397*M1397,2)</f>
        <v>13.43</v>
      </c>
      <c r="R1397" s="117" t="s">
        <v>1319</v>
      </c>
    </row>
    <row r="1398" customFormat="false" ht="15" hidden="false" customHeight="false" outlineLevel="0" collapsed="false">
      <c r="A1398" s="104" t="s">
        <v>615</v>
      </c>
      <c r="B1398" s="105" t="n">
        <f aca="false">IF($P$1398&lt;&gt;"",ROUND(AA1398*(($AB$1398/(1-$P$1398))-52.318)/86.7537,2),IF('Resumen 2.0TD'!$D$3="OPTIMIZAR",ROUND(MAX(AA1398,MIN(AA1398*(($AB$1398/(1-'Resumen 2.0TD'!$F$3))-52.318)/86.7537,AA1398*(9.0698)/86.7537)),3),AA1398))</f>
        <v>221.956</v>
      </c>
      <c r="C1398" s="118"/>
      <c r="D1398" s="107" t="n">
        <v>0.111171</v>
      </c>
      <c r="E1398" s="108" t="n">
        <v>0.13788</v>
      </c>
      <c r="F1398" s="109" t="n">
        <f aca="false">ROUND(B1398*E1398,2)</f>
        <v>30.6</v>
      </c>
      <c r="H1398" s="110" t="n">
        <v>439.327</v>
      </c>
      <c r="I1398" s="111" t="n">
        <v>0.13788</v>
      </c>
      <c r="J1398" s="112" t="n">
        <f aca="false">ROUND(H1398*I1398,2)</f>
        <v>60.57</v>
      </c>
      <c r="L1398" s="113" t="n">
        <v>63.472</v>
      </c>
      <c r="M1398" s="114" t="n">
        <v>0.13788</v>
      </c>
      <c r="N1398" s="115" t="n">
        <f aca="false">ROUND(L1398*M1398,2)</f>
        <v>8.75</v>
      </c>
      <c r="O1398" s="119" t="s">
        <v>616</v>
      </c>
      <c r="P1398" s="79"/>
      <c r="R1398" s="117" t="s">
        <v>1320</v>
      </c>
      <c r="AA1398" s="0" t="n">
        <v>221.956</v>
      </c>
      <c r="AB1398" s="0" t="n">
        <f aca="false">B1396*D1396+B1397*D1397+AA1398*D1398+AA1399*D1399+AA1400*D1400</f>
        <v>120.534006687</v>
      </c>
    </row>
    <row r="1399" customFormat="false" ht="15" hidden="false" customHeight="false" outlineLevel="0" collapsed="false">
      <c r="A1399" s="104" t="s">
        <v>618</v>
      </c>
      <c r="B1399" s="105" t="n">
        <f aca="false">IF($P$1398&lt;&gt;"",ROUND(AA1399*(($AB$1398/(1-$P$1398))-52.318)/86.7537,2),IF('Resumen 2.0TD'!$D$3="OPTIMIZAR",ROUND(MAX(AA1399,MIN(AA1399*(($AB$1398/(1-'Resumen 2.0TD'!$F$3))-52.318)/86.7537,AA1399*(9.0698)/86.7537)),3),AA1399))</f>
        <v>183.083</v>
      </c>
      <c r="C1399" s="118"/>
      <c r="D1399" s="107" t="n">
        <v>0.111171</v>
      </c>
      <c r="E1399" s="108" t="n">
        <v>0.13788</v>
      </c>
      <c r="F1399" s="109" t="n">
        <f aca="false">ROUND(B1399*E1399,2)</f>
        <v>25.24</v>
      </c>
      <c r="H1399" s="110" t="n">
        <v>382.809</v>
      </c>
      <c r="I1399" s="111" t="n">
        <v>0.13788</v>
      </c>
      <c r="J1399" s="112" t="n">
        <f aca="false">ROUND(H1399*I1399,2)</f>
        <v>52.78</v>
      </c>
      <c r="L1399" s="113" t="n">
        <v>54.665</v>
      </c>
      <c r="M1399" s="114" t="n">
        <v>0.13788</v>
      </c>
      <c r="N1399" s="115" t="n">
        <f aca="false">ROUND(L1399*M1399,2)</f>
        <v>7.54</v>
      </c>
      <c r="O1399" s="120" t="s">
        <v>619</v>
      </c>
      <c r="R1399" s="117" t="s">
        <v>620</v>
      </c>
      <c r="AA1399" s="0" t="n">
        <v>183.083</v>
      </c>
    </row>
    <row r="1400" customFormat="false" ht="15" hidden="false" customHeight="false" outlineLevel="0" collapsed="false">
      <c r="A1400" s="104" t="s">
        <v>621</v>
      </c>
      <c r="B1400" s="105" t="n">
        <f aca="false">IF($P$1398&lt;&gt;"",ROUND(AA1400*(($AB$1398/(1-$P$1398))-52.318)/86.7537,2),IF('Resumen 2.0TD'!$D$3="OPTIMIZAR",ROUND(MAX(AA1400,MIN(AA1400*(($AB$1398/(1-'Resumen 2.0TD'!$F$3))-52.318)/86.7537,AA1400*(9.0698)/86.7537)),3),AA1400))</f>
        <v>224.158</v>
      </c>
      <c r="C1400" s="118"/>
      <c r="D1400" s="107" t="n">
        <v>0.111171</v>
      </c>
      <c r="E1400" s="108" t="n">
        <v>0.13788</v>
      </c>
      <c r="F1400" s="109" t="n">
        <f aca="false">ROUND(B1400*E1400,2)</f>
        <v>30.91</v>
      </c>
      <c r="H1400" s="110" t="n">
        <v>240.436</v>
      </c>
      <c r="I1400" s="111" t="n">
        <v>0.13788</v>
      </c>
      <c r="J1400" s="112" t="n">
        <f aca="false">ROUND(H1400*I1400,2)</f>
        <v>33.15</v>
      </c>
      <c r="L1400" s="113" t="n">
        <v>79.679</v>
      </c>
      <c r="M1400" s="114" t="n">
        <v>0.13788</v>
      </c>
      <c r="N1400" s="115" t="n">
        <f aca="false">ROUND(L1400*M1400,2)</f>
        <v>10.99</v>
      </c>
      <c r="O1400" s="120" t="s">
        <v>622</v>
      </c>
      <c r="AA1400" s="0" t="n">
        <v>224.158</v>
      </c>
    </row>
    <row r="1401" customFormat="false" ht="15" hidden="false" customHeight="false" outlineLevel="0" collapsed="false">
      <c r="A1401" s="104" t="s">
        <v>139</v>
      </c>
      <c r="B1401" s="105" t="n">
        <v>1</v>
      </c>
      <c r="C1401" s="106" t="n">
        <f aca="false">$N$1393-$L$1393+1</f>
        <v>30</v>
      </c>
      <c r="D1401" s="107" t="n">
        <v>1.3414</v>
      </c>
      <c r="E1401" s="108" t="n">
        <v>3</v>
      </c>
      <c r="F1401" s="109" t="n">
        <f aca="false">ROUND(B1401*E1401,2)</f>
        <v>3</v>
      </c>
      <c r="H1401" s="110" t="n">
        <v>1</v>
      </c>
      <c r="I1401" s="111" t="n">
        <v>3</v>
      </c>
      <c r="J1401" s="112" t="n">
        <f aca="false">ROUND(H1401*I1401,2)</f>
        <v>3</v>
      </c>
      <c r="L1401" s="113" t="n">
        <v>1</v>
      </c>
      <c r="M1401" s="114" t="n">
        <v>3</v>
      </c>
      <c r="N1401" s="115" t="n">
        <f aca="false">ROUND(L1401*M1401,2)</f>
        <v>3</v>
      </c>
    </row>
    <row r="1402" customFormat="false" ht="15" hidden="false" customHeight="false" outlineLevel="0" collapsed="false">
      <c r="A1402" s="104" t="s">
        <v>140</v>
      </c>
      <c r="B1402" s="105" t="n">
        <v>30</v>
      </c>
      <c r="C1402" s="106" t="n">
        <f aca="false">$N$1393-$L$1393+1</f>
        <v>30</v>
      </c>
      <c r="D1402" s="107" t="n">
        <v>0.5736</v>
      </c>
      <c r="E1402" s="108" t="n">
        <v>0.01274</v>
      </c>
      <c r="F1402" s="109" t="n">
        <f aca="false">ROUND(B1402*E1402,2)</f>
        <v>0.38</v>
      </c>
      <c r="H1402" s="110" t="n">
        <v>30</v>
      </c>
      <c r="I1402" s="111" t="n">
        <v>0.01274</v>
      </c>
      <c r="J1402" s="112" t="n">
        <f aca="false">ROUND(H1402*I1402,2)</f>
        <v>0.38</v>
      </c>
      <c r="L1402" s="113" t="n">
        <v>30</v>
      </c>
      <c r="M1402" s="114" t="n">
        <v>0.00629</v>
      </c>
      <c r="N1402" s="115" t="n">
        <f aca="false">ROUND(L1402*M1402,2)</f>
        <v>0.19</v>
      </c>
    </row>
    <row r="1403" customFormat="false" ht="15" hidden="false" customHeight="false" outlineLevel="0" collapsed="false">
      <c r="A1403" s="104" t="s">
        <v>141</v>
      </c>
      <c r="B1403" s="105" t="n">
        <v>7.12</v>
      </c>
      <c r="C1403" s="118"/>
      <c r="D1403" s="107" t="n">
        <v>0.27312</v>
      </c>
      <c r="E1403" s="108" t="n">
        <v>1</v>
      </c>
      <c r="F1403" s="109" t="n">
        <f aca="false">ROUND(B1403*E1403,2)</f>
        <v>7.12</v>
      </c>
      <c r="H1403" s="110" t="n">
        <v>10.17</v>
      </c>
      <c r="I1403" s="111" t="n">
        <v>1</v>
      </c>
      <c r="J1403" s="112" t="n">
        <f aca="false">ROUND(H1403*I1403,2)</f>
        <v>10.17</v>
      </c>
      <c r="L1403" s="113" t="n">
        <v>4.08</v>
      </c>
      <c r="M1403" s="114" t="n">
        <v>1</v>
      </c>
      <c r="N1403" s="115" t="n">
        <f aca="false">ROUND(L1403*M1403,2)</f>
        <v>4.08</v>
      </c>
    </row>
    <row r="1404" customFormat="false" ht="15" hidden="false" customHeight="false" outlineLevel="0" collapsed="false">
      <c r="A1404" s="121" t="s">
        <v>142</v>
      </c>
      <c r="F1404" s="122" t="n">
        <f aca="false">ROUND((SUM(F1396:F1403)-F1403)*1.1+F1403,2)</f>
        <v>163.82</v>
      </c>
      <c r="J1404" s="123" t="n">
        <f aca="false">ROUND(SUM(J1396:J1403),2)</f>
        <v>212.37</v>
      </c>
      <c r="N1404" s="124" t="n">
        <f aca="false">ROUND(SUM(N1396:N1403),2)</f>
        <v>86.87</v>
      </c>
    </row>
    <row r="1405" customFormat="false" ht="15" hidden="false" customHeight="false" outlineLevel="0" collapsed="false">
      <c r="A1405" s="93" t="s">
        <v>143</v>
      </c>
      <c r="B1405" s="125" t="n">
        <f aca="false">IF((F1400+F1399+F1398+F1396+F1397)=0,"",((F1400+F1399+F1398+F1396+F1397)-$AB$1398)/(F1400+F1399+F1398+F1396+F1397))</f>
        <v>0.133285347760121</v>
      </c>
      <c r="D1405" s="126" t="str">
        <f aca="false">IF(B1405="","SIN PC",IF(B1405&gt;=0.3,"APROBAR",IF(B1405&gt;=0.2,"REVISAR","RECHAZAR")))</f>
        <v>RECHAZAR</v>
      </c>
      <c r="E1405" s="126"/>
      <c r="F1405" s="126"/>
      <c r="AD1405" s="0" t="n">
        <f aca="false">SUM(F1398:F1400)-86.7537</f>
        <v>-0.00369999999999493</v>
      </c>
    </row>
    <row r="1407" customFormat="false" ht="15" hidden="false" customHeight="false" outlineLevel="0" collapsed="false">
      <c r="A1407" s="89" t="s">
        <v>1321</v>
      </c>
      <c r="B1407" s="89"/>
      <c r="C1407" s="89"/>
      <c r="D1407" s="89"/>
      <c r="E1407" s="89"/>
      <c r="F1407" s="89"/>
      <c r="H1407" s="89" t="s">
        <v>1322</v>
      </c>
      <c r="I1407" s="89"/>
      <c r="J1407" s="89"/>
      <c r="K1407" s="89"/>
      <c r="L1407" s="90" t="n">
        <v>46113</v>
      </c>
      <c r="M1407" s="91" t="s">
        <v>608</v>
      </c>
      <c r="N1407" s="90" t="n">
        <v>46142</v>
      </c>
      <c r="R1407" s="92" t="s">
        <v>110</v>
      </c>
      <c r="S1407" s="92"/>
      <c r="T1407" s="92"/>
      <c r="U1407" s="92"/>
      <c r="V1407" s="92"/>
    </row>
    <row r="1408" customFormat="false" ht="15" hidden="false" customHeight="false" outlineLevel="0" collapsed="false">
      <c r="A1408" s="93" t="s">
        <v>111</v>
      </c>
      <c r="B1408" s="94" t="s">
        <v>112</v>
      </c>
      <c r="C1408" s="95"/>
      <c r="D1408" s="95"/>
      <c r="E1408" s="95"/>
      <c r="F1408" s="95"/>
      <c r="H1408" s="96" t="s">
        <v>1323</v>
      </c>
      <c r="I1408" s="97"/>
      <c r="J1408" s="97"/>
      <c r="L1408" s="98" t="s">
        <v>1324</v>
      </c>
      <c r="M1408" s="99"/>
      <c r="N1408" s="99"/>
    </row>
    <row r="1409" customFormat="false" ht="15" hidden="false" customHeight="false" outlineLevel="0" collapsed="false">
      <c r="B1409" s="81" t="s">
        <v>116</v>
      </c>
      <c r="C1409" s="81" t="s">
        <v>117</v>
      </c>
      <c r="D1409" s="81" t="s">
        <v>118</v>
      </c>
      <c r="E1409" s="81" t="s">
        <v>119</v>
      </c>
      <c r="F1409" s="81" t="s">
        <v>120</v>
      </c>
      <c r="H1409" s="101" t="s">
        <v>116</v>
      </c>
      <c r="I1409" s="101" t="s">
        <v>119</v>
      </c>
      <c r="J1409" s="101" t="s">
        <v>120</v>
      </c>
      <c r="L1409" s="102" t="s">
        <v>116</v>
      </c>
      <c r="M1409" s="102" t="s">
        <v>119</v>
      </c>
      <c r="N1409" s="102" t="s">
        <v>120</v>
      </c>
    </row>
    <row r="1410" customFormat="false" ht="15" hidden="false" customHeight="false" outlineLevel="0" collapsed="false">
      <c r="A1410" s="104" t="s">
        <v>122</v>
      </c>
      <c r="B1410" s="105" t="n">
        <v>5.75</v>
      </c>
      <c r="C1410" s="106" t="n">
        <f aca="false">$N$1407-$L$1407+1</f>
        <v>30</v>
      </c>
      <c r="D1410" s="107" t="n">
        <v>3.68919</v>
      </c>
      <c r="E1410" s="108" t="n">
        <v>3.85</v>
      </c>
      <c r="F1410" s="109" t="n">
        <f aca="false">ROUND(B1410*E1410,2)</f>
        <v>22.14</v>
      </c>
      <c r="H1410" s="110" t="n">
        <v>5.75</v>
      </c>
      <c r="I1410" s="111" t="n">
        <v>3.85</v>
      </c>
      <c r="J1410" s="112" t="n">
        <f aca="false">ROUND(H1410*I1410,2)</f>
        <v>22.14</v>
      </c>
      <c r="L1410" s="113" t="n">
        <v>5.75</v>
      </c>
      <c r="M1410" s="114" t="n">
        <v>3.85</v>
      </c>
      <c r="N1410" s="115" t="n">
        <f aca="false">ROUND(L1410*M1410,2)</f>
        <v>22.14</v>
      </c>
    </row>
    <row r="1411" customFormat="false" ht="15" hidden="false" customHeight="false" outlineLevel="0" collapsed="false">
      <c r="A1411" s="104" t="s">
        <v>124</v>
      </c>
      <c r="B1411" s="105" t="n">
        <v>5.75</v>
      </c>
      <c r="C1411" s="106" t="n">
        <f aca="false">$N$1407-$L$1407+1</f>
        <v>30</v>
      </c>
      <c r="D1411" s="107" t="n">
        <v>1.31928</v>
      </c>
      <c r="E1411" s="108" t="n">
        <v>1.33</v>
      </c>
      <c r="F1411" s="109" t="n">
        <f aca="false">ROUND(B1411*E1411,2)</f>
        <v>7.65</v>
      </c>
      <c r="H1411" s="110" t="n">
        <v>5.75</v>
      </c>
      <c r="I1411" s="111" t="n">
        <v>1.33</v>
      </c>
      <c r="J1411" s="112" t="n">
        <f aca="false">ROUND(H1411*I1411,2)</f>
        <v>7.65</v>
      </c>
      <c r="L1411" s="113" t="n">
        <v>5.75</v>
      </c>
      <c r="M1411" s="114" t="n">
        <v>1.33</v>
      </c>
      <c r="N1411" s="115" t="n">
        <f aca="false">ROUND(L1411*M1411,2)</f>
        <v>7.65</v>
      </c>
    </row>
    <row r="1412" customFormat="false" ht="15" hidden="false" customHeight="false" outlineLevel="0" collapsed="false">
      <c r="A1412" s="104" t="s">
        <v>615</v>
      </c>
      <c r="B1412" s="105" t="n">
        <f aca="false">IF($P$1412&lt;&gt;"",ROUND(AA1412*(($AB$1412/(1-$P$1412))-29.785)/67.0457,2),IF('Resumen 2.0TD'!$D$3="OPTIMIZAR",AA1412,AA1412))</f>
        <v>178.843</v>
      </c>
      <c r="C1412" s="118"/>
      <c r="D1412" s="107" t="n">
        <v>0.111171</v>
      </c>
      <c r="E1412" s="108" t="n">
        <v>0.13788</v>
      </c>
      <c r="F1412" s="109" t="n">
        <f aca="false">ROUND(B1412*E1412,2)</f>
        <v>24.66</v>
      </c>
      <c r="H1412" s="110" t="n">
        <v>206.077</v>
      </c>
      <c r="I1412" s="111" t="n">
        <v>0.13788</v>
      </c>
      <c r="J1412" s="112" t="n">
        <f aca="false">ROUND(H1412*I1412,2)</f>
        <v>28.41</v>
      </c>
      <c r="L1412" s="113" t="n">
        <v>133.182</v>
      </c>
      <c r="M1412" s="114" t="n">
        <v>0.13788</v>
      </c>
      <c r="N1412" s="115" t="n">
        <f aca="false">ROUND(L1412*M1412,2)</f>
        <v>18.36</v>
      </c>
      <c r="O1412" s="119" t="s">
        <v>616</v>
      </c>
      <c r="P1412" s="79"/>
      <c r="AA1412" s="0" t="n">
        <v>178.843</v>
      </c>
      <c r="AB1412" s="0" t="n">
        <f aca="false">B1410*D1410+B1411*D1411+AA1412*D1412+AA1413*D1413+AA1414*D1414</f>
        <v>82.856824131</v>
      </c>
    </row>
    <row r="1413" customFormat="false" ht="15" hidden="false" customHeight="false" outlineLevel="0" collapsed="false">
      <c r="A1413" s="104" t="s">
        <v>618</v>
      </c>
      <c r="B1413" s="105" t="n">
        <f aca="false">IF($P$1412&lt;&gt;"",ROUND(AA1413*(($AB$1412/(1-$P$1412))-29.785)/67.0457,2),IF('Resumen 2.0TD'!$D$3="OPTIMIZAR",AA1413,AA1413))</f>
        <v>188.452</v>
      </c>
      <c r="C1413" s="118"/>
      <c r="D1413" s="107" t="n">
        <v>0.111171</v>
      </c>
      <c r="E1413" s="108" t="n">
        <v>0.13788</v>
      </c>
      <c r="F1413" s="109" t="n">
        <f aca="false">ROUND(B1413*E1413,2)</f>
        <v>25.98</v>
      </c>
      <c r="H1413" s="110" t="n">
        <v>194.947</v>
      </c>
      <c r="I1413" s="111" t="n">
        <v>0.13788</v>
      </c>
      <c r="J1413" s="112" t="n">
        <f aca="false">ROUND(H1413*I1413,2)</f>
        <v>26.88</v>
      </c>
      <c r="L1413" s="113" t="n">
        <v>161.603</v>
      </c>
      <c r="M1413" s="114" t="n">
        <v>0.13788</v>
      </c>
      <c r="N1413" s="115" t="n">
        <f aca="false">ROUND(L1413*M1413,2)</f>
        <v>22.28</v>
      </c>
      <c r="O1413" s="120" t="s">
        <v>619</v>
      </c>
      <c r="AA1413" s="0" t="n">
        <v>188.452</v>
      </c>
    </row>
    <row r="1414" customFormat="false" ht="15" hidden="false" customHeight="false" outlineLevel="0" collapsed="false">
      <c r="A1414" s="104" t="s">
        <v>621</v>
      </c>
      <c r="B1414" s="105" t="n">
        <f aca="false">IF($P$1412&lt;&gt;"",ROUND(AA1414*(($AB$1412/(1-$P$1412))-29.785)/67.0457,2),IF('Resumen 2.0TD'!$D$3="OPTIMIZAR",AA1414,AA1414))</f>
        <v>118.966</v>
      </c>
      <c r="C1414" s="118"/>
      <c r="D1414" s="107" t="n">
        <v>0.111171</v>
      </c>
      <c r="E1414" s="108" t="n">
        <v>0.13788</v>
      </c>
      <c r="F1414" s="109" t="n">
        <f aca="false">ROUND(B1414*E1414,2)</f>
        <v>16.4</v>
      </c>
      <c r="H1414" s="110" t="n">
        <v>119.909</v>
      </c>
      <c r="I1414" s="111" t="n">
        <v>0.13788</v>
      </c>
      <c r="J1414" s="112" t="n">
        <f aca="false">ROUND(H1414*I1414,2)</f>
        <v>16.53</v>
      </c>
      <c r="L1414" s="113" t="n">
        <v>62.425</v>
      </c>
      <c r="M1414" s="114" t="n">
        <v>0.13788</v>
      </c>
      <c r="N1414" s="115" t="n">
        <f aca="false">ROUND(L1414*M1414,2)</f>
        <v>8.61</v>
      </c>
      <c r="O1414" s="120" t="s">
        <v>622</v>
      </c>
      <c r="AA1414" s="0" t="n">
        <v>118.966</v>
      </c>
    </row>
    <row r="1415" customFormat="false" ht="15" hidden="false" customHeight="false" outlineLevel="0" collapsed="false">
      <c r="A1415" s="104" t="s">
        <v>139</v>
      </c>
      <c r="B1415" s="105" t="n">
        <v>1</v>
      </c>
      <c r="C1415" s="106" t="n">
        <f aca="false">$N$1407-$L$1407+1</f>
        <v>30</v>
      </c>
      <c r="D1415" s="107" t="n">
        <v>0.7989</v>
      </c>
      <c r="E1415" s="108" t="n">
        <v>3</v>
      </c>
      <c r="F1415" s="109" t="n">
        <f aca="false">ROUND(B1415*E1415,2)</f>
        <v>3</v>
      </c>
      <c r="H1415" s="110" t="n">
        <v>1</v>
      </c>
      <c r="I1415" s="111" t="n">
        <v>3</v>
      </c>
      <c r="J1415" s="112" t="n">
        <f aca="false">ROUND(H1415*I1415,2)</f>
        <v>3</v>
      </c>
      <c r="L1415" s="113" t="n">
        <v>1</v>
      </c>
      <c r="M1415" s="114" t="n">
        <v>3</v>
      </c>
      <c r="N1415" s="115" t="n">
        <f aca="false">ROUND(L1415*M1415,2)</f>
        <v>3</v>
      </c>
    </row>
    <row r="1416" customFormat="false" ht="15" hidden="false" customHeight="false" outlineLevel="0" collapsed="false">
      <c r="A1416" s="104" t="s">
        <v>140</v>
      </c>
      <c r="B1416" s="105" t="n">
        <v>30</v>
      </c>
      <c r="C1416" s="106" t="n">
        <f aca="false">$N$1407-$L$1407+1</f>
        <v>30</v>
      </c>
      <c r="D1416" s="107" t="n">
        <v>0.5736</v>
      </c>
      <c r="E1416" s="108" t="n">
        <v>0.01274</v>
      </c>
      <c r="F1416" s="109" t="n">
        <f aca="false">ROUND(B1416*E1416,2)</f>
        <v>0.38</v>
      </c>
      <c r="H1416" s="110" t="n">
        <v>30</v>
      </c>
      <c r="I1416" s="111" t="n">
        <v>0.01274</v>
      </c>
      <c r="J1416" s="112" t="n">
        <f aca="false">ROUND(H1416*I1416,2)</f>
        <v>0.38</v>
      </c>
      <c r="L1416" s="113" t="n">
        <v>30</v>
      </c>
      <c r="M1416" s="114" t="n">
        <v>0.00629</v>
      </c>
      <c r="N1416" s="115" t="n">
        <f aca="false">ROUND(L1416*M1416,2)</f>
        <v>0.19</v>
      </c>
    </row>
    <row r="1417" customFormat="false" ht="15" hidden="false" customHeight="false" outlineLevel="0" collapsed="false">
      <c r="A1417" s="104" t="s">
        <v>141</v>
      </c>
      <c r="B1417" s="105" t="n">
        <v>4.96</v>
      </c>
      <c r="C1417" s="118"/>
      <c r="D1417" s="107" t="n">
        <v>0.27312</v>
      </c>
      <c r="E1417" s="108" t="n">
        <v>1</v>
      </c>
      <c r="F1417" s="109" t="n">
        <f aca="false">ROUND(B1417*E1417,2)</f>
        <v>4.96</v>
      </c>
      <c r="H1417" s="110" t="n">
        <v>5.2</v>
      </c>
      <c r="I1417" s="111" t="n">
        <v>1</v>
      </c>
      <c r="J1417" s="112" t="n">
        <f aca="false">ROUND(H1417*I1417,2)</f>
        <v>5.2</v>
      </c>
      <c r="L1417" s="113" t="n">
        <v>4.05</v>
      </c>
      <c r="M1417" s="114" t="n">
        <v>1</v>
      </c>
      <c r="N1417" s="115" t="n">
        <f aca="false">ROUND(L1417*M1417,2)</f>
        <v>4.05</v>
      </c>
    </row>
    <row r="1418" customFormat="false" ht="15" hidden="false" customHeight="false" outlineLevel="0" collapsed="false">
      <c r="A1418" s="121" t="s">
        <v>142</v>
      </c>
      <c r="F1418" s="122" t="n">
        <f aca="false">ROUND((SUM(F1410:F1417)-F1417)*1.1+F1417,2)</f>
        <v>115.19</v>
      </c>
      <c r="J1418" s="123" t="n">
        <f aca="false">ROUND(SUM(J1410:J1417),2)</f>
        <v>110.19</v>
      </c>
      <c r="N1418" s="124" t="n">
        <f aca="false">ROUND(SUM(N1410:N1417),2)</f>
        <v>86.28</v>
      </c>
    </row>
    <row r="1419" customFormat="false" ht="15" hidden="false" customHeight="false" outlineLevel="0" collapsed="false">
      <c r="A1419" s="93" t="s">
        <v>143</v>
      </c>
      <c r="B1419" s="125" t="n">
        <f aca="false">IF((F1414+F1413+F1412+F1410+F1411)=0,"",((F1414+F1413+F1412+F1410+F1411)-$AB$1412)/(F1414+F1413+F1412+F1410+F1411))</f>
        <v>0.144306267365486</v>
      </c>
      <c r="D1419" s="126" t="str">
        <f aca="false">IF(B1419="","SIN PC",IF(B1419&gt;=0.3,"APROBAR",IF(B1419&gt;=0.2,"REVISAR","RECHAZAR")))</f>
        <v>RECHAZAR</v>
      </c>
      <c r="E1419" s="126"/>
      <c r="F1419" s="126"/>
      <c r="AD1419" s="0" t="n">
        <f aca="false">SUM(F1412:F1414)-67.0457</f>
        <v>-0.00570000000000448</v>
      </c>
    </row>
    <row r="1421" customFormat="false" ht="15" hidden="false" customHeight="false" outlineLevel="0" collapsed="false">
      <c r="A1421" s="89" t="s">
        <v>1325</v>
      </c>
      <c r="B1421" s="89"/>
      <c r="C1421" s="89"/>
      <c r="D1421" s="89"/>
      <c r="E1421" s="89"/>
      <c r="F1421" s="89"/>
      <c r="H1421" s="89" t="s">
        <v>761</v>
      </c>
      <c r="I1421" s="89"/>
      <c r="J1421" s="89"/>
      <c r="K1421" s="89"/>
      <c r="L1421" s="90" t="n">
        <v>46113</v>
      </c>
      <c r="M1421" s="91" t="s">
        <v>608</v>
      </c>
      <c r="N1421" s="90" t="n">
        <v>46142</v>
      </c>
      <c r="R1421" s="92" t="s">
        <v>110</v>
      </c>
      <c r="S1421" s="92"/>
      <c r="T1421" s="92"/>
      <c r="U1421" s="92"/>
      <c r="V1421" s="92"/>
    </row>
    <row r="1422" customFormat="false" ht="15" hidden="false" customHeight="false" outlineLevel="0" collapsed="false">
      <c r="A1422" s="93" t="s">
        <v>111</v>
      </c>
      <c r="B1422" s="94" t="s">
        <v>112</v>
      </c>
      <c r="C1422" s="95"/>
      <c r="D1422" s="95"/>
      <c r="E1422" s="95"/>
      <c r="F1422" s="95"/>
      <c r="H1422" s="96" t="s">
        <v>762</v>
      </c>
      <c r="I1422" s="97"/>
      <c r="J1422" s="97"/>
      <c r="L1422" s="98" t="s">
        <v>763</v>
      </c>
      <c r="M1422" s="99"/>
      <c r="N1422" s="99"/>
      <c r="R1422" s="100" t="s">
        <v>764</v>
      </c>
    </row>
    <row r="1423" customFormat="false" ht="15" hidden="false" customHeight="false" outlineLevel="0" collapsed="false">
      <c r="B1423" s="81" t="s">
        <v>116</v>
      </c>
      <c r="C1423" s="81" t="s">
        <v>117</v>
      </c>
      <c r="D1423" s="81" t="s">
        <v>118</v>
      </c>
      <c r="E1423" s="81" t="s">
        <v>119</v>
      </c>
      <c r="F1423" s="81" t="s">
        <v>120</v>
      </c>
      <c r="H1423" s="101" t="s">
        <v>116</v>
      </c>
      <c r="I1423" s="101" t="s">
        <v>119</v>
      </c>
      <c r="J1423" s="101" t="s">
        <v>120</v>
      </c>
      <c r="L1423" s="102" t="s">
        <v>116</v>
      </c>
      <c r="M1423" s="102" t="s">
        <v>119</v>
      </c>
      <c r="N1423" s="102" t="s">
        <v>120</v>
      </c>
      <c r="R1423" s="103" t="s">
        <v>765</v>
      </c>
    </row>
    <row r="1424" customFormat="false" ht="15" hidden="false" customHeight="false" outlineLevel="0" collapsed="false">
      <c r="A1424" s="104" t="s">
        <v>122</v>
      </c>
      <c r="B1424" s="105" t="n">
        <v>5.5</v>
      </c>
      <c r="C1424" s="106" t="n">
        <f aca="false">$N$1421-$L$1421+1</f>
        <v>30</v>
      </c>
      <c r="D1424" s="107" t="n">
        <v>3.68919</v>
      </c>
      <c r="E1424" s="108" t="n">
        <v>3.85</v>
      </c>
      <c r="F1424" s="109" t="n">
        <f aca="false">ROUND(B1424*E1424,2)</f>
        <v>21.18</v>
      </c>
      <c r="H1424" s="110" t="n">
        <v>5.5</v>
      </c>
      <c r="I1424" s="111" t="n">
        <v>3.85</v>
      </c>
      <c r="J1424" s="112" t="n">
        <f aca="false">ROUND(H1424*I1424,2)</f>
        <v>21.18</v>
      </c>
      <c r="L1424" s="113" t="n">
        <v>5.5</v>
      </c>
      <c r="M1424" s="114" t="n">
        <v>3.85</v>
      </c>
      <c r="N1424" s="115" t="n">
        <f aca="false">ROUND(L1424*M1424,2)</f>
        <v>21.18</v>
      </c>
      <c r="R1424" s="116" t="s">
        <v>766</v>
      </c>
    </row>
    <row r="1425" customFormat="false" ht="15" hidden="false" customHeight="false" outlineLevel="0" collapsed="false">
      <c r="A1425" s="104" t="s">
        <v>124</v>
      </c>
      <c r="B1425" s="105" t="n">
        <v>5.5</v>
      </c>
      <c r="C1425" s="106" t="n">
        <f aca="false">$N$1421-$L$1421+1</f>
        <v>30</v>
      </c>
      <c r="D1425" s="107" t="n">
        <v>1.31928</v>
      </c>
      <c r="E1425" s="108" t="n">
        <v>1.33</v>
      </c>
      <c r="F1425" s="109" t="n">
        <f aca="false">ROUND(B1425*E1425,2)</f>
        <v>7.32</v>
      </c>
      <c r="H1425" s="110" t="n">
        <v>5.5</v>
      </c>
      <c r="I1425" s="111" t="n">
        <v>1.33</v>
      </c>
      <c r="J1425" s="112" t="n">
        <f aca="false">ROUND(H1425*I1425,2)</f>
        <v>7.32</v>
      </c>
      <c r="L1425" s="113" t="n">
        <v>5.5</v>
      </c>
      <c r="M1425" s="114" t="n">
        <v>1.33</v>
      </c>
      <c r="N1425" s="115" t="n">
        <f aca="false">ROUND(L1425*M1425,2)</f>
        <v>7.32</v>
      </c>
    </row>
    <row r="1426" customFormat="false" ht="15" hidden="false" customHeight="false" outlineLevel="0" collapsed="false">
      <c r="A1426" s="104" t="s">
        <v>615</v>
      </c>
      <c r="B1426" s="105" t="n">
        <f aca="false">IF($P$1426&lt;&gt;"",ROUND(AA1426*(($AB$1426/(1-$P$1426))-28.49)/101.3208,2),IF('Resumen 2.0TD'!$D$3="OPTIMIZAR",AA1426,AA1426))</f>
        <v>131.537</v>
      </c>
      <c r="C1426" s="118"/>
      <c r="D1426" s="107" t="n">
        <v>0.111171</v>
      </c>
      <c r="E1426" s="108" t="n">
        <v>0.13788</v>
      </c>
      <c r="F1426" s="109" t="n">
        <f aca="false">ROUND(B1426*E1426,2)</f>
        <v>18.14</v>
      </c>
      <c r="H1426" s="110" t="n">
        <v>383.007</v>
      </c>
      <c r="I1426" s="111" t="n">
        <v>0.13788</v>
      </c>
      <c r="J1426" s="112" t="n">
        <f aca="false">ROUND(H1426*I1426,2)</f>
        <v>52.81</v>
      </c>
      <c r="L1426" s="113" t="n">
        <v>197.212</v>
      </c>
      <c r="M1426" s="114" t="n">
        <v>0.13788</v>
      </c>
      <c r="N1426" s="115" t="n">
        <f aca="false">ROUND(L1426*M1426,2)</f>
        <v>27.19</v>
      </c>
      <c r="O1426" s="119" t="s">
        <v>616</v>
      </c>
      <c r="P1426" s="79"/>
      <c r="AA1426" s="0" t="n">
        <v>131.537</v>
      </c>
      <c r="AB1426" s="0" t="n">
        <f aca="false">B1424*D1424+B1425*D1425+AA1426*D1426+AA1427*D1427+AA1428*D1428</f>
        <v>109.240372008</v>
      </c>
    </row>
    <row r="1427" customFormat="false" ht="15" hidden="false" customHeight="false" outlineLevel="0" collapsed="false">
      <c r="A1427" s="104" t="s">
        <v>618</v>
      </c>
      <c r="B1427" s="105" t="n">
        <f aca="false">IF($P$1426&lt;&gt;"",ROUND(AA1427*(($AB$1426/(1-$P$1426))-28.49)/101.3208,2),IF('Resumen 2.0TD'!$D$3="OPTIMIZAR",AA1427,AA1427))</f>
        <v>180.241</v>
      </c>
      <c r="C1427" s="118"/>
      <c r="D1427" s="107" t="n">
        <v>0.111171</v>
      </c>
      <c r="E1427" s="108" t="n">
        <v>0.13788</v>
      </c>
      <c r="F1427" s="109" t="n">
        <f aca="false">ROUND(B1427*E1427,2)</f>
        <v>24.85</v>
      </c>
      <c r="H1427" s="110" t="n">
        <v>376.412</v>
      </c>
      <c r="I1427" s="111" t="n">
        <v>0.13788</v>
      </c>
      <c r="J1427" s="112" t="n">
        <f aca="false">ROUND(H1427*I1427,2)</f>
        <v>51.9</v>
      </c>
      <c r="L1427" s="113" t="n">
        <v>187.009</v>
      </c>
      <c r="M1427" s="114" t="n">
        <v>0.13788</v>
      </c>
      <c r="N1427" s="115" t="n">
        <f aca="false">ROUND(L1427*M1427,2)</f>
        <v>25.78</v>
      </c>
      <c r="O1427" s="120" t="s">
        <v>619</v>
      </c>
      <c r="R1427" s="117" t="s">
        <v>620</v>
      </c>
      <c r="AA1427" s="0" t="n">
        <v>180.241</v>
      </c>
    </row>
    <row r="1428" customFormat="false" ht="15" hidden="false" customHeight="false" outlineLevel="0" collapsed="false">
      <c r="A1428" s="104" t="s">
        <v>621</v>
      </c>
      <c r="B1428" s="105" t="n">
        <f aca="false">IF($P$1426&lt;&gt;"",ROUND(AA1428*(($AB$1426/(1-$P$1426))-28.49)/101.3208,2),IF('Resumen 2.0TD'!$D$3="OPTIMIZAR",AA1428,AA1428))</f>
        <v>423.07</v>
      </c>
      <c r="C1428" s="118"/>
      <c r="D1428" s="107" t="n">
        <v>0.111171</v>
      </c>
      <c r="E1428" s="108" t="n">
        <v>0.13788</v>
      </c>
      <c r="F1428" s="109" t="n">
        <f aca="false">ROUND(B1428*E1428,2)</f>
        <v>58.33</v>
      </c>
      <c r="H1428" s="110" t="n">
        <v>918.002</v>
      </c>
      <c r="I1428" s="111" t="n">
        <v>0.13788</v>
      </c>
      <c r="J1428" s="112" t="n">
        <f aca="false">ROUND(H1428*I1428,2)</f>
        <v>126.57</v>
      </c>
      <c r="L1428" s="113" t="n">
        <v>440.662</v>
      </c>
      <c r="M1428" s="114" t="n">
        <v>0.13788</v>
      </c>
      <c r="N1428" s="115" t="n">
        <f aca="false">ROUND(L1428*M1428,2)</f>
        <v>60.76</v>
      </c>
      <c r="O1428" s="120" t="s">
        <v>622</v>
      </c>
      <c r="AA1428" s="0" t="n">
        <v>423.07</v>
      </c>
    </row>
    <row r="1429" customFormat="false" ht="15" hidden="false" customHeight="false" outlineLevel="0" collapsed="false">
      <c r="A1429" s="104" t="s">
        <v>139</v>
      </c>
      <c r="B1429" s="105" t="n">
        <v>1</v>
      </c>
      <c r="C1429" s="106" t="n">
        <f aca="false">$N$1421-$L$1421+1</f>
        <v>30</v>
      </c>
      <c r="D1429" s="107" t="n">
        <v>0.7989</v>
      </c>
      <c r="E1429" s="108" t="n">
        <v>3</v>
      </c>
      <c r="F1429" s="109" t="n">
        <f aca="false">ROUND(B1429*E1429,2)</f>
        <v>3</v>
      </c>
      <c r="H1429" s="110" t="n">
        <v>1</v>
      </c>
      <c r="I1429" s="111" t="n">
        <v>3</v>
      </c>
      <c r="J1429" s="112" t="n">
        <f aca="false">ROUND(H1429*I1429,2)</f>
        <v>3</v>
      </c>
      <c r="L1429" s="113" t="n">
        <v>1</v>
      </c>
      <c r="M1429" s="114" t="n">
        <v>3</v>
      </c>
      <c r="N1429" s="115" t="n">
        <f aca="false">ROUND(L1429*M1429,2)</f>
        <v>3</v>
      </c>
    </row>
    <row r="1430" customFormat="false" ht="15" hidden="false" customHeight="false" outlineLevel="0" collapsed="false">
      <c r="A1430" s="104" t="s">
        <v>140</v>
      </c>
      <c r="B1430" s="105" t="n">
        <v>30</v>
      </c>
      <c r="C1430" s="106" t="n">
        <f aca="false">$N$1421-$L$1421+1</f>
        <v>30</v>
      </c>
      <c r="D1430" s="107" t="n">
        <v>0.5736</v>
      </c>
      <c r="E1430" s="108" t="n">
        <v>0.01274</v>
      </c>
      <c r="F1430" s="109" t="n">
        <f aca="false">ROUND(B1430*E1430,2)</f>
        <v>0.38</v>
      </c>
      <c r="H1430" s="110" t="n">
        <v>30</v>
      </c>
      <c r="I1430" s="111" t="n">
        <v>0.01274</v>
      </c>
      <c r="J1430" s="112" t="n">
        <f aca="false">ROUND(H1430*I1430,2)</f>
        <v>0.38</v>
      </c>
      <c r="L1430" s="113" t="n">
        <v>30</v>
      </c>
      <c r="M1430" s="114" t="n">
        <v>0.00629</v>
      </c>
      <c r="N1430" s="115" t="n">
        <f aca="false">ROUND(L1430*M1430,2)</f>
        <v>0.19</v>
      </c>
    </row>
    <row r="1431" customFormat="false" ht="15" hidden="false" customHeight="false" outlineLevel="0" collapsed="false">
      <c r="A1431" s="104" t="s">
        <v>141</v>
      </c>
      <c r="B1431" s="105" t="n">
        <v>6.64</v>
      </c>
      <c r="C1431" s="118"/>
      <c r="D1431" s="107" t="n">
        <v>0.27312</v>
      </c>
      <c r="E1431" s="108" t="n">
        <v>1</v>
      </c>
      <c r="F1431" s="109" t="n">
        <f aca="false">ROUND(B1431*E1431,2)</f>
        <v>6.64</v>
      </c>
      <c r="H1431" s="110" t="n">
        <v>13.28</v>
      </c>
      <c r="I1431" s="111" t="n">
        <v>1</v>
      </c>
      <c r="J1431" s="112" t="n">
        <f aca="false">ROUND(H1431*I1431,2)</f>
        <v>13.28</v>
      </c>
      <c r="L1431" s="113" t="n">
        <v>7.28</v>
      </c>
      <c r="M1431" s="114" t="n">
        <v>1</v>
      </c>
      <c r="N1431" s="115" t="n">
        <f aca="false">ROUND(L1431*M1431,2)</f>
        <v>7.28</v>
      </c>
    </row>
    <row r="1432" customFormat="false" ht="15" hidden="false" customHeight="false" outlineLevel="0" collapsed="false">
      <c r="A1432" s="121" t="s">
        <v>142</v>
      </c>
      <c r="F1432" s="122" t="n">
        <f aca="false">ROUND((SUM(F1424:F1431)-F1431)*1.1+F1431,2)</f>
        <v>153.16</v>
      </c>
      <c r="J1432" s="123" t="n">
        <f aca="false">ROUND(SUM(J1424:J1431),2)</f>
        <v>276.44</v>
      </c>
      <c r="N1432" s="124" t="n">
        <f aca="false">ROUND(SUM(N1424:N1431),2)</f>
        <v>152.7</v>
      </c>
    </row>
    <row r="1433" customFormat="false" ht="15" hidden="false" customHeight="false" outlineLevel="0" collapsed="false">
      <c r="A1433" s="93" t="s">
        <v>143</v>
      </c>
      <c r="B1433" s="125" t="n">
        <f aca="false">IF((F1428+F1427+F1426+F1424+F1425)=0,"",((F1428+F1427+F1426+F1424+F1425)-$AB$1426)/(F1428+F1427+F1426+F1424+F1425))</f>
        <v>0.158524325928208</v>
      </c>
      <c r="D1433" s="126" t="str">
        <f aca="false">IF(B1433="","SIN PC",IF(B1433&gt;=0.3,"APROBAR",IF(B1433&gt;=0.2,"REVISAR","RECHAZAR")))</f>
        <v>RECHAZAR</v>
      </c>
      <c r="E1433" s="126"/>
      <c r="F1433" s="126"/>
      <c r="AD1433" s="0" t="n">
        <f aca="false">SUM(F1426:F1428)-101.3208</f>
        <v>-0.000800000000012346</v>
      </c>
    </row>
    <row r="1435" customFormat="false" ht="15" hidden="false" customHeight="false" outlineLevel="0" collapsed="false">
      <c r="A1435" s="89" t="s">
        <v>1326</v>
      </c>
      <c r="B1435" s="89"/>
      <c r="C1435" s="89"/>
      <c r="D1435" s="89"/>
      <c r="E1435" s="89"/>
      <c r="F1435" s="89"/>
      <c r="H1435" s="89" t="s">
        <v>1327</v>
      </c>
      <c r="I1435" s="89"/>
      <c r="J1435" s="89"/>
      <c r="K1435" s="89"/>
      <c r="L1435" s="90" t="n">
        <v>46113</v>
      </c>
      <c r="M1435" s="91" t="s">
        <v>608</v>
      </c>
      <c r="N1435" s="90" t="n">
        <v>46142</v>
      </c>
      <c r="R1435" s="92" t="s">
        <v>110</v>
      </c>
      <c r="S1435" s="92"/>
      <c r="T1435" s="92"/>
      <c r="U1435" s="92"/>
      <c r="V1435" s="92"/>
    </row>
    <row r="1436" customFormat="false" ht="15" hidden="false" customHeight="false" outlineLevel="0" collapsed="false">
      <c r="A1436" s="93" t="s">
        <v>111</v>
      </c>
      <c r="B1436" s="94" t="s">
        <v>112</v>
      </c>
      <c r="C1436" s="95"/>
      <c r="D1436" s="95"/>
      <c r="E1436" s="95"/>
      <c r="F1436" s="95"/>
      <c r="H1436" s="96" t="s">
        <v>1328</v>
      </c>
      <c r="I1436" s="97"/>
      <c r="J1436" s="97"/>
      <c r="L1436" s="98" t="s">
        <v>1329</v>
      </c>
      <c r="M1436" s="99"/>
      <c r="N1436" s="99"/>
      <c r="R1436" s="100" t="s">
        <v>1330</v>
      </c>
    </row>
    <row r="1437" customFormat="false" ht="15" hidden="false" customHeight="false" outlineLevel="0" collapsed="false">
      <c r="B1437" s="81" t="s">
        <v>116</v>
      </c>
      <c r="C1437" s="81" t="s">
        <v>117</v>
      </c>
      <c r="D1437" s="81" t="s">
        <v>118</v>
      </c>
      <c r="E1437" s="81" t="s">
        <v>119</v>
      </c>
      <c r="F1437" s="81" t="s">
        <v>120</v>
      </c>
      <c r="H1437" s="101" t="s">
        <v>116</v>
      </c>
      <c r="I1437" s="101" t="s">
        <v>119</v>
      </c>
      <c r="J1437" s="101" t="s">
        <v>120</v>
      </c>
      <c r="L1437" s="102" t="s">
        <v>116</v>
      </c>
      <c r="M1437" s="102" t="s">
        <v>119</v>
      </c>
      <c r="N1437" s="102" t="s">
        <v>120</v>
      </c>
      <c r="R1437" s="103" t="s">
        <v>765</v>
      </c>
    </row>
    <row r="1438" customFormat="false" ht="15" hidden="false" customHeight="false" outlineLevel="0" collapsed="false">
      <c r="A1438" s="104" t="s">
        <v>122</v>
      </c>
      <c r="B1438" s="105" t="n">
        <v>12</v>
      </c>
      <c r="C1438" s="106" t="n">
        <f aca="false">$N$1435-$L$1435+1</f>
        <v>30</v>
      </c>
      <c r="D1438" s="107" t="n">
        <v>3.68919</v>
      </c>
      <c r="E1438" s="108" t="n">
        <v>4.17</v>
      </c>
      <c r="F1438" s="109" t="n">
        <f aca="false">ROUND(B1438*E1438,2)</f>
        <v>50.04</v>
      </c>
      <c r="H1438" s="110" t="n">
        <v>12</v>
      </c>
      <c r="I1438" s="111" t="n">
        <v>4.17</v>
      </c>
      <c r="J1438" s="112" t="n">
        <f aca="false">ROUND(H1438*I1438,2)</f>
        <v>50.04</v>
      </c>
      <c r="L1438" s="113" t="n">
        <v>12</v>
      </c>
      <c r="M1438" s="114" t="n">
        <v>4.17</v>
      </c>
      <c r="N1438" s="115" t="n">
        <f aca="false">ROUND(L1438*M1438,2)</f>
        <v>50.04</v>
      </c>
      <c r="R1438" s="116" t="s">
        <v>1331</v>
      </c>
    </row>
    <row r="1439" customFormat="false" ht="15" hidden="false" customHeight="false" outlineLevel="0" collapsed="false">
      <c r="A1439" s="104" t="s">
        <v>124</v>
      </c>
      <c r="B1439" s="105" t="n">
        <v>12</v>
      </c>
      <c r="C1439" s="106" t="n">
        <f aca="false">$N$1435-$L$1435+1</f>
        <v>30</v>
      </c>
      <c r="D1439" s="107" t="n">
        <v>1.31928</v>
      </c>
      <c r="E1439" s="108" t="n">
        <v>1.37</v>
      </c>
      <c r="F1439" s="109" t="n">
        <f aca="false">ROUND(B1439*E1439,2)</f>
        <v>16.44</v>
      </c>
      <c r="H1439" s="110" t="n">
        <v>12</v>
      </c>
      <c r="I1439" s="111" t="n">
        <v>1.37</v>
      </c>
      <c r="J1439" s="112" t="n">
        <f aca="false">ROUND(H1439*I1439,2)</f>
        <v>16.44</v>
      </c>
      <c r="L1439" s="113" t="n">
        <v>12</v>
      </c>
      <c r="M1439" s="114" t="n">
        <v>1.37</v>
      </c>
      <c r="N1439" s="115" t="n">
        <f aca="false">ROUND(L1439*M1439,2)</f>
        <v>16.44</v>
      </c>
    </row>
    <row r="1440" customFormat="false" ht="15" hidden="false" customHeight="false" outlineLevel="0" collapsed="false">
      <c r="A1440" s="104" t="s">
        <v>615</v>
      </c>
      <c r="B1440" s="105" t="n">
        <f aca="false">IF($P$1440&lt;&gt;"",ROUND(AA1440*(($AB$1440/(1-$P$1440))-66.48)/409.7744,2),IF('Resumen 2.0TD'!$D$3="OPTIMIZAR",AA1440,AA1440))</f>
        <v>722.551</v>
      </c>
      <c r="C1440" s="118"/>
      <c r="D1440" s="107" t="n">
        <v>0.111171</v>
      </c>
      <c r="E1440" s="108" t="n">
        <v>0.135</v>
      </c>
      <c r="F1440" s="109" t="n">
        <f aca="false">ROUND(B1440*E1440,2)</f>
        <v>97.54</v>
      </c>
      <c r="H1440" s="110" t="n">
        <v>607.428</v>
      </c>
      <c r="I1440" s="111" t="n">
        <v>0.14937</v>
      </c>
      <c r="J1440" s="112" t="n">
        <f aca="false">ROUND(H1440*I1440,2)</f>
        <v>90.73</v>
      </c>
      <c r="L1440" s="113" t="n">
        <v>678.467</v>
      </c>
      <c r="M1440" s="114" t="n">
        <v>0.14937</v>
      </c>
      <c r="N1440" s="115" t="n">
        <f aca="false">ROUND(L1440*M1440,2)</f>
        <v>101.34</v>
      </c>
      <c r="O1440" s="119" t="s">
        <v>616</v>
      </c>
      <c r="P1440" s="79"/>
      <c r="AA1440" s="0" t="n">
        <v>722.551</v>
      </c>
      <c r="AB1440" s="0" t="n">
        <f aca="false">B1438*D1438+B1439*D1439+AA1440*D1440+AA1441*D1441+AA1442*D1442</f>
        <v>397.546313586</v>
      </c>
    </row>
    <row r="1441" customFormat="false" ht="15" hidden="false" customHeight="false" outlineLevel="0" collapsed="false">
      <c r="A1441" s="104" t="s">
        <v>618</v>
      </c>
      <c r="B1441" s="105" t="n">
        <f aca="false">IF($P$1440&lt;&gt;"",ROUND(AA1441*(($AB$1440/(1-$P$1440))-66.48)/409.7744,2),IF('Resumen 2.0TD'!$D$3="OPTIMIZAR",AA1441,AA1441))</f>
        <v>884.765</v>
      </c>
      <c r="C1441" s="118"/>
      <c r="D1441" s="107" t="n">
        <v>0.111171</v>
      </c>
      <c r="E1441" s="108" t="n">
        <v>0.135</v>
      </c>
      <c r="F1441" s="109" t="n">
        <f aca="false">ROUND(B1441*E1441,2)</f>
        <v>119.44</v>
      </c>
      <c r="H1441" s="110" t="n">
        <v>795.015</v>
      </c>
      <c r="I1441" s="111" t="n">
        <v>0.14937</v>
      </c>
      <c r="J1441" s="112" t="n">
        <f aca="false">ROUND(H1441*I1441,2)</f>
        <v>118.75</v>
      </c>
      <c r="L1441" s="113" t="n">
        <v>943.97</v>
      </c>
      <c r="M1441" s="114" t="n">
        <v>0.14937</v>
      </c>
      <c r="N1441" s="115" t="n">
        <f aca="false">ROUND(L1441*M1441,2)</f>
        <v>141</v>
      </c>
      <c r="O1441" s="120" t="s">
        <v>619</v>
      </c>
      <c r="R1441" s="117" t="s">
        <v>620</v>
      </c>
      <c r="AA1441" s="0" t="n">
        <v>884.765</v>
      </c>
    </row>
    <row r="1442" customFormat="false" ht="15" hidden="false" customHeight="false" outlineLevel="0" collapsed="false">
      <c r="A1442" s="104" t="s">
        <v>621</v>
      </c>
      <c r="B1442" s="105" t="n">
        <f aca="false">IF($P$1440&lt;&gt;"",ROUND(AA1442*(($AB$1440/(1-$P$1440))-66.48)/409.7744,2),IF('Resumen 2.0TD'!$D$3="OPTIMIZAR",AA1442,AA1442))</f>
        <v>1428.05</v>
      </c>
      <c r="C1442" s="118"/>
      <c r="D1442" s="107" t="n">
        <v>0.111171</v>
      </c>
      <c r="E1442" s="108" t="n">
        <v>0.135</v>
      </c>
      <c r="F1442" s="109" t="n">
        <f aca="false">ROUND(B1442*E1442,2)</f>
        <v>192.79</v>
      </c>
      <c r="H1442" s="110" t="n">
        <v>1451.37</v>
      </c>
      <c r="I1442" s="111" t="n">
        <v>0.14937</v>
      </c>
      <c r="J1442" s="112" t="n">
        <f aca="false">ROUND(H1442*I1442,2)</f>
        <v>216.79</v>
      </c>
      <c r="L1442" s="113" t="n">
        <v>1786.71</v>
      </c>
      <c r="M1442" s="114" t="n">
        <v>0.14937</v>
      </c>
      <c r="N1442" s="115" t="n">
        <f aca="false">ROUND(L1442*M1442,2)</f>
        <v>266.88</v>
      </c>
      <c r="O1442" s="120" t="s">
        <v>622</v>
      </c>
      <c r="AA1442" s="0" t="n">
        <v>1428.05</v>
      </c>
    </row>
    <row r="1443" customFormat="false" ht="15" hidden="false" customHeight="false" outlineLevel="0" collapsed="false">
      <c r="A1443" s="104" t="s">
        <v>139</v>
      </c>
      <c r="B1443" s="105" t="n">
        <v>1</v>
      </c>
      <c r="C1443" s="106" t="n">
        <f aca="false">$N$1435-$L$1435+1</f>
        <v>30</v>
      </c>
      <c r="D1443" s="107" t="n">
        <v>0.7989</v>
      </c>
      <c r="E1443" s="108" t="n">
        <v>4</v>
      </c>
      <c r="F1443" s="109" t="n">
        <f aca="false">ROUND(B1443*E1443,2)</f>
        <v>4</v>
      </c>
      <c r="H1443" s="110" t="n">
        <v>1</v>
      </c>
      <c r="I1443" s="111" t="n">
        <v>4</v>
      </c>
      <c r="J1443" s="112" t="n">
        <f aca="false">ROUND(H1443*I1443,2)</f>
        <v>4</v>
      </c>
      <c r="L1443" s="113" t="n">
        <v>1</v>
      </c>
      <c r="M1443" s="114" t="n">
        <v>4</v>
      </c>
      <c r="N1443" s="115" t="n">
        <f aca="false">ROUND(L1443*M1443,2)</f>
        <v>4</v>
      </c>
    </row>
    <row r="1444" customFormat="false" ht="15" hidden="false" customHeight="false" outlineLevel="0" collapsed="false">
      <c r="A1444" s="104" t="s">
        <v>140</v>
      </c>
      <c r="B1444" s="105" t="n">
        <v>30</v>
      </c>
      <c r="C1444" s="106" t="n">
        <f aca="false">$N$1435-$L$1435+1</f>
        <v>30</v>
      </c>
      <c r="D1444" s="107" t="n">
        <v>0.5736</v>
      </c>
      <c r="E1444" s="108" t="n">
        <v>0.01274</v>
      </c>
      <c r="F1444" s="109" t="n">
        <f aca="false">ROUND(B1444*E1444,2)</f>
        <v>0.38</v>
      </c>
      <c r="H1444" s="110" t="n">
        <v>30</v>
      </c>
      <c r="I1444" s="111" t="n">
        <v>0.01274</v>
      </c>
      <c r="J1444" s="112" t="n">
        <f aca="false">ROUND(H1444*I1444,2)</f>
        <v>0.38</v>
      </c>
      <c r="L1444" s="113" t="n">
        <v>30</v>
      </c>
      <c r="M1444" s="114" t="n">
        <v>0.01274</v>
      </c>
      <c r="N1444" s="115" t="n">
        <f aca="false">ROUND(L1444*M1444,2)</f>
        <v>0.38</v>
      </c>
    </row>
    <row r="1445" customFormat="false" ht="15" hidden="false" customHeight="false" outlineLevel="0" collapsed="false">
      <c r="A1445" s="104" t="s">
        <v>141</v>
      </c>
      <c r="B1445" s="105" t="n">
        <v>25.8</v>
      </c>
      <c r="C1445" s="118"/>
      <c r="D1445" s="107" t="n">
        <v>0.27312</v>
      </c>
      <c r="E1445" s="108" t="n">
        <v>1</v>
      </c>
      <c r="F1445" s="109" t="n">
        <f aca="false">ROUND(B1445*E1445,2)</f>
        <v>25.8</v>
      </c>
      <c r="H1445" s="110" t="n">
        <v>25.19</v>
      </c>
      <c r="I1445" s="111" t="n">
        <v>1</v>
      </c>
      <c r="J1445" s="112" t="n">
        <f aca="false">ROUND(H1445*I1445,2)</f>
        <v>25.19</v>
      </c>
      <c r="L1445" s="113" t="n">
        <v>28.42</v>
      </c>
      <c r="M1445" s="114" t="n">
        <v>1</v>
      </c>
      <c r="N1445" s="115" t="n">
        <f aca="false">ROUND(L1445*M1445,2)</f>
        <v>28.42</v>
      </c>
    </row>
    <row r="1446" customFormat="false" ht="15" hidden="false" customHeight="false" outlineLevel="0" collapsed="false">
      <c r="A1446" s="121" t="s">
        <v>142</v>
      </c>
      <c r="F1446" s="122" t="n">
        <f aca="false">ROUND((SUM(F1438:F1445)-F1445)*1.1+F1445,2)</f>
        <v>554.49</v>
      </c>
      <c r="J1446" s="123" t="n">
        <f aca="false">ROUND(SUM(J1438:J1445),2)</f>
        <v>522.32</v>
      </c>
      <c r="N1446" s="124" t="n">
        <f aca="false">ROUND(SUM(N1438:N1445),2)</f>
        <v>608.5</v>
      </c>
    </row>
    <row r="1447" customFormat="false" ht="15" hidden="false" customHeight="false" outlineLevel="0" collapsed="false">
      <c r="A1447" s="93" t="s">
        <v>143</v>
      </c>
      <c r="B1447" s="125" t="n">
        <f aca="false">IF((F1442+F1441+F1440+F1438+F1439)=0,"",((F1442+F1441+F1440+F1438+F1439)-$AB$1440)/(F1442+F1441+F1440+F1438+F1439))</f>
        <v>0.165257084333858</v>
      </c>
      <c r="D1447" s="126" t="str">
        <f aca="false">IF(B1447="","SIN PC",IF(B1447&gt;=0.3,"APROBAR",IF(B1447&gt;=0.2,"REVISAR","RECHAZAR")))</f>
        <v>RECHAZAR</v>
      </c>
      <c r="E1447" s="126"/>
      <c r="F1447" s="126"/>
      <c r="AD1447" s="0" t="n">
        <f aca="false">SUM(F1440:F1442)-409.7744</f>
        <v>-0.00440000000003238</v>
      </c>
    </row>
    <row r="1449" customFormat="false" ht="15" hidden="false" customHeight="false" outlineLevel="0" collapsed="false">
      <c r="A1449" s="89" t="s">
        <v>1332</v>
      </c>
      <c r="B1449" s="89"/>
      <c r="C1449" s="89"/>
      <c r="D1449" s="89"/>
      <c r="E1449" s="89"/>
      <c r="F1449" s="89"/>
      <c r="H1449" s="89" t="s">
        <v>1333</v>
      </c>
      <c r="I1449" s="89"/>
      <c r="J1449" s="89"/>
      <c r="K1449" s="89"/>
      <c r="L1449" s="90" t="n">
        <v>46113</v>
      </c>
      <c r="M1449" s="91" t="s">
        <v>608</v>
      </c>
      <c r="N1449" s="90" t="n">
        <v>46142</v>
      </c>
      <c r="R1449" s="92" t="s">
        <v>110</v>
      </c>
      <c r="S1449" s="92"/>
      <c r="T1449" s="92"/>
      <c r="U1449" s="92"/>
      <c r="V1449" s="92"/>
    </row>
    <row r="1450" customFormat="false" ht="15" hidden="false" customHeight="false" outlineLevel="0" collapsed="false">
      <c r="A1450" s="93" t="s">
        <v>111</v>
      </c>
      <c r="B1450" s="94" t="s">
        <v>112</v>
      </c>
      <c r="C1450" s="95"/>
      <c r="D1450" s="95"/>
      <c r="E1450" s="95"/>
      <c r="F1450" s="95"/>
      <c r="H1450" s="96" t="s">
        <v>1334</v>
      </c>
      <c r="I1450" s="97"/>
      <c r="J1450" s="97"/>
      <c r="L1450" s="98" t="s">
        <v>1335</v>
      </c>
      <c r="M1450" s="99"/>
      <c r="N1450" s="99"/>
      <c r="R1450" s="100" t="s">
        <v>764</v>
      </c>
    </row>
    <row r="1451" customFormat="false" ht="15" hidden="false" customHeight="false" outlineLevel="0" collapsed="false">
      <c r="B1451" s="81" t="s">
        <v>116</v>
      </c>
      <c r="C1451" s="81" t="s">
        <v>117</v>
      </c>
      <c r="D1451" s="81" t="s">
        <v>118</v>
      </c>
      <c r="E1451" s="81" t="s">
        <v>119</v>
      </c>
      <c r="F1451" s="81" t="s">
        <v>120</v>
      </c>
      <c r="H1451" s="101" t="s">
        <v>116</v>
      </c>
      <c r="I1451" s="101" t="s">
        <v>119</v>
      </c>
      <c r="J1451" s="101" t="s">
        <v>120</v>
      </c>
      <c r="L1451" s="102" t="s">
        <v>116</v>
      </c>
      <c r="M1451" s="102" t="s">
        <v>119</v>
      </c>
      <c r="N1451" s="102" t="s">
        <v>120</v>
      </c>
      <c r="R1451" s="103" t="s">
        <v>765</v>
      </c>
    </row>
    <row r="1452" customFormat="false" ht="15" hidden="false" customHeight="false" outlineLevel="0" collapsed="false">
      <c r="A1452" s="104" t="s">
        <v>122</v>
      </c>
      <c r="B1452" s="105" t="n">
        <v>5.75</v>
      </c>
      <c r="C1452" s="106" t="n">
        <f aca="false">$N$1449-$L$1449+1</f>
        <v>30</v>
      </c>
      <c r="D1452" s="107" t="n">
        <v>3.68919</v>
      </c>
      <c r="E1452" s="108" t="n">
        <v>4.17</v>
      </c>
      <c r="F1452" s="109" t="n">
        <f aca="false">ROUND(B1452*E1452,2)</f>
        <v>23.98</v>
      </c>
      <c r="H1452" s="110" t="n">
        <v>5.75</v>
      </c>
      <c r="I1452" s="111" t="n">
        <v>4.17</v>
      </c>
      <c r="J1452" s="112" t="n">
        <f aca="false">ROUND(H1452*I1452,2)</f>
        <v>23.98</v>
      </c>
      <c r="L1452" s="113" t="n">
        <v>5.75</v>
      </c>
      <c r="M1452" s="114" t="n">
        <v>4.17</v>
      </c>
      <c r="N1452" s="115" t="n">
        <f aca="false">ROUND(L1452*M1452,2)</f>
        <v>23.98</v>
      </c>
      <c r="R1452" s="116" t="s">
        <v>766</v>
      </c>
    </row>
    <row r="1453" customFormat="false" ht="15" hidden="false" customHeight="false" outlineLevel="0" collapsed="false">
      <c r="A1453" s="104" t="s">
        <v>124</v>
      </c>
      <c r="B1453" s="105" t="n">
        <v>5.75</v>
      </c>
      <c r="C1453" s="106" t="n">
        <f aca="false">$N$1449-$L$1449+1</f>
        <v>30</v>
      </c>
      <c r="D1453" s="107" t="n">
        <v>1.31928</v>
      </c>
      <c r="E1453" s="108" t="n">
        <v>1.37</v>
      </c>
      <c r="F1453" s="109" t="n">
        <f aca="false">ROUND(B1453*E1453,2)</f>
        <v>7.88</v>
      </c>
      <c r="H1453" s="110" t="n">
        <v>5.75</v>
      </c>
      <c r="I1453" s="111" t="n">
        <v>1.37</v>
      </c>
      <c r="J1453" s="112" t="n">
        <f aca="false">ROUND(H1453*I1453,2)</f>
        <v>7.88</v>
      </c>
      <c r="L1453" s="113" t="n">
        <v>5.75</v>
      </c>
      <c r="M1453" s="114" t="n">
        <v>1.37</v>
      </c>
      <c r="N1453" s="115" t="n">
        <f aca="false">ROUND(L1453*M1453,2)</f>
        <v>7.88</v>
      </c>
    </row>
    <row r="1454" customFormat="false" ht="15" hidden="false" customHeight="false" outlineLevel="0" collapsed="false">
      <c r="A1454" s="104" t="s">
        <v>615</v>
      </c>
      <c r="B1454" s="105" t="n">
        <f aca="false">IF($P$1454&lt;&gt;"",ROUND(AA1454*(($AB$1454/(1-$P$1454))-31.855)/69.2091,2),IF('Resumen 2.0TD'!$D$3="OPTIMIZAR",AA1454,AA1454))</f>
        <v>163.796</v>
      </c>
      <c r="C1454" s="118"/>
      <c r="D1454" s="107" t="n">
        <v>0.111171</v>
      </c>
      <c r="E1454" s="108" t="n">
        <v>0.14937</v>
      </c>
      <c r="F1454" s="109" t="n">
        <f aca="false">ROUND(B1454*E1454,2)</f>
        <v>24.47</v>
      </c>
      <c r="H1454" s="110" t="n">
        <v>180.215</v>
      </c>
      <c r="I1454" s="111" t="n">
        <v>0.14937</v>
      </c>
      <c r="J1454" s="112" t="n">
        <f aca="false">ROUND(H1454*I1454,2)</f>
        <v>26.92</v>
      </c>
      <c r="L1454" s="113" t="n">
        <v>84.691</v>
      </c>
      <c r="M1454" s="114" t="n">
        <v>0.14937</v>
      </c>
      <c r="N1454" s="115" t="n">
        <f aca="false">ROUND(L1454*M1454,2)</f>
        <v>12.65</v>
      </c>
      <c r="O1454" s="119" t="s">
        <v>616</v>
      </c>
      <c r="P1454" s="79"/>
      <c r="AA1454" s="0" t="n">
        <v>163.796</v>
      </c>
      <c r="AB1454" s="0" t="n">
        <f aca="false">B1452*D1452+B1453*D1453+AA1454*D1454+AA1455*D1455+AA1456*D1456</f>
        <v>80.30867364</v>
      </c>
    </row>
    <row r="1455" customFormat="false" ht="15" hidden="false" customHeight="false" outlineLevel="0" collapsed="false">
      <c r="A1455" s="104" t="s">
        <v>618</v>
      </c>
      <c r="B1455" s="105" t="n">
        <f aca="false">IF($P$1454&lt;&gt;"",ROUND(AA1455*(($AB$1454/(1-$P$1454))-31.855)/69.2091,2),IF('Resumen 2.0TD'!$D$3="OPTIMIZAR",AA1455,AA1455))</f>
        <v>111.841</v>
      </c>
      <c r="C1455" s="118"/>
      <c r="D1455" s="107" t="n">
        <v>0.111171</v>
      </c>
      <c r="E1455" s="108" t="n">
        <v>0.14937</v>
      </c>
      <c r="F1455" s="109" t="n">
        <f aca="false">ROUND(B1455*E1455,2)</f>
        <v>16.71</v>
      </c>
      <c r="H1455" s="110" t="n">
        <v>111.638</v>
      </c>
      <c r="I1455" s="111" t="n">
        <v>0.14937</v>
      </c>
      <c r="J1455" s="112" t="n">
        <f aca="false">ROUND(H1455*I1455,2)</f>
        <v>16.68</v>
      </c>
      <c r="L1455" s="113" t="n">
        <v>68.49</v>
      </c>
      <c r="M1455" s="114" t="n">
        <v>0.14937</v>
      </c>
      <c r="N1455" s="115" t="n">
        <f aca="false">ROUND(L1455*M1455,2)</f>
        <v>10.23</v>
      </c>
      <c r="O1455" s="120" t="s">
        <v>619</v>
      </c>
      <c r="R1455" s="117" t="s">
        <v>620</v>
      </c>
      <c r="AA1455" s="0" t="n">
        <v>111.841</v>
      </c>
    </row>
    <row r="1456" customFormat="false" ht="15" hidden="false" customHeight="false" outlineLevel="0" collapsed="false">
      <c r="A1456" s="104" t="s">
        <v>621</v>
      </c>
      <c r="B1456" s="105" t="n">
        <f aca="false">IF($P$1454&lt;&gt;"",ROUND(AA1456*(($AB$1454/(1-$P$1454))-31.855)/69.2091,2),IF('Resumen 2.0TD'!$D$3="OPTIMIZAR",AA1456,AA1456))</f>
        <v>187.703</v>
      </c>
      <c r="C1456" s="118"/>
      <c r="D1456" s="107" t="n">
        <v>0.111171</v>
      </c>
      <c r="E1456" s="108" t="n">
        <v>0.14937</v>
      </c>
      <c r="F1456" s="109" t="n">
        <f aca="false">ROUND(B1456*E1456,2)</f>
        <v>28.04</v>
      </c>
      <c r="H1456" s="110" t="n">
        <v>192.656</v>
      </c>
      <c r="I1456" s="111" t="n">
        <v>0.14937</v>
      </c>
      <c r="J1456" s="112" t="n">
        <f aca="false">ROUND(H1456*I1456,2)</f>
        <v>28.78</v>
      </c>
      <c r="L1456" s="113" t="n">
        <v>144.795</v>
      </c>
      <c r="M1456" s="114" t="n">
        <v>0.14937</v>
      </c>
      <c r="N1456" s="115" t="n">
        <f aca="false">ROUND(L1456*M1456,2)</f>
        <v>21.63</v>
      </c>
      <c r="O1456" s="120" t="s">
        <v>622</v>
      </c>
      <c r="AA1456" s="0" t="n">
        <v>187.703</v>
      </c>
    </row>
    <row r="1457" customFormat="false" ht="15" hidden="false" customHeight="false" outlineLevel="0" collapsed="false">
      <c r="A1457" s="104" t="s">
        <v>139</v>
      </c>
      <c r="B1457" s="105" t="n">
        <v>1</v>
      </c>
      <c r="C1457" s="106" t="n">
        <f aca="false">$N$1449-$L$1449+1</f>
        <v>30</v>
      </c>
      <c r="D1457" s="107" t="n">
        <v>0.7989</v>
      </c>
      <c r="E1457" s="108" t="n">
        <v>4</v>
      </c>
      <c r="F1457" s="109" t="n">
        <f aca="false">ROUND(B1457*E1457,2)</f>
        <v>4</v>
      </c>
      <c r="H1457" s="110" t="n">
        <v>1</v>
      </c>
      <c r="I1457" s="111" t="n">
        <v>4</v>
      </c>
      <c r="J1457" s="112" t="n">
        <f aca="false">ROUND(H1457*I1457,2)</f>
        <v>4</v>
      </c>
      <c r="L1457" s="113" t="n">
        <v>1</v>
      </c>
      <c r="M1457" s="114" t="n">
        <v>4</v>
      </c>
      <c r="N1457" s="115" t="n">
        <f aca="false">ROUND(L1457*M1457,2)</f>
        <v>4</v>
      </c>
    </row>
    <row r="1458" customFormat="false" ht="15" hidden="false" customHeight="false" outlineLevel="0" collapsed="false">
      <c r="A1458" s="104" t="s">
        <v>140</v>
      </c>
      <c r="B1458" s="105" t="n">
        <v>30</v>
      </c>
      <c r="C1458" s="106" t="n">
        <f aca="false">$N$1449-$L$1449+1</f>
        <v>30</v>
      </c>
      <c r="D1458" s="107" t="n">
        <v>0.5736</v>
      </c>
      <c r="E1458" s="108" t="n">
        <v>0.01274</v>
      </c>
      <c r="F1458" s="109" t="n">
        <f aca="false">ROUND(B1458*E1458,2)</f>
        <v>0.38</v>
      </c>
      <c r="H1458" s="110" t="n">
        <v>30</v>
      </c>
      <c r="I1458" s="111" t="n">
        <v>0.01274</v>
      </c>
      <c r="J1458" s="112" t="n">
        <f aca="false">ROUND(H1458*I1458,2)</f>
        <v>0.38</v>
      </c>
      <c r="L1458" s="113" t="n">
        <v>30</v>
      </c>
      <c r="M1458" s="114" t="n">
        <v>0.01274</v>
      </c>
      <c r="N1458" s="115" t="n">
        <f aca="false">ROUND(L1458*M1458,2)</f>
        <v>0.38</v>
      </c>
    </row>
    <row r="1459" customFormat="false" ht="15" hidden="false" customHeight="false" outlineLevel="0" collapsed="false">
      <c r="A1459" s="104" t="s">
        <v>141</v>
      </c>
      <c r="B1459" s="105" t="n">
        <v>5.17</v>
      </c>
      <c r="C1459" s="118"/>
      <c r="D1459" s="107" t="n">
        <v>0.27312</v>
      </c>
      <c r="E1459" s="108" t="n">
        <v>1</v>
      </c>
      <c r="F1459" s="109" t="n">
        <f aca="false">ROUND(B1459*E1459,2)</f>
        <v>5.17</v>
      </c>
      <c r="H1459" s="110" t="n">
        <v>5.34</v>
      </c>
      <c r="I1459" s="111" t="n">
        <v>1</v>
      </c>
      <c r="J1459" s="112" t="n">
        <f aca="false">ROUND(H1459*I1459,2)</f>
        <v>5.34</v>
      </c>
      <c r="L1459" s="113" t="n">
        <v>6.14</v>
      </c>
      <c r="M1459" s="114" t="n">
        <v>1</v>
      </c>
      <c r="N1459" s="115" t="n">
        <f aca="false">ROUND(L1459*M1459,2)</f>
        <v>6.14</v>
      </c>
    </row>
    <row r="1460" customFormat="false" ht="15" hidden="false" customHeight="false" outlineLevel="0" collapsed="false">
      <c r="A1460" s="121" t="s">
        <v>142</v>
      </c>
      <c r="F1460" s="122" t="n">
        <f aca="false">ROUND((SUM(F1452:F1459)-F1459)*1.1+F1459,2)</f>
        <v>121.18</v>
      </c>
      <c r="J1460" s="123" t="n">
        <f aca="false">ROUND(SUM(J1452:J1459),2)</f>
        <v>113.96</v>
      </c>
      <c r="N1460" s="124" t="n">
        <f aca="false">ROUND(SUM(N1452:N1459),2)</f>
        <v>86.89</v>
      </c>
    </row>
    <row r="1461" customFormat="false" ht="15" hidden="false" customHeight="false" outlineLevel="0" collapsed="false">
      <c r="A1461" s="93" t="s">
        <v>143</v>
      </c>
      <c r="B1461" s="125" t="n">
        <f aca="false">IF((F1456+F1455+F1454+F1452+F1453)=0,"",((F1456+F1455+F1454+F1452+F1453)-$AB$1454)/(F1456+F1455+F1454+F1452+F1453))</f>
        <v>0.205493929165018</v>
      </c>
      <c r="D1461" s="126" t="str">
        <f aca="false">IF(B1461="","SIN PC",IF(B1461&gt;=0.3,"APROBAR",IF(B1461&gt;=0.2,"REVISAR","RECHAZAR")))</f>
        <v>REVISAR</v>
      </c>
      <c r="E1461" s="126"/>
      <c r="F1461" s="126"/>
      <c r="AD1461" s="0" t="n">
        <f aca="false">SUM(F1454:F1456)-69.2091</f>
        <v>0.0108999999999924</v>
      </c>
    </row>
    <row r="1463" customFormat="false" ht="15" hidden="false" customHeight="false" outlineLevel="0" collapsed="false">
      <c r="A1463" s="89" t="s">
        <v>1336</v>
      </c>
      <c r="B1463" s="89"/>
      <c r="C1463" s="89"/>
      <c r="D1463" s="89"/>
      <c r="E1463" s="89"/>
      <c r="F1463" s="89"/>
      <c r="H1463" s="89" t="s">
        <v>1337</v>
      </c>
      <c r="I1463" s="89"/>
      <c r="J1463" s="89"/>
      <c r="K1463" s="89"/>
      <c r="L1463" s="90" t="n">
        <v>46113</v>
      </c>
      <c r="M1463" s="91" t="s">
        <v>608</v>
      </c>
      <c r="N1463" s="90" t="n">
        <v>46142</v>
      </c>
      <c r="R1463" s="92" t="s">
        <v>110</v>
      </c>
      <c r="S1463" s="92"/>
      <c r="T1463" s="92"/>
      <c r="U1463" s="92"/>
      <c r="V1463" s="92"/>
    </row>
    <row r="1464" customFormat="false" ht="15" hidden="false" customHeight="false" outlineLevel="0" collapsed="false">
      <c r="A1464" s="93" t="s">
        <v>111</v>
      </c>
      <c r="B1464" s="94" t="s">
        <v>112</v>
      </c>
      <c r="C1464" s="95"/>
      <c r="D1464" s="95"/>
      <c r="E1464" s="95"/>
      <c r="F1464" s="95"/>
      <c r="H1464" s="96" t="s">
        <v>1338</v>
      </c>
      <c r="I1464" s="97"/>
      <c r="J1464" s="97"/>
      <c r="L1464" s="98" t="s">
        <v>1339</v>
      </c>
      <c r="M1464" s="99"/>
      <c r="N1464" s="99"/>
      <c r="R1464" s="100" t="s">
        <v>764</v>
      </c>
    </row>
    <row r="1465" customFormat="false" ht="15" hidden="false" customHeight="false" outlineLevel="0" collapsed="false">
      <c r="B1465" s="81" t="s">
        <v>116</v>
      </c>
      <c r="C1465" s="81" t="s">
        <v>117</v>
      </c>
      <c r="D1465" s="81" t="s">
        <v>118</v>
      </c>
      <c r="E1465" s="81" t="s">
        <v>119</v>
      </c>
      <c r="F1465" s="81" t="s">
        <v>120</v>
      </c>
      <c r="H1465" s="101" t="s">
        <v>116</v>
      </c>
      <c r="I1465" s="101" t="s">
        <v>119</v>
      </c>
      <c r="J1465" s="101" t="s">
        <v>120</v>
      </c>
      <c r="L1465" s="102" t="s">
        <v>116</v>
      </c>
      <c r="M1465" s="102" t="s">
        <v>119</v>
      </c>
      <c r="N1465" s="102" t="s">
        <v>120</v>
      </c>
      <c r="R1465" s="103" t="s">
        <v>765</v>
      </c>
    </row>
    <row r="1466" customFormat="false" ht="15" hidden="false" customHeight="false" outlineLevel="0" collapsed="false">
      <c r="A1466" s="104" t="s">
        <v>122</v>
      </c>
      <c r="B1466" s="105" t="n">
        <v>9.2</v>
      </c>
      <c r="C1466" s="106" t="n">
        <f aca="false">$N$1463-$L$1463+1</f>
        <v>30</v>
      </c>
      <c r="D1466" s="107" t="n">
        <v>3.68919</v>
      </c>
      <c r="E1466" s="108" t="n">
        <v>4.17</v>
      </c>
      <c r="F1466" s="109" t="n">
        <f aca="false">ROUND(B1466*E1466,2)</f>
        <v>38.36</v>
      </c>
      <c r="H1466" s="110" t="n">
        <v>9.2</v>
      </c>
      <c r="I1466" s="111" t="n">
        <v>4.17</v>
      </c>
      <c r="J1466" s="112" t="n">
        <f aca="false">ROUND(H1466*I1466,2)</f>
        <v>38.36</v>
      </c>
      <c r="L1466" s="113" t="n">
        <v>9.2</v>
      </c>
      <c r="M1466" s="114" t="n">
        <v>4.17</v>
      </c>
      <c r="N1466" s="115" t="n">
        <f aca="false">ROUND(L1466*M1466,2)</f>
        <v>38.36</v>
      </c>
      <c r="R1466" s="116" t="s">
        <v>766</v>
      </c>
    </row>
    <row r="1467" customFormat="false" ht="15" hidden="false" customHeight="false" outlineLevel="0" collapsed="false">
      <c r="A1467" s="104" t="s">
        <v>124</v>
      </c>
      <c r="B1467" s="105" t="n">
        <v>9.2</v>
      </c>
      <c r="C1467" s="106" t="n">
        <f aca="false">$N$1463-$L$1463+1</f>
        <v>30</v>
      </c>
      <c r="D1467" s="107" t="n">
        <v>1.31928</v>
      </c>
      <c r="E1467" s="108" t="n">
        <v>1.37</v>
      </c>
      <c r="F1467" s="109" t="n">
        <f aca="false">ROUND(B1467*E1467,2)</f>
        <v>12.6</v>
      </c>
      <c r="H1467" s="110" t="n">
        <v>9.2</v>
      </c>
      <c r="I1467" s="111" t="n">
        <v>1.37</v>
      </c>
      <c r="J1467" s="112" t="n">
        <f aca="false">ROUND(H1467*I1467,2)</f>
        <v>12.6</v>
      </c>
      <c r="L1467" s="113" t="n">
        <v>9.2</v>
      </c>
      <c r="M1467" s="114" t="n">
        <v>1.37</v>
      </c>
      <c r="N1467" s="115" t="n">
        <f aca="false">ROUND(L1467*M1467,2)</f>
        <v>12.6</v>
      </c>
    </row>
    <row r="1468" customFormat="false" ht="15" hidden="false" customHeight="false" outlineLevel="0" collapsed="false">
      <c r="A1468" s="104" t="s">
        <v>615</v>
      </c>
      <c r="B1468" s="105" t="n">
        <f aca="false">IF($P$1468&lt;&gt;"",ROUND(AA1468*(($AB$1468/(1-$P$1468))-50.968)/83.2464,2),IF('Resumen 2.0TD'!$D$3="OPTIMIZAR",AA1468,AA1468))</f>
        <v>137.504</v>
      </c>
      <c r="C1468" s="118"/>
      <c r="D1468" s="107" t="n">
        <v>0.111171</v>
      </c>
      <c r="E1468" s="108" t="n">
        <v>0.14937</v>
      </c>
      <c r="F1468" s="109" t="n">
        <f aca="false">ROUND(B1468*E1468,2)</f>
        <v>20.54</v>
      </c>
      <c r="H1468" s="110" t="n">
        <v>136.805</v>
      </c>
      <c r="I1468" s="111" t="n">
        <v>0.14937</v>
      </c>
      <c r="J1468" s="112" t="n">
        <f aca="false">ROUND(H1468*I1468,2)</f>
        <v>20.43</v>
      </c>
      <c r="L1468" s="113" t="n">
        <v>150.029</v>
      </c>
      <c r="M1468" s="114" t="n">
        <v>0.14937</v>
      </c>
      <c r="N1468" s="115" t="n">
        <f aca="false">ROUND(L1468*M1468,2)</f>
        <v>22.41</v>
      </c>
      <c r="O1468" s="119" t="s">
        <v>616</v>
      </c>
      <c r="P1468" s="79"/>
      <c r="AA1468" s="0" t="n">
        <v>137.504</v>
      </c>
      <c r="AB1468" s="0" t="n">
        <f aca="false">B1466*D1466+B1467*D1467+AA1468*D1468+AA1469*D1469+AA1470*D1470</f>
        <v>108.035412207</v>
      </c>
    </row>
    <row r="1469" customFormat="false" ht="15" hidden="false" customHeight="false" outlineLevel="0" collapsed="false">
      <c r="A1469" s="104" t="s">
        <v>618</v>
      </c>
      <c r="B1469" s="105" t="n">
        <f aca="false">IF($P$1468&lt;&gt;"",ROUND(AA1469*(($AB$1468/(1-$P$1468))-50.968)/83.2464,2),IF('Resumen 2.0TD'!$D$3="OPTIMIZAR",AA1469,AA1469))</f>
        <v>138.453</v>
      </c>
      <c r="C1469" s="118"/>
      <c r="D1469" s="107" t="n">
        <v>0.111171</v>
      </c>
      <c r="E1469" s="108" t="n">
        <v>0.14937</v>
      </c>
      <c r="F1469" s="109" t="n">
        <f aca="false">ROUND(B1469*E1469,2)</f>
        <v>20.68</v>
      </c>
      <c r="H1469" s="110" t="n">
        <v>107.681</v>
      </c>
      <c r="I1469" s="111" t="n">
        <v>0.14937</v>
      </c>
      <c r="J1469" s="112" t="n">
        <f aca="false">ROUND(H1469*I1469,2)</f>
        <v>16.08</v>
      </c>
      <c r="L1469" s="113" t="n">
        <v>151.775</v>
      </c>
      <c r="M1469" s="114" t="n">
        <v>0.14937</v>
      </c>
      <c r="N1469" s="115" t="n">
        <f aca="false">ROUND(L1469*M1469,2)</f>
        <v>22.67</v>
      </c>
      <c r="O1469" s="120" t="s">
        <v>619</v>
      </c>
      <c r="R1469" s="117" t="s">
        <v>620</v>
      </c>
      <c r="AA1469" s="0" t="n">
        <v>138.453</v>
      </c>
    </row>
    <row r="1470" customFormat="false" ht="15" hidden="false" customHeight="false" outlineLevel="0" collapsed="false">
      <c r="A1470" s="104" t="s">
        <v>621</v>
      </c>
      <c r="B1470" s="105" t="n">
        <f aca="false">IF($P$1468&lt;&gt;"",ROUND(AA1470*(($AB$1468/(1-$P$1468))-50.968)/83.2464,2),IF('Resumen 2.0TD'!$D$3="OPTIMIZAR",AA1470,AA1470))</f>
        <v>281.36</v>
      </c>
      <c r="C1470" s="118"/>
      <c r="D1470" s="107" t="n">
        <v>0.111171</v>
      </c>
      <c r="E1470" s="108" t="n">
        <v>0.14937</v>
      </c>
      <c r="F1470" s="109" t="n">
        <f aca="false">ROUND(B1470*E1470,2)</f>
        <v>42.03</v>
      </c>
      <c r="H1470" s="110" t="n">
        <v>228.389</v>
      </c>
      <c r="I1470" s="111" t="n">
        <v>0.14937</v>
      </c>
      <c r="J1470" s="112" t="n">
        <f aca="false">ROUND(H1470*I1470,2)</f>
        <v>34.11</v>
      </c>
      <c r="L1470" s="113" t="n">
        <v>348.621</v>
      </c>
      <c r="M1470" s="114" t="n">
        <v>0.14937</v>
      </c>
      <c r="N1470" s="115" t="n">
        <f aca="false">ROUND(L1470*M1470,2)</f>
        <v>52.07</v>
      </c>
      <c r="O1470" s="120" t="s">
        <v>622</v>
      </c>
      <c r="AA1470" s="0" t="n">
        <v>281.36</v>
      </c>
    </row>
    <row r="1471" customFormat="false" ht="15" hidden="false" customHeight="false" outlineLevel="0" collapsed="false">
      <c r="A1471" s="104" t="s">
        <v>139</v>
      </c>
      <c r="B1471" s="105" t="n">
        <v>1</v>
      </c>
      <c r="C1471" s="106" t="n">
        <f aca="false">$N$1463-$L$1463+1</f>
        <v>30</v>
      </c>
      <c r="D1471" s="107" t="n">
        <v>0.7989</v>
      </c>
      <c r="E1471" s="108" t="n">
        <v>4</v>
      </c>
      <c r="F1471" s="109" t="n">
        <f aca="false">ROUND(B1471*E1471,2)</f>
        <v>4</v>
      </c>
      <c r="H1471" s="110" t="n">
        <v>1</v>
      </c>
      <c r="I1471" s="111" t="n">
        <v>4</v>
      </c>
      <c r="J1471" s="112" t="n">
        <f aca="false">ROUND(H1471*I1471,2)</f>
        <v>4</v>
      </c>
      <c r="L1471" s="113" t="n">
        <v>1</v>
      </c>
      <c r="M1471" s="114" t="n">
        <v>4</v>
      </c>
      <c r="N1471" s="115" t="n">
        <f aca="false">ROUND(L1471*M1471,2)</f>
        <v>4</v>
      </c>
    </row>
    <row r="1472" customFormat="false" ht="15" hidden="false" customHeight="false" outlineLevel="0" collapsed="false">
      <c r="A1472" s="104" t="s">
        <v>140</v>
      </c>
      <c r="B1472" s="105" t="n">
        <v>30</v>
      </c>
      <c r="C1472" s="106" t="n">
        <f aca="false">$N$1463-$L$1463+1</f>
        <v>30</v>
      </c>
      <c r="D1472" s="107" t="n">
        <v>0.5736</v>
      </c>
      <c r="E1472" s="108" t="n">
        <v>0.01274</v>
      </c>
      <c r="F1472" s="109" t="n">
        <f aca="false">ROUND(B1472*E1472,2)</f>
        <v>0.38</v>
      </c>
      <c r="H1472" s="110" t="n">
        <v>30</v>
      </c>
      <c r="I1472" s="111" t="n">
        <v>0.01274</v>
      </c>
      <c r="J1472" s="112" t="n">
        <f aca="false">ROUND(H1472*I1472,2)</f>
        <v>0.38</v>
      </c>
      <c r="L1472" s="113" t="n">
        <v>30</v>
      </c>
      <c r="M1472" s="114" t="n">
        <v>0.00629</v>
      </c>
      <c r="N1472" s="115" t="n">
        <f aca="false">ROUND(L1472*M1472,2)</f>
        <v>0.19</v>
      </c>
    </row>
    <row r="1473" customFormat="false" ht="15" hidden="false" customHeight="false" outlineLevel="0" collapsed="false">
      <c r="A1473" s="104" t="s">
        <v>141</v>
      </c>
      <c r="B1473" s="105" t="n">
        <v>6.87</v>
      </c>
      <c r="C1473" s="118"/>
      <c r="D1473" s="107" t="n">
        <v>0.02671</v>
      </c>
      <c r="E1473" s="108" t="n">
        <v>1</v>
      </c>
      <c r="F1473" s="109" t="n">
        <f aca="false">ROUND(B1473*E1473,2)</f>
        <v>6.87</v>
      </c>
      <c r="H1473" s="110" t="n">
        <v>6.22</v>
      </c>
      <c r="I1473" s="111" t="n">
        <v>1</v>
      </c>
      <c r="J1473" s="112" t="n">
        <f aca="false">ROUND(H1473*I1473,2)</f>
        <v>6.22</v>
      </c>
      <c r="L1473" s="113" t="n">
        <v>7.58</v>
      </c>
      <c r="M1473" s="114" t="n">
        <v>1</v>
      </c>
      <c r="N1473" s="115" t="n">
        <f aca="false">ROUND(L1473*M1473,2)</f>
        <v>7.58</v>
      </c>
    </row>
    <row r="1474" customFormat="false" ht="15" hidden="false" customHeight="false" outlineLevel="0" collapsed="false">
      <c r="A1474" s="121" t="s">
        <v>142</v>
      </c>
      <c r="F1474" s="122" t="n">
        <f aca="false">ROUND((SUM(F1466:F1473)-F1473)*1.1+F1473,2)</f>
        <v>159.32</v>
      </c>
      <c r="J1474" s="123" t="n">
        <f aca="false">ROUND(SUM(J1466:J1473),2)</f>
        <v>132.18</v>
      </c>
      <c r="N1474" s="124" t="n">
        <f aca="false">ROUND(SUM(N1466:N1473),2)</f>
        <v>159.88</v>
      </c>
    </row>
    <row r="1475" customFormat="false" ht="15" hidden="false" customHeight="false" outlineLevel="0" collapsed="false">
      <c r="A1475" s="93" t="s">
        <v>143</v>
      </c>
      <c r="B1475" s="125" t="n">
        <f aca="false">IF((F1470+F1469+F1468+F1466+F1467)=0,"",((F1470+F1469+F1468+F1466+F1467)-$AB$1468)/(F1470+F1469+F1468+F1466+F1467))</f>
        <v>0.195027105230609</v>
      </c>
      <c r="D1475" s="126" t="str">
        <f aca="false">IF(B1475="","SIN PC",IF(B1475&gt;=0.3,"APROBAR",IF(B1475&gt;=0.2,"REVISAR","RECHAZAR")))</f>
        <v>RECHAZAR</v>
      </c>
      <c r="E1475" s="126"/>
      <c r="F1475" s="126"/>
      <c r="AD1475" s="0" t="n">
        <f aca="false">SUM(F1468:F1470)-83.2464</f>
        <v>0.00360000000000582</v>
      </c>
    </row>
    <row r="1477" customFormat="false" ht="15" hidden="false" customHeight="false" outlineLevel="0" collapsed="false">
      <c r="A1477" s="89" t="s">
        <v>1340</v>
      </c>
      <c r="B1477" s="89"/>
      <c r="C1477" s="89"/>
      <c r="D1477" s="89"/>
      <c r="E1477" s="89"/>
      <c r="F1477" s="89"/>
      <c r="H1477" s="89" t="s">
        <v>1341</v>
      </c>
      <c r="I1477" s="89"/>
      <c r="J1477" s="89"/>
      <c r="K1477" s="89"/>
      <c r="L1477" s="90" t="n">
        <v>46113</v>
      </c>
      <c r="M1477" s="91" t="s">
        <v>608</v>
      </c>
      <c r="N1477" s="90" t="n">
        <v>46142</v>
      </c>
      <c r="R1477" s="92" t="s">
        <v>110</v>
      </c>
      <c r="S1477" s="92"/>
      <c r="T1477" s="92"/>
      <c r="U1477" s="92"/>
      <c r="V1477" s="92"/>
    </row>
    <row r="1478" customFormat="false" ht="15" hidden="false" customHeight="false" outlineLevel="0" collapsed="false">
      <c r="A1478" s="93" t="s">
        <v>111</v>
      </c>
      <c r="B1478" s="94" t="s">
        <v>112</v>
      </c>
      <c r="C1478" s="95"/>
      <c r="D1478" s="95"/>
      <c r="E1478" s="95"/>
      <c r="F1478" s="95"/>
      <c r="H1478" s="96" t="s">
        <v>1342</v>
      </c>
      <c r="I1478" s="97"/>
      <c r="J1478" s="97"/>
      <c r="L1478" s="98" t="s">
        <v>1343</v>
      </c>
      <c r="M1478" s="99"/>
      <c r="N1478" s="99"/>
      <c r="R1478" s="100" t="s">
        <v>764</v>
      </c>
    </row>
    <row r="1479" customFormat="false" ht="15" hidden="false" customHeight="false" outlineLevel="0" collapsed="false">
      <c r="B1479" s="81" t="s">
        <v>116</v>
      </c>
      <c r="C1479" s="81" t="s">
        <v>117</v>
      </c>
      <c r="D1479" s="81" t="s">
        <v>118</v>
      </c>
      <c r="E1479" s="81" t="s">
        <v>119</v>
      </c>
      <c r="F1479" s="81" t="s">
        <v>120</v>
      </c>
      <c r="H1479" s="101" t="s">
        <v>116</v>
      </c>
      <c r="I1479" s="101" t="s">
        <v>119</v>
      </c>
      <c r="J1479" s="101" t="s">
        <v>120</v>
      </c>
      <c r="L1479" s="102" t="s">
        <v>116</v>
      </c>
      <c r="M1479" s="102" t="s">
        <v>119</v>
      </c>
      <c r="N1479" s="102" t="s">
        <v>120</v>
      </c>
      <c r="R1479" s="103" t="s">
        <v>765</v>
      </c>
    </row>
    <row r="1480" customFormat="false" ht="15" hidden="false" customHeight="false" outlineLevel="0" collapsed="false">
      <c r="A1480" s="104" t="s">
        <v>122</v>
      </c>
      <c r="B1480" s="105" t="n">
        <v>5.75</v>
      </c>
      <c r="C1480" s="106" t="n">
        <f aca="false">$N$1477-$L$1477+1</f>
        <v>30</v>
      </c>
      <c r="D1480" s="107" t="n">
        <v>3.68919</v>
      </c>
      <c r="E1480" s="108" t="n">
        <v>4.17</v>
      </c>
      <c r="F1480" s="109" t="n">
        <f aca="false">ROUND(B1480*E1480,2)</f>
        <v>23.98</v>
      </c>
      <c r="H1480" s="110" t="n">
        <v>5.75</v>
      </c>
      <c r="I1480" s="111" t="n">
        <v>4.17</v>
      </c>
      <c r="J1480" s="112" t="n">
        <f aca="false">ROUND(H1480*I1480,2)</f>
        <v>23.98</v>
      </c>
      <c r="L1480" s="113" t="n">
        <v>5.75</v>
      </c>
      <c r="M1480" s="114" t="n">
        <v>4.17</v>
      </c>
      <c r="N1480" s="115" t="n">
        <f aca="false">ROUND(L1480*M1480,2)</f>
        <v>23.98</v>
      </c>
      <c r="R1480" s="116" t="s">
        <v>766</v>
      </c>
    </row>
    <row r="1481" customFormat="false" ht="15" hidden="false" customHeight="false" outlineLevel="0" collapsed="false">
      <c r="A1481" s="104" t="s">
        <v>124</v>
      </c>
      <c r="B1481" s="105" t="n">
        <v>5.75</v>
      </c>
      <c r="C1481" s="106" t="n">
        <f aca="false">$N$1477-$L$1477+1</f>
        <v>30</v>
      </c>
      <c r="D1481" s="107" t="n">
        <v>1.31928</v>
      </c>
      <c r="E1481" s="108" t="n">
        <v>1.37</v>
      </c>
      <c r="F1481" s="109" t="n">
        <f aca="false">ROUND(B1481*E1481,2)</f>
        <v>7.88</v>
      </c>
      <c r="H1481" s="110" t="n">
        <v>5.75</v>
      </c>
      <c r="I1481" s="111" t="n">
        <v>1.37</v>
      </c>
      <c r="J1481" s="112" t="n">
        <f aca="false">ROUND(H1481*I1481,2)</f>
        <v>7.88</v>
      </c>
      <c r="L1481" s="113" t="n">
        <v>5.75</v>
      </c>
      <c r="M1481" s="114" t="n">
        <v>1.37</v>
      </c>
      <c r="N1481" s="115" t="n">
        <f aca="false">ROUND(L1481*M1481,2)</f>
        <v>7.88</v>
      </c>
    </row>
    <row r="1482" customFormat="false" ht="15" hidden="false" customHeight="false" outlineLevel="0" collapsed="false">
      <c r="A1482" s="104" t="s">
        <v>615</v>
      </c>
      <c r="B1482" s="105" t="n">
        <f aca="false">IF($P$1482&lt;&gt;"",ROUND(AA1482*(($AB$1482/(1-$P$1482))-31.855)/12.1518,2),IF('Resumen 2.0TD'!$D$3="OPTIMIZAR",AA1482,AA1482))</f>
        <v>22.568</v>
      </c>
      <c r="C1482" s="118"/>
      <c r="D1482" s="107" t="n">
        <v>0.111171</v>
      </c>
      <c r="E1482" s="108" t="n">
        <v>0.14937</v>
      </c>
      <c r="F1482" s="109" t="n">
        <f aca="false">ROUND(B1482*E1482,2)</f>
        <v>3.37</v>
      </c>
      <c r="H1482" s="110" t="n">
        <v>24.487</v>
      </c>
      <c r="I1482" s="111" t="n">
        <v>0.14937</v>
      </c>
      <c r="J1482" s="112" t="n">
        <f aca="false">ROUND(H1482*I1482,2)</f>
        <v>3.66</v>
      </c>
      <c r="L1482" s="113" t="n">
        <v>30.587</v>
      </c>
      <c r="M1482" s="114" t="n">
        <v>0.14937</v>
      </c>
      <c r="N1482" s="115" t="n">
        <f aca="false">ROUND(L1482*M1482,2)</f>
        <v>4.57</v>
      </c>
      <c r="O1482" s="119" t="s">
        <v>616</v>
      </c>
      <c r="P1482" s="79"/>
      <c r="AA1482" s="0" t="n">
        <v>22.568</v>
      </c>
      <c r="AB1482" s="0" t="n">
        <f aca="false">B1480*D1480+B1481*D1481+AA1482*D1482+AA1483*D1483+AA1484*D1484</f>
        <v>37.842908034</v>
      </c>
    </row>
    <row r="1483" customFormat="false" ht="15" hidden="false" customHeight="false" outlineLevel="0" collapsed="false">
      <c r="A1483" s="104" t="s">
        <v>618</v>
      </c>
      <c r="B1483" s="105" t="n">
        <f aca="false">IF($P$1482&lt;&gt;"",ROUND(AA1483*(($AB$1482/(1-$P$1482))-31.855)/12.1518,2),IF('Resumen 2.0TD'!$D$3="OPTIMIZAR",AA1483,AA1483))</f>
        <v>17.437</v>
      </c>
      <c r="C1483" s="118"/>
      <c r="D1483" s="107" t="n">
        <v>0.111171</v>
      </c>
      <c r="E1483" s="108" t="n">
        <v>0.14937</v>
      </c>
      <c r="F1483" s="109" t="n">
        <f aca="false">ROUND(B1483*E1483,2)</f>
        <v>2.6</v>
      </c>
      <c r="H1483" s="110" t="n">
        <v>15.284</v>
      </c>
      <c r="I1483" s="111" t="n">
        <v>0.14937</v>
      </c>
      <c r="J1483" s="112" t="n">
        <f aca="false">ROUND(H1483*I1483,2)</f>
        <v>2.28</v>
      </c>
      <c r="L1483" s="113" t="n">
        <v>24.303</v>
      </c>
      <c r="M1483" s="114" t="n">
        <v>0.14937</v>
      </c>
      <c r="N1483" s="115" t="n">
        <f aca="false">ROUND(L1483*M1483,2)</f>
        <v>3.63</v>
      </c>
      <c r="O1483" s="120" t="s">
        <v>619</v>
      </c>
      <c r="R1483" s="117" t="s">
        <v>620</v>
      </c>
      <c r="AA1483" s="0" t="n">
        <v>17.437</v>
      </c>
    </row>
    <row r="1484" customFormat="false" ht="15" hidden="false" customHeight="false" outlineLevel="0" collapsed="false">
      <c r="A1484" s="104" t="s">
        <v>621</v>
      </c>
      <c r="B1484" s="105" t="n">
        <f aca="false">IF($P$1482&lt;&gt;"",ROUND(AA1484*(($AB$1482/(1-$P$1482))-31.855)/12.1518,2),IF('Resumen 2.0TD'!$D$3="OPTIMIZAR",AA1484,AA1484))</f>
        <v>41.349</v>
      </c>
      <c r="C1484" s="118"/>
      <c r="D1484" s="107" t="n">
        <v>0.111171</v>
      </c>
      <c r="E1484" s="108" t="n">
        <v>0.14937</v>
      </c>
      <c r="F1484" s="109" t="n">
        <f aca="false">ROUND(B1484*E1484,2)</f>
        <v>6.18</v>
      </c>
      <c r="H1484" s="110" t="n">
        <v>47.368</v>
      </c>
      <c r="I1484" s="111" t="n">
        <v>0.14937</v>
      </c>
      <c r="J1484" s="112" t="n">
        <f aca="false">ROUND(H1484*I1484,2)</f>
        <v>7.08</v>
      </c>
      <c r="L1484" s="113" t="n">
        <v>52.747</v>
      </c>
      <c r="M1484" s="114" t="n">
        <v>0.14937</v>
      </c>
      <c r="N1484" s="115" t="n">
        <f aca="false">ROUND(L1484*M1484,2)</f>
        <v>7.88</v>
      </c>
      <c r="O1484" s="120" t="s">
        <v>622</v>
      </c>
      <c r="AA1484" s="0" t="n">
        <v>41.349</v>
      </c>
    </row>
    <row r="1485" customFormat="false" ht="15" hidden="false" customHeight="false" outlineLevel="0" collapsed="false">
      <c r="A1485" s="104" t="s">
        <v>139</v>
      </c>
      <c r="B1485" s="105" t="n">
        <v>1</v>
      </c>
      <c r="C1485" s="106" t="n">
        <f aca="false">$N$1477-$L$1477+1</f>
        <v>30</v>
      </c>
      <c r="D1485" s="107" t="n">
        <v>0.7989</v>
      </c>
      <c r="E1485" s="108" t="n">
        <v>4</v>
      </c>
      <c r="F1485" s="109" t="n">
        <f aca="false">ROUND(B1485*E1485,2)</f>
        <v>4</v>
      </c>
      <c r="H1485" s="110" t="n">
        <v>1</v>
      </c>
      <c r="I1485" s="111" t="n">
        <v>4</v>
      </c>
      <c r="J1485" s="112" t="n">
        <f aca="false">ROUND(H1485*I1485,2)</f>
        <v>4</v>
      </c>
      <c r="L1485" s="113" t="n">
        <v>1</v>
      </c>
      <c r="M1485" s="114" t="n">
        <v>4</v>
      </c>
      <c r="N1485" s="115" t="n">
        <f aca="false">ROUND(L1485*M1485,2)</f>
        <v>4</v>
      </c>
    </row>
    <row r="1486" customFormat="false" ht="15" hidden="false" customHeight="false" outlineLevel="0" collapsed="false">
      <c r="A1486" s="104" t="s">
        <v>140</v>
      </c>
      <c r="B1486" s="105" t="n">
        <v>30</v>
      </c>
      <c r="C1486" s="106" t="n">
        <f aca="false">$N$1477-$L$1477+1</f>
        <v>30</v>
      </c>
      <c r="D1486" s="107" t="n">
        <v>0.5736</v>
      </c>
      <c r="E1486" s="108" t="n">
        <v>0.01274</v>
      </c>
      <c r="F1486" s="109" t="n">
        <f aca="false">ROUND(B1486*E1486,2)</f>
        <v>0.38</v>
      </c>
      <c r="H1486" s="110" t="n">
        <v>30</v>
      </c>
      <c r="I1486" s="111" t="n">
        <v>0.01274</v>
      </c>
      <c r="J1486" s="112" t="n">
        <f aca="false">ROUND(H1486*I1486,2)</f>
        <v>0.38</v>
      </c>
      <c r="L1486" s="113" t="n">
        <v>30</v>
      </c>
      <c r="M1486" s="114" t="n">
        <v>0.00629</v>
      </c>
      <c r="N1486" s="115" t="n">
        <f aca="false">ROUND(L1486*M1486,2)</f>
        <v>0.19</v>
      </c>
    </row>
    <row r="1487" customFormat="false" ht="15" hidden="false" customHeight="false" outlineLevel="0" collapsed="false">
      <c r="A1487" s="104" t="s">
        <v>141</v>
      </c>
      <c r="B1487" s="105" t="n">
        <v>2.26</v>
      </c>
      <c r="C1487" s="118"/>
      <c r="D1487" s="107" t="n">
        <v>0.02671</v>
      </c>
      <c r="E1487" s="108" t="n">
        <v>1</v>
      </c>
      <c r="F1487" s="109" t="n">
        <f aca="false">ROUND(B1487*E1487,2)</f>
        <v>2.26</v>
      </c>
      <c r="H1487" s="110" t="n">
        <v>2.3</v>
      </c>
      <c r="I1487" s="111" t="n">
        <v>1</v>
      </c>
      <c r="J1487" s="112" t="n">
        <f aca="false">ROUND(H1487*I1487,2)</f>
        <v>2.3</v>
      </c>
      <c r="L1487" s="113" t="n">
        <v>2.46</v>
      </c>
      <c r="M1487" s="114" t="n">
        <v>1</v>
      </c>
      <c r="N1487" s="115" t="n">
        <f aca="false">ROUND(L1487*M1487,2)</f>
        <v>2.46</v>
      </c>
    </row>
    <row r="1488" customFormat="false" ht="15" hidden="false" customHeight="false" outlineLevel="0" collapsed="false">
      <c r="A1488" s="121" t="s">
        <v>142</v>
      </c>
      <c r="F1488" s="122" t="n">
        <f aca="false">ROUND((SUM(F1480:F1487)-F1487)*1.1+F1487,2)</f>
        <v>55.49</v>
      </c>
      <c r="J1488" s="123" t="n">
        <f aca="false">ROUND(SUM(J1480:J1487),2)</f>
        <v>51.56</v>
      </c>
      <c r="N1488" s="124" t="n">
        <f aca="false">ROUND(SUM(N1480:N1487),2)</f>
        <v>54.59</v>
      </c>
    </row>
    <row r="1489" customFormat="false" ht="15" hidden="false" customHeight="false" outlineLevel="0" collapsed="false">
      <c r="A1489" s="93" t="s">
        <v>143</v>
      </c>
      <c r="B1489" s="125" t="n">
        <f aca="false">IF((F1484+F1483+F1482+F1480+F1481)=0,"",((F1484+F1483+F1482+F1480+F1481)-$AB$1482)/(F1484+F1483+F1482+F1480+F1481))</f>
        <v>0.140129333469666</v>
      </c>
      <c r="D1489" s="126" t="str">
        <f aca="false">IF(B1489="","SIN PC",IF(B1489&gt;=0.3,"APROBAR",IF(B1489&gt;=0.2,"REVISAR","RECHAZAR")))</f>
        <v>RECHAZAR</v>
      </c>
      <c r="E1489" s="126"/>
      <c r="F1489" s="126"/>
      <c r="AD1489" s="0" t="n">
        <f aca="false">SUM(F1482:F1484)-12.1518</f>
        <v>-0.00179999999999936</v>
      </c>
    </row>
    <row r="1491" customFormat="false" ht="15" hidden="false" customHeight="false" outlineLevel="0" collapsed="false">
      <c r="A1491" s="89" t="s">
        <v>1344</v>
      </c>
      <c r="B1491" s="89"/>
      <c r="C1491" s="89"/>
      <c r="D1491" s="89"/>
      <c r="E1491" s="89"/>
      <c r="F1491" s="89"/>
      <c r="H1491" s="89" t="s">
        <v>1345</v>
      </c>
      <c r="I1491" s="89"/>
      <c r="J1491" s="89"/>
      <c r="K1491" s="89"/>
      <c r="L1491" s="90" t="n">
        <v>46113</v>
      </c>
      <c r="M1491" s="91" t="s">
        <v>608</v>
      </c>
      <c r="N1491" s="90" t="n">
        <v>46142</v>
      </c>
      <c r="R1491" s="92" t="s">
        <v>110</v>
      </c>
      <c r="S1491" s="92"/>
      <c r="T1491" s="92"/>
      <c r="U1491" s="92"/>
      <c r="V1491" s="92"/>
    </row>
    <row r="1492" customFormat="false" ht="15" hidden="false" customHeight="false" outlineLevel="0" collapsed="false">
      <c r="A1492" s="93" t="s">
        <v>111</v>
      </c>
      <c r="B1492" s="94" t="s">
        <v>112</v>
      </c>
      <c r="C1492" s="95"/>
      <c r="D1492" s="95"/>
      <c r="E1492" s="95"/>
      <c r="F1492" s="95"/>
      <c r="H1492" s="96" t="s">
        <v>1346</v>
      </c>
      <c r="I1492" s="97"/>
      <c r="J1492" s="97"/>
      <c r="L1492" s="98" t="s">
        <v>1347</v>
      </c>
      <c r="M1492" s="99"/>
      <c r="N1492" s="99"/>
    </row>
    <row r="1493" customFormat="false" ht="15" hidden="false" customHeight="false" outlineLevel="0" collapsed="false">
      <c r="B1493" s="81" t="s">
        <v>116</v>
      </c>
      <c r="C1493" s="81" t="s">
        <v>117</v>
      </c>
      <c r="D1493" s="81" t="s">
        <v>118</v>
      </c>
      <c r="E1493" s="81" t="s">
        <v>119</v>
      </c>
      <c r="F1493" s="81" t="s">
        <v>120</v>
      </c>
      <c r="H1493" s="101" t="s">
        <v>116</v>
      </c>
      <c r="I1493" s="101" t="s">
        <v>119</v>
      </c>
      <c r="J1493" s="101" t="s">
        <v>120</v>
      </c>
      <c r="L1493" s="102" t="s">
        <v>116</v>
      </c>
      <c r="M1493" s="102" t="s">
        <v>119</v>
      </c>
      <c r="N1493" s="102" t="s">
        <v>120</v>
      </c>
    </row>
    <row r="1494" customFormat="false" ht="15" hidden="false" customHeight="false" outlineLevel="0" collapsed="false">
      <c r="A1494" s="104" t="s">
        <v>122</v>
      </c>
      <c r="B1494" s="105" t="n">
        <v>13.856</v>
      </c>
      <c r="C1494" s="106" t="n">
        <f aca="false">$N$1491-$L$1491+1</f>
        <v>30</v>
      </c>
      <c r="D1494" s="107" t="n">
        <v>3.40863</v>
      </c>
      <c r="E1494" s="108" t="n">
        <v>4.17</v>
      </c>
      <c r="F1494" s="109" t="n">
        <f aca="false">ROUND(B1494*E1494,2)</f>
        <v>57.78</v>
      </c>
      <c r="H1494" s="110" t="n">
        <v>13.856</v>
      </c>
      <c r="I1494" s="111" t="n">
        <v>4.17</v>
      </c>
      <c r="J1494" s="112" t="n">
        <f aca="false">ROUND(H1494*I1494,2)</f>
        <v>57.78</v>
      </c>
      <c r="L1494" s="113" t="n">
        <v>13.856</v>
      </c>
      <c r="M1494" s="114" t="n">
        <v>4.17</v>
      </c>
      <c r="N1494" s="115" t="n">
        <f aca="false">ROUND(L1494*M1494,2)</f>
        <v>57.78</v>
      </c>
    </row>
    <row r="1495" customFormat="false" ht="15" hidden="false" customHeight="false" outlineLevel="0" collapsed="false">
      <c r="A1495" s="104" t="s">
        <v>124</v>
      </c>
      <c r="B1495" s="105" t="n">
        <v>13.856</v>
      </c>
      <c r="C1495" s="106" t="n">
        <f aca="false">$N$1491-$L$1491+1</f>
        <v>30</v>
      </c>
      <c r="D1495" s="107" t="n">
        <v>1.44069</v>
      </c>
      <c r="E1495" s="108" t="n">
        <v>1.37</v>
      </c>
      <c r="F1495" s="109" t="n">
        <f aca="false">ROUND(B1495*E1495,2)</f>
        <v>18.98</v>
      </c>
      <c r="H1495" s="110" t="n">
        <v>13.856</v>
      </c>
      <c r="I1495" s="111" t="n">
        <v>1.37</v>
      </c>
      <c r="J1495" s="112" t="n">
        <f aca="false">ROUND(H1495*I1495,2)</f>
        <v>18.98</v>
      </c>
      <c r="L1495" s="113" t="n">
        <v>13.856</v>
      </c>
      <c r="M1495" s="114" t="n">
        <v>1.37</v>
      </c>
      <c r="N1495" s="115" t="n">
        <f aca="false">ROUND(L1495*M1495,2)</f>
        <v>18.98</v>
      </c>
    </row>
    <row r="1496" customFormat="false" ht="15" hidden="false" customHeight="false" outlineLevel="0" collapsed="false">
      <c r="A1496" s="104" t="s">
        <v>615</v>
      </c>
      <c r="B1496" s="105" t="n">
        <f aca="false">IF($P$1496&lt;&gt;"",ROUND(AA1496*(($AB$1496/(1-$P$1496))-76.7622)/55.7214,2),IF('Resumen 2.0TD'!$D$3="OPTIMIZAR",AA1496,AA1496))</f>
        <v>124.318</v>
      </c>
      <c r="C1496" s="118"/>
      <c r="D1496" s="107" t="n">
        <v>0.19081</v>
      </c>
      <c r="E1496" s="108" t="n">
        <v>0.14937</v>
      </c>
      <c r="F1496" s="109" t="n">
        <f aca="false">ROUND(B1496*E1496,2)</f>
        <v>18.57</v>
      </c>
      <c r="H1496" s="110" t="n">
        <v>194.676</v>
      </c>
      <c r="I1496" s="111" t="n">
        <v>0.14937</v>
      </c>
      <c r="J1496" s="112" t="n">
        <f aca="false">ROUND(H1496*I1496,2)</f>
        <v>29.08</v>
      </c>
      <c r="L1496" s="113" t="n">
        <v>117.591</v>
      </c>
      <c r="M1496" s="114" t="n">
        <v>0.14937</v>
      </c>
      <c r="N1496" s="115" t="n">
        <f aca="false">ROUND(L1496*M1496,2)</f>
        <v>17.56</v>
      </c>
      <c r="O1496" s="119" t="s">
        <v>616</v>
      </c>
      <c r="P1496" s="79"/>
      <c r="AA1496" s="0" t="n">
        <v>124.318</v>
      </c>
      <c r="AB1496" s="0" t="n">
        <f aca="false">B1494*D1494+B1495*D1495+AA1496*D1496+AA1497*D1497+AA1498*D1498</f>
        <v>138.37251275</v>
      </c>
    </row>
    <row r="1497" customFormat="false" ht="15" hidden="false" customHeight="false" outlineLevel="0" collapsed="false">
      <c r="A1497" s="104" t="s">
        <v>618</v>
      </c>
      <c r="B1497" s="105" t="n">
        <f aca="false">IF($P$1496&lt;&gt;"",ROUND(AA1497*(($AB$1496/(1-$P$1496))-76.7622)/55.7214,2),IF('Resumen 2.0TD'!$D$3="OPTIMIZAR",AA1497,AA1497))</f>
        <v>108.798</v>
      </c>
      <c r="C1497" s="118"/>
      <c r="D1497" s="107" t="n">
        <v>0.19081</v>
      </c>
      <c r="E1497" s="108" t="n">
        <v>0.14937</v>
      </c>
      <c r="F1497" s="109" t="n">
        <f aca="false">ROUND(B1497*E1497,2)</f>
        <v>16.25</v>
      </c>
      <c r="H1497" s="110" t="n">
        <v>143.386</v>
      </c>
      <c r="I1497" s="111" t="n">
        <v>0.14937</v>
      </c>
      <c r="J1497" s="112" t="n">
        <f aca="false">ROUND(H1497*I1497,2)</f>
        <v>21.42</v>
      </c>
      <c r="L1497" s="113" t="n">
        <v>117.588</v>
      </c>
      <c r="M1497" s="114" t="n">
        <v>0.14937</v>
      </c>
      <c r="N1497" s="115" t="n">
        <f aca="false">ROUND(L1497*M1497,2)</f>
        <v>17.56</v>
      </c>
      <c r="O1497" s="120" t="s">
        <v>619</v>
      </c>
      <c r="AA1497" s="0" t="n">
        <v>108.798</v>
      </c>
    </row>
    <row r="1498" customFormat="false" ht="15" hidden="false" customHeight="false" outlineLevel="0" collapsed="false">
      <c r="A1498" s="104" t="s">
        <v>621</v>
      </c>
      <c r="B1498" s="105" t="n">
        <f aca="false">IF($P$1496&lt;&gt;"",ROUND(AA1498*(($AB$1496/(1-$P$1496))-76.7622)/55.7214,2),IF('Resumen 2.0TD'!$D$3="OPTIMIZAR",AA1498,AA1498))</f>
        <v>139.927</v>
      </c>
      <c r="C1498" s="118"/>
      <c r="D1498" s="107" t="n">
        <v>0.19081</v>
      </c>
      <c r="E1498" s="108" t="n">
        <v>0.14937</v>
      </c>
      <c r="F1498" s="109" t="n">
        <f aca="false">ROUND(B1498*E1498,2)</f>
        <v>20.9</v>
      </c>
      <c r="H1498" s="110" t="n">
        <v>182.342</v>
      </c>
      <c r="I1498" s="111" t="n">
        <v>0.14937</v>
      </c>
      <c r="J1498" s="112" t="n">
        <f aca="false">ROUND(H1498*I1498,2)</f>
        <v>27.24</v>
      </c>
      <c r="L1498" s="113" t="n">
        <v>141.451</v>
      </c>
      <c r="M1498" s="114" t="n">
        <v>0.14937</v>
      </c>
      <c r="N1498" s="115" t="n">
        <f aca="false">ROUND(L1498*M1498,2)</f>
        <v>21.13</v>
      </c>
      <c r="O1498" s="120" t="s">
        <v>622</v>
      </c>
      <c r="AA1498" s="0" t="n">
        <v>139.927</v>
      </c>
    </row>
    <row r="1499" customFormat="false" ht="15" hidden="false" customHeight="false" outlineLevel="0" collapsed="false">
      <c r="A1499" s="104" t="s">
        <v>139</v>
      </c>
      <c r="B1499" s="105" t="n">
        <v>1</v>
      </c>
      <c r="C1499" s="106" t="n">
        <f aca="false">$N$1491-$L$1491+1</f>
        <v>30</v>
      </c>
      <c r="D1499" s="107" t="n">
        <v>1.3414</v>
      </c>
      <c r="E1499" s="108" t="n">
        <v>4</v>
      </c>
      <c r="F1499" s="109" t="n">
        <f aca="false">ROUND(B1499*E1499,2)</f>
        <v>4</v>
      </c>
      <c r="H1499" s="110" t="n">
        <v>1</v>
      </c>
      <c r="I1499" s="111" t="n">
        <v>4</v>
      </c>
      <c r="J1499" s="112" t="n">
        <f aca="false">ROUND(H1499*I1499,2)</f>
        <v>4</v>
      </c>
      <c r="L1499" s="113" t="n">
        <v>1</v>
      </c>
      <c r="M1499" s="114" t="n">
        <v>4</v>
      </c>
      <c r="N1499" s="115" t="n">
        <f aca="false">ROUND(L1499*M1499,2)</f>
        <v>4</v>
      </c>
    </row>
    <row r="1500" customFormat="false" ht="15" hidden="false" customHeight="false" outlineLevel="0" collapsed="false">
      <c r="A1500" s="104" t="s">
        <v>140</v>
      </c>
      <c r="B1500" s="105" t="n">
        <v>30</v>
      </c>
      <c r="C1500" s="106" t="n">
        <f aca="false">$N$1491-$L$1491+1</f>
        <v>30</v>
      </c>
      <c r="D1500" s="107" t="n">
        <v>0.5736</v>
      </c>
      <c r="E1500" s="108" t="n">
        <v>0.01274</v>
      </c>
      <c r="F1500" s="109" t="n">
        <f aca="false">ROUND(B1500*E1500,2)</f>
        <v>0.38</v>
      </c>
      <c r="H1500" s="110" t="n">
        <v>30</v>
      </c>
      <c r="I1500" s="111" t="n">
        <v>0.01274</v>
      </c>
      <c r="J1500" s="112" t="n">
        <f aca="false">ROUND(H1500*I1500,2)</f>
        <v>0.38</v>
      </c>
      <c r="L1500" s="113" t="n">
        <v>30</v>
      </c>
      <c r="M1500" s="114" t="n">
        <v>0.00629</v>
      </c>
      <c r="N1500" s="115" t="n">
        <f aca="false">ROUND(L1500*M1500,2)</f>
        <v>0.19</v>
      </c>
    </row>
    <row r="1501" customFormat="false" ht="15" hidden="false" customHeight="false" outlineLevel="0" collapsed="false">
      <c r="A1501" s="104" t="s">
        <v>141</v>
      </c>
      <c r="B1501" s="105" t="n">
        <v>6.78</v>
      </c>
      <c r="C1501" s="118"/>
      <c r="D1501" s="107" t="n">
        <v>0.2772</v>
      </c>
      <c r="E1501" s="108" t="n">
        <v>1</v>
      </c>
      <c r="F1501" s="109" t="n">
        <f aca="false">ROUND(B1501*E1501,2)</f>
        <v>6.78</v>
      </c>
      <c r="H1501" s="110" t="n">
        <v>7.9</v>
      </c>
      <c r="I1501" s="111" t="n">
        <v>1</v>
      </c>
      <c r="J1501" s="112" t="n">
        <f aca="false">ROUND(H1501*I1501,2)</f>
        <v>7.9</v>
      </c>
      <c r="L1501" s="113" t="n">
        <v>6.81</v>
      </c>
      <c r="M1501" s="114" t="n">
        <v>1</v>
      </c>
      <c r="N1501" s="115" t="n">
        <f aca="false">ROUND(L1501*M1501,2)</f>
        <v>6.81</v>
      </c>
    </row>
    <row r="1502" customFormat="false" ht="15" hidden="false" customHeight="false" outlineLevel="0" collapsed="false">
      <c r="A1502" s="121" t="s">
        <v>142</v>
      </c>
      <c r="F1502" s="122" t="n">
        <f aca="false">ROUND((SUM(F1494:F1501)-F1501)*1.1+F1501,2)</f>
        <v>157.33</v>
      </c>
      <c r="J1502" s="123" t="n">
        <f aca="false">ROUND(SUM(J1494:J1501),2)</f>
        <v>166.78</v>
      </c>
      <c r="N1502" s="124" t="n">
        <f aca="false">ROUND(SUM(N1494:N1501),2)</f>
        <v>144.01</v>
      </c>
    </row>
    <row r="1503" customFormat="false" ht="15" hidden="false" customHeight="false" outlineLevel="0" collapsed="false">
      <c r="A1503" s="93" t="s">
        <v>143</v>
      </c>
      <c r="B1503" s="125" t="n">
        <f aca="false">IF((F1498+F1497+F1496+F1494+F1495)=0,"",((F1498+F1497+F1496+F1494+F1495)-$AB$1496)/(F1498+F1497+F1496+F1494+F1495))</f>
        <v>-0.0444785080766909</v>
      </c>
      <c r="D1503" s="126" t="str">
        <f aca="false">IF(B1503="","SIN PC",IF(B1503&gt;=0.3,"APROBAR",IF(B1503&gt;=0.2,"REVISAR","RECHAZAR")))</f>
        <v>RECHAZAR</v>
      </c>
      <c r="E1503" s="126"/>
      <c r="F1503" s="126"/>
      <c r="AD1503" s="0" t="n">
        <f aca="false">SUM(F1496:F1498)-55.7214</f>
        <v>-0.00140000000000384</v>
      </c>
    </row>
    <row r="1505" customFormat="false" ht="15" hidden="false" customHeight="false" outlineLevel="0" collapsed="false">
      <c r="A1505" s="89" t="s">
        <v>1348</v>
      </c>
      <c r="B1505" s="89"/>
      <c r="C1505" s="89"/>
      <c r="D1505" s="89"/>
      <c r="E1505" s="89"/>
      <c r="F1505" s="89"/>
      <c r="H1505" s="89" t="s">
        <v>1349</v>
      </c>
      <c r="I1505" s="89"/>
      <c r="J1505" s="89"/>
      <c r="K1505" s="89"/>
      <c r="L1505" s="90" t="n">
        <v>46113</v>
      </c>
      <c r="M1505" s="91" t="s">
        <v>608</v>
      </c>
      <c r="N1505" s="90" t="n">
        <v>46142</v>
      </c>
      <c r="R1505" s="92" t="s">
        <v>110</v>
      </c>
      <c r="S1505" s="92"/>
      <c r="T1505" s="92"/>
      <c r="U1505" s="92"/>
      <c r="V1505" s="92"/>
    </row>
    <row r="1506" customFormat="false" ht="15" hidden="false" customHeight="false" outlineLevel="0" collapsed="false">
      <c r="A1506" s="93" t="s">
        <v>111</v>
      </c>
      <c r="B1506" s="94" t="s">
        <v>112</v>
      </c>
      <c r="C1506" s="95"/>
      <c r="D1506" s="95"/>
      <c r="E1506" s="95"/>
      <c r="F1506" s="95"/>
      <c r="H1506" s="96" t="s">
        <v>1350</v>
      </c>
      <c r="I1506" s="97"/>
      <c r="J1506" s="97"/>
      <c r="L1506" s="98" t="s">
        <v>797</v>
      </c>
      <c r="M1506" s="99"/>
      <c r="N1506" s="99"/>
      <c r="R1506" s="100" t="s">
        <v>798</v>
      </c>
    </row>
    <row r="1507" customFormat="false" ht="15" hidden="false" customHeight="false" outlineLevel="0" collapsed="false">
      <c r="B1507" s="81" t="s">
        <v>116</v>
      </c>
      <c r="C1507" s="81" t="s">
        <v>117</v>
      </c>
      <c r="D1507" s="81" t="s">
        <v>118</v>
      </c>
      <c r="E1507" s="81" t="s">
        <v>119</v>
      </c>
      <c r="F1507" s="81" t="s">
        <v>120</v>
      </c>
      <c r="H1507" s="101" t="s">
        <v>116</v>
      </c>
      <c r="I1507" s="101" t="s">
        <v>119</v>
      </c>
      <c r="J1507" s="101" t="s">
        <v>120</v>
      </c>
      <c r="L1507" s="102" t="s">
        <v>116</v>
      </c>
      <c r="M1507" s="102" t="s">
        <v>119</v>
      </c>
      <c r="N1507" s="102" t="s">
        <v>120</v>
      </c>
      <c r="R1507" s="103" t="s">
        <v>765</v>
      </c>
    </row>
    <row r="1508" customFormat="false" ht="15" hidden="false" customHeight="false" outlineLevel="0" collapsed="false">
      <c r="A1508" s="104" t="s">
        <v>122</v>
      </c>
      <c r="B1508" s="105" t="n">
        <v>5.5</v>
      </c>
      <c r="C1508" s="106" t="n">
        <f aca="false">$N$1505-$L$1505+1</f>
        <v>30</v>
      </c>
      <c r="D1508" s="107" t="n">
        <v>3.40863</v>
      </c>
      <c r="E1508" s="108" t="n">
        <v>4.17</v>
      </c>
      <c r="F1508" s="109" t="n">
        <f aca="false">ROUND(B1508*E1508,2)</f>
        <v>22.94</v>
      </c>
      <c r="H1508" s="110" t="n">
        <v>5.5</v>
      </c>
      <c r="I1508" s="111" t="n">
        <v>4.17</v>
      </c>
      <c r="J1508" s="112" t="n">
        <f aca="false">ROUND(H1508*I1508,2)</f>
        <v>22.94</v>
      </c>
      <c r="L1508" s="136"/>
      <c r="M1508" s="136"/>
      <c r="N1508" s="136"/>
      <c r="R1508" s="116" t="s">
        <v>799</v>
      </c>
    </row>
    <row r="1509" customFormat="false" ht="15" hidden="false" customHeight="false" outlineLevel="0" collapsed="false">
      <c r="A1509" s="104" t="s">
        <v>124</v>
      </c>
      <c r="B1509" s="105" t="n">
        <v>5.5</v>
      </c>
      <c r="C1509" s="106" t="n">
        <f aca="false">$N$1505-$L$1505+1</f>
        <v>30</v>
      </c>
      <c r="D1509" s="107" t="n">
        <v>1.44069</v>
      </c>
      <c r="E1509" s="108" t="n">
        <v>1.37</v>
      </c>
      <c r="F1509" s="109" t="n">
        <f aca="false">ROUND(B1509*E1509,2)</f>
        <v>7.54</v>
      </c>
      <c r="H1509" s="110" t="n">
        <v>5.5</v>
      </c>
      <c r="I1509" s="111" t="n">
        <v>1.37</v>
      </c>
      <c r="J1509" s="112" t="n">
        <f aca="false">ROUND(H1509*I1509,2)</f>
        <v>7.54</v>
      </c>
      <c r="L1509" s="136"/>
      <c r="M1509" s="136"/>
      <c r="N1509" s="136"/>
    </row>
    <row r="1510" customFormat="false" ht="15" hidden="false" customHeight="false" outlineLevel="0" collapsed="false">
      <c r="A1510" s="104" t="s">
        <v>615</v>
      </c>
      <c r="B1510" s="105" t="n">
        <f aca="false">IF($P$1510&lt;&gt;"",ROUND(AA1510*(($AB$1510/(1-$P$1510))-30.47)/56.2545,2),IF('Resumen 2.0TD'!$D$3="OPTIMIZAR",AA1510,AA1510))</f>
        <v>107.426</v>
      </c>
      <c r="C1510" s="118"/>
      <c r="D1510" s="107" t="n">
        <v>0.18051</v>
      </c>
      <c r="E1510" s="108" t="n">
        <v>0.14937</v>
      </c>
      <c r="F1510" s="109" t="n">
        <f aca="false">ROUND(B1510*E1510,2)</f>
        <v>16.05</v>
      </c>
      <c r="H1510" s="110" t="n">
        <v>173.788</v>
      </c>
      <c r="I1510" s="111" t="n">
        <v>0.14937</v>
      </c>
      <c r="J1510" s="112" t="n">
        <f aca="false">ROUND(H1510*I1510,2)</f>
        <v>25.96</v>
      </c>
      <c r="L1510" s="136"/>
      <c r="M1510" s="136"/>
      <c r="N1510" s="136"/>
      <c r="O1510" s="119" t="s">
        <v>616</v>
      </c>
      <c r="P1510" s="79"/>
      <c r="AA1510" s="0" t="n">
        <v>107.426</v>
      </c>
      <c r="AB1510" s="0" t="n">
        <f aca="false">B1508*D1508+B1509*D1509+AA1510*D1510+AA1511*D1511+AA1512*D1512</f>
        <v>94.65349212</v>
      </c>
    </row>
    <row r="1511" customFormat="false" ht="15" hidden="false" customHeight="false" outlineLevel="0" collapsed="false">
      <c r="A1511" s="104" t="s">
        <v>618</v>
      </c>
      <c r="B1511" s="105" t="n">
        <f aca="false">IF($P$1510&lt;&gt;"",ROUND(AA1511*(($AB$1510/(1-$P$1510))-30.47)/56.2545,2),IF('Resumen 2.0TD'!$D$3="OPTIMIZAR",AA1511,AA1511))</f>
        <v>73.148</v>
      </c>
      <c r="C1511" s="118"/>
      <c r="D1511" s="107" t="n">
        <v>0.18051</v>
      </c>
      <c r="E1511" s="108" t="n">
        <v>0.14937</v>
      </c>
      <c r="F1511" s="109" t="n">
        <f aca="false">ROUND(B1511*E1511,2)</f>
        <v>10.93</v>
      </c>
      <c r="H1511" s="110" t="n">
        <v>142.743</v>
      </c>
      <c r="I1511" s="111" t="n">
        <v>0.14937</v>
      </c>
      <c r="J1511" s="112" t="n">
        <f aca="false">ROUND(H1511*I1511,2)</f>
        <v>21.32</v>
      </c>
      <c r="L1511" s="136"/>
      <c r="M1511" s="136"/>
      <c r="N1511" s="136"/>
      <c r="O1511" s="120" t="s">
        <v>619</v>
      </c>
      <c r="R1511" s="117" t="s">
        <v>620</v>
      </c>
      <c r="AA1511" s="0" t="n">
        <v>73.148</v>
      </c>
    </row>
    <row r="1512" customFormat="false" ht="15" hidden="false" customHeight="false" outlineLevel="0" collapsed="false">
      <c r="A1512" s="104" t="s">
        <v>621</v>
      </c>
      <c r="B1512" s="105" t="n">
        <f aca="false">IF($P$1510&lt;&gt;"",ROUND(AA1512*(($AB$1510/(1-$P$1510))-30.47)/56.2545,2),IF('Resumen 2.0TD'!$D$3="OPTIMIZAR",AA1512,AA1512))</f>
        <v>196.038</v>
      </c>
      <c r="C1512" s="118"/>
      <c r="D1512" s="107" t="n">
        <v>0.18051</v>
      </c>
      <c r="E1512" s="108" t="n">
        <v>0.14937</v>
      </c>
      <c r="F1512" s="109" t="n">
        <f aca="false">ROUND(B1512*E1512,2)</f>
        <v>29.28</v>
      </c>
      <c r="H1512" s="110" t="n">
        <v>279.845</v>
      </c>
      <c r="I1512" s="111" t="n">
        <v>0.14937</v>
      </c>
      <c r="J1512" s="112" t="n">
        <f aca="false">ROUND(H1512*I1512,2)</f>
        <v>41.8</v>
      </c>
      <c r="L1512" s="136"/>
      <c r="M1512" s="136"/>
      <c r="N1512" s="136"/>
      <c r="O1512" s="120" t="s">
        <v>622</v>
      </c>
      <c r="AA1512" s="0" t="n">
        <v>196.038</v>
      </c>
    </row>
    <row r="1513" customFormat="false" ht="15" hidden="false" customHeight="false" outlineLevel="0" collapsed="false">
      <c r="A1513" s="104" t="s">
        <v>139</v>
      </c>
      <c r="B1513" s="105" t="n">
        <v>1</v>
      </c>
      <c r="C1513" s="106" t="n">
        <f aca="false">$N$1505-$L$1505+1</f>
        <v>30</v>
      </c>
      <c r="D1513" s="107" t="n">
        <v>0.7989</v>
      </c>
      <c r="E1513" s="108" t="n">
        <v>4</v>
      </c>
      <c r="F1513" s="109" t="n">
        <f aca="false">ROUND(B1513*E1513,2)</f>
        <v>4</v>
      </c>
      <c r="H1513" s="110" t="n">
        <v>1</v>
      </c>
      <c r="I1513" s="111" t="n">
        <v>4</v>
      </c>
      <c r="J1513" s="112" t="n">
        <f aca="false">ROUND(H1513*I1513,2)</f>
        <v>4</v>
      </c>
      <c r="L1513" s="136"/>
      <c r="M1513" s="136"/>
      <c r="N1513" s="136"/>
    </row>
    <row r="1514" customFormat="false" ht="15" hidden="false" customHeight="false" outlineLevel="0" collapsed="false">
      <c r="A1514" s="104" t="s">
        <v>140</v>
      </c>
      <c r="B1514" s="105" t="n">
        <v>30</v>
      </c>
      <c r="C1514" s="106" t="n">
        <f aca="false">$N$1505-$L$1505+1</f>
        <v>30</v>
      </c>
      <c r="D1514" s="107" t="n">
        <v>0.5736</v>
      </c>
      <c r="E1514" s="108" t="n">
        <v>0.01274</v>
      </c>
      <c r="F1514" s="109" t="n">
        <f aca="false">ROUND(B1514*E1514,2)</f>
        <v>0.38</v>
      </c>
      <c r="H1514" s="110" t="n">
        <v>30</v>
      </c>
      <c r="I1514" s="111" t="n">
        <v>0.01274</v>
      </c>
      <c r="J1514" s="112" t="n">
        <f aca="false">ROUND(H1514*I1514,2)</f>
        <v>0.38</v>
      </c>
      <c r="L1514" s="136"/>
      <c r="M1514" s="136"/>
      <c r="N1514" s="136"/>
    </row>
    <row r="1515" customFormat="false" ht="15" hidden="false" customHeight="false" outlineLevel="0" collapsed="false">
      <c r="A1515" s="104" t="s">
        <v>141</v>
      </c>
      <c r="B1515" s="105" t="n">
        <v>4.44</v>
      </c>
      <c r="C1515" s="118"/>
      <c r="D1515" s="107" t="n">
        <v>0.27562</v>
      </c>
      <c r="E1515" s="108" t="n">
        <v>1</v>
      </c>
      <c r="F1515" s="109" t="n">
        <f aca="false">ROUND(B1515*E1515,2)</f>
        <v>4.44</v>
      </c>
      <c r="H1515" s="110" t="n">
        <v>6.12</v>
      </c>
      <c r="I1515" s="111" t="n">
        <v>1</v>
      </c>
      <c r="J1515" s="112" t="n">
        <f aca="false">ROUND(H1515*I1515,2)</f>
        <v>6.12</v>
      </c>
      <c r="L1515" s="136"/>
      <c r="M1515" s="136"/>
      <c r="N1515" s="136"/>
    </row>
    <row r="1516" customFormat="false" ht="15" hidden="false" customHeight="false" outlineLevel="0" collapsed="false">
      <c r="A1516" s="121" t="s">
        <v>142</v>
      </c>
      <c r="F1516" s="122" t="n">
        <f aca="false">ROUND((SUM(F1508:F1515)-F1515)*1.1+F1515,2)</f>
        <v>104.67</v>
      </c>
      <c r="J1516" s="123" t="n">
        <f aca="false">ROUND(SUM(J1508:J1515),2)</f>
        <v>130.06</v>
      </c>
      <c r="N1516" s="137"/>
    </row>
    <row r="1517" customFormat="false" ht="15" hidden="false" customHeight="false" outlineLevel="0" collapsed="false">
      <c r="A1517" s="93" t="s">
        <v>143</v>
      </c>
      <c r="B1517" s="125" t="n">
        <f aca="false">IF((F1512+F1511+F1510+F1508+F1509)=0,"",((F1512+F1511+F1510+F1508+F1509)-$AB$1510)/(F1512+F1511+F1510+F1508+F1509))</f>
        <v>-0.0912323278764123</v>
      </c>
      <c r="D1517" s="126" t="str">
        <f aca="false">IF(B1517="","SIN PC",IF(B1517&gt;=0.3,"APROBAR",IF(B1517&gt;=0.2,"REVISAR","RECHAZAR")))</f>
        <v>RECHAZAR</v>
      </c>
      <c r="E1517" s="126"/>
      <c r="F1517" s="126"/>
      <c r="AD1517" s="0" t="n">
        <f aca="false">SUM(F1510:F1512)-56.2545</f>
        <v>0.00550000000000495</v>
      </c>
    </row>
    <row r="1519" customFormat="false" ht="15" hidden="false" customHeight="false" outlineLevel="0" collapsed="false">
      <c r="A1519" s="89" t="s">
        <v>1351</v>
      </c>
      <c r="B1519" s="89"/>
      <c r="C1519" s="89"/>
      <c r="D1519" s="89"/>
      <c r="E1519" s="89"/>
      <c r="F1519" s="89"/>
      <c r="H1519" s="89" t="s">
        <v>1352</v>
      </c>
      <c r="I1519" s="89"/>
      <c r="J1519" s="89"/>
      <c r="K1519" s="89"/>
      <c r="L1519" s="90" t="n">
        <v>46113</v>
      </c>
      <c r="M1519" s="91" t="s">
        <v>608</v>
      </c>
      <c r="N1519" s="90" t="n">
        <v>46142</v>
      </c>
      <c r="R1519" s="92" t="s">
        <v>110</v>
      </c>
      <c r="S1519" s="92"/>
      <c r="T1519" s="92"/>
      <c r="U1519" s="92"/>
      <c r="V1519" s="92"/>
    </row>
    <row r="1520" customFormat="false" ht="15" hidden="false" customHeight="false" outlineLevel="0" collapsed="false">
      <c r="A1520" s="93" t="s">
        <v>111</v>
      </c>
      <c r="B1520" s="94" t="s">
        <v>112</v>
      </c>
      <c r="C1520" s="95"/>
      <c r="D1520" s="95"/>
      <c r="E1520" s="95"/>
      <c r="F1520" s="95"/>
      <c r="H1520" s="96" t="s">
        <v>1353</v>
      </c>
      <c r="I1520" s="97"/>
      <c r="J1520" s="97"/>
      <c r="L1520" s="98" t="s">
        <v>1354</v>
      </c>
      <c r="M1520" s="99"/>
      <c r="N1520" s="99"/>
      <c r="R1520" s="100" t="s">
        <v>764</v>
      </c>
    </row>
    <row r="1521" customFormat="false" ht="15" hidden="false" customHeight="false" outlineLevel="0" collapsed="false">
      <c r="B1521" s="81" t="s">
        <v>116</v>
      </c>
      <c r="C1521" s="81" t="s">
        <v>117</v>
      </c>
      <c r="D1521" s="81" t="s">
        <v>118</v>
      </c>
      <c r="E1521" s="81" t="s">
        <v>119</v>
      </c>
      <c r="F1521" s="81" t="s">
        <v>120</v>
      </c>
      <c r="H1521" s="101" t="s">
        <v>116</v>
      </c>
      <c r="I1521" s="101" t="s">
        <v>119</v>
      </c>
      <c r="J1521" s="101" t="s">
        <v>120</v>
      </c>
      <c r="L1521" s="102" t="s">
        <v>116</v>
      </c>
      <c r="M1521" s="102" t="s">
        <v>119</v>
      </c>
      <c r="N1521" s="102" t="s">
        <v>120</v>
      </c>
      <c r="R1521" s="103" t="s">
        <v>765</v>
      </c>
    </row>
    <row r="1522" customFormat="false" ht="15" hidden="false" customHeight="false" outlineLevel="0" collapsed="false">
      <c r="A1522" s="104" t="s">
        <v>122</v>
      </c>
      <c r="B1522" s="105" t="n">
        <v>5.75</v>
      </c>
      <c r="C1522" s="106" t="n">
        <f aca="false">$N$1519-$L$1519+1</f>
        <v>30</v>
      </c>
      <c r="D1522" s="107" t="n">
        <v>3.68919</v>
      </c>
      <c r="E1522" s="108" t="n">
        <v>4.17</v>
      </c>
      <c r="F1522" s="109" t="n">
        <f aca="false">ROUND(B1522*E1522,2)</f>
        <v>23.98</v>
      </c>
      <c r="H1522" s="110" t="n">
        <v>5.75</v>
      </c>
      <c r="I1522" s="111" t="n">
        <v>4.17</v>
      </c>
      <c r="J1522" s="112" t="n">
        <f aca="false">ROUND(H1522*I1522,2)</f>
        <v>23.98</v>
      </c>
      <c r="L1522" s="113" t="n">
        <v>5.75</v>
      </c>
      <c r="M1522" s="114" t="n">
        <v>4.17</v>
      </c>
      <c r="N1522" s="115" t="n">
        <f aca="false">ROUND(L1522*M1522,2)</f>
        <v>23.98</v>
      </c>
      <c r="R1522" s="116" t="s">
        <v>766</v>
      </c>
    </row>
    <row r="1523" customFormat="false" ht="15" hidden="false" customHeight="false" outlineLevel="0" collapsed="false">
      <c r="A1523" s="104" t="s">
        <v>124</v>
      </c>
      <c r="B1523" s="105" t="n">
        <v>5.75</v>
      </c>
      <c r="C1523" s="106" t="n">
        <f aca="false">$N$1519-$L$1519+1</f>
        <v>30</v>
      </c>
      <c r="D1523" s="107" t="n">
        <v>1.31928</v>
      </c>
      <c r="E1523" s="108" t="n">
        <v>1.37</v>
      </c>
      <c r="F1523" s="109" t="n">
        <f aca="false">ROUND(B1523*E1523,2)</f>
        <v>7.88</v>
      </c>
      <c r="H1523" s="110" t="n">
        <v>5.75</v>
      </c>
      <c r="I1523" s="111" t="n">
        <v>1.37</v>
      </c>
      <c r="J1523" s="112" t="n">
        <f aca="false">ROUND(H1523*I1523,2)</f>
        <v>7.88</v>
      </c>
      <c r="L1523" s="113" t="n">
        <v>5.75</v>
      </c>
      <c r="M1523" s="114" t="n">
        <v>1.37</v>
      </c>
      <c r="N1523" s="115" t="n">
        <f aca="false">ROUND(L1523*M1523,2)</f>
        <v>7.88</v>
      </c>
    </row>
    <row r="1524" customFormat="false" ht="15" hidden="false" customHeight="false" outlineLevel="0" collapsed="false">
      <c r="A1524" s="104" t="s">
        <v>615</v>
      </c>
      <c r="B1524" s="105" t="n">
        <f aca="false">IF($P$1524&lt;&gt;"",ROUND(AA1524*(($AB$1524/(1-$P$1524))-31.855)/47.8952,2),IF('Resumen 2.0TD'!$D$3="OPTIMIZAR",AA1524,AA1524))</f>
        <v>108.472</v>
      </c>
      <c r="C1524" s="118"/>
      <c r="D1524" s="107" t="n">
        <v>0.111171</v>
      </c>
      <c r="E1524" s="108" t="n">
        <v>0.14937</v>
      </c>
      <c r="F1524" s="109" t="n">
        <f aca="false">ROUND(B1524*E1524,2)</f>
        <v>16.2</v>
      </c>
      <c r="H1524" s="110" t="n">
        <v>159.088</v>
      </c>
      <c r="I1524" s="111" t="n">
        <v>0.14937</v>
      </c>
      <c r="J1524" s="112" t="n">
        <f aca="false">ROUND(H1524*I1524,2)</f>
        <v>23.76</v>
      </c>
      <c r="L1524" s="113" t="n">
        <v>92.807</v>
      </c>
      <c r="M1524" s="114" t="n">
        <v>0.14937</v>
      </c>
      <c r="N1524" s="115" t="n">
        <f aca="false">ROUND(L1524*M1524,2)</f>
        <v>13.86</v>
      </c>
      <c r="O1524" s="119" t="s">
        <v>616</v>
      </c>
      <c r="P1524" s="79"/>
      <c r="AA1524" s="0" t="n">
        <v>108.472</v>
      </c>
      <c r="AB1524" s="0" t="n">
        <f aca="false">B1522*D1522+B1523*D1523+AA1524*D1524+AA1525*D1525+AA1526*D1526</f>
        <v>64.445461308</v>
      </c>
    </row>
    <row r="1525" customFormat="false" ht="15" hidden="false" customHeight="false" outlineLevel="0" collapsed="false">
      <c r="A1525" s="104" t="s">
        <v>618</v>
      </c>
      <c r="B1525" s="105" t="n">
        <f aca="false">IF($P$1524&lt;&gt;"",ROUND(AA1525*(($AB$1524/(1-$P$1524))-31.855)/47.8952,2),IF('Resumen 2.0TD'!$D$3="OPTIMIZAR",AA1525,AA1525))</f>
        <v>82.25</v>
      </c>
      <c r="C1525" s="118"/>
      <c r="D1525" s="107" t="n">
        <v>0.111171</v>
      </c>
      <c r="E1525" s="108" t="n">
        <v>0.14937</v>
      </c>
      <c r="F1525" s="109" t="n">
        <f aca="false">ROUND(B1525*E1525,2)</f>
        <v>12.29</v>
      </c>
      <c r="H1525" s="110" t="n">
        <v>125.792</v>
      </c>
      <c r="I1525" s="111" t="n">
        <v>0.14937</v>
      </c>
      <c r="J1525" s="112" t="n">
        <f aca="false">ROUND(H1525*I1525,2)</f>
        <v>18.79</v>
      </c>
      <c r="L1525" s="113" t="n">
        <v>73.801</v>
      </c>
      <c r="M1525" s="114" t="n">
        <v>0.14937</v>
      </c>
      <c r="N1525" s="115" t="n">
        <f aca="false">ROUND(L1525*M1525,2)</f>
        <v>11.02</v>
      </c>
      <c r="O1525" s="120" t="s">
        <v>619</v>
      </c>
      <c r="R1525" s="117" t="s">
        <v>620</v>
      </c>
      <c r="AA1525" s="0" t="n">
        <v>82.25</v>
      </c>
    </row>
    <row r="1526" customFormat="false" ht="15" hidden="false" customHeight="false" outlineLevel="0" collapsed="false">
      <c r="A1526" s="104" t="s">
        <v>621</v>
      </c>
      <c r="B1526" s="105" t="n">
        <f aca="false">IF($P$1524&lt;&gt;"",ROUND(AA1526*(($AB$1524/(1-$P$1524))-31.855)/47.8952,2),IF('Resumen 2.0TD'!$D$3="OPTIMIZAR",AA1526,AA1526))</f>
        <v>129.926</v>
      </c>
      <c r="C1526" s="118"/>
      <c r="D1526" s="107" t="n">
        <v>0.111171</v>
      </c>
      <c r="E1526" s="108" t="n">
        <v>0.14937</v>
      </c>
      <c r="F1526" s="109" t="n">
        <f aca="false">ROUND(B1526*E1526,2)</f>
        <v>19.41</v>
      </c>
      <c r="H1526" s="110" t="n">
        <v>169.145</v>
      </c>
      <c r="I1526" s="111" t="n">
        <v>0.14937</v>
      </c>
      <c r="J1526" s="112" t="n">
        <f aca="false">ROUND(H1526*I1526,2)</f>
        <v>25.27</v>
      </c>
      <c r="L1526" s="113" t="n">
        <v>139.831</v>
      </c>
      <c r="M1526" s="114" t="n">
        <v>0.14937</v>
      </c>
      <c r="N1526" s="115" t="n">
        <f aca="false">ROUND(L1526*M1526,2)</f>
        <v>20.89</v>
      </c>
      <c r="O1526" s="120" t="s">
        <v>622</v>
      </c>
      <c r="AA1526" s="0" t="n">
        <v>129.926</v>
      </c>
    </row>
    <row r="1527" customFormat="false" ht="15" hidden="false" customHeight="false" outlineLevel="0" collapsed="false">
      <c r="A1527" s="104" t="s">
        <v>139</v>
      </c>
      <c r="B1527" s="105" t="n">
        <v>1</v>
      </c>
      <c r="C1527" s="106" t="n">
        <f aca="false">$N$1519-$L$1519+1</f>
        <v>30</v>
      </c>
      <c r="D1527" s="107" t="n">
        <v>0.7989</v>
      </c>
      <c r="E1527" s="108" t="n">
        <v>4</v>
      </c>
      <c r="F1527" s="109" t="n">
        <f aca="false">ROUND(B1527*E1527,2)</f>
        <v>4</v>
      </c>
      <c r="H1527" s="110" t="n">
        <v>1</v>
      </c>
      <c r="I1527" s="111" t="n">
        <v>4</v>
      </c>
      <c r="J1527" s="112" t="n">
        <f aca="false">ROUND(H1527*I1527,2)</f>
        <v>4</v>
      </c>
      <c r="L1527" s="113" t="n">
        <v>1</v>
      </c>
      <c r="M1527" s="114" t="n">
        <v>4</v>
      </c>
      <c r="N1527" s="115" t="n">
        <f aca="false">ROUND(L1527*M1527,2)</f>
        <v>4</v>
      </c>
    </row>
    <row r="1528" customFormat="false" ht="15" hidden="false" customHeight="false" outlineLevel="0" collapsed="false">
      <c r="A1528" s="104" t="s">
        <v>140</v>
      </c>
      <c r="B1528" s="105" t="n">
        <v>30</v>
      </c>
      <c r="C1528" s="106" t="n">
        <f aca="false">$N$1519-$L$1519+1</f>
        <v>30</v>
      </c>
      <c r="D1528" s="107" t="n">
        <v>0.5736</v>
      </c>
      <c r="E1528" s="108" t="n">
        <v>0.01274</v>
      </c>
      <c r="F1528" s="109" t="n">
        <f aca="false">ROUND(B1528*E1528,2)</f>
        <v>0.38</v>
      </c>
      <c r="H1528" s="110" t="n">
        <v>30</v>
      </c>
      <c r="I1528" s="111" t="n">
        <v>0.01274</v>
      </c>
      <c r="J1528" s="112" t="n">
        <f aca="false">ROUND(H1528*I1528,2)</f>
        <v>0.38</v>
      </c>
      <c r="L1528" s="113" t="n">
        <v>30</v>
      </c>
      <c r="M1528" s="114" t="n">
        <v>0.00629</v>
      </c>
      <c r="N1528" s="115" t="n">
        <f aca="false">ROUND(L1528*M1528,2)</f>
        <v>0.19</v>
      </c>
    </row>
    <row r="1529" customFormat="false" ht="15" hidden="false" customHeight="false" outlineLevel="0" collapsed="false">
      <c r="A1529" s="104" t="s">
        <v>141</v>
      </c>
      <c r="B1529" s="105" t="n">
        <v>4.09</v>
      </c>
      <c r="C1529" s="118"/>
      <c r="D1529" s="107" t="n">
        <v>0.27312</v>
      </c>
      <c r="E1529" s="108" t="n">
        <v>1</v>
      </c>
      <c r="F1529" s="109" t="n">
        <f aca="false">ROUND(B1529*E1529,2)</f>
        <v>4.09</v>
      </c>
      <c r="H1529" s="110" t="n">
        <v>5.1</v>
      </c>
      <c r="I1529" s="111" t="n">
        <v>1</v>
      </c>
      <c r="J1529" s="112" t="n">
        <f aca="false">ROUND(H1529*I1529,2)</f>
        <v>5.1</v>
      </c>
      <c r="L1529" s="113" t="n">
        <v>3.98</v>
      </c>
      <c r="M1529" s="114" t="n">
        <v>1</v>
      </c>
      <c r="N1529" s="115" t="n">
        <f aca="false">ROUND(L1529*M1529,2)</f>
        <v>3.98</v>
      </c>
    </row>
    <row r="1530" customFormat="false" ht="15" hidden="false" customHeight="false" outlineLevel="0" collapsed="false">
      <c r="A1530" s="121" t="s">
        <v>142</v>
      </c>
      <c r="F1530" s="122" t="n">
        <f aca="false">ROUND((SUM(F1522:F1529)-F1529)*1.1+F1529,2)</f>
        <v>96.64</v>
      </c>
      <c r="J1530" s="123" t="n">
        <f aca="false">ROUND(SUM(J1522:J1529),2)</f>
        <v>109.16</v>
      </c>
      <c r="N1530" s="124" t="n">
        <f aca="false">ROUND(SUM(N1522:N1529),2)</f>
        <v>85.8</v>
      </c>
    </row>
    <row r="1531" customFormat="false" ht="15" hidden="false" customHeight="false" outlineLevel="0" collapsed="false">
      <c r="A1531" s="93" t="s">
        <v>143</v>
      </c>
      <c r="B1531" s="125" t="n">
        <f aca="false">IF((F1526+F1525+F1524+F1522+F1523)=0,"",((F1526+F1525+F1524+F1522+F1523)-$AB$1524)/(F1526+F1525+F1524+F1522+F1523))</f>
        <v>0.192007756920762</v>
      </c>
      <c r="D1531" s="126" t="str">
        <f aca="false">IF(B1531="","SIN PC",IF(B1531&gt;=0.3,"APROBAR",IF(B1531&gt;=0.2,"REVISAR","RECHAZAR")))</f>
        <v>RECHAZAR</v>
      </c>
      <c r="E1531" s="126"/>
      <c r="F1531" s="126"/>
      <c r="AD1531" s="0" t="n">
        <f aca="false">SUM(F1524:F1526)-47.8952</f>
        <v>0.00479999999999592</v>
      </c>
    </row>
    <row r="1533" customFormat="false" ht="15" hidden="false" customHeight="false" outlineLevel="0" collapsed="false">
      <c r="A1533" s="89" t="s">
        <v>1355</v>
      </c>
      <c r="B1533" s="89"/>
      <c r="C1533" s="89"/>
      <c r="D1533" s="89"/>
      <c r="E1533" s="89"/>
      <c r="F1533" s="89"/>
      <c r="H1533" s="89" t="s">
        <v>1356</v>
      </c>
      <c r="I1533" s="89"/>
      <c r="J1533" s="89"/>
      <c r="K1533" s="89"/>
      <c r="L1533" s="90" t="n">
        <v>46113</v>
      </c>
      <c r="M1533" s="91" t="s">
        <v>608</v>
      </c>
      <c r="N1533" s="90" t="n">
        <v>46142</v>
      </c>
      <c r="R1533" s="92" t="s">
        <v>110</v>
      </c>
      <c r="S1533" s="92"/>
      <c r="T1533" s="92"/>
      <c r="U1533" s="92"/>
      <c r="V1533" s="92"/>
    </row>
    <row r="1534" customFormat="false" ht="15" hidden="false" customHeight="false" outlineLevel="0" collapsed="false">
      <c r="A1534" s="93" t="s">
        <v>111</v>
      </c>
      <c r="B1534" s="94" t="s">
        <v>112</v>
      </c>
      <c r="C1534" s="95"/>
      <c r="D1534" s="95"/>
      <c r="E1534" s="95"/>
      <c r="F1534" s="95"/>
      <c r="H1534" s="96" t="s">
        <v>1357</v>
      </c>
      <c r="I1534" s="97"/>
      <c r="J1534" s="97"/>
      <c r="L1534" s="98" t="s">
        <v>1358</v>
      </c>
      <c r="M1534" s="99"/>
      <c r="N1534" s="99"/>
      <c r="R1534" s="100" t="s">
        <v>1330</v>
      </c>
    </row>
    <row r="1535" customFormat="false" ht="15" hidden="false" customHeight="false" outlineLevel="0" collapsed="false">
      <c r="B1535" s="81" t="s">
        <v>116</v>
      </c>
      <c r="C1535" s="81" t="s">
        <v>117</v>
      </c>
      <c r="D1535" s="81" t="s">
        <v>118</v>
      </c>
      <c r="E1535" s="81" t="s">
        <v>119</v>
      </c>
      <c r="F1535" s="81" t="s">
        <v>120</v>
      </c>
      <c r="H1535" s="101" t="s">
        <v>116</v>
      </c>
      <c r="I1535" s="101" t="s">
        <v>119</v>
      </c>
      <c r="J1535" s="101" t="s">
        <v>120</v>
      </c>
      <c r="L1535" s="102" t="s">
        <v>116</v>
      </c>
      <c r="M1535" s="102" t="s">
        <v>119</v>
      </c>
      <c r="N1535" s="102" t="s">
        <v>120</v>
      </c>
      <c r="R1535" s="103" t="s">
        <v>765</v>
      </c>
    </row>
    <row r="1536" customFormat="false" ht="15" hidden="false" customHeight="false" outlineLevel="0" collapsed="false">
      <c r="A1536" s="104" t="s">
        <v>122</v>
      </c>
      <c r="B1536" s="105" t="n">
        <v>5.5</v>
      </c>
      <c r="C1536" s="106" t="n">
        <f aca="false">$N$1533-$L$1533+1</f>
        <v>30</v>
      </c>
      <c r="D1536" s="107" t="n">
        <v>3.68919</v>
      </c>
      <c r="E1536" s="108" t="n">
        <v>4.17</v>
      </c>
      <c r="F1536" s="109" t="n">
        <f aca="false">ROUND(B1536*E1536,2)</f>
        <v>22.94</v>
      </c>
      <c r="H1536" s="110" t="n">
        <v>5.5</v>
      </c>
      <c r="I1536" s="111" t="n">
        <v>4.17</v>
      </c>
      <c r="J1536" s="112" t="n">
        <f aca="false">ROUND(H1536*I1536,2)</f>
        <v>22.94</v>
      </c>
      <c r="L1536" s="113" t="n">
        <v>5.5</v>
      </c>
      <c r="M1536" s="114" t="n">
        <v>4.17</v>
      </c>
      <c r="N1536" s="115" t="n">
        <f aca="false">ROUND(L1536*M1536,2)</f>
        <v>22.94</v>
      </c>
      <c r="R1536" s="116" t="s">
        <v>1331</v>
      </c>
    </row>
    <row r="1537" customFormat="false" ht="15" hidden="false" customHeight="false" outlineLevel="0" collapsed="false">
      <c r="A1537" s="104" t="s">
        <v>124</v>
      </c>
      <c r="B1537" s="105" t="n">
        <v>5.5</v>
      </c>
      <c r="C1537" s="106" t="n">
        <f aca="false">$N$1533-$L$1533+1</f>
        <v>30</v>
      </c>
      <c r="D1537" s="107" t="n">
        <v>1.31928</v>
      </c>
      <c r="E1537" s="108" t="n">
        <v>1.37</v>
      </c>
      <c r="F1537" s="109" t="n">
        <f aca="false">ROUND(B1537*E1537,2)</f>
        <v>7.54</v>
      </c>
      <c r="H1537" s="110" t="n">
        <v>5.5</v>
      </c>
      <c r="I1537" s="111" t="n">
        <v>1.37</v>
      </c>
      <c r="J1537" s="112" t="n">
        <f aca="false">ROUND(H1537*I1537,2)</f>
        <v>7.54</v>
      </c>
      <c r="L1537" s="113" t="n">
        <v>5.5</v>
      </c>
      <c r="M1537" s="114" t="n">
        <v>1.37</v>
      </c>
      <c r="N1537" s="115" t="n">
        <f aca="false">ROUND(L1537*M1537,2)</f>
        <v>7.54</v>
      </c>
    </row>
    <row r="1538" customFormat="false" ht="15" hidden="false" customHeight="false" outlineLevel="0" collapsed="false">
      <c r="A1538" s="104" t="s">
        <v>615</v>
      </c>
      <c r="B1538" s="105" t="n">
        <f aca="false">IF($P$1538&lt;&gt;"",ROUND(AA1538*(($AB$1538/(1-$P$1538))-30.47)/75.465,2),IF('Resumen 2.0TD'!$D$3="OPTIMIZAR",AA1538,AA1538))</f>
        <v>136.183</v>
      </c>
      <c r="C1538" s="118"/>
      <c r="D1538" s="107" t="n">
        <v>0.111171</v>
      </c>
      <c r="E1538" s="108" t="n">
        <v>0.14937</v>
      </c>
      <c r="F1538" s="109" t="n">
        <f aca="false">ROUND(B1538*E1538,2)</f>
        <v>20.34</v>
      </c>
      <c r="H1538" s="110" t="n">
        <v>164.276</v>
      </c>
      <c r="I1538" s="111" t="n">
        <v>0.14937</v>
      </c>
      <c r="J1538" s="112" t="n">
        <f aca="false">ROUND(H1538*I1538,2)</f>
        <v>24.54</v>
      </c>
      <c r="L1538" s="113" t="n">
        <v>197.784</v>
      </c>
      <c r="M1538" s="114" t="n">
        <v>0.14937</v>
      </c>
      <c r="N1538" s="115" t="n">
        <f aca="false">ROUND(L1538*M1538,2)</f>
        <v>29.54</v>
      </c>
      <c r="O1538" s="119" t="s">
        <v>616</v>
      </c>
      <c r="P1538" s="79"/>
      <c r="AA1538" s="0" t="n">
        <v>136.183</v>
      </c>
      <c r="AB1538" s="0" t="n">
        <f aca="false">B1536*D1536+B1537*D1537+AA1538*D1538+AA1539*D1539+AA1540*D1540</f>
        <v>83.712619962</v>
      </c>
    </row>
    <row r="1539" customFormat="false" ht="15" hidden="false" customHeight="false" outlineLevel="0" collapsed="false">
      <c r="A1539" s="104" t="s">
        <v>618</v>
      </c>
      <c r="B1539" s="105" t="n">
        <f aca="false">IF($P$1538&lt;&gt;"",ROUND(AA1539*(($AB$1538/(1-$P$1538))-30.47)/75.465,2),IF('Resumen 2.0TD'!$D$3="OPTIMIZAR",AA1539,AA1539))</f>
        <v>131.984</v>
      </c>
      <c r="C1539" s="118"/>
      <c r="D1539" s="107" t="n">
        <v>0.111171</v>
      </c>
      <c r="E1539" s="108" t="n">
        <v>0.14937</v>
      </c>
      <c r="F1539" s="109" t="n">
        <f aca="false">ROUND(B1539*E1539,2)</f>
        <v>19.71</v>
      </c>
      <c r="H1539" s="110" t="n">
        <v>145.243</v>
      </c>
      <c r="I1539" s="111" t="n">
        <v>0.14937</v>
      </c>
      <c r="J1539" s="112" t="n">
        <f aca="false">ROUND(H1539*I1539,2)</f>
        <v>21.69</v>
      </c>
      <c r="L1539" s="113" t="n">
        <v>181.297</v>
      </c>
      <c r="M1539" s="114" t="n">
        <v>0.14937</v>
      </c>
      <c r="N1539" s="115" t="n">
        <f aca="false">ROUND(L1539*M1539,2)</f>
        <v>27.08</v>
      </c>
      <c r="O1539" s="120" t="s">
        <v>619</v>
      </c>
      <c r="R1539" s="117" t="s">
        <v>620</v>
      </c>
      <c r="AA1539" s="0" t="n">
        <v>131.984</v>
      </c>
    </row>
    <row r="1540" customFormat="false" ht="15" hidden="false" customHeight="false" outlineLevel="0" collapsed="false">
      <c r="A1540" s="104" t="s">
        <v>621</v>
      </c>
      <c r="B1540" s="105" t="n">
        <f aca="false">IF($P$1538&lt;&gt;"",ROUND(AA1540*(($AB$1538/(1-$P$1538))-30.47)/75.465,2),IF('Resumen 2.0TD'!$D$3="OPTIMIZAR",AA1540,AA1540))</f>
        <v>237.055</v>
      </c>
      <c r="C1540" s="118"/>
      <c r="D1540" s="107" t="n">
        <v>0.111171</v>
      </c>
      <c r="E1540" s="108" t="n">
        <v>0.14937</v>
      </c>
      <c r="F1540" s="109" t="n">
        <f aca="false">ROUND(B1540*E1540,2)</f>
        <v>35.41</v>
      </c>
      <c r="H1540" s="110" t="n">
        <v>179.669</v>
      </c>
      <c r="I1540" s="111" t="n">
        <v>0.14937</v>
      </c>
      <c r="J1540" s="112" t="n">
        <f aca="false">ROUND(H1540*I1540,2)</f>
        <v>26.84</v>
      </c>
      <c r="L1540" s="113" t="n">
        <v>289.699</v>
      </c>
      <c r="M1540" s="114" t="n">
        <v>0.14937</v>
      </c>
      <c r="N1540" s="115" t="n">
        <f aca="false">ROUND(L1540*M1540,2)</f>
        <v>43.27</v>
      </c>
      <c r="O1540" s="120" t="s">
        <v>622</v>
      </c>
      <c r="AA1540" s="0" t="n">
        <v>237.055</v>
      </c>
    </row>
    <row r="1541" customFormat="false" ht="15" hidden="false" customHeight="false" outlineLevel="0" collapsed="false">
      <c r="A1541" s="104" t="s">
        <v>139</v>
      </c>
      <c r="B1541" s="105" t="n">
        <v>1</v>
      </c>
      <c r="C1541" s="106" t="n">
        <f aca="false">$N$1533-$L$1533+1</f>
        <v>30</v>
      </c>
      <c r="D1541" s="107" t="n">
        <v>0.7989</v>
      </c>
      <c r="E1541" s="108" t="n">
        <v>4</v>
      </c>
      <c r="F1541" s="109" t="n">
        <f aca="false">ROUND(B1541*E1541,2)</f>
        <v>4</v>
      </c>
      <c r="H1541" s="110" t="n">
        <v>1</v>
      </c>
      <c r="I1541" s="111" t="n">
        <v>4</v>
      </c>
      <c r="J1541" s="112" t="n">
        <f aca="false">ROUND(H1541*I1541,2)</f>
        <v>4</v>
      </c>
      <c r="L1541" s="113" t="n">
        <v>1</v>
      </c>
      <c r="M1541" s="114" t="n">
        <v>4</v>
      </c>
      <c r="N1541" s="115" t="n">
        <f aca="false">ROUND(L1541*M1541,2)</f>
        <v>4</v>
      </c>
    </row>
    <row r="1542" customFormat="false" ht="15" hidden="false" customHeight="false" outlineLevel="0" collapsed="false">
      <c r="A1542" s="104" t="s">
        <v>140</v>
      </c>
      <c r="B1542" s="105" t="n">
        <v>30</v>
      </c>
      <c r="C1542" s="106" t="n">
        <f aca="false">$N$1533-$L$1533+1</f>
        <v>30</v>
      </c>
      <c r="D1542" s="107" t="n">
        <v>0.5736</v>
      </c>
      <c r="E1542" s="108" t="n">
        <v>0.01274</v>
      </c>
      <c r="F1542" s="109" t="n">
        <f aca="false">ROUND(B1542*E1542,2)</f>
        <v>0.38</v>
      </c>
      <c r="H1542" s="110" t="n">
        <v>30</v>
      </c>
      <c r="I1542" s="111" t="n">
        <v>0.01274</v>
      </c>
      <c r="J1542" s="112" t="n">
        <f aca="false">ROUND(H1542*I1542,2)</f>
        <v>0.38</v>
      </c>
      <c r="L1542" s="113" t="n">
        <v>30</v>
      </c>
      <c r="M1542" s="114" t="n">
        <v>0.00629</v>
      </c>
      <c r="N1542" s="115" t="n">
        <f aca="false">ROUND(L1542*M1542,2)</f>
        <v>0.19</v>
      </c>
    </row>
    <row r="1543" customFormat="false" ht="15" hidden="false" customHeight="false" outlineLevel="0" collapsed="false">
      <c r="A1543" s="104" t="s">
        <v>141</v>
      </c>
      <c r="B1543" s="105" t="n">
        <v>5.42</v>
      </c>
      <c r="C1543" s="118"/>
      <c r="D1543" s="107" t="n">
        <v>0.27312</v>
      </c>
      <c r="E1543" s="108" t="n">
        <v>1</v>
      </c>
      <c r="F1543" s="109" t="n">
        <f aca="false">ROUND(B1543*E1543,2)</f>
        <v>5.42</v>
      </c>
      <c r="H1543" s="110" t="n">
        <v>5.3</v>
      </c>
      <c r="I1543" s="111" t="n">
        <v>1</v>
      </c>
      <c r="J1543" s="112" t="n">
        <f aca="false">ROUND(H1543*I1543,2)</f>
        <v>5.3</v>
      </c>
      <c r="L1543" s="113" t="n">
        <v>6.67</v>
      </c>
      <c r="M1543" s="114" t="n">
        <v>1</v>
      </c>
      <c r="N1543" s="115" t="n">
        <f aca="false">ROUND(L1543*M1543,2)</f>
        <v>6.67</v>
      </c>
    </row>
    <row r="1544" customFormat="false" ht="15" hidden="false" customHeight="false" outlineLevel="0" collapsed="false">
      <c r="A1544" s="121" t="s">
        <v>142</v>
      </c>
      <c r="F1544" s="122" t="n">
        <f aca="false">ROUND((SUM(F1536:F1543)-F1543)*1.1+F1543,2)</f>
        <v>126.77</v>
      </c>
      <c r="J1544" s="123" t="n">
        <f aca="false">ROUND(SUM(J1536:J1543),2)</f>
        <v>113.23</v>
      </c>
      <c r="N1544" s="124" t="n">
        <f aca="false">ROUND(SUM(N1536:N1543),2)</f>
        <v>141.23</v>
      </c>
    </row>
    <row r="1545" customFormat="false" ht="15" hidden="false" customHeight="false" outlineLevel="0" collapsed="false">
      <c r="A1545" s="93" t="s">
        <v>143</v>
      </c>
      <c r="B1545" s="125" t="n">
        <f aca="false">IF((F1540+F1539+F1538+F1536+F1537)=0,"",((F1540+F1539+F1538+F1536+F1537)-$AB$1538)/(F1540+F1539+F1538+F1536+F1537))</f>
        <v>0.209811025467246</v>
      </c>
      <c r="D1545" s="126" t="str">
        <f aca="false">IF(B1545="","SIN PC",IF(B1545&gt;=0.3,"APROBAR",IF(B1545&gt;=0.2,"REVISAR","RECHAZAR")))</f>
        <v>REVISAR</v>
      </c>
      <c r="E1545" s="126"/>
      <c r="F1545" s="126"/>
      <c r="AD1545" s="0" t="n">
        <f aca="false">SUM(F1538:F1540)-75.465</f>
        <v>-0.00500000000000966</v>
      </c>
    </row>
    <row r="1547" customFormat="false" ht="15" hidden="false" customHeight="false" outlineLevel="0" collapsed="false">
      <c r="A1547" s="89" t="s">
        <v>1359</v>
      </c>
      <c r="B1547" s="89"/>
      <c r="C1547" s="89"/>
      <c r="D1547" s="89"/>
      <c r="E1547" s="89"/>
      <c r="F1547" s="89"/>
      <c r="H1547" s="89" t="s">
        <v>1360</v>
      </c>
      <c r="I1547" s="89"/>
      <c r="J1547" s="89"/>
      <c r="K1547" s="89"/>
      <c r="L1547" s="90" t="n">
        <v>46113</v>
      </c>
      <c r="M1547" s="91" t="s">
        <v>608</v>
      </c>
      <c r="N1547" s="90" t="n">
        <v>46142</v>
      </c>
      <c r="R1547" s="92" t="s">
        <v>110</v>
      </c>
      <c r="S1547" s="92"/>
      <c r="T1547" s="92"/>
      <c r="U1547" s="92"/>
      <c r="V1547" s="92"/>
    </row>
    <row r="1548" customFormat="false" ht="15" hidden="false" customHeight="false" outlineLevel="0" collapsed="false">
      <c r="A1548" s="93" t="s">
        <v>111</v>
      </c>
      <c r="B1548" s="94" t="s">
        <v>112</v>
      </c>
      <c r="C1548" s="95"/>
      <c r="D1548" s="95"/>
      <c r="E1548" s="95"/>
      <c r="F1548" s="95"/>
      <c r="H1548" s="96" t="s">
        <v>1361</v>
      </c>
      <c r="I1548" s="97"/>
      <c r="J1548" s="97"/>
      <c r="L1548" s="98" t="s">
        <v>797</v>
      </c>
      <c r="M1548" s="99"/>
      <c r="N1548" s="99"/>
      <c r="R1548" s="100" t="s">
        <v>798</v>
      </c>
    </row>
    <row r="1549" customFormat="false" ht="15" hidden="false" customHeight="false" outlineLevel="0" collapsed="false">
      <c r="B1549" s="81" t="s">
        <v>116</v>
      </c>
      <c r="C1549" s="81" t="s">
        <v>117</v>
      </c>
      <c r="D1549" s="81" t="s">
        <v>118</v>
      </c>
      <c r="E1549" s="81" t="s">
        <v>119</v>
      </c>
      <c r="F1549" s="81" t="s">
        <v>120</v>
      </c>
      <c r="H1549" s="101" t="s">
        <v>116</v>
      </c>
      <c r="I1549" s="101" t="s">
        <v>119</v>
      </c>
      <c r="J1549" s="101" t="s">
        <v>120</v>
      </c>
      <c r="L1549" s="102" t="s">
        <v>116</v>
      </c>
      <c r="M1549" s="102" t="s">
        <v>119</v>
      </c>
      <c r="N1549" s="102" t="s">
        <v>120</v>
      </c>
      <c r="R1549" s="103" t="s">
        <v>765</v>
      </c>
    </row>
    <row r="1550" customFormat="false" ht="15" hidden="false" customHeight="false" outlineLevel="0" collapsed="false">
      <c r="A1550" s="104" t="s">
        <v>122</v>
      </c>
      <c r="B1550" s="105" t="n">
        <v>9.2</v>
      </c>
      <c r="C1550" s="106" t="n">
        <f aca="false">$N$1547-$L$1547+1</f>
        <v>30</v>
      </c>
      <c r="D1550" s="107" t="n">
        <v>3.68919</v>
      </c>
      <c r="E1550" s="108" t="n">
        <v>3.99</v>
      </c>
      <c r="F1550" s="109" t="n">
        <f aca="false">ROUND(B1550*E1550,2)</f>
        <v>36.71</v>
      </c>
      <c r="H1550" s="110" t="n">
        <v>9.2</v>
      </c>
      <c r="I1550" s="111" t="n">
        <v>3.99</v>
      </c>
      <c r="J1550" s="112" t="n">
        <f aca="false">ROUND(H1550*I1550,2)</f>
        <v>36.71</v>
      </c>
      <c r="L1550" s="136"/>
      <c r="M1550" s="136"/>
      <c r="N1550" s="136"/>
      <c r="R1550" s="116" t="s">
        <v>799</v>
      </c>
    </row>
    <row r="1551" customFormat="false" ht="15" hidden="false" customHeight="false" outlineLevel="0" collapsed="false">
      <c r="A1551" s="104" t="s">
        <v>124</v>
      </c>
      <c r="B1551" s="105" t="n">
        <v>9.2</v>
      </c>
      <c r="C1551" s="106" t="n">
        <f aca="false">$N$1547-$L$1547+1</f>
        <v>30</v>
      </c>
      <c r="D1551" s="107" t="n">
        <v>1.31928</v>
      </c>
      <c r="E1551" s="108" t="n">
        <v>1.37</v>
      </c>
      <c r="F1551" s="109" t="n">
        <f aca="false">ROUND(B1551*E1551,2)</f>
        <v>12.6</v>
      </c>
      <c r="H1551" s="110" t="n">
        <v>9.2</v>
      </c>
      <c r="I1551" s="111" t="n">
        <v>1.37</v>
      </c>
      <c r="J1551" s="112" t="n">
        <f aca="false">ROUND(H1551*I1551,2)</f>
        <v>12.6</v>
      </c>
      <c r="L1551" s="136"/>
      <c r="M1551" s="136"/>
      <c r="N1551" s="136"/>
    </row>
    <row r="1552" customFormat="false" ht="15" hidden="false" customHeight="false" outlineLevel="0" collapsed="false">
      <c r="A1552" s="104" t="s">
        <v>615</v>
      </c>
      <c r="B1552" s="105" t="n">
        <f aca="false">IF($P$1552&lt;&gt;"",ROUND(AA1552*(($AB$1552/(1-$P$1552))-49.312)/31.0952,2),IF('Resumen 2.0TD'!$D$3="OPTIMIZAR",AA1552,AA1552))</f>
        <v>49.507</v>
      </c>
      <c r="C1552" s="118"/>
      <c r="D1552" s="107" t="n">
        <v>0.111171</v>
      </c>
      <c r="E1552" s="108" t="n">
        <v>0.129</v>
      </c>
      <c r="F1552" s="109" t="n">
        <f aca="false">ROUND(B1552*E1552,2)</f>
        <v>6.39</v>
      </c>
      <c r="H1552" s="110" t="n">
        <v>97.524</v>
      </c>
      <c r="I1552" s="111" t="n">
        <v>0.129</v>
      </c>
      <c r="J1552" s="112" t="n">
        <f aca="false">ROUND(H1552*I1552,2)</f>
        <v>12.58</v>
      </c>
      <c r="L1552" s="136"/>
      <c r="M1552" s="136"/>
      <c r="N1552" s="136"/>
      <c r="O1552" s="119" t="s">
        <v>616</v>
      </c>
      <c r="P1552" s="79"/>
      <c r="AA1552" s="0" t="n">
        <v>49.507</v>
      </c>
      <c r="AB1552" s="0" t="n">
        <f aca="false">B1550*D1550+B1551*D1551+AA1552*D1552+AA1553*D1553+AA1554*D1554</f>
        <v>72.875471208</v>
      </c>
    </row>
    <row r="1553" customFormat="false" ht="15" hidden="false" customHeight="false" outlineLevel="0" collapsed="false">
      <c r="A1553" s="104" t="s">
        <v>618</v>
      </c>
      <c r="B1553" s="105" t="n">
        <f aca="false">IF($P$1552&lt;&gt;"",ROUND(AA1553*(($AB$1552/(1-$P$1552))-49.312)/31.0952,2),IF('Resumen 2.0TD'!$D$3="OPTIMIZAR",AA1553,AA1553))</f>
        <v>70.047</v>
      </c>
      <c r="C1553" s="118"/>
      <c r="D1553" s="107" t="n">
        <v>0.111171</v>
      </c>
      <c r="E1553" s="108" t="n">
        <v>0.129</v>
      </c>
      <c r="F1553" s="109" t="n">
        <f aca="false">ROUND(B1553*E1553,2)</f>
        <v>9.04</v>
      </c>
      <c r="H1553" s="110" t="n">
        <v>80.905</v>
      </c>
      <c r="I1553" s="111" t="n">
        <v>0.129</v>
      </c>
      <c r="J1553" s="112" t="n">
        <f aca="false">ROUND(H1553*I1553,2)</f>
        <v>10.44</v>
      </c>
      <c r="L1553" s="136"/>
      <c r="M1553" s="136"/>
      <c r="N1553" s="136"/>
      <c r="O1553" s="120" t="s">
        <v>619</v>
      </c>
      <c r="R1553" s="117" t="s">
        <v>620</v>
      </c>
      <c r="AA1553" s="0" t="n">
        <v>70.047</v>
      </c>
    </row>
    <row r="1554" customFormat="false" ht="15" hidden="false" customHeight="false" outlineLevel="0" collapsed="false">
      <c r="A1554" s="104" t="s">
        <v>621</v>
      </c>
      <c r="B1554" s="105" t="n">
        <f aca="false">IF($P$1552&lt;&gt;"",ROUND(AA1554*(($AB$1552/(1-$P$1552))-49.312)/31.0952,2),IF('Resumen 2.0TD'!$D$3="OPTIMIZAR",AA1554,AA1554))</f>
        <v>121.494</v>
      </c>
      <c r="C1554" s="118"/>
      <c r="D1554" s="107" t="n">
        <v>0.111171</v>
      </c>
      <c r="E1554" s="108" t="n">
        <v>0.129</v>
      </c>
      <c r="F1554" s="109" t="n">
        <f aca="false">ROUND(B1554*E1554,2)</f>
        <v>15.67</v>
      </c>
      <c r="H1554" s="110" t="n">
        <v>85.521</v>
      </c>
      <c r="I1554" s="111" t="n">
        <v>0.129</v>
      </c>
      <c r="J1554" s="112" t="n">
        <f aca="false">ROUND(H1554*I1554,2)</f>
        <v>11.03</v>
      </c>
      <c r="L1554" s="136"/>
      <c r="M1554" s="136"/>
      <c r="N1554" s="136"/>
      <c r="O1554" s="120" t="s">
        <v>622</v>
      </c>
      <c r="AA1554" s="0" t="n">
        <v>121.494</v>
      </c>
    </row>
    <row r="1555" customFormat="false" ht="15" hidden="false" customHeight="false" outlineLevel="0" collapsed="false">
      <c r="A1555" s="104" t="s">
        <v>139</v>
      </c>
      <c r="B1555" s="105" t="n">
        <v>1</v>
      </c>
      <c r="C1555" s="106" t="n">
        <f aca="false">$N$1547-$L$1547+1</f>
        <v>30</v>
      </c>
      <c r="D1555" s="107" t="n">
        <v>0.7989</v>
      </c>
      <c r="E1555" s="108" t="n">
        <v>1</v>
      </c>
      <c r="F1555" s="109" t="n">
        <f aca="false">ROUND(B1555*E1555,2)</f>
        <v>1</v>
      </c>
      <c r="H1555" s="110" t="n">
        <v>1</v>
      </c>
      <c r="I1555" s="111" t="n">
        <v>1</v>
      </c>
      <c r="J1555" s="112" t="n">
        <f aca="false">ROUND(H1555*I1555,2)</f>
        <v>1</v>
      </c>
      <c r="L1555" s="136"/>
      <c r="M1555" s="136"/>
      <c r="N1555" s="136"/>
    </row>
    <row r="1556" customFormat="false" ht="15" hidden="false" customHeight="false" outlineLevel="0" collapsed="false">
      <c r="A1556" s="104" t="s">
        <v>140</v>
      </c>
      <c r="B1556" s="105" t="n">
        <v>30</v>
      </c>
      <c r="C1556" s="106" t="n">
        <f aca="false">$N$1547-$L$1547+1</f>
        <v>30</v>
      </c>
      <c r="D1556" s="107" t="n">
        <v>0.5736</v>
      </c>
      <c r="E1556" s="108" t="n">
        <v>0.01274</v>
      </c>
      <c r="F1556" s="109" t="n">
        <f aca="false">ROUND(B1556*E1556,2)</f>
        <v>0.38</v>
      </c>
      <c r="H1556" s="110" t="n">
        <v>30</v>
      </c>
      <c r="I1556" s="111" t="n">
        <v>0.01274</v>
      </c>
      <c r="J1556" s="112" t="n">
        <f aca="false">ROUND(H1556*I1556,2)</f>
        <v>0.38</v>
      </c>
      <c r="L1556" s="136"/>
      <c r="M1556" s="136"/>
      <c r="N1556" s="136"/>
    </row>
    <row r="1557" customFormat="false" ht="15" hidden="false" customHeight="false" outlineLevel="0" collapsed="false">
      <c r="A1557" s="104" t="s">
        <v>141</v>
      </c>
      <c r="B1557" s="105" t="n">
        <v>4.2</v>
      </c>
      <c r="C1557" s="118"/>
      <c r="D1557" s="107" t="n">
        <v>0.02671</v>
      </c>
      <c r="E1557" s="108" t="n">
        <v>1</v>
      </c>
      <c r="F1557" s="109" t="n">
        <f aca="false">ROUND(B1557*E1557,2)</f>
        <v>4.2</v>
      </c>
      <c r="H1557" s="110" t="n">
        <v>4.35</v>
      </c>
      <c r="I1557" s="111" t="n">
        <v>1</v>
      </c>
      <c r="J1557" s="112" t="n">
        <f aca="false">ROUND(H1557*I1557,2)</f>
        <v>4.35</v>
      </c>
      <c r="L1557" s="136"/>
      <c r="M1557" s="136"/>
      <c r="N1557" s="136"/>
    </row>
    <row r="1558" customFormat="false" ht="15" hidden="false" customHeight="false" outlineLevel="0" collapsed="false">
      <c r="A1558" s="121" t="s">
        <v>142</v>
      </c>
      <c r="F1558" s="122" t="n">
        <f aca="false">ROUND((SUM(F1550:F1557)-F1557)*1.1+F1557,2)</f>
        <v>94.17</v>
      </c>
      <c r="J1558" s="123" t="n">
        <f aca="false">ROUND(SUM(J1550:J1557),2)</f>
        <v>89.09</v>
      </c>
      <c r="N1558" s="137"/>
    </row>
    <row r="1559" customFormat="false" ht="15" hidden="false" customHeight="false" outlineLevel="0" collapsed="false">
      <c r="A1559" s="93" t="s">
        <v>143</v>
      </c>
      <c r="B1559" s="125" t="n">
        <f aca="false">IF((F1554+F1553+F1552+F1550+F1551)=0,"",((F1554+F1553+F1552+F1550+F1551)-$AB$1552)/(F1554+F1553+F1552+F1550+F1551))</f>
        <v>0.0937013902748415</v>
      </c>
      <c r="D1559" s="126" t="str">
        <f aca="false">IF(B1559="","SIN PC",IF(B1559&gt;=0.3,"APROBAR",IF(B1559&gt;=0.2,"REVISAR","RECHAZAR")))</f>
        <v>RECHAZAR</v>
      </c>
      <c r="E1559" s="126"/>
      <c r="F1559" s="126"/>
      <c r="AD1559" s="0" t="n">
        <f aca="false">SUM(F1552:F1554)-31.0952</f>
        <v>0.00480000000000302</v>
      </c>
    </row>
    <row r="1561" customFormat="false" ht="15" hidden="false" customHeight="false" outlineLevel="0" collapsed="false">
      <c r="A1561" s="89" t="s">
        <v>1362</v>
      </c>
      <c r="B1561" s="89"/>
      <c r="C1561" s="89"/>
      <c r="D1561" s="89"/>
      <c r="E1561" s="89"/>
      <c r="F1561" s="89"/>
      <c r="H1561" s="89" t="s">
        <v>1363</v>
      </c>
      <c r="I1561" s="89"/>
      <c r="J1561" s="89"/>
      <c r="K1561" s="89"/>
      <c r="L1561" s="90" t="n">
        <v>46113</v>
      </c>
      <c r="M1561" s="91" t="s">
        <v>608</v>
      </c>
      <c r="N1561" s="90" t="n">
        <v>46142</v>
      </c>
      <c r="R1561" s="92" t="s">
        <v>110</v>
      </c>
      <c r="S1561" s="92"/>
      <c r="T1561" s="92"/>
      <c r="U1561" s="92"/>
      <c r="V1561" s="92"/>
    </row>
    <row r="1562" customFormat="false" ht="15" hidden="false" customHeight="false" outlineLevel="0" collapsed="false">
      <c r="A1562" s="93" t="s">
        <v>111</v>
      </c>
      <c r="B1562" s="94" t="s">
        <v>112</v>
      </c>
      <c r="C1562" s="95"/>
      <c r="D1562" s="95"/>
      <c r="E1562" s="95"/>
      <c r="F1562" s="95"/>
      <c r="H1562" s="96" t="s">
        <v>1364</v>
      </c>
      <c r="I1562" s="97"/>
      <c r="J1562" s="97"/>
      <c r="L1562" s="98" t="s">
        <v>797</v>
      </c>
      <c r="M1562" s="99"/>
      <c r="N1562" s="99"/>
      <c r="R1562" s="100" t="s">
        <v>1365</v>
      </c>
    </row>
    <row r="1563" customFormat="false" ht="15" hidden="false" customHeight="false" outlineLevel="0" collapsed="false">
      <c r="B1563" s="81" t="s">
        <v>116</v>
      </c>
      <c r="C1563" s="81" t="s">
        <v>117</v>
      </c>
      <c r="D1563" s="81" t="s">
        <v>118</v>
      </c>
      <c r="E1563" s="81" t="s">
        <v>119</v>
      </c>
      <c r="F1563" s="81" t="s">
        <v>120</v>
      </c>
      <c r="H1563" s="101" t="s">
        <v>116</v>
      </c>
      <c r="I1563" s="101" t="s">
        <v>119</v>
      </c>
      <c r="J1563" s="101" t="s">
        <v>120</v>
      </c>
      <c r="L1563" s="102" t="s">
        <v>116</v>
      </c>
      <c r="M1563" s="102" t="s">
        <v>119</v>
      </c>
      <c r="N1563" s="102" t="s">
        <v>120</v>
      </c>
      <c r="R1563" s="103" t="s">
        <v>765</v>
      </c>
    </row>
    <row r="1564" customFormat="false" ht="15" hidden="false" customHeight="false" outlineLevel="0" collapsed="false">
      <c r="A1564" s="104" t="s">
        <v>122</v>
      </c>
      <c r="B1564" s="105" t="n">
        <v>13.856</v>
      </c>
      <c r="C1564" s="106" t="n">
        <f aca="false">$N$1561-$L$1561+1</f>
        <v>30</v>
      </c>
      <c r="D1564" s="107" t="n">
        <v>3.68919</v>
      </c>
      <c r="E1564" s="108" t="n">
        <v>4.17</v>
      </c>
      <c r="F1564" s="109" t="n">
        <f aca="false">ROUND(B1564*E1564,2)</f>
        <v>57.78</v>
      </c>
      <c r="H1564" s="110" t="n">
        <v>13.856</v>
      </c>
      <c r="I1564" s="111" t="n">
        <v>4.17</v>
      </c>
      <c r="J1564" s="112" t="n">
        <f aca="false">ROUND(H1564*I1564,2)</f>
        <v>57.78</v>
      </c>
      <c r="L1564" s="136"/>
      <c r="M1564" s="136"/>
      <c r="N1564" s="136"/>
      <c r="R1564" s="116" t="s">
        <v>1366</v>
      </c>
    </row>
    <row r="1565" customFormat="false" ht="15" hidden="false" customHeight="false" outlineLevel="0" collapsed="false">
      <c r="A1565" s="104" t="s">
        <v>124</v>
      </c>
      <c r="B1565" s="105" t="n">
        <v>13.856</v>
      </c>
      <c r="C1565" s="106" t="n">
        <f aca="false">$N$1561-$L$1561+1</f>
        <v>30</v>
      </c>
      <c r="D1565" s="107" t="n">
        <v>1.31928</v>
      </c>
      <c r="E1565" s="108" t="n">
        <v>1.37</v>
      </c>
      <c r="F1565" s="109" t="n">
        <f aca="false">ROUND(B1565*E1565,2)</f>
        <v>18.98</v>
      </c>
      <c r="H1565" s="110" t="n">
        <v>13.856</v>
      </c>
      <c r="I1565" s="111" t="n">
        <v>1.37</v>
      </c>
      <c r="J1565" s="112" t="n">
        <f aca="false">ROUND(H1565*I1565,2)</f>
        <v>18.98</v>
      </c>
      <c r="L1565" s="136"/>
      <c r="M1565" s="136"/>
      <c r="N1565" s="136"/>
    </row>
    <row r="1566" customFormat="false" ht="15" hidden="false" customHeight="false" outlineLevel="0" collapsed="false">
      <c r="A1566" s="104" t="s">
        <v>615</v>
      </c>
      <c r="B1566" s="105" t="n">
        <f aca="false">IF($P$1566&lt;&gt;"",ROUND(AA1566*(($AB$1566/(1-$P$1566))-76.7622)/7.0925,2),IF('Resumen 2.0TD'!$D$3="OPTIMIZAR",AA1566,AA1566))</f>
        <v>0.154</v>
      </c>
      <c r="C1566" s="118"/>
      <c r="D1566" s="107" t="n">
        <v>0.111171</v>
      </c>
      <c r="E1566" s="108" t="n">
        <v>0.14937</v>
      </c>
      <c r="F1566" s="109" t="n">
        <f aca="false">ROUND(B1566*E1566,2)</f>
        <v>0.02</v>
      </c>
      <c r="H1566" s="110" t="n">
        <v>134.417</v>
      </c>
      <c r="I1566" s="111" t="n">
        <v>0.14937</v>
      </c>
      <c r="J1566" s="112" t="n">
        <f aca="false">ROUND(H1566*I1566,2)</f>
        <v>20.08</v>
      </c>
      <c r="L1566" s="136"/>
      <c r="M1566" s="136"/>
      <c r="N1566" s="136"/>
      <c r="O1566" s="119" t="s">
        <v>616</v>
      </c>
      <c r="P1566" s="79"/>
      <c r="AA1566" s="0" t="n">
        <v>0.154</v>
      </c>
      <c r="AB1566" s="0" t="n">
        <f aca="false">B1564*D1564+B1565*D1565+AA1566*D1566+AA1567*D1567+AA1568*D1568</f>
        <v>74.676092913</v>
      </c>
    </row>
    <row r="1567" customFormat="false" ht="15" hidden="false" customHeight="false" outlineLevel="0" collapsed="false">
      <c r="A1567" s="104" t="s">
        <v>618</v>
      </c>
      <c r="B1567" s="105" t="n">
        <f aca="false">IF($P$1566&lt;&gt;"",ROUND(AA1567*(($AB$1566/(1-$P$1566))-76.7622)/7.0925,2),IF('Resumen 2.0TD'!$D$3="OPTIMIZAR",AA1567,AA1567))</f>
        <v>4.687</v>
      </c>
      <c r="C1567" s="118"/>
      <c r="D1567" s="107" t="n">
        <v>0.111171</v>
      </c>
      <c r="E1567" s="108" t="n">
        <v>0.14937</v>
      </c>
      <c r="F1567" s="109" t="n">
        <f aca="false">ROUND(B1567*E1567,2)</f>
        <v>0.7</v>
      </c>
      <c r="H1567" s="110" t="n">
        <v>98.519</v>
      </c>
      <c r="I1567" s="111" t="n">
        <v>0.14937</v>
      </c>
      <c r="J1567" s="112" t="n">
        <f aca="false">ROUND(H1567*I1567,2)</f>
        <v>14.72</v>
      </c>
      <c r="L1567" s="136"/>
      <c r="M1567" s="136"/>
      <c r="N1567" s="136"/>
      <c r="O1567" s="120" t="s">
        <v>619</v>
      </c>
      <c r="R1567" s="117" t="s">
        <v>620</v>
      </c>
      <c r="AA1567" s="0" t="n">
        <v>4.687</v>
      </c>
    </row>
    <row r="1568" customFormat="false" ht="15" hidden="false" customHeight="false" outlineLevel="0" collapsed="false">
      <c r="A1568" s="104" t="s">
        <v>621</v>
      </c>
      <c r="B1568" s="105" t="n">
        <f aca="false">IF($P$1566&lt;&gt;"",ROUND(AA1568*(($AB$1566/(1-$P$1566))-76.7622)/7.0925,2),IF('Resumen 2.0TD'!$D$3="OPTIMIZAR",AA1568,AA1568))</f>
        <v>42.642</v>
      </c>
      <c r="C1568" s="118"/>
      <c r="D1568" s="107" t="n">
        <v>0.111171</v>
      </c>
      <c r="E1568" s="108" t="n">
        <v>0.14937</v>
      </c>
      <c r="F1568" s="109" t="n">
        <f aca="false">ROUND(B1568*E1568,2)</f>
        <v>6.37</v>
      </c>
      <c r="H1568" s="110" t="n">
        <v>431.667</v>
      </c>
      <c r="I1568" s="111" t="n">
        <v>0.14937</v>
      </c>
      <c r="J1568" s="112" t="n">
        <f aca="false">ROUND(H1568*I1568,2)</f>
        <v>64.48</v>
      </c>
      <c r="L1568" s="136"/>
      <c r="M1568" s="136"/>
      <c r="N1568" s="136"/>
      <c r="O1568" s="120" t="s">
        <v>622</v>
      </c>
      <c r="AA1568" s="0" t="n">
        <v>42.642</v>
      </c>
    </row>
    <row r="1569" customFormat="false" ht="15" hidden="false" customHeight="false" outlineLevel="0" collapsed="false">
      <c r="A1569" s="104" t="s">
        <v>139</v>
      </c>
      <c r="B1569" s="105" t="n">
        <v>1</v>
      </c>
      <c r="C1569" s="106" t="n">
        <f aca="false">$N$1561-$L$1561+1</f>
        <v>30</v>
      </c>
      <c r="D1569" s="107" t="n">
        <v>1.3414</v>
      </c>
      <c r="E1569" s="108" t="n">
        <v>4</v>
      </c>
      <c r="F1569" s="109" t="n">
        <f aca="false">ROUND(B1569*E1569,2)</f>
        <v>4</v>
      </c>
      <c r="H1569" s="110" t="n">
        <v>1</v>
      </c>
      <c r="I1569" s="111" t="n">
        <v>4</v>
      </c>
      <c r="J1569" s="112" t="n">
        <f aca="false">ROUND(H1569*I1569,2)</f>
        <v>4</v>
      </c>
      <c r="L1569" s="136"/>
      <c r="M1569" s="136"/>
      <c r="N1569" s="136"/>
    </row>
    <row r="1570" customFormat="false" ht="15" hidden="false" customHeight="false" outlineLevel="0" collapsed="false">
      <c r="A1570" s="104" t="s">
        <v>140</v>
      </c>
      <c r="B1570" s="105" t="n">
        <v>30</v>
      </c>
      <c r="C1570" s="106" t="n">
        <f aca="false">$N$1561-$L$1561+1</f>
        <v>30</v>
      </c>
      <c r="D1570" s="107" t="n">
        <v>0.5736</v>
      </c>
      <c r="E1570" s="108" t="n">
        <v>0.01274</v>
      </c>
      <c r="F1570" s="109" t="n">
        <f aca="false">ROUND(B1570*E1570,2)</f>
        <v>0.38</v>
      </c>
      <c r="H1570" s="110" t="n">
        <v>30</v>
      </c>
      <c r="I1570" s="111" t="n">
        <v>0.01274</v>
      </c>
      <c r="J1570" s="112" t="n">
        <f aca="false">ROUND(H1570*I1570,2)</f>
        <v>0.38</v>
      </c>
      <c r="L1570" s="136"/>
      <c r="M1570" s="136"/>
      <c r="N1570" s="136"/>
    </row>
    <row r="1571" customFormat="false" ht="15" hidden="false" customHeight="false" outlineLevel="0" collapsed="false">
      <c r="A1571" s="104" t="s">
        <v>141</v>
      </c>
      <c r="B1571" s="105" t="n">
        <v>4.29</v>
      </c>
      <c r="C1571" s="118"/>
      <c r="D1571" s="107" t="n">
        <v>0.27312</v>
      </c>
      <c r="E1571" s="108" t="n">
        <v>1</v>
      </c>
      <c r="F1571" s="109" t="n">
        <f aca="false">ROUND(B1571*E1571,2)</f>
        <v>4.29</v>
      </c>
      <c r="H1571" s="110" t="n">
        <v>9.01</v>
      </c>
      <c r="I1571" s="111" t="n">
        <v>1</v>
      </c>
      <c r="J1571" s="112" t="n">
        <f aca="false">ROUND(H1571*I1571,2)</f>
        <v>9.01</v>
      </c>
      <c r="L1571" s="136"/>
      <c r="M1571" s="136"/>
      <c r="N1571" s="136"/>
    </row>
    <row r="1572" customFormat="false" ht="15" hidden="false" customHeight="false" outlineLevel="0" collapsed="false">
      <c r="A1572" s="121" t="s">
        <v>142</v>
      </c>
      <c r="F1572" s="122" t="n">
        <f aca="false">ROUND((SUM(F1564:F1571)-F1571)*1.1+F1571,2)</f>
        <v>101.34</v>
      </c>
      <c r="J1572" s="123" t="n">
        <f aca="false">ROUND(SUM(J1564:J1571),2)</f>
        <v>189.43</v>
      </c>
      <c r="N1572" s="137"/>
    </row>
    <row r="1573" customFormat="false" ht="15" hidden="false" customHeight="false" outlineLevel="0" collapsed="false">
      <c r="A1573" s="93" t="s">
        <v>143</v>
      </c>
      <c r="B1573" s="125" t="n">
        <f aca="false">IF((F1568+F1567+F1566+F1564+F1565)=0,"",((F1568+F1567+F1566+F1564+F1565)-$AB$1566)/(F1568+F1567+F1566+F1564+F1565))</f>
        <v>0.109408552021467</v>
      </c>
      <c r="D1573" s="126" t="str">
        <f aca="false">IF(B1573="","SIN PC",IF(B1573&gt;=0.3,"APROBAR",IF(B1573&gt;=0.2,"REVISAR","RECHAZAR")))</f>
        <v>RECHAZAR</v>
      </c>
      <c r="E1573" s="126"/>
      <c r="F1573" s="126"/>
      <c r="AD1573" s="0" t="n">
        <f aca="false">SUM(F1566:F1568)-7.0925</f>
        <v>-0.00250000000000039</v>
      </c>
    </row>
    <row r="1575" customFormat="false" ht="15" hidden="false" customHeight="false" outlineLevel="0" collapsed="false">
      <c r="A1575" s="89" t="s">
        <v>1367</v>
      </c>
      <c r="B1575" s="89"/>
      <c r="C1575" s="89"/>
      <c r="D1575" s="89"/>
      <c r="E1575" s="89"/>
      <c r="F1575" s="89"/>
      <c r="H1575" s="89" t="s">
        <v>1368</v>
      </c>
      <c r="I1575" s="89"/>
      <c r="J1575" s="89"/>
      <c r="K1575" s="89"/>
      <c r="L1575" s="90" t="n">
        <v>46113</v>
      </c>
      <c r="M1575" s="91" t="s">
        <v>608</v>
      </c>
      <c r="N1575" s="90" t="n">
        <v>46142</v>
      </c>
      <c r="R1575" s="92" t="s">
        <v>110</v>
      </c>
      <c r="S1575" s="92"/>
      <c r="T1575" s="92"/>
      <c r="U1575" s="92"/>
      <c r="V1575" s="92"/>
    </row>
    <row r="1576" customFormat="false" ht="15" hidden="false" customHeight="false" outlineLevel="0" collapsed="false">
      <c r="A1576" s="93" t="s">
        <v>111</v>
      </c>
      <c r="B1576" s="94" t="s">
        <v>112</v>
      </c>
      <c r="C1576" s="95"/>
      <c r="D1576" s="95"/>
      <c r="E1576" s="95"/>
      <c r="F1576" s="95"/>
      <c r="H1576" s="96" t="s">
        <v>1369</v>
      </c>
      <c r="I1576" s="97"/>
      <c r="J1576" s="97"/>
      <c r="L1576" s="98" t="s">
        <v>797</v>
      </c>
      <c r="M1576" s="99"/>
      <c r="N1576" s="99"/>
      <c r="R1576" s="100" t="s">
        <v>1370</v>
      </c>
    </row>
    <row r="1577" customFormat="false" ht="15" hidden="false" customHeight="false" outlineLevel="0" collapsed="false">
      <c r="B1577" s="81" t="s">
        <v>116</v>
      </c>
      <c r="C1577" s="81" t="s">
        <v>117</v>
      </c>
      <c r="D1577" s="81" t="s">
        <v>118</v>
      </c>
      <c r="E1577" s="81" t="s">
        <v>119</v>
      </c>
      <c r="F1577" s="81" t="s">
        <v>120</v>
      </c>
      <c r="H1577" s="101" t="s">
        <v>116</v>
      </c>
      <c r="I1577" s="101" t="s">
        <v>119</v>
      </c>
      <c r="J1577" s="101" t="s">
        <v>120</v>
      </c>
      <c r="L1577" s="102" t="s">
        <v>116</v>
      </c>
      <c r="M1577" s="102" t="s">
        <v>119</v>
      </c>
      <c r="N1577" s="102" t="s">
        <v>120</v>
      </c>
      <c r="R1577" s="103" t="s">
        <v>765</v>
      </c>
    </row>
    <row r="1578" customFormat="false" ht="15" hidden="false" customHeight="false" outlineLevel="0" collapsed="false">
      <c r="A1578" s="104" t="s">
        <v>122</v>
      </c>
      <c r="B1578" s="105" t="n">
        <v>3.464</v>
      </c>
      <c r="C1578" s="106" t="n">
        <f aca="false">$N$1575-$L$1575+1</f>
        <v>30</v>
      </c>
      <c r="D1578" s="107" t="n">
        <v>3.68919</v>
      </c>
      <c r="E1578" s="108" t="n">
        <v>4.17</v>
      </c>
      <c r="F1578" s="109" t="n">
        <f aca="false">ROUND(B1578*E1578,2)</f>
        <v>14.44</v>
      </c>
      <c r="H1578" s="110" t="n">
        <v>3.464</v>
      </c>
      <c r="I1578" s="111" t="n">
        <v>4.17</v>
      </c>
      <c r="J1578" s="112" t="n">
        <f aca="false">ROUND(H1578*I1578,2)</f>
        <v>14.44</v>
      </c>
      <c r="L1578" s="136"/>
      <c r="M1578" s="136"/>
      <c r="N1578" s="136"/>
      <c r="R1578" s="116" t="s">
        <v>1371</v>
      </c>
    </row>
    <row r="1579" customFormat="false" ht="15" hidden="false" customHeight="false" outlineLevel="0" collapsed="false">
      <c r="A1579" s="104" t="s">
        <v>124</v>
      </c>
      <c r="B1579" s="105" t="n">
        <v>3.464</v>
      </c>
      <c r="C1579" s="106" t="n">
        <f aca="false">$N$1575-$L$1575+1</f>
        <v>30</v>
      </c>
      <c r="D1579" s="107" t="n">
        <v>1.31928</v>
      </c>
      <c r="E1579" s="108" t="n">
        <v>1.37</v>
      </c>
      <c r="F1579" s="109" t="n">
        <f aca="false">ROUND(B1579*E1579,2)</f>
        <v>4.75</v>
      </c>
      <c r="H1579" s="110" t="n">
        <v>3.464</v>
      </c>
      <c r="I1579" s="111" t="n">
        <v>1.37</v>
      </c>
      <c r="J1579" s="112" t="n">
        <f aca="false">ROUND(H1579*I1579,2)</f>
        <v>4.75</v>
      </c>
      <c r="L1579" s="136"/>
      <c r="M1579" s="136"/>
      <c r="N1579" s="136"/>
    </row>
    <row r="1580" customFormat="false" ht="15" hidden="false" customHeight="false" outlineLevel="0" collapsed="false">
      <c r="A1580" s="104" t="s">
        <v>615</v>
      </c>
      <c r="B1580" s="105" t="n">
        <f aca="false">IF($P$1580&lt;&gt;"",ROUND(AA1580*(($AB$1580/(1-$P$1580))-19.1906)/25.6155,2),IF('Resumen 2.0TD'!$D$3="OPTIMIZAR",AA1580,AA1580))</f>
        <v>75.004</v>
      </c>
      <c r="C1580" s="118"/>
      <c r="D1580" s="107" t="n">
        <v>0.111171</v>
      </c>
      <c r="E1580" s="108" t="n">
        <v>0.14937</v>
      </c>
      <c r="F1580" s="109" t="n">
        <f aca="false">ROUND(B1580*E1580,2)</f>
        <v>11.2</v>
      </c>
      <c r="H1580" s="110" t="n">
        <v>60.471</v>
      </c>
      <c r="I1580" s="111" t="n">
        <v>0.14937</v>
      </c>
      <c r="J1580" s="112" t="n">
        <f aca="false">ROUND(H1580*I1580,2)</f>
        <v>9.03</v>
      </c>
      <c r="L1580" s="136"/>
      <c r="M1580" s="136"/>
      <c r="N1580" s="136"/>
      <c r="O1580" s="119" t="s">
        <v>616</v>
      </c>
      <c r="P1580" s="79"/>
      <c r="AA1580" s="0" t="n">
        <v>75.004</v>
      </c>
      <c r="AB1580" s="0" t="n">
        <f aca="false">B1578*D1578+B1579*D1579+AA1580*D1580+AA1581*D1581+AA1582*D1582</f>
        <v>36.41405487</v>
      </c>
    </row>
    <row r="1581" customFormat="false" ht="15" hidden="false" customHeight="false" outlineLevel="0" collapsed="false">
      <c r="A1581" s="104" t="s">
        <v>618</v>
      </c>
      <c r="B1581" s="105" t="n">
        <f aca="false">IF($P$1580&lt;&gt;"",ROUND(AA1581*(($AB$1580/(1-$P$1580))-19.1906)/25.6155,2),IF('Resumen 2.0TD'!$D$3="OPTIMIZAR",AA1581,AA1581))</f>
        <v>75.311</v>
      </c>
      <c r="C1581" s="118"/>
      <c r="D1581" s="107" t="n">
        <v>0.111171</v>
      </c>
      <c r="E1581" s="108" t="n">
        <v>0.14937</v>
      </c>
      <c r="F1581" s="109" t="n">
        <f aca="false">ROUND(B1581*E1581,2)</f>
        <v>11.25</v>
      </c>
      <c r="H1581" s="110" t="n">
        <v>57.29</v>
      </c>
      <c r="I1581" s="111" t="n">
        <v>0.14937</v>
      </c>
      <c r="J1581" s="112" t="n">
        <f aca="false">ROUND(H1581*I1581,2)</f>
        <v>8.56</v>
      </c>
      <c r="L1581" s="136"/>
      <c r="M1581" s="136"/>
      <c r="N1581" s="136"/>
      <c r="O1581" s="120" t="s">
        <v>619</v>
      </c>
      <c r="R1581" s="117" t="s">
        <v>620</v>
      </c>
      <c r="AA1581" s="0" t="n">
        <v>75.311</v>
      </c>
    </row>
    <row r="1582" customFormat="false" ht="15" hidden="false" customHeight="false" outlineLevel="0" collapsed="false">
      <c r="A1582" s="104" t="s">
        <v>621</v>
      </c>
      <c r="B1582" s="105" t="n">
        <f aca="false">IF($P$1580&lt;&gt;"",ROUND(AA1582*(($AB$1580/(1-$P$1580))-19.1906)/25.6155,2),IF('Resumen 2.0TD'!$D$3="OPTIMIZAR",AA1582,AA1582))</f>
        <v>21.175</v>
      </c>
      <c r="C1582" s="118"/>
      <c r="D1582" s="107" t="n">
        <v>0.111171</v>
      </c>
      <c r="E1582" s="108" t="n">
        <v>0.14937</v>
      </c>
      <c r="F1582" s="109" t="n">
        <f aca="false">ROUND(B1582*E1582,2)</f>
        <v>3.16</v>
      </c>
      <c r="H1582" s="110" t="n">
        <v>16.984</v>
      </c>
      <c r="I1582" s="111" t="n">
        <v>0.14937</v>
      </c>
      <c r="J1582" s="112" t="n">
        <f aca="false">ROUND(H1582*I1582,2)</f>
        <v>2.54</v>
      </c>
      <c r="L1582" s="136"/>
      <c r="M1582" s="136"/>
      <c r="N1582" s="136"/>
      <c r="O1582" s="120" t="s">
        <v>622</v>
      </c>
      <c r="AA1582" s="0" t="n">
        <v>21.175</v>
      </c>
    </row>
    <row r="1583" customFormat="false" ht="15" hidden="false" customHeight="false" outlineLevel="0" collapsed="false">
      <c r="A1583" s="104" t="s">
        <v>139</v>
      </c>
      <c r="B1583" s="105" t="n">
        <v>1</v>
      </c>
      <c r="C1583" s="106" t="n">
        <f aca="false">$N$1575-$L$1575+1</f>
        <v>30</v>
      </c>
      <c r="D1583" s="107" t="n">
        <v>0.7989</v>
      </c>
      <c r="E1583" s="108" t="n">
        <v>4</v>
      </c>
      <c r="F1583" s="109" t="n">
        <f aca="false">ROUND(B1583*E1583,2)</f>
        <v>4</v>
      </c>
      <c r="H1583" s="110" t="n">
        <v>1</v>
      </c>
      <c r="I1583" s="111" t="n">
        <v>4</v>
      </c>
      <c r="J1583" s="112" t="n">
        <f aca="false">ROUND(H1583*I1583,2)</f>
        <v>4</v>
      </c>
      <c r="L1583" s="136"/>
      <c r="M1583" s="136"/>
      <c r="N1583" s="136"/>
    </row>
    <row r="1584" customFormat="false" ht="15" hidden="false" customHeight="false" outlineLevel="0" collapsed="false">
      <c r="A1584" s="104" t="s">
        <v>140</v>
      </c>
      <c r="B1584" s="105" t="n">
        <v>30</v>
      </c>
      <c r="C1584" s="106" t="n">
        <f aca="false">$N$1575-$L$1575+1</f>
        <v>30</v>
      </c>
      <c r="D1584" s="107" t="n">
        <v>0.5736</v>
      </c>
      <c r="E1584" s="108" t="n">
        <v>0.01274</v>
      </c>
      <c r="F1584" s="109" t="n">
        <f aca="false">ROUND(B1584*E1584,2)</f>
        <v>0.38</v>
      </c>
      <c r="H1584" s="110" t="n">
        <v>30</v>
      </c>
      <c r="I1584" s="111" t="n">
        <v>0.01274</v>
      </c>
      <c r="J1584" s="112" t="n">
        <f aca="false">ROUND(H1584*I1584,2)</f>
        <v>0.38</v>
      </c>
      <c r="L1584" s="136"/>
      <c r="M1584" s="136"/>
      <c r="N1584" s="136"/>
    </row>
    <row r="1585" customFormat="false" ht="15" hidden="false" customHeight="false" outlineLevel="0" collapsed="false">
      <c r="A1585" s="104" t="s">
        <v>141</v>
      </c>
      <c r="B1585" s="105" t="n">
        <v>2.3</v>
      </c>
      <c r="C1585" s="118"/>
      <c r="D1585" s="107" t="n">
        <v>0.02671</v>
      </c>
      <c r="E1585" s="108" t="n">
        <v>1</v>
      </c>
      <c r="F1585" s="109" t="n">
        <f aca="false">ROUND(B1585*E1585,2)</f>
        <v>2.3</v>
      </c>
      <c r="H1585" s="110" t="n">
        <v>2.02</v>
      </c>
      <c r="I1585" s="111" t="n">
        <v>1</v>
      </c>
      <c r="J1585" s="112" t="n">
        <f aca="false">ROUND(H1585*I1585,2)</f>
        <v>2.02</v>
      </c>
      <c r="L1585" s="136"/>
      <c r="M1585" s="136"/>
      <c r="N1585" s="136"/>
    </row>
    <row r="1586" customFormat="false" ht="15" hidden="false" customHeight="false" outlineLevel="0" collapsed="false">
      <c r="A1586" s="121" t="s">
        <v>142</v>
      </c>
      <c r="F1586" s="122" t="n">
        <f aca="false">ROUND((SUM(F1578:F1585)-F1585)*1.1+F1585,2)</f>
        <v>56.4</v>
      </c>
      <c r="J1586" s="123" t="n">
        <f aca="false">ROUND(SUM(J1578:J1585),2)</f>
        <v>45.72</v>
      </c>
      <c r="N1586" s="137"/>
    </row>
    <row r="1587" customFormat="false" ht="15" hidden="false" customHeight="false" outlineLevel="0" collapsed="false">
      <c r="A1587" s="93" t="s">
        <v>143</v>
      </c>
      <c r="B1587" s="125" t="n">
        <f aca="false">IF((F1582+F1581+F1580+F1578+F1579)=0,"",((F1582+F1581+F1580+F1578+F1579)-$AB$1580)/(F1582+F1581+F1580+F1578+F1579))</f>
        <v>0.187186275223214</v>
      </c>
      <c r="D1587" s="126" t="str">
        <f aca="false">IF(B1587="","SIN PC",IF(B1587&gt;=0.3,"APROBAR",IF(B1587&gt;=0.2,"REVISAR","RECHAZAR")))</f>
        <v>RECHAZAR</v>
      </c>
      <c r="E1587" s="126"/>
      <c r="F1587" s="126"/>
      <c r="AD1587" s="0" t="n">
        <f aca="false">SUM(F1580:F1582)-25.6155</f>
        <v>-0.00550000000000139</v>
      </c>
    </row>
    <row r="1589" customFormat="false" ht="15" hidden="false" customHeight="false" outlineLevel="0" collapsed="false">
      <c r="A1589" s="89" t="s">
        <v>1372</v>
      </c>
      <c r="B1589" s="89"/>
      <c r="C1589" s="89"/>
      <c r="D1589" s="89"/>
      <c r="E1589" s="89"/>
      <c r="F1589" s="89"/>
      <c r="H1589" s="89" t="s">
        <v>1373</v>
      </c>
      <c r="I1589" s="89"/>
      <c r="J1589" s="89"/>
      <c r="K1589" s="89"/>
      <c r="L1589" s="90" t="n">
        <v>46113</v>
      </c>
      <c r="M1589" s="91" t="s">
        <v>608</v>
      </c>
      <c r="N1589" s="90" t="n">
        <v>46142</v>
      </c>
      <c r="R1589" s="92" t="s">
        <v>110</v>
      </c>
      <c r="S1589" s="92"/>
      <c r="T1589" s="92"/>
      <c r="U1589" s="92"/>
      <c r="V1589" s="92"/>
    </row>
    <row r="1590" customFormat="false" ht="15" hidden="false" customHeight="false" outlineLevel="0" collapsed="false">
      <c r="A1590" s="93" t="s">
        <v>111</v>
      </c>
      <c r="B1590" s="94" t="s">
        <v>112</v>
      </c>
      <c r="C1590" s="95"/>
      <c r="D1590" s="95"/>
      <c r="E1590" s="95"/>
      <c r="F1590" s="95"/>
      <c r="H1590" s="96" t="s">
        <v>1374</v>
      </c>
      <c r="I1590" s="97"/>
      <c r="J1590" s="97"/>
      <c r="L1590" s="98" t="s">
        <v>797</v>
      </c>
      <c r="M1590" s="99"/>
      <c r="N1590" s="99"/>
      <c r="R1590" s="100" t="s">
        <v>1365</v>
      </c>
    </row>
    <row r="1591" customFormat="false" ht="15" hidden="false" customHeight="false" outlineLevel="0" collapsed="false">
      <c r="B1591" s="81" t="s">
        <v>116</v>
      </c>
      <c r="C1591" s="81" t="s">
        <v>117</v>
      </c>
      <c r="D1591" s="81" t="s">
        <v>118</v>
      </c>
      <c r="E1591" s="81" t="s">
        <v>119</v>
      </c>
      <c r="F1591" s="81" t="s">
        <v>120</v>
      </c>
      <c r="H1591" s="101" t="s">
        <v>116</v>
      </c>
      <c r="I1591" s="101" t="s">
        <v>119</v>
      </c>
      <c r="J1591" s="101" t="s">
        <v>120</v>
      </c>
      <c r="L1591" s="102" t="s">
        <v>116</v>
      </c>
      <c r="M1591" s="102" t="s">
        <v>119</v>
      </c>
      <c r="N1591" s="102" t="s">
        <v>120</v>
      </c>
      <c r="R1591" s="103" t="s">
        <v>765</v>
      </c>
    </row>
    <row r="1592" customFormat="false" ht="15" hidden="false" customHeight="false" outlineLevel="0" collapsed="false">
      <c r="A1592" s="104" t="s">
        <v>122</v>
      </c>
      <c r="B1592" s="105" t="n">
        <v>3.45</v>
      </c>
      <c r="C1592" s="106" t="n">
        <f aca="false">$N$1589-$L$1589+1</f>
        <v>30</v>
      </c>
      <c r="D1592" s="107" t="n">
        <v>3.68919</v>
      </c>
      <c r="E1592" s="108" t="n">
        <v>3.85</v>
      </c>
      <c r="F1592" s="109" t="n">
        <f aca="false">ROUND(B1592*E1592,2)</f>
        <v>13.28</v>
      </c>
      <c r="H1592" s="110" t="n">
        <v>3.45</v>
      </c>
      <c r="I1592" s="111" t="n">
        <v>3.85</v>
      </c>
      <c r="J1592" s="112" t="n">
        <f aca="false">ROUND(H1592*I1592,2)</f>
        <v>13.28</v>
      </c>
      <c r="L1592" s="136"/>
      <c r="M1592" s="136"/>
      <c r="N1592" s="136"/>
      <c r="R1592" s="116" t="s">
        <v>1366</v>
      </c>
    </row>
    <row r="1593" customFormat="false" ht="15" hidden="false" customHeight="false" outlineLevel="0" collapsed="false">
      <c r="A1593" s="104" t="s">
        <v>124</v>
      </c>
      <c r="B1593" s="105" t="n">
        <v>3.45</v>
      </c>
      <c r="C1593" s="106" t="n">
        <f aca="false">$N$1589-$L$1589+1</f>
        <v>30</v>
      </c>
      <c r="D1593" s="107" t="n">
        <v>1.31928</v>
      </c>
      <c r="E1593" s="108" t="n">
        <v>1.33</v>
      </c>
      <c r="F1593" s="109" t="n">
        <f aca="false">ROUND(B1593*E1593,2)</f>
        <v>4.59</v>
      </c>
      <c r="H1593" s="110" t="n">
        <v>3.45</v>
      </c>
      <c r="I1593" s="111" t="n">
        <v>1.33</v>
      </c>
      <c r="J1593" s="112" t="n">
        <f aca="false">ROUND(H1593*I1593,2)</f>
        <v>4.59</v>
      </c>
      <c r="L1593" s="136"/>
      <c r="M1593" s="136"/>
      <c r="N1593" s="136"/>
    </row>
    <row r="1594" customFormat="false" ht="15" hidden="false" customHeight="false" outlineLevel="0" collapsed="false">
      <c r="A1594" s="104" t="s">
        <v>615</v>
      </c>
      <c r="B1594" s="105" t="n">
        <f aca="false">IF($P$1594&lt;&gt;"",ROUND(AA1594*(($AB$1594/(1-$P$1594))-17.871)/6.2236,2),IF('Resumen 2.0TD'!$D$3="OPTIMIZAR",AA1594,AA1594))</f>
        <v>13.884</v>
      </c>
      <c r="C1594" s="118"/>
      <c r="D1594" s="107" t="n">
        <v>0.111171</v>
      </c>
      <c r="E1594" s="108" t="n">
        <v>0.13788</v>
      </c>
      <c r="F1594" s="109" t="n">
        <f aca="false">ROUND(B1594*E1594,2)</f>
        <v>1.91</v>
      </c>
      <c r="H1594" s="110" t="n">
        <v>9.558</v>
      </c>
      <c r="I1594" s="111" t="n">
        <v>0.13788</v>
      </c>
      <c r="J1594" s="112" t="n">
        <f aca="false">ROUND(H1594*I1594,2)</f>
        <v>1.32</v>
      </c>
      <c r="L1594" s="136"/>
      <c r="M1594" s="136"/>
      <c r="N1594" s="136"/>
      <c r="O1594" s="119" t="s">
        <v>616</v>
      </c>
      <c r="P1594" s="79"/>
      <c r="AA1594" s="0" t="n">
        <v>13.884</v>
      </c>
      <c r="AB1594" s="0" t="n">
        <f aca="false">B1592*D1592+B1593*D1593+AA1594*D1594+AA1595*D1595+AA1596*D1596</f>
        <v>22.297258098</v>
      </c>
    </row>
    <row r="1595" customFormat="false" ht="15" hidden="false" customHeight="false" outlineLevel="0" collapsed="false">
      <c r="A1595" s="104" t="s">
        <v>618</v>
      </c>
      <c r="B1595" s="105" t="n">
        <f aca="false">IF($P$1594&lt;&gt;"",ROUND(AA1595*(($AB$1594/(1-$P$1594))-17.871)/6.2236,2),IF('Resumen 2.0TD'!$D$3="OPTIMIZAR",AA1595,AA1595))</f>
        <v>7.969</v>
      </c>
      <c r="C1595" s="118"/>
      <c r="D1595" s="107" t="n">
        <v>0.111171</v>
      </c>
      <c r="E1595" s="108" t="n">
        <v>0.13788</v>
      </c>
      <c r="F1595" s="109" t="n">
        <f aca="false">ROUND(B1595*E1595,2)</f>
        <v>1.1</v>
      </c>
      <c r="H1595" s="110" t="n">
        <v>13.157</v>
      </c>
      <c r="I1595" s="111" t="n">
        <v>0.13788</v>
      </c>
      <c r="J1595" s="112" t="n">
        <f aca="false">ROUND(H1595*I1595,2)</f>
        <v>1.81</v>
      </c>
      <c r="L1595" s="136"/>
      <c r="M1595" s="136"/>
      <c r="N1595" s="136"/>
      <c r="O1595" s="120" t="s">
        <v>619</v>
      </c>
      <c r="R1595" s="117" t="s">
        <v>620</v>
      </c>
      <c r="AA1595" s="0" t="n">
        <v>7.969</v>
      </c>
    </row>
    <row r="1596" customFormat="false" ht="15" hidden="false" customHeight="false" outlineLevel="0" collapsed="false">
      <c r="A1596" s="104" t="s">
        <v>621</v>
      </c>
      <c r="B1596" s="105" t="n">
        <f aca="false">IF($P$1594&lt;&gt;"",ROUND(AA1596*(($AB$1594/(1-$P$1594))-17.871)/6.2236,2),IF('Resumen 2.0TD'!$D$3="OPTIMIZAR",AA1596,AA1596))</f>
        <v>23.285</v>
      </c>
      <c r="C1596" s="118"/>
      <c r="D1596" s="107" t="n">
        <v>0.111171</v>
      </c>
      <c r="E1596" s="108" t="n">
        <v>0.13788</v>
      </c>
      <c r="F1596" s="109" t="n">
        <f aca="false">ROUND(B1596*E1596,2)</f>
        <v>3.21</v>
      </c>
      <c r="H1596" s="110" t="n">
        <v>28.872</v>
      </c>
      <c r="I1596" s="111" t="n">
        <v>0.13788</v>
      </c>
      <c r="J1596" s="112" t="n">
        <f aca="false">ROUND(H1596*I1596,2)</f>
        <v>3.98</v>
      </c>
      <c r="L1596" s="136"/>
      <c r="M1596" s="136"/>
      <c r="N1596" s="136"/>
      <c r="O1596" s="120" t="s">
        <v>622</v>
      </c>
      <c r="AA1596" s="0" t="n">
        <v>23.285</v>
      </c>
    </row>
    <row r="1597" customFormat="false" ht="15" hidden="false" customHeight="false" outlineLevel="0" collapsed="false">
      <c r="A1597" s="104" t="s">
        <v>139</v>
      </c>
      <c r="B1597" s="105" t="n">
        <v>1</v>
      </c>
      <c r="C1597" s="106" t="n">
        <f aca="false">$N$1589-$L$1589+1</f>
        <v>30</v>
      </c>
      <c r="D1597" s="107" t="n">
        <v>0.7989</v>
      </c>
      <c r="E1597" s="108" t="n">
        <v>3</v>
      </c>
      <c r="F1597" s="109" t="n">
        <f aca="false">ROUND(B1597*E1597,2)</f>
        <v>3</v>
      </c>
      <c r="H1597" s="110" t="n">
        <v>1</v>
      </c>
      <c r="I1597" s="111" t="n">
        <v>3</v>
      </c>
      <c r="J1597" s="112" t="n">
        <f aca="false">ROUND(H1597*I1597,2)</f>
        <v>3</v>
      </c>
      <c r="L1597" s="136"/>
      <c r="M1597" s="136"/>
      <c r="N1597" s="136"/>
    </row>
    <row r="1598" customFormat="false" ht="15" hidden="false" customHeight="false" outlineLevel="0" collapsed="false">
      <c r="A1598" s="104" t="s">
        <v>140</v>
      </c>
      <c r="B1598" s="105" t="n">
        <v>30</v>
      </c>
      <c r="C1598" s="106" t="n">
        <f aca="false">$N$1589-$L$1589+1</f>
        <v>30</v>
      </c>
      <c r="D1598" s="107" t="n">
        <v>0.5736</v>
      </c>
      <c r="E1598" s="108" t="n">
        <v>0.01274</v>
      </c>
      <c r="F1598" s="109" t="n">
        <f aca="false">ROUND(B1598*E1598,2)</f>
        <v>0.38</v>
      </c>
      <c r="H1598" s="110" t="n">
        <v>30</v>
      </c>
      <c r="I1598" s="111" t="n">
        <v>0.01274</v>
      </c>
      <c r="J1598" s="112" t="n">
        <f aca="false">ROUND(H1598*I1598,2)</f>
        <v>0.38</v>
      </c>
      <c r="L1598" s="136"/>
      <c r="M1598" s="136"/>
      <c r="N1598" s="136"/>
    </row>
    <row r="1599" customFormat="false" ht="15" hidden="false" customHeight="false" outlineLevel="0" collapsed="false">
      <c r="A1599" s="104" t="s">
        <v>141</v>
      </c>
      <c r="B1599" s="105" t="n">
        <v>1.24</v>
      </c>
      <c r="C1599" s="118"/>
      <c r="D1599" s="107" t="n">
        <v>0.27312</v>
      </c>
      <c r="E1599" s="108" t="n">
        <v>1</v>
      </c>
      <c r="F1599" s="109" t="n">
        <f aca="false">ROUND(B1599*E1599,2)</f>
        <v>1.24</v>
      </c>
      <c r="H1599" s="110" t="n">
        <v>1.29</v>
      </c>
      <c r="I1599" s="111" t="n">
        <v>1</v>
      </c>
      <c r="J1599" s="112" t="n">
        <f aca="false">ROUND(H1599*I1599,2)</f>
        <v>1.29</v>
      </c>
      <c r="L1599" s="136"/>
      <c r="M1599" s="136"/>
      <c r="N1599" s="136"/>
    </row>
    <row r="1600" customFormat="false" ht="15" hidden="false" customHeight="false" outlineLevel="0" collapsed="false">
      <c r="A1600" s="121" t="s">
        <v>142</v>
      </c>
      <c r="F1600" s="122" t="n">
        <f aca="false">ROUND((SUM(F1592:F1599)-F1599)*1.1+F1599,2)</f>
        <v>31.46</v>
      </c>
      <c r="J1600" s="123" t="n">
        <f aca="false">ROUND(SUM(J1592:J1599),2)</f>
        <v>29.65</v>
      </c>
      <c r="N1600" s="137"/>
    </row>
    <row r="1601" customFormat="false" ht="15" hidden="false" customHeight="false" outlineLevel="0" collapsed="false">
      <c r="A1601" s="93" t="s">
        <v>143</v>
      </c>
      <c r="B1601" s="125" t="n">
        <f aca="false">IF((F1596+F1595+F1594+F1592+F1593)=0,"",((F1596+F1595+F1594+F1592+F1593)-$AB$1594)/(F1596+F1595+F1594+F1592+F1593))</f>
        <v>0.0744185098381071</v>
      </c>
      <c r="D1601" s="126" t="str">
        <f aca="false">IF(B1601="","SIN PC",IF(B1601&gt;=0.3,"APROBAR",IF(B1601&gt;=0.2,"REVISAR","RECHAZAR")))</f>
        <v>RECHAZAR</v>
      </c>
      <c r="E1601" s="126"/>
      <c r="F1601" s="126"/>
      <c r="AD1601" s="0" t="n">
        <f aca="false">SUM(F1594:F1596)-6.2236</f>
        <v>-0.00360000000000049</v>
      </c>
    </row>
    <row r="1603" customFormat="false" ht="15" hidden="false" customHeight="false" outlineLevel="0" collapsed="false">
      <c r="A1603" s="89" t="s">
        <v>1375</v>
      </c>
      <c r="B1603" s="89"/>
      <c r="C1603" s="89"/>
      <c r="D1603" s="89"/>
      <c r="E1603" s="89"/>
      <c r="F1603" s="89"/>
      <c r="H1603" s="89" t="s">
        <v>1376</v>
      </c>
      <c r="I1603" s="89"/>
      <c r="J1603" s="89"/>
      <c r="K1603" s="89"/>
      <c r="L1603" s="90" t="n">
        <v>46113</v>
      </c>
      <c r="M1603" s="91" t="s">
        <v>608</v>
      </c>
      <c r="N1603" s="90" t="n">
        <v>46142</v>
      </c>
      <c r="R1603" s="92" t="s">
        <v>110</v>
      </c>
      <c r="S1603" s="92"/>
      <c r="T1603" s="92"/>
      <c r="U1603" s="92"/>
      <c r="V1603" s="92"/>
    </row>
    <row r="1604" customFormat="false" ht="15" hidden="false" customHeight="false" outlineLevel="0" collapsed="false">
      <c r="A1604" s="93" t="s">
        <v>111</v>
      </c>
      <c r="B1604" s="94" t="s">
        <v>112</v>
      </c>
      <c r="C1604" s="95"/>
      <c r="D1604" s="95"/>
      <c r="E1604" s="95"/>
      <c r="F1604" s="95"/>
      <c r="H1604" s="96" t="s">
        <v>1377</v>
      </c>
      <c r="I1604" s="97"/>
      <c r="J1604" s="97"/>
      <c r="L1604" s="98" t="s">
        <v>797</v>
      </c>
      <c r="M1604" s="99"/>
      <c r="N1604" s="99"/>
      <c r="R1604" s="100" t="s">
        <v>1378</v>
      </c>
    </row>
    <row r="1605" customFormat="false" ht="15" hidden="false" customHeight="false" outlineLevel="0" collapsed="false">
      <c r="B1605" s="81" t="s">
        <v>116</v>
      </c>
      <c r="C1605" s="81" t="s">
        <v>117</v>
      </c>
      <c r="D1605" s="81" t="s">
        <v>118</v>
      </c>
      <c r="E1605" s="81" t="s">
        <v>119</v>
      </c>
      <c r="F1605" s="81" t="s">
        <v>120</v>
      </c>
      <c r="H1605" s="101" t="s">
        <v>116</v>
      </c>
      <c r="I1605" s="101" t="s">
        <v>119</v>
      </c>
      <c r="J1605" s="101" t="s">
        <v>120</v>
      </c>
      <c r="L1605" s="102" t="s">
        <v>116</v>
      </c>
      <c r="M1605" s="102" t="s">
        <v>119</v>
      </c>
      <c r="N1605" s="102" t="s">
        <v>120</v>
      </c>
      <c r="R1605" s="103" t="s">
        <v>765</v>
      </c>
    </row>
    <row r="1606" customFormat="false" ht="15" hidden="false" customHeight="false" outlineLevel="0" collapsed="false">
      <c r="A1606" s="104" t="s">
        <v>122</v>
      </c>
      <c r="B1606" s="105" t="n">
        <v>5.75</v>
      </c>
      <c r="C1606" s="106" t="n">
        <f aca="false">$N$1603-$L$1603+1</f>
        <v>30</v>
      </c>
      <c r="D1606" s="107" t="n">
        <v>3.40863</v>
      </c>
      <c r="E1606" s="108" t="n">
        <v>3.85</v>
      </c>
      <c r="F1606" s="109" t="n">
        <f aca="false">ROUND(B1606*E1606,2)</f>
        <v>22.14</v>
      </c>
      <c r="H1606" s="110" t="n">
        <v>5.75</v>
      </c>
      <c r="I1606" s="111" t="n">
        <v>3.85</v>
      </c>
      <c r="J1606" s="112" t="n">
        <f aca="false">ROUND(H1606*I1606,2)</f>
        <v>22.14</v>
      </c>
      <c r="L1606" s="136"/>
      <c r="M1606" s="136"/>
      <c r="N1606" s="136"/>
      <c r="R1606" s="116" t="s">
        <v>1379</v>
      </c>
    </row>
    <row r="1607" customFormat="false" ht="15" hidden="false" customHeight="false" outlineLevel="0" collapsed="false">
      <c r="A1607" s="104" t="s">
        <v>124</v>
      </c>
      <c r="B1607" s="105" t="n">
        <v>5.75</v>
      </c>
      <c r="C1607" s="106" t="n">
        <f aca="false">$N$1603-$L$1603+1</f>
        <v>30</v>
      </c>
      <c r="D1607" s="107" t="n">
        <v>1.44069</v>
      </c>
      <c r="E1607" s="108" t="n">
        <v>1.33</v>
      </c>
      <c r="F1607" s="109" t="n">
        <f aca="false">ROUND(B1607*E1607,2)</f>
        <v>7.65</v>
      </c>
      <c r="H1607" s="110" t="n">
        <v>5.75</v>
      </c>
      <c r="I1607" s="111" t="n">
        <v>1.33</v>
      </c>
      <c r="J1607" s="112" t="n">
        <f aca="false">ROUND(H1607*I1607,2)</f>
        <v>7.65</v>
      </c>
      <c r="L1607" s="136"/>
      <c r="M1607" s="136"/>
      <c r="N1607" s="136"/>
    </row>
    <row r="1608" customFormat="false" ht="15" hidden="false" customHeight="false" outlineLevel="0" collapsed="false">
      <c r="A1608" s="104" t="s">
        <v>615</v>
      </c>
      <c r="B1608" s="105" t="n">
        <f aca="false">IF($P$1608&lt;&gt;"",ROUND(AA1608*(($AB$1608/(1-$P$1608))-29.785)/0.1074,2),IF('Resumen 2.0TD'!$D$3="OPTIMIZAR",AA1608,AA1608))</f>
        <v>0.151</v>
      </c>
      <c r="C1608" s="118"/>
      <c r="D1608" s="107" t="n">
        <v>0.181739</v>
      </c>
      <c r="E1608" s="108" t="n">
        <v>0.13788</v>
      </c>
      <c r="F1608" s="109" t="n">
        <f aca="false">ROUND(B1608*E1608,2)</f>
        <v>0.02</v>
      </c>
      <c r="H1608" s="110" t="n">
        <v>43.529</v>
      </c>
      <c r="I1608" s="111" t="n">
        <v>0.13788</v>
      </c>
      <c r="J1608" s="112" t="n">
        <f aca="false">ROUND(H1608*I1608,2)</f>
        <v>6</v>
      </c>
      <c r="L1608" s="136"/>
      <c r="M1608" s="136"/>
      <c r="N1608" s="136"/>
      <c r="O1608" s="119" t="s">
        <v>616</v>
      </c>
      <c r="P1608" s="79"/>
      <c r="AA1608" s="0" t="n">
        <v>0.151</v>
      </c>
      <c r="AB1608" s="0" t="n">
        <f aca="false">B1606*D1606+B1607*D1607+AA1608*D1608+AA1609*D1609+AA1610*D1610</f>
        <v>28.025164681</v>
      </c>
    </row>
    <row r="1609" customFormat="false" ht="15" hidden="false" customHeight="false" outlineLevel="0" collapsed="false">
      <c r="A1609" s="104" t="s">
        <v>618</v>
      </c>
      <c r="B1609" s="105" t="n">
        <f aca="false">IF($P$1608&lt;&gt;"",ROUND(AA1609*(($AB$1608/(1-$P$1608))-29.785)/0.1074,2),IF('Resumen 2.0TD'!$D$3="OPTIMIZAR",AA1609,AA1609))</f>
        <v>0.033</v>
      </c>
      <c r="C1609" s="118"/>
      <c r="D1609" s="107" t="n">
        <v>0.181739</v>
      </c>
      <c r="E1609" s="108" t="n">
        <v>0.13788</v>
      </c>
      <c r="F1609" s="109" t="n">
        <f aca="false">ROUND(B1609*E1609,2)</f>
        <v>0</v>
      </c>
      <c r="H1609" s="110" t="n">
        <v>58.212</v>
      </c>
      <c r="I1609" s="111" t="n">
        <v>0.13788</v>
      </c>
      <c r="J1609" s="112" t="n">
        <f aca="false">ROUND(H1609*I1609,2)</f>
        <v>8.03</v>
      </c>
      <c r="L1609" s="136"/>
      <c r="M1609" s="136"/>
      <c r="N1609" s="136"/>
      <c r="O1609" s="120" t="s">
        <v>619</v>
      </c>
      <c r="R1609" s="117" t="s">
        <v>620</v>
      </c>
      <c r="AA1609" s="0" t="n">
        <v>0.033</v>
      </c>
    </row>
    <row r="1610" customFormat="false" ht="15" hidden="false" customHeight="false" outlineLevel="0" collapsed="false">
      <c r="A1610" s="104" t="s">
        <v>621</v>
      </c>
      <c r="B1610" s="105" t="n">
        <f aca="false">IF($P$1608&lt;&gt;"",ROUND(AA1610*(($AB$1608/(1-$P$1608))-29.785)/0.1074,2),IF('Resumen 2.0TD'!$D$3="OPTIMIZAR",AA1610,AA1610))</f>
        <v>0.595</v>
      </c>
      <c r="C1610" s="118"/>
      <c r="D1610" s="107" t="n">
        <v>0.181739</v>
      </c>
      <c r="E1610" s="108" t="n">
        <v>0.13788</v>
      </c>
      <c r="F1610" s="109" t="n">
        <f aca="false">ROUND(B1610*E1610,2)</f>
        <v>0.08</v>
      </c>
      <c r="H1610" s="110" t="n">
        <v>84.687</v>
      </c>
      <c r="I1610" s="111" t="n">
        <v>0.13788</v>
      </c>
      <c r="J1610" s="112" t="n">
        <f aca="false">ROUND(H1610*I1610,2)</f>
        <v>11.68</v>
      </c>
      <c r="L1610" s="136"/>
      <c r="M1610" s="136"/>
      <c r="N1610" s="136"/>
      <c r="O1610" s="120" t="s">
        <v>622</v>
      </c>
      <c r="AA1610" s="0" t="n">
        <v>0.595</v>
      </c>
    </row>
    <row r="1611" customFormat="false" ht="15" hidden="false" customHeight="false" outlineLevel="0" collapsed="false">
      <c r="A1611" s="104" t="s">
        <v>139</v>
      </c>
      <c r="B1611" s="105" t="n">
        <v>1</v>
      </c>
      <c r="C1611" s="106" t="n">
        <f aca="false">$N$1603-$L$1603+1</f>
        <v>30</v>
      </c>
      <c r="D1611" s="107" t="n">
        <v>0.7989</v>
      </c>
      <c r="E1611" s="108" t="n">
        <v>3</v>
      </c>
      <c r="F1611" s="109" t="n">
        <f aca="false">ROUND(B1611*E1611,2)</f>
        <v>3</v>
      </c>
      <c r="H1611" s="110" t="n">
        <v>1</v>
      </c>
      <c r="I1611" s="111" t="n">
        <v>3</v>
      </c>
      <c r="J1611" s="112" t="n">
        <f aca="false">ROUND(H1611*I1611,2)</f>
        <v>3</v>
      </c>
      <c r="L1611" s="136"/>
      <c r="M1611" s="136"/>
      <c r="N1611" s="136"/>
    </row>
    <row r="1612" customFormat="false" ht="15" hidden="false" customHeight="false" outlineLevel="0" collapsed="false">
      <c r="A1612" s="104" t="s">
        <v>140</v>
      </c>
      <c r="B1612" s="105" t="n">
        <v>30</v>
      </c>
      <c r="C1612" s="106" t="n">
        <f aca="false">$N$1603-$L$1603+1</f>
        <v>30</v>
      </c>
      <c r="D1612" s="107" t="n">
        <v>0.5736</v>
      </c>
      <c r="E1612" s="108" t="n">
        <v>0.01274</v>
      </c>
      <c r="F1612" s="109" t="n">
        <f aca="false">ROUND(B1612*E1612,2)</f>
        <v>0.38</v>
      </c>
      <c r="H1612" s="110" t="n">
        <v>30</v>
      </c>
      <c r="I1612" s="111" t="n">
        <v>0.01274</v>
      </c>
      <c r="J1612" s="112" t="n">
        <f aca="false">ROUND(H1612*I1612,2)</f>
        <v>0.38</v>
      </c>
      <c r="L1612" s="136"/>
      <c r="M1612" s="136"/>
      <c r="N1612" s="136"/>
    </row>
    <row r="1613" customFormat="false" ht="15" hidden="false" customHeight="false" outlineLevel="0" collapsed="false">
      <c r="A1613" s="104" t="s">
        <v>141</v>
      </c>
      <c r="B1613" s="105" t="n">
        <v>1.53</v>
      </c>
      <c r="C1613" s="118"/>
      <c r="D1613" s="107" t="n">
        <v>0.02697</v>
      </c>
      <c r="E1613" s="108" t="n">
        <v>1</v>
      </c>
      <c r="F1613" s="109" t="n">
        <f aca="false">ROUND(B1613*E1613,2)</f>
        <v>1.53</v>
      </c>
      <c r="H1613" s="110" t="n">
        <v>2.4</v>
      </c>
      <c r="I1613" s="111" t="n">
        <v>1</v>
      </c>
      <c r="J1613" s="112" t="n">
        <f aca="false">ROUND(H1613*I1613,2)</f>
        <v>2.4</v>
      </c>
      <c r="L1613" s="136"/>
      <c r="M1613" s="136"/>
      <c r="N1613" s="136"/>
    </row>
    <row r="1614" customFormat="false" ht="15" hidden="false" customHeight="false" outlineLevel="0" collapsed="false">
      <c r="A1614" s="121" t="s">
        <v>142</v>
      </c>
      <c r="F1614" s="122" t="n">
        <f aca="false">ROUND((SUM(F1606:F1613)-F1613)*1.1+F1613,2)</f>
        <v>38.13</v>
      </c>
      <c r="J1614" s="123" t="n">
        <f aca="false">ROUND(SUM(J1606:J1613),2)</f>
        <v>61.28</v>
      </c>
      <c r="N1614" s="137"/>
    </row>
    <row r="1615" customFormat="false" ht="15" hidden="false" customHeight="false" outlineLevel="0" collapsed="false">
      <c r="A1615" s="93" t="s">
        <v>143</v>
      </c>
      <c r="B1615" s="125" t="n">
        <f aca="false">IF((F1610+F1609+F1608+F1606+F1607)=0,"",((F1610+F1609+F1608+F1606+F1607)-$AB$1608)/(F1610+F1609+F1608+F1606+F1607))</f>
        <v>0.0623899404148545</v>
      </c>
      <c r="D1615" s="126" t="str">
        <f aca="false">IF(B1615="","SIN PC",IF(B1615&gt;=0.3,"APROBAR",IF(B1615&gt;=0.2,"REVISAR","RECHAZAR")))</f>
        <v>RECHAZAR</v>
      </c>
      <c r="E1615" s="126"/>
      <c r="F1615" s="126"/>
      <c r="AD1615" s="0" t="n">
        <f aca="false">SUM(F1608:F1610)-0.1074</f>
        <v>-0.00739999999999999</v>
      </c>
    </row>
    <row r="1616" customFormat="false" ht="15" hidden="false" customHeight="false" outlineLevel="0" collapsed="false">
      <c r="A1616" s="127" t="s">
        <v>744</v>
      </c>
      <c r="B1616" s="127"/>
      <c r="C1616" s="127"/>
      <c r="D1616" s="127"/>
      <c r="E1616" s="127"/>
      <c r="F1616" s="127"/>
    </row>
    <row r="1617" customFormat="false" ht="15" hidden="false" customHeight="false" outlineLevel="0" collapsed="false">
      <c r="A1617" s="128" t="s">
        <v>111</v>
      </c>
      <c r="B1617" s="128" t="s">
        <v>745</v>
      </c>
      <c r="D1617" s="128" t="s">
        <v>746</v>
      </c>
      <c r="E1617" s="128" t="s">
        <v>747</v>
      </c>
      <c r="F1617" s="128" t="s">
        <v>120</v>
      </c>
    </row>
    <row r="1618" customFormat="false" ht="15" hidden="false" customHeight="false" outlineLevel="0" collapsed="false">
      <c r="A1618" s="129" t="s">
        <v>748</v>
      </c>
      <c r="B1618" s="130" t="n">
        <v>481</v>
      </c>
      <c r="C1618" s="131"/>
      <c r="D1618" s="107" t="n">
        <v>0.001532</v>
      </c>
      <c r="E1618" s="131"/>
      <c r="F1618" s="132" t="n">
        <f aca="false">ROUND(B1618*D1618,2)</f>
        <v>0.74</v>
      </c>
      <c r="H1618" s="139" t="s">
        <v>1380</v>
      </c>
    </row>
    <row r="1619" customFormat="false" ht="15" hidden="false" customHeight="false" outlineLevel="0" collapsed="false">
      <c r="A1619" s="129" t="s">
        <v>749</v>
      </c>
      <c r="B1619" s="131"/>
      <c r="C1619" s="131"/>
      <c r="D1619" s="131"/>
      <c r="E1619" s="131"/>
      <c r="F1619" s="132" t="n">
        <v>0.1</v>
      </c>
    </row>
    <row r="1620" customFormat="false" ht="15" hidden="false" customHeight="false" outlineLevel="0" collapsed="false">
      <c r="A1620" s="134" t="s">
        <v>750</v>
      </c>
      <c r="B1620" s="131"/>
      <c r="C1620" s="131"/>
      <c r="D1620" s="131"/>
      <c r="E1620" s="131"/>
      <c r="F1620" s="135" t="n">
        <f aca="false">F1618-F1619</f>
        <v>0.64</v>
      </c>
    </row>
    <row r="1622" customFormat="false" ht="15" hidden="false" customHeight="false" outlineLevel="0" collapsed="false">
      <c r="A1622" s="89" t="s">
        <v>1381</v>
      </c>
      <c r="B1622" s="89"/>
      <c r="C1622" s="89"/>
      <c r="D1622" s="89"/>
      <c r="E1622" s="89"/>
      <c r="F1622" s="89"/>
      <c r="H1622" s="89" t="s">
        <v>1382</v>
      </c>
      <c r="I1622" s="89"/>
      <c r="J1622" s="89"/>
      <c r="K1622" s="89"/>
      <c r="L1622" s="90" t="n">
        <v>46113</v>
      </c>
      <c r="M1622" s="91" t="s">
        <v>608</v>
      </c>
      <c r="N1622" s="90" t="n">
        <v>46142</v>
      </c>
      <c r="R1622" s="92" t="s">
        <v>110</v>
      </c>
      <c r="S1622" s="92"/>
      <c r="T1622" s="92"/>
      <c r="U1622" s="92"/>
      <c r="V1622" s="92"/>
    </row>
    <row r="1623" customFormat="false" ht="15" hidden="false" customHeight="false" outlineLevel="0" collapsed="false">
      <c r="A1623" s="93" t="s">
        <v>111</v>
      </c>
      <c r="B1623" s="94" t="s">
        <v>112</v>
      </c>
      <c r="C1623" s="95"/>
      <c r="D1623" s="95"/>
      <c r="E1623" s="95"/>
      <c r="F1623" s="95"/>
      <c r="H1623" s="96" t="s">
        <v>1383</v>
      </c>
      <c r="I1623" s="97"/>
      <c r="J1623" s="97"/>
      <c r="L1623" s="98" t="s">
        <v>797</v>
      </c>
      <c r="M1623" s="99"/>
      <c r="N1623" s="99"/>
      <c r="R1623" s="100" t="s">
        <v>1365</v>
      </c>
    </row>
    <row r="1624" customFormat="false" ht="15" hidden="false" customHeight="false" outlineLevel="0" collapsed="false">
      <c r="B1624" s="81" t="s">
        <v>116</v>
      </c>
      <c r="C1624" s="81" t="s">
        <v>117</v>
      </c>
      <c r="D1624" s="81" t="s">
        <v>118</v>
      </c>
      <c r="E1624" s="81" t="s">
        <v>119</v>
      </c>
      <c r="F1624" s="81" t="s">
        <v>120</v>
      </c>
      <c r="H1624" s="101" t="s">
        <v>116</v>
      </c>
      <c r="I1624" s="101" t="s">
        <v>119</v>
      </c>
      <c r="J1624" s="101" t="s">
        <v>120</v>
      </c>
      <c r="L1624" s="102" t="s">
        <v>116</v>
      </c>
      <c r="M1624" s="102" t="s">
        <v>119</v>
      </c>
      <c r="N1624" s="102" t="s">
        <v>120</v>
      </c>
      <c r="R1624" s="103" t="s">
        <v>765</v>
      </c>
    </row>
    <row r="1625" customFormat="false" ht="15" hidden="false" customHeight="false" outlineLevel="0" collapsed="false">
      <c r="A1625" s="104" t="s">
        <v>122</v>
      </c>
      <c r="B1625" s="105" t="n">
        <v>14.49</v>
      </c>
      <c r="C1625" s="106" t="n">
        <f aca="false">$N$1622-$L$1622+1</f>
        <v>30</v>
      </c>
      <c r="D1625" s="107" t="n">
        <v>3.68919</v>
      </c>
      <c r="E1625" s="108" t="n">
        <v>3.85</v>
      </c>
      <c r="F1625" s="109" t="n">
        <f aca="false">ROUND(B1625*E1625,2)</f>
        <v>55.79</v>
      </c>
      <c r="H1625" s="110" t="n">
        <v>14.49</v>
      </c>
      <c r="I1625" s="111" t="n">
        <v>3.85</v>
      </c>
      <c r="J1625" s="112" t="n">
        <f aca="false">ROUND(H1625*I1625,2)</f>
        <v>55.79</v>
      </c>
      <c r="L1625" s="136"/>
      <c r="M1625" s="136"/>
      <c r="N1625" s="136"/>
      <c r="R1625" s="116" t="s">
        <v>1366</v>
      </c>
    </row>
    <row r="1626" customFormat="false" ht="15" hidden="false" customHeight="false" outlineLevel="0" collapsed="false">
      <c r="A1626" s="104" t="s">
        <v>124</v>
      </c>
      <c r="B1626" s="105" t="n">
        <v>14.49</v>
      </c>
      <c r="C1626" s="106" t="n">
        <f aca="false">$N$1622-$L$1622+1</f>
        <v>30</v>
      </c>
      <c r="D1626" s="107" t="n">
        <v>1.31928</v>
      </c>
      <c r="E1626" s="108" t="n">
        <v>1.33</v>
      </c>
      <c r="F1626" s="109" t="n">
        <f aca="false">ROUND(B1626*E1626,2)</f>
        <v>19.27</v>
      </c>
      <c r="H1626" s="110" t="n">
        <v>14.49</v>
      </c>
      <c r="I1626" s="111" t="n">
        <v>1.33</v>
      </c>
      <c r="J1626" s="112" t="n">
        <f aca="false">ROUND(H1626*I1626,2)</f>
        <v>19.27</v>
      </c>
      <c r="L1626" s="136"/>
      <c r="M1626" s="136"/>
      <c r="N1626" s="136"/>
    </row>
    <row r="1627" customFormat="false" ht="15" hidden="false" customHeight="false" outlineLevel="0" collapsed="false">
      <c r="A1627" s="104" t="s">
        <v>615</v>
      </c>
      <c r="B1627" s="105" t="n">
        <f aca="false">IF($P$1627&lt;&gt;"",ROUND(AA1627*(($AB$1627/(1-$P$1627))-75.0582)/220.443,2),IF('Resumen 2.0TD'!$D$3="OPTIMIZAR",AA1627,AA1627))</f>
        <v>428.614</v>
      </c>
      <c r="C1627" s="118"/>
      <c r="D1627" s="107" t="n">
        <v>0.111171</v>
      </c>
      <c r="E1627" s="108" t="n">
        <v>0.13788</v>
      </c>
      <c r="F1627" s="109" t="n">
        <f aca="false">ROUND(B1627*E1627,2)</f>
        <v>59.1</v>
      </c>
      <c r="H1627" s="110" t="n">
        <v>325.707</v>
      </c>
      <c r="I1627" s="111" t="n">
        <v>0.13788</v>
      </c>
      <c r="J1627" s="112" t="n">
        <f aca="false">ROUND(H1627*I1627,2)</f>
        <v>44.91</v>
      </c>
      <c r="L1627" s="136"/>
      <c r="M1627" s="136"/>
      <c r="N1627" s="136"/>
      <c r="O1627" s="119" t="s">
        <v>616</v>
      </c>
      <c r="P1627" s="79"/>
      <c r="AA1627" s="0" t="n">
        <v>428.614</v>
      </c>
      <c r="AB1627" s="0" t="n">
        <f aca="false">B1625*D1625+B1626*D1626+AA1627*D1627+AA1628*D1628+AA1629*D1629</f>
        <v>250.313258613</v>
      </c>
    </row>
    <row r="1628" customFormat="false" ht="15" hidden="false" customHeight="false" outlineLevel="0" collapsed="false">
      <c r="A1628" s="104" t="s">
        <v>618</v>
      </c>
      <c r="B1628" s="105" t="n">
        <f aca="false">IF($P$1627&lt;&gt;"",ROUND(AA1628*(($AB$1627/(1-$P$1627))-75.0582)/220.443,2),IF('Resumen 2.0TD'!$D$3="OPTIMIZAR",AA1628,AA1628))</f>
        <v>393.29</v>
      </c>
      <c r="C1628" s="118"/>
      <c r="D1628" s="107" t="n">
        <v>0.111171</v>
      </c>
      <c r="E1628" s="108" t="n">
        <v>0.13788</v>
      </c>
      <c r="F1628" s="109" t="n">
        <f aca="false">ROUND(B1628*E1628,2)</f>
        <v>54.23</v>
      </c>
      <c r="H1628" s="110" t="n">
        <v>282.443</v>
      </c>
      <c r="I1628" s="111" t="n">
        <v>0.13788</v>
      </c>
      <c r="J1628" s="112" t="n">
        <f aca="false">ROUND(H1628*I1628,2)</f>
        <v>38.94</v>
      </c>
      <c r="L1628" s="136"/>
      <c r="M1628" s="136"/>
      <c r="N1628" s="136"/>
      <c r="O1628" s="120" t="s">
        <v>619</v>
      </c>
      <c r="R1628" s="117" t="s">
        <v>620</v>
      </c>
      <c r="AA1628" s="0" t="n">
        <v>393.29</v>
      </c>
    </row>
    <row r="1629" customFormat="false" ht="15" hidden="false" customHeight="false" outlineLevel="0" collapsed="false">
      <c r="A1629" s="104" t="s">
        <v>621</v>
      </c>
      <c r="B1629" s="105" t="n">
        <f aca="false">IF($P$1627&lt;&gt;"",ROUND(AA1629*(($AB$1627/(1-$P$1627))-75.0582)/220.443,2),IF('Resumen 2.0TD'!$D$3="OPTIMIZAR",AA1629,AA1629))</f>
        <v>776.899</v>
      </c>
      <c r="C1629" s="118"/>
      <c r="D1629" s="107" t="n">
        <v>0.111171</v>
      </c>
      <c r="E1629" s="108" t="n">
        <v>0.13788</v>
      </c>
      <c r="F1629" s="109" t="n">
        <f aca="false">ROUND(B1629*E1629,2)</f>
        <v>107.12</v>
      </c>
      <c r="H1629" s="110" t="n">
        <v>553.849</v>
      </c>
      <c r="I1629" s="111" t="n">
        <v>0.13788</v>
      </c>
      <c r="J1629" s="112" t="n">
        <f aca="false">ROUND(H1629*I1629,2)</f>
        <v>76.36</v>
      </c>
      <c r="L1629" s="136"/>
      <c r="M1629" s="136"/>
      <c r="N1629" s="136"/>
      <c r="O1629" s="120" t="s">
        <v>622</v>
      </c>
      <c r="AA1629" s="0" t="n">
        <v>776.899</v>
      </c>
    </row>
    <row r="1630" customFormat="false" ht="15" hidden="false" customHeight="false" outlineLevel="0" collapsed="false">
      <c r="A1630" s="104" t="s">
        <v>139</v>
      </c>
      <c r="B1630" s="105" t="n">
        <v>1</v>
      </c>
      <c r="C1630" s="106" t="n">
        <f aca="false">$N$1622-$L$1622+1</f>
        <v>30</v>
      </c>
      <c r="D1630" s="107" t="n">
        <v>0.7989</v>
      </c>
      <c r="E1630" s="108" t="n">
        <v>3</v>
      </c>
      <c r="F1630" s="109" t="n">
        <f aca="false">ROUND(B1630*E1630,2)</f>
        <v>3</v>
      </c>
      <c r="H1630" s="110" t="n">
        <v>1</v>
      </c>
      <c r="I1630" s="111" t="n">
        <v>3</v>
      </c>
      <c r="J1630" s="112" t="n">
        <f aca="false">ROUND(H1630*I1630,2)</f>
        <v>3</v>
      </c>
      <c r="L1630" s="136"/>
      <c r="M1630" s="136"/>
      <c r="N1630" s="136"/>
    </row>
    <row r="1631" customFormat="false" ht="15" hidden="false" customHeight="false" outlineLevel="0" collapsed="false">
      <c r="A1631" s="104" t="s">
        <v>140</v>
      </c>
      <c r="B1631" s="105" t="n">
        <v>30</v>
      </c>
      <c r="C1631" s="106" t="n">
        <f aca="false">$N$1622-$L$1622+1</f>
        <v>30</v>
      </c>
      <c r="D1631" s="107" t="n">
        <v>0.5736</v>
      </c>
      <c r="E1631" s="108" t="n">
        <v>0.01274</v>
      </c>
      <c r="F1631" s="109" t="n">
        <f aca="false">ROUND(B1631*E1631,2)</f>
        <v>0.38</v>
      </c>
      <c r="H1631" s="110" t="n">
        <v>30</v>
      </c>
      <c r="I1631" s="111" t="n">
        <v>0.01274</v>
      </c>
      <c r="J1631" s="112" t="n">
        <f aca="false">ROUND(H1631*I1631,2)</f>
        <v>0.38</v>
      </c>
      <c r="L1631" s="136"/>
      <c r="M1631" s="136"/>
      <c r="N1631" s="136"/>
    </row>
    <row r="1632" customFormat="false" ht="15" hidden="false" customHeight="false" outlineLevel="0" collapsed="false">
      <c r="A1632" s="104" t="s">
        <v>141</v>
      </c>
      <c r="B1632" s="105" t="n">
        <v>15.96</v>
      </c>
      <c r="C1632" s="118"/>
      <c r="D1632" s="107" t="n">
        <v>0.27312</v>
      </c>
      <c r="E1632" s="108" t="n">
        <v>1</v>
      </c>
      <c r="F1632" s="109" t="n">
        <f aca="false">ROUND(B1632*E1632,2)</f>
        <v>15.96</v>
      </c>
      <c r="H1632" s="110" t="n">
        <v>12.03</v>
      </c>
      <c r="I1632" s="111" t="n">
        <v>1</v>
      </c>
      <c r="J1632" s="112" t="n">
        <f aca="false">ROUND(H1632*I1632,2)</f>
        <v>12.03</v>
      </c>
      <c r="L1632" s="136"/>
      <c r="M1632" s="136"/>
      <c r="N1632" s="136"/>
    </row>
    <row r="1633" customFormat="false" ht="15" hidden="false" customHeight="false" outlineLevel="0" collapsed="false">
      <c r="A1633" s="121" t="s">
        <v>142</v>
      </c>
      <c r="F1633" s="122" t="n">
        <f aca="false">ROUND((SUM(F1625:F1632)-F1632)*1.1+F1632,2)</f>
        <v>344.74</v>
      </c>
      <c r="J1633" s="123" t="n">
        <f aca="false">ROUND(SUM(J1625:J1632),2)</f>
        <v>250.68</v>
      </c>
      <c r="N1633" s="137"/>
    </row>
    <row r="1634" customFormat="false" ht="15" hidden="false" customHeight="false" outlineLevel="0" collapsed="false">
      <c r="A1634" s="93" t="s">
        <v>143</v>
      </c>
      <c r="B1634" s="125" t="n">
        <f aca="false">IF((F1629+F1628+F1627+F1625+F1626)=0,"",((F1629+F1628+F1627+F1625+F1626)-$AB$1627)/(F1629+F1628+F1627+F1625+F1626))</f>
        <v>0.152944879655511</v>
      </c>
      <c r="D1634" s="126" t="str">
        <f aca="false">IF(B1634="","SIN PC",IF(B1634&gt;=0.3,"APROBAR",IF(B1634&gt;=0.2,"REVISAR","RECHAZAR")))</f>
        <v>RECHAZAR</v>
      </c>
      <c r="E1634" s="126"/>
      <c r="F1634" s="126"/>
      <c r="AD1634" s="0" t="n">
        <f aca="false">SUM(F1627:F1629)-220.443</f>
        <v>0.00699999999997658</v>
      </c>
    </row>
    <row r="1636" customFormat="false" ht="15" hidden="false" customHeight="false" outlineLevel="0" collapsed="false">
      <c r="A1636" s="89" t="s">
        <v>1384</v>
      </c>
      <c r="B1636" s="89"/>
      <c r="C1636" s="89"/>
      <c r="D1636" s="89"/>
      <c r="E1636" s="89"/>
      <c r="F1636" s="89"/>
      <c r="H1636" s="89" t="s">
        <v>1385</v>
      </c>
      <c r="I1636" s="89"/>
      <c r="J1636" s="89"/>
      <c r="K1636" s="89"/>
      <c r="L1636" s="90" t="n">
        <v>46113</v>
      </c>
      <c r="M1636" s="91" t="s">
        <v>608</v>
      </c>
      <c r="N1636" s="90" t="n">
        <v>46142</v>
      </c>
      <c r="R1636" s="92" t="s">
        <v>110</v>
      </c>
      <c r="S1636" s="92"/>
      <c r="T1636" s="92"/>
      <c r="U1636" s="92"/>
      <c r="V1636" s="92"/>
    </row>
    <row r="1637" customFormat="false" ht="15" hidden="false" customHeight="false" outlineLevel="0" collapsed="false">
      <c r="A1637" s="93" t="s">
        <v>111</v>
      </c>
      <c r="B1637" s="94" t="s">
        <v>112</v>
      </c>
      <c r="C1637" s="95"/>
      <c r="D1637" s="95"/>
      <c r="E1637" s="95"/>
      <c r="F1637" s="95"/>
      <c r="H1637" s="96" t="s">
        <v>1386</v>
      </c>
      <c r="I1637" s="97"/>
      <c r="J1637" s="97"/>
      <c r="L1637" s="98" t="s">
        <v>797</v>
      </c>
      <c r="M1637" s="99"/>
      <c r="N1637" s="99"/>
      <c r="R1637" s="100" t="s">
        <v>798</v>
      </c>
    </row>
    <row r="1638" customFormat="false" ht="15" hidden="false" customHeight="false" outlineLevel="0" collapsed="false">
      <c r="B1638" s="81" t="s">
        <v>116</v>
      </c>
      <c r="C1638" s="81" t="s">
        <v>117</v>
      </c>
      <c r="D1638" s="81" t="s">
        <v>118</v>
      </c>
      <c r="E1638" s="81" t="s">
        <v>119</v>
      </c>
      <c r="F1638" s="81" t="s">
        <v>120</v>
      </c>
      <c r="H1638" s="101" t="s">
        <v>116</v>
      </c>
      <c r="I1638" s="101" t="s">
        <v>119</v>
      </c>
      <c r="J1638" s="101" t="s">
        <v>120</v>
      </c>
      <c r="L1638" s="102" t="s">
        <v>116</v>
      </c>
      <c r="M1638" s="102" t="s">
        <v>119</v>
      </c>
      <c r="N1638" s="102" t="s">
        <v>120</v>
      </c>
      <c r="R1638" s="103" t="s">
        <v>765</v>
      </c>
    </row>
    <row r="1639" customFormat="false" ht="15" hidden="false" customHeight="false" outlineLevel="0" collapsed="false">
      <c r="A1639" s="104" t="s">
        <v>122</v>
      </c>
      <c r="B1639" s="105" t="n">
        <v>5.75</v>
      </c>
      <c r="C1639" s="106" t="n">
        <f aca="false">$N$1636-$L$1636+1</f>
        <v>30</v>
      </c>
      <c r="D1639" s="107" t="n">
        <v>2.98056</v>
      </c>
      <c r="E1639" s="108" t="n">
        <v>3.85</v>
      </c>
      <c r="F1639" s="109" t="n">
        <f aca="false">ROUND(B1639*E1639,2)</f>
        <v>22.14</v>
      </c>
      <c r="H1639" s="110" t="n">
        <v>5.75</v>
      </c>
      <c r="I1639" s="111" t="n">
        <v>3.85</v>
      </c>
      <c r="J1639" s="112" t="n">
        <f aca="false">ROUND(H1639*I1639,2)</f>
        <v>22.14</v>
      </c>
      <c r="L1639" s="136"/>
      <c r="M1639" s="136"/>
      <c r="N1639" s="136"/>
      <c r="R1639" s="116" t="s">
        <v>799</v>
      </c>
    </row>
    <row r="1640" customFormat="false" ht="15" hidden="false" customHeight="false" outlineLevel="0" collapsed="false">
      <c r="A1640" s="104" t="s">
        <v>124</v>
      </c>
      <c r="B1640" s="105" t="n">
        <v>5.75</v>
      </c>
      <c r="C1640" s="106" t="n">
        <f aca="false">$N$1636-$L$1636+1</f>
        <v>30</v>
      </c>
      <c r="D1640" s="107" t="n">
        <v>0.09228</v>
      </c>
      <c r="E1640" s="108" t="n">
        <v>1.33</v>
      </c>
      <c r="F1640" s="109" t="n">
        <f aca="false">ROUND(B1640*E1640,2)</f>
        <v>7.65</v>
      </c>
      <c r="H1640" s="110" t="n">
        <v>5.75</v>
      </c>
      <c r="I1640" s="111" t="n">
        <v>1.33</v>
      </c>
      <c r="J1640" s="112" t="n">
        <f aca="false">ROUND(H1640*I1640,2)</f>
        <v>7.65</v>
      </c>
      <c r="L1640" s="136"/>
      <c r="M1640" s="136"/>
      <c r="N1640" s="136"/>
    </row>
    <row r="1641" customFormat="false" ht="15" hidden="false" customHeight="false" outlineLevel="0" collapsed="false">
      <c r="A1641" s="104" t="s">
        <v>615</v>
      </c>
      <c r="B1641" s="105" t="n">
        <f aca="false">IF($P$1641&lt;&gt;"",ROUND(AA1641*(($AB$1641/(1-$P$1641))-29.785)/11.7794,2),IF('Resumen 2.0TD'!$D$3="OPTIMIZAR",AA1641,AA1641))</f>
        <v>31.863</v>
      </c>
      <c r="C1641" s="118"/>
      <c r="D1641" s="107" t="n">
        <v>0.222799</v>
      </c>
      <c r="E1641" s="108" t="n">
        <v>0.13788</v>
      </c>
      <c r="F1641" s="109" t="n">
        <f aca="false">ROUND(B1641*E1641,2)</f>
        <v>4.39</v>
      </c>
      <c r="H1641" s="110" t="n">
        <v>28.333</v>
      </c>
      <c r="I1641" s="111" t="n">
        <v>0.13788</v>
      </c>
      <c r="J1641" s="112" t="n">
        <f aca="false">ROUND(H1641*I1641,2)</f>
        <v>3.91</v>
      </c>
      <c r="L1641" s="136"/>
      <c r="M1641" s="136"/>
      <c r="N1641" s="136"/>
      <c r="O1641" s="119" t="s">
        <v>616</v>
      </c>
      <c r="P1641" s="79"/>
      <c r="AA1641" s="0" t="n">
        <v>31.863</v>
      </c>
      <c r="AB1641" s="0" t="n">
        <f aca="false">B1639*D1639+B1640*D1640+AA1641*D1641+AA1642*D1642+AA1643*D1643</f>
        <v>36.702994168</v>
      </c>
    </row>
    <row r="1642" customFormat="false" ht="15" hidden="false" customHeight="false" outlineLevel="0" collapsed="false">
      <c r="A1642" s="104" t="s">
        <v>618</v>
      </c>
      <c r="B1642" s="105" t="n">
        <f aca="false">IF($P$1641&lt;&gt;"",ROUND(AA1642*(($AB$1641/(1-$P$1641))-29.785)/11.7794,2),IF('Resumen 2.0TD'!$D$3="OPTIMIZAR",AA1642,AA1642))</f>
        <v>17.294</v>
      </c>
      <c r="C1642" s="118"/>
      <c r="D1642" s="107" t="n">
        <v>0.222799</v>
      </c>
      <c r="E1642" s="108" t="n">
        <v>0.13788</v>
      </c>
      <c r="F1642" s="109" t="n">
        <f aca="false">ROUND(B1642*E1642,2)</f>
        <v>2.38</v>
      </c>
      <c r="H1642" s="110" t="n">
        <v>17.821</v>
      </c>
      <c r="I1642" s="111" t="n">
        <v>0.13788</v>
      </c>
      <c r="J1642" s="112" t="n">
        <f aca="false">ROUND(H1642*I1642,2)</f>
        <v>2.46</v>
      </c>
      <c r="L1642" s="136"/>
      <c r="M1642" s="136"/>
      <c r="N1642" s="136"/>
      <c r="O1642" s="120" t="s">
        <v>619</v>
      </c>
      <c r="R1642" s="117" t="s">
        <v>620</v>
      </c>
      <c r="AA1642" s="0" t="n">
        <v>17.294</v>
      </c>
    </row>
    <row r="1643" customFormat="false" ht="15" hidden="false" customHeight="false" outlineLevel="0" collapsed="false">
      <c r="A1643" s="104" t="s">
        <v>621</v>
      </c>
      <c r="B1643" s="105" t="n">
        <f aca="false">IF($P$1641&lt;&gt;"",ROUND(AA1643*(($AB$1641/(1-$P$1641))-29.785)/11.7794,2),IF('Resumen 2.0TD'!$D$3="OPTIMIZAR",AA1643,AA1643))</f>
        <v>36.275</v>
      </c>
      <c r="C1643" s="118"/>
      <c r="D1643" s="107" t="n">
        <v>0.222799</v>
      </c>
      <c r="E1643" s="108" t="n">
        <v>0.13788</v>
      </c>
      <c r="F1643" s="109" t="n">
        <f aca="false">ROUND(B1643*E1643,2)</f>
        <v>5</v>
      </c>
      <c r="H1643" s="110" t="n">
        <v>42.064</v>
      </c>
      <c r="I1643" s="111" t="n">
        <v>0.13788</v>
      </c>
      <c r="J1643" s="112" t="n">
        <f aca="false">ROUND(H1643*I1643,2)</f>
        <v>5.8</v>
      </c>
      <c r="L1643" s="136"/>
      <c r="M1643" s="136"/>
      <c r="N1643" s="136"/>
      <c r="O1643" s="120" t="s">
        <v>622</v>
      </c>
      <c r="AA1643" s="0" t="n">
        <v>36.275</v>
      </c>
    </row>
    <row r="1644" customFormat="false" ht="15" hidden="false" customHeight="false" outlineLevel="0" collapsed="false">
      <c r="A1644" s="104" t="s">
        <v>139</v>
      </c>
      <c r="B1644" s="105" t="n">
        <v>1</v>
      </c>
      <c r="C1644" s="106" t="n">
        <f aca="false">$N$1636-$L$1636+1</f>
        <v>30</v>
      </c>
      <c r="D1644" s="107" t="n">
        <v>0.7989</v>
      </c>
      <c r="E1644" s="108" t="n">
        <v>3</v>
      </c>
      <c r="F1644" s="109" t="n">
        <f aca="false">ROUND(B1644*E1644,2)</f>
        <v>3</v>
      </c>
      <c r="H1644" s="110" t="n">
        <v>1</v>
      </c>
      <c r="I1644" s="111" t="n">
        <v>3</v>
      </c>
      <c r="J1644" s="112" t="n">
        <f aca="false">ROUND(H1644*I1644,2)</f>
        <v>3</v>
      </c>
      <c r="L1644" s="136"/>
      <c r="M1644" s="136"/>
      <c r="N1644" s="136"/>
    </row>
    <row r="1645" customFormat="false" ht="15" hidden="false" customHeight="false" outlineLevel="0" collapsed="false">
      <c r="A1645" s="104" t="s">
        <v>140</v>
      </c>
      <c r="B1645" s="105" t="n">
        <v>30</v>
      </c>
      <c r="C1645" s="106" t="n">
        <f aca="false">$N$1636-$L$1636+1</f>
        <v>30</v>
      </c>
      <c r="D1645" s="107" t="n">
        <v>0.5736</v>
      </c>
      <c r="E1645" s="108" t="n">
        <v>0.01274</v>
      </c>
      <c r="F1645" s="109" t="n">
        <f aca="false">ROUND(B1645*E1645,2)</f>
        <v>0.38</v>
      </c>
      <c r="H1645" s="110" t="n">
        <v>30</v>
      </c>
      <c r="I1645" s="111" t="n">
        <v>0.01274</v>
      </c>
      <c r="J1645" s="112" t="n">
        <f aca="false">ROUND(H1645*I1645,2)</f>
        <v>0.38</v>
      </c>
      <c r="L1645" s="136"/>
      <c r="M1645" s="136"/>
      <c r="N1645" s="136"/>
    </row>
    <row r="1646" customFormat="false" ht="15" hidden="false" customHeight="false" outlineLevel="0" collapsed="false">
      <c r="A1646" s="104" t="s">
        <v>141</v>
      </c>
      <c r="B1646" s="105" t="n">
        <v>2.13</v>
      </c>
      <c r="C1646" s="118"/>
      <c r="D1646" s="107" t="n">
        <v>0.01871</v>
      </c>
      <c r="E1646" s="108" t="n">
        <v>1</v>
      </c>
      <c r="F1646" s="109" t="n">
        <f aca="false">ROUND(B1646*E1646,2)</f>
        <v>2.13</v>
      </c>
      <c r="H1646" s="110" t="n">
        <v>2.15</v>
      </c>
      <c r="I1646" s="111" t="n">
        <v>1</v>
      </c>
      <c r="J1646" s="112" t="n">
        <f aca="false">ROUND(H1646*I1646,2)</f>
        <v>2.15</v>
      </c>
      <c r="L1646" s="136"/>
      <c r="M1646" s="136"/>
      <c r="N1646" s="136"/>
    </row>
    <row r="1647" customFormat="false" ht="15" hidden="false" customHeight="false" outlineLevel="0" collapsed="false">
      <c r="A1647" s="121" t="s">
        <v>142</v>
      </c>
      <c r="F1647" s="122" t="n">
        <f aca="false">ROUND((SUM(F1639:F1646)-F1646)*1.1+F1646,2)</f>
        <v>51.56</v>
      </c>
      <c r="J1647" s="123" t="n">
        <f aca="false">ROUND(SUM(J1639:J1646),2)</f>
        <v>47.49</v>
      </c>
      <c r="N1647" s="137"/>
    </row>
    <row r="1648" customFormat="false" ht="15" hidden="false" customHeight="false" outlineLevel="0" collapsed="false">
      <c r="A1648" s="93" t="s">
        <v>143</v>
      </c>
      <c r="B1648" s="125" t="n">
        <f aca="false">IF((F1643+F1642+F1641+F1639+F1640)=0,"",((F1643+F1642+F1641+F1639+F1640)-$AB$1641)/(F1643+F1642+F1641+F1639+F1640))</f>
        <v>0.116867320307988</v>
      </c>
      <c r="D1648" s="126" t="str">
        <f aca="false">IF(B1648="","SIN PC",IF(B1648&gt;=0.3,"APROBAR",IF(B1648&gt;=0.2,"REVISAR","RECHAZAR")))</f>
        <v>RECHAZAR</v>
      </c>
      <c r="E1648" s="126"/>
      <c r="F1648" s="126"/>
      <c r="AD1648" s="0" t="n">
        <f aca="false">SUM(F1641:F1643)-11.7794</f>
        <v>-0.00940000000000119</v>
      </c>
    </row>
    <row r="1650" customFormat="false" ht="15" hidden="false" customHeight="false" outlineLevel="0" collapsed="false">
      <c r="A1650" s="89" t="s">
        <v>1387</v>
      </c>
      <c r="B1650" s="89"/>
      <c r="C1650" s="89"/>
      <c r="D1650" s="89"/>
      <c r="E1650" s="89"/>
      <c r="F1650" s="89"/>
      <c r="H1650" s="89" t="s">
        <v>1388</v>
      </c>
      <c r="I1650" s="89"/>
      <c r="J1650" s="89"/>
      <c r="K1650" s="89"/>
      <c r="L1650" s="90" t="n">
        <v>46113</v>
      </c>
      <c r="M1650" s="91" t="s">
        <v>608</v>
      </c>
      <c r="N1650" s="90" t="n">
        <v>46142</v>
      </c>
      <c r="R1650" s="92" t="s">
        <v>110</v>
      </c>
      <c r="S1650" s="92"/>
      <c r="T1650" s="92"/>
      <c r="U1650" s="92"/>
      <c r="V1650" s="92"/>
    </row>
    <row r="1651" customFormat="false" ht="15" hidden="false" customHeight="false" outlineLevel="0" collapsed="false">
      <c r="A1651" s="93" t="s">
        <v>111</v>
      </c>
      <c r="B1651" s="94" t="s">
        <v>112</v>
      </c>
      <c r="C1651" s="95"/>
      <c r="D1651" s="95"/>
      <c r="E1651" s="95"/>
      <c r="F1651" s="95"/>
      <c r="H1651" s="96" t="s">
        <v>1389</v>
      </c>
      <c r="I1651" s="97"/>
      <c r="J1651" s="97"/>
      <c r="L1651" s="98" t="s">
        <v>797</v>
      </c>
      <c r="M1651" s="99"/>
      <c r="N1651" s="99"/>
      <c r="R1651" s="100" t="s">
        <v>798</v>
      </c>
    </row>
    <row r="1652" customFormat="false" ht="15" hidden="false" customHeight="false" outlineLevel="0" collapsed="false">
      <c r="B1652" s="81" t="s">
        <v>116</v>
      </c>
      <c r="C1652" s="81" t="s">
        <v>117</v>
      </c>
      <c r="D1652" s="81" t="s">
        <v>118</v>
      </c>
      <c r="E1652" s="81" t="s">
        <v>119</v>
      </c>
      <c r="F1652" s="81" t="s">
        <v>120</v>
      </c>
      <c r="H1652" s="101" t="s">
        <v>116</v>
      </c>
      <c r="I1652" s="101" t="s">
        <v>119</v>
      </c>
      <c r="J1652" s="101" t="s">
        <v>120</v>
      </c>
      <c r="L1652" s="102" t="s">
        <v>116</v>
      </c>
      <c r="M1652" s="102" t="s">
        <v>119</v>
      </c>
      <c r="N1652" s="102" t="s">
        <v>120</v>
      </c>
      <c r="R1652" s="103" t="s">
        <v>765</v>
      </c>
    </row>
    <row r="1653" customFormat="false" ht="15" hidden="false" customHeight="false" outlineLevel="0" collapsed="false">
      <c r="A1653" s="104" t="s">
        <v>122</v>
      </c>
      <c r="B1653" s="105" t="n">
        <v>4.4</v>
      </c>
      <c r="C1653" s="106" t="n">
        <f aca="false">$N$1650-$L$1650+1</f>
        <v>30</v>
      </c>
      <c r="D1653" s="107" t="n">
        <v>3.68919</v>
      </c>
      <c r="E1653" s="108" t="n">
        <v>3.85</v>
      </c>
      <c r="F1653" s="109" t="n">
        <f aca="false">ROUND(B1653*E1653,2)</f>
        <v>16.94</v>
      </c>
      <c r="H1653" s="110" t="n">
        <v>4.4</v>
      </c>
      <c r="I1653" s="111" t="n">
        <v>3.85</v>
      </c>
      <c r="J1653" s="112" t="n">
        <f aca="false">ROUND(H1653*I1653,2)</f>
        <v>16.94</v>
      </c>
      <c r="L1653" s="136"/>
      <c r="M1653" s="136"/>
      <c r="N1653" s="136"/>
      <c r="R1653" s="116" t="s">
        <v>799</v>
      </c>
    </row>
    <row r="1654" customFormat="false" ht="15" hidden="false" customHeight="false" outlineLevel="0" collapsed="false">
      <c r="A1654" s="104" t="s">
        <v>124</v>
      </c>
      <c r="B1654" s="105" t="n">
        <v>4.4</v>
      </c>
      <c r="C1654" s="106" t="n">
        <f aca="false">$N$1650-$L$1650+1</f>
        <v>30</v>
      </c>
      <c r="D1654" s="107" t="n">
        <v>1.31928</v>
      </c>
      <c r="E1654" s="108" t="n">
        <v>1.33</v>
      </c>
      <c r="F1654" s="109" t="n">
        <f aca="false">ROUND(B1654*E1654,2)</f>
        <v>5.85</v>
      </c>
      <c r="H1654" s="110" t="n">
        <v>4.4</v>
      </c>
      <c r="I1654" s="111" t="n">
        <v>1.33</v>
      </c>
      <c r="J1654" s="112" t="n">
        <f aca="false">ROUND(H1654*I1654,2)</f>
        <v>5.85</v>
      </c>
      <c r="L1654" s="136"/>
      <c r="M1654" s="136"/>
      <c r="N1654" s="136"/>
    </row>
    <row r="1655" customFormat="false" ht="15" hidden="false" customHeight="false" outlineLevel="0" collapsed="false">
      <c r="A1655" s="104" t="s">
        <v>615</v>
      </c>
      <c r="B1655" s="105" t="n">
        <f aca="false">IF($P$1655&lt;&gt;"",ROUND(AA1655*(($AB$1655/(1-$P$1655))-22.792)/21.0475,2),IF('Resumen 2.0TD'!$D$3="OPTIMIZAR",AA1655,AA1655))</f>
        <v>43.044</v>
      </c>
      <c r="C1655" s="118"/>
      <c r="D1655" s="107" t="n">
        <v>0.111171</v>
      </c>
      <c r="E1655" s="108" t="n">
        <v>0.13788</v>
      </c>
      <c r="F1655" s="109" t="n">
        <f aca="false">ROUND(B1655*E1655,2)</f>
        <v>5.93</v>
      </c>
      <c r="H1655" s="110" t="n">
        <v>48.267</v>
      </c>
      <c r="I1655" s="111" t="n">
        <v>0.13788</v>
      </c>
      <c r="J1655" s="112" t="n">
        <f aca="false">ROUND(H1655*I1655,2)</f>
        <v>6.66</v>
      </c>
      <c r="L1655" s="136"/>
      <c r="M1655" s="136"/>
      <c r="N1655" s="136"/>
      <c r="O1655" s="119" t="s">
        <v>616</v>
      </c>
      <c r="P1655" s="79"/>
      <c r="AA1655" s="0" t="n">
        <v>43.044</v>
      </c>
      <c r="AB1655" s="0" t="n">
        <f aca="false">B1653*D1653+B1654*D1654+AA1655*D1655+AA1656*D1656+AA1657*D1657</f>
        <v>39.007632321</v>
      </c>
    </row>
    <row r="1656" customFormat="false" ht="15" hidden="false" customHeight="false" outlineLevel="0" collapsed="false">
      <c r="A1656" s="104" t="s">
        <v>618</v>
      </c>
      <c r="B1656" s="105" t="n">
        <f aca="false">IF($P$1655&lt;&gt;"",ROUND(AA1656*(($AB$1655/(1-$P$1655))-22.792)/21.0475,2),IF('Resumen 2.0TD'!$D$3="OPTIMIZAR",AA1656,AA1656))</f>
        <v>38.124</v>
      </c>
      <c r="C1656" s="118"/>
      <c r="D1656" s="107" t="n">
        <v>0.111171</v>
      </c>
      <c r="E1656" s="108" t="n">
        <v>0.13788</v>
      </c>
      <c r="F1656" s="109" t="n">
        <f aca="false">ROUND(B1656*E1656,2)</f>
        <v>5.26</v>
      </c>
      <c r="H1656" s="110" t="n">
        <v>51.181</v>
      </c>
      <c r="I1656" s="111" t="n">
        <v>0.13788</v>
      </c>
      <c r="J1656" s="112" t="n">
        <f aca="false">ROUND(H1656*I1656,2)</f>
        <v>7.06</v>
      </c>
      <c r="L1656" s="136"/>
      <c r="M1656" s="136"/>
      <c r="N1656" s="136"/>
      <c r="O1656" s="120" t="s">
        <v>619</v>
      </c>
      <c r="R1656" s="117" t="s">
        <v>620</v>
      </c>
      <c r="AA1656" s="0" t="n">
        <v>38.124</v>
      </c>
    </row>
    <row r="1657" customFormat="false" ht="15" hidden="false" customHeight="false" outlineLevel="0" collapsed="false">
      <c r="A1657" s="104" t="s">
        <v>621</v>
      </c>
      <c r="B1657" s="105" t="n">
        <f aca="false">IF($P$1655&lt;&gt;"",ROUND(AA1657*(($AB$1655/(1-$P$1655))-22.792)/21.0475,2),IF('Resumen 2.0TD'!$D$3="OPTIMIZAR",AA1657,AA1657))</f>
        <v>71.483</v>
      </c>
      <c r="C1657" s="118"/>
      <c r="D1657" s="107" t="n">
        <v>0.111171</v>
      </c>
      <c r="E1657" s="108" t="n">
        <v>0.13788</v>
      </c>
      <c r="F1657" s="109" t="n">
        <f aca="false">ROUND(B1657*E1657,2)</f>
        <v>9.86</v>
      </c>
      <c r="H1657" s="110" t="n">
        <v>76.515</v>
      </c>
      <c r="I1657" s="111" t="n">
        <v>0.13788</v>
      </c>
      <c r="J1657" s="112" t="n">
        <f aca="false">ROUND(H1657*I1657,2)</f>
        <v>10.55</v>
      </c>
      <c r="L1657" s="136"/>
      <c r="M1657" s="136"/>
      <c r="N1657" s="136"/>
      <c r="O1657" s="120" t="s">
        <v>622</v>
      </c>
      <c r="AA1657" s="0" t="n">
        <v>71.483</v>
      </c>
    </row>
    <row r="1658" customFormat="false" ht="15" hidden="false" customHeight="false" outlineLevel="0" collapsed="false">
      <c r="A1658" s="104" t="s">
        <v>139</v>
      </c>
      <c r="B1658" s="105" t="n">
        <v>1</v>
      </c>
      <c r="C1658" s="106" t="n">
        <f aca="false">$N$1650-$L$1650+1</f>
        <v>30</v>
      </c>
      <c r="D1658" s="107" t="n">
        <v>0.7989</v>
      </c>
      <c r="E1658" s="108" t="n">
        <v>3</v>
      </c>
      <c r="F1658" s="109" t="n">
        <f aca="false">ROUND(B1658*E1658,2)</f>
        <v>3</v>
      </c>
      <c r="H1658" s="110" t="n">
        <v>1</v>
      </c>
      <c r="I1658" s="111" t="n">
        <v>3</v>
      </c>
      <c r="J1658" s="112" t="n">
        <f aca="false">ROUND(H1658*I1658,2)</f>
        <v>3</v>
      </c>
      <c r="L1658" s="136"/>
      <c r="M1658" s="136"/>
      <c r="N1658" s="136"/>
    </row>
    <row r="1659" customFormat="false" ht="15" hidden="false" customHeight="false" outlineLevel="0" collapsed="false">
      <c r="A1659" s="104" t="s">
        <v>140</v>
      </c>
      <c r="B1659" s="105" t="n">
        <v>30</v>
      </c>
      <c r="C1659" s="106" t="n">
        <f aca="false">$N$1650-$L$1650+1</f>
        <v>30</v>
      </c>
      <c r="D1659" s="107" t="n">
        <v>0.5736</v>
      </c>
      <c r="E1659" s="108" t="n">
        <v>0.01274</v>
      </c>
      <c r="F1659" s="109" t="n">
        <f aca="false">ROUND(B1659*E1659,2)</f>
        <v>0.38</v>
      </c>
      <c r="H1659" s="110" t="n">
        <v>30</v>
      </c>
      <c r="I1659" s="111" t="n">
        <v>0.01274</v>
      </c>
      <c r="J1659" s="112" t="n">
        <f aca="false">ROUND(H1659*I1659,2)</f>
        <v>0.38</v>
      </c>
      <c r="L1659" s="136"/>
      <c r="M1659" s="136"/>
      <c r="N1659" s="136"/>
    </row>
    <row r="1660" customFormat="false" ht="15" hidden="false" customHeight="false" outlineLevel="0" collapsed="false">
      <c r="A1660" s="104" t="s">
        <v>141</v>
      </c>
      <c r="B1660" s="105" t="n">
        <v>2.25</v>
      </c>
      <c r="C1660" s="118"/>
      <c r="D1660" s="107" t="n">
        <v>0.27312</v>
      </c>
      <c r="E1660" s="108" t="n">
        <v>1</v>
      </c>
      <c r="F1660" s="109" t="n">
        <f aca="false">ROUND(B1660*E1660,2)</f>
        <v>2.25</v>
      </c>
      <c r="H1660" s="110" t="n">
        <v>2.41</v>
      </c>
      <c r="I1660" s="111" t="n">
        <v>1</v>
      </c>
      <c r="J1660" s="112" t="n">
        <f aca="false">ROUND(H1660*I1660,2)</f>
        <v>2.41</v>
      </c>
      <c r="L1660" s="136"/>
      <c r="M1660" s="136"/>
      <c r="N1660" s="136"/>
    </row>
    <row r="1661" customFormat="false" ht="15" hidden="false" customHeight="false" outlineLevel="0" collapsed="false">
      <c r="A1661" s="121" t="s">
        <v>142</v>
      </c>
      <c r="F1661" s="122" t="n">
        <f aca="false">ROUND((SUM(F1653:F1660)-F1660)*1.1+F1660,2)</f>
        <v>54.19</v>
      </c>
      <c r="J1661" s="123" t="n">
        <f aca="false">ROUND(SUM(J1653:J1660),2)</f>
        <v>52.85</v>
      </c>
      <c r="N1661" s="137"/>
    </row>
    <row r="1662" customFormat="false" ht="15" hidden="false" customHeight="false" outlineLevel="0" collapsed="false">
      <c r="A1662" s="93" t="s">
        <v>143</v>
      </c>
      <c r="B1662" s="125" t="n">
        <f aca="false">IF((F1657+F1656+F1655+F1653+F1654)=0,"",((F1657+F1656+F1655+F1653+F1654)-$AB$1655)/(F1657+F1656+F1655+F1653+F1654))</f>
        <v>0.110227364940693</v>
      </c>
      <c r="D1662" s="126" t="str">
        <f aca="false">IF(B1662="","SIN PC",IF(B1662&gt;=0.3,"APROBAR",IF(B1662&gt;=0.2,"REVISAR","RECHAZAR")))</f>
        <v>RECHAZAR</v>
      </c>
      <c r="E1662" s="126"/>
      <c r="F1662" s="126"/>
      <c r="AD1662" s="0" t="n">
        <f aca="false">SUM(F1655:F1657)-21.0475</f>
        <v>0.00249999999999773</v>
      </c>
    </row>
    <row r="1664" customFormat="false" ht="15" hidden="false" customHeight="false" outlineLevel="0" collapsed="false">
      <c r="A1664" s="89" t="s">
        <v>1390</v>
      </c>
      <c r="B1664" s="89"/>
      <c r="C1664" s="89"/>
      <c r="D1664" s="89"/>
      <c r="E1664" s="89"/>
      <c r="F1664" s="89"/>
      <c r="H1664" s="89" t="s">
        <v>1391</v>
      </c>
      <c r="I1664" s="89"/>
      <c r="J1664" s="89"/>
      <c r="K1664" s="89"/>
      <c r="L1664" s="90" t="n">
        <v>46113</v>
      </c>
      <c r="M1664" s="91" t="s">
        <v>608</v>
      </c>
      <c r="N1664" s="90" t="n">
        <v>46142</v>
      </c>
      <c r="R1664" s="92" t="s">
        <v>110</v>
      </c>
      <c r="S1664" s="92"/>
      <c r="T1664" s="92"/>
      <c r="U1664" s="92"/>
      <c r="V1664" s="92"/>
    </row>
    <row r="1665" customFormat="false" ht="15" hidden="false" customHeight="false" outlineLevel="0" collapsed="false">
      <c r="A1665" s="93" t="s">
        <v>111</v>
      </c>
      <c r="B1665" s="94" t="s">
        <v>112</v>
      </c>
      <c r="C1665" s="95"/>
      <c r="D1665" s="95"/>
      <c r="E1665" s="95"/>
      <c r="F1665" s="95"/>
      <c r="H1665" s="96" t="s">
        <v>1392</v>
      </c>
      <c r="I1665" s="97"/>
      <c r="J1665" s="97"/>
      <c r="L1665" s="98" t="s">
        <v>797</v>
      </c>
      <c r="M1665" s="99"/>
      <c r="N1665" s="99"/>
      <c r="R1665" s="100" t="s">
        <v>1365</v>
      </c>
    </row>
    <row r="1666" customFormat="false" ht="15" hidden="false" customHeight="false" outlineLevel="0" collapsed="false">
      <c r="B1666" s="81" t="s">
        <v>116</v>
      </c>
      <c r="C1666" s="81" t="s">
        <v>117</v>
      </c>
      <c r="D1666" s="81" t="s">
        <v>118</v>
      </c>
      <c r="E1666" s="81" t="s">
        <v>119</v>
      </c>
      <c r="F1666" s="81" t="s">
        <v>120</v>
      </c>
      <c r="H1666" s="101" t="s">
        <v>116</v>
      </c>
      <c r="I1666" s="101" t="s">
        <v>119</v>
      </c>
      <c r="J1666" s="101" t="s">
        <v>120</v>
      </c>
      <c r="L1666" s="102" t="s">
        <v>116</v>
      </c>
      <c r="M1666" s="102" t="s">
        <v>119</v>
      </c>
      <c r="N1666" s="102" t="s">
        <v>120</v>
      </c>
      <c r="R1666" s="103" t="s">
        <v>765</v>
      </c>
    </row>
    <row r="1667" customFormat="false" ht="15" hidden="false" customHeight="false" outlineLevel="0" collapsed="false">
      <c r="A1667" s="104" t="s">
        <v>122</v>
      </c>
      <c r="B1667" s="105" t="n">
        <v>3.45</v>
      </c>
      <c r="C1667" s="106" t="n">
        <f aca="false">$N$1664-$L$1664+1</f>
        <v>30</v>
      </c>
      <c r="D1667" s="107" t="n">
        <v>3.68919</v>
      </c>
      <c r="E1667" s="108" t="n">
        <v>3.85</v>
      </c>
      <c r="F1667" s="109" t="n">
        <f aca="false">ROUND(B1667*E1667,2)</f>
        <v>13.28</v>
      </c>
      <c r="H1667" s="110" t="n">
        <v>3.45</v>
      </c>
      <c r="I1667" s="111" t="n">
        <v>3.85</v>
      </c>
      <c r="J1667" s="112" t="n">
        <f aca="false">ROUND(H1667*I1667,2)</f>
        <v>13.28</v>
      </c>
      <c r="L1667" s="136"/>
      <c r="M1667" s="136"/>
      <c r="N1667" s="136"/>
      <c r="R1667" s="116" t="s">
        <v>1366</v>
      </c>
    </row>
    <row r="1668" customFormat="false" ht="15" hidden="false" customHeight="false" outlineLevel="0" collapsed="false">
      <c r="A1668" s="104" t="s">
        <v>124</v>
      </c>
      <c r="B1668" s="105" t="n">
        <v>3.45</v>
      </c>
      <c r="C1668" s="106" t="n">
        <f aca="false">$N$1664-$L$1664+1</f>
        <v>30</v>
      </c>
      <c r="D1668" s="107" t="n">
        <v>1.31928</v>
      </c>
      <c r="E1668" s="108" t="n">
        <v>1.33</v>
      </c>
      <c r="F1668" s="109" t="n">
        <f aca="false">ROUND(B1668*E1668,2)</f>
        <v>4.59</v>
      </c>
      <c r="H1668" s="110" t="n">
        <v>3.45</v>
      </c>
      <c r="I1668" s="111" t="n">
        <v>1.33</v>
      </c>
      <c r="J1668" s="112" t="n">
        <f aca="false">ROUND(H1668*I1668,2)</f>
        <v>4.59</v>
      </c>
      <c r="L1668" s="136"/>
      <c r="M1668" s="136"/>
      <c r="N1668" s="136"/>
    </row>
    <row r="1669" customFormat="false" ht="15" hidden="false" customHeight="false" outlineLevel="0" collapsed="false">
      <c r="A1669" s="104" t="s">
        <v>615</v>
      </c>
      <c r="B1669" s="105" t="n">
        <f aca="false">IF($P$1669&lt;&gt;"",ROUND(AA1669*(($AB$1669/(1-$P$1669))-17.871)/67.1602,2),IF('Resumen 2.0TD'!$D$3="OPTIMIZAR",AA1669,AA1669))</f>
        <v>138.931</v>
      </c>
      <c r="C1669" s="118"/>
      <c r="D1669" s="107" t="n">
        <v>0.111171</v>
      </c>
      <c r="E1669" s="108" t="n">
        <v>0.13788</v>
      </c>
      <c r="F1669" s="109" t="n">
        <f aca="false">ROUND(B1669*E1669,2)</f>
        <v>19.16</v>
      </c>
      <c r="H1669" s="110" t="n">
        <v>174.503</v>
      </c>
      <c r="I1669" s="111" t="n">
        <v>0.13788</v>
      </c>
      <c r="J1669" s="112" t="n">
        <f aca="false">ROUND(H1669*I1669,2)</f>
        <v>24.06</v>
      </c>
      <c r="L1669" s="136"/>
      <c r="M1669" s="136"/>
      <c r="N1669" s="136"/>
      <c r="O1669" s="119" t="s">
        <v>616</v>
      </c>
      <c r="P1669" s="79"/>
      <c r="AA1669" s="0" t="n">
        <v>138.931</v>
      </c>
      <c r="AB1669" s="0" t="n">
        <f aca="false">B1667*D1667+B1668*D1668+AA1669*D1669+AA1670*D1670+AA1671*D1671</f>
        <v>71.429726232</v>
      </c>
    </row>
    <row r="1670" customFormat="false" ht="15" hidden="false" customHeight="false" outlineLevel="0" collapsed="false">
      <c r="A1670" s="104" t="s">
        <v>618</v>
      </c>
      <c r="B1670" s="105" t="n">
        <f aca="false">IF($P$1669&lt;&gt;"",ROUND(AA1670*(($AB$1669/(1-$P$1669))-17.871)/67.1602,2),IF('Resumen 2.0TD'!$D$3="OPTIMIZAR",AA1670,AA1670))</f>
        <v>133.252</v>
      </c>
      <c r="C1670" s="118"/>
      <c r="D1670" s="107" t="n">
        <v>0.111171</v>
      </c>
      <c r="E1670" s="108" t="n">
        <v>0.13788</v>
      </c>
      <c r="F1670" s="109" t="n">
        <f aca="false">ROUND(B1670*E1670,2)</f>
        <v>18.37</v>
      </c>
      <c r="H1670" s="110" t="n">
        <v>169.289</v>
      </c>
      <c r="I1670" s="111" t="n">
        <v>0.13788</v>
      </c>
      <c r="J1670" s="112" t="n">
        <f aca="false">ROUND(H1670*I1670,2)</f>
        <v>23.34</v>
      </c>
      <c r="L1670" s="136"/>
      <c r="M1670" s="136"/>
      <c r="N1670" s="136"/>
      <c r="O1670" s="120" t="s">
        <v>619</v>
      </c>
      <c r="R1670" s="117" t="s">
        <v>620</v>
      </c>
      <c r="AA1670" s="0" t="n">
        <v>133.252</v>
      </c>
    </row>
    <row r="1671" customFormat="false" ht="15" hidden="false" customHeight="false" outlineLevel="0" collapsed="false">
      <c r="A1671" s="104" t="s">
        <v>621</v>
      </c>
      <c r="B1671" s="105" t="n">
        <f aca="false">IF($P$1669&lt;&gt;"",ROUND(AA1671*(($AB$1669/(1-$P$1669))-17.871)/67.1602,2),IF('Resumen 2.0TD'!$D$3="OPTIMIZAR",AA1671,AA1671))</f>
        <v>214.909</v>
      </c>
      <c r="C1671" s="118"/>
      <c r="D1671" s="107" t="n">
        <v>0.111171</v>
      </c>
      <c r="E1671" s="108" t="n">
        <v>0.13788</v>
      </c>
      <c r="F1671" s="109" t="n">
        <f aca="false">ROUND(B1671*E1671,2)</f>
        <v>29.63</v>
      </c>
      <c r="H1671" s="110" t="n">
        <v>259.872</v>
      </c>
      <c r="I1671" s="111" t="n">
        <v>0.13788</v>
      </c>
      <c r="J1671" s="112" t="n">
        <f aca="false">ROUND(H1671*I1671,2)</f>
        <v>35.83</v>
      </c>
      <c r="L1671" s="136"/>
      <c r="M1671" s="136"/>
      <c r="N1671" s="136"/>
      <c r="O1671" s="120" t="s">
        <v>622</v>
      </c>
      <c r="AA1671" s="0" t="n">
        <v>214.909</v>
      </c>
    </row>
    <row r="1672" customFormat="false" ht="15" hidden="false" customHeight="false" outlineLevel="0" collapsed="false">
      <c r="A1672" s="104" t="s">
        <v>139</v>
      </c>
      <c r="B1672" s="105" t="n">
        <v>1</v>
      </c>
      <c r="C1672" s="106" t="n">
        <f aca="false">$N$1664-$L$1664+1</f>
        <v>30</v>
      </c>
      <c r="D1672" s="107" t="n">
        <v>0.7989</v>
      </c>
      <c r="E1672" s="108" t="n">
        <v>3</v>
      </c>
      <c r="F1672" s="109" t="n">
        <f aca="false">ROUND(B1672*E1672,2)</f>
        <v>3</v>
      </c>
      <c r="H1672" s="110" t="n">
        <v>1</v>
      </c>
      <c r="I1672" s="111" t="n">
        <v>3</v>
      </c>
      <c r="J1672" s="112" t="n">
        <f aca="false">ROUND(H1672*I1672,2)</f>
        <v>3</v>
      </c>
      <c r="L1672" s="136"/>
      <c r="M1672" s="136"/>
      <c r="N1672" s="136"/>
    </row>
    <row r="1673" customFormat="false" ht="15" hidden="false" customHeight="false" outlineLevel="0" collapsed="false">
      <c r="A1673" s="104" t="s">
        <v>140</v>
      </c>
      <c r="B1673" s="105" t="n">
        <v>30</v>
      </c>
      <c r="C1673" s="106" t="n">
        <f aca="false">$N$1664-$L$1664+1</f>
        <v>30</v>
      </c>
      <c r="D1673" s="107" t="n">
        <v>0.5736</v>
      </c>
      <c r="E1673" s="108" t="n">
        <v>0.01274</v>
      </c>
      <c r="F1673" s="109" t="n">
        <f aca="false">ROUND(B1673*E1673,2)</f>
        <v>0.38</v>
      </c>
      <c r="H1673" s="110" t="n">
        <v>30</v>
      </c>
      <c r="I1673" s="111" t="n">
        <v>0.01274</v>
      </c>
      <c r="J1673" s="112" t="n">
        <f aca="false">ROUND(H1673*I1673,2)</f>
        <v>0.38</v>
      </c>
      <c r="L1673" s="136"/>
      <c r="M1673" s="136"/>
      <c r="N1673" s="136"/>
    </row>
    <row r="1674" customFormat="false" ht="15" hidden="false" customHeight="false" outlineLevel="0" collapsed="false">
      <c r="A1674" s="104" t="s">
        <v>141</v>
      </c>
      <c r="B1674" s="105" t="n">
        <v>4.35</v>
      </c>
      <c r="C1674" s="118"/>
      <c r="D1674" s="107" t="n">
        <v>0.27312</v>
      </c>
      <c r="E1674" s="108" t="n">
        <v>1</v>
      </c>
      <c r="F1674" s="109" t="n">
        <f aca="false">ROUND(B1674*E1674,2)</f>
        <v>4.35</v>
      </c>
      <c r="H1674" s="110" t="n">
        <v>5.18</v>
      </c>
      <c r="I1674" s="111" t="n">
        <v>1</v>
      </c>
      <c r="J1674" s="112" t="n">
        <f aca="false">ROUND(H1674*I1674,2)</f>
        <v>5.18</v>
      </c>
      <c r="L1674" s="136"/>
      <c r="M1674" s="136"/>
      <c r="N1674" s="136"/>
    </row>
    <row r="1675" customFormat="false" ht="15" hidden="false" customHeight="false" outlineLevel="0" collapsed="false">
      <c r="A1675" s="121" t="s">
        <v>142</v>
      </c>
      <c r="F1675" s="122" t="n">
        <f aca="false">ROUND((SUM(F1667:F1674)-F1674)*1.1+F1674,2)</f>
        <v>101.6</v>
      </c>
      <c r="J1675" s="123" t="n">
        <f aca="false">ROUND(SUM(J1667:J1674),2)</f>
        <v>109.66</v>
      </c>
      <c r="N1675" s="137"/>
    </row>
    <row r="1676" customFormat="false" ht="15" hidden="false" customHeight="false" outlineLevel="0" collapsed="false">
      <c r="A1676" s="93" t="s">
        <v>143</v>
      </c>
      <c r="B1676" s="125" t="n">
        <f aca="false">IF((F1671+F1670+F1669+F1667+F1668)=0,"",((F1671+F1670+F1669+F1667+F1668)-$AB$1669)/(F1671+F1670+F1669+F1667+F1668))</f>
        <v>0.159946768999177</v>
      </c>
      <c r="D1676" s="126" t="str">
        <f aca="false">IF(B1676="","SIN PC",IF(B1676&gt;=0.3,"APROBAR",IF(B1676&gt;=0.2,"REVISAR","RECHAZAR")))</f>
        <v>RECHAZAR</v>
      </c>
      <c r="E1676" s="126"/>
      <c r="F1676" s="126"/>
      <c r="AD1676" s="0" t="n">
        <f aca="false">SUM(F1669:F1671)-67.1602</f>
        <v>-0.000200000000006639</v>
      </c>
    </row>
    <row r="1678" customFormat="false" ht="15" hidden="false" customHeight="false" outlineLevel="0" collapsed="false">
      <c r="A1678" s="89" t="s">
        <v>1393</v>
      </c>
      <c r="B1678" s="89"/>
      <c r="C1678" s="89"/>
      <c r="D1678" s="89"/>
      <c r="E1678" s="89"/>
      <c r="F1678" s="89"/>
      <c r="H1678" s="89" t="s">
        <v>1394</v>
      </c>
      <c r="I1678" s="89"/>
      <c r="J1678" s="89"/>
      <c r="K1678" s="89"/>
      <c r="L1678" s="90" t="n">
        <v>46113</v>
      </c>
      <c r="M1678" s="91" t="s">
        <v>608</v>
      </c>
      <c r="N1678" s="90" t="n">
        <v>46142</v>
      </c>
      <c r="R1678" s="92" t="s">
        <v>110</v>
      </c>
      <c r="S1678" s="92"/>
      <c r="T1678" s="92"/>
      <c r="U1678" s="92"/>
      <c r="V1678" s="92"/>
    </row>
    <row r="1679" customFormat="false" ht="15" hidden="false" customHeight="false" outlineLevel="0" collapsed="false">
      <c r="A1679" s="93" t="s">
        <v>111</v>
      </c>
      <c r="B1679" s="94" t="s">
        <v>112</v>
      </c>
      <c r="C1679" s="95"/>
      <c r="D1679" s="95"/>
      <c r="E1679" s="95"/>
      <c r="F1679" s="95"/>
      <c r="H1679" s="96" t="s">
        <v>1395</v>
      </c>
      <c r="I1679" s="97"/>
      <c r="J1679" s="97"/>
      <c r="L1679" s="98" t="s">
        <v>797</v>
      </c>
      <c r="M1679" s="99"/>
      <c r="N1679" s="99"/>
      <c r="R1679" s="100" t="s">
        <v>798</v>
      </c>
    </row>
    <row r="1680" customFormat="false" ht="15" hidden="false" customHeight="false" outlineLevel="0" collapsed="false">
      <c r="B1680" s="81" t="s">
        <v>116</v>
      </c>
      <c r="C1680" s="81" t="s">
        <v>117</v>
      </c>
      <c r="D1680" s="81" t="s">
        <v>118</v>
      </c>
      <c r="E1680" s="81" t="s">
        <v>119</v>
      </c>
      <c r="F1680" s="81" t="s">
        <v>120</v>
      </c>
      <c r="H1680" s="101" t="s">
        <v>116</v>
      </c>
      <c r="I1680" s="101" t="s">
        <v>119</v>
      </c>
      <c r="J1680" s="101" t="s">
        <v>120</v>
      </c>
      <c r="L1680" s="102" t="s">
        <v>116</v>
      </c>
      <c r="M1680" s="102" t="s">
        <v>119</v>
      </c>
      <c r="N1680" s="102" t="s">
        <v>120</v>
      </c>
      <c r="R1680" s="103" t="s">
        <v>765</v>
      </c>
    </row>
    <row r="1681" customFormat="false" ht="15" hidden="false" customHeight="false" outlineLevel="0" collapsed="false">
      <c r="A1681" s="104" t="s">
        <v>122</v>
      </c>
      <c r="B1681" s="105" t="n">
        <v>5.75</v>
      </c>
      <c r="C1681" s="106" t="n">
        <f aca="false">$N$1678-$L$1678+1</f>
        <v>30</v>
      </c>
      <c r="D1681" s="107" t="n">
        <v>3.68919</v>
      </c>
      <c r="E1681" s="108" t="n">
        <v>3.85</v>
      </c>
      <c r="F1681" s="109" t="n">
        <f aca="false">ROUND(B1681*E1681,2)</f>
        <v>22.14</v>
      </c>
      <c r="H1681" s="110" t="n">
        <v>5.75</v>
      </c>
      <c r="I1681" s="111" t="n">
        <v>3.85</v>
      </c>
      <c r="J1681" s="112" t="n">
        <f aca="false">ROUND(H1681*I1681,2)</f>
        <v>22.14</v>
      </c>
      <c r="L1681" s="136"/>
      <c r="M1681" s="136"/>
      <c r="N1681" s="136"/>
      <c r="R1681" s="116" t="s">
        <v>799</v>
      </c>
    </row>
    <row r="1682" customFormat="false" ht="15" hidden="false" customHeight="false" outlineLevel="0" collapsed="false">
      <c r="A1682" s="104" t="s">
        <v>124</v>
      </c>
      <c r="B1682" s="105" t="n">
        <v>5.75</v>
      </c>
      <c r="C1682" s="106" t="n">
        <f aca="false">$N$1678-$L$1678+1</f>
        <v>30</v>
      </c>
      <c r="D1682" s="107" t="n">
        <v>1.31928</v>
      </c>
      <c r="E1682" s="108" t="n">
        <v>1.33</v>
      </c>
      <c r="F1682" s="109" t="n">
        <f aca="false">ROUND(B1682*E1682,2)</f>
        <v>7.65</v>
      </c>
      <c r="H1682" s="110" t="n">
        <v>5.75</v>
      </c>
      <c r="I1682" s="111" t="n">
        <v>1.33</v>
      </c>
      <c r="J1682" s="112" t="n">
        <f aca="false">ROUND(H1682*I1682,2)</f>
        <v>7.65</v>
      </c>
      <c r="L1682" s="136"/>
      <c r="M1682" s="136"/>
      <c r="N1682" s="136"/>
    </row>
    <row r="1683" customFormat="false" ht="15" hidden="false" customHeight="false" outlineLevel="0" collapsed="false">
      <c r="A1683" s="104" t="s">
        <v>615</v>
      </c>
      <c r="B1683" s="105" t="n">
        <f aca="false">IF($P$1683&lt;&gt;"",ROUND(AA1683*(($AB$1683/(1-$P$1683))-29.785)/6.881,2),IF('Resumen 2.0TD'!$D$3="OPTIMIZAR",AA1683,AA1683))</f>
        <v>9.517</v>
      </c>
      <c r="C1683" s="118"/>
      <c r="D1683" s="107" t="n">
        <v>0.111171</v>
      </c>
      <c r="E1683" s="108" t="n">
        <v>0.13788</v>
      </c>
      <c r="F1683" s="109" t="n">
        <f aca="false">ROUND(B1683*E1683,2)</f>
        <v>1.31</v>
      </c>
      <c r="H1683" s="110" t="n">
        <v>25.441</v>
      </c>
      <c r="I1683" s="111" t="n">
        <v>0.13788</v>
      </c>
      <c r="J1683" s="112" t="n">
        <f aca="false">ROUND(H1683*I1683,2)</f>
        <v>3.51</v>
      </c>
      <c r="L1683" s="136"/>
      <c r="M1683" s="136"/>
      <c r="N1683" s="136"/>
      <c r="O1683" s="119" t="s">
        <v>616</v>
      </c>
      <c r="P1683" s="79"/>
      <c r="AA1683" s="0" t="n">
        <v>9.517</v>
      </c>
      <c r="AB1683" s="0" t="n">
        <f aca="false">B1681*D1681+B1682*D1682+AA1683*D1683+AA1684*D1684+AA1685*D1685</f>
        <v>34.346802426</v>
      </c>
    </row>
    <row r="1684" customFormat="false" ht="15" hidden="false" customHeight="false" outlineLevel="0" collapsed="false">
      <c r="A1684" s="104" t="s">
        <v>618</v>
      </c>
      <c r="B1684" s="105" t="n">
        <f aca="false">IF($P$1683&lt;&gt;"",ROUND(AA1684*(($AB$1683/(1-$P$1683))-29.785)/6.881,2),IF('Resumen 2.0TD'!$D$3="OPTIMIZAR",AA1684,AA1684))</f>
        <v>15.845</v>
      </c>
      <c r="C1684" s="118"/>
      <c r="D1684" s="107" t="n">
        <v>0.111171</v>
      </c>
      <c r="E1684" s="108" t="n">
        <v>0.13788</v>
      </c>
      <c r="F1684" s="109" t="n">
        <f aca="false">ROUND(B1684*E1684,2)</f>
        <v>2.18</v>
      </c>
      <c r="H1684" s="110" t="n">
        <v>16.664</v>
      </c>
      <c r="I1684" s="111" t="n">
        <v>0.13788</v>
      </c>
      <c r="J1684" s="112" t="n">
        <f aca="false">ROUND(H1684*I1684,2)</f>
        <v>2.3</v>
      </c>
      <c r="L1684" s="136"/>
      <c r="M1684" s="136"/>
      <c r="N1684" s="136"/>
      <c r="O1684" s="120" t="s">
        <v>619</v>
      </c>
      <c r="R1684" s="117" t="s">
        <v>620</v>
      </c>
      <c r="AA1684" s="0" t="n">
        <v>15.845</v>
      </c>
    </row>
    <row r="1685" customFormat="false" ht="15" hidden="false" customHeight="false" outlineLevel="0" collapsed="false">
      <c r="A1685" s="104" t="s">
        <v>621</v>
      </c>
      <c r="B1685" s="105" t="n">
        <f aca="false">IF($P$1683&lt;&gt;"",ROUND(AA1685*(($AB$1683/(1-$P$1683))-29.785)/6.881,2),IF('Resumen 2.0TD'!$D$3="OPTIMIZAR",AA1685,AA1685))</f>
        <v>24.544</v>
      </c>
      <c r="C1685" s="118"/>
      <c r="D1685" s="107" t="n">
        <v>0.111171</v>
      </c>
      <c r="E1685" s="108" t="n">
        <v>0.13788</v>
      </c>
      <c r="F1685" s="109" t="n">
        <f aca="false">ROUND(B1685*E1685,2)</f>
        <v>3.38</v>
      </c>
      <c r="H1685" s="110" t="n">
        <v>21.789</v>
      </c>
      <c r="I1685" s="111" t="n">
        <v>0.13788</v>
      </c>
      <c r="J1685" s="112" t="n">
        <f aca="false">ROUND(H1685*I1685,2)</f>
        <v>3</v>
      </c>
      <c r="L1685" s="136"/>
      <c r="M1685" s="136"/>
      <c r="N1685" s="136"/>
      <c r="O1685" s="120" t="s">
        <v>622</v>
      </c>
      <c r="AA1685" s="0" t="n">
        <v>24.544</v>
      </c>
    </row>
    <row r="1686" customFormat="false" ht="15" hidden="false" customHeight="false" outlineLevel="0" collapsed="false">
      <c r="A1686" s="104" t="s">
        <v>139</v>
      </c>
      <c r="B1686" s="105" t="n">
        <v>1</v>
      </c>
      <c r="C1686" s="106" t="n">
        <f aca="false">$N$1678-$L$1678+1</f>
        <v>30</v>
      </c>
      <c r="D1686" s="107" t="n">
        <v>0.7989</v>
      </c>
      <c r="E1686" s="108" t="n">
        <v>3</v>
      </c>
      <c r="F1686" s="109" t="n">
        <f aca="false">ROUND(B1686*E1686,2)</f>
        <v>3</v>
      </c>
      <c r="H1686" s="110" t="n">
        <v>1</v>
      </c>
      <c r="I1686" s="111" t="n">
        <v>3</v>
      </c>
      <c r="J1686" s="112" t="n">
        <f aca="false">ROUND(H1686*I1686,2)</f>
        <v>3</v>
      </c>
      <c r="L1686" s="136"/>
      <c r="M1686" s="136"/>
      <c r="N1686" s="136"/>
    </row>
    <row r="1687" customFormat="false" ht="15" hidden="false" customHeight="false" outlineLevel="0" collapsed="false">
      <c r="A1687" s="104" t="s">
        <v>140</v>
      </c>
      <c r="B1687" s="105" t="n">
        <v>30</v>
      </c>
      <c r="C1687" s="106" t="n">
        <f aca="false">$N$1678-$L$1678+1</f>
        <v>30</v>
      </c>
      <c r="D1687" s="107" t="n">
        <v>0.5736</v>
      </c>
      <c r="E1687" s="108" t="n">
        <v>0.01274</v>
      </c>
      <c r="F1687" s="109" t="n">
        <f aca="false">ROUND(B1687*E1687,2)</f>
        <v>0.38</v>
      </c>
      <c r="H1687" s="110" t="n">
        <v>30</v>
      </c>
      <c r="I1687" s="111" t="n">
        <v>0.01274</v>
      </c>
      <c r="J1687" s="112" t="n">
        <f aca="false">ROUND(H1687*I1687,2)</f>
        <v>0.38</v>
      </c>
      <c r="L1687" s="136"/>
      <c r="M1687" s="136"/>
      <c r="N1687" s="136"/>
    </row>
    <row r="1688" customFormat="false" ht="15" hidden="false" customHeight="false" outlineLevel="0" collapsed="false">
      <c r="A1688" s="104" t="s">
        <v>141</v>
      </c>
      <c r="B1688" s="105" t="n">
        <v>1.88</v>
      </c>
      <c r="C1688" s="118"/>
      <c r="D1688" s="107" t="n">
        <v>0.02671</v>
      </c>
      <c r="E1688" s="108" t="n">
        <v>1</v>
      </c>
      <c r="F1688" s="109" t="n">
        <f aca="false">ROUND(B1688*E1688,2)</f>
        <v>1.88</v>
      </c>
      <c r="H1688" s="110" t="n">
        <v>1.98</v>
      </c>
      <c r="I1688" s="111" t="n">
        <v>1</v>
      </c>
      <c r="J1688" s="112" t="n">
        <f aca="false">ROUND(H1688*I1688,2)</f>
        <v>1.98</v>
      </c>
      <c r="L1688" s="136"/>
      <c r="M1688" s="136"/>
      <c r="N1688" s="136"/>
    </row>
    <row r="1689" customFormat="false" ht="15" hidden="false" customHeight="false" outlineLevel="0" collapsed="false">
      <c r="A1689" s="121" t="s">
        <v>142</v>
      </c>
      <c r="F1689" s="122" t="n">
        <f aca="false">ROUND((SUM(F1681:F1688)-F1688)*1.1+F1688,2)</f>
        <v>45.92</v>
      </c>
      <c r="J1689" s="123" t="n">
        <f aca="false">ROUND(SUM(J1681:J1688),2)</f>
        <v>43.96</v>
      </c>
      <c r="N1689" s="137"/>
    </row>
    <row r="1690" customFormat="false" ht="15" hidden="false" customHeight="false" outlineLevel="0" collapsed="false">
      <c r="A1690" s="93" t="s">
        <v>143</v>
      </c>
      <c r="B1690" s="125" t="n">
        <f aca="false">IF((F1685+F1684+F1683+F1681+F1682)=0,"",((F1685+F1684+F1683+F1681+F1682)-$AB$1683)/(F1685+F1684+F1683+F1681+F1682))</f>
        <v>0.0630986790507367</v>
      </c>
      <c r="D1690" s="126" t="str">
        <f aca="false">IF(B1690="","SIN PC",IF(B1690&gt;=0.3,"APROBAR",IF(B1690&gt;=0.2,"REVISAR","RECHAZAR")))</f>
        <v>RECHAZAR</v>
      </c>
      <c r="E1690" s="126"/>
      <c r="F1690" s="126"/>
      <c r="AD1690" s="0" t="n">
        <f aca="false">SUM(F1683:F1685)-6.881</f>
        <v>-0.0110000000000001</v>
      </c>
    </row>
    <row r="1692" customFormat="false" ht="15" hidden="false" customHeight="false" outlineLevel="0" collapsed="false">
      <c r="A1692" s="89" t="s">
        <v>1396</v>
      </c>
      <c r="B1692" s="89"/>
      <c r="C1692" s="89"/>
      <c r="D1692" s="89"/>
      <c r="E1692" s="89"/>
      <c r="F1692" s="89"/>
      <c r="H1692" s="89" t="s">
        <v>1397</v>
      </c>
      <c r="I1692" s="89"/>
      <c r="J1692" s="89"/>
      <c r="K1692" s="89"/>
      <c r="L1692" s="90" t="n">
        <v>46113</v>
      </c>
      <c r="M1692" s="91" t="s">
        <v>608</v>
      </c>
      <c r="N1692" s="90" t="n">
        <v>46142</v>
      </c>
      <c r="R1692" s="92" t="s">
        <v>110</v>
      </c>
      <c r="S1692" s="92"/>
      <c r="T1692" s="92"/>
      <c r="U1692" s="92"/>
      <c r="V1692" s="92"/>
    </row>
    <row r="1693" customFormat="false" ht="15" hidden="false" customHeight="false" outlineLevel="0" collapsed="false">
      <c r="A1693" s="93" t="s">
        <v>111</v>
      </c>
      <c r="B1693" s="94" t="s">
        <v>112</v>
      </c>
      <c r="C1693" s="95"/>
      <c r="D1693" s="95"/>
      <c r="E1693" s="95"/>
      <c r="F1693" s="95"/>
      <c r="H1693" s="96" t="s">
        <v>1398</v>
      </c>
      <c r="I1693" s="97"/>
      <c r="J1693" s="97"/>
      <c r="L1693" s="98" t="s">
        <v>797</v>
      </c>
      <c r="M1693" s="99"/>
      <c r="N1693" s="99"/>
      <c r="R1693" s="100" t="s">
        <v>798</v>
      </c>
    </row>
    <row r="1694" customFormat="false" ht="15" hidden="false" customHeight="false" outlineLevel="0" collapsed="false">
      <c r="B1694" s="81" t="s">
        <v>116</v>
      </c>
      <c r="C1694" s="81" t="s">
        <v>117</v>
      </c>
      <c r="D1694" s="81" t="s">
        <v>118</v>
      </c>
      <c r="E1694" s="81" t="s">
        <v>119</v>
      </c>
      <c r="F1694" s="81" t="s">
        <v>120</v>
      </c>
      <c r="H1694" s="101" t="s">
        <v>116</v>
      </c>
      <c r="I1694" s="101" t="s">
        <v>119</v>
      </c>
      <c r="J1694" s="101" t="s">
        <v>120</v>
      </c>
      <c r="L1694" s="102" t="s">
        <v>116</v>
      </c>
      <c r="M1694" s="102" t="s">
        <v>119</v>
      </c>
      <c r="N1694" s="102" t="s">
        <v>120</v>
      </c>
      <c r="R1694" s="103" t="s">
        <v>765</v>
      </c>
    </row>
    <row r="1695" customFormat="false" ht="15" hidden="false" customHeight="false" outlineLevel="0" collapsed="false">
      <c r="A1695" s="104" t="s">
        <v>122</v>
      </c>
      <c r="B1695" s="105" t="n">
        <v>5.75</v>
      </c>
      <c r="C1695" s="106" t="n">
        <f aca="false">$N$1692-$L$1692+1</f>
        <v>30</v>
      </c>
      <c r="D1695" s="107" t="n">
        <v>3.68919</v>
      </c>
      <c r="E1695" s="108" t="n">
        <v>3.85</v>
      </c>
      <c r="F1695" s="109" t="n">
        <f aca="false">ROUND(B1695*E1695,2)</f>
        <v>22.14</v>
      </c>
      <c r="H1695" s="110" t="n">
        <v>5.75</v>
      </c>
      <c r="I1695" s="111" t="n">
        <v>3.85</v>
      </c>
      <c r="J1695" s="112" t="n">
        <f aca="false">ROUND(H1695*I1695,2)</f>
        <v>22.14</v>
      </c>
      <c r="L1695" s="136"/>
      <c r="M1695" s="136"/>
      <c r="N1695" s="136"/>
      <c r="R1695" s="116" t="s">
        <v>799</v>
      </c>
    </row>
    <row r="1696" customFormat="false" ht="15" hidden="false" customHeight="false" outlineLevel="0" collapsed="false">
      <c r="A1696" s="104" t="s">
        <v>124</v>
      </c>
      <c r="B1696" s="105" t="n">
        <v>5.75</v>
      </c>
      <c r="C1696" s="106" t="n">
        <f aca="false">$N$1692-$L$1692+1</f>
        <v>30</v>
      </c>
      <c r="D1696" s="107" t="n">
        <v>1.31928</v>
      </c>
      <c r="E1696" s="108" t="n">
        <v>1.33</v>
      </c>
      <c r="F1696" s="109" t="n">
        <f aca="false">ROUND(B1696*E1696,2)</f>
        <v>7.65</v>
      </c>
      <c r="H1696" s="110" t="n">
        <v>5.75</v>
      </c>
      <c r="I1696" s="111" t="n">
        <v>1.33</v>
      </c>
      <c r="J1696" s="112" t="n">
        <f aca="false">ROUND(H1696*I1696,2)</f>
        <v>7.65</v>
      </c>
      <c r="L1696" s="136"/>
      <c r="M1696" s="136"/>
      <c r="N1696" s="136"/>
    </row>
    <row r="1697" customFormat="false" ht="15" hidden="false" customHeight="false" outlineLevel="0" collapsed="false">
      <c r="A1697" s="104" t="s">
        <v>615</v>
      </c>
      <c r="B1697" s="105" t="n">
        <f aca="false">IF($P$1697&lt;&gt;"",ROUND(AA1697*(($AB$1697/(1-$P$1697))-29.785)/0.1475,2),IF('Resumen 2.0TD'!$D$3="OPTIMIZAR",AA1697,AA1697))</f>
        <v>0.727</v>
      </c>
      <c r="C1697" s="118"/>
      <c r="D1697" s="107" t="n">
        <v>0.111171</v>
      </c>
      <c r="E1697" s="108" t="n">
        <v>0.13788</v>
      </c>
      <c r="F1697" s="109" t="n">
        <f aca="false">ROUND(B1697*E1697,2)</f>
        <v>0.1</v>
      </c>
      <c r="H1697" s="110" t="n">
        <v>17.646</v>
      </c>
      <c r="I1697" s="111" t="n">
        <v>0.13788</v>
      </c>
      <c r="J1697" s="112" t="n">
        <f aca="false">ROUND(H1697*I1697,2)</f>
        <v>2.43</v>
      </c>
      <c r="L1697" s="136"/>
      <c r="M1697" s="136"/>
      <c r="N1697" s="136"/>
      <c r="O1697" s="119" t="s">
        <v>616</v>
      </c>
      <c r="P1697" s="79"/>
      <c r="AA1697" s="0" t="n">
        <v>0.727</v>
      </c>
      <c r="AB1697" s="0" t="n">
        <f aca="false">B1695*D1695+B1696*D1696+AA1697*D1697+AA1698*D1698+AA1699*D1699</f>
        <v>28.91765547</v>
      </c>
    </row>
    <row r="1698" customFormat="false" ht="15" hidden="false" customHeight="false" outlineLevel="0" collapsed="false">
      <c r="A1698" s="104" t="s">
        <v>618</v>
      </c>
      <c r="B1698" s="105" t="n">
        <f aca="false">IF($P$1697&lt;&gt;"",ROUND(AA1698*(($AB$1697/(1-$P$1697))-29.785)/0.1475,2),IF('Resumen 2.0TD'!$D$3="OPTIMIZAR",AA1698,AA1698))</f>
        <v>0.221</v>
      </c>
      <c r="C1698" s="118"/>
      <c r="D1698" s="107" t="n">
        <v>0.111171</v>
      </c>
      <c r="E1698" s="108" t="n">
        <v>0.13788</v>
      </c>
      <c r="F1698" s="109" t="n">
        <f aca="false">ROUND(B1698*E1698,2)</f>
        <v>0.03</v>
      </c>
      <c r="H1698" s="110" t="n">
        <v>19.589</v>
      </c>
      <c r="I1698" s="111" t="n">
        <v>0.13788</v>
      </c>
      <c r="J1698" s="112" t="n">
        <f aca="false">ROUND(H1698*I1698,2)</f>
        <v>2.7</v>
      </c>
      <c r="L1698" s="136"/>
      <c r="M1698" s="136"/>
      <c r="N1698" s="136"/>
      <c r="O1698" s="120" t="s">
        <v>619</v>
      </c>
      <c r="R1698" s="117" t="s">
        <v>620</v>
      </c>
      <c r="AA1698" s="0" t="n">
        <v>0.221</v>
      </c>
    </row>
    <row r="1699" customFormat="false" ht="15" hidden="false" customHeight="false" outlineLevel="0" collapsed="false">
      <c r="A1699" s="104" t="s">
        <v>621</v>
      </c>
      <c r="B1699" s="105" t="n">
        <f aca="false">IF($P$1697&lt;&gt;"",ROUND(AA1699*(($AB$1697/(1-$P$1697))-29.785)/0.1475,2),IF('Resumen 2.0TD'!$D$3="OPTIMIZAR",AA1699,AA1699))</f>
        <v>0.122</v>
      </c>
      <c r="C1699" s="118"/>
      <c r="D1699" s="107" t="n">
        <v>0.111171</v>
      </c>
      <c r="E1699" s="108" t="n">
        <v>0.13788</v>
      </c>
      <c r="F1699" s="109" t="n">
        <f aca="false">ROUND(B1699*E1699,2)</f>
        <v>0.02</v>
      </c>
      <c r="H1699" s="110" t="n">
        <v>3.689</v>
      </c>
      <c r="I1699" s="111" t="n">
        <v>0.13788</v>
      </c>
      <c r="J1699" s="112" t="n">
        <f aca="false">ROUND(H1699*I1699,2)</f>
        <v>0.51</v>
      </c>
      <c r="L1699" s="136"/>
      <c r="M1699" s="136"/>
      <c r="N1699" s="136"/>
      <c r="O1699" s="120" t="s">
        <v>622</v>
      </c>
      <c r="AA1699" s="0" t="n">
        <v>0.122</v>
      </c>
    </row>
    <row r="1700" customFormat="false" ht="15" hidden="false" customHeight="false" outlineLevel="0" collapsed="false">
      <c r="A1700" s="104" t="s">
        <v>139</v>
      </c>
      <c r="B1700" s="105" t="n">
        <v>1</v>
      </c>
      <c r="C1700" s="106" t="n">
        <f aca="false">$N$1692-$L$1692+1</f>
        <v>30</v>
      </c>
      <c r="D1700" s="107" t="n">
        <v>0.7989</v>
      </c>
      <c r="E1700" s="108" t="n">
        <v>3</v>
      </c>
      <c r="F1700" s="109" t="n">
        <f aca="false">ROUND(B1700*E1700,2)</f>
        <v>3</v>
      </c>
      <c r="H1700" s="110" t="n">
        <v>1</v>
      </c>
      <c r="I1700" s="111" t="n">
        <v>3</v>
      </c>
      <c r="J1700" s="112" t="n">
        <f aca="false">ROUND(H1700*I1700,2)</f>
        <v>3</v>
      </c>
      <c r="L1700" s="136"/>
      <c r="M1700" s="136"/>
      <c r="N1700" s="136"/>
    </row>
    <row r="1701" customFormat="false" ht="15" hidden="false" customHeight="false" outlineLevel="0" collapsed="false">
      <c r="A1701" s="104" t="s">
        <v>140</v>
      </c>
      <c r="B1701" s="105" t="n">
        <v>30</v>
      </c>
      <c r="C1701" s="106" t="n">
        <f aca="false">$N$1692-$L$1692+1</f>
        <v>30</v>
      </c>
      <c r="D1701" s="107" t="n">
        <v>0.5736</v>
      </c>
      <c r="E1701" s="108" t="n">
        <v>0.01274</v>
      </c>
      <c r="F1701" s="109" t="n">
        <f aca="false">ROUND(B1701*E1701,2)</f>
        <v>0.38</v>
      </c>
      <c r="H1701" s="110" t="n">
        <v>30</v>
      </c>
      <c r="I1701" s="111" t="n">
        <v>0.01274</v>
      </c>
      <c r="J1701" s="112" t="n">
        <f aca="false">ROUND(H1701*I1701,2)</f>
        <v>0.38</v>
      </c>
      <c r="L1701" s="136"/>
      <c r="M1701" s="136"/>
      <c r="N1701" s="136"/>
    </row>
    <row r="1702" customFormat="false" ht="15" hidden="false" customHeight="false" outlineLevel="0" collapsed="false">
      <c r="A1702" s="104" t="s">
        <v>141</v>
      </c>
      <c r="B1702" s="105" t="n">
        <v>1.54</v>
      </c>
      <c r="C1702" s="118"/>
      <c r="D1702" s="107" t="n">
        <v>0.02671</v>
      </c>
      <c r="E1702" s="108" t="n">
        <v>1</v>
      </c>
      <c r="F1702" s="109" t="n">
        <f aca="false">ROUND(B1702*E1702,2)</f>
        <v>1.54</v>
      </c>
      <c r="H1702" s="110" t="n">
        <v>1.82</v>
      </c>
      <c r="I1702" s="111" t="n">
        <v>1</v>
      </c>
      <c r="J1702" s="112" t="n">
        <f aca="false">ROUND(H1702*I1702,2)</f>
        <v>1.82</v>
      </c>
      <c r="L1702" s="136"/>
      <c r="M1702" s="136"/>
      <c r="N1702" s="136"/>
    </row>
    <row r="1703" customFormat="false" ht="15" hidden="false" customHeight="false" outlineLevel="0" collapsed="false">
      <c r="A1703" s="121" t="s">
        <v>142</v>
      </c>
      <c r="F1703" s="122" t="n">
        <f aca="false">ROUND((SUM(F1695:F1702)-F1702)*1.1+F1702,2)</f>
        <v>38.19</v>
      </c>
      <c r="J1703" s="123" t="n">
        <f aca="false">ROUND(SUM(J1695:J1702),2)</f>
        <v>40.63</v>
      </c>
      <c r="N1703" s="137"/>
    </row>
    <row r="1704" customFormat="false" ht="15" hidden="false" customHeight="false" outlineLevel="0" collapsed="false">
      <c r="A1704" s="93" t="s">
        <v>143</v>
      </c>
      <c r="B1704" s="125" t="n">
        <f aca="false">IF((F1699+F1698+F1697+F1695+F1696)=0,"",((F1699+F1698+F1697+F1695+F1696)-$AB$1697)/(F1699+F1698+F1697+F1695+F1696))</f>
        <v>0.0341464438877754</v>
      </c>
      <c r="D1704" s="126" t="str">
        <f aca="false">IF(B1704="","SIN PC",IF(B1704&gt;=0.3,"APROBAR",IF(B1704&gt;=0.2,"REVISAR","RECHAZAR")))</f>
        <v>RECHAZAR</v>
      </c>
      <c r="E1704" s="126"/>
      <c r="F1704" s="126"/>
      <c r="AD1704" s="0" t="n">
        <f aca="false">SUM(F1697:F1699)-0.1475</f>
        <v>0.0025</v>
      </c>
    </row>
    <row r="1706" customFormat="false" ht="15" hidden="false" customHeight="false" outlineLevel="0" collapsed="false">
      <c r="A1706" s="89" t="s">
        <v>1399</v>
      </c>
      <c r="B1706" s="89"/>
      <c r="C1706" s="89"/>
      <c r="D1706" s="89"/>
      <c r="E1706" s="89"/>
      <c r="F1706" s="89"/>
      <c r="H1706" s="89" t="s">
        <v>1400</v>
      </c>
      <c r="I1706" s="89"/>
      <c r="J1706" s="89"/>
      <c r="K1706" s="89"/>
      <c r="L1706" s="90" t="n">
        <v>46113</v>
      </c>
      <c r="M1706" s="91" t="s">
        <v>608</v>
      </c>
      <c r="N1706" s="90" t="n">
        <v>46142</v>
      </c>
      <c r="R1706" s="92" t="s">
        <v>110</v>
      </c>
      <c r="S1706" s="92"/>
      <c r="T1706" s="92"/>
      <c r="U1706" s="92"/>
      <c r="V1706" s="92"/>
    </row>
    <row r="1707" customFormat="false" ht="15" hidden="false" customHeight="false" outlineLevel="0" collapsed="false">
      <c r="A1707" s="93" t="s">
        <v>111</v>
      </c>
      <c r="B1707" s="94" t="s">
        <v>112</v>
      </c>
      <c r="C1707" s="95"/>
      <c r="D1707" s="95"/>
      <c r="E1707" s="95"/>
      <c r="F1707" s="95"/>
      <c r="H1707" s="96" t="s">
        <v>1401</v>
      </c>
      <c r="I1707" s="97"/>
      <c r="J1707" s="97"/>
      <c r="L1707" s="98" t="s">
        <v>797</v>
      </c>
      <c r="M1707" s="99"/>
      <c r="N1707" s="99"/>
      <c r="R1707" s="100" t="s">
        <v>1378</v>
      </c>
    </row>
    <row r="1708" customFormat="false" ht="15" hidden="false" customHeight="false" outlineLevel="0" collapsed="false">
      <c r="B1708" s="81" t="s">
        <v>116</v>
      </c>
      <c r="C1708" s="81" t="s">
        <v>117</v>
      </c>
      <c r="D1708" s="81" t="s">
        <v>118</v>
      </c>
      <c r="E1708" s="81" t="s">
        <v>119</v>
      </c>
      <c r="F1708" s="81" t="s">
        <v>120</v>
      </c>
      <c r="H1708" s="101" t="s">
        <v>116</v>
      </c>
      <c r="I1708" s="101" t="s">
        <v>119</v>
      </c>
      <c r="J1708" s="101" t="s">
        <v>120</v>
      </c>
      <c r="L1708" s="102" t="s">
        <v>116</v>
      </c>
      <c r="M1708" s="102" t="s">
        <v>119</v>
      </c>
      <c r="N1708" s="102" t="s">
        <v>120</v>
      </c>
      <c r="R1708" s="103" t="s">
        <v>765</v>
      </c>
    </row>
    <row r="1709" customFormat="false" ht="15" hidden="false" customHeight="false" outlineLevel="0" collapsed="false">
      <c r="A1709" s="104" t="s">
        <v>122</v>
      </c>
      <c r="B1709" s="105" t="n">
        <v>3.3</v>
      </c>
      <c r="C1709" s="106" t="n">
        <f aca="false">$N$1706-$L$1706+1</f>
        <v>30</v>
      </c>
      <c r="D1709" s="107" t="n">
        <v>3.4086</v>
      </c>
      <c r="E1709" s="108" t="n">
        <v>3.85</v>
      </c>
      <c r="F1709" s="109" t="n">
        <f aca="false">ROUND(B1709*E1709,2)</f>
        <v>12.71</v>
      </c>
      <c r="H1709" s="110" t="n">
        <v>3.3</v>
      </c>
      <c r="I1709" s="111" t="n">
        <v>3.85</v>
      </c>
      <c r="J1709" s="112" t="n">
        <f aca="false">ROUND(H1709*I1709,2)</f>
        <v>12.71</v>
      </c>
      <c r="L1709" s="136"/>
      <c r="M1709" s="136"/>
      <c r="N1709" s="136"/>
      <c r="R1709" s="116" t="s">
        <v>1379</v>
      </c>
    </row>
    <row r="1710" customFormat="false" ht="15" hidden="false" customHeight="false" outlineLevel="0" collapsed="false">
      <c r="A1710" s="104" t="s">
        <v>124</v>
      </c>
      <c r="B1710" s="105" t="n">
        <v>3.3</v>
      </c>
      <c r="C1710" s="106" t="n">
        <f aca="false">$N$1706-$L$1706+1</f>
        <v>30</v>
      </c>
      <c r="D1710" s="107" t="n">
        <v>1.20579</v>
      </c>
      <c r="E1710" s="108" t="n">
        <v>1.33</v>
      </c>
      <c r="F1710" s="109" t="n">
        <f aca="false">ROUND(B1710*E1710,2)</f>
        <v>4.39</v>
      </c>
      <c r="H1710" s="110" t="n">
        <v>3.3</v>
      </c>
      <c r="I1710" s="111" t="n">
        <v>1.33</v>
      </c>
      <c r="J1710" s="112" t="n">
        <f aca="false">ROUND(H1710*I1710,2)</f>
        <v>4.39</v>
      </c>
      <c r="L1710" s="136"/>
      <c r="M1710" s="136"/>
      <c r="N1710" s="136"/>
    </row>
    <row r="1711" customFormat="false" ht="15" hidden="false" customHeight="false" outlineLevel="0" collapsed="false">
      <c r="A1711" s="104" t="s">
        <v>615</v>
      </c>
      <c r="B1711" s="105" t="n">
        <f aca="false">IF($P$1711&lt;&gt;"",ROUND(AA1711*(($AB$1711/(1-$P$1711))-17.094)/15.4296,2),IF('Resumen 2.0TD'!$D$3="OPTIMIZAR",AA1711,AA1711))</f>
        <v>46.116</v>
      </c>
      <c r="C1711" s="118"/>
      <c r="D1711" s="107" t="n">
        <v>0.108</v>
      </c>
      <c r="E1711" s="108" t="n">
        <v>0.13788</v>
      </c>
      <c r="F1711" s="109" t="n">
        <f aca="false">ROUND(B1711*E1711,2)</f>
        <v>6.36</v>
      </c>
      <c r="H1711" s="110" t="n">
        <v>31.827</v>
      </c>
      <c r="I1711" s="111" t="n">
        <v>0.13788</v>
      </c>
      <c r="J1711" s="112" t="n">
        <f aca="false">ROUND(H1711*I1711,2)</f>
        <v>4.39</v>
      </c>
      <c r="L1711" s="136"/>
      <c r="M1711" s="136"/>
      <c r="N1711" s="136"/>
      <c r="O1711" s="119" t="s">
        <v>616</v>
      </c>
      <c r="P1711" s="79"/>
      <c r="AA1711" s="0" t="n">
        <v>46.116</v>
      </c>
      <c r="AB1711" s="0" t="n">
        <f aca="false">B1709*D1709+B1710*D1710+AA1711*D1711+AA1712*D1712+AA1713*D1713</f>
        <v>27.313335</v>
      </c>
    </row>
    <row r="1712" customFormat="false" ht="15" hidden="false" customHeight="false" outlineLevel="0" collapsed="false">
      <c r="A1712" s="104" t="s">
        <v>618</v>
      </c>
      <c r="B1712" s="105" t="n">
        <f aca="false">IF($P$1711&lt;&gt;"",ROUND(AA1712*(($AB$1711/(1-$P$1711))-17.094)/15.4296,2),IF('Resumen 2.0TD'!$D$3="OPTIMIZAR",AA1712,AA1712))</f>
        <v>25.26</v>
      </c>
      <c r="C1712" s="118"/>
      <c r="D1712" s="107" t="n">
        <v>0.108</v>
      </c>
      <c r="E1712" s="108" t="n">
        <v>0.13788</v>
      </c>
      <c r="F1712" s="109" t="n">
        <f aca="false">ROUND(B1712*E1712,2)</f>
        <v>3.48</v>
      </c>
      <c r="H1712" s="110" t="n">
        <v>30.178</v>
      </c>
      <c r="I1712" s="111" t="n">
        <v>0.13788</v>
      </c>
      <c r="J1712" s="112" t="n">
        <f aca="false">ROUND(H1712*I1712,2)</f>
        <v>4.16</v>
      </c>
      <c r="L1712" s="136"/>
      <c r="M1712" s="136"/>
      <c r="N1712" s="136"/>
      <c r="O1712" s="120" t="s">
        <v>619</v>
      </c>
      <c r="R1712" s="117" t="s">
        <v>620</v>
      </c>
      <c r="AA1712" s="0" t="n">
        <v>25.26</v>
      </c>
    </row>
    <row r="1713" customFormat="false" ht="15" hidden="false" customHeight="false" outlineLevel="0" collapsed="false">
      <c r="A1713" s="104" t="s">
        <v>621</v>
      </c>
      <c r="B1713" s="105" t="n">
        <f aca="false">IF($P$1711&lt;&gt;"",ROUND(AA1713*(($AB$1711/(1-$P$1711))-17.094)/15.4296,2),IF('Resumen 2.0TD'!$D$3="OPTIMIZAR",AA1713,AA1713))</f>
        <v>40.53</v>
      </c>
      <c r="C1713" s="118"/>
      <c r="D1713" s="107" t="n">
        <v>0.108</v>
      </c>
      <c r="E1713" s="108" t="n">
        <v>0.13788</v>
      </c>
      <c r="F1713" s="109" t="n">
        <f aca="false">ROUND(B1713*E1713,2)</f>
        <v>5.59</v>
      </c>
      <c r="H1713" s="110" t="n">
        <v>28.651</v>
      </c>
      <c r="I1713" s="111" t="n">
        <v>0.13788</v>
      </c>
      <c r="J1713" s="112" t="n">
        <f aca="false">ROUND(H1713*I1713,2)</f>
        <v>3.95</v>
      </c>
      <c r="L1713" s="136"/>
      <c r="M1713" s="136"/>
      <c r="N1713" s="136"/>
      <c r="O1713" s="120" t="s">
        <v>622</v>
      </c>
      <c r="AA1713" s="0" t="n">
        <v>40.53</v>
      </c>
    </row>
    <row r="1714" customFormat="false" ht="15" hidden="false" customHeight="false" outlineLevel="0" collapsed="false">
      <c r="A1714" s="104" t="s">
        <v>139</v>
      </c>
      <c r="B1714" s="105" t="n">
        <v>1</v>
      </c>
      <c r="C1714" s="106" t="n">
        <f aca="false">$N$1706-$L$1706+1</f>
        <v>30</v>
      </c>
      <c r="D1714" s="107" t="n">
        <v>0.7989</v>
      </c>
      <c r="E1714" s="108" t="n">
        <v>3</v>
      </c>
      <c r="F1714" s="109" t="n">
        <f aca="false">ROUND(B1714*E1714,2)</f>
        <v>3</v>
      </c>
      <c r="H1714" s="110" t="n">
        <v>1</v>
      </c>
      <c r="I1714" s="111" t="n">
        <v>3</v>
      </c>
      <c r="J1714" s="112" t="n">
        <f aca="false">ROUND(H1714*I1714,2)</f>
        <v>3</v>
      </c>
      <c r="L1714" s="136"/>
      <c r="M1714" s="136"/>
      <c r="N1714" s="136"/>
    </row>
    <row r="1715" customFormat="false" ht="15" hidden="false" customHeight="false" outlineLevel="0" collapsed="false">
      <c r="A1715" s="104" t="s">
        <v>140</v>
      </c>
      <c r="B1715" s="105" t="n">
        <v>30</v>
      </c>
      <c r="C1715" s="106" t="n">
        <f aca="false">$N$1706-$L$1706+1</f>
        <v>30</v>
      </c>
      <c r="D1715" s="107" t="n">
        <v>0.5736</v>
      </c>
      <c r="E1715" s="108" t="n">
        <v>0.01274</v>
      </c>
      <c r="F1715" s="109" t="n">
        <f aca="false">ROUND(B1715*E1715,2)</f>
        <v>0.38</v>
      </c>
      <c r="H1715" s="110" t="n">
        <v>30</v>
      </c>
      <c r="I1715" s="111" t="n">
        <v>0.01274</v>
      </c>
      <c r="J1715" s="112" t="n">
        <f aca="false">ROUND(H1715*I1715,2)</f>
        <v>0.38</v>
      </c>
      <c r="L1715" s="136"/>
      <c r="M1715" s="136"/>
      <c r="N1715" s="136"/>
    </row>
    <row r="1716" customFormat="false" ht="15" hidden="false" customHeight="false" outlineLevel="0" collapsed="false">
      <c r="A1716" s="104" t="s">
        <v>141</v>
      </c>
      <c r="B1716" s="105" t="n">
        <v>1.67</v>
      </c>
      <c r="C1716" s="118"/>
      <c r="D1716" s="107" t="n">
        <v>0.25248</v>
      </c>
      <c r="E1716" s="108" t="n">
        <v>1</v>
      </c>
      <c r="F1716" s="109" t="n">
        <f aca="false">ROUND(B1716*E1716,2)</f>
        <v>1.67</v>
      </c>
      <c r="H1716" s="110" t="n">
        <v>1.52</v>
      </c>
      <c r="I1716" s="111" t="n">
        <v>1</v>
      </c>
      <c r="J1716" s="112" t="n">
        <f aca="false">ROUND(H1716*I1716,2)</f>
        <v>1.52</v>
      </c>
      <c r="L1716" s="136"/>
      <c r="M1716" s="136"/>
      <c r="N1716" s="136"/>
    </row>
    <row r="1717" customFormat="false" ht="15" hidden="false" customHeight="false" outlineLevel="0" collapsed="false">
      <c r="A1717" s="121" t="s">
        <v>142</v>
      </c>
      <c r="F1717" s="122" t="n">
        <f aca="false">ROUND((SUM(F1709:F1716)-F1716)*1.1+F1716,2)</f>
        <v>41.17</v>
      </c>
      <c r="J1717" s="123" t="n">
        <f aca="false">ROUND(SUM(J1709:J1716),2)</f>
        <v>34.5</v>
      </c>
      <c r="N1717" s="137"/>
    </row>
    <row r="1718" customFormat="false" ht="15" hidden="false" customHeight="false" outlineLevel="0" collapsed="false">
      <c r="A1718" s="93" t="s">
        <v>143</v>
      </c>
      <c r="B1718" s="125" t="n">
        <f aca="false">IF((F1713+F1712+F1711+F1709+F1710)=0,"",((F1713+F1712+F1711+F1709+F1710)-$AB$1711)/(F1713+F1712+F1711+F1709+F1710))</f>
        <v>0.160364740239779</v>
      </c>
      <c r="D1718" s="126" t="str">
        <f aca="false">IF(B1718="","SIN PC",IF(B1718&gt;=0.3,"APROBAR",IF(B1718&gt;=0.2,"REVISAR","RECHAZAR")))</f>
        <v>RECHAZAR</v>
      </c>
      <c r="E1718" s="126"/>
      <c r="F1718" s="126"/>
      <c r="AD1718" s="0" t="n">
        <f aca="false">SUM(F1711:F1713)-15.4296</f>
        <v>0.000399999999999068</v>
      </c>
    </row>
    <row r="1720" customFormat="false" ht="15" hidden="false" customHeight="false" outlineLevel="0" collapsed="false">
      <c r="A1720" s="89" t="s">
        <v>1402</v>
      </c>
      <c r="B1720" s="89"/>
      <c r="C1720" s="89"/>
      <c r="D1720" s="89"/>
      <c r="E1720" s="89"/>
      <c r="F1720" s="89"/>
      <c r="H1720" s="89" t="s">
        <v>1403</v>
      </c>
      <c r="I1720" s="89"/>
      <c r="J1720" s="89"/>
      <c r="K1720" s="89"/>
      <c r="L1720" s="90" t="n">
        <v>46113</v>
      </c>
      <c r="M1720" s="91" t="s">
        <v>608</v>
      </c>
      <c r="N1720" s="90" t="n">
        <v>46142</v>
      </c>
      <c r="R1720" s="92" t="s">
        <v>110</v>
      </c>
      <c r="S1720" s="92"/>
      <c r="T1720" s="92"/>
      <c r="U1720" s="92"/>
      <c r="V1720" s="92"/>
    </row>
    <row r="1721" customFormat="false" ht="15" hidden="false" customHeight="false" outlineLevel="0" collapsed="false">
      <c r="A1721" s="93" t="s">
        <v>111</v>
      </c>
      <c r="B1721" s="94" t="s">
        <v>112</v>
      </c>
      <c r="C1721" s="95"/>
      <c r="D1721" s="95"/>
      <c r="E1721" s="95"/>
      <c r="F1721" s="95"/>
      <c r="H1721" s="96" t="s">
        <v>1404</v>
      </c>
      <c r="I1721" s="97"/>
      <c r="J1721" s="97"/>
      <c r="L1721" s="98" t="s">
        <v>797</v>
      </c>
      <c r="M1721" s="99"/>
      <c r="N1721" s="99"/>
      <c r="R1721" s="100" t="s">
        <v>1365</v>
      </c>
    </row>
    <row r="1722" customFormat="false" ht="15" hidden="false" customHeight="false" outlineLevel="0" collapsed="false">
      <c r="B1722" s="81" t="s">
        <v>116</v>
      </c>
      <c r="C1722" s="81" t="s">
        <v>117</v>
      </c>
      <c r="D1722" s="81" t="s">
        <v>118</v>
      </c>
      <c r="E1722" s="81" t="s">
        <v>119</v>
      </c>
      <c r="F1722" s="81" t="s">
        <v>120</v>
      </c>
      <c r="H1722" s="101" t="s">
        <v>116</v>
      </c>
      <c r="I1722" s="101" t="s">
        <v>119</v>
      </c>
      <c r="J1722" s="101" t="s">
        <v>120</v>
      </c>
      <c r="L1722" s="102" t="s">
        <v>116</v>
      </c>
      <c r="M1722" s="102" t="s">
        <v>119</v>
      </c>
      <c r="N1722" s="102" t="s">
        <v>120</v>
      </c>
      <c r="R1722" s="103" t="s">
        <v>765</v>
      </c>
    </row>
    <row r="1723" customFormat="false" ht="15" hidden="false" customHeight="false" outlineLevel="0" collapsed="false">
      <c r="A1723" s="104" t="s">
        <v>122</v>
      </c>
      <c r="B1723" s="105" t="n">
        <v>9.2</v>
      </c>
      <c r="C1723" s="106" t="n">
        <f aca="false">$N$1720-$L$1720+1</f>
        <v>30</v>
      </c>
      <c r="D1723" s="107" t="n">
        <v>3.68919</v>
      </c>
      <c r="E1723" s="108" t="n">
        <v>3.85</v>
      </c>
      <c r="F1723" s="109" t="n">
        <f aca="false">ROUND(B1723*E1723,2)</f>
        <v>35.42</v>
      </c>
      <c r="H1723" s="110" t="n">
        <v>9.2</v>
      </c>
      <c r="I1723" s="111" t="n">
        <v>3.85</v>
      </c>
      <c r="J1723" s="112" t="n">
        <f aca="false">ROUND(H1723*I1723,2)</f>
        <v>35.42</v>
      </c>
      <c r="L1723" s="136"/>
      <c r="M1723" s="136"/>
      <c r="N1723" s="136"/>
      <c r="R1723" s="116" t="s">
        <v>1366</v>
      </c>
    </row>
    <row r="1724" customFormat="false" ht="15" hidden="false" customHeight="false" outlineLevel="0" collapsed="false">
      <c r="A1724" s="104" t="s">
        <v>124</v>
      </c>
      <c r="B1724" s="105" t="n">
        <v>9.2</v>
      </c>
      <c r="C1724" s="106" t="n">
        <f aca="false">$N$1720-$L$1720+1</f>
        <v>30</v>
      </c>
      <c r="D1724" s="107" t="n">
        <v>1.31928</v>
      </c>
      <c r="E1724" s="108" t="n">
        <v>1.33</v>
      </c>
      <c r="F1724" s="109" t="n">
        <f aca="false">ROUND(B1724*E1724,2)</f>
        <v>12.24</v>
      </c>
      <c r="H1724" s="110" t="n">
        <v>9.2</v>
      </c>
      <c r="I1724" s="111" t="n">
        <v>1.33</v>
      </c>
      <c r="J1724" s="112" t="n">
        <f aca="false">ROUND(H1724*I1724,2)</f>
        <v>12.24</v>
      </c>
      <c r="L1724" s="136"/>
      <c r="M1724" s="136"/>
      <c r="N1724" s="136"/>
    </row>
    <row r="1725" customFormat="false" ht="15" hidden="false" customHeight="false" outlineLevel="0" collapsed="false">
      <c r="A1725" s="104" t="s">
        <v>615</v>
      </c>
      <c r="B1725" s="105" t="n">
        <f aca="false">IF($P$1725&lt;&gt;"",ROUND(AA1725*(($AB$1725/(1-$P$1725))-47.656)/184.368,2),IF('Resumen 2.0TD'!$D$3="OPTIMIZAR",AA1725,AA1725))</f>
        <v>204.787</v>
      </c>
      <c r="C1725" s="118"/>
      <c r="D1725" s="107" t="n">
        <v>0.111171</v>
      </c>
      <c r="E1725" s="108" t="n">
        <v>0.129</v>
      </c>
      <c r="F1725" s="109" t="n">
        <f aca="false">ROUND(B1725*E1725,2)</f>
        <v>26.42</v>
      </c>
      <c r="H1725" s="110" t="n">
        <v>318.188</v>
      </c>
      <c r="I1725" s="111" t="n">
        <v>0.13788</v>
      </c>
      <c r="J1725" s="112" t="n">
        <f aca="false">ROUND(H1725*I1725,2)</f>
        <v>43.87</v>
      </c>
      <c r="L1725" s="136"/>
      <c r="M1725" s="136"/>
      <c r="N1725" s="136"/>
      <c r="O1725" s="119" t="s">
        <v>616</v>
      </c>
      <c r="P1725" s="79"/>
      <c r="AA1725" s="0" t="n">
        <v>204.787</v>
      </c>
      <c r="AB1725" s="0" t="n">
        <f aca="false">B1723*D1723+B1724*D1724+AA1725*D1725+AA1726*D1726+AA1727*D1727</f>
        <v>204.964517739</v>
      </c>
    </row>
    <row r="1726" customFormat="false" ht="15" hidden="false" customHeight="false" outlineLevel="0" collapsed="false">
      <c r="A1726" s="104" t="s">
        <v>618</v>
      </c>
      <c r="B1726" s="105" t="n">
        <f aca="false">IF($P$1725&lt;&gt;"",ROUND(AA1726*(($AB$1725/(1-$P$1725))-47.656)/184.368,2),IF('Resumen 2.0TD'!$D$3="OPTIMIZAR",AA1726,AA1726))</f>
        <v>200.612</v>
      </c>
      <c r="C1726" s="118"/>
      <c r="D1726" s="107" t="n">
        <v>0.111171</v>
      </c>
      <c r="E1726" s="108" t="n">
        <v>0.129</v>
      </c>
      <c r="F1726" s="109" t="n">
        <f aca="false">ROUND(B1726*E1726,2)</f>
        <v>25.88</v>
      </c>
      <c r="H1726" s="110" t="n">
        <v>339.731</v>
      </c>
      <c r="I1726" s="111" t="n">
        <v>0.13788</v>
      </c>
      <c r="J1726" s="112" t="n">
        <f aca="false">ROUND(H1726*I1726,2)</f>
        <v>46.84</v>
      </c>
      <c r="L1726" s="136"/>
      <c r="M1726" s="136"/>
      <c r="N1726" s="136"/>
      <c r="O1726" s="120" t="s">
        <v>619</v>
      </c>
      <c r="R1726" s="117" t="s">
        <v>620</v>
      </c>
      <c r="AA1726" s="0" t="n">
        <v>200.612</v>
      </c>
    </row>
    <row r="1727" customFormat="false" ht="15" hidden="false" customHeight="false" outlineLevel="0" collapsed="false">
      <c r="A1727" s="104" t="s">
        <v>621</v>
      </c>
      <c r="B1727" s="105" t="n">
        <f aca="false">IF($P$1725&lt;&gt;"",ROUND(AA1727*(($AB$1725/(1-$P$1725))-47.656)/184.368,2),IF('Resumen 2.0TD'!$D$3="OPTIMIZAR",AA1727,AA1727))</f>
        <v>1023.81</v>
      </c>
      <c r="C1727" s="118"/>
      <c r="D1727" s="107" t="n">
        <v>0.111171</v>
      </c>
      <c r="E1727" s="108" t="n">
        <v>0.129</v>
      </c>
      <c r="F1727" s="109" t="n">
        <f aca="false">ROUND(B1727*E1727,2)</f>
        <v>132.07</v>
      </c>
      <c r="H1727" s="110" t="n">
        <v>1049.76</v>
      </c>
      <c r="I1727" s="111" t="n">
        <v>0.13788</v>
      </c>
      <c r="J1727" s="112" t="n">
        <f aca="false">ROUND(H1727*I1727,2)</f>
        <v>144.74</v>
      </c>
      <c r="L1727" s="136"/>
      <c r="M1727" s="136"/>
      <c r="N1727" s="136"/>
      <c r="O1727" s="120" t="s">
        <v>622</v>
      </c>
      <c r="AA1727" s="0" t="n">
        <v>1023.81</v>
      </c>
    </row>
    <row r="1728" customFormat="false" ht="15" hidden="false" customHeight="false" outlineLevel="0" collapsed="false">
      <c r="A1728" s="104" t="s">
        <v>139</v>
      </c>
      <c r="B1728" s="105" t="n">
        <v>1</v>
      </c>
      <c r="C1728" s="106" t="n">
        <f aca="false">$N$1720-$L$1720+1</f>
        <v>30</v>
      </c>
      <c r="D1728" s="107" t="n">
        <v>0.7989</v>
      </c>
      <c r="E1728" s="108" t="n">
        <v>3</v>
      </c>
      <c r="F1728" s="109" t="n">
        <f aca="false">ROUND(B1728*E1728,2)</f>
        <v>3</v>
      </c>
      <c r="H1728" s="110" t="n">
        <v>1</v>
      </c>
      <c r="I1728" s="111" t="n">
        <v>3</v>
      </c>
      <c r="J1728" s="112" t="n">
        <f aca="false">ROUND(H1728*I1728,2)</f>
        <v>3</v>
      </c>
      <c r="L1728" s="136"/>
      <c r="M1728" s="136"/>
      <c r="N1728" s="136"/>
    </row>
    <row r="1729" customFormat="false" ht="15" hidden="false" customHeight="false" outlineLevel="0" collapsed="false">
      <c r="A1729" s="104" t="s">
        <v>140</v>
      </c>
      <c r="B1729" s="105" t="n">
        <v>30</v>
      </c>
      <c r="C1729" s="106" t="n">
        <f aca="false">$N$1720-$L$1720+1</f>
        <v>30</v>
      </c>
      <c r="D1729" s="107" t="n">
        <v>0.5736</v>
      </c>
      <c r="E1729" s="108" t="n">
        <v>0.01274</v>
      </c>
      <c r="F1729" s="109" t="n">
        <f aca="false">ROUND(B1729*E1729,2)</f>
        <v>0.38</v>
      </c>
      <c r="H1729" s="110" t="n">
        <v>30</v>
      </c>
      <c r="I1729" s="111" t="n">
        <v>0.01274</v>
      </c>
      <c r="J1729" s="112" t="n">
        <f aca="false">ROUND(H1729*I1729,2)</f>
        <v>0.38</v>
      </c>
      <c r="L1729" s="136"/>
      <c r="M1729" s="136"/>
      <c r="N1729" s="136"/>
    </row>
    <row r="1730" customFormat="false" ht="15" hidden="false" customHeight="false" outlineLevel="0" collapsed="false">
      <c r="A1730" s="104" t="s">
        <v>141</v>
      </c>
      <c r="B1730" s="105" t="n">
        <v>11.51</v>
      </c>
      <c r="C1730" s="118"/>
      <c r="D1730" s="107" t="n">
        <v>0.27312</v>
      </c>
      <c r="E1730" s="108" t="n">
        <v>1</v>
      </c>
      <c r="F1730" s="109" t="n">
        <f aca="false">ROUND(B1730*E1730,2)</f>
        <v>11.51</v>
      </c>
      <c r="H1730" s="110" t="n">
        <v>14.04</v>
      </c>
      <c r="I1730" s="111" t="n">
        <v>1</v>
      </c>
      <c r="J1730" s="112" t="n">
        <f aca="false">ROUND(H1730*I1730,2)</f>
        <v>14.04</v>
      </c>
      <c r="L1730" s="136"/>
      <c r="M1730" s="136"/>
      <c r="N1730" s="136"/>
    </row>
    <row r="1731" customFormat="false" ht="15" hidden="false" customHeight="false" outlineLevel="0" collapsed="false">
      <c r="A1731" s="121" t="s">
        <v>142</v>
      </c>
      <c r="F1731" s="122" t="n">
        <f aca="false">ROUND((SUM(F1723:F1730)-F1730)*1.1+F1730,2)</f>
        <v>270.46</v>
      </c>
      <c r="J1731" s="123" t="n">
        <f aca="false">ROUND(SUM(J1723:J1730),2)</f>
        <v>300.53</v>
      </c>
      <c r="N1731" s="137"/>
    </row>
    <row r="1732" customFormat="false" ht="15" hidden="false" customHeight="false" outlineLevel="0" collapsed="false">
      <c r="A1732" s="93" t="s">
        <v>143</v>
      </c>
      <c r="B1732" s="125" t="n">
        <f aca="false">IF((F1727+F1726+F1725+F1723+F1724)=0,"",((F1727+F1726+F1725+F1723+F1724)-$AB$1725)/(F1727+F1726+F1725+F1723+F1724))</f>
        <v>0.116646477873551</v>
      </c>
      <c r="D1732" s="126" t="str">
        <f aca="false">IF(B1732="","SIN PC",IF(B1732&gt;=0.3,"APROBAR",IF(B1732&gt;=0.2,"REVISAR","RECHAZAR")))</f>
        <v>RECHAZAR</v>
      </c>
      <c r="E1732" s="126"/>
      <c r="F1732" s="126"/>
      <c r="AD1732" s="0" t="n">
        <f aca="false">SUM(F1725:F1727)-184.368</f>
        <v>0.00200000000000955</v>
      </c>
    </row>
    <row r="1733" customFormat="false" ht="15" hidden="false" customHeight="false" outlineLevel="0" collapsed="false">
      <c r="A1733" s="127" t="s">
        <v>744</v>
      </c>
      <c r="B1733" s="127"/>
      <c r="C1733" s="127"/>
      <c r="D1733" s="127"/>
      <c r="E1733" s="127"/>
      <c r="F1733" s="127"/>
    </row>
    <row r="1734" customFormat="false" ht="15" hidden="false" customHeight="false" outlineLevel="0" collapsed="false">
      <c r="A1734" s="128" t="s">
        <v>111</v>
      </c>
      <c r="B1734" s="128" t="s">
        <v>745</v>
      </c>
      <c r="D1734" s="128" t="s">
        <v>746</v>
      </c>
      <c r="E1734" s="128" t="s">
        <v>747</v>
      </c>
      <c r="F1734" s="128" t="s">
        <v>120</v>
      </c>
    </row>
    <row r="1735" customFormat="false" ht="15" hidden="false" customHeight="false" outlineLevel="0" collapsed="false">
      <c r="A1735" s="129" t="s">
        <v>748</v>
      </c>
      <c r="B1735" s="130" t="n">
        <v>324</v>
      </c>
      <c r="C1735" s="131"/>
      <c r="D1735" s="107" t="n">
        <v>0.06</v>
      </c>
      <c r="E1735" s="131"/>
      <c r="F1735" s="132" t="n">
        <f aca="false">ROUND(B1735*D1735,2)</f>
        <v>19.44</v>
      </c>
    </row>
    <row r="1736" customFormat="false" ht="15" hidden="false" customHeight="false" outlineLevel="0" collapsed="false">
      <c r="A1736" s="129" t="s">
        <v>749</v>
      </c>
      <c r="B1736" s="131"/>
      <c r="C1736" s="131"/>
      <c r="D1736" s="131"/>
      <c r="E1736" s="133" t="n">
        <v>0.056</v>
      </c>
      <c r="F1736" s="132" t="n">
        <v>19.61</v>
      </c>
    </row>
    <row r="1737" customFormat="false" ht="15" hidden="false" customHeight="false" outlineLevel="0" collapsed="false">
      <c r="A1737" s="134" t="s">
        <v>750</v>
      </c>
      <c r="B1737" s="131"/>
      <c r="C1737" s="131"/>
      <c r="D1737" s="131"/>
      <c r="E1737" s="131"/>
      <c r="F1737" s="135" t="n">
        <f aca="false">F1735-F1736</f>
        <v>-0.169999999999998</v>
      </c>
    </row>
    <row r="1739" customFormat="false" ht="15" hidden="false" customHeight="false" outlineLevel="0" collapsed="false">
      <c r="A1739" s="89" t="s">
        <v>1405</v>
      </c>
      <c r="B1739" s="89"/>
      <c r="C1739" s="89"/>
      <c r="D1739" s="89"/>
      <c r="E1739" s="89"/>
      <c r="F1739" s="89"/>
      <c r="H1739" s="89" t="s">
        <v>1406</v>
      </c>
      <c r="I1739" s="89"/>
      <c r="J1739" s="89"/>
      <c r="K1739" s="89"/>
      <c r="L1739" s="90" t="n">
        <v>46113</v>
      </c>
      <c r="M1739" s="91" t="s">
        <v>608</v>
      </c>
      <c r="N1739" s="90" t="n">
        <v>46142</v>
      </c>
      <c r="R1739" s="92" t="s">
        <v>110</v>
      </c>
      <c r="S1739" s="92"/>
      <c r="T1739" s="92"/>
      <c r="U1739" s="92"/>
      <c r="V1739" s="92"/>
    </row>
    <row r="1740" customFormat="false" ht="15" hidden="false" customHeight="false" outlineLevel="0" collapsed="false">
      <c r="A1740" s="93" t="s">
        <v>111</v>
      </c>
      <c r="B1740" s="94" t="s">
        <v>112</v>
      </c>
      <c r="C1740" s="95"/>
      <c r="D1740" s="95"/>
      <c r="E1740" s="95"/>
      <c r="F1740" s="95"/>
      <c r="H1740" s="96" t="s">
        <v>1407</v>
      </c>
      <c r="I1740" s="97"/>
      <c r="J1740" s="97"/>
      <c r="L1740" s="98" t="s">
        <v>797</v>
      </c>
      <c r="M1740" s="99"/>
      <c r="N1740" s="99"/>
      <c r="R1740" s="100" t="s">
        <v>798</v>
      </c>
    </row>
    <row r="1741" customFormat="false" ht="15" hidden="false" customHeight="false" outlineLevel="0" collapsed="false">
      <c r="B1741" s="81" t="s">
        <v>116</v>
      </c>
      <c r="C1741" s="81" t="s">
        <v>117</v>
      </c>
      <c r="D1741" s="81" t="s">
        <v>118</v>
      </c>
      <c r="E1741" s="81" t="s">
        <v>119</v>
      </c>
      <c r="F1741" s="81" t="s">
        <v>120</v>
      </c>
      <c r="H1741" s="101" t="s">
        <v>116</v>
      </c>
      <c r="I1741" s="101" t="s">
        <v>119</v>
      </c>
      <c r="J1741" s="101" t="s">
        <v>120</v>
      </c>
      <c r="L1741" s="102" t="s">
        <v>116</v>
      </c>
      <c r="M1741" s="102" t="s">
        <v>119</v>
      </c>
      <c r="N1741" s="102" t="s">
        <v>120</v>
      </c>
      <c r="R1741" s="103" t="s">
        <v>765</v>
      </c>
    </row>
    <row r="1742" customFormat="false" ht="15" hidden="false" customHeight="false" outlineLevel="0" collapsed="false">
      <c r="A1742" s="104" t="s">
        <v>122</v>
      </c>
      <c r="B1742" s="105" t="n">
        <v>5</v>
      </c>
      <c r="C1742" s="106" t="n">
        <f aca="false">$N$1739-$L$1739+1</f>
        <v>30</v>
      </c>
      <c r="D1742" s="107" t="n">
        <v>3.68919</v>
      </c>
      <c r="E1742" s="108" t="n">
        <v>3.85</v>
      </c>
      <c r="F1742" s="109" t="n">
        <f aca="false">ROUND(B1742*E1742,2)</f>
        <v>19.25</v>
      </c>
      <c r="H1742" s="110" t="n">
        <v>5</v>
      </c>
      <c r="I1742" s="111" t="n">
        <v>3.85</v>
      </c>
      <c r="J1742" s="112" t="n">
        <f aca="false">ROUND(H1742*I1742,2)</f>
        <v>19.25</v>
      </c>
      <c r="L1742" s="136"/>
      <c r="M1742" s="136"/>
      <c r="N1742" s="136"/>
      <c r="R1742" s="116" t="s">
        <v>799</v>
      </c>
    </row>
    <row r="1743" customFormat="false" ht="15" hidden="false" customHeight="false" outlineLevel="0" collapsed="false">
      <c r="A1743" s="104" t="s">
        <v>124</v>
      </c>
      <c r="B1743" s="105" t="n">
        <v>5</v>
      </c>
      <c r="C1743" s="106" t="n">
        <f aca="false">$N$1739-$L$1739+1</f>
        <v>30</v>
      </c>
      <c r="D1743" s="107" t="n">
        <v>1.31928</v>
      </c>
      <c r="E1743" s="108" t="n">
        <v>1.33</v>
      </c>
      <c r="F1743" s="109" t="n">
        <f aca="false">ROUND(B1743*E1743,2)</f>
        <v>6.65</v>
      </c>
      <c r="H1743" s="110" t="n">
        <v>5</v>
      </c>
      <c r="I1743" s="111" t="n">
        <v>1.33</v>
      </c>
      <c r="J1743" s="112" t="n">
        <f aca="false">ROUND(H1743*I1743,2)</f>
        <v>6.65</v>
      </c>
      <c r="L1743" s="136"/>
      <c r="M1743" s="136"/>
      <c r="N1743" s="136"/>
    </row>
    <row r="1744" customFormat="false" ht="15" hidden="false" customHeight="false" outlineLevel="0" collapsed="false">
      <c r="A1744" s="104" t="s">
        <v>615</v>
      </c>
      <c r="B1744" s="105" t="n">
        <f aca="false">IF($P$1744&lt;&gt;"",ROUND(AA1744*(($AB$1744/(1-$P$1744))-25.9)/56.1093,2),IF('Resumen 2.0TD'!$D$3="OPTIMIZAR",AA1744,AA1744))</f>
        <v>73.135</v>
      </c>
      <c r="C1744" s="118"/>
      <c r="D1744" s="107" t="n">
        <v>0.111171</v>
      </c>
      <c r="E1744" s="108" t="n">
        <v>0.13788</v>
      </c>
      <c r="F1744" s="109" t="n">
        <f aca="false">ROUND(B1744*E1744,2)</f>
        <v>10.08</v>
      </c>
      <c r="H1744" s="110" t="n">
        <v>100.986</v>
      </c>
      <c r="I1744" s="111" t="n">
        <v>0.119</v>
      </c>
      <c r="J1744" s="112" t="n">
        <f aca="false">ROUND(H1744*I1744,2)</f>
        <v>12.02</v>
      </c>
      <c r="L1744" s="136"/>
      <c r="M1744" s="136"/>
      <c r="N1744" s="136"/>
      <c r="O1744" s="119" t="s">
        <v>616</v>
      </c>
      <c r="P1744" s="79"/>
      <c r="AA1744" s="0" t="n">
        <v>73.135</v>
      </c>
      <c r="AB1744" s="0" t="n">
        <f aca="false">B1742*D1742+B1743*D1743+AA1744*D1744+AA1745*D1745+AA1746*D1746</f>
        <v>70.282610253</v>
      </c>
    </row>
    <row r="1745" customFormat="false" ht="15" hidden="false" customHeight="false" outlineLevel="0" collapsed="false">
      <c r="A1745" s="104" t="s">
        <v>618</v>
      </c>
      <c r="B1745" s="105" t="n">
        <f aca="false">IF($P$1744&lt;&gt;"",ROUND(AA1745*(($AB$1744/(1-$P$1744))-25.9)/56.1093,2),IF('Resumen 2.0TD'!$D$3="OPTIMIZAR",AA1745,AA1745))</f>
        <v>70.274</v>
      </c>
      <c r="C1745" s="118"/>
      <c r="D1745" s="107" t="n">
        <v>0.111171</v>
      </c>
      <c r="E1745" s="108" t="n">
        <v>0.13788</v>
      </c>
      <c r="F1745" s="109" t="n">
        <f aca="false">ROUND(B1745*E1745,2)</f>
        <v>9.69</v>
      </c>
      <c r="H1745" s="110" t="n">
        <v>84.974</v>
      </c>
      <c r="I1745" s="111" t="n">
        <v>0.119</v>
      </c>
      <c r="J1745" s="112" t="n">
        <f aca="false">ROUND(H1745*I1745,2)</f>
        <v>10.11</v>
      </c>
      <c r="L1745" s="136"/>
      <c r="M1745" s="136"/>
      <c r="N1745" s="136"/>
      <c r="O1745" s="120" t="s">
        <v>619</v>
      </c>
      <c r="R1745" s="117" t="s">
        <v>620</v>
      </c>
      <c r="AA1745" s="0" t="n">
        <v>70.274</v>
      </c>
    </row>
    <row r="1746" customFormat="false" ht="15" hidden="false" customHeight="false" outlineLevel="0" collapsed="false">
      <c r="A1746" s="104" t="s">
        <v>621</v>
      </c>
      <c r="B1746" s="105" t="n">
        <f aca="false">IF($P$1744&lt;&gt;"",ROUND(AA1746*(($AB$1744/(1-$P$1744))-25.9)/56.1093,2),IF('Resumen 2.0TD'!$D$3="OPTIMIZAR",AA1746,AA1746))</f>
        <v>263.534</v>
      </c>
      <c r="C1746" s="118"/>
      <c r="D1746" s="107" t="n">
        <v>0.111171</v>
      </c>
      <c r="E1746" s="108" t="n">
        <v>0.13788</v>
      </c>
      <c r="F1746" s="109" t="n">
        <f aca="false">ROUND(B1746*E1746,2)</f>
        <v>36.34</v>
      </c>
      <c r="H1746" s="110" t="n">
        <v>502.991</v>
      </c>
      <c r="I1746" s="111" t="n">
        <v>0.119</v>
      </c>
      <c r="J1746" s="112" t="n">
        <f aca="false">ROUND(H1746*I1746,2)</f>
        <v>59.86</v>
      </c>
      <c r="L1746" s="136"/>
      <c r="M1746" s="136"/>
      <c r="N1746" s="136"/>
      <c r="O1746" s="120" t="s">
        <v>622</v>
      </c>
      <c r="AA1746" s="0" t="n">
        <v>263.534</v>
      </c>
    </row>
    <row r="1747" customFormat="false" ht="15" hidden="false" customHeight="false" outlineLevel="0" collapsed="false">
      <c r="A1747" s="104" t="s">
        <v>139</v>
      </c>
      <c r="B1747" s="105" t="n">
        <v>1</v>
      </c>
      <c r="C1747" s="106" t="n">
        <f aca="false">$N$1739-$L$1739+1</f>
        <v>30</v>
      </c>
      <c r="D1747" s="107" t="n">
        <v>0.7989</v>
      </c>
      <c r="E1747" s="108" t="n">
        <v>3</v>
      </c>
      <c r="F1747" s="109" t="n">
        <f aca="false">ROUND(B1747*E1747,2)</f>
        <v>3</v>
      </c>
      <c r="H1747" s="110" t="n">
        <v>1</v>
      </c>
      <c r="I1747" s="111" t="n">
        <v>3</v>
      </c>
      <c r="J1747" s="112" t="n">
        <f aca="false">ROUND(H1747*I1747,2)</f>
        <v>3</v>
      </c>
      <c r="L1747" s="136"/>
      <c r="M1747" s="136"/>
      <c r="N1747" s="136"/>
    </row>
    <row r="1748" customFormat="false" ht="15" hidden="false" customHeight="false" outlineLevel="0" collapsed="false">
      <c r="A1748" s="104" t="s">
        <v>140</v>
      </c>
      <c r="B1748" s="105" t="n">
        <v>30</v>
      </c>
      <c r="C1748" s="106" t="n">
        <f aca="false">$N$1739-$L$1739+1</f>
        <v>30</v>
      </c>
      <c r="D1748" s="107" t="n">
        <v>0.5736</v>
      </c>
      <c r="E1748" s="108" t="n">
        <v>0.01274</v>
      </c>
      <c r="F1748" s="109" t="n">
        <f aca="false">ROUND(B1748*E1748,2)</f>
        <v>0.38</v>
      </c>
      <c r="H1748" s="110" t="n">
        <v>30</v>
      </c>
      <c r="I1748" s="111" t="n">
        <v>0.01274</v>
      </c>
      <c r="J1748" s="112" t="n">
        <f aca="false">ROUND(H1748*I1748,2)</f>
        <v>0.38</v>
      </c>
      <c r="L1748" s="136"/>
      <c r="M1748" s="136"/>
      <c r="N1748" s="136"/>
    </row>
    <row r="1749" customFormat="false" ht="15" hidden="false" customHeight="false" outlineLevel="0" collapsed="false">
      <c r="A1749" s="104" t="s">
        <v>141</v>
      </c>
      <c r="B1749" s="105" t="n">
        <v>4.2</v>
      </c>
      <c r="C1749" s="118"/>
      <c r="D1749" s="107" t="n">
        <v>0.27312</v>
      </c>
      <c r="E1749" s="108" t="n">
        <v>1</v>
      </c>
      <c r="F1749" s="109" t="n">
        <f aca="false">ROUND(B1749*E1749,2)</f>
        <v>4.2</v>
      </c>
      <c r="H1749" s="110" t="n">
        <v>6</v>
      </c>
      <c r="I1749" s="111" t="n">
        <v>1</v>
      </c>
      <c r="J1749" s="112" t="n">
        <f aca="false">ROUND(H1749*I1749,2)</f>
        <v>6</v>
      </c>
      <c r="L1749" s="136"/>
      <c r="M1749" s="136"/>
      <c r="N1749" s="136"/>
    </row>
    <row r="1750" customFormat="false" ht="15" hidden="false" customHeight="false" outlineLevel="0" collapsed="false">
      <c r="A1750" s="121" t="s">
        <v>142</v>
      </c>
      <c r="F1750" s="122" t="n">
        <f aca="false">ROUND((SUM(F1742:F1749)-F1749)*1.1+F1749,2)</f>
        <v>98.13</v>
      </c>
      <c r="J1750" s="123" t="n">
        <f aca="false">ROUND(SUM(J1742:J1749),2)</f>
        <v>117.27</v>
      </c>
      <c r="N1750" s="137"/>
    </row>
    <row r="1751" customFormat="false" ht="15" hidden="false" customHeight="false" outlineLevel="0" collapsed="false">
      <c r="A1751" s="93" t="s">
        <v>143</v>
      </c>
      <c r="B1751" s="125" t="n">
        <f aca="false">IF((F1746+F1745+F1744+F1742+F1743)=0,"",((F1746+F1745+F1744+F1742+F1743)-$AB$1744)/(F1746+F1745+F1744+F1742+F1743))</f>
        <v>0.142999509169614</v>
      </c>
      <c r="D1751" s="126" t="str">
        <f aca="false">IF(B1751="","SIN PC",IF(B1751&gt;=0.3,"APROBAR",IF(B1751&gt;=0.2,"REVISAR","RECHAZAR")))</f>
        <v>RECHAZAR</v>
      </c>
      <c r="E1751" s="126"/>
      <c r="F1751" s="126"/>
      <c r="AD1751" s="0" t="n">
        <f aca="false">SUM(F1744:F1746)-56.1093</f>
        <v>0.000700000000001921</v>
      </c>
    </row>
    <row r="1753" customFormat="false" ht="15" hidden="false" customHeight="false" outlineLevel="0" collapsed="false">
      <c r="A1753" s="89" t="s">
        <v>1408</v>
      </c>
      <c r="B1753" s="89"/>
      <c r="C1753" s="89"/>
      <c r="D1753" s="89"/>
      <c r="E1753" s="89"/>
      <c r="F1753" s="89"/>
      <c r="H1753" s="89" t="s">
        <v>1409</v>
      </c>
      <c r="I1753" s="89"/>
      <c r="J1753" s="89"/>
      <c r="K1753" s="89"/>
      <c r="L1753" s="90" t="n">
        <v>46113</v>
      </c>
      <c r="M1753" s="91" t="s">
        <v>608</v>
      </c>
      <c r="N1753" s="90" t="n">
        <v>46142</v>
      </c>
      <c r="R1753" s="92" t="s">
        <v>110</v>
      </c>
      <c r="S1753" s="92"/>
      <c r="T1753" s="92"/>
      <c r="U1753" s="92"/>
      <c r="V1753" s="92"/>
    </row>
    <row r="1754" customFormat="false" ht="15" hidden="false" customHeight="false" outlineLevel="0" collapsed="false">
      <c r="A1754" s="93" t="s">
        <v>111</v>
      </c>
      <c r="B1754" s="94" t="s">
        <v>112</v>
      </c>
      <c r="C1754" s="95"/>
      <c r="D1754" s="95"/>
      <c r="E1754" s="95"/>
      <c r="F1754" s="95"/>
      <c r="H1754" s="96" t="s">
        <v>1410</v>
      </c>
      <c r="I1754" s="97"/>
      <c r="J1754" s="97"/>
      <c r="L1754" s="98" t="s">
        <v>797</v>
      </c>
      <c r="M1754" s="99"/>
      <c r="N1754" s="99"/>
      <c r="R1754" s="100" t="s">
        <v>798</v>
      </c>
    </row>
    <row r="1755" customFormat="false" ht="15" hidden="false" customHeight="false" outlineLevel="0" collapsed="false">
      <c r="B1755" s="81" t="s">
        <v>116</v>
      </c>
      <c r="C1755" s="81" t="s">
        <v>117</v>
      </c>
      <c r="D1755" s="81" t="s">
        <v>118</v>
      </c>
      <c r="E1755" s="81" t="s">
        <v>119</v>
      </c>
      <c r="F1755" s="81" t="s">
        <v>120</v>
      </c>
      <c r="H1755" s="101" t="s">
        <v>116</v>
      </c>
      <c r="I1755" s="101" t="s">
        <v>119</v>
      </c>
      <c r="J1755" s="101" t="s">
        <v>120</v>
      </c>
      <c r="L1755" s="102" t="s">
        <v>116</v>
      </c>
      <c r="M1755" s="102" t="s">
        <v>119</v>
      </c>
      <c r="N1755" s="102" t="s">
        <v>120</v>
      </c>
      <c r="R1755" s="103" t="s">
        <v>765</v>
      </c>
    </row>
    <row r="1756" customFormat="false" ht="15" hidden="false" customHeight="false" outlineLevel="0" collapsed="false">
      <c r="A1756" s="104" t="s">
        <v>122</v>
      </c>
      <c r="B1756" s="105" t="n">
        <v>9.2</v>
      </c>
      <c r="C1756" s="106" t="n">
        <f aca="false">$N$1753-$L$1753+1</f>
        <v>30</v>
      </c>
      <c r="D1756" s="107" t="n">
        <v>3.68919</v>
      </c>
      <c r="E1756" s="108" t="n">
        <v>3.85</v>
      </c>
      <c r="F1756" s="109" t="n">
        <f aca="false">ROUND(B1756*E1756,2)</f>
        <v>35.42</v>
      </c>
      <c r="H1756" s="110" t="n">
        <v>9.2</v>
      </c>
      <c r="I1756" s="111" t="n">
        <v>3.85</v>
      </c>
      <c r="J1756" s="112" t="n">
        <f aca="false">ROUND(H1756*I1756,2)</f>
        <v>35.42</v>
      </c>
      <c r="L1756" s="136"/>
      <c r="M1756" s="136"/>
      <c r="N1756" s="136"/>
      <c r="R1756" s="116" t="s">
        <v>799</v>
      </c>
    </row>
    <row r="1757" customFormat="false" ht="15" hidden="false" customHeight="false" outlineLevel="0" collapsed="false">
      <c r="A1757" s="104" t="s">
        <v>124</v>
      </c>
      <c r="B1757" s="105" t="n">
        <v>9.2</v>
      </c>
      <c r="C1757" s="106" t="n">
        <f aca="false">$N$1753-$L$1753+1</f>
        <v>30</v>
      </c>
      <c r="D1757" s="107" t="n">
        <v>1.31928</v>
      </c>
      <c r="E1757" s="108" t="n">
        <v>1.33</v>
      </c>
      <c r="F1757" s="109" t="n">
        <f aca="false">ROUND(B1757*E1757,2)</f>
        <v>12.24</v>
      </c>
      <c r="H1757" s="110" t="n">
        <v>9.2</v>
      </c>
      <c r="I1757" s="111" t="n">
        <v>1.33</v>
      </c>
      <c r="J1757" s="112" t="n">
        <f aca="false">ROUND(H1757*I1757,2)</f>
        <v>12.24</v>
      </c>
      <c r="L1757" s="136"/>
      <c r="M1757" s="136"/>
      <c r="N1757" s="136"/>
    </row>
    <row r="1758" customFormat="false" ht="15" hidden="false" customHeight="false" outlineLevel="0" collapsed="false">
      <c r="A1758" s="104" t="s">
        <v>615</v>
      </c>
      <c r="B1758" s="105" t="n">
        <f aca="false">IF($P$1758&lt;&gt;"",ROUND(AA1758*(($AB$1758/(1-$P$1758))-47.656)/84.3502,2),IF('Resumen 2.0TD'!$D$3="OPTIMIZAR",AA1758,AA1758))</f>
        <v>118.653</v>
      </c>
      <c r="C1758" s="118"/>
      <c r="D1758" s="107" t="n">
        <v>0.111171</v>
      </c>
      <c r="E1758" s="108" t="n">
        <v>0.13788</v>
      </c>
      <c r="F1758" s="109" t="n">
        <f aca="false">ROUND(B1758*E1758,2)</f>
        <v>16.36</v>
      </c>
      <c r="H1758" s="110" t="n">
        <v>204.067</v>
      </c>
      <c r="I1758" s="111" t="n">
        <v>0.13788</v>
      </c>
      <c r="J1758" s="112" t="n">
        <f aca="false">ROUND(H1758*I1758,2)</f>
        <v>28.14</v>
      </c>
      <c r="L1758" s="136"/>
      <c r="M1758" s="136"/>
      <c r="N1758" s="136"/>
      <c r="O1758" s="119" t="s">
        <v>616</v>
      </c>
      <c r="P1758" s="79"/>
      <c r="AA1758" s="0" t="n">
        <v>118.653</v>
      </c>
      <c r="AB1758" s="0" t="n">
        <f aca="false">B1756*D1756+B1757*D1757+AA1758*D1758+AA1759*D1759+AA1760*D1760</f>
        <v>114.088450815</v>
      </c>
    </row>
    <row r="1759" customFormat="false" ht="15" hidden="false" customHeight="false" outlineLevel="0" collapsed="false">
      <c r="A1759" s="104" t="s">
        <v>618</v>
      </c>
      <c r="B1759" s="105" t="n">
        <f aca="false">IF($P$1758&lt;&gt;"",ROUND(AA1759*(($AB$1758/(1-$P$1758))-47.656)/84.3502,2),IF('Resumen 2.0TD'!$D$3="OPTIMIZAR",AA1759,AA1759))</f>
        <v>153.269</v>
      </c>
      <c r="C1759" s="118"/>
      <c r="D1759" s="107" t="n">
        <v>0.111171</v>
      </c>
      <c r="E1759" s="108" t="n">
        <v>0.13788</v>
      </c>
      <c r="F1759" s="109" t="n">
        <f aca="false">ROUND(B1759*E1759,2)</f>
        <v>21.13</v>
      </c>
      <c r="H1759" s="110" t="n">
        <v>233.594</v>
      </c>
      <c r="I1759" s="111" t="n">
        <v>0.13788</v>
      </c>
      <c r="J1759" s="112" t="n">
        <f aca="false">ROUND(H1759*I1759,2)</f>
        <v>32.21</v>
      </c>
      <c r="L1759" s="136"/>
      <c r="M1759" s="136"/>
      <c r="N1759" s="136"/>
      <c r="O1759" s="120" t="s">
        <v>619</v>
      </c>
      <c r="R1759" s="117" t="s">
        <v>620</v>
      </c>
      <c r="AA1759" s="0" t="n">
        <v>153.269</v>
      </c>
    </row>
    <row r="1760" customFormat="false" ht="15" hidden="false" customHeight="false" outlineLevel="0" collapsed="false">
      <c r="A1760" s="104" t="s">
        <v>621</v>
      </c>
      <c r="B1760" s="105" t="n">
        <f aca="false">IF($P$1758&lt;&gt;"",ROUND(AA1760*(($AB$1758/(1-$P$1758))-47.656)/84.3502,2),IF('Resumen 2.0TD'!$D$3="OPTIMIZAR",AA1760,AA1760))</f>
        <v>339.843</v>
      </c>
      <c r="C1760" s="118"/>
      <c r="D1760" s="107" t="n">
        <v>0.111171</v>
      </c>
      <c r="E1760" s="108" t="n">
        <v>0.13788</v>
      </c>
      <c r="F1760" s="109" t="n">
        <f aca="false">ROUND(B1760*E1760,2)</f>
        <v>46.86</v>
      </c>
      <c r="H1760" s="110" t="n">
        <v>314.405</v>
      </c>
      <c r="I1760" s="111" t="n">
        <v>0.13788</v>
      </c>
      <c r="J1760" s="112" t="n">
        <f aca="false">ROUND(H1760*I1760,2)</f>
        <v>43.35</v>
      </c>
      <c r="L1760" s="136"/>
      <c r="M1760" s="136"/>
      <c r="N1760" s="136"/>
      <c r="O1760" s="120" t="s">
        <v>622</v>
      </c>
      <c r="AA1760" s="0" t="n">
        <v>339.843</v>
      </c>
    </row>
    <row r="1761" customFormat="false" ht="15" hidden="false" customHeight="false" outlineLevel="0" collapsed="false">
      <c r="A1761" s="104" t="s">
        <v>139</v>
      </c>
      <c r="B1761" s="105" t="n">
        <v>1</v>
      </c>
      <c r="C1761" s="106" t="n">
        <f aca="false">$N$1753-$L$1753+1</f>
        <v>30</v>
      </c>
      <c r="D1761" s="107" t="n">
        <v>0.7989</v>
      </c>
      <c r="E1761" s="108" t="n">
        <v>3</v>
      </c>
      <c r="F1761" s="109" t="n">
        <f aca="false">ROUND(B1761*E1761,2)</f>
        <v>3</v>
      </c>
      <c r="H1761" s="110" t="n">
        <v>1</v>
      </c>
      <c r="I1761" s="111" t="n">
        <v>3</v>
      </c>
      <c r="J1761" s="112" t="n">
        <f aca="false">ROUND(H1761*I1761,2)</f>
        <v>3</v>
      </c>
      <c r="L1761" s="136"/>
      <c r="M1761" s="136"/>
      <c r="N1761" s="136"/>
    </row>
    <row r="1762" customFormat="false" ht="15" hidden="false" customHeight="false" outlineLevel="0" collapsed="false">
      <c r="A1762" s="104" t="s">
        <v>140</v>
      </c>
      <c r="B1762" s="105" t="n">
        <v>30</v>
      </c>
      <c r="C1762" s="106" t="n">
        <f aca="false">$N$1753-$L$1753+1</f>
        <v>30</v>
      </c>
      <c r="D1762" s="107" t="n">
        <v>0.5736</v>
      </c>
      <c r="E1762" s="108" t="n">
        <v>0.01274</v>
      </c>
      <c r="F1762" s="109" t="n">
        <f aca="false">ROUND(B1762*E1762,2)</f>
        <v>0.38</v>
      </c>
      <c r="H1762" s="110" t="n">
        <v>30</v>
      </c>
      <c r="I1762" s="111" t="n">
        <v>0.01274</v>
      </c>
      <c r="J1762" s="112" t="n">
        <f aca="false">ROUND(H1762*I1762,2)</f>
        <v>0.38</v>
      </c>
      <c r="L1762" s="136"/>
      <c r="M1762" s="136"/>
      <c r="N1762" s="136"/>
    </row>
    <row r="1763" customFormat="false" ht="15" hidden="false" customHeight="false" outlineLevel="0" collapsed="false">
      <c r="A1763" s="104" t="s">
        <v>141</v>
      </c>
      <c r="B1763" s="105" t="n">
        <v>6.76</v>
      </c>
      <c r="C1763" s="118"/>
      <c r="D1763" s="107" t="n">
        <v>0.27312</v>
      </c>
      <c r="E1763" s="108" t="n">
        <v>1</v>
      </c>
      <c r="F1763" s="109" t="n">
        <f aca="false">ROUND(B1763*E1763,2)</f>
        <v>6.76</v>
      </c>
      <c r="H1763" s="110" t="n">
        <v>7.74</v>
      </c>
      <c r="I1763" s="111" t="n">
        <v>1</v>
      </c>
      <c r="J1763" s="112" t="n">
        <f aca="false">ROUND(H1763*I1763,2)</f>
        <v>7.74</v>
      </c>
      <c r="L1763" s="136"/>
      <c r="M1763" s="136"/>
      <c r="N1763" s="136"/>
    </row>
    <row r="1764" customFormat="false" ht="15" hidden="false" customHeight="false" outlineLevel="0" collapsed="false">
      <c r="A1764" s="121" t="s">
        <v>142</v>
      </c>
      <c r="F1764" s="122" t="n">
        <f aca="false">ROUND((SUM(F1756:F1763)-F1763)*1.1+F1763,2)</f>
        <v>155.69</v>
      </c>
      <c r="J1764" s="123" t="n">
        <f aca="false">ROUND(SUM(J1756:J1763),2)</f>
        <v>162.48</v>
      </c>
      <c r="N1764" s="137"/>
    </row>
    <row r="1765" customFormat="false" ht="15" hidden="false" customHeight="false" outlineLevel="0" collapsed="false">
      <c r="A1765" s="93" t="s">
        <v>143</v>
      </c>
      <c r="B1765" s="125" t="n">
        <f aca="false">IF((F1760+F1759+F1758+F1756+F1757)=0,"",((F1760+F1759+F1758+F1756+F1757)-$AB$1758)/(F1760+F1759+F1758+F1756+F1757))</f>
        <v>0.135759027232785</v>
      </c>
      <c r="D1765" s="126" t="str">
        <f aca="false">IF(B1765="","SIN PC",IF(B1765&gt;=0.3,"APROBAR",IF(B1765&gt;=0.2,"REVISAR","RECHAZAR")))</f>
        <v>RECHAZAR</v>
      </c>
      <c r="E1765" s="126"/>
      <c r="F1765" s="126"/>
      <c r="AD1765" s="0" t="n">
        <f aca="false">SUM(F1758:F1760)-84.3502</f>
        <v>-0.000200000000006639</v>
      </c>
    </row>
    <row r="1767" customFormat="false" ht="15" hidden="false" customHeight="false" outlineLevel="0" collapsed="false">
      <c r="A1767" s="89" t="s">
        <v>1411</v>
      </c>
      <c r="B1767" s="89"/>
      <c r="C1767" s="89"/>
      <c r="D1767" s="89"/>
      <c r="E1767" s="89"/>
      <c r="F1767" s="89"/>
      <c r="H1767" s="89" t="s">
        <v>1412</v>
      </c>
      <c r="I1767" s="89"/>
      <c r="J1767" s="89"/>
      <c r="K1767" s="89"/>
      <c r="L1767" s="90" t="n">
        <v>46113</v>
      </c>
      <c r="M1767" s="91" t="s">
        <v>608</v>
      </c>
      <c r="N1767" s="90" t="n">
        <v>46142</v>
      </c>
      <c r="R1767" s="92" t="s">
        <v>110</v>
      </c>
      <c r="S1767" s="92"/>
      <c r="T1767" s="92"/>
      <c r="U1767" s="92"/>
      <c r="V1767" s="92"/>
    </row>
    <row r="1768" customFormat="false" ht="15" hidden="false" customHeight="false" outlineLevel="0" collapsed="false">
      <c r="A1768" s="93" t="s">
        <v>111</v>
      </c>
      <c r="B1768" s="94" t="s">
        <v>112</v>
      </c>
      <c r="C1768" s="95"/>
      <c r="D1768" s="95"/>
      <c r="E1768" s="95"/>
      <c r="F1768" s="95"/>
      <c r="H1768" s="96" t="s">
        <v>1413</v>
      </c>
      <c r="I1768" s="97"/>
      <c r="J1768" s="97"/>
      <c r="L1768" s="98" t="s">
        <v>797</v>
      </c>
      <c r="M1768" s="99"/>
      <c r="N1768" s="99"/>
      <c r="R1768" s="100" t="s">
        <v>1365</v>
      </c>
    </row>
    <row r="1769" customFormat="false" ht="15" hidden="false" customHeight="false" outlineLevel="0" collapsed="false">
      <c r="B1769" s="81" t="s">
        <v>116</v>
      </c>
      <c r="C1769" s="81" t="s">
        <v>117</v>
      </c>
      <c r="D1769" s="81" t="s">
        <v>118</v>
      </c>
      <c r="E1769" s="81" t="s">
        <v>119</v>
      </c>
      <c r="F1769" s="81" t="s">
        <v>120</v>
      </c>
      <c r="H1769" s="101" t="s">
        <v>116</v>
      </c>
      <c r="I1769" s="101" t="s">
        <v>119</v>
      </c>
      <c r="J1769" s="101" t="s">
        <v>120</v>
      </c>
      <c r="L1769" s="102" t="s">
        <v>116</v>
      </c>
      <c r="M1769" s="102" t="s">
        <v>119</v>
      </c>
      <c r="N1769" s="102" t="s">
        <v>120</v>
      </c>
      <c r="R1769" s="103" t="s">
        <v>765</v>
      </c>
    </row>
    <row r="1770" customFormat="false" ht="15" hidden="false" customHeight="false" outlineLevel="0" collapsed="false">
      <c r="A1770" s="104" t="s">
        <v>122</v>
      </c>
      <c r="B1770" s="105" t="n">
        <v>5.5</v>
      </c>
      <c r="C1770" s="106" t="n">
        <f aca="false">$N$1767-$L$1767+1</f>
        <v>30</v>
      </c>
      <c r="D1770" s="107" t="n">
        <v>3.68919</v>
      </c>
      <c r="E1770" s="108" t="n">
        <v>3.85</v>
      </c>
      <c r="F1770" s="109" t="n">
        <f aca="false">ROUND(B1770*E1770,2)</f>
        <v>21.18</v>
      </c>
      <c r="H1770" s="110" t="n">
        <v>5.5</v>
      </c>
      <c r="I1770" s="111" t="n">
        <v>3.85</v>
      </c>
      <c r="J1770" s="112" t="n">
        <f aca="false">ROUND(H1770*I1770,2)</f>
        <v>21.18</v>
      </c>
      <c r="L1770" s="136"/>
      <c r="M1770" s="136"/>
      <c r="N1770" s="136"/>
      <c r="R1770" s="116" t="s">
        <v>1366</v>
      </c>
    </row>
    <row r="1771" customFormat="false" ht="15" hidden="false" customHeight="false" outlineLevel="0" collapsed="false">
      <c r="A1771" s="104" t="s">
        <v>124</v>
      </c>
      <c r="B1771" s="105" t="n">
        <v>5.5</v>
      </c>
      <c r="C1771" s="106" t="n">
        <f aca="false">$N$1767-$L$1767+1</f>
        <v>30</v>
      </c>
      <c r="D1771" s="107" t="n">
        <v>1.31928</v>
      </c>
      <c r="E1771" s="108" t="n">
        <v>1.33</v>
      </c>
      <c r="F1771" s="109" t="n">
        <f aca="false">ROUND(B1771*E1771,2)</f>
        <v>7.32</v>
      </c>
      <c r="H1771" s="110" t="n">
        <v>5.5</v>
      </c>
      <c r="I1771" s="111" t="n">
        <v>1.33</v>
      </c>
      <c r="J1771" s="112" t="n">
        <f aca="false">ROUND(H1771*I1771,2)</f>
        <v>7.32</v>
      </c>
      <c r="L1771" s="136"/>
      <c r="M1771" s="136"/>
      <c r="N1771" s="136"/>
    </row>
    <row r="1772" customFormat="false" ht="15" hidden="false" customHeight="false" outlineLevel="0" collapsed="false">
      <c r="A1772" s="104" t="s">
        <v>615</v>
      </c>
      <c r="B1772" s="105" t="n">
        <f aca="false">IF($P$1772&lt;&gt;"",ROUND(AA1772*(($AB$1772/(1-$P$1772))-28.49)/34.0521,2),IF('Resumen 2.0TD'!$D$3="OPTIMIZAR",AA1772,AA1772))</f>
        <v>76.518</v>
      </c>
      <c r="C1772" s="118"/>
      <c r="D1772" s="107" t="n">
        <v>0.111171</v>
      </c>
      <c r="E1772" s="108" t="n">
        <v>0.13788</v>
      </c>
      <c r="F1772" s="109" t="n">
        <f aca="false">ROUND(B1772*E1772,2)</f>
        <v>10.55</v>
      </c>
      <c r="H1772" s="110" t="n">
        <v>104.922</v>
      </c>
      <c r="I1772" s="111" t="n">
        <v>0.13788</v>
      </c>
      <c r="J1772" s="112" t="n">
        <f aca="false">ROUND(H1772*I1772,2)</f>
        <v>14.47</v>
      </c>
      <c r="L1772" s="136"/>
      <c r="M1772" s="136"/>
      <c r="N1772" s="136"/>
      <c r="O1772" s="119" t="s">
        <v>616</v>
      </c>
      <c r="P1772" s="79"/>
      <c r="AA1772" s="0" t="n">
        <v>76.518</v>
      </c>
      <c r="AB1772" s="0" t="n">
        <f aca="false">B1770*D1770+B1771*D1771+AA1772*D1772+AA1773*D1773+AA1774*D1774</f>
        <v>55.002375699</v>
      </c>
    </row>
    <row r="1773" customFormat="false" ht="15" hidden="false" customHeight="false" outlineLevel="0" collapsed="false">
      <c r="A1773" s="104" t="s">
        <v>618</v>
      </c>
      <c r="B1773" s="105" t="n">
        <f aca="false">IF($P$1772&lt;&gt;"",ROUND(AA1773*(($AB$1772/(1-$P$1772))-28.49)/34.0521,2),IF('Resumen 2.0TD'!$D$3="OPTIMIZAR",AA1773,AA1773))</f>
        <v>71.62</v>
      </c>
      <c r="C1773" s="118"/>
      <c r="D1773" s="107" t="n">
        <v>0.111171</v>
      </c>
      <c r="E1773" s="108" t="n">
        <v>0.13788</v>
      </c>
      <c r="F1773" s="109" t="n">
        <f aca="false">ROUND(B1773*E1773,2)</f>
        <v>9.87</v>
      </c>
      <c r="H1773" s="110" t="n">
        <v>82.978</v>
      </c>
      <c r="I1773" s="111" t="n">
        <v>0.13788</v>
      </c>
      <c r="J1773" s="112" t="n">
        <f aca="false">ROUND(H1773*I1773,2)</f>
        <v>11.44</v>
      </c>
      <c r="L1773" s="136"/>
      <c r="M1773" s="136"/>
      <c r="N1773" s="136"/>
      <c r="O1773" s="120" t="s">
        <v>619</v>
      </c>
      <c r="R1773" s="117" t="s">
        <v>620</v>
      </c>
      <c r="AA1773" s="0" t="n">
        <v>71.62</v>
      </c>
    </row>
    <row r="1774" customFormat="false" ht="15" hidden="false" customHeight="false" outlineLevel="0" collapsed="false">
      <c r="A1774" s="104" t="s">
        <v>621</v>
      </c>
      <c r="B1774" s="105" t="n">
        <f aca="false">IF($P$1772&lt;&gt;"",ROUND(AA1774*(($AB$1772/(1-$P$1772))-28.49)/34.0521,2),IF('Resumen 2.0TD'!$D$3="OPTIMIZAR",AA1774,AA1774))</f>
        <v>98.831</v>
      </c>
      <c r="C1774" s="118"/>
      <c r="D1774" s="107" t="n">
        <v>0.111171</v>
      </c>
      <c r="E1774" s="108" t="n">
        <v>0.13788</v>
      </c>
      <c r="F1774" s="109" t="n">
        <f aca="false">ROUND(B1774*E1774,2)</f>
        <v>13.63</v>
      </c>
      <c r="H1774" s="110" t="n">
        <v>120.424</v>
      </c>
      <c r="I1774" s="111" t="n">
        <v>0.13788</v>
      </c>
      <c r="J1774" s="112" t="n">
        <f aca="false">ROUND(H1774*I1774,2)</f>
        <v>16.6</v>
      </c>
      <c r="L1774" s="136"/>
      <c r="M1774" s="136"/>
      <c r="N1774" s="136"/>
      <c r="O1774" s="120" t="s">
        <v>622</v>
      </c>
      <c r="AA1774" s="0" t="n">
        <v>98.831</v>
      </c>
    </row>
    <row r="1775" customFormat="false" ht="15" hidden="false" customHeight="false" outlineLevel="0" collapsed="false">
      <c r="A1775" s="104" t="s">
        <v>139</v>
      </c>
      <c r="B1775" s="105" t="n">
        <v>1</v>
      </c>
      <c r="C1775" s="106" t="n">
        <f aca="false">$N$1767-$L$1767+1</f>
        <v>30</v>
      </c>
      <c r="D1775" s="107" t="n">
        <v>0.7989</v>
      </c>
      <c r="E1775" s="108" t="n">
        <v>3</v>
      </c>
      <c r="F1775" s="109" t="n">
        <f aca="false">ROUND(B1775*E1775,2)</f>
        <v>3</v>
      </c>
      <c r="H1775" s="110" t="n">
        <v>1</v>
      </c>
      <c r="I1775" s="111" t="n">
        <v>3</v>
      </c>
      <c r="J1775" s="112" t="n">
        <f aca="false">ROUND(H1775*I1775,2)</f>
        <v>3</v>
      </c>
      <c r="L1775" s="136"/>
      <c r="M1775" s="136"/>
      <c r="N1775" s="136"/>
    </row>
    <row r="1776" customFormat="false" ht="15" hidden="false" customHeight="false" outlineLevel="0" collapsed="false">
      <c r="A1776" s="104" t="s">
        <v>140</v>
      </c>
      <c r="B1776" s="105" t="n">
        <v>30</v>
      </c>
      <c r="C1776" s="106" t="n">
        <f aca="false">$N$1767-$L$1767+1</f>
        <v>30</v>
      </c>
      <c r="D1776" s="107" t="n">
        <v>0.5736</v>
      </c>
      <c r="E1776" s="108" t="n">
        <v>0.01274</v>
      </c>
      <c r="F1776" s="109" t="n">
        <f aca="false">ROUND(B1776*E1776,2)</f>
        <v>0.38</v>
      </c>
      <c r="H1776" s="110" t="n">
        <v>30</v>
      </c>
      <c r="I1776" s="111" t="n">
        <v>0.01274</v>
      </c>
      <c r="J1776" s="112" t="n">
        <f aca="false">ROUND(H1776*I1776,2)</f>
        <v>0.38</v>
      </c>
      <c r="L1776" s="136"/>
      <c r="M1776" s="136"/>
      <c r="N1776" s="136"/>
    </row>
    <row r="1777" customFormat="false" ht="15" hidden="false" customHeight="false" outlineLevel="0" collapsed="false">
      <c r="A1777" s="104" t="s">
        <v>141</v>
      </c>
      <c r="B1777" s="105" t="n">
        <v>3.21</v>
      </c>
      <c r="C1777" s="118"/>
      <c r="D1777" s="107" t="n">
        <v>0.02671</v>
      </c>
      <c r="E1777" s="108" t="n">
        <v>1</v>
      </c>
      <c r="F1777" s="109" t="n">
        <f aca="false">ROUND(B1777*E1777,2)</f>
        <v>3.21</v>
      </c>
      <c r="H1777" s="110" t="n">
        <v>3.64</v>
      </c>
      <c r="I1777" s="111" t="n">
        <v>1</v>
      </c>
      <c r="J1777" s="112" t="n">
        <f aca="false">ROUND(H1777*I1777,2)</f>
        <v>3.64</v>
      </c>
      <c r="L1777" s="136"/>
      <c r="M1777" s="136"/>
      <c r="N1777" s="136"/>
    </row>
    <row r="1778" customFormat="false" ht="15" hidden="false" customHeight="false" outlineLevel="0" collapsed="false">
      <c r="A1778" s="121" t="s">
        <v>142</v>
      </c>
      <c r="F1778" s="122" t="n">
        <f aca="false">ROUND((SUM(F1770:F1777)-F1777)*1.1+F1777,2)</f>
        <v>75.73</v>
      </c>
      <c r="J1778" s="123" t="n">
        <f aca="false">ROUND(SUM(J1770:J1777),2)</f>
        <v>78.03</v>
      </c>
      <c r="N1778" s="137"/>
    </row>
    <row r="1779" customFormat="false" ht="15" hidden="false" customHeight="false" outlineLevel="0" collapsed="false">
      <c r="A1779" s="93" t="s">
        <v>143</v>
      </c>
      <c r="B1779" s="125" t="n">
        <f aca="false">IF((F1774+F1773+F1772+F1770+F1771)=0,"",((F1774+F1773+F1772+F1770+F1771)-$AB$1772)/(F1774+F1773+F1772+F1770+F1771))</f>
        <v>0.120665456450839</v>
      </c>
      <c r="D1779" s="126" t="str">
        <f aca="false">IF(B1779="","SIN PC",IF(B1779&gt;=0.3,"APROBAR",IF(B1779&gt;=0.2,"REVISAR","RECHAZAR")))</f>
        <v>RECHAZAR</v>
      </c>
      <c r="E1779" s="126"/>
      <c r="F1779" s="126"/>
      <c r="AD1779" s="0" t="n">
        <f aca="false">SUM(F1772:F1774)-34.0521</f>
        <v>-0.00209999999999866</v>
      </c>
    </row>
    <row r="1781" customFormat="false" ht="15" hidden="false" customHeight="false" outlineLevel="0" collapsed="false">
      <c r="A1781" s="89" t="s">
        <v>1414</v>
      </c>
      <c r="B1781" s="89"/>
      <c r="C1781" s="89"/>
      <c r="D1781" s="89"/>
      <c r="E1781" s="89"/>
      <c r="F1781" s="89"/>
      <c r="H1781" s="89" t="s">
        <v>1415</v>
      </c>
      <c r="I1781" s="89"/>
      <c r="J1781" s="89"/>
      <c r="K1781" s="89"/>
      <c r="L1781" s="90" t="n">
        <v>46113</v>
      </c>
      <c r="M1781" s="91" t="s">
        <v>608</v>
      </c>
      <c r="N1781" s="90" t="n">
        <v>46142</v>
      </c>
      <c r="R1781" s="92" t="s">
        <v>110</v>
      </c>
      <c r="S1781" s="92"/>
      <c r="T1781" s="92"/>
      <c r="U1781" s="92"/>
      <c r="V1781" s="92"/>
    </row>
    <row r="1782" customFormat="false" ht="15" hidden="false" customHeight="false" outlineLevel="0" collapsed="false">
      <c r="A1782" s="93" t="s">
        <v>111</v>
      </c>
      <c r="B1782" s="94" t="s">
        <v>112</v>
      </c>
      <c r="C1782" s="95"/>
      <c r="D1782" s="95"/>
      <c r="E1782" s="95"/>
      <c r="F1782" s="95"/>
      <c r="H1782" s="96" t="s">
        <v>1416</v>
      </c>
      <c r="I1782" s="97"/>
      <c r="J1782" s="97"/>
      <c r="L1782" s="98" t="s">
        <v>797</v>
      </c>
      <c r="M1782" s="99"/>
      <c r="N1782" s="99"/>
      <c r="R1782" s="100" t="s">
        <v>798</v>
      </c>
    </row>
    <row r="1783" customFormat="false" ht="15" hidden="false" customHeight="false" outlineLevel="0" collapsed="false">
      <c r="B1783" s="81" t="s">
        <v>116</v>
      </c>
      <c r="C1783" s="81" t="s">
        <v>117</v>
      </c>
      <c r="D1783" s="81" t="s">
        <v>118</v>
      </c>
      <c r="E1783" s="81" t="s">
        <v>119</v>
      </c>
      <c r="F1783" s="81" t="s">
        <v>120</v>
      </c>
      <c r="H1783" s="101" t="s">
        <v>116</v>
      </c>
      <c r="I1783" s="101" t="s">
        <v>119</v>
      </c>
      <c r="J1783" s="101" t="s">
        <v>120</v>
      </c>
      <c r="L1783" s="102" t="s">
        <v>116</v>
      </c>
      <c r="M1783" s="102" t="s">
        <v>119</v>
      </c>
      <c r="N1783" s="102" t="s">
        <v>120</v>
      </c>
      <c r="R1783" s="103" t="s">
        <v>765</v>
      </c>
    </row>
    <row r="1784" customFormat="false" ht="15" hidden="false" customHeight="false" outlineLevel="0" collapsed="false">
      <c r="A1784" s="104" t="s">
        <v>122</v>
      </c>
      <c r="B1784" s="105" t="n">
        <v>9.2</v>
      </c>
      <c r="C1784" s="106" t="n">
        <f aca="false">$N$1781-$L$1781+1</f>
        <v>30</v>
      </c>
      <c r="D1784" s="107" t="n">
        <v>3.68919</v>
      </c>
      <c r="E1784" s="108" t="n">
        <v>3.85</v>
      </c>
      <c r="F1784" s="109" t="n">
        <f aca="false">ROUND(B1784*E1784,2)</f>
        <v>35.42</v>
      </c>
      <c r="H1784" s="110" t="n">
        <v>9.2</v>
      </c>
      <c r="I1784" s="111" t="n">
        <v>3.85</v>
      </c>
      <c r="J1784" s="112" t="n">
        <f aca="false">ROUND(H1784*I1784,2)</f>
        <v>35.42</v>
      </c>
      <c r="L1784" s="136"/>
      <c r="M1784" s="136"/>
      <c r="N1784" s="136"/>
      <c r="R1784" s="116" t="s">
        <v>799</v>
      </c>
    </row>
    <row r="1785" customFormat="false" ht="15" hidden="false" customHeight="false" outlineLevel="0" collapsed="false">
      <c r="A1785" s="104" t="s">
        <v>124</v>
      </c>
      <c r="B1785" s="105" t="n">
        <v>9.2</v>
      </c>
      <c r="C1785" s="106" t="n">
        <f aca="false">$N$1781-$L$1781+1</f>
        <v>30</v>
      </c>
      <c r="D1785" s="107" t="n">
        <v>1.31928</v>
      </c>
      <c r="E1785" s="108" t="n">
        <v>1.33</v>
      </c>
      <c r="F1785" s="109" t="n">
        <f aca="false">ROUND(B1785*E1785,2)</f>
        <v>12.24</v>
      </c>
      <c r="H1785" s="110" t="n">
        <v>9.2</v>
      </c>
      <c r="I1785" s="111" t="n">
        <v>1.33</v>
      </c>
      <c r="J1785" s="112" t="n">
        <f aca="false">ROUND(H1785*I1785,2)</f>
        <v>12.24</v>
      </c>
      <c r="L1785" s="136"/>
      <c r="M1785" s="136"/>
      <c r="N1785" s="136"/>
    </row>
    <row r="1786" customFormat="false" ht="15" hidden="false" customHeight="false" outlineLevel="0" collapsed="false">
      <c r="A1786" s="104" t="s">
        <v>615</v>
      </c>
      <c r="B1786" s="105" t="n">
        <f aca="false">IF($P$1786&lt;&gt;"",ROUND(AA1786*(($AB$1786/(1-$P$1786))-47.656)/2.5115,2),IF('Resumen 2.0TD'!$D$3="OPTIMIZAR",AA1786,AA1786))</f>
        <v>2.366</v>
      </c>
      <c r="C1786" s="118"/>
      <c r="D1786" s="107" t="n">
        <v>0.111171</v>
      </c>
      <c r="E1786" s="108" t="n">
        <v>0.13788</v>
      </c>
      <c r="F1786" s="109" t="n">
        <f aca="false">ROUND(B1786*E1786,2)</f>
        <v>0.33</v>
      </c>
      <c r="H1786" s="110" t="n">
        <v>6.943</v>
      </c>
      <c r="I1786" s="111" t="n">
        <v>0.13788</v>
      </c>
      <c r="J1786" s="112" t="n">
        <f aca="false">ROUND(H1786*I1786,2)</f>
        <v>0.96</v>
      </c>
      <c r="L1786" s="136"/>
      <c r="M1786" s="136"/>
      <c r="N1786" s="136"/>
      <c r="O1786" s="119" t="s">
        <v>616</v>
      </c>
      <c r="P1786" s="79"/>
      <c r="AA1786" s="0" t="n">
        <v>2.366</v>
      </c>
      <c r="AB1786" s="0" t="n">
        <f aca="false">B1784*D1784+B1785*D1785+AA1786*D1786+AA1787*D1787+AA1788*D1788</f>
        <v>48.102903765</v>
      </c>
    </row>
    <row r="1787" customFormat="false" ht="15" hidden="false" customHeight="false" outlineLevel="0" collapsed="false">
      <c r="A1787" s="104" t="s">
        <v>618</v>
      </c>
      <c r="B1787" s="105" t="n">
        <f aca="false">IF($P$1786&lt;&gt;"",ROUND(AA1787*(($AB$1786/(1-$P$1786))-47.656)/2.5115,2),IF('Resumen 2.0TD'!$D$3="OPTIMIZAR",AA1787,AA1787))</f>
        <v>2.34</v>
      </c>
      <c r="C1787" s="118"/>
      <c r="D1787" s="107" t="n">
        <v>0.111171</v>
      </c>
      <c r="E1787" s="108" t="n">
        <v>0.13788</v>
      </c>
      <c r="F1787" s="109" t="n">
        <f aca="false">ROUND(B1787*E1787,2)</f>
        <v>0.32</v>
      </c>
      <c r="H1787" s="110" t="n">
        <v>2.317</v>
      </c>
      <c r="I1787" s="111" t="n">
        <v>0.13788</v>
      </c>
      <c r="J1787" s="112" t="n">
        <f aca="false">ROUND(H1787*I1787,2)</f>
        <v>0.32</v>
      </c>
      <c r="L1787" s="136"/>
      <c r="M1787" s="136"/>
      <c r="N1787" s="136"/>
      <c r="O1787" s="120" t="s">
        <v>619</v>
      </c>
      <c r="R1787" s="117" t="s">
        <v>620</v>
      </c>
      <c r="AA1787" s="0" t="n">
        <v>2.34</v>
      </c>
    </row>
    <row r="1788" customFormat="false" ht="15" hidden="false" customHeight="false" outlineLevel="0" collapsed="false">
      <c r="A1788" s="104" t="s">
        <v>621</v>
      </c>
      <c r="B1788" s="105" t="n">
        <f aca="false">IF($P$1786&lt;&gt;"",ROUND(AA1788*(($AB$1786/(1-$P$1786))-47.656)/2.5115,2),IF('Resumen 2.0TD'!$D$3="OPTIMIZAR",AA1788,AA1788))</f>
        <v>13.509</v>
      </c>
      <c r="C1788" s="118"/>
      <c r="D1788" s="107" t="n">
        <v>0.111171</v>
      </c>
      <c r="E1788" s="108" t="n">
        <v>0.13788</v>
      </c>
      <c r="F1788" s="109" t="n">
        <f aca="false">ROUND(B1788*E1788,2)</f>
        <v>1.86</v>
      </c>
      <c r="H1788" s="110" t="n">
        <v>16.696</v>
      </c>
      <c r="I1788" s="111" t="n">
        <v>0.13788</v>
      </c>
      <c r="J1788" s="112" t="n">
        <f aca="false">ROUND(H1788*I1788,2)</f>
        <v>2.3</v>
      </c>
      <c r="L1788" s="136"/>
      <c r="M1788" s="136"/>
      <c r="N1788" s="136"/>
      <c r="O1788" s="120" t="s">
        <v>622</v>
      </c>
      <c r="AA1788" s="0" t="n">
        <v>13.509</v>
      </c>
    </row>
    <row r="1789" customFormat="false" ht="15" hidden="false" customHeight="false" outlineLevel="0" collapsed="false">
      <c r="A1789" s="104" t="s">
        <v>139</v>
      </c>
      <c r="B1789" s="105" t="n">
        <v>1</v>
      </c>
      <c r="C1789" s="106" t="n">
        <f aca="false">$N$1781-$L$1781+1</f>
        <v>30</v>
      </c>
      <c r="D1789" s="107" t="n">
        <v>0.7989</v>
      </c>
      <c r="E1789" s="108" t="n">
        <v>3</v>
      </c>
      <c r="F1789" s="109" t="n">
        <f aca="false">ROUND(B1789*E1789,2)</f>
        <v>3</v>
      </c>
      <c r="H1789" s="110" t="n">
        <v>1</v>
      </c>
      <c r="I1789" s="111" t="n">
        <v>3</v>
      </c>
      <c r="J1789" s="112" t="n">
        <f aca="false">ROUND(H1789*I1789,2)</f>
        <v>3</v>
      </c>
      <c r="L1789" s="136"/>
      <c r="M1789" s="136"/>
      <c r="N1789" s="136"/>
    </row>
    <row r="1790" customFormat="false" ht="15" hidden="false" customHeight="false" outlineLevel="0" collapsed="false">
      <c r="A1790" s="104" t="s">
        <v>140</v>
      </c>
      <c r="B1790" s="105" t="n">
        <v>30</v>
      </c>
      <c r="C1790" s="106" t="n">
        <f aca="false">$N$1781-$L$1781+1</f>
        <v>30</v>
      </c>
      <c r="D1790" s="107" t="n">
        <v>0.5736</v>
      </c>
      <c r="E1790" s="108" t="n">
        <v>0.01274</v>
      </c>
      <c r="F1790" s="109" t="n">
        <f aca="false">ROUND(B1790*E1790,2)</f>
        <v>0.38</v>
      </c>
      <c r="H1790" s="110" t="n">
        <v>30</v>
      </c>
      <c r="I1790" s="111" t="n">
        <v>0.01274</v>
      </c>
      <c r="J1790" s="112" t="n">
        <f aca="false">ROUND(H1790*I1790,2)</f>
        <v>0.38</v>
      </c>
      <c r="L1790" s="136"/>
      <c r="M1790" s="136"/>
      <c r="N1790" s="136"/>
    </row>
    <row r="1791" customFormat="false" ht="15" hidden="false" customHeight="false" outlineLevel="0" collapsed="false">
      <c r="A1791" s="104" t="s">
        <v>141</v>
      </c>
      <c r="B1791" s="105" t="n">
        <v>2.57</v>
      </c>
      <c r="C1791" s="118"/>
      <c r="D1791" s="107" t="n">
        <v>0.27312</v>
      </c>
      <c r="E1791" s="108" t="n">
        <v>1</v>
      </c>
      <c r="F1791" s="109" t="n">
        <f aca="false">ROUND(B1791*E1791,2)</f>
        <v>2.57</v>
      </c>
      <c r="H1791" s="110" t="n">
        <v>2.63</v>
      </c>
      <c r="I1791" s="111" t="n">
        <v>1</v>
      </c>
      <c r="J1791" s="112" t="n">
        <f aca="false">ROUND(H1791*I1791,2)</f>
        <v>2.63</v>
      </c>
      <c r="L1791" s="136"/>
      <c r="M1791" s="136"/>
      <c r="N1791" s="136"/>
    </row>
    <row r="1792" customFormat="false" ht="15" hidden="false" customHeight="false" outlineLevel="0" collapsed="false">
      <c r="A1792" s="121" t="s">
        <v>142</v>
      </c>
      <c r="F1792" s="122" t="n">
        <f aca="false">ROUND((SUM(F1784:F1791)-F1791)*1.1+F1791,2)</f>
        <v>61.48</v>
      </c>
      <c r="J1792" s="123" t="n">
        <f aca="false">ROUND(SUM(J1784:J1791),2)</f>
        <v>57.25</v>
      </c>
      <c r="N1792" s="137"/>
    </row>
    <row r="1793" customFormat="false" ht="15" hidden="false" customHeight="false" outlineLevel="0" collapsed="false">
      <c r="A1793" s="93" t="s">
        <v>143</v>
      </c>
      <c r="B1793" s="125" t="n">
        <f aca="false">IF((F1788+F1787+F1786+F1784+F1785)=0,"",((F1788+F1787+F1786+F1784+F1785)-$AB$1786)/(F1788+F1787+F1786+F1784+F1785))</f>
        <v>0.0412018384492726</v>
      </c>
      <c r="D1793" s="126" t="str">
        <f aca="false">IF(B1793="","SIN PC",IF(B1793&gt;=0.3,"APROBAR",IF(B1793&gt;=0.2,"REVISAR","RECHAZAR")))</f>
        <v>RECHAZAR</v>
      </c>
      <c r="E1793" s="126"/>
      <c r="F1793" s="126"/>
      <c r="AD1793" s="0" t="n">
        <f aca="false">SUM(F1786:F1788)-2.5115</f>
        <v>-0.00149999999999961</v>
      </c>
    </row>
    <row r="1795" customFormat="false" ht="15" hidden="false" customHeight="false" outlineLevel="0" collapsed="false">
      <c r="A1795" s="89" t="s">
        <v>1417</v>
      </c>
      <c r="B1795" s="89"/>
      <c r="C1795" s="89"/>
      <c r="D1795" s="89"/>
      <c r="E1795" s="89"/>
      <c r="F1795" s="89"/>
      <c r="H1795" s="89" t="s">
        <v>1418</v>
      </c>
      <c r="I1795" s="89"/>
      <c r="J1795" s="89"/>
      <c r="K1795" s="89"/>
      <c r="L1795" s="90" t="n">
        <v>46113</v>
      </c>
      <c r="M1795" s="91" t="s">
        <v>608</v>
      </c>
      <c r="N1795" s="90" t="n">
        <v>46142</v>
      </c>
      <c r="R1795" s="92" t="s">
        <v>110</v>
      </c>
      <c r="S1795" s="92"/>
      <c r="T1795" s="92"/>
      <c r="U1795" s="92"/>
      <c r="V1795" s="92"/>
    </row>
    <row r="1796" customFormat="false" ht="15" hidden="false" customHeight="false" outlineLevel="0" collapsed="false">
      <c r="A1796" s="93" t="s">
        <v>111</v>
      </c>
      <c r="B1796" s="94" t="s">
        <v>112</v>
      </c>
      <c r="C1796" s="95"/>
      <c r="D1796" s="95"/>
      <c r="E1796" s="95"/>
      <c r="F1796" s="95"/>
      <c r="H1796" s="96" t="s">
        <v>1419</v>
      </c>
      <c r="I1796" s="97"/>
      <c r="J1796" s="97"/>
      <c r="L1796" s="98" t="s">
        <v>797</v>
      </c>
      <c r="M1796" s="99"/>
      <c r="N1796" s="99"/>
      <c r="R1796" s="100" t="s">
        <v>798</v>
      </c>
    </row>
    <row r="1797" customFormat="false" ht="15" hidden="false" customHeight="false" outlineLevel="0" collapsed="false">
      <c r="B1797" s="81" t="s">
        <v>116</v>
      </c>
      <c r="C1797" s="81" t="s">
        <v>117</v>
      </c>
      <c r="D1797" s="81" t="s">
        <v>118</v>
      </c>
      <c r="E1797" s="81" t="s">
        <v>119</v>
      </c>
      <c r="F1797" s="81" t="s">
        <v>120</v>
      </c>
      <c r="H1797" s="101" t="s">
        <v>116</v>
      </c>
      <c r="I1797" s="101" t="s">
        <v>119</v>
      </c>
      <c r="J1797" s="101" t="s">
        <v>120</v>
      </c>
      <c r="L1797" s="102" t="s">
        <v>116</v>
      </c>
      <c r="M1797" s="102" t="s">
        <v>119</v>
      </c>
      <c r="N1797" s="102" t="s">
        <v>120</v>
      </c>
      <c r="R1797" s="103" t="s">
        <v>765</v>
      </c>
    </row>
    <row r="1798" customFormat="false" ht="15" hidden="false" customHeight="false" outlineLevel="0" collapsed="false">
      <c r="A1798" s="104" t="s">
        <v>122</v>
      </c>
      <c r="B1798" s="105" t="n">
        <v>3.45</v>
      </c>
      <c r="C1798" s="106" t="n">
        <f aca="false">$N$1795-$L$1795+1</f>
        <v>30</v>
      </c>
      <c r="D1798" s="107" t="n">
        <v>3.68919</v>
      </c>
      <c r="E1798" s="108" t="n">
        <v>3.85</v>
      </c>
      <c r="F1798" s="109" t="n">
        <f aca="false">ROUND(B1798*E1798,2)</f>
        <v>13.28</v>
      </c>
      <c r="H1798" s="110" t="n">
        <v>3.45</v>
      </c>
      <c r="I1798" s="111" t="n">
        <v>3.85</v>
      </c>
      <c r="J1798" s="112" t="n">
        <f aca="false">ROUND(H1798*I1798,2)</f>
        <v>13.28</v>
      </c>
      <c r="L1798" s="136"/>
      <c r="M1798" s="136"/>
      <c r="N1798" s="136"/>
      <c r="R1798" s="116" t="s">
        <v>799</v>
      </c>
    </row>
    <row r="1799" customFormat="false" ht="15" hidden="false" customHeight="false" outlineLevel="0" collapsed="false">
      <c r="A1799" s="104" t="s">
        <v>124</v>
      </c>
      <c r="B1799" s="105" t="n">
        <v>3.45</v>
      </c>
      <c r="C1799" s="106" t="n">
        <f aca="false">$N$1795-$L$1795+1</f>
        <v>30</v>
      </c>
      <c r="D1799" s="107" t="n">
        <v>1.31928</v>
      </c>
      <c r="E1799" s="108" t="n">
        <v>1.33</v>
      </c>
      <c r="F1799" s="109" t="n">
        <f aca="false">ROUND(B1799*E1799,2)</f>
        <v>4.59</v>
      </c>
      <c r="H1799" s="110" t="n">
        <v>3.45</v>
      </c>
      <c r="I1799" s="111" t="n">
        <v>1.33</v>
      </c>
      <c r="J1799" s="112" t="n">
        <f aca="false">ROUND(H1799*I1799,2)</f>
        <v>4.59</v>
      </c>
      <c r="L1799" s="136"/>
      <c r="M1799" s="136"/>
      <c r="N1799" s="136"/>
    </row>
    <row r="1800" customFormat="false" ht="15" hidden="false" customHeight="false" outlineLevel="0" collapsed="false">
      <c r="A1800" s="104" t="s">
        <v>615</v>
      </c>
      <c r="B1800" s="105" t="n">
        <f aca="false">IF($P$1800&lt;&gt;"",ROUND(AA1800*(($AB$1800/(1-$P$1800))-17.871)/17.802,2),IF('Resumen 2.0TD'!$D$3="OPTIMIZAR",AA1800,AA1800))</f>
        <v>49.947</v>
      </c>
      <c r="C1800" s="118"/>
      <c r="D1800" s="107" t="n">
        <v>0.111171</v>
      </c>
      <c r="E1800" s="108" t="n">
        <v>0.13788</v>
      </c>
      <c r="F1800" s="109" t="n">
        <f aca="false">ROUND(B1800*E1800,2)</f>
        <v>6.89</v>
      </c>
      <c r="H1800" s="110" t="n">
        <v>81.08</v>
      </c>
      <c r="I1800" s="111" t="n">
        <v>0.13788</v>
      </c>
      <c r="J1800" s="112" t="n">
        <f aca="false">ROUND(H1800*I1800,2)</f>
        <v>11.18</v>
      </c>
      <c r="L1800" s="136"/>
      <c r="M1800" s="136"/>
      <c r="N1800" s="136"/>
      <c r="O1800" s="119" t="s">
        <v>616</v>
      </c>
      <c r="P1800" s="79"/>
      <c r="AA1800" s="0" t="n">
        <v>49.947</v>
      </c>
      <c r="AB1800" s="0" t="n">
        <f aca="false">B1798*D1798+B1799*D1799+AA1800*D1800+AA1801*D1801+AA1802*D1802</f>
        <v>31.632731652</v>
      </c>
    </row>
    <row r="1801" customFormat="false" ht="15" hidden="false" customHeight="false" outlineLevel="0" collapsed="false">
      <c r="A1801" s="104" t="s">
        <v>618</v>
      </c>
      <c r="B1801" s="105" t="n">
        <f aca="false">IF($P$1800&lt;&gt;"",ROUND(AA1801*(($AB$1800/(1-$P$1800))-17.871)/17.802,2),IF('Resumen 2.0TD'!$D$3="OPTIMIZAR",AA1801,AA1801))</f>
        <v>34.961</v>
      </c>
      <c r="C1801" s="118"/>
      <c r="D1801" s="107" t="n">
        <v>0.111171</v>
      </c>
      <c r="E1801" s="108" t="n">
        <v>0.13788</v>
      </c>
      <c r="F1801" s="109" t="n">
        <f aca="false">ROUND(B1801*E1801,2)</f>
        <v>4.82</v>
      </c>
      <c r="H1801" s="110" t="n">
        <v>46.491</v>
      </c>
      <c r="I1801" s="111" t="n">
        <v>0.13788</v>
      </c>
      <c r="J1801" s="112" t="n">
        <f aca="false">ROUND(H1801*I1801,2)</f>
        <v>6.41</v>
      </c>
      <c r="L1801" s="136"/>
      <c r="M1801" s="136"/>
      <c r="N1801" s="136"/>
      <c r="O1801" s="120" t="s">
        <v>619</v>
      </c>
      <c r="R1801" s="117" t="s">
        <v>620</v>
      </c>
      <c r="AA1801" s="0" t="n">
        <v>34.961</v>
      </c>
    </row>
    <row r="1802" customFormat="false" ht="15" hidden="false" customHeight="false" outlineLevel="0" collapsed="false">
      <c r="A1802" s="104" t="s">
        <v>621</v>
      </c>
      <c r="B1802" s="105" t="n">
        <f aca="false">IF($P$1800&lt;&gt;"",ROUND(AA1802*(($AB$1800/(1-$P$1800))-17.871)/17.802,2),IF('Resumen 2.0TD'!$D$3="OPTIMIZAR",AA1802,AA1802))</f>
        <v>44.204</v>
      </c>
      <c r="C1802" s="118"/>
      <c r="D1802" s="107" t="n">
        <v>0.111171</v>
      </c>
      <c r="E1802" s="108" t="n">
        <v>0.13788</v>
      </c>
      <c r="F1802" s="109" t="n">
        <f aca="false">ROUND(B1802*E1802,2)</f>
        <v>6.09</v>
      </c>
      <c r="H1802" s="110" t="n">
        <v>61.626</v>
      </c>
      <c r="I1802" s="111" t="n">
        <v>0.13788</v>
      </c>
      <c r="J1802" s="112" t="n">
        <f aca="false">ROUND(H1802*I1802,2)</f>
        <v>8.5</v>
      </c>
      <c r="L1802" s="136"/>
      <c r="M1802" s="136"/>
      <c r="N1802" s="136"/>
      <c r="O1802" s="120" t="s">
        <v>622</v>
      </c>
      <c r="AA1802" s="0" t="n">
        <v>44.204</v>
      </c>
    </row>
    <row r="1803" customFormat="false" ht="15" hidden="false" customHeight="false" outlineLevel="0" collapsed="false">
      <c r="A1803" s="104" t="s">
        <v>139</v>
      </c>
      <c r="B1803" s="105" t="n">
        <v>1</v>
      </c>
      <c r="C1803" s="106" t="n">
        <f aca="false">$N$1795-$L$1795+1</f>
        <v>30</v>
      </c>
      <c r="D1803" s="107" t="n">
        <v>0.7989</v>
      </c>
      <c r="E1803" s="108" t="n">
        <v>3</v>
      </c>
      <c r="F1803" s="109" t="n">
        <f aca="false">ROUND(B1803*E1803,2)</f>
        <v>3</v>
      </c>
      <c r="H1803" s="110" t="n">
        <v>1</v>
      </c>
      <c r="I1803" s="111" t="n">
        <v>3</v>
      </c>
      <c r="J1803" s="112" t="n">
        <f aca="false">ROUND(H1803*I1803,2)</f>
        <v>3</v>
      </c>
      <c r="L1803" s="136"/>
      <c r="M1803" s="136"/>
      <c r="N1803" s="136"/>
    </row>
    <row r="1804" customFormat="false" ht="15" hidden="false" customHeight="false" outlineLevel="0" collapsed="false">
      <c r="A1804" s="104" t="s">
        <v>140</v>
      </c>
      <c r="B1804" s="105" t="n">
        <v>30</v>
      </c>
      <c r="C1804" s="106" t="n">
        <f aca="false">$N$1795-$L$1795+1</f>
        <v>30</v>
      </c>
      <c r="D1804" s="107" t="n">
        <v>0.5736</v>
      </c>
      <c r="E1804" s="108" t="n">
        <v>0.01274</v>
      </c>
      <c r="F1804" s="109" t="n">
        <f aca="false">ROUND(B1804*E1804,2)</f>
        <v>0.38</v>
      </c>
      <c r="H1804" s="110" t="n">
        <v>30</v>
      </c>
      <c r="I1804" s="111" t="n">
        <v>0.01274</v>
      </c>
      <c r="J1804" s="112" t="n">
        <f aca="false">ROUND(H1804*I1804,2)</f>
        <v>0.38</v>
      </c>
      <c r="L1804" s="136"/>
      <c r="M1804" s="136"/>
      <c r="N1804" s="136"/>
    </row>
    <row r="1805" customFormat="false" ht="15" hidden="false" customHeight="false" outlineLevel="0" collapsed="false">
      <c r="A1805" s="104" t="s">
        <v>141</v>
      </c>
      <c r="B1805" s="105" t="n">
        <v>1.83</v>
      </c>
      <c r="C1805" s="118"/>
      <c r="D1805" s="107" t="n">
        <v>0.02671</v>
      </c>
      <c r="E1805" s="108" t="n">
        <v>1</v>
      </c>
      <c r="F1805" s="109" t="n">
        <f aca="false">ROUND(B1805*E1805,2)</f>
        <v>1.83</v>
      </c>
      <c r="H1805" s="110" t="n">
        <v>2.26</v>
      </c>
      <c r="I1805" s="111" t="n">
        <v>1</v>
      </c>
      <c r="J1805" s="112" t="n">
        <f aca="false">ROUND(H1805*I1805,2)</f>
        <v>2.26</v>
      </c>
      <c r="L1805" s="136"/>
      <c r="M1805" s="136"/>
      <c r="N1805" s="136"/>
    </row>
    <row r="1806" customFormat="false" ht="15" hidden="false" customHeight="false" outlineLevel="0" collapsed="false">
      <c r="A1806" s="121" t="s">
        <v>142</v>
      </c>
      <c r="F1806" s="122" t="n">
        <f aca="false">ROUND((SUM(F1798:F1805)-F1805)*1.1+F1805,2)</f>
        <v>44.79</v>
      </c>
      <c r="J1806" s="123" t="n">
        <f aca="false">ROUND(SUM(J1798:J1805),2)</f>
        <v>49.6</v>
      </c>
      <c r="N1806" s="137"/>
    </row>
    <row r="1807" customFormat="false" ht="15" hidden="false" customHeight="false" outlineLevel="0" collapsed="false">
      <c r="A1807" s="93" t="s">
        <v>143</v>
      </c>
      <c r="B1807" s="125" t="n">
        <f aca="false">IF((F1802+F1801+F1800+F1798+F1799)=0,"",((F1802+F1801+F1800+F1798+F1799)-$AB$1800)/(F1802+F1801+F1800+F1798+F1799))</f>
        <v>0.113183861732548</v>
      </c>
      <c r="D1807" s="126" t="str">
        <f aca="false">IF(B1807="","SIN PC",IF(B1807&gt;=0.3,"APROBAR",IF(B1807&gt;=0.2,"REVISAR","RECHAZAR")))</f>
        <v>RECHAZAR</v>
      </c>
      <c r="E1807" s="126"/>
      <c r="F1807" s="126"/>
      <c r="AD1807" s="0" t="n">
        <f aca="false">SUM(F1800:F1802)-17.802</f>
        <v>-0.00199999999999889</v>
      </c>
    </row>
    <row r="1809" customFormat="false" ht="15" hidden="false" customHeight="false" outlineLevel="0" collapsed="false">
      <c r="A1809" s="89" t="s">
        <v>1420</v>
      </c>
      <c r="B1809" s="89"/>
      <c r="C1809" s="89"/>
      <c r="D1809" s="89"/>
      <c r="E1809" s="89"/>
      <c r="F1809" s="89"/>
      <c r="H1809" s="89" t="s">
        <v>1421</v>
      </c>
      <c r="I1809" s="89"/>
      <c r="J1809" s="89"/>
      <c r="K1809" s="89"/>
      <c r="L1809" s="90" t="n">
        <v>46113</v>
      </c>
      <c r="M1809" s="91" t="s">
        <v>608</v>
      </c>
      <c r="N1809" s="90" t="n">
        <v>46142</v>
      </c>
      <c r="R1809" s="92" t="s">
        <v>110</v>
      </c>
      <c r="S1809" s="92"/>
      <c r="T1809" s="92"/>
      <c r="U1809" s="92"/>
      <c r="V1809" s="92"/>
    </row>
    <row r="1810" customFormat="false" ht="15" hidden="false" customHeight="false" outlineLevel="0" collapsed="false">
      <c r="A1810" s="93" t="s">
        <v>111</v>
      </c>
      <c r="B1810" s="94" t="s">
        <v>112</v>
      </c>
      <c r="C1810" s="95"/>
      <c r="D1810" s="95"/>
      <c r="E1810" s="95"/>
      <c r="F1810" s="95"/>
      <c r="H1810" s="96" t="s">
        <v>1422</v>
      </c>
      <c r="I1810" s="97"/>
      <c r="J1810" s="97"/>
      <c r="L1810" s="98" t="s">
        <v>797</v>
      </c>
      <c r="M1810" s="99"/>
      <c r="N1810" s="99"/>
      <c r="R1810" s="100" t="s">
        <v>798</v>
      </c>
    </row>
    <row r="1811" customFormat="false" ht="15" hidden="false" customHeight="false" outlineLevel="0" collapsed="false">
      <c r="B1811" s="81" t="s">
        <v>116</v>
      </c>
      <c r="C1811" s="81" t="s">
        <v>117</v>
      </c>
      <c r="D1811" s="81" t="s">
        <v>118</v>
      </c>
      <c r="E1811" s="81" t="s">
        <v>119</v>
      </c>
      <c r="F1811" s="81" t="s">
        <v>120</v>
      </c>
      <c r="H1811" s="101" t="s">
        <v>116</v>
      </c>
      <c r="I1811" s="101" t="s">
        <v>119</v>
      </c>
      <c r="J1811" s="101" t="s">
        <v>120</v>
      </c>
      <c r="L1811" s="102" t="s">
        <v>116</v>
      </c>
      <c r="M1811" s="102" t="s">
        <v>119</v>
      </c>
      <c r="N1811" s="102" t="s">
        <v>120</v>
      </c>
      <c r="R1811" s="103" t="s">
        <v>765</v>
      </c>
    </row>
    <row r="1812" customFormat="false" ht="15" hidden="false" customHeight="false" outlineLevel="0" collapsed="false">
      <c r="A1812" s="104" t="s">
        <v>122</v>
      </c>
      <c r="B1812" s="105" t="n">
        <v>9.9</v>
      </c>
      <c r="C1812" s="106" t="n">
        <f aca="false">$N$1809-$L$1809+1</f>
        <v>30</v>
      </c>
      <c r="D1812" s="107" t="n">
        <v>3.68919</v>
      </c>
      <c r="E1812" s="108" t="n">
        <v>2.2</v>
      </c>
      <c r="F1812" s="109" t="n">
        <f aca="false">ROUND(B1812*E1812,2)</f>
        <v>21.78</v>
      </c>
      <c r="H1812" s="110" t="n">
        <v>9.9</v>
      </c>
      <c r="I1812" s="111" t="n">
        <v>3.85</v>
      </c>
      <c r="J1812" s="112" t="n">
        <f aca="false">ROUND(H1812*I1812,2)</f>
        <v>38.12</v>
      </c>
      <c r="L1812" s="136"/>
      <c r="M1812" s="136"/>
      <c r="N1812" s="136"/>
      <c r="R1812" s="116" t="s">
        <v>799</v>
      </c>
    </row>
    <row r="1813" customFormat="false" ht="15" hidden="false" customHeight="false" outlineLevel="0" collapsed="false">
      <c r="A1813" s="104" t="s">
        <v>124</v>
      </c>
      <c r="B1813" s="105" t="n">
        <v>9.9</v>
      </c>
      <c r="C1813" s="106" t="n">
        <f aca="false">$N$1809-$L$1809+1</f>
        <v>30</v>
      </c>
      <c r="D1813" s="107" t="n">
        <v>1.31928</v>
      </c>
      <c r="E1813" s="108" t="n">
        <v>1.33</v>
      </c>
      <c r="F1813" s="109" t="n">
        <f aca="false">ROUND(B1813*E1813,2)</f>
        <v>13.17</v>
      </c>
      <c r="H1813" s="110" t="n">
        <v>9.9</v>
      </c>
      <c r="I1813" s="111" t="n">
        <v>1.33</v>
      </c>
      <c r="J1813" s="112" t="n">
        <f aca="false">ROUND(H1813*I1813,2)</f>
        <v>13.17</v>
      </c>
      <c r="L1813" s="136"/>
      <c r="M1813" s="136"/>
      <c r="N1813" s="136"/>
    </row>
    <row r="1814" customFormat="false" ht="15" hidden="false" customHeight="false" outlineLevel="0" collapsed="false">
      <c r="A1814" s="104" t="s">
        <v>615</v>
      </c>
      <c r="B1814" s="105" t="n">
        <f aca="false">IF($P$1814&lt;&gt;"",ROUND(AA1814*(($AB$1814/(1-$P$1814))-34.947)/51.1987,2),IF('Resumen 2.0TD'!$D$3="OPTIMIZAR",AA1814,AA1814))</f>
        <v>136.065</v>
      </c>
      <c r="C1814" s="118"/>
      <c r="D1814" s="107" t="n">
        <v>0.111171</v>
      </c>
      <c r="E1814" s="108" t="n">
        <v>0.129</v>
      </c>
      <c r="F1814" s="109" t="n">
        <f aca="false">ROUND(B1814*E1814,2)</f>
        <v>17.55</v>
      </c>
      <c r="H1814" s="110" t="n">
        <v>87.786</v>
      </c>
      <c r="I1814" s="111" t="n">
        <v>0.13788</v>
      </c>
      <c r="J1814" s="112" t="n">
        <f aca="false">ROUND(H1814*I1814,2)</f>
        <v>12.1</v>
      </c>
      <c r="L1814" s="136"/>
      <c r="M1814" s="136"/>
      <c r="N1814" s="136"/>
      <c r="O1814" s="119" t="s">
        <v>616</v>
      </c>
      <c r="P1814" s="79"/>
      <c r="AA1814" s="0" t="n">
        <v>136.065</v>
      </c>
      <c r="AB1814" s="0" t="n">
        <f aca="false">B1812*D1812+B1813*D1813+AA1814*D1814+AA1815*D1815+AA1816*D1816</f>
        <v>93.706400019</v>
      </c>
    </row>
    <row r="1815" customFormat="false" ht="15" hidden="false" customHeight="false" outlineLevel="0" collapsed="false">
      <c r="A1815" s="104" t="s">
        <v>618</v>
      </c>
      <c r="B1815" s="105" t="n">
        <f aca="false">IF($P$1814&lt;&gt;"",ROUND(AA1815*(($AB$1814/(1-$P$1814))-34.947)/51.1987,2),IF('Resumen 2.0TD'!$D$3="OPTIMIZAR",AA1815,AA1815))</f>
        <v>133.475</v>
      </c>
      <c r="C1815" s="118"/>
      <c r="D1815" s="107" t="n">
        <v>0.111171</v>
      </c>
      <c r="E1815" s="108" t="n">
        <v>0.129</v>
      </c>
      <c r="F1815" s="109" t="n">
        <f aca="false">ROUND(B1815*E1815,2)</f>
        <v>17.22</v>
      </c>
      <c r="H1815" s="110" t="n">
        <v>69.371</v>
      </c>
      <c r="I1815" s="111" t="n">
        <v>0.13788</v>
      </c>
      <c r="J1815" s="112" t="n">
        <f aca="false">ROUND(H1815*I1815,2)</f>
        <v>9.56</v>
      </c>
      <c r="L1815" s="136"/>
      <c r="M1815" s="136"/>
      <c r="N1815" s="136"/>
      <c r="O1815" s="120" t="s">
        <v>619</v>
      </c>
      <c r="R1815" s="117" t="s">
        <v>620</v>
      </c>
      <c r="AA1815" s="0" t="n">
        <v>133.475</v>
      </c>
    </row>
    <row r="1816" customFormat="false" ht="15" hidden="false" customHeight="false" outlineLevel="0" collapsed="false">
      <c r="A1816" s="104" t="s">
        <v>621</v>
      </c>
      <c r="B1816" s="105" t="n">
        <f aca="false">IF($P$1814&lt;&gt;"",ROUND(AA1816*(($AB$1814/(1-$P$1814))-34.947)/51.1987,2),IF('Resumen 2.0TD'!$D$3="OPTIMIZAR",AA1816,AA1816))</f>
        <v>127.349</v>
      </c>
      <c r="C1816" s="118"/>
      <c r="D1816" s="107" t="n">
        <v>0.111171</v>
      </c>
      <c r="E1816" s="108" t="n">
        <v>0.129</v>
      </c>
      <c r="F1816" s="109" t="n">
        <f aca="false">ROUND(B1816*E1816,2)</f>
        <v>16.43</v>
      </c>
      <c r="H1816" s="110" t="n">
        <v>112.245</v>
      </c>
      <c r="I1816" s="111" t="n">
        <v>0.13788</v>
      </c>
      <c r="J1816" s="112" t="n">
        <f aca="false">ROUND(H1816*I1816,2)</f>
        <v>15.48</v>
      </c>
      <c r="L1816" s="136"/>
      <c r="M1816" s="136"/>
      <c r="N1816" s="136"/>
      <c r="O1816" s="120" t="s">
        <v>622</v>
      </c>
      <c r="AA1816" s="0" t="n">
        <v>127.349</v>
      </c>
    </row>
    <row r="1817" customFormat="false" ht="15" hidden="false" customHeight="false" outlineLevel="0" collapsed="false">
      <c r="A1817" s="104" t="s">
        <v>139</v>
      </c>
      <c r="B1817" s="105" t="n">
        <v>1</v>
      </c>
      <c r="C1817" s="106" t="n">
        <f aca="false">$N$1809-$L$1809+1</f>
        <v>30</v>
      </c>
      <c r="D1817" s="107" t="n">
        <v>1.3414</v>
      </c>
      <c r="E1817" s="108" t="n">
        <v>3</v>
      </c>
      <c r="F1817" s="109" t="n">
        <f aca="false">ROUND(B1817*E1817,2)</f>
        <v>3</v>
      </c>
      <c r="H1817" s="110" t="n">
        <v>1</v>
      </c>
      <c r="I1817" s="111" t="n">
        <v>3</v>
      </c>
      <c r="J1817" s="112" t="n">
        <f aca="false">ROUND(H1817*I1817,2)</f>
        <v>3</v>
      </c>
      <c r="L1817" s="136"/>
      <c r="M1817" s="136"/>
      <c r="N1817" s="136"/>
    </row>
    <row r="1818" customFormat="false" ht="15" hidden="false" customHeight="false" outlineLevel="0" collapsed="false">
      <c r="A1818" s="104" t="s">
        <v>140</v>
      </c>
      <c r="B1818" s="105" t="n">
        <v>30</v>
      </c>
      <c r="C1818" s="106" t="n">
        <f aca="false">$N$1809-$L$1809+1</f>
        <v>30</v>
      </c>
      <c r="D1818" s="107" t="n">
        <v>0.5736</v>
      </c>
      <c r="E1818" s="108" t="n">
        <v>0.01274</v>
      </c>
      <c r="F1818" s="109" t="n">
        <f aca="false">ROUND(B1818*E1818,2)</f>
        <v>0.38</v>
      </c>
      <c r="H1818" s="110" t="n">
        <v>30</v>
      </c>
      <c r="I1818" s="111" t="n">
        <v>0.01274</v>
      </c>
      <c r="J1818" s="112" t="n">
        <f aca="false">ROUND(H1818*I1818,2)</f>
        <v>0.38</v>
      </c>
      <c r="L1818" s="136"/>
      <c r="M1818" s="136"/>
      <c r="N1818" s="136"/>
    </row>
    <row r="1819" customFormat="false" ht="15" hidden="false" customHeight="false" outlineLevel="0" collapsed="false">
      <c r="A1819" s="104" t="s">
        <v>141</v>
      </c>
      <c r="B1819" s="105" t="n">
        <v>5.43</v>
      </c>
      <c r="C1819" s="118"/>
      <c r="D1819" s="107" t="n">
        <v>0.27312</v>
      </c>
      <c r="E1819" s="108" t="n">
        <v>1</v>
      </c>
      <c r="F1819" s="109" t="n">
        <f aca="false">ROUND(B1819*E1819,2)</f>
        <v>5.43</v>
      </c>
      <c r="H1819" s="110" t="n">
        <v>4.53</v>
      </c>
      <c r="I1819" s="111" t="n">
        <v>1</v>
      </c>
      <c r="J1819" s="112" t="n">
        <f aca="false">ROUND(H1819*I1819,2)</f>
        <v>4.53</v>
      </c>
      <c r="L1819" s="136"/>
      <c r="M1819" s="136"/>
      <c r="N1819" s="136"/>
    </row>
    <row r="1820" customFormat="false" ht="15" hidden="false" customHeight="false" outlineLevel="0" collapsed="false">
      <c r="A1820" s="121" t="s">
        <v>142</v>
      </c>
      <c r="F1820" s="122" t="n">
        <f aca="false">ROUND((SUM(F1812:F1819)-F1819)*1.1+F1819,2)</f>
        <v>103.91</v>
      </c>
      <c r="J1820" s="123" t="n">
        <f aca="false">ROUND(SUM(J1812:J1819),2)</f>
        <v>96.34</v>
      </c>
      <c r="N1820" s="137"/>
    </row>
    <row r="1821" customFormat="false" ht="15" hidden="false" customHeight="false" outlineLevel="0" collapsed="false">
      <c r="A1821" s="93" t="s">
        <v>143</v>
      </c>
      <c r="B1821" s="125" t="n">
        <f aca="false">IF((F1816+F1815+F1814+F1812+F1813)=0,"",((F1816+F1815+F1814+F1812+F1813)-$AB$1814)/(F1816+F1815+F1814+F1812+F1813))</f>
        <v>-0.0877121302263493</v>
      </c>
      <c r="D1821" s="126" t="str">
        <f aca="false">IF(B1821="","SIN PC",IF(B1821&gt;=0.3,"APROBAR",IF(B1821&gt;=0.2,"REVISAR","RECHAZAR")))</f>
        <v>RECHAZAR</v>
      </c>
      <c r="E1821" s="126"/>
      <c r="F1821" s="126"/>
      <c r="AD1821" s="0" t="n">
        <f aca="false">SUM(F1814:F1816)-51.1987</f>
        <v>0.00129999999999342</v>
      </c>
    </row>
    <row r="1823" customFormat="false" ht="15" hidden="false" customHeight="false" outlineLevel="0" collapsed="false">
      <c r="A1823" s="89" t="s">
        <v>1423</v>
      </c>
      <c r="B1823" s="89"/>
      <c r="C1823" s="89"/>
      <c r="D1823" s="89"/>
      <c r="E1823" s="89"/>
      <c r="F1823" s="89"/>
      <c r="H1823" s="89" t="s">
        <v>1424</v>
      </c>
      <c r="I1823" s="89"/>
      <c r="J1823" s="89"/>
      <c r="K1823" s="89"/>
      <c r="L1823" s="90" t="n">
        <v>46113</v>
      </c>
      <c r="M1823" s="91" t="s">
        <v>608</v>
      </c>
      <c r="N1823" s="90" t="n">
        <v>46142</v>
      </c>
      <c r="R1823" s="92" t="s">
        <v>110</v>
      </c>
      <c r="S1823" s="92"/>
      <c r="T1823" s="92"/>
      <c r="U1823" s="92"/>
      <c r="V1823" s="92"/>
    </row>
    <row r="1824" customFormat="false" ht="15" hidden="false" customHeight="false" outlineLevel="0" collapsed="false">
      <c r="A1824" s="93" t="s">
        <v>111</v>
      </c>
      <c r="B1824" s="94" t="s">
        <v>112</v>
      </c>
      <c r="C1824" s="95"/>
      <c r="D1824" s="95"/>
      <c r="E1824" s="95"/>
      <c r="F1824" s="95"/>
      <c r="H1824" s="96" t="s">
        <v>1425</v>
      </c>
      <c r="I1824" s="97"/>
      <c r="J1824" s="97"/>
      <c r="L1824" s="98" t="s">
        <v>797</v>
      </c>
      <c r="M1824" s="99"/>
      <c r="N1824" s="99"/>
      <c r="R1824" s="100" t="s">
        <v>798</v>
      </c>
    </row>
    <row r="1825" customFormat="false" ht="15" hidden="false" customHeight="false" outlineLevel="0" collapsed="false">
      <c r="B1825" s="81" t="s">
        <v>116</v>
      </c>
      <c r="C1825" s="81" t="s">
        <v>117</v>
      </c>
      <c r="D1825" s="81" t="s">
        <v>118</v>
      </c>
      <c r="E1825" s="81" t="s">
        <v>119</v>
      </c>
      <c r="F1825" s="81" t="s">
        <v>120</v>
      </c>
      <c r="H1825" s="101" t="s">
        <v>116</v>
      </c>
      <c r="I1825" s="101" t="s">
        <v>119</v>
      </c>
      <c r="J1825" s="101" t="s">
        <v>120</v>
      </c>
      <c r="L1825" s="102" t="s">
        <v>116</v>
      </c>
      <c r="M1825" s="102" t="s">
        <v>119</v>
      </c>
      <c r="N1825" s="102" t="s">
        <v>120</v>
      </c>
      <c r="R1825" s="103" t="s">
        <v>765</v>
      </c>
    </row>
    <row r="1826" customFormat="false" ht="15" hidden="false" customHeight="false" outlineLevel="0" collapsed="false">
      <c r="A1826" s="104" t="s">
        <v>122</v>
      </c>
      <c r="B1826" s="105" t="n">
        <v>5.75</v>
      </c>
      <c r="C1826" s="106" t="n">
        <f aca="false">$N$1823-$L$1823+1</f>
        <v>30</v>
      </c>
      <c r="D1826" s="107" t="n">
        <v>3.68919</v>
      </c>
      <c r="E1826" s="108" t="n">
        <v>3.85</v>
      </c>
      <c r="F1826" s="109" t="n">
        <f aca="false">ROUND(B1826*E1826,2)</f>
        <v>22.14</v>
      </c>
      <c r="H1826" s="110" t="n">
        <v>5.75</v>
      </c>
      <c r="I1826" s="111" t="n">
        <v>3.85</v>
      </c>
      <c r="J1826" s="112" t="n">
        <f aca="false">ROUND(H1826*I1826,2)</f>
        <v>22.14</v>
      </c>
      <c r="L1826" s="136"/>
      <c r="M1826" s="136"/>
      <c r="N1826" s="136"/>
      <c r="R1826" s="116" t="s">
        <v>799</v>
      </c>
    </row>
    <row r="1827" customFormat="false" ht="15" hidden="false" customHeight="false" outlineLevel="0" collapsed="false">
      <c r="A1827" s="104" t="s">
        <v>124</v>
      </c>
      <c r="B1827" s="105" t="n">
        <v>5.75</v>
      </c>
      <c r="C1827" s="106" t="n">
        <f aca="false">$N$1823-$L$1823+1</f>
        <v>30</v>
      </c>
      <c r="D1827" s="107" t="n">
        <v>1.31928</v>
      </c>
      <c r="E1827" s="108" t="n">
        <v>1.33</v>
      </c>
      <c r="F1827" s="109" t="n">
        <f aca="false">ROUND(B1827*E1827,2)</f>
        <v>7.65</v>
      </c>
      <c r="H1827" s="110" t="n">
        <v>5.75</v>
      </c>
      <c r="I1827" s="111" t="n">
        <v>1.33</v>
      </c>
      <c r="J1827" s="112" t="n">
        <f aca="false">ROUND(H1827*I1827,2)</f>
        <v>7.65</v>
      </c>
      <c r="L1827" s="136"/>
      <c r="M1827" s="136"/>
      <c r="N1827" s="136"/>
    </row>
    <row r="1828" customFormat="false" ht="15" hidden="false" customHeight="false" outlineLevel="0" collapsed="false">
      <c r="A1828" s="104" t="s">
        <v>615</v>
      </c>
      <c r="B1828" s="105" t="n">
        <f aca="false">IF($P$1828&lt;&gt;"",ROUND(AA1828*(($AB$1828/(1-$P$1828))-29.785)/78.3584,2),IF('Resumen 2.0TD'!$D$3="OPTIMIZAR",AA1828,AA1828))</f>
        <v>117.05</v>
      </c>
      <c r="C1828" s="118"/>
      <c r="D1828" s="107" t="n">
        <v>0.111171</v>
      </c>
      <c r="E1828" s="108" t="n">
        <v>0.13788</v>
      </c>
      <c r="F1828" s="109" t="n">
        <f aca="false">ROUND(B1828*E1828,2)</f>
        <v>16.14</v>
      </c>
      <c r="H1828" s="110" t="n">
        <v>151.433</v>
      </c>
      <c r="I1828" s="111" t="n">
        <v>0.13788</v>
      </c>
      <c r="J1828" s="112" t="n">
        <f aca="false">ROUND(H1828*I1828,2)</f>
        <v>20.88</v>
      </c>
      <c r="L1828" s="136"/>
      <c r="M1828" s="136"/>
      <c r="N1828" s="136"/>
      <c r="O1828" s="119" t="s">
        <v>616</v>
      </c>
      <c r="P1828" s="79"/>
      <c r="AA1828" s="0" t="n">
        <v>117.05</v>
      </c>
      <c r="AB1828" s="0" t="n">
        <f aca="false">B1826*D1826+B1827*D1827+AA1828*D1828+AA1829*D1829+AA1830*D1830</f>
        <v>91.978182339</v>
      </c>
    </row>
    <row r="1829" customFormat="false" ht="15" hidden="false" customHeight="false" outlineLevel="0" collapsed="false">
      <c r="A1829" s="104" t="s">
        <v>618</v>
      </c>
      <c r="B1829" s="105" t="n">
        <f aca="false">IF($P$1828&lt;&gt;"",ROUND(AA1829*(($AB$1828/(1-$P$1828))-29.785)/78.3584,2),IF('Resumen 2.0TD'!$D$3="OPTIMIZAR",AA1829,AA1829))</f>
        <v>120.126</v>
      </c>
      <c r="C1829" s="118"/>
      <c r="D1829" s="107" t="n">
        <v>0.111171</v>
      </c>
      <c r="E1829" s="108" t="n">
        <v>0.13788</v>
      </c>
      <c r="F1829" s="109" t="n">
        <f aca="false">ROUND(B1829*E1829,2)</f>
        <v>16.56</v>
      </c>
      <c r="H1829" s="110" t="n">
        <v>128.899</v>
      </c>
      <c r="I1829" s="111" t="n">
        <v>0.13788</v>
      </c>
      <c r="J1829" s="112" t="n">
        <f aca="false">ROUND(H1829*I1829,2)</f>
        <v>17.77</v>
      </c>
      <c r="L1829" s="136"/>
      <c r="M1829" s="136"/>
      <c r="N1829" s="136"/>
      <c r="O1829" s="120" t="s">
        <v>619</v>
      </c>
      <c r="R1829" s="117" t="s">
        <v>620</v>
      </c>
      <c r="AA1829" s="0" t="n">
        <v>120.126</v>
      </c>
    </row>
    <row r="1830" customFormat="false" ht="15" hidden="false" customHeight="false" outlineLevel="0" collapsed="false">
      <c r="A1830" s="104" t="s">
        <v>621</v>
      </c>
      <c r="B1830" s="105" t="n">
        <f aca="false">IF($P$1828&lt;&gt;"",ROUND(AA1830*(($AB$1828/(1-$P$1828))-29.785)/78.3584,2),IF('Resumen 2.0TD'!$D$3="OPTIMIZAR",AA1830,AA1830))</f>
        <v>331.133</v>
      </c>
      <c r="C1830" s="118"/>
      <c r="D1830" s="107" t="n">
        <v>0.111171</v>
      </c>
      <c r="E1830" s="108" t="n">
        <v>0.13788</v>
      </c>
      <c r="F1830" s="109" t="n">
        <f aca="false">ROUND(B1830*E1830,2)</f>
        <v>45.66</v>
      </c>
      <c r="H1830" s="110" t="n">
        <v>252.331</v>
      </c>
      <c r="I1830" s="111" t="n">
        <v>0.13788</v>
      </c>
      <c r="J1830" s="112" t="n">
        <f aca="false">ROUND(H1830*I1830,2)</f>
        <v>34.79</v>
      </c>
      <c r="L1830" s="136"/>
      <c r="M1830" s="136"/>
      <c r="N1830" s="136"/>
      <c r="O1830" s="120" t="s">
        <v>622</v>
      </c>
      <c r="AA1830" s="0" t="n">
        <v>331.133</v>
      </c>
    </row>
    <row r="1831" customFormat="false" ht="15" hidden="false" customHeight="false" outlineLevel="0" collapsed="false">
      <c r="A1831" s="104" t="s">
        <v>139</v>
      </c>
      <c r="B1831" s="105" t="n">
        <v>1</v>
      </c>
      <c r="C1831" s="106" t="n">
        <f aca="false">$N$1823-$L$1823+1</f>
        <v>30</v>
      </c>
      <c r="D1831" s="107" t="n">
        <v>0.7989</v>
      </c>
      <c r="E1831" s="108" t="n">
        <v>3</v>
      </c>
      <c r="F1831" s="109" t="n">
        <f aca="false">ROUND(B1831*E1831,2)</f>
        <v>3</v>
      </c>
      <c r="H1831" s="110" t="n">
        <v>1</v>
      </c>
      <c r="I1831" s="111" t="n">
        <v>3</v>
      </c>
      <c r="J1831" s="112" t="n">
        <f aca="false">ROUND(H1831*I1831,2)</f>
        <v>3</v>
      </c>
      <c r="L1831" s="136"/>
      <c r="M1831" s="136"/>
      <c r="N1831" s="136"/>
    </row>
    <row r="1832" customFormat="false" ht="15" hidden="false" customHeight="false" outlineLevel="0" collapsed="false">
      <c r="A1832" s="104" t="s">
        <v>140</v>
      </c>
      <c r="B1832" s="105" t="n">
        <v>30</v>
      </c>
      <c r="C1832" s="106" t="n">
        <f aca="false">$N$1823-$L$1823+1</f>
        <v>30</v>
      </c>
      <c r="D1832" s="107" t="n">
        <v>0.5736</v>
      </c>
      <c r="E1832" s="108" t="n">
        <v>0.01274</v>
      </c>
      <c r="F1832" s="109" t="n">
        <f aca="false">ROUND(B1832*E1832,2)</f>
        <v>0.38</v>
      </c>
      <c r="H1832" s="110" t="n">
        <v>30</v>
      </c>
      <c r="I1832" s="111" t="n">
        <v>0.01274</v>
      </c>
      <c r="J1832" s="112" t="n">
        <f aca="false">ROUND(H1832*I1832,2)</f>
        <v>0.38</v>
      </c>
      <c r="L1832" s="136"/>
      <c r="M1832" s="136"/>
      <c r="N1832" s="136"/>
    </row>
    <row r="1833" customFormat="false" ht="15" hidden="false" customHeight="false" outlineLevel="0" collapsed="false">
      <c r="A1833" s="104" t="s">
        <v>141</v>
      </c>
      <c r="B1833" s="105" t="n">
        <v>5.54</v>
      </c>
      <c r="C1833" s="118"/>
      <c r="D1833" s="107" t="n">
        <v>0.27312</v>
      </c>
      <c r="E1833" s="108" t="n">
        <v>1</v>
      </c>
      <c r="F1833" s="109" t="n">
        <f aca="false">ROUND(B1833*E1833,2)</f>
        <v>5.54</v>
      </c>
      <c r="H1833" s="110" t="n">
        <v>5.28</v>
      </c>
      <c r="I1833" s="111" t="n">
        <v>1</v>
      </c>
      <c r="J1833" s="112" t="n">
        <f aca="false">ROUND(H1833*I1833,2)</f>
        <v>5.28</v>
      </c>
      <c r="L1833" s="136"/>
      <c r="M1833" s="136"/>
      <c r="N1833" s="136"/>
    </row>
    <row r="1834" customFormat="false" ht="15" hidden="false" customHeight="false" outlineLevel="0" collapsed="false">
      <c r="A1834" s="121" t="s">
        <v>142</v>
      </c>
      <c r="F1834" s="122" t="n">
        <f aca="false">ROUND((SUM(F1826:F1833)-F1833)*1.1+F1833,2)</f>
        <v>128.22</v>
      </c>
      <c r="J1834" s="123" t="n">
        <f aca="false">ROUND(SUM(J1826:J1833),2)</f>
        <v>111.89</v>
      </c>
      <c r="N1834" s="137"/>
    </row>
    <row r="1835" customFormat="false" ht="15" hidden="false" customHeight="false" outlineLevel="0" collapsed="false">
      <c r="A1835" s="93" t="s">
        <v>143</v>
      </c>
      <c r="B1835" s="125" t="n">
        <f aca="false">IF((F1830+F1829+F1828+F1826+F1827)=0,"",((F1830+F1829+F1828+F1826+F1827)-$AB$1828)/(F1830+F1829+F1828+F1826+F1827))</f>
        <v>0.149531369958391</v>
      </c>
      <c r="D1835" s="126" t="str">
        <f aca="false">IF(B1835="","SIN PC",IF(B1835&gt;=0.3,"APROBAR",IF(B1835&gt;=0.2,"REVISAR","RECHAZAR")))</f>
        <v>RECHAZAR</v>
      </c>
      <c r="E1835" s="126"/>
      <c r="F1835" s="126"/>
      <c r="AD1835" s="0" t="n">
        <f aca="false">SUM(F1828:F1830)-78.3584</f>
        <v>0.00159999999999627</v>
      </c>
    </row>
    <row r="1837" customFormat="false" ht="15" hidden="false" customHeight="false" outlineLevel="0" collapsed="false">
      <c r="A1837" s="89" t="s">
        <v>1426</v>
      </c>
      <c r="B1837" s="89"/>
      <c r="C1837" s="89"/>
      <c r="D1837" s="89"/>
      <c r="E1837" s="89"/>
      <c r="F1837" s="89"/>
      <c r="H1837" s="89" t="s">
        <v>1427</v>
      </c>
      <c r="I1837" s="89"/>
      <c r="J1837" s="89"/>
      <c r="K1837" s="89"/>
      <c r="L1837" s="90" t="n">
        <v>46113</v>
      </c>
      <c r="M1837" s="91" t="s">
        <v>608</v>
      </c>
      <c r="N1837" s="90" t="n">
        <v>46142</v>
      </c>
      <c r="R1837" s="92" t="s">
        <v>110</v>
      </c>
      <c r="S1837" s="92"/>
      <c r="T1837" s="92"/>
      <c r="U1837" s="92"/>
      <c r="V1837" s="92"/>
    </row>
    <row r="1838" customFormat="false" ht="15" hidden="false" customHeight="false" outlineLevel="0" collapsed="false">
      <c r="A1838" s="93" t="s">
        <v>111</v>
      </c>
      <c r="B1838" s="94" t="s">
        <v>112</v>
      </c>
      <c r="C1838" s="95"/>
      <c r="D1838" s="95"/>
      <c r="E1838" s="95"/>
      <c r="F1838" s="95"/>
      <c r="H1838" s="96" t="s">
        <v>1428</v>
      </c>
      <c r="I1838" s="97"/>
      <c r="J1838" s="97"/>
      <c r="L1838" s="98" t="s">
        <v>797</v>
      </c>
      <c r="M1838" s="99"/>
      <c r="N1838" s="99"/>
      <c r="R1838" s="100" t="s">
        <v>798</v>
      </c>
    </row>
    <row r="1839" customFormat="false" ht="15" hidden="false" customHeight="false" outlineLevel="0" collapsed="false">
      <c r="B1839" s="81" t="s">
        <v>116</v>
      </c>
      <c r="C1839" s="81" t="s">
        <v>117</v>
      </c>
      <c r="D1839" s="81" t="s">
        <v>118</v>
      </c>
      <c r="E1839" s="81" t="s">
        <v>119</v>
      </c>
      <c r="F1839" s="81" t="s">
        <v>120</v>
      </c>
      <c r="H1839" s="101" t="s">
        <v>116</v>
      </c>
      <c r="I1839" s="101" t="s">
        <v>119</v>
      </c>
      <c r="J1839" s="101" t="s">
        <v>120</v>
      </c>
      <c r="L1839" s="102" t="s">
        <v>116</v>
      </c>
      <c r="M1839" s="102" t="s">
        <v>119</v>
      </c>
      <c r="N1839" s="102" t="s">
        <v>120</v>
      </c>
      <c r="R1839" s="103" t="s">
        <v>765</v>
      </c>
    </row>
    <row r="1840" customFormat="false" ht="15" hidden="false" customHeight="false" outlineLevel="0" collapsed="false">
      <c r="A1840" s="104" t="s">
        <v>122</v>
      </c>
      <c r="B1840" s="105" t="n">
        <v>5.75</v>
      </c>
      <c r="C1840" s="106" t="n">
        <f aca="false">$N$1837-$L$1837+1</f>
        <v>30</v>
      </c>
      <c r="D1840" s="107" t="n">
        <v>3.68919</v>
      </c>
      <c r="E1840" s="108" t="n">
        <v>3.85</v>
      </c>
      <c r="F1840" s="109" t="n">
        <f aca="false">ROUND(B1840*E1840,2)</f>
        <v>22.14</v>
      </c>
      <c r="H1840" s="110" t="n">
        <v>5.75</v>
      </c>
      <c r="I1840" s="111" t="n">
        <v>3.85</v>
      </c>
      <c r="J1840" s="112" t="n">
        <f aca="false">ROUND(H1840*I1840,2)</f>
        <v>22.14</v>
      </c>
      <c r="L1840" s="136"/>
      <c r="M1840" s="136"/>
      <c r="N1840" s="136"/>
      <c r="R1840" s="116" t="s">
        <v>799</v>
      </c>
    </row>
    <row r="1841" customFormat="false" ht="15" hidden="false" customHeight="false" outlineLevel="0" collapsed="false">
      <c r="A1841" s="104" t="s">
        <v>124</v>
      </c>
      <c r="B1841" s="105" t="n">
        <v>5.75</v>
      </c>
      <c r="C1841" s="106" t="n">
        <f aca="false">$N$1837-$L$1837+1</f>
        <v>30</v>
      </c>
      <c r="D1841" s="107" t="n">
        <v>1.31928</v>
      </c>
      <c r="E1841" s="108" t="n">
        <v>1.33</v>
      </c>
      <c r="F1841" s="109" t="n">
        <f aca="false">ROUND(B1841*E1841,2)</f>
        <v>7.65</v>
      </c>
      <c r="H1841" s="110" t="n">
        <v>5.75</v>
      </c>
      <c r="I1841" s="111" t="n">
        <v>1.33</v>
      </c>
      <c r="J1841" s="112" t="n">
        <f aca="false">ROUND(H1841*I1841,2)</f>
        <v>7.65</v>
      </c>
      <c r="L1841" s="136"/>
      <c r="M1841" s="136"/>
      <c r="N1841" s="136"/>
    </row>
    <row r="1842" customFormat="false" ht="15" hidden="false" customHeight="false" outlineLevel="0" collapsed="false">
      <c r="A1842" s="104" t="s">
        <v>615</v>
      </c>
      <c r="B1842" s="105" t="n">
        <f aca="false">IF($P$1842&lt;&gt;"",ROUND(AA1842*(($AB$1842/(1-$P$1842))-29.785)/28.652,2),IF('Resumen 2.0TD'!$D$3="OPTIMIZAR",AA1842,AA1842))</f>
        <v>57.892</v>
      </c>
      <c r="C1842" s="118"/>
      <c r="D1842" s="107" t="n">
        <v>0.111171</v>
      </c>
      <c r="E1842" s="108" t="n">
        <v>0.13788</v>
      </c>
      <c r="F1842" s="109" t="n">
        <f aca="false">ROUND(B1842*E1842,2)</f>
        <v>7.98</v>
      </c>
      <c r="H1842" s="110" t="n">
        <v>101.952</v>
      </c>
      <c r="I1842" s="111" t="n">
        <v>0.13788</v>
      </c>
      <c r="J1842" s="112" t="n">
        <f aca="false">ROUND(H1842*I1842,2)</f>
        <v>14.06</v>
      </c>
      <c r="L1842" s="136"/>
      <c r="M1842" s="136"/>
      <c r="N1842" s="136"/>
      <c r="O1842" s="119" t="s">
        <v>616</v>
      </c>
      <c r="P1842" s="79"/>
      <c r="AA1842" s="0" t="n">
        <v>57.892</v>
      </c>
      <c r="AB1842" s="0" t="n">
        <f aca="false">B1840*D1840+B1841*D1841+AA1842*D1842+AA1843*D1843+AA1844*D1844</f>
        <v>51.900480984</v>
      </c>
    </row>
    <row r="1843" customFormat="false" ht="15" hidden="false" customHeight="false" outlineLevel="0" collapsed="false">
      <c r="A1843" s="104" t="s">
        <v>618</v>
      </c>
      <c r="B1843" s="105" t="n">
        <f aca="false">IF($P$1842&lt;&gt;"",ROUND(AA1843*(($AB$1842/(1-$P$1842))-29.785)/28.652,2),IF('Resumen 2.0TD'!$D$3="OPTIMIZAR",AA1843,AA1843))</f>
        <v>44.093</v>
      </c>
      <c r="C1843" s="118"/>
      <c r="D1843" s="107" t="n">
        <v>0.111171</v>
      </c>
      <c r="E1843" s="108" t="n">
        <v>0.13788</v>
      </c>
      <c r="F1843" s="109" t="n">
        <f aca="false">ROUND(B1843*E1843,2)</f>
        <v>6.08</v>
      </c>
      <c r="H1843" s="110" t="n">
        <v>87.668</v>
      </c>
      <c r="I1843" s="111" t="n">
        <v>0.13788</v>
      </c>
      <c r="J1843" s="112" t="n">
        <f aca="false">ROUND(H1843*I1843,2)</f>
        <v>12.09</v>
      </c>
      <c r="L1843" s="136"/>
      <c r="M1843" s="136"/>
      <c r="N1843" s="136"/>
      <c r="O1843" s="120" t="s">
        <v>619</v>
      </c>
      <c r="R1843" s="117" t="s">
        <v>620</v>
      </c>
      <c r="AA1843" s="0" t="n">
        <v>44.093</v>
      </c>
    </row>
    <row r="1844" customFormat="false" ht="15" hidden="false" customHeight="false" outlineLevel="0" collapsed="false">
      <c r="A1844" s="104" t="s">
        <v>621</v>
      </c>
      <c r="B1844" s="105" t="n">
        <f aca="false">IF($P$1842&lt;&gt;"",ROUND(AA1844*(($AB$1842/(1-$P$1842))-29.785)/28.652,2),IF('Resumen 2.0TD'!$D$3="OPTIMIZAR",AA1844,AA1844))</f>
        <v>105.819</v>
      </c>
      <c r="C1844" s="118"/>
      <c r="D1844" s="107" t="n">
        <v>0.111171</v>
      </c>
      <c r="E1844" s="108" t="n">
        <v>0.13788</v>
      </c>
      <c r="F1844" s="109" t="n">
        <f aca="false">ROUND(B1844*E1844,2)</f>
        <v>14.59</v>
      </c>
      <c r="H1844" s="110" t="n">
        <v>140.434</v>
      </c>
      <c r="I1844" s="111" t="n">
        <v>0.13788</v>
      </c>
      <c r="J1844" s="112" t="n">
        <f aca="false">ROUND(H1844*I1844,2)</f>
        <v>19.36</v>
      </c>
      <c r="L1844" s="136"/>
      <c r="M1844" s="136"/>
      <c r="N1844" s="136"/>
      <c r="O1844" s="120" t="s">
        <v>622</v>
      </c>
      <c r="AA1844" s="0" t="n">
        <v>105.819</v>
      </c>
    </row>
    <row r="1845" customFormat="false" ht="15" hidden="false" customHeight="false" outlineLevel="0" collapsed="false">
      <c r="A1845" s="104" t="s">
        <v>139</v>
      </c>
      <c r="B1845" s="105" t="n">
        <v>1</v>
      </c>
      <c r="C1845" s="106" t="n">
        <f aca="false">$N$1837-$L$1837+1</f>
        <v>30</v>
      </c>
      <c r="D1845" s="107" t="n">
        <v>0.7989</v>
      </c>
      <c r="E1845" s="108" t="n">
        <v>3</v>
      </c>
      <c r="F1845" s="109" t="n">
        <f aca="false">ROUND(B1845*E1845,2)</f>
        <v>3</v>
      </c>
      <c r="H1845" s="110" t="n">
        <v>1</v>
      </c>
      <c r="I1845" s="111" t="n">
        <v>3</v>
      </c>
      <c r="J1845" s="112" t="n">
        <f aca="false">ROUND(H1845*I1845,2)</f>
        <v>3</v>
      </c>
      <c r="L1845" s="136"/>
      <c r="M1845" s="136"/>
      <c r="N1845" s="136"/>
    </row>
    <row r="1846" customFormat="false" ht="15" hidden="false" customHeight="false" outlineLevel="0" collapsed="false">
      <c r="A1846" s="104" t="s">
        <v>140</v>
      </c>
      <c r="B1846" s="105" t="n">
        <v>30</v>
      </c>
      <c r="C1846" s="106" t="n">
        <f aca="false">$N$1837-$L$1837+1</f>
        <v>30</v>
      </c>
      <c r="D1846" s="107" t="n">
        <v>0.5736</v>
      </c>
      <c r="E1846" s="108" t="n">
        <v>0.01274</v>
      </c>
      <c r="F1846" s="109" t="n">
        <f aca="false">ROUND(B1846*E1846,2)</f>
        <v>0.38</v>
      </c>
      <c r="H1846" s="110" t="n">
        <v>30</v>
      </c>
      <c r="I1846" s="111" t="n">
        <v>0.01274</v>
      </c>
      <c r="J1846" s="112" t="n">
        <f aca="false">ROUND(H1846*I1846,2)</f>
        <v>0.38</v>
      </c>
      <c r="L1846" s="136"/>
      <c r="M1846" s="136"/>
      <c r="N1846" s="136"/>
    </row>
    <row r="1847" customFormat="false" ht="15" hidden="false" customHeight="false" outlineLevel="0" collapsed="false">
      <c r="A1847" s="104" t="s">
        <v>141</v>
      </c>
      <c r="B1847" s="105" t="n">
        <v>3</v>
      </c>
      <c r="C1847" s="118"/>
      <c r="D1847" s="107" t="n">
        <v>0.27312</v>
      </c>
      <c r="E1847" s="108" t="n">
        <v>1</v>
      </c>
      <c r="F1847" s="109" t="n">
        <f aca="false">ROUND(B1847*E1847,2)</f>
        <v>3</v>
      </c>
      <c r="H1847" s="110" t="n">
        <v>3.86</v>
      </c>
      <c r="I1847" s="111" t="n">
        <v>1</v>
      </c>
      <c r="J1847" s="112" t="n">
        <f aca="false">ROUND(H1847*I1847,2)</f>
        <v>3.86</v>
      </c>
      <c r="L1847" s="136"/>
      <c r="M1847" s="136"/>
      <c r="N1847" s="136"/>
    </row>
    <row r="1848" customFormat="false" ht="15" hidden="false" customHeight="false" outlineLevel="0" collapsed="false">
      <c r="A1848" s="121" t="s">
        <v>142</v>
      </c>
      <c r="F1848" s="122" t="n">
        <f aca="false">ROUND((SUM(F1840:F1847)-F1847)*1.1+F1847,2)</f>
        <v>71</v>
      </c>
      <c r="J1848" s="123" t="n">
        <f aca="false">ROUND(SUM(J1840:J1847),2)</f>
        <v>82.54</v>
      </c>
      <c r="N1848" s="137"/>
    </row>
    <row r="1849" customFormat="false" ht="15" hidden="false" customHeight="false" outlineLevel="0" collapsed="false">
      <c r="A1849" s="93" t="s">
        <v>143</v>
      </c>
      <c r="B1849" s="125" t="n">
        <f aca="false">IF((F1844+F1843+F1842+F1840+F1841)=0,"",((F1844+F1843+F1842+F1840+F1841)-$AB$1842)/(F1844+F1843+F1842+F1840+F1841))</f>
        <v>0.111901420533881</v>
      </c>
      <c r="D1849" s="126" t="str">
        <f aca="false">IF(B1849="","SIN PC",IF(B1849&gt;=0.3,"APROBAR",IF(B1849&gt;=0.2,"REVISAR","RECHAZAR")))</f>
        <v>RECHAZAR</v>
      </c>
      <c r="E1849" s="126"/>
      <c r="F1849" s="126"/>
      <c r="AD1849" s="0" t="n">
        <f aca="false">SUM(F1842:F1844)-28.652</f>
        <v>-0.00200000000000244</v>
      </c>
    </row>
    <row r="1851" customFormat="false" ht="15" hidden="false" customHeight="false" outlineLevel="0" collapsed="false">
      <c r="A1851" s="89" t="s">
        <v>1429</v>
      </c>
      <c r="B1851" s="89"/>
      <c r="C1851" s="89"/>
      <c r="D1851" s="89"/>
      <c r="E1851" s="89"/>
      <c r="F1851" s="89"/>
      <c r="H1851" s="89" t="s">
        <v>795</v>
      </c>
      <c r="I1851" s="89"/>
      <c r="J1851" s="89"/>
      <c r="K1851" s="89"/>
      <c r="L1851" s="90" t="n">
        <v>46113</v>
      </c>
      <c r="M1851" s="91" t="s">
        <v>608</v>
      </c>
      <c r="N1851" s="90" t="n">
        <v>46142</v>
      </c>
      <c r="R1851" s="92" t="s">
        <v>110</v>
      </c>
      <c r="S1851" s="92"/>
      <c r="T1851" s="92"/>
      <c r="U1851" s="92"/>
      <c r="V1851" s="92"/>
    </row>
    <row r="1852" customFormat="false" ht="15" hidden="false" customHeight="false" outlineLevel="0" collapsed="false">
      <c r="A1852" s="93" t="s">
        <v>111</v>
      </c>
      <c r="B1852" s="94" t="s">
        <v>112</v>
      </c>
      <c r="C1852" s="95"/>
      <c r="D1852" s="95"/>
      <c r="E1852" s="95"/>
      <c r="F1852" s="95"/>
      <c r="H1852" s="96" t="s">
        <v>796</v>
      </c>
      <c r="I1852" s="97"/>
      <c r="J1852" s="97"/>
      <c r="L1852" s="98" t="s">
        <v>797</v>
      </c>
      <c r="M1852" s="99"/>
      <c r="N1852" s="99"/>
      <c r="R1852" s="100" t="s">
        <v>798</v>
      </c>
    </row>
    <row r="1853" customFormat="false" ht="15" hidden="false" customHeight="false" outlineLevel="0" collapsed="false">
      <c r="B1853" s="81" t="s">
        <v>116</v>
      </c>
      <c r="C1853" s="81" t="s">
        <v>117</v>
      </c>
      <c r="D1853" s="81" t="s">
        <v>118</v>
      </c>
      <c r="E1853" s="81" t="s">
        <v>119</v>
      </c>
      <c r="F1853" s="81" t="s">
        <v>120</v>
      </c>
      <c r="H1853" s="101" t="s">
        <v>116</v>
      </c>
      <c r="I1853" s="101" t="s">
        <v>119</v>
      </c>
      <c r="J1853" s="101" t="s">
        <v>120</v>
      </c>
      <c r="L1853" s="102" t="s">
        <v>116</v>
      </c>
      <c r="M1853" s="102" t="s">
        <v>119</v>
      </c>
      <c r="N1853" s="102" t="s">
        <v>120</v>
      </c>
      <c r="R1853" s="103" t="s">
        <v>765</v>
      </c>
    </row>
    <row r="1854" customFormat="false" ht="15" hidden="false" customHeight="false" outlineLevel="0" collapsed="false">
      <c r="A1854" s="104" t="s">
        <v>122</v>
      </c>
      <c r="B1854" s="105" t="n">
        <v>5.5</v>
      </c>
      <c r="C1854" s="106" t="n">
        <f aca="false">$N$1851-$L$1851+1</f>
        <v>30</v>
      </c>
      <c r="D1854" s="107" t="n">
        <v>3.68919</v>
      </c>
      <c r="E1854" s="108" t="n">
        <v>3.85</v>
      </c>
      <c r="F1854" s="109" t="n">
        <f aca="false">ROUND(B1854*E1854,2)</f>
        <v>21.18</v>
      </c>
      <c r="H1854" s="110" t="n">
        <v>5.5</v>
      </c>
      <c r="I1854" s="111" t="n">
        <v>3.85</v>
      </c>
      <c r="J1854" s="112" t="n">
        <f aca="false">ROUND(H1854*I1854,2)</f>
        <v>21.18</v>
      </c>
      <c r="L1854" s="136"/>
      <c r="M1854" s="136"/>
      <c r="N1854" s="136"/>
      <c r="R1854" s="116" t="s">
        <v>799</v>
      </c>
    </row>
    <row r="1855" customFormat="false" ht="15" hidden="false" customHeight="false" outlineLevel="0" collapsed="false">
      <c r="A1855" s="104" t="s">
        <v>124</v>
      </c>
      <c r="B1855" s="105" t="n">
        <v>5.5</v>
      </c>
      <c r="C1855" s="106" t="n">
        <f aca="false">$N$1851-$L$1851+1</f>
        <v>30</v>
      </c>
      <c r="D1855" s="107" t="n">
        <v>1.31928</v>
      </c>
      <c r="E1855" s="108" t="n">
        <v>1.33</v>
      </c>
      <c r="F1855" s="109" t="n">
        <f aca="false">ROUND(B1855*E1855,2)</f>
        <v>7.32</v>
      </c>
      <c r="H1855" s="110" t="n">
        <v>5.5</v>
      </c>
      <c r="I1855" s="111" t="n">
        <v>1.33</v>
      </c>
      <c r="J1855" s="112" t="n">
        <f aca="false">ROUND(H1855*I1855,2)</f>
        <v>7.32</v>
      </c>
      <c r="L1855" s="136"/>
      <c r="M1855" s="136"/>
      <c r="N1855" s="136"/>
    </row>
    <row r="1856" customFormat="false" ht="15" hidden="false" customHeight="false" outlineLevel="0" collapsed="false">
      <c r="A1856" s="104" t="s">
        <v>615</v>
      </c>
      <c r="B1856" s="105" t="n">
        <f aca="false">IF($P$1856&lt;&gt;"",ROUND(AA1856*(($AB$1856/(1-$P$1856))-28.49)/19.4386,2),IF('Resumen 2.0TD'!$D$3="OPTIMIZAR",AA1856,AA1856))</f>
        <v>20.389</v>
      </c>
      <c r="C1856" s="118"/>
      <c r="D1856" s="107" t="n">
        <v>0.111171</v>
      </c>
      <c r="E1856" s="108" t="n">
        <v>0.13788</v>
      </c>
      <c r="F1856" s="109" t="n">
        <f aca="false">ROUND(B1856*E1856,2)</f>
        <v>2.81</v>
      </c>
      <c r="H1856" s="110" t="n">
        <v>28.824</v>
      </c>
      <c r="I1856" s="111" t="n">
        <v>0.13788</v>
      </c>
      <c r="J1856" s="112" t="n">
        <f aca="false">ROUND(H1856*I1856,2)</f>
        <v>3.97</v>
      </c>
      <c r="L1856" s="136"/>
      <c r="M1856" s="136"/>
      <c r="N1856" s="136"/>
      <c r="O1856" s="119" t="s">
        <v>616</v>
      </c>
      <c r="P1856" s="79"/>
      <c r="AA1856" s="0" t="n">
        <v>20.389</v>
      </c>
      <c r="AB1856" s="0" t="n">
        <f aca="false">B1854*D1854+B1855*D1855+AA1856*D1856+AA1857*D1857+AA1858*D1858</f>
        <v>43.219694922</v>
      </c>
    </row>
    <row r="1857" customFormat="false" ht="15" hidden="false" customHeight="false" outlineLevel="0" collapsed="false">
      <c r="A1857" s="104" t="s">
        <v>618</v>
      </c>
      <c r="B1857" s="105" t="n">
        <f aca="false">IF($P$1856&lt;&gt;"",ROUND(AA1857*(($AB$1856/(1-$P$1856))-28.49)/19.4386,2),IF('Resumen 2.0TD'!$D$3="OPTIMIZAR",AA1857,AA1857))</f>
        <v>20.816</v>
      </c>
      <c r="C1857" s="118"/>
      <c r="D1857" s="107" t="n">
        <v>0.111171</v>
      </c>
      <c r="E1857" s="108" t="n">
        <v>0.13788</v>
      </c>
      <c r="F1857" s="109" t="n">
        <f aca="false">ROUND(B1857*E1857,2)</f>
        <v>2.87</v>
      </c>
      <c r="H1857" s="110" t="n">
        <v>27.849</v>
      </c>
      <c r="I1857" s="111" t="n">
        <v>0.13788</v>
      </c>
      <c r="J1857" s="112" t="n">
        <f aca="false">ROUND(H1857*I1857,2)</f>
        <v>3.84</v>
      </c>
      <c r="L1857" s="136"/>
      <c r="M1857" s="136"/>
      <c r="N1857" s="136"/>
      <c r="O1857" s="120" t="s">
        <v>619</v>
      </c>
      <c r="R1857" s="117" t="s">
        <v>620</v>
      </c>
      <c r="AA1857" s="0" t="n">
        <v>20.816</v>
      </c>
    </row>
    <row r="1858" customFormat="false" ht="15" hidden="false" customHeight="false" outlineLevel="0" collapsed="false">
      <c r="A1858" s="104" t="s">
        <v>621</v>
      </c>
      <c r="B1858" s="105" t="n">
        <f aca="false">IF($P$1856&lt;&gt;"",ROUND(AA1858*(($AB$1856/(1-$P$1856))-28.49)/19.4386,2),IF('Resumen 2.0TD'!$D$3="OPTIMIZAR",AA1858,AA1858))</f>
        <v>99.777</v>
      </c>
      <c r="C1858" s="118"/>
      <c r="D1858" s="107" t="n">
        <v>0.111171</v>
      </c>
      <c r="E1858" s="108" t="n">
        <v>0.13788</v>
      </c>
      <c r="F1858" s="109" t="n">
        <f aca="false">ROUND(B1858*E1858,2)</f>
        <v>13.76</v>
      </c>
      <c r="H1858" s="110" t="n">
        <v>76.409</v>
      </c>
      <c r="I1858" s="111" t="n">
        <v>0.13788</v>
      </c>
      <c r="J1858" s="112" t="n">
        <f aca="false">ROUND(H1858*I1858,2)</f>
        <v>10.54</v>
      </c>
      <c r="L1858" s="136"/>
      <c r="M1858" s="136"/>
      <c r="N1858" s="136"/>
      <c r="O1858" s="120" t="s">
        <v>622</v>
      </c>
      <c r="AA1858" s="0" t="n">
        <v>99.777</v>
      </c>
    </row>
    <row r="1859" customFormat="false" ht="15" hidden="false" customHeight="false" outlineLevel="0" collapsed="false">
      <c r="A1859" s="104" t="s">
        <v>139</v>
      </c>
      <c r="B1859" s="105" t="n">
        <v>1</v>
      </c>
      <c r="C1859" s="106" t="n">
        <f aca="false">$N$1851-$L$1851+1</f>
        <v>30</v>
      </c>
      <c r="D1859" s="107" t="n">
        <v>0.7989</v>
      </c>
      <c r="E1859" s="108" t="n">
        <v>3</v>
      </c>
      <c r="F1859" s="109" t="n">
        <f aca="false">ROUND(B1859*E1859,2)</f>
        <v>3</v>
      </c>
      <c r="H1859" s="110" t="n">
        <v>1</v>
      </c>
      <c r="I1859" s="111" t="n">
        <v>3</v>
      </c>
      <c r="J1859" s="112" t="n">
        <f aca="false">ROUND(H1859*I1859,2)</f>
        <v>3</v>
      </c>
      <c r="L1859" s="136"/>
      <c r="M1859" s="136"/>
      <c r="N1859" s="136"/>
    </row>
    <row r="1860" customFormat="false" ht="15" hidden="false" customHeight="false" outlineLevel="0" collapsed="false">
      <c r="A1860" s="104" t="s">
        <v>140</v>
      </c>
      <c r="B1860" s="105" t="n">
        <v>30</v>
      </c>
      <c r="C1860" s="106" t="n">
        <f aca="false">$N$1851-$L$1851+1</f>
        <v>30</v>
      </c>
      <c r="D1860" s="107" t="n">
        <v>0.5736</v>
      </c>
      <c r="E1860" s="108" t="n">
        <v>0.01274</v>
      </c>
      <c r="F1860" s="109" t="n">
        <f aca="false">ROUND(B1860*E1860,2)</f>
        <v>0.38</v>
      </c>
      <c r="H1860" s="110" t="n">
        <v>30</v>
      </c>
      <c r="I1860" s="111" t="n">
        <v>0.01274</v>
      </c>
      <c r="J1860" s="112" t="n">
        <f aca="false">ROUND(H1860*I1860,2)</f>
        <v>0.38</v>
      </c>
      <c r="L1860" s="136"/>
      <c r="M1860" s="136"/>
      <c r="N1860" s="136"/>
    </row>
    <row r="1861" customFormat="false" ht="15" hidden="false" customHeight="false" outlineLevel="0" collapsed="false">
      <c r="A1861" s="104" t="s">
        <v>141</v>
      </c>
      <c r="B1861" s="105" t="n">
        <v>2.46</v>
      </c>
      <c r="C1861" s="118"/>
      <c r="D1861" s="107" t="n">
        <v>0.02671</v>
      </c>
      <c r="E1861" s="108" t="n">
        <v>1</v>
      </c>
      <c r="F1861" s="109" t="n">
        <f aca="false">ROUND(B1861*E1861,2)</f>
        <v>2.46</v>
      </c>
      <c r="H1861" s="110" t="n">
        <v>2.4</v>
      </c>
      <c r="I1861" s="111" t="n">
        <v>1</v>
      </c>
      <c r="J1861" s="112" t="n">
        <f aca="false">ROUND(H1861*I1861,2)</f>
        <v>2.4</v>
      </c>
      <c r="L1861" s="136"/>
      <c r="M1861" s="136"/>
      <c r="N1861" s="136"/>
    </row>
    <row r="1862" customFormat="false" ht="15" hidden="false" customHeight="false" outlineLevel="0" collapsed="false">
      <c r="A1862" s="121" t="s">
        <v>142</v>
      </c>
      <c r="F1862" s="122" t="n">
        <f aca="false">ROUND((SUM(F1854:F1861)-F1861)*1.1+F1861,2)</f>
        <v>58.91</v>
      </c>
      <c r="J1862" s="123" t="n">
        <f aca="false">ROUND(SUM(J1854:J1861),2)</f>
        <v>52.63</v>
      </c>
      <c r="N1862" s="137"/>
    </row>
    <row r="1863" customFormat="false" ht="15" hidden="false" customHeight="false" outlineLevel="0" collapsed="false">
      <c r="A1863" s="93" t="s">
        <v>143</v>
      </c>
      <c r="B1863" s="125" t="n">
        <f aca="false">IF((F1858+F1857+F1856+F1854+F1855)=0,"",((F1858+F1857+F1856+F1854+F1855)-$AB$1856)/(F1858+F1857+F1856+F1854+F1855))</f>
        <v>0.0984627675844805</v>
      </c>
      <c r="D1863" s="126" t="str">
        <f aca="false">IF(B1863="","SIN PC",IF(B1863&gt;=0.3,"APROBAR",IF(B1863&gt;=0.2,"REVISAR","RECHAZAR")))</f>
        <v>RECHAZAR</v>
      </c>
      <c r="E1863" s="126"/>
      <c r="F1863" s="126"/>
      <c r="AD1863" s="0" t="n">
        <f aca="false">SUM(F1856:F1858)-19.4386</f>
        <v>0.00139999999999674</v>
      </c>
    </row>
    <row r="1865" customFormat="false" ht="15" hidden="false" customHeight="false" outlineLevel="0" collapsed="false">
      <c r="A1865" s="89" t="s">
        <v>1430</v>
      </c>
      <c r="B1865" s="89"/>
      <c r="C1865" s="89"/>
      <c r="D1865" s="89"/>
      <c r="E1865" s="89"/>
      <c r="F1865" s="89"/>
      <c r="H1865" s="89" t="s">
        <v>1431</v>
      </c>
      <c r="I1865" s="89"/>
      <c r="J1865" s="89"/>
      <c r="K1865" s="89"/>
      <c r="L1865" s="90" t="n">
        <v>46113</v>
      </c>
      <c r="M1865" s="91" t="s">
        <v>608</v>
      </c>
      <c r="N1865" s="90" t="n">
        <v>46142</v>
      </c>
      <c r="R1865" s="92" t="s">
        <v>110</v>
      </c>
      <c r="S1865" s="92"/>
      <c r="T1865" s="92"/>
      <c r="U1865" s="92"/>
      <c r="V1865" s="92"/>
    </row>
    <row r="1866" customFormat="false" ht="15" hidden="false" customHeight="false" outlineLevel="0" collapsed="false">
      <c r="A1866" s="93" t="s">
        <v>111</v>
      </c>
      <c r="B1866" s="94" t="s">
        <v>112</v>
      </c>
      <c r="C1866" s="95"/>
      <c r="D1866" s="95"/>
      <c r="E1866" s="95"/>
      <c r="F1866" s="95"/>
      <c r="H1866" s="96" t="s">
        <v>1432</v>
      </c>
      <c r="I1866" s="97"/>
      <c r="J1866" s="97"/>
      <c r="L1866" s="98" t="s">
        <v>797</v>
      </c>
      <c r="M1866" s="99"/>
      <c r="N1866" s="99"/>
      <c r="R1866" s="100" t="s">
        <v>798</v>
      </c>
    </row>
    <row r="1867" customFormat="false" ht="15" hidden="false" customHeight="false" outlineLevel="0" collapsed="false">
      <c r="B1867" s="81" t="s">
        <v>116</v>
      </c>
      <c r="C1867" s="81" t="s">
        <v>117</v>
      </c>
      <c r="D1867" s="81" t="s">
        <v>118</v>
      </c>
      <c r="E1867" s="81" t="s">
        <v>119</v>
      </c>
      <c r="F1867" s="81" t="s">
        <v>120</v>
      </c>
      <c r="H1867" s="101" t="s">
        <v>116</v>
      </c>
      <c r="I1867" s="101" t="s">
        <v>119</v>
      </c>
      <c r="J1867" s="101" t="s">
        <v>120</v>
      </c>
      <c r="L1867" s="102" t="s">
        <v>116</v>
      </c>
      <c r="M1867" s="102" t="s">
        <v>119</v>
      </c>
      <c r="N1867" s="102" t="s">
        <v>120</v>
      </c>
      <c r="R1867" s="103" t="s">
        <v>765</v>
      </c>
    </row>
    <row r="1868" customFormat="false" ht="15" hidden="false" customHeight="false" outlineLevel="0" collapsed="false">
      <c r="A1868" s="104" t="s">
        <v>122</v>
      </c>
      <c r="B1868" s="105" t="n">
        <v>5.75</v>
      </c>
      <c r="C1868" s="106" t="n">
        <f aca="false">$N$1865-$L$1865+1</f>
        <v>30</v>
      </c>
      <c r="D1868" s="107" t="n">
        <v>3.68919</v>
      </c>
      <c r="E1868" s="108" t="n">
        <v>3.85</v>
      </c>
      <c r="F1868" s="109" t="n">
        <f aca="false">ROUND(B1868*E1868,2)</f>
        <v>22.14</v>
      </c>
      <c r="H1868" s="110" t="n">
        <v>5.75</v>
      </c>
      <c r="I1868" s="111" t="n">
        <v>3.85</v>
      </c>
      <c r="J1868" s="112" t="n">
        <f aca="false">ROUND(H1868*I1868,2)</f>
        <v>22.14</v>
      </c>
      <c r="L1868" s="136"/>
      <c r="M1868" s="136"/>
      <c r="N1868" s="136"/>
      <c r="R1868" s="116" t="s">
        <v>799</v>
      </c>
    </row>
    <row r="1869" customFormat="false" ht="15" hidden="false" customHeight="false" outlineLevel="0" collapsed="false">
      <c r="A1869" s="104" t="s">
        <v>124</v>
      </c>
      <c r="B1869" s="105" t="n">
        <v>5.75</v>
      </c>
      <c r="C1869" s="106" t="n">
        <f aca="false">$N$1865-$L$1865+1</f>
        <v>30</v>
      </c>
      <c r="D1869" s="107" t="n">
        <v>1.31928</v>
      </c>
      <c r="E1869" s="108" t="n">
        <v>1.33</v>
      </c>
      <c r="F1869" s="109" t="n">
        <f aca="false">ROUND(B1869*E1869,2)</f>
        <v>7.65</v>
      </c>
      <c r="H1869" s="110" t="n">
        <v>5.75</v>
      </c>
      <c r="I1869" s="111" t="n">
        <v>1.33</v>
      </c>
      <c r="J1869" s="112" t="n">
        <f aca="false">ROUND(H1869*I1869,2)</f>
        <v>7.65</v>
      </c>
      <c r="L1869" s="136"/>
      <c r="M1869" s="136"/>
      <c r="N1869" s="136"/>
    </row>
    <row r="1870" customFormat="false" ht="15" hidden="false" customHeight="false" outlineLevel="0" collapsed="false">
      <c r="A1870" s="104" t="s">
        <v>615</v>
      </c>
      <c r="B1870" s="105" t="n">
        <f aca="false">IF($P$1870&lt;&gt;"",ROUND(AA1870*(($AB$1870/(1-$P$1870))-29.785)/44.2039,2),IF('Resumen 2.0TD'!$D$3="OPTIMIZAR",AA1870,AA1870))</f>
        <v>107.851</v>
      </c>
      <c r="C1870" s="118"/>
      <c r="D1870" s="107" t="n">
        <v>0.111171</v>
      </c>
      <c r="E1870" s="108" t="n">
        <v>0.13788</v>
      </c>
      <c r="F1870" s="109" t="n">
        <f aca="false">ROUND(B1870*E1870,2)</f>
        <v>14.87</v>
      </c>
      <c r="H1870" s="110" t="n">
        <v>125.295</v>
      </c>
      <c r="I1870" s="111" t="n">
        <v>0.13788</v>
      </c>
      <c r="J1870" s="112" t="n">
        <f aca="false">ROUND(H1870*I1870,2)</f>
        <v>17.28</v>
      </c>
      <c r="L1870" s="136"/>
      <c r="M1870" s="136"/>
      <c r="N1870" s="136"/>
      <c r="O1870" s="119" t="s">
        <v>616</v>
      </c>
      <c r="P1870" s="79"/>
      <c r="AA1870" s="0" t="n">
        <v>107.851</v>
      </c>
      <c r="AB1870" s="0" t="n">
        <f aca="false">B1868*D1868+B1869*D1869+AA1870*D1870+AA1871*D1871+AA1872*D1872</f>
        <v>64.439791587</v>
      </c>
    </row>
    <row r="1871" customFormat="false" ht="15" hidden="false" customHeight="false" outlineLevel="0" collapsed="false">
      <c r="A1871" s="104" t="s">
        <v>618</v>
      </c>
      <c r="B1871" s="105" t="n">
        <f aca="false">IF($P$1870&lt;&gt;"",ROUND(AA1871*(($AB$1870/(1-$P$1870))-29.785)/44.2039,2),IF('Resumen 2.0TD'!$D$3="OPTIMIZAR",AA1871,AA1871))</f>
        <v>93.012</v>
      </c>
      <c r="C1871" s="118"/>
      <c r="D1871" s="107" t="n">
        <v>0.111171</v>
      </c>
      <c r="E1871" s="108" t="n">
        <v>0.13788</v>
      </c>
      <c r="F1871" s="109" t="n">
        <f aca="false">ROUND(B1871*E1871,2)</f>
        <v>12.82</v>
      </c>
      <c r="H1871" s="110" t="n">
        <v>101.296</v>
      </c>
      <c r="I1871" s="111" t="n">
        <v>0.13788</v>
      </c>
      <c r="J1871" s="112" t="n">
        <f aca="false">ROUND(H1871*I1871,2)</f>
        <v>13.97</v>
      </c>
      <c r="L1871" s="136"/>
      <c r="M1871" s="136"/>
      <c r="N1871" s="136"/>
      <c r="O1871" s="120" t="s">
        <v>619</v>
      </c>
      <c r="R1871" s="117" t="s">
        <v>620</v>
      </c>
      <c r="AA1871" s="0" t="n">
        <v>93.012</v>
      </c>
    </row>
    <row r="1872" customFormat="false" ht="15" hidden="false" customHeight="false" outlineLevel="0" collapsed="false">
      <c r="A1872" s="104" t="s">
        <v>621</v>
      </c>
      <c r="B1872" s="105" t="n">
        <f aca="false">IF($P$1870&lt;&gt;"",ROUND(AA1872*(($AB$1870/(1-$P$1870))-29.785)/44.2039,2),IF('Resumen 2.0TD'!$D$3="OPTIMIZAR",AA1872,AA1872))</f>
        <v>119.734</v>
      </c>
      <c r="C1872" s="118"/>
      <c r="D1872" s="107" t="n">
        <v>0.111171</v>
      </c>
      <c r="E1872" s="108" t="n">
        <v>0.13788</v>
      </c>
      <c r="F1872" s="109" t="n">
        <f aca="false">ROUND(B1872*E1872,2)</f>
        <v>16.51</v>
      </c>
      <c r="H1872" s="110" t="n">
        <v>134.461</v>
      </c>
      <c r="I1872" s="111" t="n">
        <v>0.13788</v>
      </c>
      <c r="J1872" s="112" t="n">
        <f aca="false">ROUND(H1872*I1872,2)</f>
        <v>18.54</v>
      </c>
      <c r="L1872" s="136"/>
      <c r="M1872" s="136"/>
      <c r="N1872" s="136"/>
      <c r="O1872" s="120" t="s">
        <v>622</v>
      </c>
      <c r="AA1872" s="0" t="n">
        <v>119.734</v>
      </c>
    </row>
    <row r="1873" customFormat="false" ht="15" hidden="false" customHeight="false" outlineLevel="0" collapsed="false">
      <c r="A1873" s="104" t="s">
        <v>139</v>
      </c>
      <c r="B1873" s="105" t="n">
        <v>1</v>
      </c>
      <c r="C1873" s="106" t="n">
        <f aca="false">$N$1865-$L$1865+1</f>
        <v>30</v>
      </c>
      <c r="D1873" s="107" t="n">
        <v>0.7989</v>
      </c>
      <c r="E1873" s="108" t="n">
        <v>3</v>
      </c>
      <c r="F1873" s="109" t="n">
        <f aca="false">ROUND(B1873*E1873,2)</f>
        <v>3</v>
      </c>
      <c r="H1873" s="110" t="n">
        <v>1</v>
      </c>
      <c r="I1873" s="111" t="n">
        <v>3</v>
      </c>
      <c r="J1873" s="112" t="n">
        <f aca="false">ROUND(H1873*I1873,2)</f>
        <v>3</v>
      </c>
      <c r="L1873" s="136"/>
      <c r="M1873" s="136"/>
      <c r="N1873" s="136"/>
    </row>
    <row r="1874" customFormat="false" ht="15" hidden="false" customHeight="false" outlineLevel="0" collapsed="false">
      <c r="A1874" s="104" t="s">
        <v>140</v>
      </c>
      <c r="B1874" s="105" t="n">
        <v>30</v>
      </c>
      <c r="C1874" s="106" t="n">
        <f aca="false">$N$1865-$L$1865+1</f>
        <v>30</v>
      </c>
      <c r="D1874" s="107" t="n">
        <v>0.5736</v>
      </c>
      <c r="E1874" s="108" t="n">
        <v>0.01274</v>
      </c>
      <c r="F1874" s="109" t="n">
        <f aca="false">ROUND(B1874*E1874,2)</f>
        <v>0.38</v>
      </c>
      <c r="H1874" s="110" t="n">
        <v>30</v>
      </c>
      <c r="I1874" s="111" t="n">
        <v>0.01274</v>
      </c>
      <c r="J1874" s="112" t="n">
        <f aca="false">ROUND(H1874*I1874,2)</f>
        <v>0.38</v>
      </c>
      <c r="L1874" s="136"/>
      <c r="M1874" s="136"/>
      <c r="N1874" s="136"/>
    </row>
    <row r="1875" customFormat="false" ht="15" hidden="false" customHeight="false" outlineLevel="0" collapsed="false">
      <c r="A1875" s="104" t="s">
        <v>141</v>
      </c>
      <c r="B1875" s="105" t="n">
        <v>3.79</v>
      </c>
      <c r="C1875" s="118"/>
      <c r="D1875" s="107" t="n">
        <v>0.02671</v>
      </c>
      <c r="E1875" s="108" t="n">
        <v>1</v>
      </c>
      <c r="F1875" s="109" t="n">
        <f aca="false">ROUND(B1875*E1875,2)</f>
        <v>3.79</v>
      </c>
      <c r="H1875" s="110" t="n">
        <v>4.08</v>
      </c>
      <c r="I1875" s="111" t="n">
        <v>1</v>
      </c>
      <c r="J1875" s="112" t="n">
        <f aca="false">ROUND(H1875*I1875,2)</f>
        <v>4.08</v>
      </c>
      <c r="L1875" s="136"/>
      <c r="M1875" s="136"/>
      <c r="N1875" s="136"/>
    </row>
    <row r="1876" customFormat="false" ht="15" hidden="false" customHeight="false" outlineLevel="0" collapsed="false">
      <c r="A1876" s="121" t="s">
        <v>142</v>
      </c>
      <c r="F1876" s="122" t="n">
        <f aca="false">ROUND((SUM(F1868:F1875)-F1875)*1.1+F1875,2)</f>
        <v>88.9</v>
      </c>
      <c r="J1876" s="123" t="n">
        <f aca="false">ROUND(SUM(J1868:J1875),2)</f>
        <v>87.04</v>
      </c>
      <c r="N1876" s="137"/>
    </row>
    <row r="1877" customFormat="false" ht="15" hidden="false" customHeight="false" outlineLevel="0" collapsed="false">
      <c r="A1877" s="93" t="s">
        <v>143</v>
      </c>
      <c r="B1877" s="125" t="n">
        <f aca="false">IF((F1872+F1871+F1870+F1868+F1869)=0,"",((F1872+F1871+F1870+F1868+F1869)-$AB$1870)/(F1872+F1871+F1870+F1868+F1869))</f>
        <v>0.129074312920665</v>
      </c>
      <c r="D1877" s="126" t="str">
        <f aca="false">IF(B1877="","SIN PC",IF(B1877&gt;=0.3,"APROBAR",IF(B1877&gt;=0.2,"REVISAR","RECHAZAR")))</f>
        <v>RECHAZAR</v>
      </c>
      <c r="E1877" s="126"/>
      <c r="F1877" s="126"/>
      <c r="AD1877" s="0" t="n">
        <f aca="false">SUM(F1870:F1872)-44.2039</f>
        <v>-0.00389999999999446</v>
      </c>
    </row>
    <row r="1879" customFormat="false" ht="15" hidden="false" customHeight="false" outlineLevel="0" collapsed="false">
      <c r="A1879" s="89" t="s">
        <v>1433</v>
      </c>
      <c r="B1879" s="89"/>
      <c r="C1879" s="89"/>
      <c r="D1879" s="89"/>
      <c r="E1879" s="89"/>
      <c r="F1879" s="89"/>
      <c r="H1879" s="89" t="s">
        <v>1434</v>
      </c>
      <c r="I1879" s="89"/>
      <c r="J1879" s="89"/>
      <c r="K1879" s="89"/>
      <c r="L1879" s="90" t="n">
        <v>46113</v>
      </c>
      <c r="M1879" s="91" t="s">
        <v>608</v>
      </c>
      <c r="N1879" s="90" t="n">
        <v>46142</v>
      </c>
      <c r="R1879" s="92" t="s">
        <v>110</v>
      </c>
      <c r="S1879" s="92"/>
      <c r="T1879" s="92"/>
      <c r="U1879" s="92"/>
      <c r="V1879" s="92"/>
    </row>
    <row r="1880" customFormat="false" ht="15" hidden="false" customHeight="false" outlineLevel="0" collapsed="false">
      <c r="A1880" s="93" t="s">
        <v>111</v>
      </c>
      <c r="B1880" s="94" t="s">
        <v>112</v>
      </c>
      <c r="C1880" s="95"/>
      <c r="D1880" s="95"/>
      <c r="E1880" s="95"/>
      <c r="F1880" s="95"/>
      <c r="H1880" s="96" t="s">
        <v>1435</v>
      </c>
      <c r="I1880" s="97"/>
      <c r="J1880" s="97"/>
      <c r="L1880" s="98" t="s">
        <v>797</v>
      </c>
      <c r="M1880" s="99"/>
      <c r="N1880" s="99"/>
      <c r="R1880" s="100" t="s">
        <v>798</v>
      </c>
    </row>
    <row r="1881" customFormat="false" ht="15" hidden="false" customHeight="false" outlineLevel="0" collapsed="false">
      <c r="B1881" s="81" t="s">
        <v>116</v>
      </c>
      <c r="C1881" s="81" t="s">
        <v>117</v>
      </c>
      <c r="D1881" s="81" t="s">
        <v>118</v>
      </c>
      <c r="E1881" s="81" t="s">
        <v>119</v>
      </c>
      <c r="F1881" s="81" t="s">
        <v>120</v>
      </c>
      <c r="H1881" s="101" t="s">
        <v>116</v>
      </c>
      <c r="I1881" s="101" t="s">
        <v>119</v>
      </c>
      <c r="J1881" s="101" t="s">
        <v>120</v>
      </c>
      <c r="L1881" s="102" t="s">
        <v>116</v>
      </c>
      <c r="M1881" s="102" t="s">
        <v>119</v>
      </c>
      <c r="N1881" s="102" t="s">
        <v>120</v>
      </c>
      <c r="R1881" s="103" t="s">
        <v>765</v>
      </c>
    </row>
    <row r="1882" customFormat="false" ht="15" hidden="false" customHeight="false" outlineLevel="0" collapsed="false">
      <c r="A1882" s="104" t="s">
        <v>122</v>
      </c>
      <c r="B1882" s="105" t="n">
        <v>5.75</v>
      </c>
      <c r="C1882" s="106" t="n">
        <f aca="false">$N$1879-$L$1879+1</f>
        <v>30</v>
      </c>
      <c r="D1882" s="107" t="n">
        <v>3.68919</v>
      </c>
      <c r="E1882" s="108" t="n">
        <v>3.85</v>
      </c>
      <c r="F1882" s="109" t="n">
        <f aca="false">ROUND(B1882*E1882,2)</f>
        <v>22.14</v>
      </c>
      <c r="H1882" s="110" t="n">
        <v>5.75</v>
      </c>
      <c r="I1882" s="111" t="n">
        <v>3.85</v>
      </c>
      <c r="J1882" s="112" t="n">
        <f aca="false">ROUND(H1882*I1882,2)</f>
        <v>22.14</v>
      </c>
      <c r="L1882" s="136"/>
      <c r="M1882" s="136"/>
      <c r="N1882" s="136"/>
      <c r="R1882" s="116" t="s">
        <v>799</v>
      </c>
    </row>
    <row r="1883" customFormat="false" ht="15" hidden="false" customHeight="false" outlineLevel="0" collapsed="false">
      <c r="A1883" s="104" t="s">
        <v>124</v>
      </c>
      <c r="B1883" s="105" t="n">
        <v>5.75</v>
      </c>
      <c r="C1883" s="106" t="n">
        <f aca="false">$N$1879-$L$1879+1</f>
        <v>30</v>
      </c>
      <c r="D1883" s="107" t="n">
        <v>1.31928</v>
      </c>
      <c r="E1883" s="108" t="n">
        <v>1.33</v>
      </c>
      <c r="F1883" s="109" t="n">
        <f aca="false">ROUND(B1883*E1883,2)</f>
        <v>7.65</v>
      </c>
      <c r="H1883" s="110" t="n">
        <v>5.75</v>
      </c>
      <c r="I1883" s="111" t="n">
        <v>1.33</v>
      </c>
      <c r="J1883" s="112" t="n">
        <f aca="false">ROUND(H1883*I1883,2)</f>
        <v>7.65</v>
      </c>
      <c r="L1883" s="136"/>
      <c r="M1883" s="136"/>
      <c r="N1883" s="136"/>
    </row>
    <row r="1884" customFormat="false" ht="15" hidden="false" customHeight="false" outlineLevel="0" collapsed="false">
      <c r="A1884" s="104" t="s">
        <v>615</v>
      </c>
      <c r="B1884" s="105" t="n">
        <f aca="false">IF($P$1884&lt;&gt;"",ROUND(AA1884*(($AB$1884/(1-$P$1884))-29.785)/32.1718,2),IF('Resumen 2.0TD'!$D$3="OPTIMIZAR",AA1884,AA1884))</f>
        <v>45.499</v>
      </c>
      <c r="C1884" s="118"/>
      <c r="D1884" s="107" t="n">
        <v>0.111171</v>
      </c>
      <c r="E1884" s="108" t="n">
        <v>0.13788</v>
      </c>
      <c r="F1884" s="109" t="n">
        <f aca="false">ROUND(B1884*E1884,2)</f>
        <v>6.27</v>
      </c>
      <c r="H1884" s="110" t="n">
        <v>73.501</v>
      </c>
      <c r="I1884" s="111" t="n">
        <v>0.13788</v>
      </c>
      <c r="J1884" s="112" t="n">
        <f aca="false">ROUND(H1884*I1884,2)</f>
        <v>10.13</v>
      </c>
      <c r="L1884" s="136"/>
      <c r="M1884" s="136"/>
      <c r="N1884" s="136"/>
      <c r="O1884" s="119" t="s">
        <v>616</v>
      </c>
      <c r="P1884" s="79"/>
      <c r="AA1884" s="0" t="n">
        <v>45.499</v>
      </c>
      <c r="AB1884" s="0" t="n">
        <f aca="false">B1882*D1882+B1883*D1883+AA1884*D1884+AA1885*D1885+AA1886*D1886</f>
        <v>54.738454272</v>
      </c>
    </row>
    <row r="1885" customFormat="false" ht="15" hidden="false" customHeight="false" outlineLevel="0" collapsed="false">
      <c r="A1885" s="104" t="s">
        <v>618</v>
      </c>
      <c r="B1885" s="105" t="n">
        <f aca="false">IF($P$1884&lt;&gt;"",ROUND(AA1885*(($AB$1884/(1-$P$1884))-29.785)/32.1718,2),IF('Resumen 2.0TD'!$D$3="OPTIMIZAR",AA1885,AA1885))</f>
        <v>46.535</v>
      </c>
      <c r="C1885" s="118"/>
      <c r="D1885" s="107" t="n">
        <v>0.111171</v>
      </c>
      <c r="E1885" s="108" t="n">
        <v>0.13788</v>
      </c>
      <c r="F1885" s="109" t="n">
        <f aca="false">ROUND(B1885*E1885,2)</f>
        <v>6.42</v>
      </c>
      <c r="H1885" s="110" t="n">
        <v>71.27</v>
      </c>
      <c r="I1885" s="111" t="n">
        <v>0.13788</v>
      </c>
      <c r="J1885" s="112" t="n">
        <f aca="false">ROUND(H1885*I1885,2)</f>
        <v>9.83</v>
      </c>
      <c r="L1885" s="136"/>
      <c r="M1885" s="136"/>
      <c r="N1885" s="136"/>
      <c r="O1885" s="120" t="s">
        <v>619</v>
      </c>
      <c r="R1885" s="117" t="s">
        <v>620</v>
      </c>
      <c r="AA1885" s="0" t="n">
        <v>46.535</v>
      </c>
    </row>
    <row r="1886" customFormat="false" ht="15" hidden="false" customHeight="false" outlineLevel="0" collapsed="false">
      <c r="A1886" s="104" t="s">
        <v>621</v>
      </c>
      <c r="B1886" s="105" t="n">
        <f aca="false">IF($P$1884&lt;&gt;"",ROUND(AA1886*(($AB$1884/(1-$P$1884))-29.785)/32.1718,2),IF('Resumen 2.0TD'!$D$3="OPTIMIZAR",AA1886,AA1886))</f>
        <v>141.298</v>
      </c>
      <c r="C1886" s="118"/>
      <c r="D1886" s="107" t="n">
        <v>0.111171</v>
      </c>
      <c r="E1886" s="108" t="n">
        <v>0.13788</v>
      </c>
      <c r="F1886" s="109" t="n">
        <f aca="false">ROUND(B1886*E1886,2)</f>
        <v>19.48</v>
      </c>
      <c r="H1886" s="110" t="n">
        <v>107.316</v>
      </c>
      <c r="I1886" s="111" t="n">
        <v>0.13788</v>
      </c>
      <c r="J1886" s="112" t="n">
        <f aca="false">ROUND(H1886*I1886,2)</f>
        <v>14.8</v>
      </c>
      <c r="L1886" s="136"/>
      <c r="M1886" s="136"/>
      <c r="N1886" s="136"/>
      <c r="O1886" s="120" t="s">
        <v>622</v>
      </c>
      <c r="AA1886" s="0" t="n">
        <v>141.298</v>
      </c>
    </row>
    <row r="1887" customFormat="false" ht="15" hidden="false" customHeight="false" outlineLevel="0" collapsed="false">
      <c r="A1887" s="104" t="s">
        <v>139</v>
      </c>
      <c r="B1887" s="105" t="n">
        <v>1</v>
      </c>
      <c r="C1887" s="106" t="n">
        <f aca="false">$N$1879-$L$1879+1</f>
        <v>30</v>
      </c>
      <c r="D1887" s="107" t="n">
        <v>0.7989</v>
      </c>
      <c r="E1887" s="108" t="n">
        <v>3</v>
      </c>
      <c r="F1887" s="109" t="n">
        <f aca="false">ROUND(B1887*E1887,2)</f>
        <v>3</v>
      </c>
      <c r="H1887" s="110" t="n">
        <v>1</v>
      </c>
      <c r="I1887" s="111" t="n">
        <v>3</v>
      </c>
      <c r="J1887" s="112" t="n">
        <f aca="false">ROUND(H1887*I1887,2)</f>
        <v>3</v>
      </c>
      <c r="L1887" s="136"/>
      <c r="M1887" s="136"/>
      <c r="N1887" s="136"/>
    </row>
    <row r="1888" customFormat="false" ht="15" hidden="false" customHeight="false" outlineLevel="0" collapsed="false">
      <c r="A1888" s="104" t="s">
        <v>140</v>
      </c>
      <c r="B1888" s="105" t="n">
        <v>30</v>
      </c>
      <c r="C1888" s="106" t="n">
        <f aca="false">$N$1879-$L$1879+1</f>
        <v>30</v>
      </c>
      <c r="D1888" s="107" t="n">
        <v>0.5736</v>
      </c>
      <c r="E1888" s="108" t="n">
        <v>0.01274</v>
      </c>
      <c r="F1888" s="109" t="n">
        <f aca="false">ROUND(B1888*E1888,2)</f>
        <v>0.38</v>
      </c>
      <c r="H1888" s="110" t="n">
        <v>30</v>
      </c>
      <c r="I1888" s="111" t="n">
        <v>0.01274</v>
      </c>
      <c r="J1888" s="112" t="n">
        <f aca="false">ROUND(H1888*I1888,2)</f>
        <v>0.38</v>
      </c>
      <c r="L1888" s="136"/>
      <c r="M1888" s="136"/>
      <c r="N1888" s="136"/>
    </row>
    <row r="1889" customFormat="false" ht="15" hidden="false" customHeight="false" outlineLevel="0" collapsed="false">
      <c r="A1889" s="104" t="s">
        <v>141</v>
      </c>
      <c r="B1889" s="105" t="n">
        <v>3.18</v>
      </c>
      <c r="C1889" s="118"/>
      <c r="D1889" s="107" t="n">
        <v>0.02671</v>
      </c>
      <c r="E1889" s="108" t="n">
        <v>1</v>
      </c>
      <c r="F1889" s="109" t="n">
        <f aca="false">ROUND(B1889*E1889,2)</f>
        <v>3.18</v>
      </c>
      <c r="H1889" s="110" t="n">
        <v>3.31</v>
      </c>
      <c r="I1889" s="111" t="n">
        <v>1</v>
      </c>
      <c r="J1889" s="112" t="n">
        <f aca="false">ROUND(H1889*I1889,2)</f>
        <v>3.31</v>
      </c>
      <c r="L1889" s="136"/>
      <c r="M1889" s="136"/>
      <c r="N1889" s="136"/>
    </row>
    <row r="1890" customFormat="false" ht="15" hidden="false" customHeight="false" outlineLevel="0" collapsed="false">
      <c r="A1890" s="121" t="s">
        <v>142</v>
      </c>
      <c r="F1890" s="122" t="n">
        <f aca="false">ROUND((SUM(F1882:F1889)-F1889)*1.1+F1889,2)</f>
        <v>75.05</v>
      </c>
      <c r="J1890" s="123" t="n">
        <f aca="false">ROUND(SUM(J1882:J1889),2)</f>
        <v>71.24</v>
      </c>
      <c r="N1890" s="137"/>
    </row>
    <row r="1891" customFormat="false" ht="15" hidden="false" customHeight="false" outlineLevel="0" collapsed="false">
      <c r="A1891" s="93" t="s">
        <v>143</v>
      </c>
      <c r="B1891" s="125" t="n">
        <f aca="false">IF((F1886+F1885+F1884+F1882+F1883)=0,"",((F1886+F1885+F1884+F1882+F1883)-$AB$1884)/(F1886+F1885+F1884+F1882+F1883))</f>
        <v>0.11655173867011</v>
      </c>
      <c r="D1891" s="126" t="str">
        <f aca="false">IF(B1891="","SIN PC",IF(B1891&gt;=0.3,"APROBAR",IF(B1891&gt;=0.2,"REVISAR","RECHAZAR")))</f>
        <v>RECHAZAR</v>
      </c>
      <c r="E1891" s="126"/>
      <c r="F1891" s="126"/>
      <c r="AD1891" s="0" t="n">
        <f aca="false">SUM(F1884:F1886)-32.1718</f>
        <v>-0.00179999999999581</v>
      </c>
    </row>
    <row r="1893" customFormat="false" ht="15" hidden="false" customHeight="false" outlineLevel="0" collapsed="false">
      <c r="A1893" s="89" t="s">
        <v>1436</v>
      </c>
      <c r="B1893" s="89"/>
      <c r="C1893" s="89"/>
      <c r="D1893" s="89"/>
      <c r="E1893" s="89"/>
      <c r="F1893" s="89"/>
      <c r="H1893" s="89" t="s">
        <v>1437</v>
      </c>
      <c r="I1893" s="89"/>
      <c r="J1893" s="89"/>
      <c r="K1893" s="89"/>
      <c r="L1893" s="90" t="n">
        <v>46113</v>
      </c>
      <c r="M1893" s="91" t="s">
        <v>608</v>
      </c>
      <c r="N1893" s="90" t="n">
        <v>46142</v>
      </c>
      <c r="R1893" s="92" t="s">
        <v>110</v>
      </c>
      <c r="S1893" s="92"/>
      <c r="T1893" s="92"/>
      <c r="U1893" s="92"/>
      <c r="V1893" s="92"/>
    </row>
    <row r="1894" customFormat="false" ht="15" hidden="false" customHeight="false" outlineLevel="0" collapsed="false">
      <c r="A1894" s="93" t="s">
        <v>111</v>
      </c>
      <c r="B1894" s="94" t="s">
        <v>112</v>
      </c>
      <c r="C1894" s="95"/>
      <c r="D1894" s="95"/>
      <c r="E1894" s="95"/>
      <c r="F1894" s="95"/>
      <c r="H1894" s="96" t="s">
        <v>1438</v>
      </c>
      <c r="I1894" s="97"/>
      <c r="J1894" s="97"/>
      <c r="L1894" s="98" t="s">
        <v>797</v>
      </c>
      <c r="M1894" s="99"/>
      <c r="N1894" s="99"/>
      <c r="R1894" s="100" t="s">
        <v>798</v>
      </c>
    </row>
    <row r="1895" customFormat="false" ht="15" hidden="false" customHeight="false" outlineLevel="0" collapsed="false">
      <c r="B1895" s="81" t="s">
        <v>116</v>
      </c>
      <c r="C1895" s="81" t="s">
        <v>117</v>
      </c>
      <c r="D1895" s="81" t="s">
        <v>118</v>
      </c>
      <c r="E1895" s="81" t="s">
        <v>119</v>
      </c>
      <c r="F1895" s="81" t="s">
        <v>120</v>
      </c>
      <c r="H1895" s="101" t="s">
        <v>116</v>
      </c>
      <c r="I1895" s="101" t="s">
        <v>119</v>
      </c>
      <c r="J1895" s="101" t="s">
        <v>120</v>
      </c>
      <c r="L1895" s="102" t="s">
        <v>116</v>
      </c>
      <c r="M1895" s="102" t="s">
        <v>119</v>
      </c>
      <c r="N1895" s="102" t="s">
        <v>120</v>
      </c>
      <c r="R1895" s="103" t="s">
        <v>765</v>
      </c>
    </row>
    <row r="1896" customFormat="false" ht="15" hidden="false" customHeight="false" outlineLevel="0" collapsed="false">
      <c r="A1896" s="104" t="s">
        <v>122</v>
      </c>
      <c r="B1896" s="105" t="n">
        <v>5.5</v>
      </c>
      <c r="C1896" s="106" t="n">
        <f aca="false">$N$1893-$L$1893+1</f>
        <v>30</v>
      </c>
      <c r="D1896" s="107" t="n">
        <v>3.68919</v>
      </c>
      <c r="E1896" s="108" t="n">
        <v>3.85</v>
      </c>
      <c r="F1896" s="109" t="n">
        <f aca="false">ROUND(B1896*E1896,2)</f>
        <v>21.18</v>
      </c>
      <c r="H1896" s="110" t="n">
        <v>5.5</v>
      </c>
      <c r="I1896" s="111" t="n">
        <v>3.85</v>
      </c>
      <c r="J1896" s="112" t="n">
        <f aca="false">ROUND(H1896*I1896,2)</f>
        <v>21.18</v>
      </c>
      <c r="L1896" s="136"/>
      <c r="M1896" s="136"/>
      <c r="N1896" s="136"/>
      <c r="R1896" s="116" t="s">
        <v>799</v>
      </c>
    </row>
    <row r="1897" customFormat="false" ht="15" hidden="false" customHeight="false" outlineLevel="0" collapsed="false">
      <c r="A1897" s="104" t="s">
        <v>124</v>
      </c>
      <c r="B1897" s="105" t="n">
        <v>5.5</v>
      </c>
      <c r="C1897" s="106" t="n">
        <f aca="false">$N$1893-$L$1893+1</f>
        <v>30</v>
      </c>
      <c r="D1897" s="107" t="n">
        <v>1.31928</v>
      </c>
      <c r="E1897" s="108" t="n">
        <v>1.33</v>
      </c>
      <c r="F1897" s="109" t="n">
        <f aca="false">ROUND(B1897*E1897,2)</f>
        <v>7.32</v>
      </c>
      <c r="H1897" s="110" t="n">
        <v>5.5</v>
      </c>
      <c r="I1897" s="111" t="n">
        <v>1.33</v>
      </c>
      <c r="J1897" s="112" t="n">
        <f aca="false">ROUND(H1897*I1897,2)</f>
        <v>7.32</v>
      </c>
      <c r="L1897" s="136"/>
      <c r="M1897" s="136"/>
      <c r="N1897" s="136"/>
    </row>
    <row r="1898" customFormat="false" ht="15" hidden="false" customHeight="false" outlineLevel="0" collapsed="false">
      <c r="A1898" s="104" t="s">
        <v>615</v>
      </c>
      <c r="B1898" s="105" t="n">
        <f aca="false">IF($P$1898&lt;&gt;"",ROUND(AA1898*(($AB$1898/(1-$P$1898))-28.49)/13.6063,2),IF('Resumen 2.0TD'!$D$3="OPTIMIZAR",AA1898,AA1898))</f>
        <v>24.916</v>
      </c>
      <c r="C1898" s="118"/>
      <c r="D1898" s="107" t="n">
        <v>0.111171</v>
      </c>
      <c r="E1898" s="108" t="n">
        <v>0.13788</v>
      </c>
      <c r="F1898" s="109" t="n">
        <f aca="false">ROUND(B1898*E1898,2)</f>
        <v>3.44</v>
      </c>
      <c r="H1898" s="110" t="n">
        <v>51.171</v>
      </c>
      <c r="I1898" s="111" t="n">
        <v>0.13788</v>
      </c>
      <c r="J1898" s="112" t="n">
        <f aca="false">ROUND(H1898*I1898,2)</f>
        <v>7.06</v>
      </c>
      <c r="L1898" s="136"/>
      <c r="M1898" s="136"/>
      <c r="N1898" s="136"/>
      <c r="O1898" s="119" t="s">
        <v>616</v>
      </c>
      <c r="P1898" s="79"/>
      <c r="AA1898" s="0" t="n">
        <v>24.916</v>
      </c>
      <c r="AB1898" s="0" t="n">
        <f aca="false">B1896*D1896+B1897*D1897+AA1898*D1898+AA1899*D1899+AA1900*D1900</f>
        <v>38.517161622</v>
      </c>
    </row>
    <row r="1899" customFormat="false" ht="15" hidden="false" customHeight="false" outlineLevel="0" collapsed="false">
      <c r="A1899" s="104" t="s">
        <v>618</v>
      </c>
      <c r="B1899" s="105" t="n">
        <f aca="false">IF($P$1898&lt;&gt;"",ROUND(AA1899*(($AB$1898/(1-$P$1898))-28.49)/13.6063,2),IF('Resumen 2.0TD'!$D$3="OPTIMIZAR",AA1899,AA1899))</f>
        <v>18.143</v>
      </c>
      <c r="C1899" s="118"/>
      <c r="D1899" s="107" t="n">
        <v>0.111171</v>
      </c>
      <c r="E1899" s="108" t="n">
        <v>0.13788</v>
      </c>
      <c r="F1899" s="109" t="n">
        <f aca="false">ROUND(B1899*E1899,2)</f>
        <v>2.5</v>
      </c>
      <c r="H1899" s="110" t="n">
        <v>36.703</v>
      </c>
      <c r="I1899" s="111" t="n">
        <v>0.13788</v>
      </c>
      <c r="J1899" s="112" t="n">
        <f aca="false">ROUND(H1899*I1899,2)</f>
        <v>5.06</v>
      </c>
      <c r="L1899" s="136"/>
      <c r="M1899" s="136"/>
      <c r="N1899" s="136"/>
      <c r="O1899" s="120" t="s">
        <v>619</v>
      </c>
      <c r="R1899" s="117" t="s">
        <v>620</v>
      </c>
      <c r="AA1899" s="0" t="n">
        <v>18.143</v>
      </c>
    </row>
    <row r="1900" customFormat="false" ht="15" hidden="false" customHeight="false" outlineLevel="0" collapsed="false">
      <c r="A1900" s="104" t="s">
        <v>621</v>
      </c>
      <c r="B1900" s="105" t="n">
        <f aca="false">IF($P$1898&lt;&gt;"",ROUND(AA1900*(($AB$1898/(1-$P$1898))-28.49)/13.6063,2),IF('Resumen 2.0TD'!$D$3="OPTIMIZAR",AA1900,AA1900))</f>
        <v>55.623</v>
      </c>
      <c r="C1900" s="118"/>
      <c r="D1900" s="107" t="n">
        <v>0.111171</v>
      </c>
      <c r="E1900" s="108" t="n">
        <v>0.13788</v>
      </c>
      <c r="F1900" s="109" t="n">
        <f aca="false">ROUND(B1900*E1900,2)</f>
        <v>7.67</v>
      </c>
      <c r="H1900" s="110" t="n">
        <v>76.274</v>
      </c>
      <c r="I1900" s="111" t="n">
        <v>0.13788</v>
      </c>
      <c r="J1900" s="112" t="n">
        <f aca="false">ROUND(H1900*I1900,2)</f>
        <v>10.52</v>
      </c>
      <c r="L1900" s="136"/>
      <c r="M1900" s="136"/>
      <c r="N1900" s="136"/>
      <c r="O1900" s="120" t="s">
        <v>622</v>
      </c>
      <c r="AA1900" s="0" t="n">
        <v>55.623</v>
      </c>
    </row>
    <row r="1901" customFormat="false" ht="15" hidden="false" customHeight="false" outlineLevel="0" collapsed="false">
      <c r="A1901" s="104" t="s">
        <v>139</v>
      </c>
      <c r="B1901" s="105" t="n">
        <v>1</v>
      </c>
      <c r="C1901" s="106" t="n">
        <f aca="false">$N$1893-$L$1893+1</f>
        <v>30</v>
      </c>
      <c r="D1901" s="107" t="n">
        <v>0.7989</v>
      </c>
      <c r="E1901" s="108" t="n">
        <v>3</v>
      </c>
      <c r="F1901" s="109" t="n">
        <f aca="false">ROUND(B1901*E1901,2)</f>
        <v>3</v>
      </c>
      <c r="H1901" s="110" t="n">
        <v>1</v>
      </c>
      <c r="I1901" s="111" t="n">
        <v>3</v>
      </c>
      <c r="J1901" s="112" t="n">
        <f aca="false">ROUND(H1901*I1901,2)</f>
        <v>3</v>
      </c>
      <c r="L1901" s="136"/>
      <c r="M1901" s="136"/>
      <c r="N1901" s="136"/>
    </row>
    <row r="1902" customFormat="false" ht="15" hidden="false" customHeight="false" outlineLevel="0" collapsed="false">
      <c r="A1902" s="104" t="s">
        <v>140</v>
      </c>
      <c r="B1902" s="105" t="n">
        <v>30</v>
      </c>
      <c r="C1902" s="106" t="n">
        <f aca="false">$N$1893-$L$1893+1</f>
        <v>30</v>
      </c>
      <c r="D1902" s="107" t="n">
        <v>0.5736</v>
      </c>
      <c r="E1902" s="108" t="n">
        <v>0.01274</v>
      </c>
      <c r="F1902" s="109" t="n">
        <f aca="false">ROUND(B1902*E1902,2)</f>
        <v>0.38</v>
      </c>
      <c r="H1902" s="110" t="n">
        <v>30</v>
      </c>
      <c r="I1902" s="111" t="n">
        <v>0.01274</v>
      </c>
      <c r="J1902" s="112" t="n">
        <f aca="false">ROUND(H1902*I1902,2)</f>
        <v>0.38</v>
      </c>
      <c r="L1902" s="136"/>
      <c r="M1902" s="136"/>
      <c r="N1902" s="136"/>
    </row>
    <row r="1903" customFormat="false" ht="15" hidden="false" customHeight="false" outlineLevel="0" collapsed="false">
      <c r="A1903" s="104" t="s">
        <v>141</v>
      </c>
      <c r="B1903" s="105" t="n">
        <v>2.16</v>
      </c>
      <c r="C1903" s="118"/>
      <c r="D1903" s="107" t="n">
        <v>0.27312</v>
      </c>
      <c r="E1903" s="108" t="n">
        <v>1</v>
      </c>
      <c r="F1903" s="109" t="n">
        <f aca="false">ROUND(B1903*E1903,2)</f>
        <v>2.16</v>
      </c>
      <c r="H1903" s="110" t="n">
        <v>2.62</v>
      </c>
      <c r="I1903" s="111" t="n">
        <v>1</v>
      </c>
      <c r="J1903" s="112" t="n">
        <f aca="false">ROUND(H1903*I1903,2)</f>
        <v>2.62</v>
      </c>
      <c r="L1903" s="136"/>
      <c r="M1903" s="136"/>
      <c r="N1903" s="136"/>
    </row>
    <row r="1904" customFormat="false" ht="15" hidden="false" customHeight="false" outlineLevel="0" collapsed="false">
      <c r="A1904" s="121" t="s">
        <v>142</v>
      </c>
      <c r="F1904" s="122" t="n">
        <f aca="false">ROUND((SUM(F1896:F1903)-F1903)*1.1+F1903,2)</f>
        <v>52.2</v>
      </c>
      <c r="J1904" s="123" t="n">
        <f aca="false">ROUND(SUM(J1896:J1903),2)</f>
        <v>57.14</v>
      </c>
      <c r="N1904" s="137"/>
    </row>
    <row r="1905" customFormat="false" ht="15" hidden="false" customHeight="false" outlineLevel="0" collapsed="false">
      <c r="A1905" s="93" t="s">
        <v>143</v>
      </c>
      <c r="B1905" s="125" t="n">
        <f aca="false">IF((F1900+F1899+F1898+F1896+F1897)=0,"",((F1900+F1899+F1898+F1896+F1897)-$AB$1898)/(F1900+F1899+F1898+F1896+F1897))</f>
        <v>0.0853203129422941</v>
      </c>
      <c r="D1905" s="126" t="str">
        <f aca="false">IF(B1905="","SIN PC",IF(B1905&gt;=0.3,"APROBAR",IF(B1905&gt;=0.2,"REVISAR","RECHAZAR")))</f>
        <v>RECHAZAR</v>
      </c>
      <c r="E1905" s="126"/>
      <c r="F1905" s="126"/>
      <c r="AD1905" s="0" t="n">
        <f aca="false">SUM(F1898:F1900)-13.6063</f>
        <v>0.00370000000000026</v>
      </c>
    </row>
    <row r="1907" customFormat="false" ht="15" hidden="false" customHeight="false" outlineLevel="0" collapsed="false">
      <c r="A1907" s="89" t="s">
        <v>1439</v>
      </c>
      <c r="B1907" s="89"/>
      <c r="C1907" s="89"/>
      <c r="D1907" s="89"/>
      <c r="E1907" s="89"/>
      <c r="F1907" s="89"/>
      <c r="H1907" s="89" t="s">
        <v>1440</v>
      </c>
      <c r="I1907" s="89"/>
      <c r="J1907" s="89"/>
      <c r="K1907" s="89"/>
      <c r="L1907" s="90" t="n">
        <v>46113</v>
      </c>
      <c r="M1907" s="91" t="s">
        <v>608</v>
      </c>
      <c r="N1907" s="90" t="n">
        <v>46142</v>
      </c>
      <c r="R1907" s="92" t="s">
        <v>110</v>
      </c>
      <c r="S1907" s="92"/>
      <c r="T1907" s="92"/>
      <c r="U1907" s="92"/>
      <c r="V1907" s="92"/>
    </row>
    <row r="1908" customFormat="false" ht="15" hidden="false" customHeight="false" outlineLevel="0" collapsed="false">
      <c r="A1908" s="93" t="s">
        <v>111</v>
      </c>
      <c r="B1908" s="94" t="s">
        <v>112</v>
      </c>
      <c r="C1908" s="95"/>
      <c r="D1908" s="95"/>
      <c r="E1908" s="95"/>
      <c r="F1908" s="95"/>
      <c r="H1908" s="96" t="s">
        <v>1441</v>
      </c>
      <c r="I1908" s="97"/>
      <c r="J1908" s="97"/>
      <c r="L1908" s="98" t="s">
        <v>797</v>
      </c>
      <c r="M1908" s="99"/>
      <c r="N1908" s="99"/>
      <c r="R1908" s="100" t="s">
        <v>798</v>
      </c>
    </row>
    <row r="1909" customFormat="false" ht="15" hidden="false" customHeight="false" outlineLevel="0" collapsed="false">
      <c r="B1909" s="81" t="s">
        <v>116</v>
      </c>
      <c r="C1909" s="81" t="s">
        <v>117</v>
      </c>
      <c r="D1909" s="81" t="s">
        <v>118</v>
      </c>
      <c r="E1909" s="81" t="s">
        <v>119</v>
      </c>
      <c r="F1909" s="81" t="s">
        <v>120</v>
      </c>
      <c r="H1909" s="101" t="s">
        <v>116</v>
      </c>
      <c r="I1909" s="101" t="s">
        <v>119</v>
      </c>
      <c r="J1909" s="101" t="s">
        <v>120</v>
      </c>
      <c r="L1909" s="102" t="s">
        <v>116</v>
      </c>
      <c r="M1909" s="102" t="s">
        <v>119</v>
      </c>
      <c r="N1909" s="102" t="s">
        <v>120</v>
      </c>
      <c r="R1909" s="103" t="s">
        <v>765</v>
      </c>
    </row>
    <row r="1910" customFormat="false" ht="15" hidden="false" customHeight="false" outlineLevel="0" collapsed="false">
      <c r="A1910" s="104" t="s">
        <v>122</v>
      </c>
      <c r="B1910" s="105" t="n">
        <v>4.6</v>
      </c>
      <c r="C1910" s="106" t="n">
        <f aca="false">$N$1907-$L$1907+1</f>
        <v>30</v>
      </c>
      <c r="D1910" s="107" t="n">
        <v>3.68919</v>
      </c>
      <c r="E1910" s="108" t="n">
        <v>3.85</v>
      </c>
      <c r="F1910" s="109" t="n">
        <f aca="false">ROUND(B1910*E1910,2)</f>
        <v>17.71</v>
      </c>
      <c r="H1910" s="110" t="n">
        <v>4.6</v>
      </c>
      <c r="I1910" s="111" t="n">
        <v>3.85</v>
      </c>
      <c r="J1910" s="112" t="n">
        <f aca="false">ROUND(H1910*I1910,2)</f>
        <v>17.71</v>
      </c>
      <c r="L1910" s="136"/>
      <c r="M1910" s="136"/>
      <c r="N1910" s="136"/>
      <c r="R1910" s="116" t="s">
        <v>799</v>
      </c>
    </row>
    <row r="1911" customFormat="false" ht="15" hidden="false" customHeight="false" outlineLevel="0" collapsed="false">
      <c r="A1911" s="104" t="s">
        <v>124</v>
      </c>
      <c r="B1911" s="105" t="n">
        <v>4.6</v>
      </c>
      <c r="C1911" s="106" t="n">
        <f aca="false">$N$1907-$L$1907+1</f>
        <v>30</v>
      </c>
      <c r="D1911" s="107" t="n">
        <v>1.31928</v>
      </c>
      <c r="E1911" s="108" t="n">
        <v>1.33</v>
      </c>
      <c r="F1911" s="109" t="n">
        <f aca="false">ROUND(B1911*E1911,2)</f>
        <v>6.12</v>
      </c>
      <c r="H1911" s="110" t="n">
        <v>4.6</v>
      </c>
      <c r="I1911" s="111" t="n">
        <v>1.33</v>
      </c>
      <c r="J1911" s="112" t="n">
        <f aca="false">ROUND(H1911*I1911,2)</f>
        <v>6.12</v>
      </c>
      <c r="L1911" s="136"/>
      <c r="M1911" s="136"/>
      <c r="N1911" s="136"/>
    </row>
    <row r="1912" customFormat="false" ht="15" hidden="false" customHeight="false" outlineLevel="0" collapsed="false">
      <c r="A1912" s="104" t="s">
        <v>615</v>
      </c>
      <c r="B1912" s="105" t="n">
        <f aca="false">IF($P$1912&lt;&gt;"",ROUND(AA1912*(($AB$1912/(1-$P$1912))-23.828)/42.8818,2),IF('Resumen 2.0TD'!$D$3="OPTIMIZAR",AA1912,AA1912))</f>
        <v>69.899</v>
      </c>
      <c r="C1912" s="118"/>
      <c r="D1912" s="107" t="n">
        <v>0.111171</v>
      </c>
      <c r="E1912" s="108" t="n">
        <v>0.13788</v>
      </c>
      <c r="F1912" s="109" t="n">
        <f aca="false">ROUND(B1912*E1912,2)</f>
        <v>9.64</v>
      </c>
      <c r="H1912" s="110" t="n">
        <v>90.862</v>
      </c>
      <c r="I1912" s="111" t="n">
        <v>0.13788</v>
      </c>
      <c r="J1912" s="112" t="n">
        <f aca="false">ROUND(H1912*I1912,2)</f>
        <v>12.53</v>
      </c>
      <c r="L1912" s="136"/>
      <c r="M1912" s="136"/>
      <c r="N1912" s="136"/>
      <c r="O1912" s="119" t="s">
        <v>616</v>
      </c>
      <c r="P1912" s="79"/>
      <c r="AA1912" s="0" t="n">
        <v>69.899</v>
      </c>
      <c r="AB1912" s="0" t="n">
        <f aca="false">B1910*D1910+B1911*D1911+AA1912*D1912+AA1913*D1913+AA1914*D1914</f>
        <v>57.614032368</v>
      </c>
    </row>
    <row r="1913" customFormat="false" ht="15" hidden="false" customHeight="false" outlineLevel="0" collapsed="false">
      <c r="A1913" s="104" t="s">
        <v>618</v>
      </c>
      <c r="B1913" s="105" t="n">
        <f aca="false">IF($P$1912&lt;&gt;"",ROUND(AA1913*(($AB$1912/(1-$P$1912))-23.828)/42.8818,2),IF('Resumen 2.0TD'!$D$3="OPTIMIZAR",AA1913,AA1913))</f>
        <v>96.191</v>
      </c>
      <c r="C1913" s="118"/>
      <c r="D1913" s="107" t="n">
        <v>0.111171</v>
      </c>
      <c r="E1913" s="108" t="n">
        <v>0.13788</v>
      </c>
      <c r="F1913" s="109" t="n">
        <f aca="false">ROUND(B1913*E1913,2)</f>
        <v>13.26</v>
      </c>
      <c r="H1913" s="110" t="n">
        <v>125.749</v>
      </c>
      <c r="I1913" s="111" t="n">
        <v>0.13788</v>
      </c>
      <c r="J1913" s="112" t="n">
        <f aca="false">ROUND(H1913*I1913,2)</f>
        <v>17.34</v>
      </c>
      <c r="L1913" s="136"/>
      <c r="M1913" s="136"/>
      <c r="N1913" s="136"/>
      <c r="O1913" s="120" t="s">
        <v>619</v>
      </c>
      <c r="R1913" s="117" t="s">
        <v>620</v>
      </c>
      <c r="AA1913" s="0" t="n">
        <v>96.191</v>
      </c>
    </row>
    <row r="1914" customFormat="false" ht="15" hidden="false" customHeight="false" outlineLevel="0" collapsed="false">
      <c r="A1914" s="104" t="s">
        <v>621</v>
      </c>
      <c r="B1914" s="105" t="n">
        <f aca="false">IF($P$1912&lt;&gt;"",ROUND(AA1914*(($AB$1912/(1-$P$1912))-23.828)/42.8818,2),IF('Resumen 2.0TD'!$D$3="OPTIMIZAR",AA1914,AA1914))</f>
        <v>144.918</v>
      </c>
      <c r="C1914" s="118"/>
      <c r="D1914" s="107" t="n">
        <v>0.111171</v>
      </c>
      <c r="E1914" s="108" t="n">
        <v>0.13788</v>
      </c>
      <c r="F1914" s="109" t="n">
        <f aca="false">ROUND(B1914*E1914,2)</f>
        <v>19.98</v>
      </c>
      <c r="H1914" s="110" t="n">
        <v>130.646</v>
      </c>
      <c r="I1914" s="111" t="n">
        <v>0.13788</v>
      </c>
      <c r="J1914" s="112" t="n">
        <f aca="false">ROUND(H1914*I1914,2)</f>
        <v>18.01</v>
      </c>
      <c r="L1914" s="136"/>
      <c r="M1914" s="136"/>
      <c r="N1914" s="136"/>
      <c r="O1914" s="120" t="s">
        <v>622</v>
      </c>
      <c r="AA1914" s="0" t="n">
        <v>144.918</v>
      </c>
    </row>
    <row r="1915" customFormat="false" ht="15" hidden="false" customHeight="false" outlineLevel="0" collapsed="false">
      <c r="A1915" s="104" t="s">
        <v>139</v>
      </c>
      <c r="B1915" s="105" t="n">
        <v>1</v>
      </c>
      <c r="C1915" s="106" t="n">
        <f aca="false">$N$1907-$L$1907+1</f>
        <v>30</v>
      </c>
      <c r="D1915" s="107" t="n">
        <v>0.7989</v>
      </c>
      <c r="E1915" s="108" t="n">
        <v>3</v>
      </c>
      <c r="F1915" s="109" t="n">
        <f aca="false">ROUND(B1915*E1915,2)</f>
        <v>3</v>
      </c>
      <c r="H1915" s="110" t="n">
        <v>1</v>
      </c>
      <c r="I1915" s="111" t="n">
        <v>3</v>
      </c>
      <c r="J1915" s="112" t="n">
        <f aca="false">ROUND(H1915*I1915,2)</f>
        <v>3</v>
      </c>
      <c r="L1915" s="136"/>
      <c r="M1915" s="136"/>
      <c r="N1915" s="136"/>
    </row>
    <row r="1916" customFormat="false" ht="15" hidden="false" customHeight="false" outlineLevel="0" collapsed="false">
      <c r="A1916" s="104" t="s">
        <v>140</v>
      </c>
      <c r="B1916" s="105" t="n">
        <v>30</v>
      </c>
      <c r="C1916" s="106" t="n">
        <f aca="false">$N$1907-$L$1907+1</f>
        <v>30</v>
      </c>
      <c r="D1916" s="107" t="n">
        <v>0.5736</v>
      </c>
      <c r="E1916" s="108" t="n">
        <v>0.01274</v>
      </c>
      <c r="F1916" s="109" t="n">
        <f aca="false">ROUND(B1916*E1916,2)</f>
        <v>0.38</v>
      </c>
      <c r="H1916" s="110" t="n">
        <v>30</v>
      </c>
      <c r="I1916" s="111" t="n">
        <v>0.01274</v>
      </c>
      <c r="J1916" s="112" t="n">
        <f aca="false">ROUND(H1916*I1916,2)</f>
        <v>0.38</v>
      </c>
      <c r="L1916" s="136"/>
      <c r="M1916" s="136"/>
      <c r="N1916" s="136"/>
    </row>
    <row r="1917" customFormat="false" ht="15" hidden="false" customHeight="false" outlineLevel="0" collapsed="false">
      <c r="A1917" s="104" t="s">
        <v>141</v>
      </c>
      <c r="B1917" s="105" t="n">
        <v>3.42</v>
      </c>
      <c r="C1917" s="118"/>
      <c r="D1917" s="107" t="n">
        <v>0.27312</v>
      </c>
      <c r="E1917" s="108" t="n">
        <v>1</v>
      </c>
      <c r="F1917" s="109" t="n">
        <f aca="false">ROUND(B1917*E1917,2)</f>
        <v>3.42</v>
      </c>
      <c r="H1917" s="110" t="n">
        <v>3.67</v>
      </c>
      <c r="I1917" s="111" t="n">
        <v>1</v>
      </c>
      <c r="J1917" s="112" t="n">
        <f aca="false">ROUND(H1917*I1917,2)</f>
        <v>3.67</v>
      </c>
      <c r="L1917" s="136"/>
      <c r="M1917" s="136"/>
      <c r="N1917" s="136"/>
    </row>
    <row r="1918" customFormat="false" ht="15" hidden="false" customHeight="false" outlineLevel="0" collapsed="false">
      <c r="A1918" s="121" t="s">
        <v>142</v>
      </c>
      <c r="F1918" s="122" t="n">
        <f aca="false">ROUND((SUM(F1910:F1917)-F1917)*1.1+F1917,2)</f>
        <v>80.52</v>
      </c>
      <c r="J1918" s="123" t="n">
        <f aca="false">ROUND(SUM(J1910:J1917),2)</f>
        <v>78.76</v>
      </c>
      <c r="N1918" s="137"/>
    </row>
    <row r="1919" customFormat="false" ht="15" hidden="false" customHeight="false" outlineLevel="0" collapsed="false">
      <c r="A1919" s="93" t="s">
        <v>143</v>
      </c>
      <c r="B1919" s="125" t="n">
        <f aca="false">IF((F1914+F1913+F1912+F1910+F1911)=0,"",((F1914+F1913+F1912+F1910+F1911)-$AB$1912)/(F1914+F1913+F1912+F1910+F1911))</f>
        <v>0.136350886403838</v>
      </c>
      <c r="D1919" s="126" t="str">
        <f aca="false">IF(B1919="","SIN PC",IF(B1919&gt;=0.3,"APROBAR",IF(B1919&gt;=0.2,"REVISAR","RECHAZAR")))</f>
        <v>RECHAZAR</v>
      </c>
      <c r="E1919" s="126"/>
      <c r="F1919" s="126"/>
      <c r="AD1919" s="0" t="n">
        <f aca="false">SUM(F1912:F1914)-42.8818</f>
        <v>-0.00180000000000291</v>
      </c>
    </row>
    <row r="1921" customFormat="false" ht="15" hidden="false" customHeight="false" outlineLevel="0" collapsed="false">
      <c r="A1921" s="89" t="s">
        <v>1442</v>
      </c>
      <c r="B1921" s="89"/>
      <c r="C1921" s="89"/>
      <c r="D1921" s="89"/>
      <c r="E1921" s="89"/>
      <c r="F1921" s="89"/>
      <c r="H1921" s="89" t="s">
        <v>1443</v>
      </c>
      <c r="I1921" s="89"/>
      <c r="J1921" s="89"/>
      <c r="K1921" s="89"/>
      <c r="L1921" s="90" t="n">
        <v>46113</v>
      </c>
      <c r="M1921" s="91" t="s">
        <v>608</v>
      </c>
      <c r="N1921" s="90" t="n">
        <v>46142</v>
      </c>
      <c r="R1921" s="92" t="s">
        <v>110</v>
      </c>
      <c r="S1921" s="92"/>
      <c r="T1921" s="92"/>
      <c r="U1921" s="92"/>
      <c r="V1921" s="92"/>
    </row>
    <row r="1922" customFormat="false" ht="15" hidden="false" customHeight="false" outlineLevel="0" collapsed="false">
      <c r="A1922" s="93" t="s">
        <v>111</v>
      </c>
      <c r="B1922" s="94" t="s">
        <v>112</v>
      </c>
      <c r="C1922" s="95"/>
      <c r="D1922" s="95"/>
      <c r="E1922" s="95"/>
      <c r="F1922" s="95"/>
      <c r="H1922" s="96" t="s">
        <v>1444</v>
      </c>
      <c r="I1922" s="97"/>
      <c r="J1922" s="97"/>
      <c r="L1922" s="98" t="s">
        <v>797</v>
      </c>
      <c r="M1922" s="99"/>
      <c r="N1922" s="99"/>
      <c r="R1922" s="100" t="s">
        <v>1445</v>
      </c>
    </row>
    <row r="1923" customFormat="false" ht="15" hidden="false" customHeight="false" outlineLevel="0" collapsed="false">
      <c r="B1923" s="81" t="s">
        <v>116</v>
      </c>
      <c r="C1923" s="81" t="s">
        <v>117</v>
      </c>
      <c r="D1923" s="81" t="s">
        <v>118</v>
      </c>
      <c r="E1923" s="81" t="s">
        <v>119</v>
      </c>
      <c r="F1923" s="81" t="s">
        <v>120</v>
      </c>
      <c r="H1923" s="101" t="s">
        <v>116</v>
      </c>
      <c r="I1923" s="101" t="s">
        <v>119</v>
      </c>
      <c r="J1923" s="101" t="s">
        <v>120</v>
      </c>
      <c r="L1923" s="102" t="s">
        <v>116</v>
      </c>
      <c r="M1923" s="102" t="s">
        <v>119</v>
      </c>
      <c r="N1923" s="102" t="s">
        <v>120</v>
      </c>
      <c r="R1923" s="103" t="s">
        <v>765</v>
      </c>
    </row>
    <row r="1924" customFormat="false" ht="15" hidden="false" customHeight="false" outlineLevel="0" collapsed="false">
      <c r="A1924" s="104" t="s">
        <v>122</v>
      </c>
      <c r="B1924" s="105" t="n">
        <v>5.5</v>
      </c>
      <c r="C1924" s="106" t="n">
        <f aca="false">$N$1921-$L$1921+1</f>
        <v>30</v>
      </c>
      <c r="D1924" s="107" t="n">
        <v>3.68919</v>
      </c>
      <c r="E1924" s="108" t="n">
        <v>3.85</v>
      </c>
      <c r="F1924" s="109" t="n">
        <f aca="false">ROUND(B1924*E1924,2)</f>
        <v>21.18</v>
      </c>
      <c r="H1924" s="110" t="n">
        <v>5.5</v>
      </c>
      <c r="I1924" s="111" t="n">
        <v>3.85</v>
      </c>
      <c r="J1924" s="112" t="n">
        <f aca="false">ROUND(H1924*I1924,2)</f>
        <v>21.18</v>
      </c>
      <c r="L1924" s="136"/>
      <c r="M1924" s="136"/>
      <c r="N1924" s="136"/>
      <c r="R1924" s="116" t="s">
        <v>1446</v>
      </c>
    </row>
    <row r="1925" customFormat="false" ht="15" hidden="false" customHeight="false" outlineLevel="0" collapsed="false">
      <c r="A1925" s="104" t="s">
        <v>124</v>
      </c>
      <c r="B1925" s="105" t="n">
        <v>2</v>
      </c>
      <c r="C1925" s="106" t="n">
        <f aca="false">$N$1921-$L$1921+1</f>
        <v>30</v>
      </c>
      <c r="D1925" s="107" t="n">
        <v>1.31928</v>
      </c>
      <c r="E1925" s="108" t="n">
        <v>1.33</v>
      </c>
      <c r="F1925" s="109" t="n">
        <f aca="false">ROUND(B1925*E1925,2)</f>
        <v>2.66</v>
      </c>
      <c r="H1925" s="110" t="n">
        <v>2</v>
      </c>
      <c r="I1925" s="111" t="n">
        <v>1.33</v>
      </c>
      <c r="J1925" s="112" t="n">
        <f aca="false">ROUND(H1925*I1925,2)</f>
        <v>2.66</v>
      </c>
      <c r="L1925" s="136"/>
      <c r="M1925" s="136"/>
      <c r="N1925" s="136"/>
    </row>
    <row r="1926" customFormat="false" ht="15" hidden="false" customHeight="false" outlineLevel="0" collapsed="false">
      <c r="A1926" s="104" t="s">
        <v>615</v>
      </c>
      <c r="B1926" s="105" t="n">
        <f aca="false">IF($P$1926&lt;&gt;"",ROUND(AA1926*(($AB$1926/(1-$P$1926))-23.835)/23.5279,2),IF('Resumen 2.0TD'!$D$3="OPTIMIZAR",AA1926,AA1926))</f>
        <v>182.387</v>
      </c>
      <c r="C1926" s="118"/>
      <c r="D1926" s="107" t="n">
        <v>0.111171</v>
      </c>
      <c r="E1926" s="108" t="n">
        <v>0.129</v>
      </c>
      <c r="F1926" s="109" t="n">
        <f aca="false">ROUND(B1926*E1926,2)</f>
        <v>23.53</v>
      </c>
      <c r="H1926" s="110" t="n">
        <v>354</v>
      </c>
      <c r="I1926" s="111" t="n">
        <v>0.129</v>
      </c>
      <c r="J1926" s="112" t="n">
        <f aca="false">ROUND(H1926*I1926,2)</f>
        <v>45.67</v>
      </c>
      <c r="L1926" s="136"/>
      <c r="M1926" s="136"/>
      <c r="N1926" s="136"/>
      <c r="O1926" s="119" t="s">
        <v>616</v>
      </c>
      <c r="P1926" s="79"/>
      <c r="AA1926" s="0" t="n">
        <v>182.387</v>
      </c>
      <c r="AB1926" s="0" t="n">
        <f aca="false">B1924*D1924+B1925*D1925+AA1926*D1926+AA1927*D1927+AA1928*D1928</f>
        <v>43.205250177</v>
      </c>
    </row>
    <row r="1927" customFormat="false" ht="15" hidden="false" customHeight="false" outlineLevel="0" collapsed="false">
      <c r="A1927" s="104" t="s">
        <v>618</v>
      </c>
      <c r="B1927" s="105" t="n">
        <f aca="false">IF($P$1926&lt;&gt;"",ROUND(AA1927*(($AB$1926/(1-$P$1926))-23.835)/23.5279,2),IF('Resumen 2.0TD'!$D$3="OPTIMIZAR",AA1927,AA1927))</f>
        <v>0</v>
      </c>
      <c r="C1927" s="118"/>
      <c r="D1927" s="107" t="n">
        <v>0.111171</v>
      </c>
      <c r="E1927" s="108" t="n">
        <v>0</v>
      </c>
      <c r="F1927" s="109" t="n">
        <f aca="false">ROUND(B1927*E1927,2)</f>
        <v>0</v>
      </c>
      <c r="H1927" s="138"/>
      <c r="I1927" s="138"/>
      <c r="J1927" s="138"/>
      <c r="L1927" s="136"/>
      <c r="M1927" s="136"/>
      <c r="N1927" s="136"/>
      <c r="O1927" s="120" t="s">
        <v>619</v>
      </c>
      <c r="R1927" s="117" t="s">
        <v>620</v>
      </c>
      <c r="AA1927" s="0" t="n">
        <v>0</v>
      </c>
    </row>
    <row r="1928" customFormat="false" ht="15" hidden="false" customHeight="false" outlineLevel="0" collapsed="false">
      <c r="A1928" s="104" t="s">
        <v>621</v>
      </c>
      <c r="B1928" s="105" t="n">
        <f aca="false">IF($P$1926&lt;&gt;"",ROUND(AA1928*(($AB$1926/(1-$P$1926))-23.835)/23.5279,2),IF('Resumen 2.0TD'!$D$3="OPTIMIZAR",AA1928,AA1928))</f>
        <v>0</v>
      </c>
      <c r="C1928" s="118"/>
      <c r="D1928" s="107" t="n">
        <v>0.111171</v>
      </c>
      <c r="E1928" s="108" t="n">
        <v>0</v>
      </c>
      <c r="F1928" s="109" t="n">
        <f aca="false">ROUND(B1928*E1928,2)</f>
        <v>0</v>
      </c>
      <c r="H1928" s="138"/>
      <c r="I1928" s="138"/>
      <c r="J1928" s="138"/>
      <c r="L1928" s="136"/>
      <c r="M1928" s="136"/>
      <c r="N1928" s="136"/>
      <c r="O1928" s="120" t="s">
        <v>622</v>
      </c>
      <c r="AA1928" s="0" t="n">
        <v>0</v>
      </c>
    </row>
    <row r="1929" customFormat="false" ht="15" hidden="false" customHeight="false" outlineLevel="0" collapsed="false">
      <c r="A1929" s="104" t="s">
        <v>139</v>
      </c>
      <c r="B1929" s="105" t="n">
        <v>1</v>
      </c>
      <c r="C1929" s="106" t="n">
        <f aca="false">$N$1921-$L$1921+1</f>
        <v>30</v>
      </c>
      <c r="D1929" s="107" t="n">
        <v>0.7989</v>
      </c>
      <c r="E1929" s="108" t="n">
        <v>1</v>
      </c>
      <c r="F1929" s="109" t="n">
        <f aca="false">ROUND(B1929*E1929,2)</f>
        <v>1</v>
      </c>
      <c r="H1929" s="110" t="n">
        <v>1</v>
      </c>
      <c r="I1929" s="111" t="n">
        <v>1</v>
      </c>
      <c r="J1929" s="112" t="n">
        <f aca="false">ROUND(H1929*I1929,2)</f>
        <v>1</v>
      </c>
      <c r="L1929" s="136"/>
      <c r="M1929" s="136"/>
      <c r="N1929" s="136"/>
    </row>
    <row r="1930" customFormat="false" ht="15" hidden="false" customHeight="false" outlineLevel="0" collapsed="false">
      <c r="A1930" s="104" t="s">
        <v>140</v>
      </c>
      <c r="B1930" s="105" t="n">
        <v>30</v>
      </c>
      <c r="C1930" s="106" t="n">
        <f aca="false">$N$1921-$L$1921+1</f>
        <v>30</v>
      </c>
      <c r="D1930" s="107" t="n">
        <v>0.5736</v>
      </c>
      <c r="E1930" s="108" t="n">
        <v>0.01274</v>
      </c>
      <c r="F1930" s="109" t="n">
        <f aca="false">ROUND(B1930*E1930,2)</f>
        <v>0.38</v>
      </c>
      <c r="H1930" s="110" t="n">
        <v>30</v>
      </c>
      <c r="I1930" s="111" t="n">
        <v>0.01274</v>
      </c>
      <c r="J1930" s="112" t="n">
        <f aca="false">ROUND(H1930*I1930,2)</f>
        <v>0.38</v>
      </c>
      <c r="L1930" s="136"/>
      <c r="M1930" s="136"/>
      <c r="N1930" s="136"/>
    </row>
    <row r="1931" customFormat="false" ht="15" hidden="false" customHeight="false" outlineLevel="0" collapsed="false">
      <c r="A1931" s="104" t="s">
        <v>141</v>
      </c>
      <c r="B1931" s="105" t="n">
        <v>1.23</v>
      </c>
      <c r="C1931" s="118"/>
      <c r="D1931" s="107" t="n">
        <v>0.27312</v>
      </c>
      <c r="E1931" s="108" t="n">
        <v>1</v>
      </c>
      <c r="F1931" s="109" t="n">
        <f aca="false">ROUND(B1931*E1931,2)</f>
        <v>1.23</v>
      </c>
      <c r="H1931" s="110" t="n">
        <v>1.23</v>
      </c>
      <c r="I1931" s="111" t="n">
        <v>1</v>
      </c>
      <c r="J1931" s="112" t="n">
        <f aca="false">ROUND(H1931*I1931,2)</f>
        <v>1.23</v>
      </c>
      <c r="L1931" s="136"/>
      <c r="M1931" s="136"/>
      <c r="N1931" s="136"/>
    </row>
    <row r="1932" customFormat="false" ht="15" hidden="false" customHeight="false" outlineLevel="0" collapsed="false">
      <c r="A1932" s="121" t="s">
        <v>142</v>
      </c>
      <c r="F1932" s="122" t="n">
        <f aca="false">ROUND((SUM(F1924:F1931)-F1931)*1.1+F1931,2)</f>
        <v>54.86</v>
      </c>
      <c r="J1932" s="123" t="n">
        <f aca="false">ROUND(SUM(J1924:J1931),2)</f>
        <v>72.12</v>
      </c>
      <c r="N1932" s="137"/>
    </row>
    <row r="1933" customFormat="false" ht="15" hidden="false" customHeight="false" outlineLevel="0" collapsed="false">
      <c r="A1933" s="93" t="s">
        <v>143</v>
      </c>
      <c r="B1933" s="125" t="n">
        <f aca="false">IF((F1928+F1927+F1926+F1924+F1925)=0,"",((F1928+F1927+F1926+F1924+F1925)-$AB$1926)/(F1928+F1927+F1926+F1924+F1925))</f>
        <v>0.0879195656111465</v>
      </c>
      <c r="D1933" s="126" t="str">
        <f aca="false">IF(B1933="","SIN PC",IF(B1933&gt;=0.3,"APROBAR",IF(B1933&gt;=0.2,"REVISAR","RECHAZAR")))</f>
        <v>RECHAZAR</v>
      </c>
      <c r="E1933" s="126"/>
      <c r="F1933" s="126"/>
      <c r="AD1933" s="0" t="n">
        <f aca="false">SUM(F1926:F1928)-23.5279</f>
        <v>0.00210000000000221</v>
      </c>
    </row>
    <row r="1935" customFormat="false" ht="15" hidden="false" customHeight="false" outlineLevel="0" collapsed="false">
      <c r="A1935" s="89" t="s">
        <v>1447</v>
      </c>
      <c r="B1935" s="89"/>
      <c r="C1935" s="89"/>
      <c r="D1935" s="89"/>
      <c r="E1935" s="89"/>
      <c r="F1935" s="89"/>
      <c r="H1935" s="89" t="s">
        <v>1448</v>
      </c>
      <c r="I1935" s="89"/>
      <c r="J1935" s="89"/>
      <c r="K1935" s="89"/>
      <c r="L1935" s="90" t="n">
        <v>46113</v>
      </c>
      <c r="M1935" s="91" t="s">
        <v>608</v>
      </c>
      <c r="N1935" s="90" t="n">
        <v>46142</v>
      </c>
      <c r="R1935" s="92" t="s">
        <v>110</v>
      </c>
      <c r="S1935" s="92"/>
      <c r="T1935" s="92"/>
      <c r="U1935" s="92"/>
      <c r="V1935" s="92"/>
    </row>
    <row r="1936" customFormat="false" ht="15" hidden="false" customHeight="false" outlineLevel="0" collapsed="false">
      <c r="A1936" s="93" t="s">
        <v>111</v>
      </c>
      <c r="B1936" s="94" t="s">
        <v>112</v>
      </c>
      <c r="C1936" s="95"/>
      <c r="D1936" s="95"/>
      <c r="E1936" s="95"/>
      <c r="F1936" s="95"/>
      <c r="H1936" s="96" t="s">
        <v>1449</v>
      </c>
      <c r="I1936" s="97"/>
      <c r="J1936" s="97"/>
      <c r="L1936" s="98" t="s">
        <v>797</v>
      </c>
      <c r="M1936" s="99"/>
      <c r="N1936" s="99"/>
      <c r="R1936" s="100" t="s">
        <v>798</v>
      </c>
    </row>
    <row r="1937" customFormat="false" ht="15" hidden="false" customHeight="false" outlineLevel="0" collapsed="false">
      <c r="B1937" s="81" t="s">
        <v>116</v>
      </c>
      <c r="C1937" s="81" t="s">
        <v>117</v>
      </c>
      <c r="D1937" s="81" t="s">
        <v>118</v>
      </c>
      <c r="E1937" s="81" t="s">
        <v>119</v>
      </c>
      <c r="F1937" s="81" t="s">
        <v>120</v>
      </c>
      <c r="H1937" s="101" t="s">
        <v>116</v>
      </c>
      <c r="I1937" s="101" t="s">
        <v>119</v>
      </c>
      <c r="J1937" s="101" t="s">
        <v>120</v>
      </c>
      <c r="L1937" s="102" t="s">
        <v>116</v>
      </c>
      <c r="M1937" s="102" t="s">
        <v>119</v>
      </c>
      <c r="N1937" s="102" t="s">
        <v>120</v>
      </c>
      <c r="R1937" s="103" t="s">
        <v>765</v>
      </c>
    </row>
    <row r="1938" customFormat="false" ht="15" hidden="false" customHeight="false" outlineLevel="0" collapsed="false">
      <c r="A1938" s="104" t="s">
        <v>122</v>
      </c>
      <c r="B1938" s="105" t="n">
        <v>3.45</v>
      </c>
      <c r="C1938" s="106" t="n">
        <f aca="false">$N$1935-$L$1935+1</f>
        <v>30</v>
      </c>
      <c r="D1938" s="107" t="n">
        <v>3.68919</v>
      </c>
      <c r="E1938" s="108" t="n">
        <v>3.85</v>
      </c>
      <c r="F1938" s="109" t="n">
        <f aca="false">ROUND(B1938*E1938,2)</f>
        <v>13.28</v>
      </c>
      <c r="H1938" s="110" t="n">
        <v>3.45</v>
      </c>
      <c r="I1938" s="111" t="n">
        <v>3.85</v>
      </c>
      <c r="J1938" s="112" t="n">
        <f aca="false">ROUND(H1938*I1938,2)</f>
        <v>13.28</v>
      </c>
      <c r="L1938" s="136"/>
      <c r="M1938" s="136"/>
      <c r="N1938" s="136"/>
      <c r="R1938" s="116" t="s">
        <v>799</v>
      </c>
    </row>
    <row r="1939" customFormat="false" ht="15" hidden="false" customHeight="false" outlineLevel="0" collapsed="false">
      <c r="A1939" s="104" t="s">
        <v>124</v>
      </c>
      <c r="B1939" s="105" t="n">
        <v>3.45</v>
      </c>
      <c r="C1939" s="106" t="n">
        <f aca="false">$N$1935-$L$1935+1</f>
        <v>30</v>
      </c>
      <c r="D1939" s="107" t="n">
        <v>1.31928</v>
      </c>
      <c r="E1939" s="108" t="n">
        <v>1.33</v>
      </c>
      <c r="F1939" s="109" t="n">
        <f aca="false">ROUND(B1939*E1939,2)</f>
        <v>4.59</v>
      </c>
      <c r="H1939" s="110" t="n">
        <v>3.45</v>
      </c>
      <c r="I1939" s="111" t="n">
        <v>1.33</v>
      </c>
      <c r="J1939" s="112" t="n">
        <f aca="false">ROUND(H1939*I1939,2)</f>
        <v>4.59</v>
      </c>
      <c r="L1939" s="136"/>
      <c r="M1939" s="136"/>
      <c r="N1939" s="136"/>
    </row>
    <row r="1940" customFormat="false" ht="15" hidden="false" customHeight="false" outlineLevel="0" collapsed="false">
      <c r="A1940" s="104" t="s">
        <v>615</v>
      </c>
      <c r="B1940" s="105" t="n">
        <f aca="false">IF($P$1940&lt;&gt;"",ROUND(AA1940*(($AB$1940/(1-$P$1940))-17.871)/24.8214,2),IF('Resumen 2.0TD'!$D$3="OPTIMIZAR",AA1940,AA1940))</f>
        <v>42.986</v>
      </c>
      <c r="C1940" s="118"/>
      <c r="D1940" s="107" t="n">
        <v>0.111171</v>
      </c>
      <c r="E1940" s="108" t="n">
        <v>0.13788</v>
      </c>
      <c r="F1940" s="109" t="n">
        <f aca="false">ROUND(B1940*E1940,2)</f>
        <v>5.93</v>
      </c>
      <c r="H1940" s="110" t="n">
        <v>56.643</v>
      </c>
      <c r="I1940" s="111" t="n">
        <v>0.13788</v>
      </c>
      <c r="J1940" s="112" t="n">
        <f aca="false">ROUND(H1940*I1940,2)</f>
        <v>7.81</v>
      </c>
      <c r="L1940" s="136"/>
      <c r="M1940" s="136"/>
      <c r="N1940" s="136"/>
      <c r="O1940" s="119" t="s">
        <v>616</v>
      </c>
      <c r="P1940" s="79"/>
      <c r="AA1940" s="0" t="n">
        <v>42.986</v>
      </c>
      <c r="AB1940" s="0" t="n">
        <f aca="false">B1938*D1938+B1939*D1939+AA1940*D1940+AA1941*D1941+AA1942*D1942</f>
        <v>37.292447262</v>
      </c>
    </row>
    <row r="1941" customFormat="false" ht="15" hidden="false" customHeight="false" outlineLevel="0" collapsed="false">
      <c r="A1941" s="104" t="s">
        <v>618</v>
      </c>
      <c r="B1941" s="105" t="n">
        <f aca="false">IF($P$1940&lt;&gt;"",ROUND(AA1941*(($AB$1940/(1-$P$1940))-17.871)/24.8214,2),IF('Resumen 2.0TD'!$D$3="OPTIMIZAR",AA1941,AA1941))</f>
        <v>29.61</v>
      </c>
      <c r="C1941" s="118"/>
      <c r="D1941" s="107" t="n">
        <v>0.111171</v>
      </c>
      <c r="E1941" s="108" t="n">
        <v>0.13788</v>
      </c>
      <c r="F1941" s="109" t="n">
        <f aca="false">ROUND(B1941*E1941,2)</f>
        <v>4.08</v>
      </c>
      <c r="H1941" s="110" t="n">
        <v>75.685</v>
      </c>
      <c r="I1941" s="111" t="n">
        <v>0.13788</v>
      </c>
      <c r="J1941" s="112" t="n">
        <f aca="false">ROUND(H1941*I1941,2)</f>
        <v>10.44</v>
      </c>
      <c r="L1941" s="136"/>
      <c r="M1941" s="136"/>
      <c r="N1941" s="136"/>
      <c r="O1941" s="120" t="s">
        <v>619</v>
      </c>
      <c r="R1941" s="117" t="s">
        <v>620</v>
      </c>
      <c r="AA1941" s="0" t="n">
        <v>29.61</v>
      </c>
    </row>
    <row r="1942" customFormat="false" ht="15" hidden="false" customHeight="false" outlineLevel="0" collapsed="false">
      <c r="A1942" s="104" t="s">
        <v>621</v>
      </c>
      <c r="B1942" s="105" t="n">
        <f aca="false">IF($P$1940&lt;&gt;"",ROUND(AA1942*(($AB$1940/(1-$P$1940))-17.871)/24.8214,2),IF('Resumen 2.0TD'!$D$3="OPTIMIZAR",AA1942,AA1942))</f>
        <v>107.426</v>
      </c>
      <c r="C1942" s="118"/>
      <c r="D1942" s="107" t="n">
        <v>0.111171</v>
      </c>
      <c r="E1942" s="108" t="n">
        <v>0.13788</v>
      </c>
      <c r="F1942" s="109" t="n">
        <f aca="false">ROUND(B1942*E1942,2)</f>
        <v>14.81</v>
      </c>
      <c r="H1942" s="110" t="n">
        <v>283.436</v>
      </c>
      <c r="I1942" s="111" t="n">
        <v>0.13788</v>
      </c>
      <c r="J1942" s="112" t="n">
        <f aca="false">ROUND(H1942*I1942,2)</f>
        <v>39.08</v>
      </c>
      <c r="L1942" s="136"/>
      <c r="M1942" s="136"/>
      <c r="N1942" s="136"/>
      <c r="O1942" s="120" t="s">
        <v>622</v>
      </c>
      <c r="AA1942" s="0" t="n">
        <v>107.426</v>
      </c>
    </row>
    <row r="1943" customFormat="false" ht="15" hidden="false" customHeight="false" outlineLevel="0" collapsed="false">
      <c r="A1943" s="104" t="s">
        <v>139</v>
      </c>
      <c r="B1943" s="105" t="n">
        <v>1</v>
      </c>
      <c r="C1943" s="106" t="n">
        <f aca="false">$N$1935-$L$1935+1</f>
        <v>30</v>
      </c>
      <c r="D1943" s="107" t="n">
        <v>0.7989</v>
      </c>
      <c r="E1943" s="108" t="n">
        <v>3</v>
      </c>
      <c r="F1943" s="109" t="n">
        <f aca="false">ROUND(B1943*E1943,2)</f>
        <v>3</v>
      </c>
      <c r="H1943" s="110" t="n">
        <v>1</v>
      </c>
      <c r="I1943" s="111" t="n">
        <v>3</v>
      </c>
      <c r="J1943" s="112" t="n">
        <f aca="false">ROUND(H1943*I1943,2)</f>
        <v>3</v>
      </c>
      <c r="L1943" s="136"/>
      <c r="M1943" s="136"/>
      <c r="N1943" s="136"/>
    </row>
    <row r="1944" customFormat="false" ht="15" hidden="false" customHeight="false" outlineLevel="0" collapsed="false">
      <c r="A1944" s="104" t="s">
        <v>140</v>
      </c>
      <c r="B1944" s="105" t="n">
        <v>30</v>
      </c>
      <c r="C1944" s="106" t="n">
        <f aca="false">$N$1935-$L$1935+1</f>
        <v>30</v>
      </c>
      <c r="D1944" s="107" t="n">
        <v>0.5736</v>
      </c>
      <c r="E1944" s="108" t="n">
        <v>0.01274</v>
      </c>
      <c r="F1944" s="109" t="n">
        <f aca="false">ROUND(B1944*E1944,2)</f>
        <v>0.38</v>
      </c>
      <c r="H1944" s="110" t="n">
        <v>30</v>
      </c>
      <c r="I1944" s="111" t="n">
        <v>0.01274</v>
      </c>
      <c r="J1944" s="112" t="n">
        <f aca="false">ROUND(H1944*I1944,2)</f>
        <v>0.38</v>
      </c>
      <c r="L1944" s="136"/>
      <c r="M1944" s="136"/>
      <c r="N1944" s="136"/>
    </row>
    <row r="1945" customFormat="false" ht="15" hidden="false" customHeight="false" outlineLevel="0" collapsed="false">
      <c r="A1945" s="104" t="s">
        <v>141</v>
      </c>
      <c r="B1945" s="105" t="n">
        <v>2.19</v>
      </c>
      <c r="C1945" s="118"/>
      <c r="D1945" s="107" t="n">
        <v>0.27312</v>
      </c>
      <c r="E1945" s="108" t="n">
        <v>1</v>
      </c>
      <c r="F1945" s="109" t="n">
        <f aca="false">ROUND(B1945*E1945,2)</f>
        <v>2.19</v>
      </c>
      <c r="H1945" s="110" t="n">
        <v>3.85</v>
      </c>
      <c r="I1945" s="111" t="n">
        <v>1</v>
      </c>
      <c r="J1945" s="112" t="n">
        <f aca="false">ROUND(H1945*I1945,2)</f>
        <v>3.85</v>
      </c>
      <c r="L1945" s="136"/>
      <c r="M1945" s="136"/>
      <c r="N1945" s="136"/>
    </row>
    <row r="1946" customFormat="false" ht="15" hidden="false" customHeight="false" outlineLevel="0" collapsed="false">
      <c r="A1946" s="121" t="s">
        <v>142</v>
      </c>
      <c r="F1946" s="122" t="n">
        <f aca="false">ROUND((SUM(F1938:F1945)-F1945)*1.1+F1945,2)</f>
        <v>52.87</v>
      </c>
      <c r="J1946" s="123" t="n">
        <f aca="false">ROUND(SUM(J1938:J1945),2)</f>
        <v>82.43</v>
      </c>
      <c r="N1946" s="137"/>
    </row>
    <row r="1947" customFormat="false" ht="15" hidden="false" customHeight="false" outlineLevel="0" collapsed="false">
      <c r="A1947" s="93" t="s">
        <v>143</v>
      </c>
      <c r="B1947" s="125" t="n">
        <f aca="false">IF((F1942+F1941+F1940+F1938+F1939)=0,"",((F1942+F1941+F1940+F1938+F1939)-$AB$1940)/(F1942+F1941+F1940+F1938+F1939))</f>
        <v>0.126435997610682</v>
      </c>
      <c r="D1947" s="126" t="str">
        <f aca="false">IF(B1947="","SIN PC",IF(B1947&gt;=0.3,"APROBAR",IF(B1947&gt;=0.2,"REVISAR","RECHAZAR")))</f>
        <v>RECHAZAR</v>
      </c>
      <c r="E1947" s="126"/>
      <c r="F1947" s="126"/>
      <c r="AD1947" s="0" t="n">
        <f aca="false">SUM(F1940:F1942)-24.8214</f>
        <v>-0.00140000000000029</v>
      </c>
    </row>
    <row r="1949" customFormat="false" ht="15" hidden="false" customHeight="false" outlineLevel="0" collapsed="false">
      <c r="A1949" s="89" t="s">
        <v>1450</v>
      </c>
      <c r="B1949" s="89"/>
      <c r="C1949" s="89"/>
      <c r="D1949" s="89"/>
      <c r="E1949" s="89"/>
      <c r="F1949" s="89"/>
      <c r="H1949" s="89" t="s">
        <v>1451</v>
      </c>
      <c r="I1949" s="89"/>
      <c r="J1949" s="89"/>
      <c r="K1949" s="89"/>
      <c r="L1949" s="90" t="n">
        <v>46113</v>
      </c>
      <c r="M1949" s="91" t="s">
        <v>608</v>
      </c>
      <c r="N1949" s="90" t="n">
        <v>46142</v>
      </c>
      <c r="R1949" s="92" t="s">
        <v>110</v>
      </c>
      <c r="S1949" s="92"/>
      <c r="T1949" s="92"/>
      <c r="U1949" s="92"/>
      <c r="V1949" s="92"/>
    </row>
    <row r="1950" customFormat="false" ht="15" hidden="false" customHeight="false" outlineLevel="0" collapsed="false">
      <c r="A1950" s="93" t="s">
        <v>111</v>
      </c>
      <c r="B1950" s="94" t="s">
        <v>112</v>
      </c>
      <c r="C1950" s="95"/>
      <c r="D1950" s="95"/>
      <c r="E1950" s="95"/>
      <c r="F1950" s="95"/>
      <c r="H1950" s="96" t="s">
        <v>1452</v>
      </c>
      <c r="I1950" s="97"/>
      <c r="J1950" s="97"/>
      <c r="L1950" s="98" t="s">
        <v>797</v>
      </c>
      <c r="M1950" s="99"/>
      <c r="N1950" s="99"/>
      <c r="R1950" s="100" t="s">
        <v>1445</v>
      </c>
    </row>
    <row r="1951" customFormat="false" ht="15" hidden="false" customHeight="false" outlineLevel="0" collapsed="false">
      <c r="B1951" s="81" t="s">
        <v>116</v>
      </c>
      <c r="C1951" s="81" t="s">
        <v>117</v>
      </c>
      <c r="D1951" s="81" t="s">
        <v>118</v>
      </c>
      <c r="E1951" s="81" t="s">
        <v>119</v>
      </c>
      <c r="F1951" s="81" t="s">
        <v>120</v>
      </c>
      <c r="H1951" s="101" t="s">
        <v>116</v>
      </c>
      <c r="I1951" s="101" t="s">
        <v>119</v>
      </c>
      <c r="J1951" s="101" t="s">
        <v>120</v>
      </c>
      <c r="L1951" s="102" t="s">
        <v>116</v>
      </c>
      <c r="M1951" s="102" t="s">
        <v>119</v>
      </c>
      <c r="N1951" s="102" t="s">
        <v>120</v>
      </c>
      <c r="R1951" s="103" t="s">
        <v>765</v>
      </c>
    </row>
    <row r="1952" customFormat="false" ht="15" hidden="false" customHeight="false" outlineLevel="0" collapsed="false">
      <c r="A1952" s="104" t="s">
        <v>122</v>
      </c>
      <c r="B1952" s="105" t="n">
        <v>3.3</v>
      </c>
      <c r="C1952" s="106" t="n">
        <f aca="false">$N$1949-$L$1949+1</f>
        <v>30</v>
      </c>
      <c r="D1952" s="107" t="n">
        <v>3.68919</v>
      </c>
      <c r="E1952" s="108" t="n">
        <v>3.85</v>
      </c>
      <c r="F1952" s="109" t="n">
        <f aca="false">ROUND(B1952*E1952,2)</f>
        <v>12.71</v>
      </c>
      <c r="H1952" s="138"/>
      <c r="I1952" s="138"/>
      <c r="J1952" s="138"/>
      <c r="L1952" s="136"/>
      <c r="M1952" s="136"/>
      <c r="N1952" s="136"/>
      <c r="R1952" s="116" t="s">
        <v>1446</v>
      </c>
    </row>
    <row r="1953" customFormat="false" ht="15" hidden="false" customHeight="false" outlineLevel="0" collapsed="false">
      <c r="A1953" s="104" t="s">
        <v>124</v>
      </c>
      <c r="B1953" s="105" t="n">
        <v>3.3</v>
      </c>
      <c r="C1953" s="106" t="n">
        <f aca="false">$N$1949-$L$1949+1</f>
        <v>30</v>
      </c>
      <c r="D1953" s="107" t="n">
        <v>1.31928</v>
      </c>
      <c r="E1953" s="108" t="n">
        <v>1.33</v>
      </c>
      <c r="F1953" s="109" t="n">
        <f aca="false">ROUND(B1953*E1953,2)</f>
        <v>4.39</v>
      </c>
      <c r="H1953" s="138"/>
      <c r="I1953" s="138"/>
      <c r="J1953" s="138"/>
      <c r="L1953" s="136"/>
      <c r="M1953" s="136"/>
      <c r="N1953" s="136"/>
    </row>
    <row r="1954" customFormat="false" ht="15" hidden="false" customHeight="false" outlineLevel="0" collapsed="false">
      <c r="A1954" s="104" t="s">
        <v>615</v>
      </c>
      <c r="B1954" s="105" t="n">
        <f aca="false">IF($P$1954&lt;&gt;"",ROUND(AA1954*(($AB$1954/(1-$P$1954))-17.094)/18.2781,2),IF('Resumen 2.0TD'!$D$3="OPTIMIZAR",AA1954,AA1954))</f>
        <v>36.17</v>
      </c>
      <c r="C1954" s="118"/>
      <c r="D1954" s="107" t="n">
        <v>0.111171</v>
      </c>
      <c r="E1954" s="108" t="n">
        <v>0.13788</v>
      </c>
      <c r="F1954" s="109" t="n">
        <f aca="false">ROUND(B1954*E1954,2)</f>
        <v>4.99</v>
      </c>
      <c r="H1954" s="138"/>
      <c r="I1954" s="138"/>
      <c r="J1954" s="138"/>
      <c r="L1954" s="136"/>
      <c r="M1954" s="136"/>
      <c r="N1954" s="136"/>
      <c r="O1954" s="119" t="s">
        <v>616</v>
      </c>
      <c r="P1954" s="79"/>
      <c r="AA1954" s="0" t="n">
        <v>36.17</v>
      </c>
      <c r="AB1954" s="0" t="n">
        <f aca="false">B1952*D1952+B1953*D1953+AA1954*D1954+AA1955*D1955+AA1956*D1956</f>
        <v>31.265334615</v>
      </c>
    </row>
    <row r="1955" customFormat="false" ht="15" hidden="false" customHeight="false" outlineLevel="0" collapsed="false">
      <c r="A1955" s="104" t="s">
        <v>618</v>
      </c>
      <c r="B1955" s="105" t="n">
        <f aca="false">IF($P$1954&lt;&gt;"",ROUND(AA1955*(($AB$1954/(1-$P$1954))-17.094)/18.2781,2),IF('Resumen 2.0TD'!$D$3="OPTIMIZAR",AA1955,AA1955))</f>
        <v>29.212</v>
      </c>
      <c r="C1955" s="118"/>
      <c r="D1955" s="107" t="n">
        <v>0.111171</v>
      </c>
      <c r="E1955" s="108" t="n">
        <v>0.13788</v>
      </c>
      <c r="F1955" s="109" t="n">
        <f aca="false">ROUND(B1955*E1955,2)</f>
        <v>4.03</v>
      </c>
      <c r="H1955" s="138"/>
      <c r="I1955" s="138"/>
      <c r="J1955" s="138"/>
      <c r="L1955" s="136"/>
      <c r="M1955" s="136"/>
      <c r="N1955" s="136"/>
      <c r="O1955" s="120" t="s">
        <v>619</v>
      </c>
      <c r="R1955" s="117" t="s">
        <v>620</v>
      </c>
      <c r="AA1955" s="0" t="n">
        <v>29.212</v>
      </c>
    </row>
    <row r="1956" customFormat="false" ht="15" hidden="false" customHeight="false" outlineLevel="0" collapsed="false">
      <c r="A1956" s="104" t="s">
        <v>621</v>
      </c>
      <c r="B1956" s="105" t="n">
        <f aca="false">IF($P$1954&lt;&gt;"",ROUND(AA1956*(($AB$1954/(1-$P$1954))-17.094)/18.2781,2),IF('Resumen 2.0TD'!$D$3="OPTIMIZAR",AA1956,AA1956))</f>
        <v>67.183</v>
      </c>
      <c r="C1956" s="118"/>
      <c r="D1956" s="107" t="n">
        <v>0.111171</v>
      </c>
      <c r="E1956" s="108" t="n">
        <v>0.13788</v>
      </c>
      <c r="F1956" s="109" t="n">
        <f aca="false">ROUND(B1956*E1956,2)</f>
        <v>9.26</v>
      </c>
      <c r="H1956" s="138"/>
      <c r="I1956" s="138"/>
      <c r="J1956" s="138"/>
      <c r="L1956" s="136"/>
      <c r="M1956" s="136"/>
      <c r="N1956" s="136"/>
      <c r="O1956" s="120" t="s">
        <v>622</v>
      </c>
      <c r="AA1956" s="0" t="n">
        <v>67.183</v>
      </c>
    </row>
    <row r="1957" customFormat="false" ht="15" hidden="false" customHeight="false" outlineLevel="0" collapsed="false">
      <c r="A1957" s="104" t="s">
        <v>139</v>
      </c>
      <c r="B1957" s="105" t="n">
        <v>1</v>
      </c>
      <c r="C1957" s="106" t="n">
        <f aca="false">$N$1949-$L$1949+1</f>
        <v>30</v>
      </c>
      <c r="D1957" s="107" t="n">
        <v>0.7989</v>
      </c>
      <c r="E1957" s="108" t="n">
        <v>3</v>
      </c>
      <c r="F1957" s="109" t="n">
        <f aca="false">ROUND(B1957*E1957,2)</f>
        <v>3</v>
      </c>
      <c r="H1957" s="138"/>
      <c r="I1957" s="138"/>
      <c r="J1957" s="138"/>
      <c r="L1957" s="136"/>
      <c r="M1957" s="136"/>
      <c r="N1957" s="136"/>
    </row>
    <row r="1958" customFormat="false" ht="15" hidden="false" customHeight="false" outlineLevel="0" collapsed="false">
      <c r="A1958" s="104" t="s">
        <v>140</v>
      </c>
      <c r="B1958" s="105" t="n">
        <v>30</v>
      </c>
      <c r="C1958" s="106" t="n">
        <f aca="false">$N$1949-$L$1949+1</f>
        <v>30</v>
      </c>
      <c r="D1958" s="107" t="n">
        <v>0.5736</v>
      </c>
      <c r="E1958" s="108" t="n">
        <v>0.01274</v>
      </c>
      <c r="F1958" s="109" t="n">
        <f aca="false">ROUND(B1958*E1958,2)</f>
        <v>0.38</v>
      </c>
      <c r="H1958" s="138"/>
      <c r="I1958" s="138"/>
      <c r="J1958" s="138"/>
      <c r="L1958" s="136"/>
      <c r="M1958" s="136"/>
      <c r="N1958" s="136"/>
    </row>
    <row r="1959" customFormat="false" ht="15" hidden="false" customHeight="false" outlineLevel="0" collapsed="false">
      <c r="A1959" s="104" t="s">
        <v>141</v>
      </c>
      <c r="B1959" s="105" t="n">
        <v>1.82</v>
      </c>
      <c r="C1959" s="118"/>
      <c r="D1959" s="107" t="n">
        <v>0.02671</v>
      </c>
      <c r="E1959" s="108" t="n">
        <v>1</v>
      </c>
      <c r="F1959" s="109" t="n">
        <f aca="false">ROUND(B1959*E1959,2)</f>
        <v>1.82</v>
      </c>
      <c r="H1959" s="138"/>
      <c r="I1959" s="138"/>
      <c r="J1959" s="138"/>
      <c r="L1959" s="136"/>
      <c r="M1959" s="136"/>
      <c r="N1959" s="136"/>
    </row>
    <row r="1960" customFormat="false" ht="15" hidden="false" customHeight="false" outlineLevel="0" collapsed="false">
      <c r="A1960" s="121" t="s">
        <v>142</v>
      </c>
      <c r="F1960" s="122" t="n">
        <f aca="false">ROUND((SUM(F1952:F1959)-F1959)*1.1+F1959,2)</f>
        <v>44.46</v>
      </c>
      <c r="J1960" s="140"/>
      <c r="N1960" s="137"/>
    </row>
    <row r="1961" customFormat="false" ht="15" hidden="false" customHeight="false" outlineLevel="0" collapsed="false">
      <c r="A1961" s="93" t="s">
        <v>143</v>
      </c>
      <c r="B1961" s="125" t="n">
        <f aca="false">IF((F1956+F1955+F1954+F1952+F1953)=0,"",((F1956+F1955+F1954+F1952+F1953)-$AB$1954)/(F1956+F1955+F1954+F1952+F1953))</f>
        <v>0.116299191209723</v>
      </c>
      <c r="D1961" s="126" t="str">
        <f aca="false">IF(B1961="","SIN PC",IF(B1961&gt;=0.3,"APROBAR",IF(B1961&gt;=0.2,"REVISAR","RECHAZAR")))</f>
        <v>RECHAZAR</v>
      </c>
      <c r="E1961" s="126"/>
      <c r="F1961" s="126"/>
      <c r="AD1961" s="0" t="n">
        <f aca="false">SUM(F1954:F1956)-18.2781</f>
        <v>0.00190000000000268</v>
      </c>
    </row>
    <row r="1963" customFormat="false" ht="15" hidden="false" customHeight="false" outlineLevel="0" collapsed="false">
      <c r="A1963" s="89" t="s">
        <v>1453</v>
      </c>
      <c r="B1963" s="89"/>
      <c r="C1963" s="89"/>
      <c r="D1963" s="89"/>
      <c r="E1963" s="89"/>
      <c r="F1963" s="89"/>
      <c r="H1963" s="89" t="s">
        <v>1454</v>
      </c>
      <c r="I1963" s="89"/>
      <c r="J1963" s="89"/>
      <c r="K1963" s="89"/>
      <c r="L1963" s="90" t="n">
        <v>46113</v>
      </c>
      <c r="M1963" s="91" t="s">
        <v>608</v>
      </c>
      <c r="N1963" s="90" t="n">
        <v>46142</v>
      </c>
      <c r="R1963" s="92" t="s">
        <v>110</v>
      </c>
      <c r="S1963" s="92"/>
      <c r="T1963" s="92"/>
      <c r="U1963" s="92"/>
      <c r="V1963" s="92"/>
    </row>
    <row r="1964" customFormat="false" ht="15" hidden="false" customHeight="false" outlineLevel="0" collapsed="false">
      <c r="A1964" s="93" t="s">
        <v>111</v>
      </c>
      <c r="B1964" s="94" t="s">
        <v>112</v>
      </c>
      <c r="C1964" s="95"/>
      <c r="D1964" s="95"/>
      <c r="E1964" s="95"/>
      <c r="F1964" s="95"/>
      <c r="H1964" s="96" t="s">
        <v>1452</v>
      </c>
      <c r="I1964" s="97"/>
      <c r="J1964" s="97"/>
      <c r="L1964" s="98" t="s">
        <v>797</v>
      </c>
      <c r="M1964" s="99"/>
      <c r="N1964" s="99"/>
      <c r="R1964" s="100" t="s">
        <v>1445</v>
      </c>
    </row>
    <row r="1965" customFormat="false" ht="15" hidden="false" customHeight="false" outlineLevel="0" collapsed="false">
      <c r="B1965" s="81" t="s">
        <v>116</v>
      </c>
      <c r="C1965" s="81" t="s">
        <v>117</v>
      </c>
      <c r="D1965" s="81" t="s">
        <v>118</v>
      </c>
      <c r="E1965" s="81" t="s">
        <v>119</v>
      </c>
      <c r="F1965" s="81" t="s">
        <v>120</v>
      </c>
      <c r="H1965" s="101" t="s">
        <v>116</v>
      </c>
      <c r="I1965" s="101" t="s">
        <v>119</v>
      </c>
      <c r="J1965" s="101" t="s">
        <v>120</v>
      </c>
      <c r="L1965" s="102" t="s">
        <v>116</v>
      </c>
      <c r="M1965" s="102" t="s">
        <v>119</v>
      </c>
      <c r="N1965" s="102" t="s">
        <v>120</v>
      </c>
      <c r="R1965" s="103" t="s">
        <v>765</v>
      </c>
    </row>
    <row r="1966" customFormat="false" ht="15" hidden="false" customHeight="false" outlineLevel="0" collapsed="false">
      <c r="A1966" s="104" t="s">
        <v>122</v>
      </c>
      <c r="B1966" s="105" t="n">
        <v>4</v>
      </c>
      <c r="C1966" s="106" t="n">
        <f aca="false">$N$1963-$L$1963+1</f>
        <v>30</v>
      </c>
      <c r="D1966" s="107" t="n">
        <v>3.68919</v>
      </c>
      <c r="E1966" s="108" t="n">
        <v>3.85</v>
      </c>
      <c r="F1966" s="109" t="n">
        <f aca="false">ROUND(B1966*E1966,2)</f>
        <v>15.4</v>
      </c>
      <c r="H1966" s="138"/>
      <c r="I1966" s="138"/>
      <c r="J1966" s="138"/>
      <c r="L1966" s="136"/>
      <c r="M1966" s="136"/>
      <c r="N1966" s="136"/>
      <c r="R1966" s="116" t="s">
        <v>1446</v>
      </c>
    </row>
    <row r="1967" customFormat="false" ht="15" hidden="false" customHeight="false" outlineLevel="0" collapsed="false">
      <c r="A1967" s="104" t="s">
        <v>124</v>
      </c>
      <c r="B1967" s="105" t="n">
        <v>4</v>
      </c>
      <c r="C1967" s="106" t="n">
        <f aca="false">$N$1963-$L$1963+1</f>
        <v>30</v>
      </c>
      <c r="D1967" s="107" t="n">
        <v>1.31928</v>
      </c>
      <c r="E1967" s="108" t="n">
        <v>1.33</v>
      </c>
      <c r="F1967" s="109" t="n">
        <f aca="false">ROUND(B1967*E1967,2)</f>
        <v>5.32</v>
      </c>
      <c r="H1967" s="138"/>
      <c r="I1967" s="138"/>
      <c r="J1967" s="138"/>
      <c r="L1967" s="136"/>
      <c r="M1967" s="136"/>
      <c r="N1967" s="136"/>
    </row>
    <row r="1968" customFormat="false" ht="15" hidden="false" customHeight="false" outlineLevel="0" collapsed="false">
      <c r="A1968" s="104" t="s">
        <v>615</v>
      </c>
      <c r="B1968" s="105" t="n">
        <f aca="false">IF($P$1968&lt;&gt;"",ROUND(AA1968*(($AB$1968/(1-$P$1968))-20.72)/21.5573,2),IF('Resumen 2.0TD'!$D$3="OPTIMIZAR",AA1968,AA1968))</f>
        <v>51.209</v>
      </c>
      <c r="C1968" s="118"/>
      <c r="D1968" s="107" t="n">
        <v>0.111171</v>
      </c>
      <c r="E1968" s="108" t="n">
        <v>0.13788</v>
      </c>
      <c r="F1968" s="109" t="n">
        <f aca="false">ROUND(B1968*E1968,2)</f>
        <v>7.06</v>
      </c>
      <c r="H1968" s="138"/>
      <c r="I1968" s="138"/>
      <c r="J1968" s="138"/>
      <c r="L1968" s="136"/>
      <c r="M1968" s="136"/>
      <c r="N1968" s="136"/>
      <c r="O1968" s="119" t="s">
        <v>616</v>
      </c>
      <c r="P1968" s="79"/>
      <c r="AA1968" s="0" t="n">
        <v>51.209</v>
      </c>
      <c r="AB1968" s="0" t="n">
        <f aca="false">B1966*D1966+B1967*D1967+AA1968*D1968+AA1969*D1969+AA1970*D1970</f>
        <v>37.415243508</v>
      </c>
    </row>
    <row r="1969" customFormat="false" ht="15" hidden="false" customHeight="false" outlineLevel="0" collapsed="false">
      <c r="A1969" s="104" t="s">
        <v>618</v>
      </c>
      <c r="B1969" s="105" t="n">
        <f aca="false">IF($P$1968&lt;&gt;"",ROUND(AA1969*(($AB$1968/(1-$P$1968))-20.72)/21.5573,2),IF('Resumen 2.0TD'!$D$3="OPTIMIZAR",AA1969,AA1969))</f>
        <v>44.805</v>
      </c>
      <c r="C1969" s="118"/>
      <c r="D1969" s="107" t="n">
        <v>0.111171</v>
      </c>
      <c r="E1969" s="108" t="n">
        <v>0.13788</v>
      </c>
      <c r="F1969" s="109" t="n">
        <f aca="false">ROUND(B1969*E1969,2)</f>
        <v>6.18</v>
      </c>
      <c r="H1969" s="138"/>
      <c r="I1969" s="138"/>
      <c r="J1969" s="138"/>
      <c r="L1969" s="136"/>
      <c r="M1969" s="136"/>
      <c r="N1969" s="136"/>
      <c r="O1969" s="120" t="s">
        <v>619</v>
      </c>
      <c r="R1969" s="117" t="s">
        <v>620</v>
      </c>
      <c r="AA1969" s="0" t="n">
        <v>44.805</v>
      </c>
    </row>
    <row r="1970" customFormat="false" ht="15" hidden="false" customHeight="false" outlineLevel="0" collapsed="false">
      <c r="A1970" s="104" t="s">
        <v>621</v>
      </c>
      <c r="B1970" s="105" t="n">
        <f aca="false">IF($P$1968&lt;&gt;"",ROUND(AA1970*(($AB$1968/(1-$P$1968))-20.72)/21.5573,2),IF('Resumen 2.0TD'!$D$3="OPTIMIZAR",AA1970,AA1970))</f>
        <v>60.334</v>
      </c>
      <c r="C1970" s="118"/>
      <c r="D1970" s="107" t="n">
        <v>0.111171</v>
      </c>
      <c r="E1970" s="108" t="n">
        <v>0.13788</v>
      </c>
      <c r="F1970" s="109" t="n">
        <f aca="false">ROUND(B1970*E1970,2)</f>
        <v>8.32</v>
      </c>
      <c r="H1970" s="138"/>
      <c r="I1970" s="138"/>
      <c r="J1970" s="138"/>
      <c r="L1970" s="136"/>
      <c r="M1970" s="136"/>
      <c r="N1970" s="136"/>
      <c r="O1970" s="120" t="s">
        <v>622</v>
      </c>
      <c r="AA1970" s="0" t="n">
        <v>60.334</v>
      </c>
    </row>
    <row r="1971" customFormat="false" ht="15" hidden="false" customHeight="false" outlineLevel="0" collapsed="false">
      <c r="A1971" s="104" t="s">
        <v>139</v>
      </c>
      <c r="B1971" s="105" t="n">
        <v>1</v>
      </c>
      <c r="C1971" s="106" t="n">
        <f aca="false">$N$1963-$L$1963+1</f>
        <v>30</v>
      </c>
      <c r="D1971" s="107" t="n">
        <v>0.7989</v>
      </c>
      <c r="E1971" s="108" t="n">
        <v>3</v>
      </c>
      <c r="F1971" s="109" t="n">
        <f aca="false">ROUND(B1971*E1971,2)</f>
        <v>3</v>
      </c>
      <c r="H1971" s="138"/>
      <c r="I1971" s="138"/>
      <c r="J1971" s="138"/>
      <c r="L1971" s="136"/>
      <c r="M1971" s="136"/>
      <c r="N1971" s="136"/>
    </row>
    <row r="1972" customFormat="false" ht="15" hidden="false" customHeight="false" outlineLevel="0" collapsed="false">
      <c r="A1972" s="104" t="s">
        <v>140</v>
      </c>
      <c r="B1972" s="105" t="n">
        <v>30</v>
      </c>
      <c r="C1972" s="106" t="n">
        <f aca="false">$N$1963-$L$1963+1</f>
        <v>30</v>
      </c>
      <c r="D1972" s="107" t="n">
        <v>0.5736</v>
      </c>
      <c r="E1972" s="108" t="n">
        <v>0.01274</v>
      </c>
      <c r="F1972" s="109" t="n">
        <f aca="false">ROUND(B1972*E1972,2)</f>
        <v>0.38</v>
      </c>
      <c r="H1972" s="138"/>
      <c r="I1972" s="138"/>
      <c r="J1972" s="138"/>
      <c r="L1972" s="136"/>
      <c r="M1972" s="136"/>
      <c r="N1972" s="136"/>
    </row>
    <row r="1973" customFormat="false" ht="15" hidden="false" customHeight="false" outlineLevel="0" collapsed="false">
      <c r="A1973" s="104" t="s">
        <v>141</v>
      </c>
      <c r="B1973" s="105" t="n">
        <v>2.17</v>
      </c>
      <c r="C1973" s="118"/>
      <c r="D1973" s="107" t="n">
        <v>0.02671</v>
      </c>
      <c r="E1973" s="108" t="n">
        <v>1</v>
      </c>
      <c r="F1973" s="109" t="n">
        <f aca="false">ROUND(B1973*E1973,2)</f>
        <v>2.17</v>
      </c>
      <c r="H1973" s="138"/>
      <c r="I1973" s="138"/>
      <c r="J1973" s="138"/>
      <c r="L1973" s="136"/>
      <c r="M1973" s="136"/>
      <c r="N1973" s="136"/>
    </row>
    <row r="1974" customFormat="false" ht="15" hidden="false" customHeight="false" outlineLevel="0" collapsed="false">
      <c r="A1974" s="121" t="s">
        <v>142</v>
      </c>
      <c r="F1974" s="122" t="n">
        <f aca="false">ROUND((SUM(F1966:F1973)-F1973)*1.1+F1973,2)</f>
        <v>52.4</v>
      </c>
      <c r="J1974" s="140"/>
      <c r="N1974" s="137"/>
    </row>
    <row r="1975" customFormat="false" ht="15" hidden="false" customHeight="false" outlineLevel="0" collapsed="false">
      <c r="A1975" s="93" t="s">
        <v>143</v>
      </c>
      <c r="B1975" s="125" t="n">
        <f aca="false">IF((F1970+F1969+F1968+F1966+F1967)=0,"",((F1970+F1969+F1968+F1966+F1967)-$AB$1968)/(F1970+F1969+F1968+F1966+F1967))</f>
        <v>0.115060465752129</v>
      </c>
      <c r="D1975" s="126" t="str">
        <f aca="false">IF(B1975="","SIN PC",IF(B1975&gt;=0.3,"APROBAR",IF(B1975&gt;=0.2,"REVISAR","RECHAZAR")))</f>
        <v>RECHAZAR</v>
      </c>
      <c r="E1975" s="126"/>
      <c r="F1975" s="126"/>
      <c r="AD1975" s="0" t="n">
        <f aca="false">SUM(F1968:F1970)-21.5573</f>
        <v>0.00269999999999726</v>
      </c>
    </row>
    <row r="1977" customFormat="false" ht="15" hidden="false" customHeight="false" outlineLevel="0" collapsed="false">
      <c r="A1977" s="89" t="s">
        <v>1455</v>
      </c>
      <c r="B1977" s="89"/>
      <c r="C1977" s="89"/>
      <c r="D1977" s="89"/>
      <c r="E1977" s="89"/>
      <c r="F1977" s="89"/>
      <c r="H1977" s="89" t="s">
        <v>1456</v>
      </c>
      <c r="I1977" s="89"/>
      <c r="J1977" s="89"/>
      <c r="K1977" s="89"/>
      <c r="L1977" s="90" t="n">
        <v>46113</v>
      </c>
      <c r="M1977" s="91" t="s">
        <v>608</v>
      </c>
      <c r="N1977" s="90" t="n">
        <v>46142</v>
      </c>
      <c r="R1977" s="92" t="s">
        <v>110</v>
      </c>
      <c r="S1977" s="92"/>
      <c r="T1977" s="92"/>
      <c r="U1977" s="92"/>
      <c r="V1977" s="92"/>
    </row>
    <row r="1978" customFormat="false" ht="15" hidden="false" customHeight="false" outlineLevel="0" collapsed="false">
      <c r="A1978" s="93" t="s">
        <v>111</v>
      </c>
      <c r="B1978" s="94" t="s">
        <v>112</v>
      </c>
      <c r="C1978" s="95"/>
      <c r="D1978" s="95"/>
      <c r="E1978" s="95"/>
      <c r="F1978" s="95"/>
      <c r="H1978" s="96" t="s">
        <v>1452</v>
      </c>
      <c r="I1978" s="97"/>
      <c r="J1978" s="97"/>
      <c r="L1978" s="98" t="s">
        <v>797</v>
      </c>
      <c r="M1978" s="99"/>
      <c r="N1978" s="99"/>
      <c r="R1978" s="100" t="s">
        <v>798</v>
      </c>
    </row>
    <row r="1979" customFormat="false" ht="15" hidden="false" customHeight="false" outlineLevel="0" collapsed="false">
      <c r="B1979" s="81" t="s">
        <v>116</v>
      </c>
      <c r="C1979" s="81" t="s">
        <v>117</v>
      </c>
      <c r="D1979" s="81" t="s">
        <v>118</v>
      </c>
      <c r="E1979" s="81" t="s">
        <v>119</v>
      </c>
      <c r="F1979" s="81" t="s">
        <v>120</v>
      </c>
      <c r="H1979" s="101" t="s">
        <v>116</v>
      </c>
      <c r="I1979" s="101" t="s">
        <v>119</v>
      </c>
      <c r="J1979" s="101" t="s">
        <v>120</v>
      </c>
      <c r="L1979" s="102" t="s">
        <v>116</v>
      </c>
      <c r="M1979" s="102" t="s">
        <v>119</v>
      </c>
      <c r="N1979" s="102" t="s">
        <v>120</v>
      </c>
      <c r="R1979" s="103" t="s">
        <v>765</v>
      </c>
    </row>
    <row r="1980" customFormat="false" ht="15" hidden="false" customHeight="false" outlineLevel="0" collapsed="false">
      <c r="A1980" s="104" t="s">
        <v>122</v>
      </c>
      <c r="B1980" s="105" t="n">
        <v>10.392</v>
      </c>
      <c r="C1980" s="106" t="n">
        <f aca="false">$N$1977-$L$1977+1</f>
        <v>30</v>
      </c>
      <c r="D1980" s="107"/>
      <c r="E1980" s="108" t="n">
        <v>3.85</v>
      </c>
      <c r="F1980" s="109" t="n">
        <f aca="false">ROUND(B1980*E1980,2)</f>
        <v>40.01</v>
      </c>
      <c r="H1980" s="138"/>
      <c r="I1980" s="138"/>
      <c r="J1980" s="138"/>
      <c r="L1980" s="136"/>
      <c r="M1980" s="136"/>
      <c r="N1980" s="136"/>
      <c r="R1980" s="116" t="s">
        <v>799</v>
      </c>
    </row>
    <row r="1981" customFormat="false" ht="15" hidden="false" customHeight="false" outlineLevel="0" collapsed="false">
      <c r="A1981" s="104" t="s">
        <v>124</v>
      </c>
      <c r="B1981" s="105" t="n">
        <v>10.392</v>
      </c>
      <c r="C1981" s="106" t="n">
        <f aca="false">$N$1977-$L$1977+1</f>
        <v>30</v>
      </c>
      <c r="D1981" s="107"/>
      <c r="E1981" s="108" t="n">
        <v>1.33</v>
      </c>
      <c r="F1981" s="109" t="n">
        <f aca="false">ROUND(B1981*E1981,2)</f>
        <v>13.82</v>
      </c>
      <c r="H1981" s="138"/>
      <c r="I1981" s="138"/>
      <c r="J1981" s="138"/>
      <c r="L1981" s="136"/>
      <c r="M1981" s="136"/>
      <c r="N1981" s="136"/>
    </row>
    <row r="1982" customFormat="false" ht="15" hidden="false" customHeight="false" outlineLevel="0" collapsed="false">
      <c r="A1982" s="104" t="s">
        <v>615</v>
      </c>
      <c r="B1982" s="105" t="n">
        <f aca="false">IF($P$1982&lt;&gt;"",ROUND(AA1982*(($AB$1982/(1-$P$1982))-53.8306)/4.9645,2),IF('Resumen 2.0TD'!$D$3="OPTIMIZAR",AA1982,AA1982))</f>
        <v>14.103</v>
      </c>
      <c r="C1982" s="118"/>
      <c r="D1982" s="107"/>
      <c r="E1982" s="108" t="n">
        <v>0.13788</v>
      </c>
      <c r="F1982" s="109" t="n">
        <f aca="false">ROUND(B1982*E1982,2)</f>
        <v>1.94</v>
      </c>
      <c r="H1982" s="138"/>
      <c r="I1982" s="138"/>
      <c r="J1982" s="138"/>
      <c r="L1982" s="136"/>
      <c r="M1982" s="136"/>
      <c r="N1982" s="136"/>
      <c r="O1982" s="119" t="s">
        <v>616</v>
      </c>
      <c r="P1982" s="79"/>
      <c r="AA1982" s="0" t="n">
        <v>14.103</v>
      </c>
      <c r="AB1982" s="0" t="n">
        <f aca="false">B1980*D1980+B1981*D1981+AA1982*D1982+AA1983*D1983+AA1984*D1984</f>
        <v>0</v>
      </c>
    </row>
    <row r="1983" customFormat="false" ht="15" hidden="false" customHeight="false" outlineLevel="0" collapsed="false">
      <c r="A1983" s="104" t="s">
        <v>618</v>
      </c>
      <c r="B1983" s="105" t="n">
        <f aca="false">IF($P$1982&lt;&gt;"",ROUND(AA1983*(($AB$1982/(1-$P$1982))-53.8306)/4.9645,2),IF('Resumen 2.0TD'!$D$3="OPTIMIZAR",AA1983,AA1983))</f>
        <v>14.029</v>
      </c>
      <c r="C1983" s="118"/>
      <c r="D1983" s="107"/>
      <c r="E1983" s="108" t="n">
        <v>0.13788</v>
      </c>
      <c r="F1983" s="109" t="n">
        <f aca="false">ROUND(B1983*E1983,2)</f>
        <v>1.93</v>
      </c>
      <c r="H1983" s="138"/>
      <c r="I1983" s="138"/>
      <c r="J1983" s="138"/>
      <c r="L1983" s="136"/>
      <c r="M1983" s="136"/>
      <c r="N1983" s="136"/>
      <c r="O1983" s="120" t="s">
        <v>619</v>
      </c>
      <c r="R1983" s="117" t="s">
        <v>620</v>
      </c>
      <c r="AA1983" s="0" t="n">
        <v>14.029</v>
      </c>
    </row>
    <row r="1984" customFormat="false" ht="15" hidden="false" customHeight="false" outlineLevel="0" collapsed="false">
      <c r="A1984" s="104" t="s">
        <v>621</v>
      </c>
      <c r="B1984" s="105" t="n">
        <f aca="false">IF($P$1982&lt;&gt;"",ROUND(AA1984*(($AB$1982/(1-$P$1982))-53.8306)/4.9645,2),IF('Resumen 2.0TD'!$D$3="OPTIMIZAR",AA1984,AA1984))</f>
        <v>7.874</v>
      </c>
      <c r="C1984" s="118"/>
      <c r="D1984" s="107"/>
      <c r="E1984" s="108" t="n">
        <v>0.13788</v>
      </c>
      <c r="F1984" s="109" t="n">
        <f aca="false">ROUND(B1984*E1984,2)</f>
        <v>1.09</v>
      </c>
      <c r="H1984" s="138"/>
      <c r="I1984" s="138"/>
      <c r="J1984" s="138"/>
      <c r="L1984" s="136"/>
      <c r="M1984" s="136"/>
      <c r="N1984" s="136"/>
      <c r="O1984" s="120" t="s">
        <v>622</v>
      </c>
      <c r="AA1984" s="0" t="n">
        <v>7.874</v>
      </c>
    </row>
    <row r="1985" customFormat="false" ht="15" hidden="false" customHeight="false" outlineLevel="0" collapsed="false">
      <c r="A1985" s="104" t="s">
        <v>139</v>
      </c>
      <c r="B1985" s="105" t="n">
        <v>1</v>
      </c>
      <c r="C1985" s="106" t="n">
        <f aca="false">$N$1977-$L$1977+1</f>
        <v>30</v>
      </c>
      <c r="D1985" s="107"/>
      <c r="E1985" s="108" t="n">
        <v>3</v>
      </c>
      <c r="F1985" s="109" t="n">
        <f aca="false">ROUND(B1985*E1985,2)</f>
        <v>3</v>
      </c>
      <c r="H1985" s="138"/>
      <c r="I1985" s="138"/>
      <c r="J1985" s="138"/>
      <c r="L1985" s="136"/>
      <c r="M1985" s="136"/>
      <c r="N1985" s="136"/>
    </row>
    <row r="1986" customFormat="false" ht="15" hidden="false" customHeight="false" outlineLevel="0" collapsed="false">
      <c r="A1986" s="104" t="s">
        <v>140</v>
      </c>
      <c r="B1986" s="105" t="n">
        <v>30</v>
      </c>
      <c r="C1986" s="106" t="n">
        <f aca="false">$N$1977-$L$1977+1</f>
        <v>30</v>
      </c>
      <c r="D1986" s="107"/>
      <c r="E1986" s="108" t="n">
        <v>0.01274</v>
      </c>
      <c r="F1986" s="109" t="n">
        <f aca="false">ROUND(B1986*E1986,2)</f>
        <v>0.38</v>
      </c>
      <c r="H1986" s="138"/>
      <c r="I1986" s="138"/>
      <c r="J1986" s="138"/>
      <c r="L1986" s="136"/>
      <c r="M1986" s="136"/>
      <c r="N1986" s="136"/>
    </row>
    <row r="1987" customFormat="false" ht="15" hidden="false" customHeight="false" outlineLevel="0" collapsed="false">
      <c r="A1987" s="104" t="s">
        <v>141</v>
      </c>
      <c r="B1987" s="105" t="n">
        <v>3.01</v>
      </c>
      <c r="C1987" s="118"/>
      <c r="D1987" s="107"/>
      <c r="E1987" s="108" t="n">
        <v>1</v>
      </c>
      <c r="F1987" s="109" t="n">
        <f aca="false">ROUND(B1987*E1987,2)</f>
        <v>3.01</v>
      </c>
      <c r="H1987" s="138"/>
      <c r="I1987" s="138"/>
      <c r="J1987" s="138"/>
      <c r="L1987" s="136"/>
      <c r="M1987" s="136"/>
      <c r="N1987" s="136"/>
    </row>
    <row r="1988" customFormat="false" ht="15" hidden="false" customHeight="false" outlineLevel="0" collapsed="false">
      <c r="A1988" s="121" t="s">
        <v>142</v>
      </c>
      <c r="F1988" s="122" t="n">
        <f aca="false">ROUND((SUM(F1980:F1987)-F1987)*1.1+F1987,2)</f>
        <v>71.4</v>
      </c>
      <c r="J1988" s="140"/>
      <c r="N1988" s="137"/>
    </row>
    <row r="1989" customFormat="false" ht="15" hidden="false" customHeight="false" outlineLevel="0" collapsed="false">
      <c r="A1989" s="93" t="s">
        <v>143</v>
      </c>
      <c r="B1989" s="125" t="n">
        <f aca="false">IF((F1984+F1983+F1982+F1980+F1981)=0,"",((F1984+F1983+F1982+F1980+F1981)-$AB$1982)/(F1984+F1983+F1982+F1980+F1981))</f>
        <v>1</v>
      </c>
      <c r="D1989" s="126" t="str">
        <f aca="false">IF(B1989="","SIN PC",IF(B1989&gt;=0.3,"APROBAR",IF(B1989&gt;=0.2,"REVISAR","RECHAZAR")))</f>
        <v>APROBAR</v>
      </c>
      <c r="E1989" s="126"/>
      <c r="F1989" s="126"/>
      <c r="AD1989" s="0" t="n">
        <f aca="false">SUM(F1982:F1984)-4.9645</f>
        <v>-0.00450000000000017</v>
      </c>
    </row>
    <row r="1991" customFormat="false" ht="15" hidden="false" customHeight="false" outlineLevel="0" collapsed="false">
      <c r="A1991" s="89" t="s">
        <v>1457</v>
      </c>
      <c r="B1991" s="89"/>
      <c r="C1991" s="89"/>
      <c r="D1991" s="89"/>
      <c r="E1991" s="89"/>
      <c r="F1991" s="89"/>
      <c r="H1991" s="89" t="s">
        <v>1458</v>
      </c>
      <c r="I1991" s="89"/>
      <c r="J1991" s="89"/>
      <c r="K1991" s="89"/>
      <c r="L1991" s="90" t="n">
        <v>46113</v>
      </c>
      <c r="M1991" s="91" t="s">
        <v>608</v>
      </c>
      <c r="N1991" s="90" t="n">
        <v>46142</v>
      </c>
      <c r="R1991" s="92" t="s">
        <v>110</v>
      </c>
      <c r="S1991" s="92"/>
      <c r="T1991" s="92"/>
      <c r="U1991" s="92"/>
      <c r="V1991" s="92"/>
    </row>
    <row r="1992" customFormat="false" ht="15" hidden="false" customHeight="false" outlineLevel="0" collapsed="false">
      <c r="A1992" s="93" t="s">
        <v>111</v>
      </c>
      <c r="B1992" s="94" t="s">
        <v>112</v>
      </c>
      <c r="C1992" s="95"/>
      <c r="D1992" s="95"/>
      <c r="E1992" s="95"/>
      <c r="F1992" s="95"/>
      <c r="H1992" s="96" t="s">
        <v>1459</v>
      </c>
      <c r="I1992" s="97"/>
      <c r="J1992" s="97"/>
      <c r="L1992" s="98" t="s">
        <v>797</v>
      </c>
      <c r="M1992" s="99"/>
      <c r="N1992" s="99"/>
      <c r="R1992" s="100" t="s">
        <v>798</v>
      </c>
    </row>
    <row r="1993" customFormat="false" ht="15" hidden="false" customHeight="false" outlineLevel="0" collapsed="false">
      <c r="B1993" s="81" t="s">
        <v>116</v>
      </c>
      <c r="C1993" s="81" t="s">
        <v>117</v>
      </c>
      <c r="D1993" s="81" t="s">
        <v>118</v>
      </c>
      <c r="E1993" s="81" t="s">
        <v>119</v>
      </c>
      <c r="F1993" s="81" t="s">
        <v>120</v>
      </c>
      <c r="H1993" s="101" t="s">
        <v>116</v>
      </c>
      <c r="I1993" s="101" t="s">
        <v>119</v>
      </c>
      <c r="J1993" s="101" t="s">
        <v>120</v>
      </c>
      <c r="L1993" s="102" t="s">
        <v>116</v>
      </c>
      <c r="M1993" s="102" t="s">
        <v>119</v>
      </c>
      <c r="N1993" s="102" t="s">
        <v>120</v>
      </c>
      <c r="R1993" s="103" t="s">
        <v>765</v>
      </c>
    </row>
    <row r="1994" customFormat="false" ht="15" hidden="false" customHeight="false" outlineLevel="0" collapsed="false">
      <c r="A1994" s="104" t="s">
        <v>122</v>
      </c>
      <c r="B1994" s="105" t="n">
        <v>5.75</v>
      </c>
      <c r="C1994" s="106" t="n">
        <f aca="false">$N$1991-$L$1991+1</f>
        <v>30</v>
      </c>
      <c r="D1994" s="107" t="n">
        <v>3.68919</v>
      </c>
      <c r="E1994" s="108" t="n">
        <v>3.85</v>
      </c>
      <c r="F1994" s="109" t="n">
        <f aca="false">ROUND(B1994*E1994,2)</f>
        <v>22.14</v>
      </c>
      <c r="H1994" s="110" t="n">
        <v>5.75</v>
      </c>
      <c r="I1994" s="111" t="n">
        <v>3.85</v>
      </c>
      <c r="J1994" s="112" t="n">
        <f aca="false">ROUND(H1994*I1994,2)</f>
        <v>22.14</v>
      </c>
      <c r="L1994" s="136"/>
      <c r="M1994" s="136"/>
      <c r="N1994" s="136"/>
      <c r="R1994" s="116" t="s">
        <v>799</v>
      </c>
    </row>
    <row r="1995" customFormat="false" ht="15" hidden="false" customHeight="false" outlineLevel="0" collapsed="false">
      <c r="A1995" s="104" t="s">
        <v>124</v>
      </c>
      <c r="B1995" s="105" t="n">
        <v>5.75</v>
      </c>
      <c r="C1995" s="106" t="n">
        <f aca="false">$N$1991-$L$1991+1</f>
        <v>30</v>
      </c>
      <c r="D1995" s="107" t="n">
        <v>1.31928</v>
      </c>
      <c r="E1995" s="108" t="n">
        <v>1.33</v>
      </c>
      <c r="F1995" s="109" t="n">
        <f aca="false">ROUND(B1995*E1995,2)</f>
        <v>7.65</v>
      </c>
      <c r="H1995" s="110" t="n">
        <v>5.75</v>
      </c>
      <c r="I1995" s="111" t="n">
        <v>1.33</v>
      </c>
      <c r="J1995" s="112" t="n">
        <f aca="false">ROUND(H1995*I1995,2)</f>
        <v>7.65</v>
      </c>
      <c r="L1995" s="136"/>
      <c r="M1995" s="136"/>
      <c r="N1995" s="136"/>
    </row>
    <row r="1996" customFormat="false" ht="15" hidden="false" customHeight="false" outlineLevel="0" collapsed="false">
      <c r="A1996" s="104" t="s">
        <v>615</v>
      </c>
      <c r="B1996" s="105" t="n">
        <f aca="false">IF($P$1996&lt;&gt;"",ROUND(AA1996*(($AB$1996/(1-$P$1996))-29.785)/22.7862,2),IF('Resumen 2.0TD'!$D$3="OPTIMIZAR",AA1996,AA1996))</f>
        <v>43.383</v>
      </c>
      <c r="C1996" s="118"/>
      <c r="D1996" s="107" t="n">
        <v>0.111171</v>
      </c>
      <c r="E1996" s="108" t="n">
        <v>0.13788</v>
      </c>
      <c r="F1996" s="109" t="n">
        <f aca="false">ROUND(B1996*E1996,2)</f>
        <v>5.98</v>
      </c>
      <c r="H1996" s="110" t="n">
        <v>64.402</v>
      </c>
      <c r="I1996" s="111" t="n">
        <v>0.13788</v>
      </c>
      <c r="J1996" s="112" t="n">
        <f aca="false">ROUND(H1996*I1996,2)</f>
        <v>8.88</v>
      </c>
      <c r="L1996" s="136"/>
      <c r="M1996" s="136"/>
      <c r="N1996" s="136"/>
      <c r="O1996" s="119" t="s">
        <v>616</v>
      </c>
      <c r="P1996" s="79"/>
      <c r="AA1996" s="0" t="n">
        <v>43.383</v>
      </c>
      <c r="AB1996" s="0" t="n">
        <f aca="false">B1994*D1994+B1995*D1995+AA1996*D1996+AA1997*D1997+AA1998*D1998</f>
        <v>47.170933131</v>
      </c>
    </row>
    <row r="1997" customFormat="false" ht="15" hidden="false" customHeight="false" outlineLevel="0" collapsed="false">
      <c r="A1997" s="104" t="s">
        <v>618</v>
      </c>
      <c r="B1997" s="105" t="n">
        <f aca="false">IF($P$1996&lt;&gt;"",ROUND(AA1997*(($AB$1996/(1-$P$1996))-29.785)/22.7862,2),IF('Resumen 2.0TD'!$D$3="OPTIMIZAR",AA1997,AA1997))</f>
        <v>51.333</v>
      </c>
      <c r="C1997" s="118"/>
      <c r="D1997" s="107" t="n">
        <v>0.111171</v>
      </c>
      <c r="E1997" s="108" t="n">
        <v>0.13788</v>
      </c>
      <c r="F1997" s="109" t="n">
        <f aca="false">ROUND(B1997*E1997,2)</f>
        <v>7.08</v>
      </c>
      <c r="H1997" s="110" t="n">
        <v>63.161</v>
      </c>
      <c r="I1997" s="111" t="n">
        <v>0.13788</v>
      </c>
      <c r="J1997" s="112" t="n">
        <f aca="false">ROUND(H1997*I1997,2)</f>
        <v>8.71</v>
      </c>
      <c r="L1997" s="136"/>
      <c r="M1997" s="136"/>
      <c r="N1997" s="136"/>
      <c r="O1997" s="120" t="s">
        <v>619</v>
      </c>
      <c r="R1997" s="117" t="s">
        <v>620</v>
      </c>
      <c r="AA1997" s="0" t="n">
        <v>51.333</v>
      </c>
    </row>
    <row r="1998" customFormat="false" ht="15" hidden="false" customHeight="false" outlineLevel="0" collapsed="false">
      <c r="A1998" s="104" t="s">
        <v>621</v>
      </c>
      <c r="B1998" s="105" t="n">
        <f aca="false">IF($P$1996&lt;&gt;"",ROUND(AA1998*(($AB$1996/(1-$P$1996))-29.785)/22.7862,2),IF('Resumen 2.0TD'!$D$3="OPTIMIZAR",AA1998,AA1998))</f>
        <v>70.545</v>
      </c>
      <c r="C1998" s="118"/>
      <c r="D1998" s="107" t="n">
        <v>0.111171</v>
      </c>
      <c r="E1998" s="108" t="n">
        <v>0.13788</v>
      </c>
      <c r="F1998" s="109" t="n">
        <f aca="false">ROUND(B1998*E1998,2)</f>
        <v>9.73</v>
      </c>
      <c r="H1998" s="110" t="n">
        <v>90.626</v>
      </c>
      <c r="I1998" s="111" t="n">
        <v>0.13788</v>
      </c>
      <c r="J1998" s="112" t="n">
        <f aca="false">ROUND(H1998*I1998,2)</f>
        <v>12.5</v>
      </c>
      <c r="L1998" s="136"/>
      <c r="M1998" s="136"/>
      <c r="N1998" s="136"/>
      <c r="O1998" s="120" t="s">
        <v>622</v>
      </c>
      <c r="AA1998" s="0" t="n">
        <v>70.545</v>
      </c>
    </row>
    <row r="1999" customFormat="false" ht="15" hidden="false" customHeight="false" outlineLevel="0" collapsed="false">
      <c r="A1999" s="104" t="s">
        <v>139</v>
      </c>
      <c r="B1999" s="105" t="n">
        <v>1</v>
      </c>
      <c r="C1999" s="106" t="n">
        <f aca="false">$N$1991-$L$1991+1</f>
        <v>30</v>
      </c>
      <c r="D1999" s="107" t="n">
        <v>0.7989</v>
      </c>
      <c r="E1999" s="108" t="n">
        <v>3</v>
      </c>
      <c r="F1999" s="109" t="n">
        <f aca="false">ROUND(B1999*E1999,2)</f>
        <v>3</v>
      </c>
      <c r="H1999" s="110" t="n">
        <v>1</v>
      </c>
      <c r="I1999" s="111" t="n">
        <v>3</v>
      </c>
      <c r="J1999" s="112" t="n">
        <f aca="false">ROUND(H1999*I1999,2)</f>
        <v>3</v>
      </c>
      <c r="L1999" s="136"/>
      <c r="M1999" s="136"/>
      <c r="N1999" s="136"/>
    </row>
    <row r="2000" customFormat="false" ht="15" hidden="false" customHeight="false" outlineLevel="0" collapsed="false">
      <c r="A2000" s="104" t="s">
        <v>140</v>
      </c>
      <c r="B2000" s="105" t="n">
        <v>30</v>
      </c>
      <c r="C2000" s="106" t="n">
        <f aca="false">$N$1991-$L$1991+1</f>
        <v>30</v>
      </c>
      <c r="D2000" s="107" t="n">
        <v>0.5736</v>
      </c>
      <c r="E2000" s="108" t="n">
        <v>0.01274</v>
      </c>
      <c r="F2000" s="109" t="n">
        <f aca="false">ROUND(B2000*E2000,2)</f>
        <v>0.38</v>
      </c>
      <c r="H2000" s="110" t="n">
        <v>30</v>
      </c>
      <c r="I2000" s="111" t="n">
        <v>0.01274</v>
      </c>
      <c r="J2000" s="112" t="n">
        <f aca="false">ROUND(H2000*I2000,2)</f>
        <v>0.38</v>
      </c>
      <c r="L2000" s="136"/>
      <c r="M2000" s="136"/>
      <c r="N2000" s="136"/>
    </row>
    <row r="2001" customFormat="false" ht="15" hidden="false" customHeight="false" outlineLevel="0" collapsed="false">
      <c r="A2001" s="104" t="s">
        <v>141</v>
      </c>
      <c r="B2001" s="105" t="n">
        <v>2.7</v>
      </c>
      <c r="C2001" s="118"/>
      <c r="D2001" s="107" t="n">
        <v>0.02671</v>
      </c>
      <c r="E2001" s="108" t="n">
        <v>1</v>
      </c>
      <c r="F2001" s="109" t="n">
        <f aca="false">ROUND(B2001*E2001,2)</f>
        <v>2.7</v>
      </c>
      <c r="H2001" s="110" t="n">
        <v>3.07</v>
      </c>
      <c r="I2001" s="111" t="n">
        <v>1</v>
      </c>
      <c r="J2001" s="112" t="n">
        <f aca="false">ROUND(H2001*I2001,2)</f>
        <v>3.07</v>
      </c>
      <c r="L2001" s="136"/>
      <c r="M2001" s="136"/>
      <c r="N2001" s="136"/>
    </row>
    <row r="2002" customFormat="false" ht="15" hidden="false" customHeight="false" outlineLevel="0" collapsed="false">
      <c r="A2002" s="121" t="s">
        <v>142</v>
      </c>
      <c r="F2002" s="122" t="n">
        <f aca="false">ROUND((SUM(F1994:F2001)-F2001)*1.1+F2001,2)</f>
        <v>64.26</v>
      </c>
      <c r="J2002" s="123" t="n">
        <f aca="false">ROUND(SUM(J1994:J2001),2)</f>
        <v>66.33</v>
      </c>
      <c r="N2002" s="137"/>
    </row>
    <row r="2003" customFormat="false" ht="15" hidden="false" customHeight="false" outlineLevel="0" collapsed="false">
      <c r="A2003" s="93" t="s">
        <v>143</v>
      </c>
      <c r="B2003" s="125" t="n">
        <f aca="false">IF((F1998+F1997+F1996+F1994+F1995)=0,"",((F1998+F1997+F1996+F1994+F1995)-$AB$1996)/(F1998+F1997+F1996+F1994+F1995))</f>
        <v>0.102873086135413</v>
      </c>
      <c r="D2003" s="126" t="str">
        <f aca="false">IF(B2003="","SIN PC",IF(B2003&gt;=0.3,"APROBAR",IF(B2003&gt;=0.2,"REVISAR","RECHAZAR")))</f>
        <v>RECHAZAR</v>
      </c>
      <c r="E2003" s="126"/>
      <c r="F2003" s="126"/>
      <c r="AD2003" s="0" t="n">
        <f aca="false">SUM(F1996:F1998)-22.7862</f>
        <v>0.00379999999999825</v>
      </c>
    </row>
    <row r="2005" customFormat="false" ht="15" hidden="false" customHeight="false" outlineLevel="0" collapsed="false">
      <c r="A2005" s="89" t="s">
        <v>1460</v>
      </c>
      <c r="B2005" s="89"/>
      <c r="C2005" s="89"/>
      <c r="D2005" s="89"/>
      <c r="E2005" s="89"/>
      <c r="F2005" s="89"/>
      <c r="H2005" s="89" t="s">
        <v>1461</v>
      </c>
      <c r="I2005" s="89"/>
      <c r="J2005" s="89"/>
      <c r="K2005" s="89"/>
      <c r="L2005" s="90" t="n">
        <v>46113</v>
      </c>
      <c r="M2005" s="91" t="s">
        <v>608</v>
      </c>
      <c r="N2005" s="90" t="n">
        <v>46142</v>
      </c>
      <c r="R2005" s="92" t="s">
        <v>110</v>
      </c>
      <c r="S2005" s="92"/>
      <c r="T2005" s="92"/>
      <c r="U2005" s="92"/>
      <c r="V2005" s="92"/>
    </row>
    <row r="2006" customFormat="false" ht="15" hidden="false" customHeight="false" outlineLevel="0" collapsed="false">
      <c r="A2006" s="93" t="s">
        <v>111</v>
      </c>
      <c r="B2006" s="94" t="s">
        <v>112</v>
      </c>
      <c r="C2006" s="95"/>
      <c r="D2006" s="95"/>
      <c r="E2006" s="95"/>
      <c r="F2006" s="95"/>
      <c r="H2006" s="96" t="s">
        <v>1462</v>
      </c>
      <c r="I2006" s="97"/>
      <c r="J2006" s="97"/>
      <c r="L2006" s="98" t="s">
        <v>797</v>
      </c>
      <c r="M2006" s="99"/>
      <c r="N2006" s="99"/>
      <c r="R2006" s="100" t="s">
        <v>798</v>
      </c>
    </row>
    <row r="2007" customFormat="false" ht="15" hidden="false" customHeight="false" outlineLevel="0" collapsed="false">
      <c r="B2007" s="81" t="s">
        <v>116</v>
      </c>
      <c r="C2007" s="81" t="s">
        <v>117</v>
      </c>
      <c r="D2007" s="81" t="s">
        <v>118</v>
      </c>
      <c r="E2007" s="81" t="s">
        <v>119</v>
      </c>
      <c r="F2007" s="81" t="s">
        <v>120</v>
      </c>
      <c r="H2007" s="101" t="s">
        <v>116</v>
      </c>
      <c r="I2007" s="101" t="s">
        <v>119</v>
      </c>
      <c r="J2007" s="101" t="s">
        <v>120</v>
      </c>
      <c r="L2007" s="102" t="s">
        <v>116</v>
      </c>
      <c r="M2007" s="102" t="s">
        <v>119</v>
      </c>
      <c r="N2007" s="102" t="s">
        <v>120</v>
      </c>
      <c r="R2007" s="103" t="s">
        <v>765</v>
      </c>
    </row>
    <row r="2008" customFormat="false" ht="15" hidden="false" customHeight="false" outlineLevel="0" collapsed="false">
      <c r="A2008" s="104" t="s">
        <v>122</v>
      </c>
      <c r="B2008" s="105" t="n">
        <v>10.1</v>
      </c>
      <c r="C2008" s="106" t="n">
        <f aca="false">$N$2005-$L$2005+1</f>
        <v>30</v>
      </c>
      <c r="D2008" s="107" t="n">
        <v>3.68919</v>
      </c>
      <c r="E2008" s="108" t="n">
        <v>3.85</v>
      </c>
      <c r="F2008" s="109" t="n">
        <f aca="false">ROUND(B2008*E2008,2)</f>
        <v>38.89</v>
      </c>
      <c r="H2008" s="110" t="n">
        <v>10.1</v>
      </c>
      <c r="I2008" s="111" t="n">
        <v>3.85</v>
      </c>
      <c r="J2008" s="112" t="n">
        <f aca="false">ROUND(H2008*I2008,2)</f>
        <v>38.89</v>
      </c>
      <c r="L2008" s="136"/>
      <c r="M2008" s="136"/>
      <c r="N2008" s="136"/>
      <c r="R2008" s="116" t="s">
        <v>799</v>
      </c>
    </row>
    <row r="2009" customFormat="false" ht="15" hidden="false" customHeight="false" outlineLevel="0" collapsed="false">
      <c r="A2009" s="104" t="s">
        <v>124</v>
      </c>
      <c r="B2009" s="105" t="n">
        <v>10.1</v>
      </c>
      <c r="C2009" s="106" t="n">
        <f aca="false">$N$2005-$L$2005+1</f>
        <v>30</v>
      </c>
      <c r="D2009" s="107" t="n">
        <v>1.31928</v>
      </c>
      <c r="E2009" s="108" t="n">
        <v>1.33</v>
      </c>
      <c r="F2009" s="109" t="n">
        <f aca="false">ROUND(B2009*E2009,2)</f>
        <v>13.43</v>
      </c>
      <c r="H2009" s="110" t="n">
        <v>10.1</v>
      </c>
      <c r="I2009" s="111" t="n">
        <v>1.33</v>
      </c>
      <c r="J2009" s="112" t="n">
        <f aca="false">ROUND(H2009*I2009,2)</f>
        <v>13.43</v>
      </c>
      <c r="L2009" s="136"/>
      <c r="M2009" s="136"/>
      <c r="N2009" s="136"/>
    </row>
    <row r="2010" customFormat="false" ht="15" hidden="false" customHeight="false" outlineLevel="0" collapsed="false">
      <c r="A2010" s="104" t="s">
        <v>615</v>
      </c>
      <c r="B2010" s="105" t="n">
        <f aca="false">IF($P$2010&lt;&gt;"",ROUND(AA2010*(($AB$2010/(1-$P$2010))-52.318)/44.0054,2),IF('Resumen 2.0TD'!$D$3="OPTIMIZAR",AA2010,AA2010))</f>
        <v>116.628</v>
      </c>
      <c r="C2010" s="118"/>
      <c r="D2010" s="107" t="n">
        <v>0.111171</v>
      </c>
      <c r="E2010" s="108" t="n">
        <v>0.13788</v>
      </c>
      <c r="F2010" s="109" t="n">
        <f aca="false">ROUND(B2010*E2010,2)</f>
        <v>16.08</v>
      </c>
      <c r="H2010" s="110" t="n">
        <v>55.312</v>
      </c>
      <c r="I2010" s="111" t="n">
        <v>0.13788</v>
      </c>
      <c r="J2010" s="112" t="n">
        <f aca="false">ROUND(H2010*I2010,2)</f>
        <v>7.63</v>
      </c>
      <c r="L2010" s="136"/>
      <c r="M2010" s="136"/>
      <c r="N2010" s="136"/>
      <c r="O2010" s="119" t="s">
        <v>616</v>
      </c>
      <c r="P2010" s="79"/>
      <c r="AA2010" s="0" t="n">
        <v>116.628</v>
      </c>
      <c r="AB2010" s="0" t="n">
        <f aca="false">B2008*D2008+B2009*D2009+AA2010*D2010+AA2011*D2011+AA2012*D2012</f>
        <v>86.066549847</v>
      </c>
    </row>
    <row r="2011" customFormat="false" ht="15" hidden="false" customHeight="false" outlineLevel="0" collapsed="false">
      <c r="A2011" s="104" t="s">
        <v>618</v>
      </c>
      <c r="B2011" s="105" t="n">
        <f aca="false">IF($P$2010&lt;&gt;"",ROUND(AA2011*(($AB$2010/(1-$P$2010))-52.318)/44.0054,2),IF('Resumen 2.0TD'!$D$3="OPTIMIZAR",AA2011,AA2011))</f>
        <v>65.738</v>
      </c>
      <c r="C2011" s="118"/>
      <c r="D2011" s="107" t="n">
        <v>0.111171</v>
      </c>
      <c r="E2011" s="108" t="n">
        <v>0.13788</v>
      </c>
      <c r="F2011" s="109" t="n">
        <f aca="false">ROUND(B2011*E2011,2)</f>
        <v>9.06</v>
      </c>
      <c r="H2011" s="110" t="n">
        <v>37.686</v>
      </c>
      <c r="I2011" s="111" t="n">
        <v>0.13788</v>
      </c>
      <c r="J2011" s="112" t="n">
        <f aca="false">ROUND(H2011*I2011,2)</f>
        <v>5.2</v>
      </c>
      <c r="L2011" s="136"/>
      <c r="M2011" s="136"/>
      <c r="N2011" s="136"/>
      <c r="O2011" s="120" t="s">
        <v>619</v>
      </c>
      <c r="R2011" s="117" t="s">
        <v>620</v>
      </c>
      <c r="AA2011" s="0" t="n">
        <v>65.738</v>
      </c>
    </row>
    <row r="2012" customFormat="false" ht="15" hidden="false" customHeight="false" outlineLevel="0" collapsed="false">
      <c r="A2012" s="104" t="s">
        <v>621</v>
      </c>
      <c r="B2012" s="105" t="n">
        <f aca="false">IF($P$2010&lt;&gt;"",ROUND(AA2012*(($AB$2010/(1-$P$2010))-52.318)/44.0054,2),IF('Resumen 2.0TD'!$D$3="OPTIMIZAR",AA2012,AA2012))</f>
        <v>136.791</v>
      </c>
      <c r="C2012" s="118"/>
      <c r="D2012" s="107" t="n">
        <v>0.111171</v>
      </c>
      <c r="E2012" s="108" t="n">
        <v>0.13788</v>
      </c>
      <c r="F2012" s="109" t="n">
        <f aca="false">ROUND(B2012*E2012,2)</f>
        <v>18.86</v>
      </c>
      <c r="H2012" s="110" t="n">
        <v>41.32</v>
      </c>
      <c r="I2012" s="111" t="n">
        <v>0.13788</v>
      </c>
      <c r="J2012" s="112" t="n">
        <f aca="false">ROUND(H2012*I2012,2)</f>
        <v>5.7</v>
      </c>
      <c r="L2012" s="136"/>
      <c r="M2012" s="136"/>
      <c r="N2012" s="136"/>
      <c r="O2012" s="120" t="s">
        <v>622</v>
      </c>
      <c r="AA2012" s="0" t="n">
        <v>136.791</v>
      </c>
    </row>
    <row r="2013" customFormat="false" ht="15" hidden="false" customHeight="false" outlineLevel="0" collapsed="false">
      <c r="A2013" s="104" t="s">
        <v>139</v>
      </c>
      <c r="B2013" s="105" t="n">
        <v>1</v>
      </c>
      <c r="C2013" s="106" t="n">
        <f aca="false">$N$2005-$L$2005+1</f>
        <v>30</v>
      </c>
      <c r="D2013" s="107" t="n">
        <v>1.3414</v>
      </c>
      <c r="E2013" s="108" t="n">
        <v>3</v>
      </c>
      <c r="F2013" s="109" t="n">
        <f aca="false">ROUND(B2013*E2013,2)</f>
        <v>3</v>
      </c>
      <c r="H2013" s="110" t="n">
        <v>1</v>
      </c>
      <c r="I2013" s="111" t="n">
        <v>3</v>
      </c>
      <c r="J2013" s="112" t="n">
        <f aca="false">ROUND(H2013*I2013,2)</f>
        <v>3</v>
      </c>
      <c r="L2013" s="136"/>
      <c r="M2013" s="136"/>
      <c r="N2013" s="136"/>
    </row>
    <row r="2014" customFormat="false" ht="15" hidden="false" customHeight="false" outlineLevel="0" collapsed="false">
      <c r="A2014" s="104" t="s">
        <v>140</v>
      </c>
      <c r="B2014" s="105" t="n">
        <v>30</v>
      </c>
      <c r="C2014" s="106" t="n">
        <f aca="false">$N$2005-$L$2005+1</f>
        <v>30</v>
      </c>
      <c r="D2014" s="107" t="n">
        <v>0.5736</v>
      </c>
      <c r="E2014" s="108" t="n">
        <v>0.01274</v>
      </c>
      <c r="F2014" s="109" t="n">
        <f aca="false">ROUND(B2014*E2014,2)</f>
        <v>0.38</v>
      </c>
      <c r="H2014" s="110" t="n">
        <v>30</v>
      </c>
      <c r="I2014" s="111" t="n">
        <v>0.01274</v>
      </c>
      <c r="J2014" s="112" t="n">
        <f aca="false">ROUND(H2014*I2014,2)</f>
        <v>0.38</v>
      </c>
      <c r="L2014" s="136"/>
      <c r="M2014" s="136"/>
      <c r="N2014" s="136"/>
    </row>
    <row r="2015" customFormat="false" ht="15" hidden="false" customHeight="false" outlineLevel="0" collapsed="false">
      <c r="A2015" s="104" t="s">
        <v>141</v>
      </c>
      <c r="B2015" s="105" t="n">
        <v>4.93</v>
      </c>
      <c r="C2015" s="118"/>
      <c r="D2015" s="107" t="n">
        <v>0.02671</v>
      </c>
      <c r="E2015" s="108" t="n">
        <v>1</v>
      </c>
      <c r="F2015" s="109" t="n">
        <f aca="false">ROUND(B2015*E2015,2)</f>
        <v>4.93</v>
      </c>
      <c r="H2015" s="110" t="n">
        <v>3.63</v>
      </c>
      <c r="I2015" s="111" t="n">
        <v>1</v>
      </c>
      <c r="J2015" s="112" t="n">
        <f aca="false">ROUND(H2015*I2015,2)</f>
        <v>3.63</v>
      </c>
      <c r="L2015" s="136"/>
      <c r="M2015" s="136"/>
      <c r="N2015" s="136"/>
    </row>
    <row r="2016" customFormat="false" ht="15" hidden="false" customHeight="false" outlineLevel="0" collapsed="false">
      <c r="A2016" s="121" t="s">
        <v>142</v>
      </c>
      <c r="F2016" s="122" t="n">
        <f aca="false">ROUND((SUM(F2008:F2015)-F2015)*1.1+F2015,2)</f>
        <v>114.6</v>
      </c>
      <c r="J2016" s="123" t="n">
        <f aca="false">ROUND(SUM(J2008:J2015),2)</f>
        <v>77.86</v>
      </c>
      <c r="N2016" s="137"/>
    </row>
    <row r="2017" customFormat="false" ht="15" hidden="false" customHeight="false" outlineLevel="0" collapsed="false">
      <c r="A2017" s="93" t="s">
        <v>143</v>
      </c>
      <c r="B2017" s="125" t="n">
        <f aca="false">IF((F2012+F2011+F2010+F2008+F2009)=0,"",((F2012+F2011+F2010+F2008+F2009)-$AB$2010)/(F2012+F2011+F2010+F2008+F2009))</f>
        <v>0.106451932651578</v>
      </c>
      <c r="D2017" s="126" t="str">
        <f aca="false">IF(B2017="","SIN PC",IF(B2017&gt;=0.3,"APROBAR",IF(B2017&gt;=0.2,"REVISAR","RECHAZAR")))</f>
        <v>RECHAZAR</v>
      </c>
      <c r="E2017" s="126"/>
      <c r="F2017" s="126"/>
      <c r="AD2017" s="0" t="n">
        <f aca="false">SUM(F2010:F2012)-44.0054</f>
        <v>-0.00540000000000163</v>
      </c>
    </row>
    <row r="2019" customFormat="false" ht="15" hidden="false" customHeight="false" outlineLevel="0" collapsed="false">
      <c r="A2019" s="89" t="s">
        <v>1463</v>
      </c>
      <c r="B2019" s="89"/>
      <c r="C2019" s="89"/>
      <c r="D2019" s="89"/>
      <c r="E2019" s="89"/>
      <c r="F2019" s="89"/>
      <c r="H2019" s="89" t="s">
        <v>1464</v>
      </c>
      <c r="I2019" s="89"/>
      <c r="J2019" s="89"/>
      <c r="K2019" s="89"/>
      <c r="L2019" s="90" t="n">
        <v>46113</v>
      </c>
      <c r="M2019" s="91" t="s">
        <v>608</v>
      </c>
      <c r="N2019" s="90" t="n">
        <v>46142</v>
      </c>
      <c r="R2019" s="92" t="s">
        <v>110</v>
      </c>
      <c r="S2019" s="92"/>
      <c r="T2019" s="92"/>
      <c r="U2019" s="92"/>
      <c r="V2019" s="92"/>
    </row>
    <row r="2020" customFormat="false" ht="15" hidden="false" customHeight="false" outlineLevel="0" collapsed="false">
      <c r="A2020" s="93" t="s">
        <v>111</v>
      </c>
      <c r="B2020" s="94" t="s">
        <v>112</v>
      </c>
      <c r="C2020" s="95"/>
      <c r="D2020" s="95"/>
      <c r="E2020" s="95"/>
      <c r="F2020" s="95"/>
      <c r="H2020" s="96" t="s">
        <v>1452</v>
      </c>
      <c r="I2020" s="97"/>
      <c r="J2020" s="97"/>
      <c r="L2020" s="98" t="s">
        <v>797</v>
      </c>
      <c r="M2020" s="99"/>
      <c r="N2020" s="99"/>
      <c r="R2020" s="100" t="s">
        <v>798</v>
      </c>
    </row>
    <row r="2021" customFormat="false" ht="15" hidden="false" customHeight="false" outlineLevel="0" collapsed="false">
      <c r="B2021" s="81" t="s">
        <v>116</v>
      </c>
      <c r="C2021" s="81" t="s">
        <v>117</v>
      </c>
      <c r="D2021" s="81" t="s">
        <v>118</v>
      </c>
      <c r="E2021" s="81" t="s">
        <v>119</v>
      </c>
      <c r="F2021" s="81" t="s">
        <v>120</v>
      </c>
      <c r="H2021" s="101" t="s">
        <v>116</v>
      </c>
      <c r="I2021" s="101" t="s">
        <v>119</v>
      </c>
      <c r="J2021" s="101" t="s">
        <v>120</v>
      </c>
      <c r="L2021" s="102" t="s">
        <v>116</v>
      </c>
      <c r="M2021" s="102" t="s">
        <v>119</v>
      </c>
      <c r="N2021" s="102" t="s">
        <v>120</v>
      </c>
      <c r="R2021" s="103" t="s">
        <v>765</v>
      </c>
    </row>
    <row r="2022" customFormat="false" ht="15" hidden="false" customHeight="false" outlineLevel="0" collapsed="false">
      <c r="A2022" s="104" t="s">
        <v>122</v>
      </c>
      <c r="B2022" s="105" t="n">
        <v>3.45</v>
      </c>
      <c r="C2022" s="106" t="n">
        <f aca="false">$N$2019-$L$2019+1</f>
        <v>30</v>
      </c>
      <c r="D2022" s="107" t="n">
        <v>3.68919</v>
      </c>
      <c r="E2022" s="108" t="n">
        <v>3.85</v>
      </c>
      <c r="F2022" s="109" t="n">
        <f aca="false">ROUND(B2022*E2022,2)</f>
        <v>13.28</v>
      </c>
      <c r="H2022" s="138"/>
      <c r="I2022" s="138"/>
      <c r="J2022" s="138"/>
      <c r="L2022" s="136"/>
      <c r="M2022" s="136"/>
      <c r="N2022" s="136"/>
      <c r="R2022" s="116" t="s">
        <v>799</v>
      </c>
    </row>
    <row r="2023" customFormat="false" ht="15" hidden="false" customHeight="false" outlineLevel="0" collapsed="false">
      <c r="A2023" s="104" t="s">
        <v>124</v>
      </c>
      <c r="B2023" s="105" t="n">
        <v>3.45</v>
      </c>
      <c r="C2023" s="106" t="n">
        <f aca="false">$N$2019-$L$2019+1</f>
        <v>30</v>
      </c>
      <c r="D2023" s="107" t="n">
        <v>1.31928</v>
      </c>
      <c r="E2023" s="108" t="n">
        <v>1.33</v>
      </c>
      <c r="F2023" s="109" t="n">
        <f aca="false">ROUND(B2023*E2023,2)</f>
        <v>4.59</v>
      </c>
      <c r="H2023" s="138"/>
      <c r="I2023" s="138"/>
      <c r="J2023" s="138"/>
      <c r="L2023" s="136"/>
      <c r="M2023" s="136"/>
      <c r="N2023" s="136"/>
    </row>
    <row r="2024" customFormat="false" ht="15" hidden="false" customHeight="false" outlineLevel="0" collapsed="false">
      <c r="A2024" s="104" t="s">
        <v>615</v>
      </c>
      <c r="B2024" s="105" t="n">
        <f aca="false">IF($P$2024&lt;&gt;"",ROUND(AA2024*(($AB$2024/(1-$P$2024))-17.871)/3.689,2),IF('Resumen 2.0TD'!$D$3="OPTIMIZAR",AA2024,AA2024))</f>
        <v>8.13</v>
      </c>
      <c r="C2024" s="118"/>
      <c r="D2024" s="107" t="n">
        <v>0.111171</v>
      </c>
      <c r="E2024" s="108" t="n">
        <v>0.13788</v>
      </c>
      <c r="F2024" s="109" t="n">
        <f aca="false">ROUND(B2024*E2024,2)</f>
        <v>1.12</v>
      </c>
      <c r="H2024" s="138"/>
      <c r="I2024" s="138"/>
      <c r="J2024" s="138"/>
      <c r="L2024" s="136"/>
      <c r="M2024" s="136"/>
      <c r="N2024" s="136"/>
      <c r="O2024" s="119" t="s">
        <v>616</v>
      </c>
      <c r="P2024" s="79"/>
      <c r="AA2024" s="0" t="n">
        <v>8.13</v>
      </c>
      <c r="AB2024" s="0" t="n">
        <f aca="false">B2022*D2022+B2023*D2023+AA2024*D2024+AA2025*D2025+AA2026*D2026</f>
        <v>20.253601605</v>
      </c>
    </row>
    <row r="2025" customFormat="false" ht="15" hidden="false" customHeight="false" outlineLevel="0" collapsed="false">
      <c r="A2025" s="104" t="s">
        <v>618</v>
      </c>
      <c r="B2025" s="105" t="n">
        <f aca="false">IF($P$2024&lt;&gt;"",ROUND(AA2025*(($AB$2024/(1-$P$2024))-17.871)/3.689,2),IF('Resumen 2.0TD'!$D$3="OPTIMIZAR",AA2025,AA2025))</f>
        <v>7.249</v>
      </c>
      <c r="C2025" s="118"/>
      <c r="D2025" s="107" t="n">
        <v>0.111171</v>
      </c>
      <c r="E2025" s="108" t="n">
        <v>0.13788</v>
      </c>
      <c r="F2025" s="109" t="n">
        <f aca="false">ROUND(B2025*E2025,2)</f>
        <v>1</v>
      </c>
      <c r="H2025" s="138"/>
      <c r="I2025" s="138"/>
      <c r="J2025" s="138"/>
      <c r="L2025" s="136"/>
      <c r="M2025" s="136"/>
      <c r="N2025" s="136"/>
      <c r="O2025" s="120" t="s">
        <v>619</v>
      </c>
      <c r="R2025" s="117" t="s">
        <v>620</v>
      </c>
      <c r="AA2025" s="0" t="n">
        <v>7.249</v>
      </c>
    </row>
    <row r="2026" customFormat="false" ht="15" hidden="false" customHeight="false" outlineLevel="0" collapsed="false">
      <c r="A2026" s="104" t="s">
        <v>621</v>
      </c>
      <c r="B2026" s="105" t="n">
        <f aca="false">IF($P$2024&lt;&gt;"",ROUND(AA2026*(($AB$2024/(1-$P$2024))-17.871)/3.689,2),IF('Resumen 2.0TD'!$D$3="OPTIMIZAR",AA2026,AA2026))</f>
        <v>11.376</v>
      </c>
      <c r="C2026" s="118"/>
      <c r="D2026" s="107" t="n">
        <v>0.111171</v>
      </c>
      <c r="E2026" s="108" t="n">
        <v>0.13788</v>
      </c>
      <c r="F2026" s="109" t="n">
        <f aca="false">ROUND(B2026*E2026,2)</f>
        <v>1.57</v>
      </c>
      <c r="H2026" s="138"/>
      <c r="I2026" s="138"/>
      <c r="J2026" s="138"/>
      <c r="L2026" s="136"/>
      <c r="M2026" s="136"/>
      <c r="N2026" s="136"/>
      <c r="O2026" s="120" t="s">
        <v>622</v>
      </c>
      <c r="AA2026" s="0" t="n">
        <v>11.376</v>
      </c>
    </row>
    <row r="2027" customFormat="false" ht="15" hidden="false" customHeight="false" outlineLevel="0" collapsed="false">
      <c r="A2027" s="104" t="s">
        <v>139</v>
      </c>
      <c r="B2027" s="105" t="n">
        <v>1</v>
      </c>
      <c r="C2027" s="106" t="n">
        <f aca="false">$N$2019-$L$2019+1</f>
        <v>30</v>
      </c>
      <c r="D2027" s="107" t="n">
        <v>0.7989</v>
      </c>
      <c r="E2027" s="108" t="n">
        <v>3</v>
      </c>
      <c r="F2027" s="109" t="n">
        <f aca="false">ROUND(B2027*E2027,2)</f>
        <v>3</v>
      </c>
      <c r="H2027" s="138"/>
      <c r="I2027" s="138"/>
      <c r="J2027" s="138"/>
      <c r="L2027" s="136"/>
      <c r="M2027" s="136"/>
      <c r="N2027" s="136"/>
    </row>
    <row r="2028" customFormat="false" ht="15" hidden="false" customHeight="false" outlineLevel="0" collapsed="false">
      <c r="A2028" s="104" t="s">
        <v>140</v>
      </c>
      <c r="B2028" s="105" t="n">
        <v>30</v>
      </c>
      <c r="C2028" s="106" t="n">
        <f aca="false">$N$2019-$L$2019+1</f>
        <v>30</v>
      </c>
      <c r="D2028" s="107" t="n">
        <v>0.5736</v>
      </c>
      <c r="E2028" s="108" t="n">
        <v>0.01274</v>
      </c>
      <c r="F2028" s="109" t="n">
        <f aca="false">ROUND(B2028*E2028,2)</f>
        <v>0.38</v>
      </c>
      <c r="H2028" s="138"/>
      <c r="I2028" s="138"/>
      <c r="J2028" s="138"/>
      <c r="L2028" s="136"/>
      <c r="M2028" s="136"/>
      <c r="N2028" s="136"/>
    </row>
    <row r="2029" customFormat="false" ht="15" hidden="false" customHeight="false" outlineLevel="0" collapsed="false">
      <c r="A2029" s="104" t="s">
        <v>141</v>
      </c>
      <c r="B2029" s="105" t="n">
        <v>1.11</v>
      </c>
      <c r="C2029" s="118"/>
      <c r="D2029" s="107" t="n">
        <v>0.02671</v>
      </c>
      <c r="E2029" s="108" t="n">
        <v>1</v>
      </c>
      <c r="F2029" s="109" t="n">
        <f aca="false">ROUND(B2029*E2029,2)</f>
        <v>1.11</v>
      </c>
      <c r="H2029" s="138"/>
      <c r="I2029" s="138"/>
      <c r="J2029" s="138"/>
      <c r="L2029" s="136"/>
      <c r="M2029" s="136"/>
      <c r="N2029" s="136"/>
    </row>
    <row r="2030" customFormat="false" ht="15" hidden="false" customHeight="false" outlineLevel="0" collapsed="false">
      <c r="A2030" s="121" t="s">
        <v>142</v>
      </c>
      <c r="F2030" s="122" t="n">
        <f aca="false">ROUND((SUM(F2022:F2029)-F2029)*1.1+F2029,2)</f>
        <v>28.54</v>
      </c>
      <c r="J2030" s="140"/>
      <c r="N2030" s="137"/>
    </row>
    <row r="2031" customFormat="false" ht="15" hidden="false" customHeight="false" outlineLevel="0" collapsed="false">
      <c r="A2031" s="93" t="s">
        <v>143</v>
      </c>
      <c r="B2031" s="125" t="n">
        <f aca="false">IF((F2026+F2025+F2024+F2022+F2023)=0,"",((F2026+F2025+F2024+F2022+F2023)-$AB$2024)/(F2026+F2025+F2024+F2022+F2023))</f>
        <v>0.0605936175788495</v>
      </c>
      <c r="D2031" s="126" t="str">
        <f aca="false">IF(B2031="","SIN PC",IF(B2031&gt;=0.3,"APROBAR",IF(B2031&gt;=0.2,"REVISAR","RECHAZAR")))</f>
        <v>RECHAZAR</v>
      </c>
      <c r="E2031" s="126"/>
      <c r="F2031" s="126"/>
      <c r="AD2031" s="0" t="n">
        <f aca="false">SUM(F2024:F2026)-3.689</f>
        <v>0.00100000000000033</v>
      </c>
    </row>
    <row r="2033" customFormat="false" ht="15" hidden="false" customHeight="false" outlineLevel="0" collapsed="false">
      <c r="A2033" s="89" t="s">
        <v>1465</v>
      </c>
      <c r="B2033" s="89"/>
      <c r="C2033" s="89"/>
      <c r="D2033" s="89"/>
      <c r="E2033" s="89"/>
      <c r="F2033" s="89"/>
      <c r="H2033" s="89" t="s">
        <v>1466</v>
      </c>
      <c r="I2033" s="89"/>
      <c r="J2033" s="89"/>
      <c r="K2033" s="89"/>
      <c r="L2033" s="90" t="n">
        <v>46113</v>
      </c>
      <c r="M2033" s="91" t="s">
        <v>608</v>
      </c>
      <c r="N2033" s="90" t="n">
        <v>46142</v>
      </c>
      <c r="R2033" s="92" t="s">
        <v>110</v>
      </c>
      <c r="S2033" s="92"/>
      <c r="T2033" s="92"/>
      <c r="U2033" s="92"/>
      <c r="V2033" s="92"/>
    </row>
    <row r="2034" customFormat="false" ht="15" hidden="false" customHeight="false" outlineLevel="0" collapsed="false">
      <c r="A2034" s="93" t="s">
        <v>111</v>
      </c>
      <c r="B2034" s="94" t="s">
        <v>112</v>
      </c>
      <c r="C2034" s="95"/>
      <c r="D2034" s="95"/>
      <c r="E2034" s="95"/>
      <c r="F2034" s="95"/>
      <c r="H2034" s="96" t="s">
        <v>1452</v>
      </c>
      <c r="I2034" s="97"/>
      <c r="J2034" s="97"/>
      <c r="L2034" s="98" t="s">
        <v>797</v>
      </c>
      <c r="M2034" s="99"/>
      <c r="N2034" s="99"/>
      <c r="R2034" s="100" t="s">
        <v>1445</v>
      </c>
    </row>
    <row r="2035" customFormat="false" ht="15" hidden="false" customHeight="false" outlineLevel="0" collapsed="false">
      <c r="B2035" s="81" t="s">
        <v>116</v>
      </c>
      <c r="C2035" s="81" t="s">
        <v>117</v>
      </c>
      <c r="D2035" s="81" t="s">
        <v>118</v>
      </c>
      <c r="E2035" s="81" t="s">
        <v>119</v>
      </c>
      <c r="F2035" s="81" t="s">
        <v>120</v>
      </c>
      <c r="H2035" s="101" t="s">
        <v>116</v>
      </c>
      <c r="I2035" s="101" t="s">
        <v>119</v>
      </c>
      <c r="J2035" s="101" t="s">
        <v>120</v>
      </c>
      <c r="L2035" s="102" t="s">
        <v>116</v>
      </c>
      <c r="M2035" s="102" t="s">
        <v>119</v>
      </c>
      <c r="N2035" s="102" t="s">
        <v>120</v>
      </c>
      <c r="R2035" s="103" t="s">
        <v>765</v>
      </c>
    </row>
    <row r="2036" customFormat="false" ht="15" hidden="false" customHeight="false" outlineLevel="0" collapsed="false">
      <c r="A2036" s="104" t="s">
        <v>122</v>
      </c>
      <c r="B2036" s="105" t="n">
        <v>9.2</v>
      </c>
      <c r="C2036" s="106" t="n">
        <f aca="false">$N$2033-$L$2033+1</f>
        <v>30</v>
      </c>
      <c r="D2036" s="107" t="n">
        <v>3.68919</v>
      </c>
      <c r="E2036" s="108" t="n">
        <v>3.85</v>
      </c>
      <c r="F2036" s="109" t="n">
        <f aca="false">ROUND(B2036*E2036,2)</f>
        <v>35.42</v>
      </c>
      <c r="H2036" s="138"/>
      <c r="I2036" s="138"/>
      <c r="J2036" s="138"/>
      <c r="L2036" s="136"/>
      <c r="M2036" s="136"/>
      <c r="N2036" s="136"/>
      <c r="R2036" s="116" t="s">
        <v>1446</v>
      </c>
    </row>
    <row r="2037" customFormat="false" ht="15" hidden="false" customHeight="false" outlineLevel="0" collapsed="false">
      <c r="A2037" s="104" t="s">
        <v>124</v>
      </c>
      <c r="B2037" s="105" t="n">
        <v>9.2</v>
      </c>
      <c r="C2037" s="106" t="n">
        <f aca="false">$N$2033-$L$2033+1</f>
        <v>30</v>
      </c>
      <c r="D2037" s="107" t="n">
        <v>1.31928</v>
      </c>
      <c r="E2037" s="108" t="n">
        <v>1.33</v>
      </c>
      <c r="F2037" s="109" t="n">
        <f aca="false">ROUND(B2037*E2037,2)</f>
        <v>12.24</v>
      </c>
      <c r="H2037" s="138"/>
      <c r="I2037" s="138"/>
      <c r="J2037" s="138"/>
      <c r="L2037" s="136"/>
      <c r="M2037" s="136"/>
      <c r="N2037" s="136"/>
    </row>
    <row r="2038" customFormat="false" ht="15" hidden="false" customHeight="false" outlineLevel="0" collapsed="false">
      <c r="A2038" s="104" t="s">
        <v>615</v>
      </c>
      <c r="B2038" s="105" t="n">
        <f aca="false">IF($P$2038&lt;&gt;"",ROUND(AA2038*(($AB$2038/(1-$P$2038))-47.656)/32.9284,2),IF('Resumen 2.0TD'!$D$3="OPTIMIZAR",AA2038,AA2038))</f>
        <v>52.826</v>
      </c>
      <c r="C2038" s="118"/>
      <c r="D2038" s="107" t="n">
        <v>0.111171</v>
      </c>
      <c r="E2038" s="108" t="n">
        <v>0.13788</v>
      </c>
      <c r="F2038" s="109" t="n">
        <f aca="false">ROUND(B2038*E2038,2)</f>
        <v>7.28</v>
      </c>
      <c r="H2038" s="138"/>
      <c r="I2038" s="138"/>
      <c r="J2038" s="138"/>
      <c r="L2038" s="136"/>
      <c r="M2038" s="136"/>
      <c r="N2038" s="136"/>
      <c r="O2038" s="119" t="s">
        <v>616</v>
      </c>
      <c r="P2038" s="79"/>
      <c r="AA2038" s="0" t="n">
        <v>52.826</v>
      </c>
      <c r="AB2038" s="0" t="n">
        <f aca="false">B2036*D2036+B2037*D2037+AA2038*D2038+AA2039*D2039+AA2040*D2040</f>
        <v>72.627671049</v>
      </c>
    </row>
    <row r="2039" customFormat="false" ht="15" hidden="false" customHeight="false" outlineLevel="0" collapsed="false">
      <c r="A2039" s="104" t="s">
        <v>618</v>
      </c>
      <c r="B2039" s="105" t="n">
        <f aca="false">IF($P$2038&lt;&gt;"",ROUND(AA2039*(($AB$2038/(1-$P$2038))-47.656)/32.9284,2),IF('Resumen 2.0TD'!$D$3="OPTIMIZAR",AA2039,AA2039))</f>
        <v>74.812</v>
      </c>
      <c r="C2039" s="118"/>
      <c r="D2039" s="107" t="n">
        <v>0.111171</v>
      </c>
      <c r="E2039" s="108" t="n">
        <v>0.13788</v>
      </c>
      <c r="F2039" s="109" t="n">
        <f aca="false">ROUND(B2039*E2039,2)</f>
        <v>10.32</v>
      </c>
      <c r="H2039" s="138"/>
      <c r="I2039" s="138"/>
      <c r="J2039" s="138"/>
      <c r="L2039" s="136"/>
      <c r="M2039" s="136"/>
      <c r="N2039" s="136"/>
      <c r="O2039" s="120" t="s">
        <v>619</v>
      </c>
      <c r="R2039" s="117" t="s">
        <v>620</v>
      </c>
      <c r="AA2039" s="0" t="n">
        <v>74.812</v>
      </c>
    </row>
    <row r="2040" customFormat="false" ht="15" hidden="false" customHeight="false" outlineLevel="0" collapsed="false">
      <c r="A2040" s="104" t="s">
        <v>621</v>
      </c>
      <c r="B2040" s="105" t="n">
        <f aca="false">IF($P$2038&lt;&gt;"",ROUND(AA2040*(($AB$2038/(1-$P$2038))-47.656)/32.9284,2),IF('Resumen 2.0TD'!$D$3="OPTIMIZAR",AA2040,AA2040))</f>
        <v>111.181</v>
      </c>
      <c r="C2040" s="118"/>
      <c r="D2040" s="107" t="n">
        <v>0.111171</v>
      </c>
      <c r="E2040" s="108" t="n">
        <v>0.13788</v>
      </c>
      <c r="F2040" s="109" t="n">
        <f aca="false">ROUND(B2040*E2040,2)</f>
        <v>15.33</v>
      </c>
      <c r="H2040" s="138"/>
      <c r="I2040" s="138"/>
      <c r="J2040" s="138"/>
      <c r="L2040" s="136"/>
      <c r="M2040" s="136"/>
      <c r="N2040" s="136"/>
      <c r="O2040" s="120" t="s">
        <v>622</v>
      </c>
      <c r="AA2040" s="0" t="n">
        <v>111.181</v>
      </c>
    </row>
    <row r="2041" customFormat="false" ht="15" hidden="false" customHeight="false" outlineLevel="0" collapsed="false">
      <c r="A2041" s="104" t="s">
        <v>139</v>
      </c>
      <c r="B2041" s="105" t="n">
        <v>1</v>
      </c>
      <c r="C2041" s="106" t="n">
        <f aca="false">$N$2033-$L$2033+1</f>
        <v>30</v>
      </c>
      <c r="D2041" s="107" t="n">
        <v>0.7989</v>
      </c>
      <c r="E2041" s="108" t="n">
        <v>3</v>
      </c>
      <c r="F2041" s="109" t="n">
        <f aca="false">ROUND(B2041*E2041,2)</f>
        <v>3</v>
      </c>
      <c r="H2041" s="138"/>
      <c r="I2041" s="138"/>
      <c r="J2041" s="138"/>
      <c r="L2041" s="136"/>
      <c r="M2041" s="136"/>
      <c r="N2041" s="136"/>
    </row>
    <row r="2042" customFormat="false" ht="15" hidden="false" customHeight="false" outlineLevel="0" collapsed="false">
      <c r="A2042" s="104" t="s">
        <v>140</v>
      </c>
      <c r="B2042" s="105" t="n">
        <v>30</v>
      </c>
      <c r="C2042" s="106" t="n">
        <f aca="false">$N$2033-$L$2033+1</f>
        <v>30</v>
      </c>
      <c r="D2042" s="107" t="n">
        <v>0.5736</v>
      </c>
      <c r="E2042" s="108" t="n">
        <v>0.01274</v>
      </c>
      <c r="F2042" s="109" t="n">
        <f aca="false">ROUND(B2042*E2042,2)</f>
        <v>0.38</v>
      </c>
      <c r="H2042" s="138"/>
      <c r="I2042" s="138"/>
      <c r="J2042" s="138"/>
      <c r="L2042" s="136"/>
      <c r="M2042" s="136"/>
      <c r="N2042" s="136"/>
    </row>
    <row r="2043" customFormat="false" ht="15" hidden="false" customHeight="false" outlineLevel="0" collapsed="false">
      <c r="A2043" s="104" t="s">
        <v>141</v>
      </c>
      <c r="B2043" s="105" t="n">
        <v>4.13</v>
      </c>
      <c r="C2043" s="118"/>
      <c r="D2043" s="107" t="n">
        <v>0.02671</v>
      </c>
      <c r="E2043" s="108" t="n">
        <v>1</v>
      </c>
      <c r="F2043" s="109" t="n">
        <f aca="false">ROUND(B2043*E2043,2)</f>
        <v>4.13</v>
      </c>
      <c r="H2043" s="138"/>
      <c r="I2043" s="138"/>
      <c r="J2043" s="138"/>
      <c r="L2043" s="136"/>
      <c r="M2043" s="136"/>
      <c r="N2043" s="136"/>
    </row>
    <row r="2044" customFormat="false" ht="15" hidden="false" customHeight="false" outlineLevel="0" collapsed="false">
      <c r="A2044" s="121" t="s">
        <v>142</v>
      </c>
      <c r="F2044" s="122" t="n">
        <f aca="false">ROUND((SUM(F2036:F2043)-F2043)*1.1+F2043,2)</f>
        <v>96.5</v>
      </c>
      <c r="J2044" s="140"/>
      <c r="N2044" s="137"/>
    </row>
    <row r="2045" customFormat="false" ht="15" hidden="false" customHeight="false" outlineLevel="0" collapsed="false">
      <c r="A2045" s="93" t="s">
        <v>143</v>
      </c>
      <c r="B2045" s="125" t="n">
        <f aca="false">IF((F2040+F2039+F2038+F2036+F2037)=0,"",((F2040+F2039+F2038+F2036+F2037)-$AB$2038)/(F2040+F2039+F2038+F2036+F2037))</f>
        <v>0.098800458506018</v>
      </c>
      <c r="D2045" s="126" t="str">
        <f aca="false">IF(B2045="","SIN PC",IF(B2045&gt;=0.3,"APROBAR",IF(B2045&gt;=0.2,"REVISAR","RECHAZAR")))</f>
        <v>RECHAZAR</v>
      </c>
      <c r="E2045" s="126"/>
      <c r="F2045" s="126"/>
      <c r="AD2045" s="0" t="n">
        <f aca="false">SUM(F2038:F2040)-32.9284</f>
        <v>0.00159999999999627</v>
      </c>
    </row>
    <row r="2047" customFormat="false" ht="15" hidden="false" customHeight="false" outlineLevel="0" collapsed="false">
      <c r="A2047" s="89" t="s">
        <v>1467</v>
      </c>
      <c r="B2047" s="89"/>
      <c r="C2047" s="89"/>
      <c r="D2047" s="89"/>
      <c r="E2047" s="89"/>
      <c r="F2047" s="89"/>
      <c r="H2047" s="89" t="s">
        <v>1468</v>
      </c>
      <c r="I2047" s="89"/>
      <c r="J2047" s="89"/>
      <c r="K2047" s="89"/>
      <c r="L2047" s="90" t="n">
        <v>46120</v>
      </c>
      <c r="M2047" s="91" t="s">
        <v>608</v>
      </c>
      <c r="N2047" s="90" t="n">
        <v>46142</v>
      </c>
      <c r="R2047" s="92" t="s">
        <v>110</v>
      </c>
      <c r="S2047" s="92"/>
      <c r="T2047" s="92"/>
      <c r="U2047" s="92"/>
      <c r="V2047" s="92"/>
    </row>
    <row r="2048" customFormat="false" ht="15" hidden="false" customHeight="false" outlineLevel="0" collapsed="false">
      <c r="A2048" s="93" t="s">
        <v>111</v>
      </c>
      <c r="B2048" s="94" t="s">
        <v>112</v>
      </c>
      <c r="C2048" s="95"/>
      <c r="D2048" s="95"/>
      <c r="E2048" s="95"/>
      <c r="F2048" s="95"/>
      <c r="H2048" s="96" t="s">
        <v>1452</v>
      </c>
      <c r="I2048" s="97"/>
      <c r="J2048" s="97"/>
      <c r="L2048" s="98" t="s">
        <v>797</v>
      </c>
      <c r="M2048" s="99"/>
      <c r="N2048" s="99"/>
      <c r="R2048" s="100" t="s">
        <v>798</v>
      </c>
    </row>
    <row r="2049" customFormat="false" ht="15" hidden="false" customHeight="false" outlineLevel="0" collapsed="false">
      <c r="B2049" s="81" t="s">
        <v>116</v>
      </c>
      <c r="C2049" s="81" t="s">
        <v>117</v>
      </c>
      <c r="D2049" s="81" t="s">
        <v>118</v>
      </c>
      <c r="E2049" s="81" t="s">
        <v>119</v>
      </c>
      <c r="F2049" s="81" t="s">
        <v>120</v>
      </c>
      <c r="H2049" s="101" t="s">
        <v>116</v>
      </c>
      <c r="I2049" s="101" t="s">
        <v>119</v>
      </c>
      <c r="J2049" s="101" t="s">
        <v>120</v>
      </c>
      <c r="L2049" s="102" t="s">
        <v>116</v>
      </c>
      <c r="M2049" s="102" t="s">
        <v>119</v>
      </c>
      <c r="N2049" s="102" t="s">
        <v>120</v>
      </c>
      <c r="R2049" s="103" t="s">
        <v>765</v>
      </c>
    </row>
    <row r="2050" customFormat="false" ht="15" hidden="false" customHeight="false" outlineLevel="0" collapsed="false">
      <c r="A2050" s="104" t="s">
        <v>122</v>
      </c>
      <c r="B2050" s="105" t="n">
        <v>4.6</v>
      </c>
      <c r="C2050" s="106" t="n">
        <f aca="false">$N$2047-$L$2047+1</f>
        <v>23</v>
      </c>
      <c r="D2050" s="107" t="n">
        <v>3.68919</v>
      </c>
      <c r="E2050" s="108" t="n">
        <v>2.85</v>
      </c>
      <c r="F2050" s="109" t="n">
        <f aca="false">ROUND(B2050*E2050,2)</f>
        <v>13.11</v>
      </c>
      <c r="H2050" s="138"/>
      <c r="I2050" s="138"/>
      <c r="J2050" s="138"/>
      <c r="L2050" s="136"/>
      <c r="M2050" s="136"/>
      <c r="N2050" s="136"/>
      <c r="R2050" s="116" t="s">
        <v>799</v>
      </c>
    </row>
    <row r="2051" customFormat="false" ht="15" hidden="false" customHeight="false" outlineLevel="0" collapsed="false">
      <c r="A2051" s="104" t="s">
        <v>124</v>
      </c>
      <c r="B2051" s="105" t="n">
        <v>4.6</v>
      </c>
      <c r="C2051" s="106" t="n">
        <f aca="false">$N$2047-$L$2047+1</f>
        <v>23</v>
      </c>
      <c r="D2051" s="107" t="n">
        <v>1.31928</v>
      </c>
      <c r="E2051" s="108" t="n">
        <v>1.01</v>
      </c>
      <c r="F2051" s="109" t="n">
        <f aca="false">ROUND(B2051*E2051,2)</f>
        <v>4.65</v>
      </c>
      <c r="H2051" s="138"/>
      <c r="I2051" s="138"/>
      <c r="J2051" s="138"/>
      <c r="L2051" s="136"/>
      <c r="M2051" s="136"/>
      <c r="N2051" s="136"/>
    </row>
    <row r="2052" customFormat="false" ht="15" hidden="false" customHeight="false" outlineLevel="0" collapsed="false">
      <c r="A2052" s="104" t="s">
        <v>615</v>
      </c>
      <c r="B2052" s="105" t="n">
        <f aca="false">IF($P$2052&lt;&gt;"",ROUND(AA2052*(($AB$2052/(1-$P$2052))-17.756)/34.5811,2),IF('Resumen 2.0TD'!$D$3="OPTIMIZAR",AA2052,AA2052))</f>
        <v>82.132</v>
      </c>
      <c r="C2052" s="118"/>
      <c r="D2052" s="107" t="n">
        <v>0.111171</v>
      </c>
      <c r="E2052" s="108" t="n">
        <v>0.13788</v>
      </c>
      <c r="F2052" s="109" t="n">
        <f aca="false">ROUND(B2052*E2052,2)</f>
        <v>11.32</v>
      </c>
      <c r="H2052" s="138"/>
      <c r="I2052" s="138"/>
      <c r="J2052" s="138"/>
      <c r="L2052" s="136"/>
      <c r="M2052" s="136"/>
      <c r="N2052" s="136"/>
      <c r="O2052" s="119" t="s">
        <v>616</v>
      </c>
      <c r="P2052" s="79"/>
      <c r="AA2052" s="0" t="n">
        <v>82.132</v>
      </c>
      <c r="AB2052" s="0" t="n">
        <f aca="false">B2050*D2050+B2051*D2051+AA2052*D2052+AA2053*D2053+AA2054*D2054</f>
        <v>50.921315826</v>
      </c>
    </row>
    <row r="2053" customFormat="false" ht="15" hidden="false" customHeight="false" outlineLevel="0" collapsed="false">
      <c r="A2053" s="104" t="s">
        <v>618</v>
      </c>
      <c r="B2053" s="105" t="n">
        <f aca="false">IF($P$2052&lt;&gt;"",ROUND(AA2053*(($AB$2052/(1-$P$2052))-17.756)/34.5811,2),IF('Resumen 2.0TD'!$D$3="OPTIMIZAR",AA2053,AA2053))</f>
        <v>62.389</v>
      </c>
      <c r="C2053" s="118"/>
      <c r="D2053" s="107" t="n">
        <v>0.111171</v>
      </c>
      <c r="E2053" s="108" t="n">
        <v>0.13788</v>
      </c>
      <c r="F2053" s="109" t="n">
        <f aca="false">ROUND(B2053*E2053,2)</f>
        <v>8.6</v>
      </c>
      <c r="H2053" s="138"/>
      <c r="I2053" s="138"/>
      <c r="J2053" s="138"/>
      <c r="L2053" s="136"/>
      <c r="M2053" s="136"/>
      <c r="N2053" s="136"/>
      <c r="O2053" s="120" t="s">
        <v>619</v>
      </c>
      <c r="R2053" s="117" t="s">
        <v>620</v>
      </c>
      <c r="AA2053" s="0" t="n">
        <v>62.389</v>
      </c>
    </row>
    <row r="2054" customFormat="false" ht="15" hidden="false" customHeight="false" outlineLevel="0" collapsed="false">
      <c r="A2054" s="104" t="s">
        <v>621</v>
      </c>
      <c r="B2054" s="105" t="n">
        <f aca="false">IF($P$2052&lt;&gt;"",ROUND(AA2054*(($AB$2052/(1-$P$2052))-17.756)/34.5811,2),IF('Resumen 2.0TD'!$D$3="OPTIMIZAR",AA2054,AA2054))</f>
        <v>106.285</v>
      </c>
      <c r="C2054" s="118"/>
      <c r="D2054" s="107" t="n">
        <v>0.111171</v>
      </c>
      <c r="E2054" s="108" t="n">
        <v>0.13788</v>
      </c>
      <c r="F2054" s="109" t="n">
        <f aca="false">ROUND(B2054*E2054,2)</f>
        <v>14.65</v>
      </c>
      <c r="H2054" s="138"/>
      <c r="I2054" s="138"/>
      <c r="J2054" s="138"/>
      <c r="L2054" s="136"/>
      <c r="M2054" s="136"/>
      <c r="N2054" s="136"/>
      <c r="O2054" s="120" t="s">
        <v>622</v>
      </c>
      <c r="AA2054" s="0" t="n">
        <v>106.285</v>
      </c>
    </row>
    <row r="2055" customFormat="false" ht="15" hidden="false" customHeight="false" outlineLevel="0" collapsed="false">
      <c r="A2055" s="104" t="s">
        <v>139</v>
      </c>
      <c r="B2055" s="105" t="n">
        <v>1</v>
      </c>
      <c r="C2055" s="106" t="n">
        <f aca="false">$N$2047-$L$2047+1</f>
        <v>23</v>
      </c>
      <c r="D2055" s="107" t="n">
        <v>0.7989</v>
      </c>
      <c r="E2055" s="108" t="n">
        <v>3</v>
      </c>
      <c r="F2055" s="109" t="n">
        <f aca="false">ROUND(B2055*E2055,2)</f>
        <v>3</v>
      </c>
      <c r="H2055" s="138"/>
      <c r="I2055" s="138"/>
      <c r="J2055" s="138"/>
      <c r="L2055" s="136"/>
      <c r="M2055" s="136"/>
      <c r="N2055" s="136"/>
    </row>
    <row r="2056" customFormat="false" ht="15" hidden="false" customHeight="false" outlineLevel="0" collapsed="false">
      <c r="A2056" s="104" t="s">
        <v>140</v>
      </c>
      <c r="B2056" s="105" t="n">
        <v>30</v>
      </c>
      <c r="C2056" s="106" t="n">
        <f aca="false">$N$2047-$L$2047+1</f>
        <v>23</v>
      </c>
      <c r="D2056" s="107" t="n">
        <v>0.5736</v>
      </c>
      <c r="E2056" s="108" t="n">
        <v>0.01274</v>
      </c>
      <c r="F2056" s="109" t="n">
        <f aca="false">ROUND(B2056*E2056,2)</f>
        <v>0.38</v>
      </c>
      <c r="H2056" s="138"/>
      <c r="I2056" s="138"/>
      <c r="J2056" s="138"/>
      <c r="L2056" s="136"/>
      <c r="M2056" s="136"/>
      <c r="N2056" s="136"/>
    </row>
    <row r="2057" customFormat="false" ht="15" hidden="false" customHeight="false" outlineLevel="0" collapsed="false">
      <c r="A2057" s="104" t="s">
        <v>141</v>
      </c>
      <c r="B2057" s="105" t="n">
        <v>2.99</v>
      </c>
      <c r="C2057" s="118"/>
      <c r="D2057" s="107" t="n">
        <v>0.02671</v>
      </c>
      <c r="E2057" s="108" t="n">
        <v>1</v>
      </c>
      <c r="F2057" s="109" t="n">
        <f aca="false">ROUND(B2057*E2057,2)</f>
        <v>2.99</v>
      </c>
      <c r="H2057" s="138"/>
      <c r="I2057" s="138"/>
      <c r="J2057" s="138"/>
      <c r="L2057" s="136"/>
      <c r="M2057" s="136"/>
      <c r="N2057" s="136"/>
    </row>
    <row r="2058" customFormat="false" ht="15" hidden="false" customHeight="false" outlineLevel="0" collapsed="false">
      <c r="A2058" s="121" t="s">
        <v>142</v>
      </c>
      <c r="F2058" s="122" t="n">
        <f aca="false">ROUND((SUM(F2050:F2057)-F2057)*1.1+F2057,2)</f>
        <v>64.27</v>
      </c>
      <c r="J2058" s="140"/>
      <c r="N2058" s="137"/>
    </row>
    <row r="2059" customFormat="false" ht="15" hidden="false" customHeight="false" outlineLevel="0" collapsed="false">
      <c r="A2059" s="93" t="s">
        <v>143</v>
      </c>
      <c r="B2059" s="125" t="n">
        <f aca="false">IF((F2054+F2053+F2052+F2050+F2051)=0,"",((F2054+F2053+F2052+F2050+F2051)-$AB$2052)/(F2054+F2053+F2052+F2050+F2051))</f>
        <v>0.0269192465889546</v>
      </c>
      <c r="D2059" s="126" t="str">
        <f aca="false">IF(B2059="","SIN PC",IF(B2059&gt;=0.3,"APROBAR",IF(B2059&gt;=0.2,"REVISAR","RECHAZAR")))</f>
        <v>RECHAZAR</v>
      </c>
      <c r="E2059" s="126"/>
      <c r="F2059" s="126"/>
      <c r="AD2059" s="0" t="n">
        <f aca="false">SUM(F2052:F2054)-34.5811</f>
        <v>-0.011099999999999</v>
      </c>
    </row>
    <row r="2061" customFormat="false" ht="15" hidden="false" customHeight="false" outlineLevel="0" collapsed="false">
      <c r="A2061" s="89" t="s">
        <v>1469</v>
      </c>
      <c r="B2061" s="89"/>
      <c r="C2061" s="89"/>
      <c r="D2061" s="89"/>
      <c r="E2061" s="89"/>
      <c r="F2061" s="89"/>
      <c r="H2061" s="89" t="s">
        <v>1470</v>
      </c>
      <c r="I2061" s="89"/>
      <c r="J2061" s="89"/>
      <c r="K2061" s="89"/>
      <c r="L2061" s="90" t="n">
        <v>46122</v>
      </c>
      <c r="M2061" s="91" t="s">
        <v>608</v>
      </c>
      <c r="N2061" s="90" t="n">
        <v>46142</v>
      </c>
      <c r="R2061" s="92" t="s">
        <v>110</v>
      </c>
      <c r="S2061" s="92"/>
      <c r="T2061" s="92"/>
      <c r="U2061" s="92"/>
      <c r="V2061" s="92"/>
    </row>
    <row r="2062" customFormat="false" ht="15" hidden="false" customHeight="false" outlineLevel="0" collapsed="false">
      <c r="A2062" s="93" t="s">
        <v>111</v>
      </c>
      <c r="B2062" s="94" t="s">
        <v>112</v>
      </c>
      <c r="C2062" s="95"/>
      <c r="D2062" s="95"/>
      <c r="E2062" s="95"/>
      <c r="F2062" s="95"/>
      <c r="H2062" s="96" t="s">
        <v>1452</v>
      </c>
      <c r="I2062" s="97"/>
      <c r="J2062" s="97"/>
      <c r="L2062" s="98" t="s">
        <v>797</v>
      </c>
      <c r="M2062" s="99"/>
      <c r="N2062" s="99"/>
      <c r="R2062" s="100" t="s">
        <v>1445</v>
      </c>
    </row>
    <row r="2063" customFormat="false" ht="15" hidden="false" customHeight="false" outlineLevel="0" collapsed="false">
      <c r="B2063" s="81" t="s">
        <v>116</v>
      </c>
      <c r="C2063" s="81" t="s">
        <v>117</v>
      </c>
      <c r="D2063" s="81" t="s">
        <v>118</v>
      </c>
      <c r="E2063" s="81" t="s">
        <v>119</v>
      </c>
      <c r="F2063" s="81" t="s">
        <v>120</v>
      </c>
      <c r="H2063" s="101" t="s">
        <v>116</v>
      </c>
      <c r="I2063" s="101" t="s">
        <v>119</v>
      </c>
      <c r="J2063" s="101" t="s">
        <v>120</v>
      </c>
      <c r="L2063" s="102" t="s">
        <v>116</v>
      </c>
      <c r="M2063" s="102" t="s">
        <v>119</v>
      </c>
      <c r="N2063" s="102" t="s">
        <v>120</v>
      </c>
      <c r="R2063" s="103" t="s">
        <v>765</v>
      </c>
    </row>
    <row r="2064" customFormat="false" ht="15" hidden="false" customHeight="false" outlineLevel="0" collapsed="false">
      <c r="A2064" s="104" t="s">
        <v>122</v>
      </c>
      <c r="B2064" s="105" t="n">
        <v>9.2</v>
      </c>
      <c r="C2064" s="106" t="n">
        <f aca="false">$N$2061-$L$2061+1</f>
        <v>21</v>
      </c>
      <c r="D2064" s="107" t="n">
        <v>3.68919</v>
      </c>
      <c r="E2064" s="108" t="n">
        <v>2.15</v>
      </c>
      <c r="F2064" s="109" t="n">
        <f aca="false">ROUND(B2064*E2064,2)</f>
        <v>19.78</v>
      </c>
      <c r="H2064" s="138"/>
      <c r="I2064" s="138"/>
      <c r="J2064" s="138"/>
      <c r="L2064" s="136"/>
      <c r="M2064" s="136"/>
      <c r="N2064" s="136"/>
      <c r="R2064" s="116" t="s">
        <v>1446</v>
      </c>
    </row>
    <row r="2065" customFormat="false" ht="15" hidden="false" customHeight="false" outlineLevel="0" collapsed="false">
      <c r="A2065" s="104" t="s">
        <v>124</v>
      </c>
      <c r="B2065" s="105" t="n">
        <v>9.2</v>
      </c>
      <c r="C2065" s="106" t="n">
        <f aca="false">$N$2061-$L$2061+1</f>
        <v>21</v>
      </c>
      <c r="D2065" s="107" t="n">
        <v>1.31928</v>
      </c>
      <c r="E2065" s="108" t="n">
        <v>0.93</v>
      </c>
      <c r="F2065" s="109" t="n">
        <f aca="false">ROUND(B2065*E2065,2)</f>
        <v>8.56</v>
      </c>
      <c r="H2065" s="138"/>
      <c r="I2065" s="138"/>
      <c r="J2065" s="138"/>
      <c r="L2065" s="136"/>
      <c r="M2065" s="136"/>
      <c r="N2065" s="136"/>
    </row>
    <row r="2066" customFormat="false" ht="15" hidden="false" customHeight="false" outlineLevel="0" collapsed="false">
      <c r="A2066" s="104" t="s">
        <v>615</v>
      </c>
      <c r="B2066" s="105" t="n">
        <f aca="false">IF($P$2066&lt;&gt;"",ROUND(AA2066*(($AB$2066/(1-$P$2066))-28.336)/19.7862,2),IF('Resumen 2.0TD'!$D$3="OPTIMIZAR",AA2066,AA2066))</f>
        <v>34.221</v>
      </c>
      <c r="C2066" s="118"/>
      <c r="D2066" s="107" t="n">
        <v>0.111171</v>
      </c>
      <c r="E2066" s="108" t="n">
        <v>0.13788</v>
      </c>
      <c r="F2066" s="109" t="n">
        <f aca="false">ROUND(B2066*E2066,2)</f>
        <v>4.72</v>
      </c>
      <c r="H2066" s="138"/>
      <c r="I2066" s="138"/>
      <c r="J2066" s="138"/>
      <c r="L2066" s="136"/>
      <c r="M2066" s="136"/>
      <c r="N2066" s="136"/>
      <c r="O2066" s="119" t="s">
        <v>616</v>
      </c>
      <c r="P2066" s="79"/>
      <c r="AA2066" s="0" t="n">
        <v>34.221</v>
      </c>
      <c r="AB2066" s="0" t="n">
        <f aca="false">B2064*D2064+B2065*D2065+AA2066*D2066+AA2067*D2067+AA2068*D2068</f>
        <v>62.031296013</v>
      </c>
    </row>
    <row r="2067" customFormat="false" ht="15" hidden="false" customHeight="false" outlineLevel="0" collapsed="false">
      <c r="A2067" s="104" t="s">
        <v>618</v>
      </c>
      <c r="B2067" s="105" t="n">
        <f aca="false">IF($P$2066&lt;&gt;"",ROUND(AA2067*(($AB$2066/(1-$P$2066))-28.336)/19.7862,2),IF('Resumen 2.0TD'!$D$3="OPTIMIZAR",AA2067,AA2067))</f>
        <v>34.56</v>
      </c>
      <c r="C2067" s="118"/>
      <c r="D2067" s="107" t="n">
        <v>0.111171</v>
      </c>
      <c r="E2067" s="108" t="n">
        <v>0.13788</v>
      </c>
      <c r="F2067" s="109" t="n">
        <f aca="false">ROUND(B2067*E2067,2)</f>
        <v>4.77</v>
      </c>
      <c r="H2067" s="138"/>
      <c r="I2067" s="138"/>
      <c r="J2067" s="138"/>
      <c r="L2067" s="136"/>
      <c r="M2067" s="136"/>
      <c r="N2067" s="136"/>
      <c r="O2067" s="120" t="s">
        <v>619</v>
      </c>
      <c r="R2067" s="117" t="s">
        <v>620</v>
      </c>
      <c r="AA2067" s="0" t="n">
        <v>34.56</v>
      </c>
    </row>
    <row r="2068" customFormat="false" ht="15" hidden="false" customHeight="false" outlineLevel="0" collapsed="false">
      <c r="A2068" s="104" t="s">
        <v>621</v>
      </c>
      <c r="B2068" s="105" t="n">
        <f aca="false">IF($P$2066&lt;&gt;"",ROUND(AA2068*(($AB$2066/(1-$P$2066))-28.336)/19.7862,2),IF('Resumen 2.0TD'!$D$3="OPTIMIZAR",AA2068,AA2068))</f>
        <v>74.722</v>
      </c>
      <c r="C2068" s="118"/>
      <c r="D2068" s="107" t="n">
        <v>0.111171</v>
      </c>
      <c r="E2068" s="108" t="n">
        <v>0.13788</v>
      </c>
      <c r="F2068" s="109" t="n">
        <f aca="false">ROUND(B2068*E2068,2)</f>
        <v>10.3</v>
      </c>
      <c r="H2068" s="138"/>
      <c r="I2068" s="138"/>
      <c r="J2068" s="138"/>
      <c r="L2068" s="136"/>
      <c r="M2068" s="136"/>
      <c r="N2068" s="136"/>
      <c r="O2068" s="120" t="s">
        <v>622</v>
      </c>
      <c r="AA2068" s="0" t="n">
        <v>74.722</v>
      </c>
    </row>
    <row r="2069" customFormat="false" ht="15" hidden="false" customHeight="false" outlineLevel="0" collapsed="false">
      <c r="A2069" s="104" t="s">
        <v>139</v>
      </c>
      <c r="B2069" s="105" t="n">
        <v>1</v>
      </c>
      <c r="C2069" s="106" t="n">
        <f aca="false">$N$2061-$L$2061+1</f>
        <v>21</v>
      </c>
      <c r="D2069" s="107" t="n">
        <v>0.7989</v>
      </c>
      <c r="E2069" s="108" t="n">
        <v>3</v>
      </c>
      <c r="F2069" s="109" t="n">
        <f aca="false">ROUND(B2069*E2069,2)</f>
        <v>3</v>
      </c>
      <c r="H2069" s="138"/>
      <c r="I2069" s="138"/>
      <c r="J2069" s="138"/>
      <c r="L2069" s="136"/>
      <c r="M2069" s="136"/>
      <c r="N2069" s="136"/>
    </row>
    <row r="2070" customFormat="false" ht="15" hidden="false" customHeight="false" outlineLevel="0" collapsed="false">
      <c r="A2070" s="104" t="s">
        <v>140</v>
      </c>
      <c r="B2070" s="105" t="n">
        <v>30</v>
      </c>
      <c r="C2070" s="106" t="n">
        <f aca="false">$N$2061-$L$2061+1</f>
        <v>21</v>
      </c>
      <c r="D2070" s="107" t="n">
        <v>0.5736</v>
      </c>
      <c r="E2070" s="108" t="n">
        <v>0.01274</v>
      </c>
      <c r="F2070" s="109" t="n">
        <f aca="false">ROUND(B2070*E2070,2)</f>
        <v>0.38</v>
      </c>
      <c r="H2070" s="138"/>
      <c r="I2070" s="138"/>
      <c r="J2070" s="138"/>
      <c r="L2070" s="136"/>
      <c r="M2070" s="136"/>
      <c r="N2070" s="136"/>
    </row>
    <row r="2071" customFormat="false" ht="15" hidden="false" customHeight="false" outlineLevel="0" collapsed="false">
      <c r="A2071" s="104" t="s">
        <v>141</v>
      </c>
      <c r="B2071" s="105" t="n">
        <v>3.46</v>
      </c>
      <c r="C2071" s="118"/>
      <c r="D2071" s="107" t="n">
        <v>0.02671</v>
      </c>
      <c r="E2071" s="108" t="n">
        <v>1</v>
      </c>
      <c r="F2071" s="109" t="n">
        <f aca="false">ROUND(B2071*E2071,2)</f>
        <v>3.46</v>
      </c>
      <c r="H2071" s="138"/>
      <c r="I2071" s="138"/>
      <c r="J2071" s="138"/>
      <c r="L2071" s="136"/>
      <c r="M2071" s="136"/>
      <c r="N2071" s="136"/>
    </row>
    <row r="2072" customFormat="false" ht="15" hidden="false" customHeight="false" outlineLevel="0" collapsed="false">
      <c r="A2072" s="121" t="s">
        <v>142</v>
      </c>
      <c r="F2072" s="122" t="n">
        <f aca="false">ROUND((SUM(F2064:F2071)-F2071)*1.1+F2071,2)</f>
        <v>60.12</v>
      </c>
      <c r="J2072" s="140"/>
      <c r="N2072" s="137"/>
    </row>
    <row r="2073" customFormat="false" ht="15" hidden="false" customHeight="false" outlineLevel="0" collapsed="false">
      <c r="A2073" s="93" t="s">
        <v>143</v>
      </c>
      <c r="B2073" s="125" t="n">
        <f aca="false">IF((F2068+F2067+F2066+F2064+F2065)=0,"",((F2068+F2067+F2066+F2064+F2065)-$AB$2066)/(F2068+F2067+F2066+F2064+F2065))</f>
        <v>-0.288828090858093</v>
      </c>
      <c r="D2073" s="126" t="str">
        <f aca="false">IF(B2073="","SIN PC",IF(B2073&gt;=0.3,"APROBAR",IF(B2073&gt;=0.2,"REVISAR","RECHAZAR")))</f>
        <v>RECHAZAR</v>
      </c>
      <c r="E2073" s="126"/>
      <c r="F2073" s="126"/>
      <c r="AD2073" s="0" t="n">
        <f aca="false">SUM(F2066:F2068)-19.7862</f>
        <v>0.00379999999999825</v>
      </c>
    </row>
    <row r="2075" customFormat="false" ht="15" hidden="false" customHeight="false" outlineLevel="0" collapsed="false">
      <c r="A2075" s="89" t="s">
        <v>1471</v>
      </c>
      <c r="B2075" s="89"/>
      <c r="C2075" s="89"/>
      <c r="D2075" s="89"/>
      <c r="E2075" s="89"/>
      <c r="F2075" s="89"/>
      <c r="H2075" s="89" t="s">
        <v>1472</v>
      </c>
      <c r="I2075" s="89"/>
      <c r="J2075" s="89"/>
      <c r="K2075" s="89"/>
      <c r="L2075" s="90" t="n">
        <v>46113</v>
      </c>
      <c r="M2075" s="91" t="s">
        <v>608</v>
      </c>
      <c r="N2075" s="90" t="n">
        <v>46142</v>
      </c>
      <c r="R2075" s="92" t="s">
        <v>110</v>
      </c>
      <c r="S2075" s="92"/>
      <c r="T2075" s="92"/>
      <c r="U2075" s="92"/>
      <c r="V2075" s="92"/>
    </row>
    <row r="2076" customFormat="false" ht="15" hidden="false" customHeight="false" outlineLevel="0" collapsed="false">
      <c r="A2076" s="93" t="s">
        <v>111</v>
      </c>
      <c r="B2076" s="94" t="s">
        <v>112</v>
      </c>
      <c r="C2076" s="95"/>
      <c r="D2076" s="95"/>
      <c r="E2076" s="95"/>
      <c r="F2076" s="95"/>
      <c r="H2076" s="96" t="s">
        <v>1452</v>
      </c>
      <c r="I2076" s="97"/>
      <c r="J2076" s="97"/>
      <c r="L2076" s="98" t="s">
        <v>797</v>
      </c>
      <c r="M2076" s="99"/>
      <c r="N2076" s="99"/>
    </row>
    <row r="2077" customFormat="false" ht="15" hidden="false" customHeight="false" outlineLevel="0" collapsed="false">
      <c r="B2077" s="81" t="s">
        <v>116</v>
      </c>
      <c r="C2077" s="81" t="s">
        <v>117</v>
      </c>
      <c r="D2077" s="81" t="s">
        <v>118</v>
      </c>
      <c r="E2077" s="81" t="s">
        <v>119</v>
      </c>
      <c r="F2077" s="81" t="s">
        <v>120</v>
      </c>
      <c r="H2077" s="101" t="s">
        <v>116</v>
      </c>
      <c r="I2077" s="101" t="s">
        <v>119</v>
      </c>
      <c r="J2077" s="101" t="s">
        <v>120</v>
      </c>
      <c r="L2077" s="102" t="s">
        <v>116</v>
      </c>
      <c r="M2077" s="102" t="s">
        <v>119</v>
      </c>
      <c r="N2077" s="102" t="s">
        <v>120</v>
      </c>
    </row>
    <row r="2078" customFormat="false" ht="15" hidden="false" customHeight="false" outlineLevel="0" collapsed="false">
      <c r="A2078" s="104" t="s">
        <v>122</v>
      </c>
      <c r="B2078" s="105" t="n">
        <v>5.5</v>
      </c>
      <c r="C2078" s="106" t="n">
        <f aca="false">$N$2075-$L$2075+1</f>
        <v>30</v>
      </c>
      <c r="D2078" s="107"/>
      <c r="E2078" s="108" t="n">
        <v>3.85</v>
      </c>
      <c r="F2078" s="109" t="n">
        <f aca="false">ROUND(B2078*E2078,2)</f>
        <v>21.18</v>
      </c>
      <c r="H2078" s="138"/>
      <c r="I2078" s="138"/>
      <c r="J2078" s="138"/>
      <c r="L2078" s="136"/>
      <c r="M2078" s="136"/>
      <c r="N2078" s="136"/>
    </row>
    <row r="2079" customFormat="false" ht="15" hidden="false" customHeight="false" outlineLevel="0" collapsed="false">
      <c r="A2079" s="104" t="s">
        <v>124</v>
      </c>
      <c r="B2079" s="105" t="n">
        <v>5.5</v>
      </c>
      <c r="C2079" s="106" t="n">
        <f aca="false">$N$2075-$L$2075+1</f>
        <v>30</v>
      </c>
      <c r="D2079" s="107"/>
      <c r="E2079" s="108" t="n">
        <v>1.33</v>
      </c>
      <c r="F2079" s="109" t="n">
        <f aca="false">ROUND(B2079*E2079,2)</f>
        <v>7.32</v>
      </c>
      <c r="H2079" s="138"/>
      <c r="I2079" s="138"/>
      <c r="J2079" s="138"/>
      <c r="L2079" s="136"/>
      <c r="M2079" s="136"/>
      <c r="N2079" s="136"/>
    </row>
    <row r="2080" customFormat="false" ht="15" hidden="false" customHeight="false" outlineLevel="0" collapsed="false">
      <c r="A2080" s="104" t="s">
        <v>615</v>
      </c>
      <c r="B2080" s="105" t="n">
        <f aca="false">IF($P$2080&lt;&gt;"",ROUND(AA2080*(($AB$2080/(1-$P$2080))-28.49)/0,2),IF('Resumen 2.0TD'!$D$3="OPTIMIZAR",AA2080,AA2080))</f>
        <v>0</v>
      </c>
      <c r="C2080" s="118"/>
      <c r="D2080" s="107"/>
      <c r="E2080" s="108" t="n">
        <v>0</v>
      </c>
      <c r="F2080" s="109" t="n">
        <f aca="false">ROUND(B2080*E2080,2)</f>
        <v>0</v>
      </c>
      <c r="H2080" s="138"/>
      <c r="I2080" s="138"/>
      <c r="J2080" s="138"/>
      <c r="L2080" s="136"/>
      <c r="M2080" s="136"/>
      <c r="N2080" s="136"/>
      <c r="O2080" s="119" t="s">
        <v>616</v>
      </c>
      <c r="P2080" s="79"/>
      <c r="AA2080" s="0" t="n">
        <v>0</v>
      </c>
      <c r="AB2080" s="0" t="n">
        <f aca="false">B2078*D2078+B2079*D2079+AA2080*D2080+AA2081*D2081+AA2082*D2082</f>
        <v>0</v>
      </c>
    </row>
    <row r="2081" customFormat="false" ht="15" hidden="false" customHeight="false" outlineLevel="0" collapsed="false">
      <c r="A2081" s="104" t="s">
        <v>618</v>
      </c>
      <c r="B2081" s="105" t="n">
        <f aca="false">IF($P$2080&lt;&gt;"",ROUND(AA2081*(($AB$2080/(1-$P$2080))-28.49)/0,2),IF('Resumen 2.0TD'!$D$3="OPTIMIZAR",AA2081,AA2081))</f>
        <v>0</v>
      </c>
      <c r="C2081" s="118"/>
      <c r="D2081" s="107"/>
      <c r="E2081" s="108" t="n">
        <v>0</v>
      </c>
      <c r="F2081" s="109" t="n">
        <f aca="false">ROUND(B2081*E2081,2)</f>
        <v>0</v>
      </c>
      <c r="H2081" s="138"/>
      <c r="I2081" s="138"/>
      <c r="J2081" s="138"/>
      <c r="L2081" s="136"/>
      <c r="M2081" s="136"/>
      <c r="N2081" s="136"/>
      <c r="O2081" s="120" t="s">
        <v>619</v>
      </c>
      <c r="AA2081" s="0" t="n">
        <v>0</v>
      </c>
    </row>
    <row r="2082" customFormat="false" ht="15" hidden="false" customHeight="false" outlineLevel="0" collapsed="false">
      <c r="A2082" s="104" t="s">
        <v>621</v>
      </c>
      <c r="B2082" s="105" t="n">
        <f aca="false">IF($P$2080&lt;&gt;"",ROUND(AA2082*(($AB$2080/(1-$P$2080))-28.49)/0,2),IF('Resumen 2.0TD'!$D$3="OPTIMIZAR",AA2082,AA2082))</f>
        <v>0</v>
      </c>
      <c r="C2082" s="118"/>
      <c r="D2082" s="107"/>
      <c r="E2082" s="108" t="n">
        <v>0</v>
      </c>
      <c r="F2082" s="109" t="n">
        <f aca="false">ROUND(B2082*E2082,2)</f>
        <v>0</v>
      </c>
      <c r="H2082" s="138"/>
      <c r="I2082" s="138"/>
      <c r="J2082" s="138"/>
      <c r="L2082" s="136"/>
      <c r="M2082" s="136"/>
      <c r="N2082" s="136"/>
      <c r="O2082" s="120" t="s">
        <v>622</v>
      </c>
      <c r="AA2082" s="0" t="n">
        <v>0</v>
      </c>
    </row>
    <row r="2083" customFormat="false" ht="15" hidden="false" customHeight="false" outlineLevel="0" collapsed="false">
      <c r="A2083" s="104" t="s">
        <v>139</v>
      </c>
      <c r="B2083" s="105" t="n">
        <v>1</v>
      </c>
      <c r="C2083" s="106" t="n">
        <f aca="false">$N$2075-$L$2075+1</f>
        <v>30</v>
      </c>
      <c r="D2083" s="107"/>
      <c r="E2083" s="108" t="n">
        <v>3</v>
      </c>
      <c r="F2083" s="109" t="n">
        <f aca="false">ROUND(B2083*E2083,2)</f>
        <v>3</v>
      </c>
      <c r="H2083" s="138"/>
      <c r="I2083" s="138"/>
      <c r="J2083" s="138"/>
      <c r="L2083" s="136"/>
      <c r="M2083" s="136"/>
      <c r="N2083" s="136"/>
    </row>
    <row r="2084" customFormat="false" ht="15" hidden="false" customHeight="false" outlineLevel="0" collapsed="false">
      <c r="A2084" s="104" t="s">
        <v>140</v>
      </c>
      <c r="B2084" s="105" t="n">
        <v>30</v>
      </c>
      <c r="C2084" s="106" t="n">
        <f aca="false">$N$2075-$L$2075+1</f>
        <v>30</v>
      </c>
      <c r="D2084" s="107"/>
      <c r="E2084" s="108" t="n">
        <v>0.01274</v>
      </c>
      <c r="F2084" s="109" t="n">
        <f aca="false">ROUND(B2084*E2084,2)</f>
        <v>0.38</v>
      </c>
      <c r="H2084" s="138"/>
      <c r="I2084" s="138"/>
      <c r="J2084" s="138"/>
      <c r="L2084" s="136"/>
      <c r="M2084" s="136"/>
      <c r="N2084" s="136"/>
    </row>
    <row r="2085" customFormat="false" ht="15" hidden="false" customHeight="false" outlineLevel="0" collapsed="false">
      <c r="A2085" s="104" t="s">
        <v>141</v>
      </c>
      <c r="B2085" s="105" t="n">
        <v>1.47</v>
      </c>
      <c r="C2085" s="118"/>
      <c r="D2085" s="107"/>
      <c r="E2085" s="108" t="n">
        <v>1</v>
      </c>
      <c r="F2085" s="109" t="n">
        <f aca="false">ROUND(B2085*E2085,2)</f>
        <v>1.47</v>
      </c>
      <c r="H2085" s="138"/>
      <c r="I2085" s="138"/>
      <c r="J2085" s="138"/>
      <c r="L2085" s="136"/>
      <c r="M2085" s="136"/>
      <c r="N2085" s="136"/>
    </row>
    <row r="2086" customFormat="false" ht="15" hidden="false" customHeight="false" outlineLevel="0" collapsed="false">
      <c r="A2086" s="121" t="s">
        <v>142</v>
      </c>
      <c r="F2086" s="122" t="n">
        <f aca="false">ROUND((SUM(F2078:F2085)-F2085)*1.1+F2085,2)</f>
        <v>36.54</v>
      </c>
      <c r="J2086" s="140"/>
      <c r="N2086" s="137"/>
    </row>
    <row r="2087" customFormat="false" ht="15" hidden="false" customHeight="false" outlineLevel="0" collapsed="false">
      <c r="A2087" s="93" t="s">
        <v>143</v>
      </c>
      <c r="B2087" s="125" t="n">
        <f aca="false">IF((F2082+F2081+F2080+F2078+F2079)=0,"",((F2082+F2081+F2080+F2078+F2079)-$AB$2080)/(F2082+F2081+F2080+F2078+F2079))</f>
        <v>1</v>
      </c>
      <c r="D2087" s="126" t="str">
        <f aca="false">IF(B2087="","SIN PC",IF(B2087&gt;=0.3,"APROBAR",IF(B2087&gt;=0.2,"REVISAR","RECHAZAR")))</f>
        <v>APROBAR</v>
      </c>
      <c r="E2087" s="126"/>
      <c r="F2087" s="126"/>
      <c r="AD2087" s="0" t="n">
        <f aca="false">SUM(F2080:F2082)-0</f>
        <v>0</v>
      </c>
    </row>
    <row r="2089" customFormat="false" ht="15" hidden="false" customHeight="false" outlineLevel="0" collapsed="false">
      <c r="A2089" s="89" t="s">
        <v>1473</v>
      </c>
      <c r="B2089" s="89"/>
      <c r="C2089" s="89"/>
      <c r="D2089" s="89"/>
      <c r="E2089" s="89"/>
      <c r="F2089" s="89"/>
      <c r="H2089" s="89" t="s">
        <v>1474</v>
      </c>
      <c r="I2089" s="89"/>
      <c r="J2089" s="89"/>
      <c r="K2089" s="89"/>
      <c r="L2089" s="90" t="n">
        <v>46113</v>
      </c>
      <c r="M2089" s="91" t="s">
        <v>608</v>
      </c>
      <c r="N2089" s="90" t="n">
        <v>46142</v>
      </c>
      <c r="R2089" s="92" t="s">
        <v>110</v>
      </c>
      <c r="S2089" s="92"/>
      <c r="T2089" s="92"/>
      <c r="U2089" s="92"/>
      <c r="V2089" s="92"/>
    </row>
    <row r="2090" customFormat="false" ht="15" hidden="false" customHeight="false" outlineLevel="0" collapsed="false">
      <c r="A2090" s="93" t="s">
        <v>111</v>
      </c>
      <c r="B2090" s="94" t="s">
        <v>112</v>
      </c>
      <c r="C2090" s="95"/>
      <c r="D2090" s="95"/>
      <c r="E2090" s="95"/>
      <c r="F2090" s="95"/>
      <c r="H2090" s="96" t="s">
        <v>1452</v>
      </c>
      <c r="I2090" s="97"/>
      <c r="J2090" s="97"/>
      <c r="L2090" s="98" t="s">
        <v>797</v>
      </c>
      <c r="M2090" s="99"/>
      <c r="N2090" s="99"/>
      <c r="R2090" s="100" t="s">
        <v>798</v>
      </c>
    </row>
    <row r="2091" customFormat="false" ht="15" hidden="false" customHeight="false" outlineLevel="0" collapsed="false">
      <c r="B2091" s="81" t="s">
        <v>116</v>
      </c>
      <c r="C2091" s="81" t="s">
        <v>117</v>
      </c>
      <c r="D2091" s="81" t="s">
        <v>118</v>
      </c>
      <c r="E2091" s="81" t="s">
        <v>119</v>
      </c>
      <c r="F2091" s="81" t="s">
        <v>120</v>
      </c>
      <c r="H2091" s="101" t="s">
        <v>116</v>
      </c>
      <c r="I2091" s="101" t="s">
        <v>119</v>
      </c>
      <c r="J2091" s="101" t="s">
        <v>120</v>
      </c>
      <c r="L2091" s="102" t="s">
        <v>116</v>
      </c>
      <c r="M2091" s="102" t="s">
        <v>119</v>
      </c>
      <c r="N2091" s="102" t="s">
        <v>120</v>
      </c>
      <c r="R2091" s="103" t="s">
        <v>765</v>
      </c>
    </row>
    <row r="2092" customFormat="false" ht="15" hidden="false" customHeight="false" outlineLevel="0" collapsed="false">
      <c r="A2092" s="104" t="s">
        <v>122</v>
      </c>
      <c r="B2092" s="105" t="n">
        <v>5.7</v>
      </c>
      <c r="C2092" s="106" t="n">
        <f aca="false">$N$2089-$L$2089+1</f>
        <v>30</v>
      </c>
      <c r="D2092" s="107" t="n">
        <v>3.68919</v>
      </c>
      <c r="E2092" s="108" t="n">
        <v>3.85</v>
      </c>
      <c r="F2092" s="109" t="n">
        <f aca="false">ROUND(B2092*E2092,2)</f>
        <v>21.95</v>
      </c>
      <c r="H2092" s="138"/>
      <c r="I2092" s="138"/>
      <c r="J2092" s="138"/>
      <c r="L2092" s="136"/>
      <c r="M2092" s="136"/>
      <c r="N2092" s="136"/>
      <c r="R2092" s="116" t="s">
        <v>799</v>
      </c>
    </row>
    <row r="2093" customFormat="false" ht="15" hidden="false" customHeight="false" outlineLevel="0" collapsed="false">
      <c r="A2093" s="104" t="s">
        <v>124</v>
      </c>
      <c r="B2093" s="105" t="n">
        <v>5.7</v>
      </c>
      <c r="C2093" s="106" t="n">
        <f aca="false">$N$2089-$L$2089+1</f>
        <v>30</v>
      </c>
      <c r="D2093" s="107" t="n">
        <v>1.31928</v>
      </c>
      <c r="E2093" s="108" t="n">
        <v>1.33</v>
      </c>
      <c r="F2093" s="109" t="n">
        <f aca="false">ROUND(B2093*E2093,2)</f>
        <v>7.58</v>
      </c>
      <c r="H2093" s="138"/>
      <c r="I2093" s="138"/>
      <c r="J2093" s="138"/>
      <c r="L2093" s="136"/>
      <c r="M2093" s="136"/>
      <c r="N2093" s="136"/>
    </row>
    <row r="2094" customFormat="false" ht="15" hidden="false" customHeight="false" outlineLevel="0" collapsed="false">
      <c r="A2094" s="104" t="s">
        <v>615</v>
      </c>
      <c r="B2094" s="105" t="n">
        <f aca="false">IF($P$2094&lt;&gt;"",ROUND(AA2094*(($AB$2094/(1-$P$2094))-29.526)/24.7278,2),IF('Resumen 2.0TD'!$D$3="OPTIMIZAR",AA2094,AA2094))</f>
        <v>82.934</v>
      </c>
      <c r="C2094" s="118"/>
      <c r="D2094" s="107" t="n">
        <v>0.111171</v>
      </c>
      <c r="E2094" s="108" t="n">
        <v>0.13788</v>
      </c>
      <c r="F2094" s="109" t="n">
        <f aca="false">ROUND(B2094*E2094,2)</f>
        <v>11.43</v>
      </c>
      <c r="H2094" s="138"/>
      <c r="I2094" s="138"/>
      <c r="J2094" s="138"/>
      <c r="L2094" s="136"/>
      <c r="M2094" s="136"/>
      <c r="N2094" s="136"/>
      <c r="O2094" s="119" t="s">
        <v>616</v>
      </c>
      <c r="P2094" s="79"/>
      <c r="AA2094" s="0" t="n">
        <v>82.934</v>
      </c>
      <c r="AB2094" s="0" t="n">
        <f aca="false">B2092*D2092+B2093*D2093+AA2094*D2094+AA2095*D2095+AA2096*D2096</f>
        <v>48.486019653</v>
      </c>
    </row>
    <row r="2095" customFormat="false" ht="15" hidden="false" customHeight="false" outlineLevel="0" collapsed="false">
      <c r="A2095" s="104" t="s">
        <v>618</v>
      </c>
      <c r="B2095" s="105" t="n">
        <f aca="false">IF($P$2094&lt;&gt;"",ROUND(AA2095*(($AB$2094/(1-$P$2094))-29.526)/24.7278,2),IF('Resumen 2.0TD'!$D$3="OPTIMIZAR",AA2095,AA2095))</f>
        <v>56.983</v>
      </c>
      <c r="C2095" s="118"/>
      <c r="D2095" s="107" t="n">
        <v>0.111171</v>
      </c>
      <c r="E2095" s="108" t="n">
        <v>0.13788</v>
      </c>
      <c r="F2095" s="109" t="n">
        <f aca="false">ROUND(B2095*E2095,2)</f>
        <v>7.86</v>
      </c>
      <c r="H2095" s="138"/>
      <c r="I2095" s="138"/>
      <c r="J2095" s="138"/>
      <c r="L2095" s="136"/>
      <c r="M2095" s="136"/>
      <c r="N2095" s="136"/>
      <c r="O2095" s="120" t="s">
        <v>619</v>
      </c>
      <c r="R2095" s="117" t="s">
        <v>620</v>
      </c>
      <c r="AA2095" s="0" t="n">
        <v>56.983</v>
      </c>
    </row>
    <row r="2096" customFormat="false" ht="15" hidden="false" customHeight="false" outlineLevel="0" collapsed="false">
      <c r="A2096" s="104" t="s">
        <v>621</v>
      </c>
      <c r="B2096" s="105" t="n">
        <f aca="false">IF($P$2094&lt;&gt;"",ROUND(AA2096*(($AB$2094/(1-$P$2094))-29.526)/24.7278,2),IF('Resumen 2.0TD'!$D$3="OPTIMIZAR",AA2096,AA2096))</f>
        <v>39.426</v>
      </c>
      <c r="C2096" s="118"/>
      <c r="D2096" s="107" t="n">
        <v>0.111171</v>
      </c>
      <c r="E2096" s="108" t="n">
        <v>0.13788</v>
      </c>
      <c r="F2096" s="109" t="n">
        <f aca="false">ROUND(B2096*E2096,2)</f>
        <v>5.44</v>
      </c>
      <c r="H2096" s="138"/>
      <c r="I2096" s="138"/>
      <c r="J2096" s="138"/>
      <c r="L2096" s="136"/>
      <c r="M2096" s="136"/>
      <c r="N2096" s="136"/>
      <c r="O2096" s="120" t="s">
        <v>622</v>
      </c>
      <c r="AA2096" s="0" t="n">
        <v>39.426</v>
      </c>
    </row>
    <row r="2097" customFormat="false" ht="15" hidden="false" customHeight="false" outlineLevel="0" collapsed="false">
      <c r="A2097" s="104" t="s">
        <v>139</v>
      </c>
      <c r="B2097" s="105" t="n">
        <v>1</v>
      </c>
      <c r="C2097" s="106" t="n">
        <f aca="false">$N$2089-$L$2089+1</f>
        <v>30</v>
      </c>
      <c r="D2097" s="107" t="n">
        <v>0.7989</v>
      </c>
      <c r="E2097" s="108" t="n">
        <v>3</v>
      </c>
      <c r="F2097" s="109" t="n">
        <f aca="false">ROUND(B2097*E2097,2)</f>
        <v>3</v>
      </c>
      <c r="H2097" s="138"/>
      <c r="I2097" s="138"/>
      <c r="J2097" s="138"/>
      <c r="L2097" s="136"/>
      <c r="M2097" s="136"/>
      <c r="N2097" s="136"/>
    </row>
    <row r="2098" customFormat="false" ht="15" hidden="false" customHeight="false" outlineLevel="0" collapsed="false">
      <c r="A2098" s="104" t="s">
        <v>140</v>
      </c>
      <c r="B2098" s="105" t="n">
        <v>30</v>
      </c>
      <c r="C2098" s="106" t="n">
        <f aca="false">$N$2089-$L$2089+1</f>
        <v>30</v>
      </c>
      <c r="D2098" s="107" t="n">
        <v>0.5736</v>
      </c>
      <c r="E2098" s="108" t="n">
        <v>0.01274</v>
      </c>
      <c r="F2098" s="109" t="n">
        <f aca="false">ROUND(B2098*E2098,2)</f>
        <v>0.38</v>
      </c>
      <c r="H2098" s="138"/>
      <c r="I2098" s="138"/>
      <c r="J2098" s="138"/>
      <c r="L2098" s="136"/>
      <c r="M2098" s="136"/>
      <c r="N2098" s="136"/>
    </row>
    <row r="2099" customFormat="false" ht="15" hidden="false" customHeight="false" outlineLevel="0" collapsed="false">
      <c r="A2099" s="104" t="s">
        <v>141</v>
      </c>
      <c r="B2099" s="105" t="n">
        <v>2.78</v>
      </c>
      <c r="C2099" s="118"/>
      <c r="D2099" s="107" t="n">
        <v>0.27312</v>
      </c>
      <c r="E2099" s="108" t="n">
        <v>1</v>
      </c>
      <c r="F2099" s="109" t="n">
        <f aca="false">ROUND(B2099*E2099,2)</f>
        <v>2.78</v>
      </c>
      <c r="H2099" s="138"/>
      <c r="I2099" s="138"/>
      <c r="J2099" s="138"/>
      <c r="L2099" s="136"/>
      <c r="M2099" s="136"/>
      <c r="N2099" s="136"/>
    </row>
    <row r="2100" customFormat="false" ht="15" hidden="false" customHeight="false" outlineLevel="0" collapsed="false">
      <c r="A2100" s="121" t="s">
        <v>142</v>
      </c>
      <c r="F2100" s="122" t="n">
        <f aca="false">ROUND((SUM(F2092:F2099)-F2099)*1.1+F2099,2)</f>
        <v>66.18</v>
      </c>
      <c r="J2100" s="140"/>
      <c r="N2100" s="137"/>
    </row>
    <row r="2101" customFormat="false" ht="15" hidden="false" customHeight="false" outlineLevel="0" collapsed="false">
      <c r="A2101" s="93" t="s">
        <v>143</v>
      </c>
      <c r="B2101" s="125" t="n">
        <f aca="false">IF((F2096+F2095+F2094+F2092+F2093)=0,"",((F2096+F2095+F2094+F2092+F2093)-$AB$2094)/(F2096+F2095+F2094+F2092+F2093))</f>
        <v>0.106413202119425</v>
      </c>
      <c r="D2101" s="126" t="str">
        <f aca="false">IF(B2101="","SIN PC",IF(B2101&gt;=0.3,"APROBAR",IF(B2101&gt;=0.2,"REVISAR","RECHAZAR")))</f>
        <v>RECHAZAR</v>
      </c>
      <c r="E2101" s="126"/>
      <c r="F2101" s="126"/>
      <c r="AD2101" s="0" t="n">
        <f aca="false">SUM(F2094:F2096)-24.7278</f>
        <v>0.00220000000000198</v>
      </c>
    </row>
    <row r="2103" customFormat="false" ht="15" hidden="false" customHeight="false" outlineLevel="0" collapsed="false">
      <c r="A2103" s="89" t="s">
        <v>1475</v>
      </c>
      <c r="B2103" s="89"/>
      <c r="C2103" s="89"/>
      <c r="D2103" s="89"/>
      <c r="E2103" s="89"/>
      <c r="F2103" s="89"/>
      <c r="H2103" s="89" t="s">
        <v>1476</v>
      </c>
      <c r="I2103" s="89"/>
      <c r="J2103" s="89"/>
      <c r="K2103" s="89"/>
      <c r="L2103" s="90" t="n">
        <v>46113</v>
      </c>
      <c r="M2103" s="91" t="s">
        <v>608</v>
      </c>
      <c r="N2103" s="90" t="n">
        <v>46142</v>
      </c>
      <c r="R2103" s="92" t="s">
        <v>110</v>
      </c>
      <c r="S2103" s="92"/>
      <c r="T2103" s="92"/>
      <c r="U2103" s="92"/>
      <c r="V2103" s="92"/>
    </row>
    <row r="2104" customFormat="false" ht="15" hidden="false" customHeight="false" outlineLevel="0" collapsed="false">
      <c r="A2104" s="93" t="s">
        <v>111</v>
      </c>
      <c r="B2104" s="94" t="s">
        <v>112</v>
      </c>
      <c r="C2104" s="95"/>
      <c r="D2104" s="95"/>
      <c r="E2104" s="95"/>
      <c r="F2104" s="95"/>
      <c r="H2104" s="96" t="s">
        <v>1477</v>
      </c>
      <c r="I2104" s="97"/>
      <c r="J2104" s="97"/>
      <c r="L2104" s="98" t="s">
        <v>1478</v>
      </c>
      <c r="M2104" s="99"/>
      <c r="N2104" s="99"/>
      <c r="R2104" s="100" t="s">
        <v>1479</v>
      </c>
    </row>
    <row r="2105" customFormat="false" ht="15" hidden="false" customHeight="false" outlineLevel="0" collapsed="false">
      <c r="B2105" s="81" t="s">
        <v>116</v>
      </c>
      <c r="C2105" s="81" t="s">
        <v>117</v>
      </c>
      <c r="D2105" s="81" t="s">
        <v>118</v>
      </c>
      <c r="E2105" s="81" t="s">
        <v>119</v>
      </c>
      <c r="F2105" s="81" t="s">
        <v>120</v>
      </c>
      <c r="H2105" s="101" t="s">
        <v>116</v>
      </c>
      <c r="I2105" s="101" t="s">
        <v>119</v>
      </c>
      <c r="J2105" s="101" t="s">
        <v>120</v>
      </c>
      <c r="L2105" s="102" t="s">
        <v>116</v>
      </c>
      <c r="M2105" s="102" t="s">
        <v>119</v>
      </c>
      <c r="N2105" s="102" t="s">
        <v>120</v>
      </c>
      <c r="R2105" s="103" t="s">
        <v>1480</v>
      </c>
    </row>
    <row r="2106" customFormat="false" ht="15" hidden="false" customHeight="false" outlineLevel="0" collapsed="false">
      <c r="A2106" s="104" t="s">
        <v>122</v>
      </c>
      <c r="B2106" s="105" t="n">
        <v>14</v>
      </c>
      <c r="C2106" s="106" t="n">
        <f aca="false">$N$2103-$L$2103+1</f>
        <v>30</v>
      </c>
      <c r="D2106" s="107" t="n">
        <v>3.68919</v>
      </c>
      <c r="E2106" s="108" t="n">
        <v>3.85</v>
      </c>
      <c r="F2106" s="109" t="n">
        <f aca="false">ROUND(B2106*E2106,2)</f>
        <v>53.9</v>
      </c>
      <c r="H2106" s="110" t="n">
        <v>14</v>
      </c>
      <c r="I2106" s="111" t="n">
        <v>3.85</v>
      </c>
      <c r="J2106" s="112" t="n">
        <f aca="false">ROUND(H2106*I2106,2)</f>
        <v>53.9</v>
      </c>
      <c r="L2106" s="113" t="n">
        <v>14</v>
      </c>
      <c r="M2106" s="114" t="n">
        <v>3.85</v>
      </c>
      <c r="N2106" s="115" t="n">
        <f aca="false">ROUND(L2106*M2106,2)</f>
        <v>53.9</v>
      </c>
      <c r="R2106" s="116" t="s">
        <v>1481</v>
      </c>
    </row>
    <row r="2107" customFormat="false" ht="15" hidden="false" customHeight="false" outlineLevel="0" collapsed="false">
      <c r="A2107" s="104" t="s">
        <v>124</v>
      </c>
      <c r="B2107" s="105" t="n">
        <v>14</v>
      </c>
      <c r="C2107" s="106" t="n">
        <f aca="false">$N$2103-$L$2103+1</f>
        <v>30</v>
      </c>
      <c r="D2107" s="107" t="n">
        <v>1.31928</v>
      </c>
      <c r="E2107" s="108" t="n">
        <v>1.33</v>
      </c>
      <c r="F2107" s="109" t="n">
        <f aca="false">ROUND(B2107*E2107,2)</f>
        <v>18.62</v>
      </c>
      <c r="H2107" s="110" t="n">
        <v>14</v>
      </c>
      <c r="I2107" s="111" t="n">
        <v>1.33</v>
      </c>
      <c r="J2107" s="112" t="n">
        <f aca="false">ROUND(H2107*I2107,2)</f>
        <v>18.62</v>
      </c>
      <c r="L2107" s="113" t="n">
        <v>14</v>
      </c>
      <c r="M2107" s="114" t="n">
        <v>1.33</v>
      </c>
      <c r="N2107" s="115" t="n">
        <f aca="false">ROUND(L2107*M2107,2)</f>
        <v>18.62</v>
      </c>
      <c r="R2107" s="117" t="s">
        <v>1482</v>
      </c>
    </row>
    <row r="2108" customFormat="false" ht="15" hidden="false" customHeight="false" outlineLevel="0" collapsed="false">
      <c r="A2108" s="104" t="s">
        <v>615</v>
      </c>
      <c r="B2108" s="105" t="n">
        <f aca="false">IF($P$2108&lt;&gt;"",ROUND(AA2108*(($AB$2108/(1-$P$2108))-72.52)/517.1723,2),IF('Resumen 2.0TD'!$D$3="OPTIMIZAR",ROUND(MAX(AA2108,MIN(AA2108*(($AB$2108/(1-'Resumen 2.0TD'!$F$3))-72.52)/517.1723,AA2108*(943.5278)/517.1723)),3),AA2108))</f>
        <v>1169.76</v>
      </c>
      <c r="C2108" s="118"/>
      <c r="D2108" s="107" t="n">
        <v>0.111171</v>
      </c>
      <c r="E2108" s="108" t="n">
        <v>0.13788</v>
      </c>
      <c r="F2108" s="109" t="n">
        <f aca="false">ROUND(B2108*E2108,2)</f>
        <v>161.29</v>
      </c>
      <c r="H2108" s="110" t="n">
        <v>1180.76</v>
      </c>
      <c r="I2108" s="111" t="n">
        <v>0.13788</v>
      </c>
      <c r="J2108" s="112" t="n">
        <f aca="false">ROUND(H2108*I2108,2)</f>
        <v>162.8</v>
      </c>
      <c r="L2108" s="113" t="n">
        <v>6850</v>
      </c>
      <c r="M2108" s="114" t="n">
        <v>0.13788</v>
      </c>
      <c r="N2108" s="115" t="n">
        <f aca="false">ROUND(L2108*M2108,2)</f>
        <v>944.48</v>
      </c>
      <c r="O2108" s="119" t="s">
        <v>616</v>
      </c>
      <c r="P2108" s="79"/>
      <c r="R2108" s="117" t="s">
        <v>1483</v>
      </c>
      <c r="AA2108" s="0" t="n">
        <v>1169.76</v>
      </c>
      <c r="AB2108" s="0" t="n">
        <f aca="false">B2106*D2106+B2107*D2107+AA2108*D2108+AA2109*D2109+AA2110*D2110</f>
        <v>487.108438677</v>
      </c>
    </row>
    <row r="2109" customFormat="false" ht="15" hidden="false" customHeight="false" outlineLevel="0" collapsed="false">
      <c r="A2109" s="104" t="s">
        <v>618</v>
      </c>
      <c r="B2109" s="105" t="n">
        <f aca="false">IF($P$2108&lt;&gt;"",ROUND(AA2109*(($AB$2108/(1-$P$2108))-72.52)/517.1723,2),IF('Resumen 2.0TD'!$D$3="OPTIMIZAR",ROUND(MAX(AA2109,MIN(AA2109*(($AB$2108/(1-'Resumen 2.0TD'!$F$3))-72.52)/517.1723,AA2109*(943.5278)/517.1723)),3),AA2109))</f>
        <v>1131.29</v>
      </c>
      <c r="C2109" s="118"/>
      <c r="D2109" s="107" t="n">
        <v>0.111171</v>
      </c>
      <c r="E2109" s="108" t="n">
        <v>0.13788</v>
      </c>
      <c r="F2109" s="109" t="n">
        <f aca="false">ROUND(B2109*E2109,2)</f>
        <v>155.98</v>
      </c>
      <c r="H2109" s="110" t="n">
        <v>1051.29</v>
      </c>
      <c r="I2109" s="111" t="n">
        <v>0.13788</v>
      </c>
      <c r="J2109" s="112" t="n">
        <f aca="false">ROUND(H2109*I2109,2)</f>
        <v>144.95</v>
      </c>
      <c r="L2109" s="136"/>
      <c r="M2109" s="136"/>
      <c r="N2109" s="136"/>
      <c r="O2109" s="120" t="s">
        <v>619</v>
      </c>
      <c r="R2109" s="117" t="s">
        <v>620</v>
      </c>
      <c r="AA2109" s="0" t="n">
        <v>1131.29</v>
      </c>
    </row>
    <row r="2110" customFormat="false" ht="15" hidden="false" customHeight="false" outlineLevel="0" collapsed="false">
      <c r="A2110" s="104" t="s">
        <v>621</v>
      </c>
      <c r="B2110" s="105" t="n">
        <f aca="false">IF($P$2108&lt;&gt;"",ROUND(AA2110*(($AB$2108/(1-$P$2108))-72.52)/517.1723,2),IF('Resumen 2.0TD'!$D$3="OPTIMIZAR",ROUND(MAX(AA2110,MIN(AA2110*(($AB$2108/(1-'Resumen 2.0TD'!$F$3))-72.52)/517.1723,AA2110*(943.5278)/517.1723)),3),AA2110))</f>
        <v>1449.837</v>
      </c>
      <c r="C2110" s="118"/>
      <c r="D2110" s="107" t="n">
        <v>0.111171</v>
      </c>
      <c r="E2110" s="108" t="n">
        <v>0.13788</v>
      </c>
      <c r="F2110" s="109" t="n">
        <f aca="false">ROUND(B2110*E2110,2)</f>
        <v>199.9</v>
      </c>
      <c r="H2110" s="110" t="n">
        <v>949.837</v>
      </c>
      <c r="I2110" s="111" t="n">
        <v>0.13788</v>
      </c>
      <c r="J2110" s="112" t="n">
        <f aca="false">ROUND(H2110*I2110,2)</f>
        <v>130.96</v>
      </c>
      <c r="L2110" s="136"/>
      <c r="M2110" s="136"/>
      <c r="N2110" s="136"/>
      <c r="O2110" s="120" t="s">
        <v>622</v>
      </c>
      <c r="AA2110" s="0" t="n">
        <v>1449.837</v>
      </c>
    </row>
    <row r="2111" customFormat="false" ht="15" hidden="false" customHeight="false" outlineLevel="0" collapsed="false">
      <c r="A2111" s="104" t="s">
        <v>139</v>
      </c>
      <c r="B2111" s="105" t="n">
        <v>1</v>
      </c>
      <c r="C2111" s="106" t="n">
        <f aca="false">$N$2103-$L$2103+1</f>
        <v>30</v>
      </c>
      <c r="D2111" s="107" t="n">
        <v>1.3414</v>
      </c>
      <c r="E2111" s="108" t="n">
        <v>3</v>
      </c>
      <c r="F2111" s="109" t="n">
        <f aca="false">ROUND(B2111*E2111,2)</f>
        <v>3</v>
      </c>
      <c r="H2111" s="110" t="n">
        <v>1</v>
      </c>
      <c r="I2111" s="111" t="n">
        <v>3</v>
      </c>
      <c r="J2111" s="112" t="n">
        <f aca="false">ROUND(H2111*I2111,2)</f>
        <v>3</v>
      </c>
      <c r="L2111" s="113" t="n">
        <v>1</v>
      </c>
      <c r="M2111" s="114" t="n">
        <v>3</v>
      </c>
      <c r="N2111" s="115" t="n">
        <f aca="false">ROUND(L2111*M2111,2)</f>
        <v>3</v>
      </c>
    </row>
    <row r="2112" customFormat="false" ht="15" hidden="false" customHeight="false" outlineLevel="0" collapsed="false">
      <c r="A2112" s="104" t="s">
        <v>140</v>
      </c>
      <c r="B2112" s="105" t="n">
        <v>30</v>
      </c>
      <c r="C2112" s="106" t="n">
        <f aca="false">$N$2103-$L$2103+1</f>
        <v>30</v>
      </c>
      <c r="D2112" s="107" t="n">
        <v>0.5736</v>
      </c>
      <c r="E2112" s="108" t="n">
        <v>0.01274</v>
      </c>
      <c r="F2112" s="109" t="n">
        <f aca="false">ROUND(B2112*E2112,2)</f>
        <v>0.38</v>
      </c>
      <c r="H2112" s="110" t="n">
        <v>30</v>
      </c>
      <c r="I2112" s="111" t="n">
        <v>0.01274</v>
      </c>
      <c r="J2112" s="112" t="n">
        <f aca="false">ROUND(H2112*I2112,2)</f>
        <v>0.38</v>
      </c>
      <c r="L2112" s="113" t="n">
        <v>30</v>
      </c>
      <c r="M2112" s="114" t="n">
        <v>0.01274</v>
      </c>
      <c r="N2112" s="115" t="n">
        <f aca="false">ROUND(L2112*M2112,2)</f>
        <v>0.38</v>
      </c>
    </row>
    <row r="2113" customFormat="false" ht="15" hidden="false" customHeight="false" outlineLevel="0" collapsed="false">
      <c r="A2113" s="104" t="s">
        <v>141</v>
      </c>
      <c r="B2113" s="105" t="n">
        <v>31.64</v>
      </c>
      <c r="C2113" s="118"/>
      <c r="D2113" s="107" t="n">
        <v>0.27312</v>
      </c>
      <c r="E2113" s="108" t="n">
        <v>1</v>
      </c>
      <c r="F2113" s="109" t="n">
        <f aca="false">ROUND(B2113*E2113,2)</f>
        <v>31.64</v>
      </c>
      <c r="H2113" s="110" t="n">
        <v>26.13</v>
      </c>
      <c r="I2113" s="111" t="n">
        <v>1</v>
      </c>
      <c r="J2113" s="112" t="n">
        <f aca="false">ROUND(H2113*I2113,2)</f>
        <v>26.13</v>
      </c>
      <c r="L2113" s="113" t="n">
        <v>54.1</v>
      </c>
      <c r="M2113" s="114" t="n">
        <v>1</v>
      </c>
      <c r="N2113" s="115" t="n">
        <f aca="false">ROUND(L2113*M2113,2)</f>
        <v>54.1</v>
      </c>
    </row>
    <row r="2114" customFormat="false" ht="15" hidden="false" customHeight="false" outlineLevel="0" collapsed="false">
      <c r="A2114" s="121" t="s">
        <v>142</v>
      </c>
      <c r="F2114" s="122" t="n">
        <f aca="false">ROUND((SUM(F2106:F2113)-F2113)*1.1+F2113,2)</f>
        <v>684.02</v>
      </c>
      <c r="J2114" s="123" t="n">
        <f aca="false">ROUND(SUM(J2106:J2113),2)</f>
        <v>540.74</v>
      </c>
      <c r="N2114" s="124" t="n">
        <f aca="false">ROUND(SUM(N2106:N2113),2)</f>
        <v>1074.48</v>
      </c>
    </row>
    <row r="2115" customFormat="false" ht="15" hidden="false" customHeight="false" outlineLevel="0" collapsed="false">
      <c r="A2115" s="93" t="s">
        <v>143</v>
      </c>
      <c r="B2115" s="125" t="n">
        <f aca="false">IF((F2110+F2109+F2108+F2106+F2107)=0,"",((F2110+F2109+F2108+F2106+F2107)-$AB$2108)/(F2110+F2109+F2108+F2106+F2107))</f>
        <v>0.17395845498991</v>
      </c>
      <c r="D2115" s="126" t="str">
        <f aca="false">IF(B2115="","SIN PC",IF(B2115&gt;=0.3,"APROBAR",IF(B2115&gt;=0.2,"REVISAR","RECHAZAR")))</f>
        <v>RECHAZAR</v>
      </c>
      <c r="E2115" s="126"/>
      <c r="F2115" s="126"/>
      <c r="AD2115" s="0" t="n">
        <f aca="false">SUM(F2108:F2110)-517.1723</f>
        <v>-0.00229999999999109</v>
      </c>
    </row>
  </sheetData>
  <mergeCells count="587">
    <mergeCell ref="A1:N1"/>
    <mergeCell ref="A3:F3"/>
    <mergeCell ref="H3:K3"/>
    <mergeCell ref="R3:V3"/>
    <mergeCell ref="D15:F15"/>
    <mergeCell ref="A17:F17"/>
    <mergeCell ref="H17:K17"/>
    <mergeCell ref="R17:V17"/>
    <mergeCell ref="D29:F29"/>
    <mergeCell ref="A31:F31"/>
    <mergeCell ref="H31:K31"/>
    <mergeCell ref="R31:V31"/>
    <mergeCell ref="D43:F43"/>
    <mergeCell ref="A45:F45"/>
    <mergeCell ref="H45:K45"/>
    <mergeCell ref="R45:V45"/>
    <mergeCell ref="D57:F57"/>
    <mergeCell ref="A59:F59"/>
    <mergeCell ref="H59:K59"/>
    <mergeCell ref="R59:V59"/>
    <mergeCell ref="D71:F71"/>
    <mergeCell ref="A73:F73"/>
    <mergeCell ref="H73:K73"/>
    <mergeCell ref="R73:V73"/>
    <mergeCell ref="D85:F85"/>
    <mergeCell ref="A87:F87"/>
    <mergeCell ref="H87:K87"/>
    <mergeCell ref="R87:V87"/>
    <mergeCell ref="D99:F99"/>
    <mergeCell ref="A101:F101"/>
    <mergeCell ref="H101:K101"/>
    <mergeCell ref="R101:V101"/>
    <mergeCell ref="D113:F113"/>
    <mergeCell ref="A115:F115"/>
    <mergeCell ref="H115:K115"/>
    <mergeCell ref="R115:V115"/>
    <mergeCell ref="D127:F127"/>
    <mergeCell ref="A129:F129"/>
    <mergeCell ref="H129:K129"/>
    <mergeCell ref="R129:V129"/>
    <mergeCell ref="D141:F141"/>
    <mergeCell ref="A143:F143"/>
    <mergeCell ref="H143:K143"/>
    <mergeCell ref="R143:V143"/>
    <mergeCell ref="D155:F155"/>
    <mergeCell ref="A157:F157"/>
    <mergeCell ref="H157:K157"/>
    <mergeCell ref="R157:V157"/>
    <mergeCell ref="D169:F169"/>
    <mergeCell ref="A171:F171"/>
    <mergeCell ref="H171:K171"/>
    <mergeCell ref="R171:V171"/>
    <mergeCell ref="D183:F183"/>
    <mergeCell ref="A185:F185"/>
    <mergeCell ref="H185:K185"/>
    <mergeCell ref="R185:V185"/>
    <mergeCell ref="D197:F197"/>
    <mergeCell ref="A199:F199"/>
    <mergeCell ref="H199:K199"/>
    <mergeCell ref="R199:V199"/>
    <mergeCell ref="D211:F211"/>
    <mergeCell ref="A212:F212"/>
    <mergeCell ref="A218:F218"/>
    <mergeCell ref="H218:K218"/>
    <mergeCell ref="R218:V218"/>
    <mergeCell ref="D230:F230"/>
    <mergeCell ref="A232:F232"/>
    <mergeCell ref="H232:K232"/>
    <mergeCell ref="R232:V232"/>
    <mergeCell ref="D244:F244"/>
    <mergeCell ref="A246:F246"/>
    <mergeCell ref="H246:K246"/>
    <mergeCell ref="R246:V246"/>
    <mergeCell ref="D258:F258"/>
    <mergeCell ref="A259:F259"/>
    <mergeCell ref="A265:F265"/>
    <mergeCell ref="H265:K265"/>
    <mergeCell ref="R265:V265"/>
    <mergeCell ref="D277:F277"/>
    <mergeCell ref="A278:F278"/>
    <mergeCell ref="A284:F284"/>
    <mergeCell ref="H284:K284"/>
    <mergeCell ref="R284:V284"/>
    <mergeCell ref="D296:F296"/>
    <mergeCell ref="A297:F297"/>
    <mergeCell ref="A303:F303"/>
    <mergeCell ref="H303:K303"/>
    <mergeCell ref="R303:V303"/>
    <mergeCell ref="D315:F315"/>
    <mergeCell ref="A317:F317"/>
    <mergeCell ref="H317:K317"/>
    <mergeCell ref="R317:V317"/>
    <mergeCell ref="D329:F329"/>
    <mergeCell ref="A330:F330"/>
    <mergeCell ref="A336:F336"/>
    <mergeCell ref="H336:K336"/>
    <mergeCell ref="R336:V336"/>
    <mergeCell ref="D348:F348"/>
    <mergeCell ref="A349:F349"/>
    <mergeCell ref="A355:F355"/>
    <mergeCell ref="H355:K355"/>
    <mergeCell ref="R355:V355"/>
    <mergeCell ref="D367:F367"/>
    <mergeCell ref="A368:F368"/>
    <mergeCell ref="A374:F374"/>
    <mergeCell ref="H374:K374"/>
    <mergeCell ref="R374:V374"/>
    <mergeCell ref="D386:F386"/>
    <mergeCell ref="A388:F388"/>
    <mergeCell ref="H388:K388"/>
    <mergeCell ref="R388:V388"/>
    <mergeCell ref="D400:F400"/>
    <mergeCell ref="A401:F401"/>
    <mergeCell ref="A407:F407"/>
    <mergeCell ref="H407:K407"/>
    <mergeCell ref="R407:V407"/>
    <mergeCell ref="D419:F419"/>
    <mergeCell ref="A420:F420"/>
    <mergeCell ref="A426:F426"/>
    <mergeCell ref="H426:K426"/>
    <mergeCell ref="R426:V426"/>
    <mergeCell ref="D438:F438"/>
    <mergeCell ref="A439:F439"/>
    <mergeCell ref="A445:F445"/>
    <mergeCell ref="H445:K445"/>
    <mergeCell ref="R445:V445"/>
    <mergeCell ref="D457:F457"/>
    <mergeCell ref="A458:F458"/>
    <mergeCell ref="A464:F464"/>
    <mergeCell ref="H464:K464"/>
    <mergeCell ref="R464:V464"/>
    <mergeCell ref="D476:F476"/>
    <mergeCell ref="A477:F477"/>
    <mergeCell ref="A483:F483"/>
    <mergeCell ref="H483:K483"/>
    <mergeCell ref="R483:V483"/>
    <mergeCell ref="D495:F495"/>
    <mergeCell ref="A496:F496"/>
    <mergeCell ref="A502:F502"/>
    <mergeCell ref="H502:K502"/>
    <mergeCell ref="R502:V502"/>
    <mergeCell ref="D514:F514"/>
    <mergeCell ref="A515:F515"/>
    <mergeCell ref="A521:F521"/>
    <mergeCell ref="H521:K521"/>
    <mergeCell ref="R521:V521"/>
    <mergeCell ref="D533:F533"/>
    <mergeCell ref="A534:F534"/>
    <mergeCell ref="A540:F540"/>
    <mergeCell ref="H540:K540"/>
    <mergeCell ref="R540:V540"/>
    <mergeCell ref="D552:F552"/>
    <mergeCell ref="A553:F553"/>
    <mergeCell ref="A559:F559"/>
    <mergeCell ref="H559:K559"/>
    <mergeCell ref="R559:V559"/>
    <mergeCell ref="D571:F571"/>
    <mergeCell ref="A572:F572"/>
    <mergeCell ref="A578:F578"/>
    <mergeCell ref="H578:K578"/>
    <mergeCell ref="R578:V578"/>
    <mergeCell ref="D590:F590"/>
    <mergeCell ref="A592:F592"/>
    <mergeCell ref="H592:K592"/>
    <mergeCell ref="R592:V592"/>
    <mergeCell ref="D604:F604"/>
    <mergeCell ref="A605:F605"/>
    <mergeCell ref="A611:F611"/>
    <mergeCell ref="H611:K611"/>
    <mergeCell ref="R611:V611"/>
    <mergeCell ref="D623:F623"/>
    <mergeCell ref="A624:F624"/>
    <mergeCell ref="A630:F630"/>
    <mergeCell ref="H630:K630"/>
    <mergeCell ref="R630:V630"/>
    <mergeCell ref="D642:F642"/>
    <mergeCell ref="A643:F643"/>
    <mergeCell ref="A649:F649"/>
    <mergeCell ref="H649:K649"/>
    <mergeCell ref="R649:V649"/>
    <mergeCell ref="D661:F661"/>
    <mergeCell ref="A662:F662"/>
    <mergeCell ref="A668:F668"/>
    <mergeCell ref="H668:K668"/>
    <mergeCell ref="R668:V668"/>
    <mergeCell ref="D680:F680"/>
    <mergeCell ref="A681:F681"/>
    <mergeCell ref="A687:F687"/>
    <mergeCell ref="H687:K687"/>
    <mergeCell ref="R687:V687"/>
    <mergeCell ref="D699:F699"/>
    <mergeCell ref="A700:F700"/>
    <mergeCell ref="A706:F706"/>
    <mergeCell ref="H706:K706"/>
    <mergeCell ref="R706:V706"/>
    <mergeCell ref="D718:F718"/>
    <mergeCell ref="A719:F719"/>
    <mergeCell ref="A725:F725"/>
    <mergeCell ref="H725:K725"/>
    <mergeCell ref="R725:V725"/>
    <mergeCell ref="D737:F737"/>
    <mergeCell ref="A738:F738"/>
    <mergeCell ref="A744:F744"/>
    <mergeCell ref="H744:K744"/>
    <mergeCell ref="R744:V744"/>
    <mergeCell ref="D756:F756"/>
    <mergeCell ref="A757:F757"/>
    <mergeCell ref="A763:F763"/>
    <mergeCell ref="H763:K763"/>
    <mergeCell ref="R763:V763"/>
    <mergeCell ref="D775:F775"/>
    <mergeCell ref="A776:F776"/>
    <mergeCell ref="A782:F782"/>
    <mergeCell ref="H782:K782"/>
    <mergeCell ref="R782:V782"/>
    <mergeCell ref="D794:F794"/>
    <mergeCell ref="A795:F795"/>
    <mergeCell ref="A801:F801"/>
    <mergeCell ref="H801:K801"/>
    <mergeCell ref="R801:V801"/>
    <mergeCell ref="D813:F813"/>
    <mergeCell ref="A814:F814"/>
    <mergeCell ref="A820:F820"/>
    <mergeCell ref="H820:K820"/>
    <mergeCell ref="R820:V820"/>
    <mergeCell ref="D832:F832"/>
    <mergeCell ref="A833:F833"/>
    <mergeCell ref="A839:F839"/>
    <mergeCell ref="H839:K839"/>
    <mergeCell ref="R839:V839"/>
    <mergeCell ref="D851:F851"/>
    <mergeCell ref="A852:F852"/>
    <mergeCell ref="A858:F858"/>
    <mergeCell ref="H858:K858"/>
    <mergeCell ref="R858:V858"/>
    <mergeCell ref="D870:F870"/>
    <mergeCell ref="A871:F871"/>
    <mergeCell ref="A877:F877"/>
    <mergeCell ref="H877:K877"/>
    <mergeCell ref="R877:V877"/>
    <mergeCell ref="D889:F889"/>
    <mergeCell ref="A891:F891"/>
    <mergeCell ref="H891:K891"/>
    <mergeCell ref="R891:V891"/>
    <mergeCell ref="D903:F903"/>
    <mergeCell ref="A905:F905"/>
    <mergeCell ref="H905:K905"/>
    <mergeCell ref="R905:V905"/>
    <mergeCell ref="D917:F917"/>
    <mergeCell ref="A918:F918"/>
    <mergeCell ref="A924:F924"/>
    <mergeCell ref="H924:K924"/>
    <mergeCell ref="R924:V924"/>
    <mergeCell ref="D936:F936"/>
    <mergeCell ref="A937:F937"/>
    <mergeCell ref="A943:F943"/>
    <mergeCell ref="H943:K943"/>
    <mergeCell ref="R943:V943"/>
    <mergeCell ref="D955:F955"/>
    <mergeCell ref="A957:F957"/>
    <mergeCell ref="H957:K957"/>
    <mergeCell ref="R957:V957"/>
    <mergeCell ref="D969:F969"/>
    <mergeCell ref="A970:F970"/>
    <mergeCell ref="A976:F976"/>
    <mergeCell ref="H976:K976"/>
    <mergeCell ref="R976:V976"/>
    <mergeCell ref="D988:F988"/>
    <mergeCell ref="A990:F990"/>
    <mergeCell ref="H990:K990"/>
    <mergeCell ref="R990:V990"/>
    <mergeCell ref="D1002:F1002"/>
    <mergeCell ref="A1004:F1004"/>
    <mergeCell ref="H1004:K1004"/>
    <mergeCell ref="R1004:V1004"/>
    <mergeCell ref="D1016:F1016"/>
    <mergeCell ref="A1017:F1017"/>
    <mergeCell ref="A1023:F1023"/>
    <mergeCell ref="H1023:K1023"/>
    <mergeCell ref="R1023:V1023"/>
    <mergeCell ref="D1035:F1035"/>
    <mergeCell ref="A1036:F1036"/>
    <mergeCell ref="A1042:F1042"/>
    <mergeCell ref="H1042:K1042"/>
    <mergeCell ref="R1042:V1042"/>
    <mergeCell ref="D1054:F1054"/>
    <mergeCell ref="A1055:F1055"/>
    <mergeCell ref="A1061:F1061"/>
    <mergeCell ref="H1061:K1061"/>
    <mergeCell ref="R1061:V1061"/>
    <mergeCell ref="D1073:F1073"/>
    <mergeCell ref="A1075:F1075"/>
    <mergeCell ref="H1075:K1075"/>
    <mergeCell ref="R1075:V1075"/>
    <mergeCell ref="D1087:F1087"/>
    <mergeCell ref="A1089:F1089"/>
    <mergeCell ref="H1089:K1089"/>
    <mergeCell ref="R1089:V1089"/>
    <mergeCell ref="D1101:F1101"/>
    <mergeCell ref="A1103:F1103"/>
    <mergeCell ref="H1103:K1103"/>
    <mergeCell ref="R1103:V1103"/>
    <mergeCell ref="D1115:F1115"/>
    <mergeCell ref="A1116:F1116"/>
    <mergeCell ref="A1122:F1122"/>
    <mergeCell ref="H1122:K1122"/>
    <mergeCell ref="R1122:V1122"/>
    <mergeCell ref="D1134:F1134"/>
    <mergeCell ref="A1136:F1136"/>
    <mergeCell ref="H1136:K1136"/>
    <mergeCell ref="R1136:V1136"/>
    <mergeCell ref="D1148:F1148"/>
    <mergeCell ref="A1150:F1150"/>
    <mergeCell ref="H1150:K1150"/>
    <mergeCell ref="R1150:V1150"/>
    <mergeCell ref="D1162:F1162"/>
    <mergeCell ref="A1164:F1164"/>
    <mergeCell ref="H1164:K1164"/>
    <mergeCell ref="R1164:V1164"/>
    <mergeCell ref="D1176:F1176"/>
    <mergeCell ref="A1178:F1178"/>
    <mergeCell ref="H1178:K1178"/>
    <mergeCell ref="R1178:V1178"/>
    <mergeCell ref="D1190:F1190"/>
    <mergeCell ref="A1191:F1191"/>
    <mergeCell ref="A1197:F1197"/>
    <mergeCell ref="H1197:K1197"/>
    <mergeCell ref="R1197:V1197"/>
    <mergeCell ref="D1209:F1209"/>
    <mergeCell ref="A1211:F1211"/>
    <mergeCell ref="H1211:K1211"/>
    <mergeCell ref="R1211:V1211"/>
    <mergeCell ref="D1223:F1223"/>
    <mergeCell ref="A1225:F1225"/>
    <mergeCell ref="H1225:K1225"/>
    <mergeCell ref="R1225:V1225"/>
    <mergeCell ref="D1237:F1237"/>
    <mergeCell ref="A1239:F1239"/>
    <mergeCell ref="H1239:K1239"/>
    <mergeCell ref="R1239:V1239"/>
    <mergeCell ref="D1251:F1251"/>
    <mergeCell ref="A1253:F1253"/>
    <mergeCell ref="H1253:K1253"/>
    <mergeCell ref="R1253:V1253"/>
    <mergeCell ref="D1265:F1265"/>
    <mergeCell ref="A1267:F1267"/>
    <mergeCell ref="H1267:K1267"/>
    <mergeCell ref="R1267:V1267"/>
    <mergeCell ref="D1279:F1279"/>
    <mergeCell ref="A1281:F1281"/>
    <mergeCell ref="H1281:K1281"/>
    <mergeCell ref="R1281:V1281"/>
    <mergeCell ref="D1293:F1293"/>
    <mergeCell ref="A1295:F1295"/>
    <mergeCell ref="H1295:K1295"/>
    <mergeCell ref="R1295:V1295"/>
    <mergeCell ref="D1307:F1307"/>
    <mergeCell ref="A1309:F1309"/>
    <mergeCell ref="H1309:K1309"/>
    <mergeCell ref="R1309:V1309"/>
    <mergeCell ref="D1321:F1321"/>
    <mergeCell ref="A1323:F1323"/>
    <mergeCell ref="H1323:K1323"/>
    <mergeCell ref="R1323:V1323"/>
    <mergeCell ref="D1335:F1335"/>
    <mergeCell ref="A1337:F1337"/>
    <mergeCell ref="H1337:K1337"/>
    <mergeCell ref="R1337:V1337"/>
    <mergeCell ref="D1349:F1349"/>
    <mergeCell ref="A1351:F1351"/>
    <mergeCell ref="H1351:K1351"/>
    <mergeCell ref="R1351:V1351"/>
    <mergeCell ref="D1363:F1363"/>
    <mergeCell ref="A1365:F1365"/>
    <mergeCell ref="H1365:K1365"/>
    <mergeCell ref="R1365:V1365"/>
    <mergeCell ref="D1377:F1377"/>
    <mergeCell ref="A1379:F1379"/>
    <mergeCell ref="H1379:K1379"/>
    <mergeCell ref="R1379:V1379"/>
    <mergeCell ref="D1391:F1391"/>
    <mergeCell ref="A1393:F1393"/>
    <mergeCell ref="H1393:K1393"/>
    <mergeCell ref="R1393:V1393"/>
    <mergeCell ref="D1405:F1405"/>
    <mergeCell ref="A1407:F1407"/>
    <mergeCell ref="H1407:K1407"/>
    <mergeCell ref="R1407:V1407"/>
    <mergeCell ref="D1419:F1419"/>
    <mergeCell ref="A1421:F1421"/>
    <mergeCell ref="H1421:K1421"/>
    <mergeCell ref="R1421:V1421"/>
    <mergeCell ref="D1433:F1433"/>
    <mergeCell ref="A1435:F1435"/>
    <mergeCell ref="H1435:K1435"/>
    <mergeCell ref="R1435:V1435"/>
    <mergeCell ref="D1447:F1447"/>
    <mergeCell ref="A1449:F1449"/>
    <mergeCell ref="H1449:K1449"/>
    <mergeCell ref="R1449:V1449"/>
    <mergeCell ref="D1461:F1461"/>
    <mergeCell ref="A1463:F1463"/>
    <mergeCell ref="H1463:K1463"/>
    <mergeCell ref="R1463:V1463"/>
    <mergeCell ref="D1475:F1475"/>
    <mergeCell ref="A1477:F1477"/>
    <mergeCell ref="H1477:K1477"/>
    <mergeCell ref="R1477:V1477"/>
    <mergeCell ref="D1489:F1489"/>
    <mergeCell ref="A1491:F1491"/>
    <mergeCell ref="H1491:K1491"/>
    <mergeCell ref="R1491:V1491"/>
    <mergeCell ref="D1503:F1503"/>
    <mergeCell ref="A1505:F1505"/>
    <mergeCell ref="H1505:K1505"/>
    <mergeCell ref="R1505:V1505"/>
    <mergeCell ref="D1517:F1517"/>
    <mergeCell ref="A1519:F1519"/>
    <mergeCell ref="H1519:K1519"/>
    <mergeCell ref="R1519:V1519"/>
    <mergeCell ref="D1531:F1531"/>
    <mergeCell ref="A1533:F1533"/>
    <mergeCell ref="H1533:K1533"/>
    <mergeCell ref="R1533:V1533"/>
    <mergeCell ref="D1545:F1545"/>
    <mergeCell ref="A1547:F1547"/>
    <mergeCell ref="H1547:K1547"/>
    <mergeCell ref="R1547:V1547"/>
    <mergeCell ref="D1559:F1559"/>
    <mergeCell ref="A1561:F1561"/>
    <mergeCell ref="H1561:K1561"/>
    <mergeCell ref="R1561:V1561"/>
    <mergeCell ref="D1573:F1573"/>
    <mergeCell ref="A1575:F1575"/>
    <mergeCell ref="H1575:K1575"/>
    <mergeCell ref="R1575:V1575"/>
    <mergeCell ref="D1587:F1587"/>
    <mergeCell ref="A1589:F1589"/>
    <mergeCell ref="H1589:K1589"/>
    <mergeCell ref="R1589:V1589"/>
    <mergeCell ref="D1601:F1601"/>
    <mergeCell ref="A1603:F1603"/>
    <mergeCell ref="H1603:K1603"/>
    <mergeCell ref="R1603:V1603"/>
    <mergeCell ref="D1615:F1615"/>
    <mergeCell ref="A1616:F1616"/>
    <mergeCell ref="A1622:F1622"/>
    <mergeCell ref="H1622:K1622"/>
    <mergeCell ref="R1622:V1622"/>
    <mergeCell ref="D1634:F1634"/>
    <mergeCell ref="A1636:F1636"/>
    <mergeCell ref="H1636:K1636"/>
    <mergeCell ref="R1636:V1636"/>
    <mergeCell ref="D1648:F1648"/>
    <mergeCell ref="A1650:F1650"/>
    <mergeCell ref="H1650:K1650"/>
    <mergeCell ref="R1650:V1650"/>
    <mergeCell ref="D1662:F1662"/>
    <mergeCell ref="A1664:F1664"/>
    <mergeCell ref="H1664:K1664"/>
    <mergeCell ref="R1664:V1664"/>
    <mergeCell ref="D1676:F1676"/>
    <mergeCell ref="A1678:F1678"/>
    <mergeCell ref="H1678:K1678"/>
    <mergeCell ref="R1678:V1678"/>
    <mergeCell ref="D1690:F1690"/>
    <mergeCell ref="A1692:F1692"/>
    <mergeCell ref="H1692:K1692"/>
    <mergeCell ref="R1692:V1692"/>
    <mergeCell ref="D1704:F1704"/>
    <mergeCell ref="A1706:F1706"/>
    <mergeCell ref="H1706:K1706"/>
    <mergeCell ref="R1706:V1706"/>
    <mergeCell ref="D1718:F1718"/>
    <mergeCell ref="A1720:F1720"/>
    <mergeCell ref="H1720:K1720"/>
    <mergeCell ref="R1720:V1720"/>
    <mergeCell ref="D1732:F1732"/>
    <mergeCell ref="A1733:F1733"/>
    <mergeCell ref="A1739:F1739"/>
    <mergeCell ref="H1739:K1739"/>
    <mergeCell ref="R1739:V1739"/>
    <mergeCell ref="D1751:F1751"/>
    <mergeCell ref="A1753:F1753"/>
    <mergeCell ref="H1753:K1753"/>
    <mergeCell ref="R1753:V1753"/>
    <mergeCell ref="D1765:F1765"/>
    <mergeCell ref="A1767:F1767"/>
    <mergeCell ref="H1767:K1767"/>
    <mergeCell ref="R1767:V1767"/>
    <mergeCell ref="D1779:F1779"/>
    <mergeCell ref="A1781:F1781"/>
    <mergeCell ref="H1781:K1781"/>
    <mergeCell ref="R1781:V1781"/>
    <mergeCell ref="D1793:F1793"/>
    <mergeCell ref="A1795:F1795"/>
    <mergeCell ref="H1795:K1795"/>
    <mergeCell ref="R1795:V1795"/>
    <mergeCell ref="D1807:F1807"/>
    <mergeCell ref="A1809:F1809"/>
    <mergeCell ref="H1809:K1809"/>
    <mergeCell ref="R1809:V1809"/>
    <mergeCell ref="D1821:F1821"/>
    <mergeCell ref="A1823:F1823"/>
    <mergeCell ref="H1823:K1823"/>
    <mergeCell ref="R1823:V1823"/>
    <mergeCell ref="D1835:F1835"/>
    <mergeCell ref="A1837:F1837"/>
    <mergeCell ref="H1837:K1837"/>
    <mergeCell ref="R1837:V1837"/>
    <mergeCell ref="D1849:F1849"/>
    <mergeCell ref="A1851:F1851"/>
    <mergeCell ref="H1851:K1851"/>
    <mergeCell ref="R1851:V1851"/>
    <mergeCell ref="D1863:F1863"/>
    <mergeCell ref="A1865:F1865"/>
    <mergeCell ref="H1865:K1865"/>
    <mergeCell ref="R1865:V1865"/>
    <mergeCell ref="D1877:F1877"/>
    <mergeCell ref="A1879:F1879"/>
    <mergeCell ref="H1879:K1879"/>
    <mergeCell ref="R1879:V1879"/>
    <mergeCell ref="D1891:F1891"/>
    <mergeCell ref="A1893:F1893"/>
    <mergeCell ref="H1893:K1893"/>
    <mergeCell ref="R1893:V1893"/>
    <mergeCell ref="D1905:F1905"/>
    <mergeCell ref="A1907:F1907"/>
    <mergeCell ref="H1907:K1907"/>
    <mergeCell ref="R1907:V1907"/>
    <mergeCell ref="D1919:F1919"/>
    <mergeCell ref="A1921:F1921"/>
    <mergeCell ref="H1921:K1921"/>
    <mergeCell ref="R1921:V1921"/>
    <mergeCell ref="D1933:F1933"/>
    <mergeCell ref="A1935:F1935"/>
    <mergeCell ref="H1935:K1935"/>
    <mergeCell ref="R1935:V1935"/>
    <mergeCell ref="D1947:F1947"/>
    <mergeCell ref="A1949:F1949"/>
    <mergeCell ref="H1949:K1949"/>
    <mergeCell ref="R1949:V1949"/>
    <mergeCell ref="D1961:F1961"/>
    <mergeCell ref="A1963:F1963"/>
    <mergeCell ref="H1963:K1963"/>
    <mergeCell ref="R1963:V1963"/>
    <mergeCell ref="D1975:F1975"/>
    <mergeCell ref="A1977:F1977"/>
    <mergeCell ref="H1977:K1977"/>
    <mergeCell ref="R1977:V1977"/>
    <mergeCell ref="D1989:F1989"/>
    <mergeCell ref="A1991:F1991"/>
    <mergeCell ref="H1991:K1991"/>
    <mergeCell ref="R1991:V1991"/>
    <mergeCell ref="D2003:F2003"/>
    <mergeCell ref="A2005:F2005"/>
    <mergeCell ref="H2005:K2005"/>
    <mergeCell ref="R2005:V2005"/>
    <mergeCell ref="D2017:F2017"/>
    <mergeCell ref="A2019:F2019"/>
    <mergeCell ref="H2019:K2019"/>
    <mergeCell ref="R2019:V2019"/>
    <mergeCell ref="D2031:F2031"/>
    <mergeCell ref="A2033:F2033"/>
    <mergeCell ref="H2033:K2033"/>
    <mergeCell ref="R2033:V2033"/>
    <mergeCell ref="D2045:F2045"/>
    <mergeCell ref="A2047:F2047"/>
    <mergeCell ref="H2047:K2047"/>
    <mergeCell ref="R2047:V2047"/>
    <mergeCell ref="D2059:F2059"/>
    <mergeCell ref="A2061:F2061"/>
    <mergeCell ref="H2061:K2061"/>
    <mergeCell ref="R2061:V2061"/>
    <mergeCell ref="D2073:F2073"/>
    <mergeCell ref="A2075:F2075"/>
    <mergeCell ref="H2075:K2075"/>
    <mergeCell ref="R2075:V2075"/>
    <mergeCell ref="D2087:F2087"/>
    <mergeCell ref="A2089:F2089"/>
    <mergeCell ref="H2089:K2089"/>
    <mergeCell ref="R2089:V2089"/>
    <mergeCell ref="D2101:F2101"/>
    <mergeCell ref="A2103:F2103"/>
    <mergeCell ref="H2103:K2103"/>
    <mergeCell ref="R2103:V2103"/>
    <mergeCell ref="D2115:F211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36" manualBreakCount="136">
    <brk id="16" man="true" max="16383" min="0"/>
    <brk id="30" man="true" max="16383" min="0"/>
    <brk id="44" man="true" max="16383" min="0"/>
    <brk id="58" man="true" max="16383" min="0"/>
    <brk id="72" man="true" max="16383" min="0"/>
    <brk id="86" man="true" max="16383" min="0"/>
    <brk id="100" man="true" max="16383" min="0"/>
    <brk id="114" man="true" max="16383" min="0"/>
    <brk id="128" man="true" max="16383" min="0"/>
    <brk id="142" man="true" max="16383" min="0"/>
    <brk id="156" man="true" max="16383" min="0"/>
    <brk id="170" man="true" max="16383" min="0"/>
    <brk id="184" man="true" max="16383" min="0"/>
    <brk id="198" man="true" max="16383" min="0"/>
    <brk id="217" man="true" max="16383" min="0"/>
    <brk id="231" man="true" max="16383" min="0"/>
    <brk id="245" man="true" max="16383" min="0"/>
    <brk id="264" man="true" max="16383" min="0"/>
    <brk id="283" man="true" max="16383" min="0"/>
    <brk id="302" man="true" max="16383" min="0"/>
    <brk id="316" man="true" max="16383" min="0"/>
    <brk id="335" man="true" max="16383" min="0"/>
    <brk id="354" man="true" max="16383" min="0"/>
    <brk id="373" man="true" max="16383" min="0"/>
    <brk id="387" man="true" max="16383" min="0"/>
    <brk id="406" man="true" max="16383" min="0"/>
    <brk id="425" man="true" max="16383" min="0"/>
    <brk id="444" man="true" max="16383" min="0"/>
    <brk id="463" man="true" max="16383" min="0"/>
    <brk id="482" man="true" max="16383" min="0"/>
    <brk id="501" man="true" max="16383" min="0"/>
    <brk id="520" man="true" max="16383" min="0"/>
    <brk id="539" man="true" max="16383" min="0"/>
    <brk id="558" man="true" max="16383" min="0"/>
    <brk id="577" man="true" max="16383" min="0"/>
    <brk id="591" man="true" max="16383" min="0"/>
    <brk id="610" man="true" max="16383" min="0"/>
    <brk id="629" man="true" max="16383" min="0"/>
    <brk id="648" man="true" max="16383" min="0"/>
    <brk id="667" man="true" max="16383" min="0"/>
    <brk id="686" man="true" max="16383" min="0"/>
    <brk id="705" man="true" max="16383" min="0"/>
    <brk id="724" man="true" max="16383" min="0"/>
    <brk id="743" man="true" max="16383" min="0"/>
    <brk id="762" man="true" max="16383" min="0"/>
    <brk id="781" man="true" max="16383" min="0"/>
    <brk id="800" man="true" max="16383" min="0"/>
    <brk id="819" man="true" max="16383" min="0"/>
    <brk id="838" man="true" max="16383" min="0"/>
    <brk id="857" man="true" max="16383" min="0"/>
    <brk id="876" man="true" max="16383" min="0"/>
    <brk id="890" man="true" max="16383" min="0"/>
    <brk id="904" man="true" max="16383" min="0"/>
    <brk id="923" man="true" max="16383" min="0"/>
    <brk id="942" man="true" max="16383" min="0"/>
    <brk id="956" man="true" max="16383" min="0"/>
    <brk id="975" man="true" max="16383" min="0"/>
    <brk id="989" man="true" max="16383" min="0"/>
    <brk id="1003" man="true" max="16383" min="0"/>
    <brk id="1022" man="true" max="16383" min="0"/>
    <brk id="1041" man="true" max="16383" min="0"/>
    <brk id="1060" man="true" max="16383" min="0"/>
    <brk id="1074" man="true" max="16383" min="0"/>
    <brk id="1088" man="true" max="16383" min="0"/>
    <brk id="1102" man="true" max="16383" min="0"/>
    <brk id="1121" man="true" max="16383" min="0"/>
    <brk id="1135" man="true" max="16383" min="0"/>
    <brk id="1149" man="true" max="16383" min="0"/>
    <brk id="1163" man="true" max="16383" min="0"/>
    <brk id="1177" man="true" max="16383" min="0"/>
    <brk id="1196" man="true" max="16383" min="0"/>
    <brk id="1210" man="true" max="16383" min="0"/>
    <brk id="1224" man="true" max="16383" min="0"/>
    <brk id="1238" man="true" max="16383" min="0"/>
    <brk id="1252" man="true" max="16383" min="0"/>
    <brk id="1266" man="true" max="16383" min="0"/>
    <brk id="1280" man="true" max="16383" min="0"/>
    <brk id="1294" man="true" max="16383" min="0"/>
    <brk id="1308" man="true" max="16383" min="0"/>
    <brk id="1322" man="true" max="16383" min="0"/>
    <brk id="1336" man="true" max="16383" min="0"/>
    <brk id="1350" man="true" max="16383" min="0"/>
    <brk id="1364" man="true" max="16383" min="0"/>
    <brk id="1378" man="true" max="16383" min="0"/>
    <brk id="1392" man="true" max="16383" min="0"/>
    <brk id="1406" man="true" max="16383" min="0"/>
    <brk id="1420" man="true" max="16383" min="0"/>
    <brk id="1434" man="true" max="16383" min="0"/>
    <brk id="1448" man="true" max="16383" min="0"/>
    <brk id="1462" man="true" max="16383" min="0"/>
    <brk id="1476" man="true" max="16383" min="0"/>
    <brk id="1490" man="true" max="16383" min="0"/>
    <brk id="1504" man="true" max="16383" min="0"/>
    <brk id="1518" man="true" max="16383" min="0"/>
    <brk id="1532" man="true" max="16383" min="0"/>
    <brk id="1546" man="true" max="16383" min="0"/>
    <brk id="1560" man="true" max="16383" min="0"/>
    <brk id="1574" man="true" max="16383" min="0"/>
    <brk id="1588" man="true" max="16383" min="0"/>
    <brk id="1602" man="true" max="16383" min="0"/>
    <brk id="1621" man="true" max="16383" min="0"/>
    <brk id="1635" man="true" max="16383" min="0"/>
    <brk id="1649" man="true" max="16383" min="0"/>
    <brk id="1663" man="true" max="16383" min="0"/>
    <brk id="1677" man="true" max="16383" min="0"/>
    <brk id="1691" man="true" max="16383" min="0"/>
    <brk id="1705" man="true" max="16383" min="0"/>
    <brk id="1719" man="true" max="16383" min="0"/>
    <brk id="1738" man="true" max="16383" min="0"/>
    <brk id="1752" man="true" max="16383" min="0"/>
    <brk id="1766" man="true" max="16383" min="0"/>
    <brk id="1780" man="true" max="16383" min="0"/>
    <brk id="1794" man="true" max="16383" min="0"/>
    <brk id="1808" man="true" max="16383" min="0"/>
    <brk id="1822" man="true" max="16383" min="0"/>
    <brk id="1836" man="true" max="16383" min="0"/>
    <brk id="1850" man="true" max="16383" min="0"/>
    <brk id="1864" man="true" max="16383" min="0"/>
    <brk id="1878" man="true" max="16383" min="0"/>
    <brk id="1892" man="true" max="16383" min="0"/>
    <brk id="1906" man="true" max="16383" min="0"/>
    <brk id="1920" man="true" max="16383" min="0"/>
    <brk id="1934" man="true" max="16383" min="0"/>
    <brk id="1948" man="true" max="16383" min="0"/>
    <brk id="1962" man="true" max="16383" min="0"/>
    <brk id="1976" man="true" max="16383" min="0"/>
    <brk id="1990" man="true" max="16383" min="0"/>
    <brk id="2004" man="true" max="16383" min="0"/>
    <brk id="2018" man="true" max="16383" min="0"/>
    <brk id="2032" man="true" max="16383" min="0"/>
    <brk id="2046" man="true" max="16383" min="0"/>
    <brk id="2060" man="true" max="16383" min="0"/>
    <brk id="2074" man="true" max="16383" min="0"/>
    <brk id="2088" man="true" max="16383" min="0"/>
    <brk id="2102" man="true" max="16383" min="0"/>
    <brk id="2116" man="true" max="16383" min="0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2" t="s">
        <v>1484</v>
      </c>
      <c r="B1" s="12" t="s">
        <v>1485</v>
      </c>
      <c r="C1" s="12" t="s">
        <v>1486</v>
      </c>
      <c r="D1" s="12" t="s">
        <v>1487</v>
      </c>
      <c r="E1" s="12" t="s">
        <v>1488</v>
      </c>
      <c r="F1" s="12" t="s">
        <v>1489</v>
      </c>
      <c r="G1" s="12" t="s">
        <v>1490</v>
      </c>
      <c r="H1" s="12" t="s">
        <v>1491</v>
      </c>
      <c r="I1" s="12" t="s">
        <v>1492</v>
      </c>
      <c r="J1" s="12" t="s">
        <v>1493</v>
      </c>
      <c r="K1" s="12" t="s">
        <v>1494</v>
      </c>
      <c r="L1" s="12" t="s">
        <v>1495</v>
      </c>
      <c r="M1" s="12" t="s">
        <v>1496</v>
      </c>
      <c r="N1" s="12" t="s">
        <v>1497</v>
      </c>
      <c r="O1" s="12" t="s">
        <v>1498</v>
      </c>
      <c r="P1" s="12" t="s">
        <v>1499</v>
      </c>
      <c r="Q1" s="12" t="s">
        <v>1500</v>
      </c>
      <c r="R1" s="12" t="s">
        <v>1501</v>
      </c>
      <c r="S1" s="12" t="s">
        <v>1502</v>
      </c>
      <c r="T1" s="12" t="s">
        <v>1503</v>
      </c>
      <c r="U1" s="12" t="s">
        <v>1504</v>
      </c>
      <c r="V1" s="12" t="s">
        <v>1505</v>
      </c>
      <c r="W1" s="12" t="s">
        <v>1506</v>
      </c>
      <c r="X1" s="12" t="s">
        <v>1507</v>
      </c>
      <c r="Y1" s="12" t="s">
        <v>1508</v>
      </c>
    </row>
    <row r="2" customFormat="false" ht="15" hidden="false" customHeight="true" outlineLevel="0" collapsed="false">
      <c r="A2" s="12" t="s">
        <v>27</v>
      </c>
      <c r="B2" s="12" t="n">
        <v>1823.2</v>
      </c>
      <c r="C2" s="12" t="n">
        <v>2200.79</v>
      </c>
      <c r="D2" s="12" t="n">
        <v>1506.86</v>
      </c>
      <c r="E2" s="12" t="n">
        <v>1294.73</v>
      </c>
      <c r="F2" s="12" t="n">
        <v>701.24</v>
      </c>
      <c r="G2" s="12" t="n">
        <v>2057.58</v>
      </c>
      <c r="H2" s="12" t="n">
        <v>704.65</v>
      </c>
      <c r="I2" s="12" t="n">
        <v>1131.33</v>
      </c>
      <c r="J2" s="12" t="n">
        <v>1195.22</v>
      </c>
      <c r="K2" s="12" t="n">
        <v>1397.39</v>
      </c>
      <c r="L2" s="12" t="n">
        <v>1489.78</v>
      </c>
      <c r="M2" s="12" t="n">
        <v>1604.92</v>
      </c>
      <c r="N2" s="12" t="n">
        <v>2264.68</v>
      </c>
      <c r="O2" s="12" t="n">
        <v>2392.22</v>
      </c>
      <c r="P2" s="12" t="n">
        <v>1906.5</v>
      </c>
      <c r="Q2" s="12" t="n">
        <v>1541.7</v>
      </c>
      <c r="R2" s="12" t="n">
        <v>1553.06</v>
      </c>
      <c r="S2" s="12" t="n">
        <v>1623.98</v>
      </c>
      <c r="T2" s="12" t="n">
        <v>1669.87</v>
      </c>
      <c r="U2" s="12" t="n">
        <v>1287.26</v>
      </c>
      <c r="V2" s="12" t="n">
        <v>1560.23</v>
      </c>
      <c r="W2" s="12" t="n">
        <v>1696.52</v>
      </c>
      <c r="X2" s="12" t="n">
        <v>1398.99</v>
      </c>
      <c r="Y2" s="12" t="n">
        <v>1699.39</v>
      </c>
    </row>
    <row r="3" customFormat="false" ht="15" hidden="false" customHeight="true" outlineLevel="0" collapsed="false">
      <c r="A3" s="12" t="s">
        <v>31</v>
      </c>
      <c r="B3" s="12" t="n">
        <v>2278.23</v>
      </c>
      <c r="C3" s="12" t="n">
        <v>2606.49</v>
      </c>
      <c r="D3" s="12" t="n">
        <v>1372.78</v>
      </c>
      <c r="E3" s="12" t="n">
        <v>1218.04</v>
      </c>
      <c r="F3" s="12" t="n">
        <v>852.42</v>
      </c>
      <c r="G3" s="12" t="n">
        <v>892.96</v>
      </c>
      <c r="H3" s="12" t="n">
        <v>526.46</v>
      </c>
      <c r="I3" s="12" t="n">
        <v>703.02</v>
      </c>
      <c r="J3" s="12" t="n">
        <v>973.88</v>
      </c>
      <c r="K3" s="12" t="n">
        <v>1071.5</v>
      </c>
      <c r="L3" s="12" t="n">
        <v>1198.45</v>
      </c>
      <c r="M3" s="12" t="n">
        <v>1352.91</v>
      </c>
      <c r="N3" s="12" t="n">
        <v>2137.78</v>
      </c>
      <c r="O3" s="12" t="n">
        <v>2576.37</v>
      </c>
      <c r="P3" s="12" t="n">
        <v>1966.13</v>
      </c>
      <c r="Q3" s="12" t="n">
        <v>1508.21</v>
      </c>
      <c r="R3" s="12" t="n">
        <v>982.22</v>
      </c>
      <c r="S3" s="12" t="n">
        <v>980.76</v>
      </c>
      <c r="T3" s="12" t="n">
        <v>639.12</v>
      </c>
      <c r="U3" s="12" t="n">
        <v>1081.39</v>
      </c>
      <c r="V3" s="12" t="n">
        <v>1166.31</v>
      </c>
      <c r="W3" s="12" t="n">
        <v>1408.31</v>
      </c>
      <c r="X3" s="12" t="n">
        <v>1317.52</v>
      </c>
      <c r="Y3" s="12" t="n">
        <v>0</v>
      </c>
    </row>
    <row r="4" customFormat="false" ht="15" hidden="false" customHeight="true" outlineLevel="0" collapsed="false">
      <c r="A4" s="12" t="s">
        <v>34</v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1625.21</v>
      </c>
      <c r="V4" s="12" t="n">
        <v>3262.26</v>
      </c>
      <c r="W4" s="12" t="n">
        <v>3637.92</v>
      </c>
      <c r="X4" s="12" t="n">
        <v>3747.07</v>
      </c>
      <c r="Y4" s="12" t="n">
        <v>0</v>
      </c>
    </row>
    <row r="5" customFormat="false" ht="15" hidden="false" customHeight="true" outlineLevel="0" collapsed="false">
      <c r="A5" s="12" t="s">
        <v>37</v>
      </c>
      <c r="B5" s="12" t="n">
        <v>4696.57</v>
      </c>
      <c r="C5" s="12" t="n">
        <v>5119.32</v>
      </c>
      <c r="D5" s="12" t="n">
        <v>3940.09</v>
      </c>
      <c r="E5" s="12" t="n">
        <v>4434.05</v>
      </c>
      <c r="F5" s="12" t="n">
        <v>4230.84</v>
      </c>
      <c r="G5" s="12" t="n">
        <v>4056.83</v>
      </c>
      <c r="H5" s="12" t="n">
        <v>3691.35</v>
      </c>
      <c r="I5" s="12" t="n">
        <v>4434.05</v>
      </c>
      <c r="J5" s="12" t="n">
        <v>4606.23</v>
      </c>
      <c r="K5" s="12" t="n">
        <v>3691.35</v>
      </c>
      <c r="L5" s="12" t="n">
        <v>3472.32</v>
      </c>
      <c r="M5" s="12" t="n">
        <v>3278.22</v>
      </c>
      <c r="N5" s="12" t="n">
        <v>4267.48</v>
      </c>
      <c r="O5" s="12" t="n">
        <v>4424.02</v>
      </c>
      <c r="P5" s="12" t="n">
        <v>3939.03</v>
      </c>
      <c r="Q5" s="12" t="n">
        <v>3404.76</v>
      </c>
      <c r="R5" s="12" t="n">
        <v>3733.87</v>
      </c>
      <c r="S5" s="12" t="n">
        <v>3769.58</v>
      </c>
      <c r="T5" s="12" t="n">
        <v>2917.21</v>
      </c>
      <c r="U5" s="12" t="n">
        <v>3522.69</v>
      </c>
      <c r="V5" s="12" t="n">
        <v>3557.98</v>
      </c>
      <c r="W5" s="12" t="n">
        <v>3087.33</v>
      </c>
      <c r="X5" s="12" t="n">
        <v>3133.52</v>
      </c>
      <c r="Y5" s="12" t="n">
        <v>3743.04</v>
      </c>
    </row>
    <row r="6" customFormat="false" ht="15" hidden="false" customHeight="true" outlineLevel="0" collapsed="false">
      <c r="A6" s="12" t="s">
        <v>41</v>
      </c>
      <c r="B6" s="12" t="n">
        <v>643.79</v>
      </c>
      <c r="C6" s="12" t="n">
        <v>476.53</v>
      </c>
      <c r="D6" s="12" t="n">
        <v>592.3</v>
      </c>
      <c r="E6" s="12" t="n">
        <v>631.06</v>
      </c>
      <c r="F6" s="12" t="n">
        <v>457.49</v>
      </c>
      <c r="G6" s="12" t="n">
        <v>578.16</v>
      </c>
      <c r="H6" s="12" t="n">
        <v>596.33</v>
      </c>
      <c r="I6" s="12" t="n">
        <v>602.79</v>
      </c>
      <c r="J6" s="12" t="n">
        <v>791.23</v>
      </c>
      <c r="K6" s="12" t="n">
        <v>624.49</v>
      </c>
      <c r="L6" s="12" t="n">
        <v>601.33</v>
      </c>
      <c r="M6" s="12" t="n">
        <v>711.31</v>
      </c>
      <c r="N6" s="12" t="n">
        <v>738.16</v>
      </c>
      <c r="O6" s="12" t="n">
        <v>605.43</v>
      </c>
      <c r="P6" s="12" t="n">
        <v>803.47</v>
      </c>
      <c r="Q6" s="12" t="n">
        <v>816.36</v>
      </c>
      <c r="R6" s="12" t="n">
        <v>572.69</v>
      </c>
      <c r="S6" s="12" t="n">
        <v>690.5</v>
      </c>
      <c r="T6" s="12" t="n">
        <v>712.22</v>
      </c>
      <c r="U6" s="12" t="n">
        <v>695.09</v>
      </c>
      <c r="V6" s="12" t="n">
        <v>791.23</v>
      </c>
      <c r="W6" s="12" t="n">
        <v>741.17</v>
      </c>
      <c r="X6" s="12" t="n">
        <v>782.58</v>
      </c>
      <c r="Y6" s="12" t="n">
        <v>755.25</v>
      </c>
    </row>
    <row r="7" customFormat="false" ht="15" hidden="false" customHeight="true" outlineLevel="0" collapsed="false">
      <c r="A7" s="12" t="s">
        <v>44</v>
      </c>
      <c r="B7" s="12" t="n">
        <v>632.44</v>
      </c>
      <c r="C7" s="12" t="n">
        <v>592.69</v>
      </c>
      <c r="D7" s="12" t="n">
        <v>610.04</v>
      </c>
      <c r="E7" s="12" t="n">
        <v>632.66</v>
      </c>
      <c r="F7" s="12" t="n">
        <v>637.18</v>
      </c>
      <c r="G7" s="12" t="n">
        <v>207.37</v>
      </c>
      <c r="H7" s="12" t="n">
        <v>706.19</v>
      </c>
      <c r="I7" s="12" t="n">
        <v>645.52</v>
      </c>
      <c r="J7" s="12" t="n">
        <v>899.33</v>
      </c>
      <c r="K7" s="12" t="n">
        <v>591.1</v>
      </c>
      <c r="L7" s="12" t="n">
        <v>643.89</v>
      </c>
      <c r="M7" s="12" t="n">
        <v>696.92</v>
      </c>
      <c r="N7" s="12" t="n">
        <v>731.73</v>
      </c>
      <c r="O7" s="12" t="n">
        <v>688.65</v>
      </c>
      <c r="P7" s="12" t="n">
        <v>794.97</v>
      </c>
      <c r="Q7" s="12" t="n">
        <v>824.16</v>
      </c>
      <c r="R7" s="12" t="n">
        <v>684.8</v>
      </c>
      <c r="S7" s="12" t="n">
        <v>331.28</v>
      </c>
      <c r="T7" s="12" t="n">
        <v>819.21</v>
      </c>
      <c r="U7" s="12" t="n">
        <v>753.83</v>
      </c>
      <c r="V7" s="12" t="n">
        <v>1018.62</v>
      </c>
      <c r="W7" s="12" t="n">
        <v>685.61</v>
      </c>
      <c r="X7" s="12" t="n">
        <v>741.79</v>
      </c>
      <c r="Y7" s="12" t="n">
        <v>789.76</v>
      </c>
    </row>
    <row r="8" customFormat="false" ht="15" hidden="false" customHeight="true" outlineLevel="0" collapsed="false">
      <c r="A8" s="12" t="s">
        <v>46</v>
      </c>
      <c r="B8" s="12" t="n">
        <v>524.5</v>
      </c>
      <c r="C8" s="12" t="n">
        <v>166.78</v>
      </c>
      <c r="D8" s="12" t="n">
        <v>444.46</v>
      </c>
      <c r="E8" s="12" t="n">
        <v>345.59</v>
      </c>
      <c r="F8" s="12" t="n">
        <v>0</v>
      </c>
      <c r="G8" s="12" t="n">
        <v>233.91</v>
      </c>
      <c r="H8" s="12" t="n">
        <v>294.11</v>
      </c>
      <c r="I8" s="12" t="n">
        <v>270.48</v>
      </c>
      <c r="J8" s="12" t="n">
        <v>383.23</v>
      </c>
      <c r="K8" s="12" t="n">
        <v>290.33</v>
      </c>
      <c r="L8" s="12" t="n">
        <v>336.88</v>
      </c>
      <c r="M8" s="12" t="n">
        <v>502.61</v>
      </c>
      <c r="N8" s="12" t="n">
        <v>634.9</v>
      </c>
      <c r="O8" s="12" t="n">
        <v>239.55</v>
      </c>
      <c r="P8" s="12" t="n">
        <v>628.5</v>
      </c>
      <c r="Q8" s="12" t="n">
        <v>440.92</v>
      </c>
      <c r="R8" s="12" t="n">
        <v>411.49</v>
      </c>
      <c r="S8" s="12" t="n">
        <v>407.39</v>
      </c>
      <c r="T8" s="12" t="n">
        <v>420.96</v>
      </c>
      <c r="U8" s="12" t="n">
        <v>391.83</v>
      </c>
      <c r="V8" s="12" t="n">
        <v>427.24</v>
      </c>
      <c r="W8" s="12" t="n">
        <v>354.48</v>
      </c>
      <c r="X8" s="12" t="n">
        <v>412.63</v>
      </c>
      <c r="Y8" s="12" t="n">
        <v>593.22</v>
      </c>
    </row>
    <row r="9" customFormat="false" ht="15" hidden="false" customHeight="true" outlineLevel="0" collapsed="false">
      <c r="A9" s="12" t="s">
        <v>48</v>
      </c>
      <c r="B9" s="12" t="n">
        <v>4475.16</v>
      </c>
      <c r="C9" s="12" t="n">
        <v>4612.54</v>
      </c>
      <c r="D9" s="12" t="n">
        <v>3701.38</v>
      </c>
      <c r="E9" s="12" t="n">
        <v>4561.47</v>
      </c>
      <c r="F9" s="12" t="n">
        <v>3334.09</v>
      </c>
      <c r="G9" s="12" t="n">
        <v>3216.6</v>
      </c>
      <c r="H9" s="12" t="n">
        <v>2924.41</v>
      </c>
      <c r="I9" s="12" t="n">
        <v>2743.54</v>
      </c>
      <c r="J9" s="12" t="n">
        <v>3702.5</v>
      </c>
      <c r="K9" s="12" t="n">
        <v>3817.43</v>
      </c>
      <c r="L9" s="12" t="n">
        <v>3300.04</v>
      </c>
      <c r="M9" s="12" t="n">
        <v>2798.1</v>
      </c>
      <c r="N9" s="12" t="n">
        <v>3784.48</v>
      </c>
      <c r="O9" s="12" t="n">
        <v>3716.14</v>
      </c>
      <c r="P9" s="12" t="n">
        <v>3334.45</v>
      </c>
      <c r="Q9" s="12" t="n">
        <v>3275.16</v>
      </c>
      <c r="R9" s="12" t="n">
        <v>3190.07</v>
      </c>
      <c r="S9" s="12" t="n">
        <v>2956.24</v>
      </c>
      <c r="T9" s="12" t="n">
        <v>2736.06</v>
      </c>
      <c r="U9" s="12" t="n">
        <v>2890.35</v>
      </c>
      <c r="V9" s="12" t="n">
        <v>3365.79</v>
      </c>
      <c r="W9" s="12" t="n">
        <v>2721.04</v>
      </c>
      <c r="X9" s="12" t="n">
        <v>2640.22</v>
      </c>
      <c r="Y9" s="12" t="n">
        <v>3260.09</v>
      </c>
    </row>
    <row r="10" customFormat="false" ht="15" hidden="false" customHeight="true" outlineLevel="0" collapsed="false">
      <c r="A10" s="12" t="s">
        <v>51</v>
      </c>
      <c r="B10" s="12" t="n">
        <v>151.82</v>
      </c>
      <c r="C10" s="12" t="n">
        <v>199.06</v>
      </c>
      <c r="D10" s="12" t="n">
        <v>183.84</v>
      </c>
      <c r="E10" s="12" t="n">
        <v>178.12</v>
      </c>
      <c r="F10" s="12" t="n">
        <v>184.03</v>
      </c>
      <c r="G10" s="12" t="n">
        <v>163.02</v>
      </c>
      <c r="H10" s="12" t="n">
        <v>136.55</v>
      </c>
      <c r="I10" s="12" t="n">
        <v>104.41</v>
      </c>
      <c r="J10" s="12" t="n">
        <v>98.7</v>
      </c>
      <c r="K10" s="12" t="n">
        <v>40.05</v>
      </c>
      <c r="L10" s="12" t="n">
        <v>67.35</v>
      </c>
      <c r="M10" s="12" t="n">
        <v>65.71</v>
      </c>
      <c r="N10" s="12" t="n">
        <v>361.06</v>
      </c>
      <c r="O10" s="12" t="n">
        <v>201.13</v>
      </c>
      <c r="P10" s="12" t="n">
        <v>85.6</v>
      </c>
      <c r="Q10" s="12" t="n">
        <v>63.93</v>
      </c>
      <c r="R10" s="12" t="n">
        <v>60.72</v>
      </c>
      <c r="S10" s="12" t="n">
        <v>51.57</v>
      </c>
      <c r="T10" s="12" t="n">
        <v>43.55</v>
      </c>
      <c r="U10" s="12" t="n">
        <v>40.37</v>
      </c>
      <c r="V10" s="12" t="n">
        <v>82.31</v>
      </c>
      <c r="W10" s="12" t="n">
        <v>38.53</v>
      </c>
      <c r="X10" s="12" t="n">
        <v>39.81</v>
      </c>
      <c r="Y10" s="12" t="n">
        <v>0</v>
      </c>
    </row>
    <row r="11" customFormat="false" ht="15" hidden="false" customHeight="true" outlineLevel="0" collapsed="false">
      <c r="A11" s="12" t="s">
        <v>54</v>
      </c>
      <c r="B11" s="12" t="n">
        <v>1167.19</v>
      </c>
      <c r="C11" s="12" t="n">
        <v>1131.86</v>
      </c>
      <c r="D11" s="12" t="n">
        <v>610.86</v>
      </c>
      <c r="E11" s="12" t="n">
        <v>553.94</v>
      </c>
      <c r="F11" s="12" t="n">
        <v>544.65</v>
      </c>
      <c r="G11" s="12" t="n">
        <v>727.09</v>
      </c>
      <c r="H11" s="12" t="n">
        <v>952.35</v>
      </c>
      <c r="I11" s="12" t="n">
        <v>581.27</v>
      </c>
      <c r="J11" s="12" t="n">
        <v>746.2</v>
      </c>
      <c r="K11" s="12" t="n">
        <v>543.77</v>
      </c>
      <c r="L11" s="12" t="n">
        <v>442.06</v>
      </c>
      <c r="M11" s="12" t="n">
        <v>643.81</v>
      </c>
      <c r="N11" s="12" t="n">
        <v>881.89</v>
      </c>
      <c r="O11" s="12" t="n">
        <v>963.15</v>
      </c>
      <c r="P11" s="12" t="n">
        <v>800.92</v>
      </c>
      <c r="Q11" s="12" t="n">
        <v>588.39</v>
      </c>
      <c r="R11" s="12" t="n">
        <v>478.95</v>
      </c>
      <c r="S11" s="12" t="n">
        <v>812.61</v>
      </c>
      <c r="T11" s="12" t="n">
        <v>783.67</v>
      </c>
      <c r="U11" s="12" t="n">
        <v>595.95</v>
      </c>
      <c r="V11" s="12" t="n">
        <v>634.87</v>
      </c>
      <c r="W11" s="12" t="n">
        <v>433.2</v>
      </c>
      <c r="X11" s="12" t="n">
        <v>544.11</v>
      </c>
      <c r="Y11" s="12" t="n">
        <v>0</v>
      </c>
    </row>
    <row r="12" customFormat="false" ht="15" hidden="false" customHeight="true" outlineLevel="0" collapsed="false">
      <c r="A12" s="12" t="s">
        <v>58</v>
      </c>
      <c r="B12" s="12" t="n">
        <v>128.85</v>
      </c>
      <c r="C12" s="12" t="n">
        <v>119.74</v>
      </c>
      <c r="D12" s="12" t="n">
        <v>120.37</v>
      </c>
      <c r="E12" s="12" t="n">
        <v>126</v>
      </c>
      <c r="F12" s="12" t="n">
        <v>121.75</v>
      </c>
      <c r="G12" s="12" t="n">
        <v>129.12</v>
      </c>
      <c r="H12" s="12" t="n">
        <v>118.2</v>
      </c>
      <c r="I12" s="12" t="n">
        <v>116.61</v>
      </c>
      <c r="J12" s="12" t="n">
        <v>118.21</v>
      </c>
      <c r="K12" s="12" t="n">
        <v>118.11</v>
      </c>
      <c r="L12" s="12" t="n">
        <v>120.31</v>
      </c>
      <c r="M12" s="12" t="n">
        <v>110.46</v>
      </c>
      <c r="N12" s="12" t="n">
        <v>126.3</v>
      </c>
      <c r="O12" s="12" t="n">
        <v>120.84</v>
      </c>
      <c r="P12" s="12" t="n">
        <v>118.41</v>
      </c>
      <c r="Q12" s="12" t="n">
        <v>110.34</v>
      </c>
      <c r="R12" s="12" t="n">
        <v>143.28</v>
      </c>
      <c r="S12" s="12" t="n">
        <v>123.63</v>
      </c>
      <c r="T12" s="12" t="n">
        <v>117.54</v>
      </c>
      <c r="U12" s="12" t="n">
        <v>119.84</v>
      </c>
      <c r="V12" s="12" t="n">
        <v>122.01</v>
      </c>
      <c r="W12" s="12" t="n">
        <v>115.84</v>
      </c>
      <c r="X12" s="12" t="n">
        <v>0</v>
      </c>
      <c r="Y12" s="12" t="n">
        <v>0</v>
      </c>
    </row>
    <row r="13" customFormat="false" ht="15" hidden="false" customHeight="true" outlineLevel="0" collapsed="false">
      <c r="A13" s="12" t="s">
        <v>61</v>
      </c>
      <c r="B13" s="12" t="n">
        <v>1506.8</v>
      </c>
      <c r="C13" s="12" t="n">
        <v>1792.99</v>
      </c>
      <c r="D13" s="12" t="n">
        <v>833.07</v>
      </c>
      <c r="E13" s="12" t="n">
        <v>766.01</v>
      </c>
      <c r="F13" s="12" t="n">
        <v>194.02</v>
      </c>
      <c r="G13" s="12" t="n">
        <v>665.19</v>
      </c>
      <c r="H13" s="12" t="n">
        <v>676.36</v>
      </c>
      <c r="I13" s="12" t="n">
        <v>603.95</v>
      </c>
      <c r="J13" s="12" t="n">
        <v>730.96</v>
      </c>
      <c r="K13" s="12" t="n">
        <v>678.97</v>
      </c>
      <c r="L13" s="12" t="n">
        <v>774.09</v>
      </c>
      <c r="M13" s="12" t="n">
        <v>774.72</v>
      </c>
      <c r="N13" s="12" t="n">
        <v>1594.97</v>
      </c>
      <c r="O13" s="12" t="n">
        <v>1863.52</v>
      </c>
      <c r="P13" s="12" t="n">
        <v>1379.87</v>
      </c>
      <c r="Q13" s="12" t="n">
        <v>902.28</v>
      </c>
      <c r="R13" s="12" t="n">
        <v>243.48</v>
      </c>
      <c r="S13" s="12" t="n">
        <v>790.46</v>
      </c>
      <c r="T13" s="12" t="n">
        <v>762.17</v>
      </c>
      <c r="U13" s="12" t="n">
        <v>615.97</v>
      </c>
      <c r="V13" s="12" t="n">
        <v>542.6</v>
      </c>
      <c r="W13" s="12" t="n">
        <v>641.56</v>
      </c>
      <c r="X13" s="12" t="n">
        <v>747.69</v>
      </c>
      <c r="Y13" s="12" t="n">
        <v>0</v>
      </c>
    </row>
    <row r="14" customFormat="false" ht="15" hidden="false" customHeight="true" outlineLevel="0" collapsed="false">
      <c r="A14" s="12" t="s">
        <v>64</v>
      </c>
      <c r="B14" s="12" t="n">
        <v>693.23</v>
      </c>
      <c r="C14" s="12" t="n">
        <v>552.9</v>
      </c>
      <c r="D14" s="12" t="n">
        <v>433.72</v>
      </c>
      <c r="E14" s="12" t="n">
        <v>362.57</v>
      </c>
      <c r="F14" s="12" t="n">
        <v>340.99</v>
      </c>
      <c r="G14" s="12" t="n">
        <v>389.79</v>
      </c>
      <c r="H14" s="12" t="n">
        <v>446.52</v>
      </c>
      <c r="I14" s="12" t="n">
        <v>418.69</v>
      </c>
      <c r="J14" s="12" t="n">
        <v>387.06</v>
      </c>
      <c r="K14" s="12" t="n">
        <v>287.84</v>
      </c>
      <c r="L14" s="12" t="n">
        <v>309.28</v>
      </c>
      <c r="M14" s="12" t="n">
        <v>360.8</v>
      </c>
      <c r="N14" s="12" t="n">
        <v>523.09</v>
      </c>
      <c r="O14" s="12" t="n">
        <v>475.61</v>
      </c>
      <c r="P14" s="12" t="n">
        <v>414.61</v>
      </c>
      <c r="Q14" s="12" t="n">
        <v>335.53</v>
      </c>
      <c r="R14" s="12" t="n">
        <v>354.84</v>
      </c>
      <c r="S14" s="12" t="n">
        <v>421.51</v>
      </c>
      <c r="T14" s="12" t="n">
        <v>502.41</v>
      </c>
      <c r="U14" s="12" t="n">
        <v>454.39</v>
      </c>
      <c r="V14" s="12" t="n">
        <v>353.18</v>
      </c>
      <c r="W14" s="12" t="n">
        <v>161.47</v>
      </c>
      <c r="X14" s="12" t="n">
        <v>302.84</v>
      </c>
      <c r="Y14" s="12" t="n">
        <v>0</v>
      </c>
    </row>
    <row r="15" customFormat="false" ht="15" hidden="false" customHeight="true" outlineLevel="0" collapsed="false">
      <c r="A15" s="12" t="s">
        <v>67</v>
      </c>
      <c r="B15" s="12" t="n">
        <v>153.99</v>
      </c>
      <c r="C15" s="12" t="n">
        <v>163.34</v>
      </c>
      <c r="D15" s="12" t="n">
        <v>87.39</v>
      </c>
      <c r="E15" s="12" t="n">
        <v>84.32</v>
      </c>
      <c r="F15" s="12" t="n">
        <v>56.29</v>
      </c>
      <c r="G15" s="12" t="n">
        <v>72.5</v>
      </c>
      <c r="H15" s="12" t="n">
        <v>86.78</v>
      </c>
      <c r="I15" s="12" t="n">
        <v>75.95</v>
      </c>
      <c r="J15" s="12" t="n">
        <v>62.51</v>
      </c>
      <c r="K15" s="12" t="n">
        <v>89.8</v>
      </c>
      <c r="L15" s="12" t="n">
        <v>102.08</v>
      </c>
      <c r="M15" s="12" t="n">
        <v>160.63</v>
      </c>
      <c r="N15" s="12" t="n">
        <v>240.96</v>
      </c>
      <c r="O15" s="12" t="n">
        <v>176.31</v>
      </c>
      <c r="P15" s="12" t="n">
        <v>154.65</v>
      </c>
      <c r="Q15" s="12" t="n">
        <v>105.42</v>
      </c>
      <c r="R15" s="12" t="n">
        <v>106.51</v>
      </c>
      <c r="S15" s="12" t="n">
        <v>147.06</v>
      </c>
      <c r="T15" s="12" t="n">
        <v>201.1</v>
      </c>
      <c r="U15" s="12" t="n">
        <v>180.88</v>
      </c>
      <c r="V15" s="12" t="n">
        <v>134.57</v>
      </c>
      <c r="W15" s="12" t="n">
        <v>119.32</v>
      </c>
      <c r="X15" s="12" t="n">
        <v>107.6</v>
      </c>
      <c r="Y15" s="12" t="n">
        <v>0</v>
      </c>
    </row>
    <row r="16" customFormat="false" ht="15" hidden="false" customHeight="true" outlineLevel="0" collapsed="false">
      <c r="A16" s="12" t="s">
        <v>70</v>
      </c>
      <c r="B16" s="12" t="n">
        <v>603.54</v>
      </c>
      <c r="C16" s="12" t="n">
        <v>655.43</v>
      </c>
      <c r="D16" s="12" t="n">
        <v>506.31</v>
      </c>
      <c r="E16" s="12" t="n">
        <v>465.23</v>
      </c>
      <c r="F16" s="12" t="n">
        <v>409.29</v>
      </c>
      <c r="G16" s="12" t="n">
        <v>548.46</v>
      </c>
      <c r="H16" s="12" t="n">
        <v>492.1</v>
      </c>
      <c r="I16" s="12" t="n">
        <v>491.6</v>
      </c>
      <c r="J16" s="12" t="n">
        <v>623.9</v>
      </c>
      <c r="K16" s="12" t="n">
        <v>695.32</v>
      </c>
      <c r="L16" s="12" t="n">
        <v>685.39</v>
      </c>
      <c r="M16" s="12" t="n">
        <v>604.64</v>
      </c>
      <c r="N16" s="12" t="n">
        <v>607.41</v>
      </c>
      <c r="O16" s="12" t="n">
        <v>743.97</v>
      </c>
      <c r="P16" s="12" t="n">
        <v>563.07</v>
      </c>
      <c r="Q16" s="12" t="n">
        <v>543.73</v>
      </c>
      <c r="R16" s="12" t="n">
        <v>537.26</v>
      </c>
      <c r="S16" s="12" t="n">
        <v>451.19</v>
      </c>
      <c r="T16" s="12" t="n">
        <v>441.06</v>
      </c>
      <c r="U16" s="12" t="n">
        <v>574.27</v>
      </c>
      <c r="V16" s="12" t="n">
        <v>531.25</v>
      </c>
      <c r="W16" s="12" t="n">
        <v>552.85</v>
      </c>
      <c r="X16" s="12" t="n">
        <v>562.65</v>
      </c>
      <c r="Y16" s="12" t="n">
        <v>0</v>
      </c>
    </row>
    <row r="17" customFormat="false" ht="15" hidden="false" customHeight="true" outlineLevel="0" collapsed="false">
      <c r="A17" s="12" t="s">
        <v>73</v>
      </c>
      <c r="B17" s="12" t="n">
        <v>151.82</v>
      </c>
      <c r="C17" s="12" t="n">
        <v>199.06</v>
      </c>
      <c r="D17" s="12" t="n">
        <v>183.84</v>
      </c>
      <c r="E17" s="12" t="n">
        <v>178.12</v>
      </c>
      <c r="F17" s="12" t="n">
        <v>184.03</v>
      </c>
      <c r="G17" s="12" t="n">
        <v>163.02</v>
      </c>
      <c r="H17" s="12" t="n">
        <v>136.55</v>
      </c>
      <c r="I17" s="12" t="n">
        <v>104.41</v>
      </c>
      <c r="J17" s="12" t="n">
        <v>98.7</v>
      </c>
      <c r="K17" s="12" t="n">
        <v>40.05</v>
      </c>
      <c r="L17" s="12" t="n">
        <v>67.35</v>
      </c>
      <c r="M17" s="12" t="n">
        <v>65.71</v>
      </c>
      <c r="N17" s="12" t="n">
        <v>361.06</v>
      </c>
      <c r="O17" s="12" t="n">
        <v>201.13</v>
      </c>
      <c r="P17" s="12" t="n">
        <v>85.6</v>
      </c>
      <c r="Q17" s="12" t="n">
        <v>63.93</v>
      </c>
      <c r="R17" s="12" t="n">
        <v>60.72</v>
      </c>
      <c r="S17" s="12" t="n">
        <v>51.57</v>
      </c>
      <c r="T17" s="12" t="n">
        <v>43.55</v>
      </c>
      <c r="U17" s="12" t="n">
        <v>40.37</v>
      </c>
      <c r="V17" s="12" t="n">
        <v>82.31</v>
      </c>
      <c r="W17" s="12" t="n">
        <v>38.53</v>
      </c>
      <c r="X17" s="12" t="n">
        <v>39.81</v>
      </c>
      <c r="Y17" s="12" t="n">
        <v>0</v>
      </c>
    </row>
    <row r="18" customFormat="false" ht="15" hidden="false" customHeight="true" outlineLevel="0" collapsed="false">
      <c r="A18" s="12" t="s">
        <v>74</v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262.87</v>
      </c>
      <c r="G18" s="12" t="n">
        <v>272.44</v>
      </c>
      <c r="H18" s="12" t="n">
        <v>322.45</v>
      </c>
      <c r="I18" s="12" t="n">
        <v>279.82</v>
      </c>
      <c r="J18" s="12" t="n">
        <v>300.62</v>
      </c>
      <c r="K18" s="12" t="n">
        <v>288.22</v>
      </c>
      <c r="L18" s="12" t="n">
        <v>286.46</v>
      </c>
      <c r="M18" s="12" t="n">
        <v>299.16</v>
      </c>
      <c r="N18" s="12" t="n">
        <v>319.89</v>
      </c>
      <c r="O18" s="12" t="n">
        <v>367.14</v>
      </c>
      <c r="P18" s="12" t="n">
        <v>403.18</v>
      </c>
      <c r="Q18" s="12" t="n">
        <v>340.89</v>
      </c>
      <c r="R18" s="12" t="n">
        <v>356.84</v>
      </c>
      <c r="S18" s="12" t="n">
        <v>348.94</v>
      </c>
      <c r="T18" s="12" t="n">
        <v>345.34</v>
      </c>
      <c r="U18" s="12" t="n">
        <v>292.46</v>
      </c>
      <c r="V18" s="12" t="n">
        <v>297.24</v>
      </c>
      <c r="W18" s="12" t="n">
        <v>246.51</v>
      </c>
      <c r="X18" s="12" t="n">
        <v>267.24</v>
      </c>
      <c r="Y18" s="12" t="n">
        <v>0</v>
      </c>
    </row>
    <row r="19" customFormat="false" ht="15" hidden="false" customHeight="true" outlineLevel="0" collapsed="false">
      <c r="A19" s="12" t="s">
        <v>77</v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52.43</v>
      </c>
      <c r="K19" s="12" t="n">
        <v>0</v>
      </c>
      <c r="L19" s="12" t="n">
        <v>138.43</v>
      </c>
      <c r="M19" s="12" t="n">
        <v>311.64</v>
      </c>
      <c r="N19" s="12" t="n">
        <v>556.61</v>
      </c>
      <c r="O19" s="12" t="n">
        <v>757.4</v>
      </c>
      <c r="P19" s="12" t="n">
        <v>410.48</v>
      </c>
      <c r="Q19" s="12" t="n">
        <v>353.17</v>
      </c>
      <c r="R19" s="12" t="n">
        <v>352.08</v>
      </c>
      <c r="S19" s="12" t="n">
        <v>375.43</v>
      </c>
      <c r="T19" s="12" t="n">
        <v>373</v>
      </c>
      <c r="U19" s="12" t="n">
        <v>233.07</v>
      </c>
      <c r="V19" s="12" t="n">
        <v>257.63</v>
      </c>
      <c r="W19" s="12" t="n">
        <v>219.48</v>
      </c>
      <c r="X19" s="12" t="n">
        <v>351.08</v>
      </c>
      <c r="Y19" s="12" t="n">
        <v>0</v>
      </c>
    </row>
    <row r="20" customFormat="false" ht="15" hidden="false" customHeight="true" outlineLevel="0" collapsed="false">
      <c r="A20" s="12" t="s">
        <v>80</v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290.76</v>
      </c>
      <c r="R20" s="12" t="n">
        <v>292.51</v>
      </c>
      <c r="S20" s="12" t="n">
        <v>370.75</v>
      </c>
      <c r="T20" s="12" t="n">
        <v>527.61</v>
      </c>
      <c r="U20" s="12" t="n">
        <v>407.96</v>
      </c>
      <c r="V20" s="12" t="n">
        <v>350.57</v>
      </c>
      <c r="W20" s="12" t="n">
        <v>256.73</v>
      </c>
      <c r="X20" s="12" t="n">
        <v>259.84</v>
      </c>
      <c r="Y20" s="12" t="n">
        <v>0</v>
      </c>
    </row>
    <row r="21" customFormat="false" ht="15" hidden="false" customHeight="true" outlineLevel="0" collapsed="false">
      <c r="A21" s="12" t="s">
        <v>83</v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713.4</v>
      </c>
      <c r="V21" s="12" t="n">
        <v>890.51</v>
      </c>
      <c r="W21" s="12" t="n">
        <v>1016.59</v>
      </c>
      <c r="X21" s="12" t="n">
        <v>1223.71</v>
      </c>
      <c r="Y21" s="12" t="n">
        <v>0</v>
      </c>
    </row>
    <row r="22" customFormat="false" ht="15" hidden="false" customHeight="true" outlineLevel="0" collapsed="false">
      <c r="A22" s="12" t="s">
        <v>86</v>
      </c>
      <c r="B22" s="12" t="n">
        <v>1586.36</v>
      </c>
      <c r="C22" s="12" t="n">
        <v>1774.61</v>
      </c>
      <c r="D22" s="12" t="n">
        <v>1038.58</v>
      </c>
      <c r="E22" s="12" t="n">
        <v>830.95</v>
      </c>
      <c r="F22" s="12" t="n">
        <v>967.97</v>
      </c>
      <c r="G22" s="12" t="n">
        <v>983.43</v>
      </c>
      <c r="H22" s="12" t="n">
        <v>1124.12</v>
      </c>
      <c r="I22" s="12" t="n">
        <v>888.12</v>
      </c>
      <c r="J22" s="12" t="n">
        <v>897.79</v>
      </c>
      <c r="K22" s="12" t="n">
        <v>1150.89</v>
      </c>
      <c r="L22" s="12" t="n">
        <v>1197.48</v>
      </c>
      <c r="M22" s="12" t="n">
        <v>1168.12</v>
      </c>
      <c r="N22" s="12" t="n">
        <v>1373.89</v>
      </c>
      <c r="O22" s="12" t="n">
        <v>1831.06</v>
      </c>
      <c r="P22" s="12" t="n">
        <v>1409.07</v>
      </c>
      <c r="Q22" s="12" t="n">
        <v>987.45</v>
      </c>
      <c r="R22" s="12" t="n">
        <v>669.16</v>
      </c>
      <c r="S22" s="12" t="n">
        <v>663.77</v>
      </c>
      <c r="T22" s="12" t="n">
        <v>576.33</v>
      </c>
      <c r="U22" s="12" t="n">
        <v>938.81</v>
      </c>
      <c r="V22" s="12" t="n">
        <v>734.17</v>
      </c>
      <c r="W22" s="12" t="n">
        <v>1087.64</v>
      </c>
      <c r="X22" s="12" t="n">
        <v>1113.9</v>
      </c>
      <c r="Y22" s="12" t="n">
        <v>0</v>
      </c>
    </row>
    <row r="23" customFormat="false" ht="15" hidden="false" customHeight="true" outlineLevel="0" collapsed="false">
      <c r="A23" s="12" t="s">
        <v>89</v>
      </c>
      <c r="B23" s="12" t="n">
        <v>359</v>
      </c>
      <c r="C23" s="12" t="n">
        <v>684</v>
      </c>
      <c r="D23" s="12" t="n">
        <v>504.63</v>
      </c>
      <c r="E23" s="12" t="n">
        <v>495.2</v>
      </c>
      <c r="F23" s="12" t="n">
        <v>615.4</v>
      </c>
      <c r="G23" s="12" t="n">
        <v>932.48</v>
      </c>
      <c r="H23" s="12" t="n">
        <v>853.3</v>
      </c>
      <c r="I23" s="12" t="n">
        <v>734.18</v>
      </c>
      <c r="J23" s="12" t="n">
        <v>890.6</v>
      </c>
      <c r="K23" s="12" t="n">
        <v>616.77</v>
      </c>
      <c r="L23" s="12" t="n">
        <v>412.22</v>
      </c>
      <c r="M23" s="12" t="n">
        <v>490.79</v>
      </c>
      <c r="N23" s="12" t="n">
        <v>630.26</v>
      </c>
      <c r="O23" s="12" t="n">
        <v>602.2</v>
      </c>
      <c r="P23" s="12" t="n">
        <v>484.8</v>
      </c>
      <c r="Q23" s="12" t="n">
        <v>460.05</v>
      </c>
      <c r="R23" s="12" t="n">
        <v>639.86</v>
      </c>
      <c r="S23" s="12" t="n">
        <v>814.18</v>
      </c>
      <c r="T23" s="12" t="n">
        <v>866.3</v>
      </c>
      <c r="U23" s="12" t="n">
        <v>766.65</v>
      </c>
      <c r="V23" s="12" t="n">
        <v>747.83</v>
      </c>
      <c r="W23" s="12" t="n">
        <v>532.64</v>
      </c>
      <c r="X23" s="12" t="n">
        <v>308.79</v>
      </c>
      <c r="Y23" s="12" t="n">
        <v>0</v>
      </c>
    </row>
    <row r="24" customFormat="false" ht="15" hidden="false" customHeight="true" outlineLevel="0" collapsed="false">
      <c r="A24" s="12" t="s">
        <v>92</v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849.63</v>
      </c>
      <c r="W24" s="12" t="n">
        <v>2476.17</v>
      </c>
      <c r="X24" s="12" t="n">
        <v>2528.89</v>
      </c>
      <c r="Y24" s="12" t="n">
        <v>0</v>
      </c>
    </row>
    <row r="25" customFormat="false" ht="15" hidden="false" customHeight="true" outlineLevel="0" collapsed="false">
      <c r="A25" s="12" t="s">
        <v>95</v>
      </c>
      <c r="B25" s="12" t="n">
        <v>1468.85</v>
      </c>
      <c r="C25" s="12" t="n">
        <v>2411.23</v>
      </c>
      <c r="D25" s="12" t="n">
        <v>1830.72</v>
      </c>
      <c r="E25" s="12" t="n">
        <v>1647.5</v>
      </c>
      <c r="F25" s="12" t="n">
        <v>1116.85</v>
      </c>
      <c r="G25" s="12" t="n">
        <v>299.01</v>
      </c>
      <c r="H25" s="12" t="n">
        <v>279.7</v>
      </c>
      <c r="I25" s="12" t="n">
        <v>556.32</v>
      </c>
      <c r="J25" s="12" t="n">
        <v>1059.32</v>
      </c>
      <c r="K25" s="12" t="n">
        <v>1129.73</v>
      </c>
      <c r="L25" s="12" t="n">
        <v>1346.5</v>
      </c>
      <c r="M25" s="12" t="n">
        <v>1270.52</v>
      </c>
      <c r="N25" s="12" t="n">
        <v>1606.67</v>
      </c>
      <c r="O25" s="12" t="n">
        <v>1821.93</v>
      </c>
      <c r="P25" s="12" t="n">
        <v>1618.31</v>
      </c>
      <c r="Q25" s="12" t="n">
        <v>1377.08</v>
      </c>
      <c r="R25" s="12" t="n">
        <v>1116.96</v>
      </c>
      <c r="S25" s="12" t="n">
        <v>333.7</v>
      </c>
      <c r="T25" s="12" t="n">
        <v>348.77</v>
      </c>
      <c r="U25" s="12" t="n">
        <v>555.02</v>
      </c>
      <c r="V25" s="12" t="n">
        <v>979.12</v>
      </c>
      <c r="W25" s="12" t="n">
        <v>1157.14</v>
      </c>
      <c r="X25" s="12" t="n">
        <v>1221.59</v>
      </c>
      <c r="Y25" s="12" t="n">
        <v>0</v>
      </c>
    </row>
    <row r="26" customFormat="false" ht="15" hidden="false" customHeight="true" outlineLevel="0" collapsed="false">
      <c r="A26" s="12" t="s">
        <v>98</v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913.59</v>
      </c>
      <c r="J26" s="12" t="n">
        <v>934.6</v>
      </c>
      <c r="K26" s="12" t="n">
        <v>820.23</v>
      </c>
      <c r="L26" s="12" t="n">
        <v>902.11</v>
      </c>
      <c r="M26" s="12" t="n">
        <v>800.93</v>
      </c>
      <c r="N26" s="12" t="n">
        <v>979.94</v>
      </c>
      <c r="O26" s="12" t="n">
        <v>942.5</v>
      </c>
      <c r="P26" s="12" t="n">
        <v>836.15</v>
      </c>
      <c r="Q26" s="12" t="n">
        <v>893.99</v>
      </c>
      <c r="R26" s="12" t="n">
        <v>853.1</v>
      </c>
      <c r="S26" s="12" t="n">
        <v>916.2</v>
      </c>
      <c r="T26" s="12" t="n">
        <v>839.02</v>
      </c>
      <c r="U26" s="12" t="n">
        <v>989.25</v>
      </c>
      <c r="V26" s="12" t="n">
        <v>1077.25</v>
      </c>
      <c r="W26" s="12" t="n">
        <v>1061.16</v>
      </c>
      <c r="X26" s="12" t="n">
        <v>1072.87</v>
      </c>
      <c r="Y26" s="12" t="n">
        <v>0</v>
      </c>
    </row>
    <row r="27" customFormat="false" ht="15" hidden="false" customHeight="true" outlineLevel="0" collapsed="false">
      <c r="A27" s="12" t="s">
        <v>101</v>
      </c>
      <c r="B27" s="12" t="n">
        <v>1935</v>
      </c>
      <c r="C27" s="12" t="n">
        <v>3017.05</v>
      </c>
      <c r="D27" s="12" t="n">
        <v>1800.37</v>
      </c>
      <c r="E27" s="12" t="n">
        <v>1926.12</v>
      </c>
      <c r="F27" s="12" t="n">
        <v>2041.87</v>
      </c>
      <c r="G27" s="12" t="n">
        <v>1259.3</v>
      </c>
      <c r="H27" s="12" t="n">
        <v>2058.91</v>
      </c>
      <c r="I27" s="12" t="n">
        <v>1147.24</v>
      </c>
      <c r="J27" s="12" t="n">
        <v>2067.9</v>
      </c>
      <c r="K27" s="12" t="n">
        <v>1486.46</v>
      </c>
      <c r="L27" s="12" t="n">
        <v>1642.22</v>
      </c>
      <c r="M27" s="12" t="n">
        <v>2912.65</v>
      </c>
      <c r="N27" s="12" t="n">
        <v>2992.54</v>
      </c>
      <c r="O27" s="12" t="n">
        <v>3368.21</v>
      </c>
      <c r="P27" s="12" t="n">
        <v>2212.5</v>
      </c>
      <c r="Q27" s="12" t="n">
        <v>1960.19</v>
      </c>
      <c r="R27" s="12" t="n">
        <v>1921.61</v>
      </c>
      <c r="S27" s="12" t="n">
        <v>1263.13</v>
      </c>
      <c r="T27" s="12" t="n">
        <v>1600.1</v>
      </c>
      <c r="U27" s="12" t="n">
        <v>1414.77</v>
      </c>
      <c r="V27" s="12" t="n">
        <v>1990.19</v>
      </c>
      <c r="W27" s="12" t="n">
        <v>1763.94</v>
      </c>
      <c r="X27" s="12" t="n">
        <v>1455.49</v>
      </c>
      <c r="Y27" s="12" t="n">
        <v>0</v>
      </c>
    </row>
    <row r="28" customFormat="false" ht="15" hidden="false" customHeight="true" outlineLevel="0" collapsed="false">
      <c r="A28" s="12" t="s">
        <v>104</v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1197.18</v>
      </c>
      <c r="G28" s="12" t="n">
        <v>1865.97</v>
      </c>
      <c r="H28" s="12" t="n">
        <v>1723.16</v>
      </c>
      <c r="I28" s="12" t="n">
        <v>1570.31</v>
      </c>
      <c r="J28" s="12" t="n">
        <v>1432.73</v>
      </c>
      <c r="K28" s="12" t="n">
        <v>1817.32</v>
      </c>
      <c r="L28" s="12" t="n">
        <v>1955.83</v>
      </c>
      <c r="M28" s="12" t="n">
        <v>2235.47</v>
      </c>
      <c r="N28" s="12" t="n">
        <v>2825.24</v>
      </c>
      <c r="O28" s="12" t="n">
        <v>3443.22</v>
      </c>
      <c r="P28" s="12" t="n">
        <v>3178.08</v>
      </c>
      <c r="Q28" s="12" t="n">
        <v>2134.16</v>
      </c>
      <c r="R28" s="12" t="n">
        <v>1883.16</v>
      </c>
      <c r="S28" s="12" t="n">
        <v>1916.12</v>
      </c>
      <c r="T28" s="12" t="n">
        <v>1372.39</v>
      </c>
      <c r="U28" s="12" t="n">
        <v>2844.42</v>
      </c>
      <c r="V28" s="12" t="n">
        <v>2594.23</v>
      </c>
      <c r="W28" s="12" t="n">
        <v>2436.29</v>
      </c>
      <c r="X28" s="12" t="n">
        <v>2434.85</v>
      </c>
      <c r="Y28" s="1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1484</v>
      </c>
      <c r="B1" s="0" t="s">
        <v>1485</v>
      </c>
      <c r="C1" s="0" t="s">
        <v>1486</v>
      </c>
      <c r="D1" s="0" t="s">
        <v>1487</v>
      </c>
      <c r="E1" s="0" t="s">
        <v>1488</v>
      </c>
      <c r="F1" s="0" t="s">
        <v>1489</v>
      </c>
      <c r="G1" s="0" t="s">
        <v>1490</v>
      </c>
      <c r="H1" s="0" t="s">
        <v>1491</v>
      </c>
      <c r="I1" s="0" t="s">
        <v>1492</v>
      </c>
      <c r="J1" s="0" t="s">
        <v>1493</v>
      </c>
      <c r="K1" s="0" t="s">
        <v>1494</v>
      </c>
      <c r="L1" s="0" t="s">
        <v>1495</v>
      </c>
      <c r="M1" s="0" t="s">
        <v>1496</v>
      </c>
      <c r="N1" s="0" t="s">
        <v>1497</v>
      </c>
      <c r="O1" s="0" t="s">
        <v>1498</v>
      </c>
      <c r="P1" s="0" t="s">
        <v>1499</v>
      </c>
      <c r="Q1" s="0" t="s">
        <v>1500</v>
      </c>
      <c r="R1" s="0" t="s">
        <v>1501</v>
      </c>
      <c r="S1" s="0" t="s">
        <v>1502</v>
      </c>
      <c r="T1" s="0" t="s">
        <v>1503</v>
      </c>
      <c r="U1" s="0" t="s">
        <v>1504</v>
      </c>
      <c r="V1" s="0" t="s">
        <v>1505</v>
      </c>
      <c r="W1" s="0" t="s">
        <v>1506</v>
      </c>
      <c r="X1" s="0" t="s">
        <v>1507</v>
      </c>
      <c r="Y1" s="0" t="s">
        <v>1508</v>
      </c>
    </row>
    <row r="2" customFormat="false" ht="15" hidden="false" customHeight="false" outlineLevel="0" collapsed="false">
      <c r="A2" s="0" t="n">
        <v>8550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67.85</v>
      </c>
      <c r="H2" s="0" t="n">
        <v>291.23</v>
      </c>
      <c r="I2" s="0" t="n">
        <v>212.91</v>
      </c>
      <c r="J2" s="0" t="n">
        <v>183.41</v>
      </c>
      <c r="K2" s="0" t="n">
        <v>146.93</v>
      </c>
      <c r="L2" s="0" t="n">
        <v>240.12</v>
      </c>
      <c r="M2" s="0" t="n">
        <v>360.36</v>
      </c>
      <c r="N2" s="0" t="n">
        <v>489.63</v>
      </c>
      <c r="O2" s="0" t="n">
        <v>103.62</v>
      </c>
      <c r="P2" s="0" t="n">
        <v>664.91</v>
      </c>
      <c r="Q2" s="0" t="n">
        <v>334.22</v>
      </c>
      <c r="R2" s="0" t="n">
        <v>254.97</v>
      </c>
      <c r="S2" s="0" t="n">
        <v>121.53</v>
      </c>
      <c r="T2" s="0" t="n">
        <v>392.65</v>
      </c>
      <c r="U2" s="0" t="n">
        <v>287.51</v>
      </c>
      <c r="V2" s="0" t="n">
        <v>349.44</v>
      </c>
      <c r="W2" s="0" t="n">
        <v>199.21</v>
      </c>
      <c r="X2" s="0" t="n">
        <v>273.87</v>
      </c>
      <c r="Y2" s="0" t="n">
        <v>430.03</v>
      </c>
    </row>
    <row r="3" customFormat="false" ht="15" hidden="false" customHeight="false" outlineLevel="0" collapsed="false">
      <c r="A3" s="0" t="n">
        <v>8551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122.79</v>
      </c>
      <c r="H3" s="0" t="n">
        <v>257.6</v>
      </c>
      <c r="I3" s="0" t="n">
        <v>149.89</v>
      </c>
      <c r="J3" s="0" t="n">
        <v>179.34</v>
      </c>
      <c r="K3" s="0" t="n">
        <v>133.56</v>
      </c>
      <c r="L3" s="0" t="n">
        <v>217.18</v>
      </c>
      <c r="M3" s="0" t="n">
        <v>255.1</v>
      </c>
      <c r="N3" s="0" t="n">
        <v>355.24</v>
      </c>
      <c r="O3" s="0" t="n">
        <v>132.59</v>
      </c>
      <c r="P3" s="0" t="n">
        <v>333.79</v>
      </c>
      <c r="Q3" s="0" t="n">
        <v>306.02</v>
      </c>
      <c r="R3" s="0" t="n">
        <v>209.78</v>
      </c>
      <c r="S3" s="0" t="n">
        <v>189.38</v>
      </c>
      <c r="T3" s="0" t="n">
        <v>339.72</v>
      </c>
      <c r="U3" s="0" t="n">
        <v>188.55</v>
      </c>
      <c r="V3" s="0" t="n">
        <v>237.18</v>
      </c>
      <c r="W3" s="0" t="n">
        <v>186.2</v>
      </c>
      <c r="X3" s="0" t="n">
        <v>276</v>
      </c>
      <c r="Y3" s="0" t="n">
        <v>343.77</v>
      </c>
    </row>
    <row r="4" customFormat="false" ht="15" hidden="false" customHeight="false" outlineLevel="0" collapsed="false">
      <c r="A4" s="0" t="n">
        <v>8552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240.78</v>
      </c>
      <c r="H4" s="0" t="n">
        <v>270.33</v>
      </c>
      <c r="I4" s="0" t="n">
        <v>122.02</v>
      </c>
      <c r="J4" s="0" t="n">
        <v>156.75</v>
      </c>
      <c r="K4" s="0" t="n">
        <v>185.58</v>
      </c>
      <c r="L4" s="0" t="n">
        <v>220.94</v>
      </c>
      <c r="M4" s="0" t="n">
        <v>589.63</v>
      </c>
      <c r="N4" s="0" t="n">
        <v>626.48</v>
      </c>
      <c r="O4" s="0" t="n">
        <v>164.89</v>
      </c>
      <c r="P4" s="0" t="n">
        <v>386.56</v>
      </c>
      <c r="Q4" s="0" t="n">
        <v>382.69</v>
      </c>
      <c r="R4" s="0" t="n">
        <v>261.9</v>
      </c>
      <c r="S4" s="0" t="n">
        <v>330.96</v>
      </c>
      <c r="T4" s="0" t="n">
        <v>371.28</v>
      </c>
      <c r="U4" s="0" t="n">
        <v>169.53</v>
      </c>
      <c r="V4" s="0" t="n">
        <v>214.78</v>
      </c>
      <c r="W4" s="0" t="n">
        <v>271.98</v>
      </c>
      <c r="X4" s="0" t="n">
        <v>271.88</v>
      </c>
      <c r="Y4" s="0" t="n">
        <v>692.94</v>
      </c>
    </row>
    <row r="5" customFormat="false" ht="15" hidden="false" customHeight="false" outlineLevel="0" collapsed="false">
      <c r="A5" s="0" t="n">
        <v>8553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143.34</v>
      </c>
      <c r="H5" s="0" t="n">
        <v>255.18</v>
      </c>
      <c r="I5" s="0" t="n">
        <v>122.89</v>
      </c>
      <c r="J5" s="0" t="n">
        <v>228.55</v>
      </c>
      <c r="K5" s="0" t="n">
        <v>175.12</v>
      </c>
      <c r="L5" s="0" t="n">
        <v>270.51</v>
      </c>
      <c r="M5" s="0" t="n">
        <v>388.07</v>
      </c>
      <c r="N5" s="0" t="n">
        <v>574.82</v>
      </c>
      <c r="O5" s="0" t="n">
        <v>154.53</v>
      </c>
      <c r="P5" s="0" t="n">
        <v>359.42</v>
      </c>
      <c r="Q5" s="0" t="n">
        <v>352.4</v>
      </c>
      <c r="R5" s="0" t="n">
        <v>177.06</v>
      </c>
      <c r="S5" s="0" t="n">
        <v>261.13</v>
      </c>
      <c r="T5" s="0" t="n">
        <v>337.12</v>
      </c>
      <c r="U5" s="0" t="n">
        <v>149.42</v>
      </c>
      <c r="V5" s="0" t="n">
        <v>232.63</v>
      </c>
      <c r="W5" s="0" t="n">
        <v>279.54</v>
      </c>
      <c r="X5" s="0" t="n">
        <v>333.42</v>
      </c>
      <c r="Y5" s="0" t="n">
        <v>462.7</v>
      </c>
    </row>
    <row r="6" customFormat="false" ht="15" hidden="false" customHeight="false" outlineLevel="0" collapsed="false">
      <c r="A6" s="0" t="n">
        <v>8554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181.06</v>
      </c>
      <c r="H6" s="0" t="n">
        <v>235.48</v>
      </c>
      <c r="I6" s="0" t="n">
        <v>115.38</v>
      </c>
      <c r="J6" s="0" t="n">
        <v>164.69</v>
      </c>
      <c r="K6" s="0" t="n">
        <v>208.48</v>
      </c>
      <c r="L6" s="0" t="n">
        <v>620.36</v>
      </c>
      <c r="M6" s="0" t="n">
        <v>776.69</v>
      </c>
      <c r="N6" s="0" t="n">
        <v>910.68</v>
      </c>
      <c r="O6" s="0" t="n">
        <v>276.4</v>
      </c>
      <c r="P6" s="0" t="n">
        <v>777.08</v>
      </c>
      <c r="Q6" s="0" t="n">
        <v>555.31</v>
      </c>
      <c r="R6" s="0" t="n">
        <v>267.98</v>
      </c>
      <c r="S6" s="0" t="n">
        <v>240.42</v>
      </c>
      <c r="T6" s="0" t="n">
        <v>316.78</v>
      </c>
      <c r="U6" s="0" t="n">
        <v>165.48</v>
      </c>
      <c r="V6" s="0" t="n">
        <v>218.11</v>
      </c>
      <c r="W6" s="0" t="n">
        <v>311.55</v>
      </c>
      <c r="X6" s="0" t="n">
        <v>651.31</v>
      </c>
      <c r="Y6" s="0" t="n">
        <v>839.16</v>
      </c>
    </row>
    <row r="7" customFormat="false" ht="15" hidden="false" customHeight="false" outlineLevel="0" collapsed="false">
      <c r="A7" s="0" t="n">
        <v>8555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98.79</v>
      </c>
      <c r="H7" s="0" t="n">
        <v>169.59</v>
      </c>
      <c r="I7" s="0" t="n">
        <v>113.34</v>
      </c>
      <c r="J7" s="0" t="n">
        <v>142.42</v>
      </c>
      <c r="K7" s="0" t="n">
        <v>111.81</v>
      </c>
      <c r="L7" s="0" t="n">
        <v>150.31</v>
      </c>
      <c r="M7" s="0" t="n">
        <v>280.5</v>
      </c>
      <c r="N7" s="0" t="n">
        <v>374.5</v>
      </c>
      <c r="O7" s="0" t="n">
        <v>130.26</v>
      </c>
      <c r="P7" s="0" t="n">
        <v>333.66</v>
      </c>
      <c r="Q7" s="0" t="n">
        <v>240.63</v>
      </c>
      <c r="R7" s="0" t="n">
        <v>117.47</v>
      </c>
      <c r="S7" s="0" t="n">
        <v>166.39</v>
      </c>
      <c r="T7" s="0" t="n">
        <v>229.98</v>
      </c>
      <c r="U7" s="0" t="n">
        <v>152.99</v>
      </c>
      <c r="V7" s="0" t="n">
        <v>196.1</v>
      </c>
      <c r="W7" s="0" t="n">
        <v>164.11</v>
      </c>
      <c r="X7" s="0" t="n">
        <v>189.25</v>
      </c>
      <c r="Y7" s="0" t="n">
        <v>351.03</v>
      </c>
    </row>
    <row r="8" customFormat="false" ht="15" hidden="false" customHeight="false" outlineLevel="0" collapsed="false">
      <c r="A8" s="0" t="n">
        <v>8556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170.28</v>
      </c>
      <c r="H8" s="0" t="n">
        <v>258.52</v>
      </c>
      <c r="I8" s="0" t="n">
        <v>181.42</v>
      </c>
      <c r="J8" s="0" t="n">
        <v>255.74</v>
      </c>
      <c r="K8" s="0" t="n">
        <v>242.83</v>
      </c>
      <c r="L8" s="0" t="n">
        <v>303.68</v>
      </c>
      <c r="M8" s="0" t="n">
        <v>367.91</v>
      </c>
      <c r="N8" s="0" t="n">
        <v>611.02</v>
      </c>
      <c r="O8" s="0" t="n">
        <v>163.33</v>
      </c>
      <c r="P8" s="0" t="n">
        <v>392.33</v>
      </c>
      <c r="Q8" s="0" t="n">
        <v>376.51</v>
      </c>
      <c r="R8" s="0" t="n">
        <v>126.21</v>
      </c>
      <c r="S8" s="0" t="n">
        <v>230.73</v>
      </c>
      <c r="T8" s="0" t="n">
        <v>340.4</v>
      </c>
      <c r="U8" s="0" t="n">
        <v>259.71</v>
      </c>
      <c r="V8" s="0" t="n">
        <v>311.91</v>
      </c>
      <c r="W8" s="0" t="n">
        <v>314.39</v>
      </c>
      <c r="X8" s="0" t="n">
        <v>371.77</v>
      </c>
      <c r="Y8" s="0" t="n">
        <v>505.17</v>
      </c>
    </row>
    <row r="9" customFormat="false" ht="15" hidden="false" customHeight="false" outlineLevel="0" collapsed="false">
      <c r="A9" s="0" t="n">
        <v>8557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193.05</v>
      </c>
      <c r="H9" s="0" t="n">
        <v>309.11</v>
      </c>
      <c r="I9" s="0" t="n">
        <v>197.99</v>
      </c>
      <c r="J9" s="0" t="n">
        <v>256.8</v>
      </c>
      <c r="K9" s="0" t="n">
        <v>114.01</v>
      </c>
      <c r="L9" s="0" t="n">
        <v>245.88</v>
      </c>
      <c r="M9" s="0" t="n">
        <v>405.6</v>
      </c>
      <c r="N9" s="0" t="n">
        <v>510.83</v>
      </c>
      <c r="O9" s="0" t="n">
        <v>181.08</v>
      </c>
      <c r="P9" s="0" t="n">
        <v>334.97</v>
      </c>
      <c r="Q9" s="0" t="n">
        <v>263.34</v>
      </c>
      <c r="R9" s="0" t="n">
        <v>146.93</v>
      </c>
      <c r="S9" s="0" t="n">
        <v>251.21</v>
      </c>
      <c r="T9" s="0" t="n">
        <v>411.51</v>
      </c>
      <c r="U9" s="0" t="n">
        <v>292.86</v>
      </c>
      <c r="V9" s="0" t="n">
        <v>309.03</v>
      </c>
      <c r="W9" s="0" t="n">
        <v>166.4</v>
      </c>
      <c r="X9" s="0" t="n">
        <v>321.26</v>
      </c>
      <c r="Y9" s="0" t="n">
        <v>473.59</v>
      </c>
    </row>
    <row r="10" customFormat="false" ht="15" hidden="false" customHeight="false" outlineLevel="0" collapsed="false">
      <c r="A10" s="0" t="n">
        <v>8558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131.4</v>
      </c>
      <c r="H10" s="0" t="n">
        <v>332.79</v>
      </c>
      <c r="I10" s="0" t="n">
        <v>154.85</v>
      </c>
      <c r="J10" s="0" t="n">
        <v>172.58</v>
      </c>
      <c r="K10" s="0" t="n">
        <v>151.87</v>
      </c>
      <c r="L10" s="0" t="n">
        <v>305.89</v>
      </c>
      <c r="M10" s="0" t="n">
        <v>454</v>
      </c>
      <c r="N10" s="0" t="n">
        <v>499.25</v>
      </c>
      <c r="O10" s="0" t="n">
        <v>117.75</v>
      </c>
      <c r="P10" s="0" t="n">
        <v>483.02</v>
      </c>
      <c r="Q10" s="0" t="n">
        <v>456.69</v>
      </c>
      <c r="R10" s="0" t="n">
        <v>281.62</v>
      </c>
      <c r="S10" s="0" t="n">
        <v>195.74</v>
      </c>
      <c r="T10" s="0" t="n">
        <v>435.76</v>
      </c>
      <c r="U10" s="0" t="n">
        <v>244.72</v>
      </c>
      <c r="V10" s="0" t="n">
        <v>225.93</v>
      </c>
      <c r="W10" s="0" t="n">
        <v>215.79</v>
      </c>
      <c r="X10" s="0" t="n">
        <v>358.91</v>
      </c>
      <c r="Y10" s="0" t="n">
        <v>525.02</v>
      </c>
    </row>
    <row r="11" customFormat="false" ht="15" hidden="false" customHeight="false" outlineLevel="0" collapsed="false">
      <c r="A11" s="0" t="n">
        <v>8559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85.02</v>
      </c>
      <c r="H11" s="0" t="n">
        <v>92.48</v>
      </c>
      <c r="I11" s="0" t="n">
        <v>67.3</v>
      </c>
      <c r="J11" s="0" t="n">
        <v>63.22</v>
      </c>
      <c r="K11" s="0" t="n">
        <v>67.94</v>
      </c>
      <c r="L11" s="0" t="n">
        <v>131.71</v>
      </c>
      <c r="M11" s="0" t="n">
        <v>173.41</v>
      </c>
      <c r="N11" s="0" t="n">
        <v>247.92</v>
      </c>
      <c r="O11" s="0" t="n">
        <v>108.06</v>
      </c>
      <c r="P11" s="0" t="n">
        <v>101.19</v>
      </c>
      <c r="Q11" s="0" t="n">
        <v>77.36</v>
      </c>
      <c r="R11" s="0" t="n">
        <v>93.5</v>
      </c>
      <c r="S11" s="0" t="n">
        <v>135.59</v>
      </c>
      <c r="T11" s="0" t="n">
        <v>150.61</v>
      </c>
      <c r="U11" s="0" t="n">
        <v>101.26</v>
      </c>
      <c r="V11" s="0" t="n">
        <v>83.58</v>
      </c>
      <c r="W11" s="0" t="n">
        <v>92.95</v>
      </c>
      <c r="X11" s="0" t="n">
        <v>164.49</v>
      </c>
      <c r="Y11" s="0" t="n">
        <v>244.04</v>
      </c>
    </row>
    <row r="12" customFormat="false" ht="15" hidden="false" customHeight="false" outlineLevel="0" collapsed="false">
      <c r="A12" s="0" t="n">
        <v>8560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51.19</v>
      </c>
      <c r="H12" s="0" t="n">
        <v>153.54</v>
      </c>
      <c r="I12" s="0" t="n">
        <v>125.01</v>
      </c>
      <c r="J12" s="0" t="n">
        <v>130.52</v>
      </c>
      <c r="K12" s="0" t="n">
        <v>91.61</v>
      </c>
      <c r="L12" s="0" t="n">
        <v>150.09</v>
      </c>
      <c r="M12" s="0" t="n">
        <v>209.74</v>
      </c>
      <c r="N12" s="0" t="n">
        <v>185.37</v>
      </c>
      <c r="O12" s="0" t="n">
        <v>131.51</v>
      </c>
      <c r="P12" s="0" t="n">
        <v>105.59</v>
      </c>
      <c r="Q12" s="0" t="n">
        <v>72.64</v>
      </c>
      <c r="R12" s="0" t="n">
        <v>89.99</v>
      </c>
      <c r="S12" s="0" t="n">
        <v>123.52</v>
      </c>
      <c r="T12" s="0" t="n">
        <v>213.59</v>
      </c>
      <c r="U12" s="0" t="n">
        <v>175.89</v>
      </c>
      <c r="V12" s="0" t="n">
        <v>185.75</v>
      </c>
      <c r="W12" s="0" t="n">
        <v>115.98</v>
      </c>
      <c r="X12" s="0" t="n">
        <v>187.53</v>
      </c>
      <c r="Y12" s="0" t="n">
        <v>400.32</v>
      </c>
    </row>
    <row r="13" customFormat="false" ht="15" hidden="false" customHeight="false" outlineLevel="0" collapsed="false">
      <c r="A13" s="0" t="n">
        <v>8561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114.46</v>
      </c>
      <c r="H13" s="0" t="n">
        <v>156.2</v>
      </c>
      <c r="I13" s="0" t="n">
        <v>110.71</v>
      </c>
      <c r="J13" s="0" t="n">
        <v>260.77</v>
      </c>
      <c r="K13" s="0" t="n">
        <v>179.33</v>
      </c>
      <c r="L13" s="0" t="n">
        <v>224.35</v>
      </c>
      <c r="M13" s="0" t="n">
        <v>412.73</v>
      </c>
      <c r="N13" s="0" t="n">
        <v>606.87</v>
      </c>
      <c r="O13" s="0" t="n">
        <v>152.73</v>
      </c>
      <c r="P13" s="0" t="n">
        <v>491.2</v>
      </c>
      <c r="Q13" s="0" t="n">
        <v>404.96</v>
      </c>
      <c r="R13" s="0" t="n">
        <v>240.01</v>
      </c>
      <c r="S13" s="0" t="n">
        <v>180.49</v>
      </c>
      <c r="T13" s="0" t="n">
        <v>212.19</v>
      </c>
      <c r="U13" s="0" t="n">
        <v>175.43</v>
      </c>
      <c r="V13" s="0" t="n">
        <v>339.01</v>
      </c>
      <c r="W13" s="0" t="n">
        <v>251.07</v>
      </c>
      <c r="X13" s="0" t="n">
        <v>287</v>
      </c>
      <c r="Y13" s="0" t="n">
        <v>499.04</v>
      </c>
    </row>
    <row r="14" customFormat="false" ht="15" hidden="false" customHeight="false" outlineLevel="0" collapsed="false">
      <c r="A14" s="0" t="n">
        <v>8562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74.36</v>
      </c>
      <c r="H14" s="0" t="n">
        <v>212.65</v>
      </c>
      <c r="I14" s="0" t="n">
        <v>196.15</v>
      </c>
      <c r="J14" s="0" t="n">
        <v>271.38</v>
      </c>
      <c r="K14" s="0" t="n">
        <v>232.4</v>
      </c>
      <c r="L14" s="0" t="n">
        <v>267.24</v>
      </c>
      <c r="M14" s="0" t="n">
        <v>355.82</v>
      </c>
      <c r="N14" s="0" t="n">
        <v>442.68</v>
      </c>
      <c r="O14" s="0" t="n">
        <v>117.14</v>
      </c>
      <c r="P14" s="0" t="n">
        <v>501.52</v>
      </c>
      <c r="Q14" s="0" t="n">
        <v>378.61</v>
      </c>
      <c r="R14" s="0" t="n">
        <v>286.56</v>
      </c>
      <c r="S14" s="0" t="n">
        <v>128.8</v>
      </c>
      <c r="T14" s="0" t="n">
        <v>271.26</v>
      </c>
      <c r="U14" s="0" t="n">
        <v>269.14</v>
      </c>
      <c r="V14" s="0" t="n">
        <v>401.39</v>
      </c>
      <c r="W14" s="0" t="n">
        <v>298.92</v>
      </c>
      <c r="X14" s="0" t="n">
        <v>330.2</v>
      </c>
      <c r="Y14" s="0" t="n">
        <v>399.6</v>
      </c>
    </row>
    <row r="15" customFormat="false" ht="15" hidden="false" customHeight="false" outlineLevel="0" collapsed="false">
      <c r="A15" s="0" t="n">
        <v>8563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80.49</v>
      </c>
      <c r="H15" s="0" t="n">
        <v>305.09</v>
      </c>
      <c r="I15" s="0" t="n">
        <v>247.72</v>
      </c>
      <c r="J15" s="0" t="n">
        <v>457.79</v>
      </c>
      <c r="K15" s="0" t="n">
        <v>280.07</v>
      </c>
      <c r="L15" s="0" t="n">
        <v>373.47</v>
      </c>
      <c r="M15" s="0" t="n">
        <v>467.85</v>
      </c>
      <c r="N15" s="0" t="n">
        <v>609.1</v>
      </c>
      <c r="O15" s="0" t="n">
        <v>125.46</v>
      </c>
      <c r="P15" s="0" t="n">
        <v>424.54</v>
      </c>
      <c r="Q15" s="0" t="n">
        <v>524.58</v>
      </c>
      <c r="R15" s="0" t="n">
        <v>411.31</v>
      </c>
      <c r="S15" s="0" t="n">
        <v>134.32</v>
      </c>
      <c r="T15" s="0" t="n">
        <v>403.13</v>
      </c>
      <c r="U15" s="0" t="n">
        <v>345.53</v>
      </c>
      <c r="V15" s="0" t="n">
        <v>523.95</v>
      </c>
      <c r="W15" s="0" t="n">
        <v>345.87</v>
      </c>
      <c r="X15" s="0" t="n">
        <v>442.35</v>
      </c>
      <c r="Y15" s="0" t="n">
        <v>522.52</v>
      </c>
    </row>
    <row r="16" customFormat="false" ht="15" hidden="false" customHeight="false" outlineLevel="0" collapsed="false">
      <c r="A16" s="0" t="n">
        <v>8568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197.21</v>
      </c>
      <c r="H16" s="0" t="n">
        <v>107.96</v>
      </c>
      <c r="I16" s="0" t="n">
        <v>57.75</v>
      </c>
      <c r="J16" s="0" t="n">
        <v>57.76</v>
      </c>
      <c r="K16" s="0" t="n">
        <v>156.48</v>
      </c>
      <c r="L16" s="0" t="n">
        <v>109.34</v>
      </c>
      <c r="M16" s="0" t="n">
        <v>81.96</v>
      </c>
      <c r="N16" s="0" t="n">
        <v>104.55</v>
      </c>
      <c r="O16" s="0" t="n">
        <v>64.71</v>
      </c>
      <c r="P16" s="0" t="n">
        <v>144.05</v>
      </c>
      <c r="Q16" s="0" t="n">
        <v>114.68</v>
      </c>
      <c r="R16" s="0" t="n">
        <v>57.95</v>
      </c>
      <c r="S16" s="0" t="n">
        <v>155.67</v>
      </c>
      <c r="T16" s="0" t="n">
        <v>95.69</v>
      </c>
      <c r="U16" s="0" t="n">
        <v>73.01</v>
      </c>
      <c r="V16" s="0" t="n">
        <v>131.64</v>
      </c>
      <c r="W16" s="0" t="n">
        <v>214.16</v>
      </c>
      <c r="X16" s="0" t="n">
        <v>0</v>
      </c>
      <c r="Y16" s="0" t="n">
        <v>0</v>
      </c>
    </row>
    <row r="17" customFormat="false" ht="15" hidden="false" customHeight="false" outlineLevel="0" collapsed="false">
      <c r="A17" s="0" t="n">
        <v>8569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242.74</v>
      </c>
      <c r="H17" s="0" t="n">
        <v>219.19</v>
      </c>
      <c r="I17" s="0" t="n">
        <v>209.34</v>
      </c>
      <c r="J17" s="0" t="n">
        <v>210.33</v>
      </c>
      <c r="K17" s="0" t="n">
        <v>189.9</v>
      </c>
      <c r="L17" s="0" t="n">
        <v>190.38</v>
      </c>
      <c r="M17" s="0" t="n">
        <v>193.93</v>
      </c>
      <c r="N17" s="0" t="n">
        <v>203.58</v>
      </c>
      <c r="O17" s="0" t="n">
        <v>205.73</v>
      </c>
      <c r="P17" s="0" t="n">
        <v>206.28</v>
      </c>
      <c r="Q17" s="0" t="n">
        <v>209.82</v>
      </c>
      <c r="R17" s="0" t="n">
        <v>233.02</v>
      </c>
      <c r="S17" s="0" t="n">
        <v>237.28</v>
      </c>
      <c r="T17" s="0" t="n">
        <v>266.33</v>
      </c>
      <c r="U17" s="0" t="n">
        <v>225.34</v>
      </c>
      <c r="V17" s="0" t="n">
        <v>236</v>
      </c>
      <c r="W17" s="0" t="n">
        <v>204.34</v>
      </c>
      <c r="X17" s="0" t="n">
        <v>0</v>
      </c>
      <c r="Y17" s="0" t="n">
        <v>0</v>
      </c>
    </row>
    <row r="18" customFormat="false" ht="15" hidden="false" customHeight="false" outlineLevel="0" collapsed="false">
      <c r="A18" s="0" t="n">
        <v>8570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237.82</v>
      </c>
      <c r="J18" s="0" t="n">
        <v>194.8</v>
      </c>
      <c r="K18" s="0" t="n">
        <v>152.7</v>
      </c>
      <c r="L18" s="0" t="n">
        <v>84.08</v>
      </c>
      <c r="M18" s="0" t="n">
        <v>156.38</v>
      </c>
      <c r="N18" s="0" t="n">
        <v>191.84</v>
      </c>
      <c r="O18" s="0" t="n">
        <v>247.16</v>
      </c>
      <c r="P18" s="0" t="n">
        <v>137.84</v>
      </c>
      <c r="Q18" s="0" t="n">
        <v>112.15</v>
      </c>
      <c r="R18" s="0" t="n">
        <v>186.88</v>
      </c>
      <c r="S18" s="0" t="n">
        <v>247.21</v>
      </c>
      <c r="T18" s="0" t="n">
        <v>287.01</v>
      </c>
      <c r="U18" s="0" t="n">
        <v>230.81</v>
      </c>
      <c r="V18" s="0" t="n">
        <v>276.44</v>
      </c>
      <c r="W18" s="0" t="n">
        <v>139.84</v>
      </c>
      <c r="X18" s="0" t="n">
        <v>0</v>
      </c>
      <c r="Y18" s="0" t="n">
        <v>0</v>
      </c>
    </row>
    <row r="19" customFormat="false" ht="15" hidden="false" customHeight="false" outlineLevel="0" collapsed="false">
      <c r="A19" s="0" t="n">
        <v>8571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48.8</v>
      </c>
      <c r="H19" s="0" t="n">
        <v>87.84</v>
      </c>
      <c r="I19" s="0" t="n">
        <v>47.65</v>
      </c>
      <c r="J19" s="0" t="n">
        <v>56.89</v>
      </c>
      <c r="K19" s="0" t="n">
        <v>54.07</v>
      </c>
      <c r="L19" s="0" t="n">
        <v>53.92</v>
      </c>
      <c r="M19" s="0" t="n">
        <v>76.54</v>
      </c>
      <c r="N19" s="0" t="n">
        <v>42.09</v>
      </c>
      <c r="O19" s="0" t="n">
        <v>39.38</v>
      </c>
      <c r="P19" s="0" t="n">
        <v>74.06</v>
      </c>
      <c r="Q19" s="0" t="n">
        <v>82.16</v>
      </c>
      <c r="R19" s="0" t="n">
        <v>50.76</v>
      </c>
      <c r="S19" s="0" t="n">
        <v>68.32</v>
      </c>
      <c r="T19" s="0" t="n">
        <v>74.95</v>
      </c>
      <c r="U19" s="0" t="n">
        <v>74.28</v>
      </c>
      <c r="V19" s="0" t="n">
        <v>67.62</v>
      </c>
      <c r="W19" s="0" t="n">
        <v>68.56</v>
      </c>
      <c r="X19" s="0" t="n">
        <v>0</v>
      </c>
      <c r="Y19" s="0" t="n">
        <v>0</v>
      </c>
    </row>
    <row r="20" customFormat="false" ht="15" hidden="false" customHeight="false" outlineLevel="0" collapsed="false">
      <c r="A20" s="0" t="n">
        <v>8572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142.7</v>
      </c>
      <c r="H20" s="0" t="n">
        <v>158.03</v>
      </c>
      <c r="I20" s="0" t="n">
        <v>104.93</v>
      </c>
      <c r="J20" s="0" t="n">
        <v>109.06</v>
      </c>
      <c r="K20" s="0" t="n">
        <v>62.3</v>
      </c>
      <c r="L20" s="0" t="n">
        <v>62.29</v>
      </c>
      <c r="M20" s="0" t="n">
        <v>157.8</v>
      </c>
      <c r="N20" s="0" t="n">
        <v>198.54</v>
      </c>
      <c r="O20" s="0" t="n">
        <v>134.89</v>
      </c>
      <c r="P20" s="0" t="n">
        <v>110.65</v>
      </c>
      <c r="Q20" s="0" t="n">
        <v>105.97</v>
      </c>
      <c r="R20" s="0" t="n">
        <v>117.91</v>
      </c>
      <c r="S20" s="0" t="n">
        <v>123.7</v>
      </c>
      <c r="T20" s="0" t="n">
        <v>98.87</v>
      </c>
      <c r="U20" s="0" t="n">
        <v>105.2</v>
      </c>
      <c r="V20" s="0" t="n">
        <v>90.93</v>
      </c>
      <c r="W20" s="0" t="n">
        <v>57.95</v>
      </c>
      <c r="X20" s="0" t="n">
        <v>0</v>
      </c>
      <c r="Y20" s="0" t="n">
        <v>0</v>
      </c>
    </row>
    <row r="21" customFormat="false" ht="15" hidden="false" customHeight="false" outlineLevel="0" collapsed="false">
      <c r="A21" s="0" t="n">
        <v>8573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47.1</v>
      </c>
      <c r="H21" s="0" t="n">
        <v>102.36</v>
      </c>
      <c r="I21" s="0" t="n">
        <v>78.98</v>
      </c>
      <c r="J21" s="0" t="n">
        <v>99.58</v>
      </c>
      <c r="K21" s="0" t="n">
        <v>74.5</v>
      </c>
      <c r="L21" s="0" t="n">
        <v>68.43</v>
      </c>
      <c r="M21" s="0" t="n">
        <v>74.5</v>
      </c>
      <c r="N21" s="0" t="n">
        <v>105.08</v>
      </c>
      <c r="O21" s="0" t="n">
        <v>138.22</v>
      </c>
      <c r="P21" s="0" t="n">
        <v>106.65</v>
      </c>
      <c r="Q21" s="0" t="n">
        <v>83.05</v>
      </c>
      <c r="R21" s="0" t="n">
        <v>64.55</v>
      </c>
      <c r="S21" s="0" t="n">
        <v>76.49</v>
      </c>
      <c r="T21" s="0" t="n">
        <v>91.62</v>
      </c>
      <c r="U21" s="0" t="n">
        <v>58.77</v>
      </c>
      <c r="V21" s="0" t="n">
        <v>58.18</v>
      </c>
      <c r="W21" s="0" t="n">
        <v>55.48</v>
      </c>
      <c r="X21" s="0" t="n">
        <v>0</v>
      </c>
      <c r="Y21" s="0" t="n">
        <v>0</v>
      </c>
    </row>
    <row r="22" customFormat="false" ht="15" hidden="false" customHeight="false" outlineLevel="0" collapsed="false">
      <c r="A22" s="0" t="n">
        <v>8574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62.66</v>
      </c>
      <c r="V22" s="0" t="n">
        <v>52.63</v>
      </c>
      <c r="W22" s="0" t="n">
        <v>53.78</v>
      </c>
      <c r="X22" s="0" t="n">
        <v>0</v>
      </c>
      <c r="Y22" s="0" t="n">
        <v>0</v>
      </c>
    </row>
    <row r="23" customFormat="false" ht="15" hidden="false" customHeight="false" outlineLevel="0" collapsed="false">
      <c r="A23" s="0" t="n">
        <v>8575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40.13</v>
      </c>
      <c r="H23" s="0" t="n">
        <v>113.72</v>
      </c>
      <c r="I23" s="0" t="n">
        <v>75.18</v>
      </c>
      <c r="J23" s="0" t="n">
        <v>54.02</v>
      </c>
      <c r="K23" s="0" t="n">
        <v>53.3</v>
      </c>
      <c r="L23" s="0" t="n">
        <v>53.49</v>
      </c>
      <c r="M23" s="0" t="n">
        <v>66.13</v>
      </c>
      <c r="N23" s="0" t="n">
        <v>53.49</v>
      </c>
      <c r="O23" s="0" t="n">
        <v>53.49</v>
      </c>
      <c r="P23" s="0" t="n">
        <v>53.49</v>
      </c>
      <c r="Q23" s="0" t="n">
        <v>59.64</v>
      </c>
      <c r="R23" s="0" t="n">
        <v>53.49</v>
      </c>
      <c r="S23" s="0" t="n">
        <v>53.49</v>
      </c>
      <c r="T23" s="0" t="n">
        <v>53.49</v>
      </c>
      <c r="U23" s="0" t="n">
        <v>84.44</v>
      </c>
      <c r="V23" s="0" t="n">
        <v>86.3</v>
      </c>
      <c r="W23" s="0" t="n">
        <v>53.49</v>
      </c>
      <c r="X23" s="0" t="n">
        <v>0</v>
      </c>
      <c r="Y23" s="0" t="n">
        <v>0</v>
      </c>
    </row>
    <row r="24" customFormat="false" ht="15" hidden="false" customHeight="false" outlineLevel="0" collapsed="false">
      <c r="A24" s="0" t="n">
        <v>8579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4.17</v>
      </c>
      <c r="H24" s="0" t="n">
        <v>38.81</v>
      </c>
      <c r="I24" s="0" t="n">
        <v>29.88</v>
      </c>
      <c r="J24" s="0" t="n">
        <v>29.89</v>
      </c>
      <c r="K24" s="0" t="n">
        <v>29.89</v>
      </c>
      <c r="L24" s="0" t="n">
        <v>30.08</v>
      </c>
      <c r="M24" s="0" t="n">
        <v>30.08</v>
      </c>
      <c r="N24" s="0" t="n">
        <v>30.08</v>
      </c>
      <c r="O24" s="0" t="n">
        <v>41.58</v>
      </c>
      <c r="P24" s="0" t="n">
        <v>32.89</v>
      </c>
      <c r="Q24" s="0" t="n">
        <v>35.43</v>
      </c>
      <c r="R24" s="0" t="n">
        <v>30.08</v>
      </c>
      <c r="S24" s="0" t="n">
        <v>59.76</v>
      </c>
      <c r="T24" s="0" t="n">
        <v>45.3</v>
      </c>
      <c r="U24" s="0" t="n">
        <v>30.07</v>
      </c>
      <c r="V24" s="0" t="n">
        <v>30.27</v>
      </c>
      <c r="W24" s="0" t="n">
        <v>30.08</v>
      </c>
      <c r="X24" s="0" t="n">
        <v>0</v>
      </c>
      <c r="Y24" s="0" t="n">
        <v>0</v>
      </c>
    </row>
    <row r="25" customFormat="false" ht="15" hidden="false" customHeight="false" outlineLevel="0" collapsed="false">
      <c r="A25" s="0" t="n">
        <v>8580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57.56</v>
      </c>
      <c r="H25" s="0" t="n">
        <v>84.21</v>
      </c>
      <c r="I25" s="0" t="n">
        <v>44.54</v>
      </c>
      <c r="J25" s="0" t="n">
        <v>79.6</v>
      </c>
      <c r="K25" s="0" t="n">
        <v>44.55</v>
      </c>
      <c r="L25" s="0" t="n">
        <v>44.74</v>
      </c>
      <c r="M25" s="0" t="n">
        <v>50.05</v>
      </c>
      <c r="N25" s="0" t="n">
        <v>68.03</v>
      </c>
      <c r="O25" s="0" t="n">
        <v>100.62</v>
      </c>
      <c r="P25" s="0" t="n">
        <v>68.28</v>
      </c>
      <c r="Q25" s="0" t="n">
        <v>74.86</v>
      </c>
      <c r="R25" s="0" t="n">
        <v>98.21</v>
      </c>
      <c r="S25" s="0" t="n">
        <v>185.93</v>
      </c>
      <c r="T25" s="0" t="n">
        <v>227.02</v>
      </c>
      <c r="U25" s="0" t="n">
        <v>130.45</v>
      </c>
      <c r="V25" s="0" t="n">
        <v>129.43</v>
      </c>
      <c r="W25" s="0" t="n">
        <v>68.32</v>
      </c>
      <c r="X25" s="0" t="n">
        <v>0</v>
      </c>
      <c r="Y25" s="0" t="n">
        <v>0</v>
      </c>
    </row>
    <row r="26" customFormat="false" ht="15" hidden="false" customHeight="false" outlineLevel="0" collapsed="false">
      <c r="A26" s="0" t="n">
        <v>8581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184.43</v>
      </c>
      <c r="H26" s="0" t="n">
        <v>228.2</v>
      </c>
      <c r="I26" s="0" t="n">
        <v>253.06</v>
      </c>
      <c r="J26" s="0" t="n">
        <v>162.55</v>
      </c>
      <c r="K26" s="0" t="n">
        <v>99.76</v>
      </c>
      <c r="L26" s="0" t="n">
        <v>93.71</v>
      </c>
      <c r="M26" s="0" t="n">
        <v>151.01</v>
      </c>
      <c r="N26" s="0" t="n">
        <v>123.8</v>
      </c>
      <c r="O26" s="0" t="n">
        <v>89.88</v>
      </c>
      <c r="P26" s="0" t="n">
        <v>110.76</v>
      </c>
      <c r="Q26" s="0" t="n">
        <v>115.59</v>
      </c>
      <c r="R26" s="0" t="n">
        <v>181.22</v>
      </c>
      <c r="S26" s="0" t="n">
        <v>196.25</v>
      </c>
      <c r="T26" s="0" t="n">
        <v>0</v>
      </c>
      <c r="U26" s="0" t="n">
        <v>123.89</v>
      </c>
      <c r="V26" s="0" t="n">
        <v>110.69</v>
      </c>
      <c r="W26" s="0" t="n">
        <v>82.16</v>
      </c>
      <c r="X26" s="0" t="n">
        <v>0</v>
      </c>
      <c r="Y26" s="0" t="n">
        <v>0</v>
      </c>
    </row>
    <row r="27" customFormat="false" ht="15" hidden="false" customHeight="false" outlineLevel="0" collapsed="false">
      <c r="A27" s="0" t="n">
        <v>8584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290.71</v>
      </c>
      <c r="H27" s="0" t="n">
        <v>324.28</v>
      </c>
      <c r="I27" s="0" t="n">
        <v>271.18</v>
      </c>
      <c r="J27" s="0" t="n">
        <v>294.1</v>
      </c>
      <c r="K27" s="0" t="n">
        <v>305.38</v>
      </c>
      <c r="L27" s="0" t="n">
        <v>240.86</v>
      </c>
      <c r="M27" s="0" t="n">
        <v>379.37</v>
      </c>
      <c r="N27" s="0" t="n">
        <v>463.88</v>
      </c>
      <c r="O27" s="0" t="n">
        <v>533.81</v>
      </c>
      <c r="P27" s="0" t="n">
        <v>372.47</v>
      </c>
      <c r="Q27" s="0" t="n">
        <v>384.38</v>
      </c>
      <c r="R27" s="0" t="n">
        <v>309.32</v>
      </c>
      <c r="S27" s="0" t="n">
        <v>368.67</v>
      </c>
      <c r="T27" s="0" t="n">
        <v>343.52</v>
      </c>
      <c r="U27" s="0" t="n">
        <v>280.31</v>
      </c>
      <c r="V27" s="0" t="n">
        <v>335.76</v>
      </c>
      <c r="W27" s="0" t="n">
        <v>67.21</v>
      </c>
      <c r="X27" s="0" t="n">
        <v>0</v>
      </c>
      <c r="Y27" s="0" t="n">
        <v>0</v>
      </c>
    </row>
    <row r="28" customFormat="false" ht="15" hidden="false" customHeight="false" outlineLevel="0" collapsed="false">
      <c r="A28" s="0" t="n">
        <v>8585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42.64</v>
      </c>
      <c r="H28" s="0" t="n">
        <v>52.53</v>
      </c>
      <c r="I28" s="0" t="n">
        <v>52.52</v>
      </c>
      <c r="J28" s="0" t="n">
        <v>52.53</v>
      </c>
      <c r="K28" s="0" t="n">
        <v>96.36</v>
      </c>
      <c r="L28" s="0" t="n">
        <v>158.5</v>
      </c>
      <c r="M28" s="0" t="n">
        <v>323.81</v>
      </c>
      <c r="N28" s="0" t="n">
        <v>532.71</v>
      </c>
      <c r="O28" s="0" t="n">
        <v>651.11</v>
      </c>
      <c r="P28" s="0" t="n">
        <v>444.67</v>
      </c>
      <c r="Q28" s="0" t="n">
        <v>119.88</v>
      </c>
      <c r="R28" s="0" t="n">
        <v>48.59</v>
      </c>
      <c r="S28" s="0" t="n">
        <v>48.59</v>
      </c>
      <c r="T28" s="0" t="n">
        <v>48.59</v>
      </c>
      <c r="U28" s="0" t="n">
        <v>48.58</v>
      </c>
      <c r="V28" s="0" t="n">
        <v>48.59</v>
      </c>
      <c r="W28" s="0" t="n">
        <v>111.27</v>
      </c>
      <c r="X28" s="0" t="n">
        <v>0</v>
      </c>
      <c r="Y28" s="0" t="n">
        <v>0</v>
      </c>
    </row>
    <row r="29" customFormat="false" ht="15" hidden="false" customHeight="false" outlineLevel="0" collapsed="false">
      <c r="A29" s="0" t="n">
        <v>8586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57.56</v>
      </c>
      <c r="H29" s="0" t="n">
        <v>84.21</v>
      </c>
      <c r="I29" s="0" t="n">
        <v>44.54</v>
      </c>
      <c r="J29" s="0" t="n">
        <v>79.6</v>
      </c>
      <c r="K29" s="0" t="n">
        <v>44.55</v>
      </c>
      <c r="L29" s="0" t="n">
        <v>44.74</v>
      </c>
      <c r="M29" s="0" t="n">
        <v>50.05</v>
      </c>
      <c r="N29" s="0" t="n">
        <v>68.03</v>
      </c>
      <c r="O29" s="0" t="n">
        <v>100.62</v>
      </c>
      <c r="P29" s="0" t="n">
        <v>68.28</v>
      </c>
      <c r="Q29" s="0" t="n">
        <v>74.86</v>
      </c>
      <c r="R29" s="0" t="n">
        <v>98.21</v>
      </c>
      <c r="S29" s="0" t="n">
        <v>185.93</v>
      </c>
      <c r="T29" s="0" t="n">
        <v>227.02</v>
      </c>
      <c r="U29" s="0" t="n">
        <v>130.45</v>
      </c>
      <c r="V29" s="0" t="n">
        <v>129.43</v>
      </c>
      <c r="W29" s="0" t="n">
        <v>68.32</v>
      </c>
      <c r="X29" s="0" t="n">
        <v>0</v>
      </c>
      <c r="Y29" s="0" t="n">
        <v>0</v>
      </c>
    </row>
    <row r="30" customFormat="false" ht="15" hidden="false" customHeight="false" outlineLevel="0" collapsed="false">
      <c r="A30" s="0" t="n">
        <v>8588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109.99</v>
      </c>
      <c r="H30" s="0" t="n">
        <v>103.64</v>
      </c>
      <c r="I30" s="0" t="n">
        <v>88.68</v>
      </c>
      <c r="J30" s="0" t="n">
        <v>82.9</v>
      </c>
      <c r="K30" s="0" t="n">
        <v>70.77</v>
      </c>
      <c r="L30" s="0" t="n">
        <v>60.15</v>
      </c>
      <c r="M30" s="0" t="n">
        <v>65.72</v>
      </c>
      <c r="N30" s="0" t="n">
        <v>71.95</v>
      </c>
      <c r="O30" s="0" t="n">
        <v>80.73</v>
      </c>
      <c r="P30" s="0" t="n">
        <v>75.31</v>
      </c>
      <c r="Q30" s="0" t="n">
        <v>94.24</v>
      </c>
      <c r="R30" s="0" t="n">
        <v>100.13</v>
      </c>
      <c r="S30" s="0" t="n">
        <v>79.2</v>
      </c>
      <c r="T30" s="0" t="n">
        <v>54.04</v>
      </c>
      <c r="U30" s="0" t="n">
        <v>45.11</v>
      </c>
      <c r="V30" s="0" t="n">
        <v>44.24</v>
      </c>
      <c r="W30" s="0" t="n">
        <v>41.17</v>
      </c>
      <c r="X30" s="0" t="n">
        <v>0</v>
      </c>
      <c r="Y30" s="0" t="n">
        <v>0</v>
      </c>
    </row>
    <row r="31" customFormat="false" ht="15" hidden="false" customHeight="false" outlineLevel="0" collapsed="false">
      <c r="A31" s="0" t="n">
        <v>8589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205.47</v>
      </c>
      <c r="H31" s="0" t="n">
        <v>180.57</v>
      </c>
      <c r="I31" s="0" t="n">
        <v>117.27</v>
      </c>
      <c r="J31" s="0" t="n">
        <v>110.2</v>
      </c>
      <c r="K31" s="0" t="n">
        <v>156.35</v>
      </c>
      <c r="L31" s="0" t="n">
        <v>119.87</v>
      </c>
      <c r="M31" s="0" t="n">
        <v>107.22</v>
      </c>
      <c r="N31" s="0" t="n">
        <v>95.46</v>
      </c>
      <c r="O31" s="0" t="n">
        <v>96.08</v>
      </c>
      <c r="P31" s="0" t="n">
        <v>120.23</v>
      </c>
      <c r="Q31" s="0" t="n">
        <v>147.18</v>
      </c>
      <c r="R31" s="0" t="n">
        <v>119.33</v>
      </c>
      <c r="S31" s="0" t="n">
        <v>180.97</v>
      </c>
      <c r="T31" s="0" t="n">
        <v>141.69</v>
      </c>
      <c r="U31" s="0" t="n">
        <v>112.85</v>
      </c>
      <c r="V31" s="0" t="n">
        <v>113.52</v>
      </c>
      <c r="W31" s="0" t="n">
        <v>101.6</v>
      </c>
      <c r="X31" s="0" t="n">
        <v>0</v>
      </c>
      <c r="Y31" s="0" t="n">
        <v>0</v>
      </c>
    </row>
    <row r="32" customFormat="false" ht="15" hidden="false" customHeight="false" outlineLevel="0" collapsed="false">
      <c r="A32" s="0" t="n">
        <v>8590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140.66</v>
      </c>
      <c r="H32" s="0" t="n">
        <v>134.18</v>
      </c>
      <c r="I32" s="0" t="n">
        <v>89.76</v>
      </c>
      <c r="J32" s="0" t="n">
        <v>109.97</v>
      </c>
      <c r="K32" s="0" t="n">
        <v>103.97</v>
      </c>
      <c r="L32" s="0" t="n">
        <v>101.4</v>
      </c>
      <c r="M32" s="0" t="n">
        <v>119.43</v>
      </c>
      <c r="N32" s="0" t="n">
        <v>157.59</v>
      </c>
      <c r="O32" s="0" t="n">
        <v>113.58</v>
      </c>
      <c r="P32" s="0" t="n">
        <v>111.7</v>
      </c>
      <c r="Q32" s="0" t="n">
        <v>107.47</v>
      </c>
      <c r="R32" s="0" t="n">
        <v>104.65</v>
      </c>
      <c r="S32" s="0" t="n">
        <v>129.96</v>
      </c>
      <c r="T32" s="0" t="n">
        <v>127.07</v>
      </c>
      <c r="U32" s="0" t="n">
        <v>121.45</v>
      </c>
      <c r="V32" s="0" t="n">
        <v>103.58</v>
      </c>
      <c r="W32" s="0" t="n">
        <v>78.2</v>
      </c>
      <c r="X32" s="0" t="n">
        <v>0</v>
      </c>
      <c r="Y32" s="0" t="n">
        <v>0</v>
      </c>
    </row>
    <row r="33" customFormat="false" ht="15" hidden="false" customHeight="false" outlineLevel="0" collapsed="false">
      <c r="A33" s="0" t="n">
        <v>8593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250.33</v>
      </c>
      <c r="H33" s="0" t="n">
        <v>300.47</v>
      </c>
      <c r="I33" s="0" t="n">
        <v>153.37</v>
      </c>
      <c r="J33" s="0" t="n">
        <v>98.05</v>
      </c>
      <c r="K33" s="0" t="n">
        <v>46.76</v>
      </c>
      <c r="L33" s="0" t="n">
        <v>46.95</v>
      </c>
      <c r="M33" s="0" t="n">
        <v>66.99</v>
      </c>
      <c r="N33" s="0" t="n">
        <v>80.47</v>
      </c>
      <c r="O33" s="0" t="n">
        <v>46.95</v>
      </c>
      <c r="P33" s="0" t="n">
        <v>46.95</v>
      </c>
      <c r="Q33" s="0" t="n">
        <v>47.59</v>
      </c>
      <c r="R33" s="0" t="n">
        <v>50.27</v>
      </c>
      <c r="S33" s="0" t="n">
        <v>81.56</v>
      </c>
      <c r="T33" s="0" t="n">
        <v>86.93</v>
      </c>
      <c r="U33" s="0" t="n">
        <v>118.72</v>
      </c>
      <c r="V33" s="0" t="n">
        <v>137.71</v>
      </c>
      <c r="W33" s="0" t="n">
        <v>70.26</v>
      </c>
      <c r="X33" s="0" t="n">
        <v>0</v>
      </c>
      <c r="Y33" s="0" t="n">
        <v>0</v>
      </c>
    </row>
    <row r="34" customFormat="false" ht="15" hidden="false" customHeight="false" outlineLevel="0" collapsed="false">
      <c r="A34" s="0" t="n">
        <v>8594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151.14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95.38</v>
      </c>
      <c r="O34" s="0" t="n">
        <v>123.9</v>
      </c>
      <c r="P34" s="0" t="n">
        <v>69.87</v>
      </c>
      <c r="Q34" s="0" t="n">
        <v>49.33</v>
      </c>
      <c r="R34" s="0" t="n">
        <v>0</v>
      </c>
      <c r="S34" s="0" t="n">
        <v>42.49</v>
      </c>
      <c r="T34" s="0" t="n">
        <v>111.24</v>
      </c>
      <c r="U34" s="0" t="n">
        <v>93.63</v>
      </c>
      <c r="V34" s="0" t="n">
        <v>97.9</v>
      </c>
      <c r="W34" s="0" t="n">
        <v>42.2</v>
      </c>
      <c r="X34" s="0" t="n">
        <v>0</v>
      </c>
      <c r="Y34" s="0" t="n">
        <v>0</v>
      </c>
    </row>
    <row r="35" customFormat="false" ht="15" hidden="false" customHeight="false" outlineLevel="0" collapsed="false">
      <c r="A35" s="0" t="n">
        <v>8597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183.99</v>
      </c>
      <c r="H35" s="0" t="n">
        <v>208.66</v>
      </c>
      <c r="I35" s="0" t="n">
        <v>164.96</v>
      </c>
      <c r="J35" s="0" t="n">
        <v>184.6</v>
      </c>
      <c r="K35" s="0" t="n">
        <v>105.48</v>
      </c>
      <c r="L35" s="0" t="n">
        <v>99.48</v>
      </c>
      <c r="M35" s="0" t="n">
        <v>125.01</v>
      </c>
      <c r="N35" s="0" t="n">
        <v>160.11</v>
      </c>
      <c r="O35" s="0" t="n">
        <v>158.62</v>
      </c>
      <c r="P35" s="0" t="n">
        <v>121.02</v>
      </c>
      <c r="Q35" s="0" t="n">
        <v>144.5</v>
      </c>
      <c r="R35" s="0" t="n">
        <v>171.88</v>
      </c>
      <c r="S35" s="0" t="n">
        <v>180.64</v>
      </c>
      <c r="T35" s="0" t="n">
        <v>279.86</v>
      </c>
      <c r="U35" s="0" t="n">
        <v>154.99</v>
      </c>
      <c r="V35" s="0" t="n">
        <v>162.32</v>
      </c>
      <c r="W35" s="0" t="n">
        <v>116.13</v>
      </c>
      <c r="X35" s="0" t="n">
        <v>0</v>
      </c>
      <c r="Y35" s="0" t="n">
        <v>0</v>
      </c>
    </row>
    <row r="36" customFormat="false" ht="15" hidden="false" customHeight="false" outlineLevel="0" collapsed="false">
      <c r="A36" s="0" t="n">
        <v>8599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34.93</v>
      </c>
      <c r="H36" s="0" t="n">
        <v>40.56</v>
      </c>
      <c r="I36" s="0" t="n">
        <v>28.45</v>
      </c>
      <c r="J36" s="0" t="n">
        <v>32.65</v>
      </c>
      <c r="K36" s="0" t="n">
        <v>28.32</v>
      </c>
      <c r="L36" s="0" t="n">
        <v>24.49</v>
      </c>
      <c r="M36" s="0" t="n">
        <v>38.8</v>
      </c>
      <c r="N36" s="0" t="n">
        <v>35.69</v>
      </c>
      <c r="O36" s="0" t="n">
        <v>36.82</v>
      </c>
      <c r="P36" s="0" t="n">
        <v>32.56</v>
      </c>
      <c r="Q36" s="0" t="n">
        <v>39.99</v>
      </c>
      <c r="R36" s="0" t="n">
        <v>36.5</v>
      </c>
      <c r="S36" s="0" t="n">
        <v>41.24</v>
      </c>
      <c r="T36" s="0" t="n">
        <v>45.72</v>
      </c>
      <c r="U36" s="0" t="n">
        <v>29.07</v>
      </c>
      <c r="V36" s="0" t="n">
        <v>32.75</v>
      </c>
      <c r="W36" s="0" t="n">
        <v>28.68</v>
      </c>
      <c r="X36" s="0" t="n">
        <v>0</v>
      </c>
      <c r="Y36" s="0" t="n">
        <v>0</v>
      </c>
    </row>
    <row r="37" customFormat="false" ht="15" hidden="false" customHeight="false" outlineLevel="0" collapsed="false">
      <c r="A37" s="0" t="n">
        <v>8600</v>
      </c>
      <c r="B37" s="0" t="n">
        <v>0</v>
      </c>
      <c r="C37" s="0" t="n">
        <v>0</v>
      </c>
      <c r="D37" s="0" t="n">
        <v>0</v>
      </c>
      <c r="E37" s="0" t="n">
        <v>177.12</v>
      </c>
      <c r="F37" s="0" t="n">
        <v>204.62</v>
      </c>
      <c r="G37" s="0" t="n">
        <v>217.29</v>
      </c>
      <c r="H37" s="0" t="n">
        <v>120.17</v>
      </c>
      <c r="I37" s="0" t="n">
        <v>215.39</v>
      </c>
      <c r="J37" s="0" t="n">
        <v>192.67</v>
      </c>
      <c r="K37" s="0" t="n">
        <v>186.75</v>
      </c>
      <c r="L37" s="0" t="n">
        <v>256.6</v>
      </c>
      <c r="M37" s="0" t="n">
        <v>320.88</v>
      </c>
      <c r="N37" s="0" t="n">
        <v>513.52</v>
      </c>
      <c r="O37" s="0" t="n">
        <v>434.38</v>
      </c>
      <c r="P37" s="0" t="n">
        <v>379.45</v>
      </c>
      <c r="Q37" s="0" t="n">
        <v>311.35</v>
      </c>
      <c r="R37" s="0" t="n">
        <v>170.8</v>
      </c>
      <c r="S37" s="0" t="n">
        <v>165</v>
      </c>
      <c r="T37" s="0" t="n">
        <v>160.49</v>
      </c>
      <c r="U37" s="0" t="n">
        <v>211.41</v>
      </c>
      <c r="V37" s="0" t="n">
        <v>194.07</v>
      </c>
      <c r="W37" s="0" t="n">
        <v>204.35</v>
      </c>
      <c r="X37" s="0" t="n">
        <v>0</v>
      </c>
      <c r="Y37" s="0" t="n">
        <v>0</v>
      </c>
    </row>
    <row r="38" customFormat="false" ht="15" hidden="false" customHeight="false" outlineLevel="0" collapsed="false">
      <c r="A38" s="0" t="n">
        <v>8601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48.8</v>
      </c>
      <c r="H38" s="0" t="n">
        <v>87.84</v>
      </c>
      <c r="I38" s="0" t="n">
        <v>47.65</v>
      </c>
      <c r="J38" s="0" t="n">
        <v>56.89</v>
      </c>
      <c r="K38" s="0" t="n">
        <v>54.07</v>
      </c>
      <c r="L38" s="0" t="n">
        <v>53.92</v>
      </c>
      <c r="M38" s="0" t="n">
        <v>76.54</v>
      </c>
      <c r="N38" s="0" t="n">
        <v>42.09</v>
      </c>
      <c r="O38" s="0" t="n">
        <v>39.38</v>
      </c>
      <c r="P38" s="0" t="n">
        <v>74.06</v>
      </c>
      <c r="Q38" s="0" t="n">
        <v>82.16</v>
      </c>
      <c r="R38" s="0" t="n">
        <v>50.76</v>
      </c>
      <c r="S38" s="0" t="n">
        <v>68.32</v>
      </c>
      <c r="T38" s="0" t="n">
        <v>74.95</v>
      </c>
      <c r="U38" s="0" t="n">
        <v>74.28</v>
      </c>
      <c r="V38" s="0" t="n">
        <v>67.62</v>
      </c>
      <c r="W38" s="0" t="n">
        <v>68.56</v>
      </c>
      <c r="X38" s="0" t="n">
        <v>0</v>
      </c>
      <c r="Y38" s="0" t="n">
        <v>0</v>
      </c>
    </row>
    <row r="39" customFormat="false" ht="15" hidden="false" customHeight="false" outlineLevel="0" collapsed="false">
      <c r="A39" s="0" t="n">
        <v>8604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101.08</v>
      </c>
      <c r="H39" s="0" t="n">
        <v>100.46</v>
      </c>
      <c r="I39" s="0" t="n">
        <v>67.75</v>
      </c>
      <c r="J39" s="0" t="n">
        <v>70.88</v>
      </c>
      <c r="K39" s="0" t="n">
        <v>33.21</v>
      </c>
      <c r="L39" s="0" t="n">
        <v>46.03</v>
      </c>
      <c r="M39" s="0" t="n">
        <v>63.22</v>
      </c>
      <c r="N39" s="0" t="n">
        <v>43.54</v>
      </c>
      <c r="O39" s="0" t="n">
        <v>97.03</v>
      </c>
      <c r="P39" s="0" t="n">
        <v>53.97</v>
      </c>
      <c r="Q39" s="0" t="n">
        <v>70.02</v>
      </c>
      <c r="R39" s="0" t="n">
        <v>65.2</v>
      </c>
      <c r="S39" s="0" t="n">
        <v>75.99</v>
      </c>
      <c r="T39" s="0" t="n">
        <v>74.93</v>
      </c>
      <c r="U39" s="0" t="n">
        <v>73.78</v>
      </c>
      <c r="V39" s="0" t="n">
        <v>153.96</v>
      </c>
      <c r="W39" s="0" t="n">
        <v>66.73</v>
      </c>
      <c r="X39" s="0" t="n">
        <v>0</v>
      </c>
      <c r="Y39" s="0" t="n">
        <v>0</v>
      </c>
    </row>
    <row r="40" customFormat="false" ht="15" hidden="false" customHeight="false" outlineLevel="0" collapsed="false">
      <c r="A40" s="0" t="n">
        <v>8605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89.75</v>
      </c>
      <c r="H40" s="0" t="n">
        <v>108.92</v>
      </c>
      <c r="I40" s="0" t="n">
        <v>73.59</v>
      </c>
      <c r="J40" s="0" t="n">
        <v>77.8</v>
      </c>
      <c r="K40" s="0" t="n">
        <v>61.24</v>
      </c>
      <c r="L40" s="0" t="n">
        <v>63.51</v>
      </c>
      <c r="M40" s="0" t="n">
        <v>96.98</v>
      </c>
      <c r="N40" s="0" t="n">
        <v>81.79</v>
      </c>
      <c r="O40" s="0" t="n">
        <v>88.77</v>
      </c>
      <c r="P40" s="0" t="n">
        <v>74.94</v>
      </c>
      <c r="Q40" s="0" t="n">
        <v>73.06</v>
      </c>
      <c r="R40" s="0" t="n">
        <v>77.56</v>
      </c>
      <c r="S40" s="0" t="n">
        <v>93.16</v>
      </c>
      <c r="T40" s="0" t="n">
        <v>91.18</v>
      </c>
      <c r="U40" s="0" t="n">
        <v>67.79</v>
      </c>
      <c r="V40" s="0" t="n">
        <v>75.66</v>
      </c>
      <c r="W40" s="0" t="n">
        <v>57.57</v>
      </c>
      <c r="X40" s="0" t="n">
        <v>0</v>
      </c>
      <c r="Y40" s="0" t="n">
        <v>0</v>
      </c>
    </row>
    <row r="41" customFormat="false" ht="15" hidden="false" customHeight="false" outlineLevel="0" collapsed="false">
      <c r="A41" s="0" t="n">
        <v>8606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90.02</v>
      </c>
      <c r="H41" s="0" t="n">
        <v>133.35</v>
      </c>
      <c r="I41" s="0" t="n">
        <v>87.14</v>
      </c>
      <c r="J41" s="0" t="n">
        <v>80.25</v>
      </c>
      <c r="K41" s="0" t="n">
        <v>53.25</v>
      </c>
      <c r="L41" s="0" t="n">
        <v>42.98</v>
      </c>
      <c r="M41" s="0" t="n">
        <v>51.71</v>
      </c>
      <c r="N41" s="0" t="n">
        <v>75.05</v>
      </c>
      <c r="O41" s="0" t="n">
        <v>105.46</v>
      </c>
      <c r="P41" s="0" t="n">
        <v>67.14</v>
      </c>
      <c r="Q41" s="0" t="n">
        <v>65.41</v>
      </c>
      <c r="R41" s="0" t="n">
        <v>70.95</v>
      </c>
      <c r="S41" s="0" t="n">
        <v>61.44</v>
      </c>
      <c r="T41" s="0" t="n">
        <v>55.79</v>
      </c>
      <c r="U41" s="0" t="n">
        <v>58.96</v>
      </c>
      <c r="V41" s="0" t="n">
        <v>59.58</v>
      </c>
      <c r="W41" s="0" t="n">
        <v>31.76</v>
      </c>
      <c r="X41" s="0" t="n">
        <v>0</v>
      </c>
      <c r="Y41" s="0" t="n">
        <v>0</v>
      </c>
    </row>
    <row r="42" customFormat="false" ht="15" hidden="false" customHeight="false" outlineLevel="0" collapsed="false">
      <c r="A42" s="0" t="n">
        <v>8607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206.38</v>
      </c>
      <c r="H42" s="0" t="n">
        <v>195.81</v>
      </c>
      <c r="I42" s="0" t="n">
        <v>143.12</v>
      </c>
      <c r="J42" s="0" t="n">
        <v>105.5</v>
      </c>
      <c r="K42" s="0" t="n">
        <v>61.13</v>
      </c>
      <c r="L42" s="0" t="n">
        <v>55.64</v>
      </c>
      <c r="M42" s="0" t="n">
        <v>2296.4</v>
      </c>
      <c r="N42" s="0" t="n">
        <v>68.33</v>
      </c>
      <c r="O42" s="0" t="n">
        <v>73.64</v>
      </c>
      <c r="P42" s="0" t="n">
        <v>67.28</v>
      </c>
      <c r="Q42" s="0" t="n">
        <v>71.22</v>
      </c>
      <c r="R42" s="0" t="n">
        <v>115.97</v>
      </c>
      <c r="S42" s="0" t="n">
        <v>141.81</v>
      </c>
      <c r="T42" s="0" t="n">
        <v>189.29</v>
      </c>
      <c r="U42" s="0" t="n">
        <v>147.98</v>
      </c>
      <c r="V42" s="0" t="n">
        <v>177.84</v>
      </c>
      <c r="W42" s="0" t="n">
        <v>107.11</v>
      </c>
      <c r="X42" s="0" t="n">
        <v>0</v>
      </c>
      <c r="Y42" s="0" t="n">
        <v>0</v>
      </c>
    </row>
    <row r="43" customFormat="false" ht="15" hidden="false" customHeight="false" outlineLevel="0" collapsed="false">
      <c r="A43" s="0" t="n">
        <v>8611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40.13</v>
      </c>
      <c r="H43" s="0" t="n">
        <v>113.72</v>
      </c>
      <c r="I43" s="0" t="n">
        <v>75.18</v>
      </c>
      <c r="J43" s="0" t="n">
        <v>54.02</v>
      </c>
      <c r="K43" s="0" t="n">
        <v>53.3</v>
      </c>
      <c r="L43" s="0" t="n">
        <v>53.49</v>
      </c>
      <c r="M43" s="0" t="n">
        <v>66.13</v>
      </c>
      <c r="N43" s="0" t="n">
        <v>53.49</v>
      </c>
      <c r="O43" s="0" t="n">
        <v>53.49</v>
      </c>
      <c r="P43" s="0" t="n">
        <v>53.49</v>
      </c>
      <c r="Q43" s="0" t="n">
        <v>59.64</v>
      </c>
      <c r="R43" s="0" t="n">
        <v>53.49</v>
      </c>
      <c r="S43" s="0" t="n">
        <v>53.49</v>
      </c>
      <c r="T43" s="0" t="n">
        <v>53.49</v>
      </c>
      <c r="U43" s="0" t="n">
        <v>84.44</v>
      </c>
      <c r="V43" s="0" t="n">
        <v>86.3</v>
      </c>
      <c r="W43" s="0" t="n">
        <v>53.49</v>
      </c>
      <c r="X43" s="0" t="n">
        <v>0</v>
      </c>
      <c r="Y43" s="0" t="n">
        <v>0</v>
      </c>
    </row>
    <row r="44" customFormat="false" ht="15" hidden="false" customHeight="false" outlineLevel="0" collapsed="false">
      <c r="A44" s="0" t="n">
        <v>8612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347.11</v>
      </c>
      <c r="H44" s="0" t="n">
        <v>371.75</v>
      </c>
      <c r="I44" s="0" t="n">
        <v>300.62</v>
      </c>
      <c r="J44" s="0" t="n">
        <v>294.73</v>
      </c>
      <c r="K44" s="0" t="n">
        <v>169.66</v>
      </c>
      <c r="L44" s="0" t="n">
        <v>79.89</v>
      </c>
      <c r="M44" s="0" t="n">
        <v>63.9</v>
      </c>
      <c r="N44" s="0" t="n">
        <v>53.49</v>
      </c>
      <c r="O44" s="0" t="n">
        <v>83.14</v>
      </c>
      <c r="P44" s="0" t="n">
        <v>68.13</v>
      </c>
      <c r="Q44" s="0" t="n">
        <v>65.56</v>
      </c>
      <c r="R44" s="0" t="n">
        <v>165.45</v>
      </c>
      <c r="S44" s="0" t="n">
        <v>344.09</v>
      </c>
      <c r="T44" s="0" t="n">
        <v>343.37</v>
      </c>
      <c r="U44" s="0" t="n">
        <v>215.59</v>
      </c>
      <c r="V44" s="0" t="n">
        <v>339.06</v>
      </c>
      <c r="W44" s="0" t="n">
        <v>133.97</v>
      </c>
      <c r="X44" s="0" t="n">
        <v>0</v>
      </c>
      <c r="Y44" s="0" t="n">
        <v>0</v>
      </c>
    </row>
    <row r="45" customFormat="false" ht="15" hidden="false" customHeight="false" outlineLevel="0" collapsed="false">
      <c r="A45" s="0" t="n">
        <v>8613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118.49</v>
      </c>
      <c r="H45" s="0" t="n">
        <v>154.22</v>
      </c>
      <c r="I45" s="0" t="n">
        <v>87.47</v>
      </c>
      <c r="J45" s="0" t="n">
        <v>83.49</v>
      </c>
      <c r="K45" s="0" t="n">
        <v>78.65</v>
      </c>
      <c r="L45" s="0" t="n">
        <v>78.84</v>
      </c>
      <c r="M45" s="0" t="n">
        <v>121.87</v>
      </c>
      <c r="N45" s="0" t="n">
        <v>124.02</v>
      </c>
      <c r="O45" s="0" t="n">
        <v>93.77</v>
      </c>
      <c r="P45" s="0" t="n">
        <v>93.31</v>
      </c>
      <c r="Q45" s="0" t="n">
        <v>94.56</v>
      </c>
      <c r="R45" s="0" t="n">
        <v>93.5</v>
      </c>
      <c r="S45" s="0" t="n">
        <v>165.13</v>
      </c>
      <c r="T45" s="0" t="n">
        <v>175.03</v>
      </c>
      <c r="U45" s="0" t="n">
        <v>121.96</v>
      </c>
      <c r="V45" s="0" t="n">
        <v>78.84</v>
      </c>
      <c r="W45" s="0" t="n">
        <v>78.84</v>
      </c>
      <c r="X45" s="0" t="n">
        <v>0</v>
      </c>
      <c r="Y45" s="0" t="n">
        <v>0</v>
      </c>
    </row>
    <row r="46" customFormat="false" ht="15" hidden="false" customHeight="false" outlineLevel="0" collapsed="false">
      <c r="A46" s="0" t="n">
        <v>8614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39.85</v>
      </c>
      <c r="H46" s="0" t="n">
        <v>51.78</v>
      </c>
      <c r="I46" s="0" t="n">
        <v>37.33</v>
      </c>
      <c r="J46" s="0" t="n">
        <v>41.41</v>
      </c>
      <c r="K46" s="0" t="n">
        <v>97.03</v>
      </c>
      <c r="L46" s="0" t="n">
        <v>0</v>
      </c>
      <c r="M46" s="0" t="n">
        <v>0</v>
      </c>
      <c r="N46" s="0" t="n">
        <v>42.75</v>
      </c>
      <c r="O46" s="0" t="n">
        <v>31.97</v>
      </c>
      <c r="P46" s="0" t="n">
        <v>0</v>
      </c>
      <c r="Q46" s="0" t="n">
        <v>52.56</v>
      </c>
      <c r="R46" s="0" t="n">
        <v>44.32</v>
      </c>
      <c r="S46" s="0" t="n">
        <v>39.84</v>
      </c>
      <c r="T46" s="0" t="n">
        <v>45.55</v>
      </c>
      <c r="U46" s="0" t="n">
        <v>44.05</v>
      </c>
      <c r="V46" s="0" t="n">
        <v>37.65</v>
      </c>
      <c r="W46" s="0" t="n">
        <v>36.42</v>
      </c>
      <c r="X46" s="0" t="n">
        <v>0</v>
      </c>
      <c r="Y46" s="0" t="n">
        <v>0</v>
      </c>
    </row>
    <row r="47" customFormat="false" ht="15" hidden="false" customHeight="false" outlineLevel="0" collapsed="false">
      <c r="A47" s="0" t="n">
        <v>8617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24.44</v>
      </c>
      <c r="H47" s="0" t="n">
        <v>103.27</v>
      </c>
      <c r="I47" s="0" t="n">
        <v>38.12</v>
      </c>
      <c r="J47" s="0" t="n">
        <v>30.84</v>
      </c>
      <c r="K47" s="0" t="n">
        <v>62.64</v>
      </c>
      <c r="L47" s="0" t="n">
        <v>48.65</v>
      </c>
      <c r="M47" s="0" t="n">
        <v>38.22</v>
      </c>
      <c r="N47" s="0" t="n">
        <v>30.61</v>
      </c>
      <c r="O47" s="0" t="n">
        <v>30.61</v>
      </c>
      <c r="P47" s="0" t="n">
        <v>30.61</v>
      </c>
      <c r="Q47" s="0" t="n">
        <v>30.61</v>
      </c>
      <c r="R47" s="0" t="n">
        <v>46.48</v>
      </c>
      <c r="S47" s="0" t="n">
        <v>34.29</v>
      </c>
      <c r="T47" s="0" t="n">
        <v>31.16</v>
      </c>
      <c r="U47" s="0" t="n">
        <v>30.6</v>
      </c>
      <c r="V47" s="0" t="n">
        <v>30.61</v>
      </c>
      <c r="W47" s="0" t="n">
        <v>30.61</v>
      </c>
      <c r="X47" s="0" t="n">
        <v>0</v>
      </c>
      <c r="Y47" s="0" t="n">
        <v>0</v>
      </c>
    </row>
    <row r="48" customFormat="false" ht="15" hidden="false" customHeight="false" outlineLevel="0" collapsed="false">
      <c r="A48" s="0" t="n">
        <v>8618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142.7</v>
      </c>
      <c r="H48" s="0" t="n">
        <v>158.03</v>
      </c>
      <c r="I48" s="0" t="n">
        <v>104.93</v>
      </c>
      <c r="J48" s="0" t="n">
        <v>109.06</v>
      </c>
      <c r="K48" s="0" t="n">
        <v>62.3</v>
      </c>
      <c r="L48" s="0" t="n">
        <v>62.29</v>
      </c>
      <c r="M48" s="0" t="n">
        <v>157.8</v>
      </c>
      <c r="N48" s="0" t="n">
        <v>198.54</v>
      </c>
      <c r="O48" s="0" t="n">
        <v>134.89</v>
      </c>
      <c r="P48" s="0" t="n">
        <v>110.65</v>
      </c>
      <c r="Q48" s="0" t="n">
        <v>105.97</v>
      </c>
      <c r="R48" s="0" t="n">
        <v>117.91</v>
      </c>
      <c r="S48" s="0" t="n">
        <v>123.7</v>
      </c>
      <c r="T48" s="0" t="n">
        <v>98.87</v>
      </c>
      <c r="U48" s="0" t="n">
        <v>105.2</v>
      </c>
      <c r="V48" s="0" t="n">
        <v>90.93</v>
      </c>
      <c r="W48" s="0" t="n">
        <v>57.95</v>
      </c>
      <c r="X48" s="0" t="n">
        <v>0</v>
      </c>
      <c r="Y48" s="0" t="n">
        <v>0</v>
      </c>
    </row>
    <row r="49" customFormat="false" ht="15" hidden="false" customHeight="false" outlineLevel="0" collapsed="false">
      <c r="A49" s="0" t="n">
        <v>8620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36.64</v>
      </c>
      <c r="H49" s="0" t="n">
        <v>50.58</v>
      </c>
      <c r="I49" s="0" t="n">
        <v>40.66</v>
      </c>
      <c r="J49" s="0" t="n">
        <v>36.23</v>
      </c>
      <c r="K49" s="0" t="n">
        <v>56.58</v>
      </c>
      <c r="L49" s="0" t="n">
        <v>36.42</v>
      </c>
      <c r="M49" s="0" t="n">
        <v>73.55</v>
      </c>
      <c r="N49" s="0" t="n">
        <v>129.06</v>
      </c>
      <c r="O49" s="0" t="n">
        <v>123.92</v>
      </c>
      <c r="P49" s="0" t="n">
        <v>91.35</v>
      </c>
      <c r="Q49" s="0" t="n">
        <v>61.86</v>
      </c>
      <c r="R49" s="0" t="n">
        <v>36.42</v>
      </c>
      <c r="S49" s="0" t="n">
        <v>36.42</v>
      </c>
      <c r="T49" s="0" t="n">
        <v>36.42</v>
      </c>
      <c r="U49" s="0" t="n">
        <v>36.41</v>
      </c>
      <c r="V49" s="0" t="n">
        <v>36.42</v>
      </c>
      <c r="W49" s="0" t="n">
        <v>36.42</v>
      </c>
      <c r="X49" s="0" t="n">
        <v>0</v>
      </c>
      <c r="Y49" s="0" t="n">
        <v>0</v>
      </c>
    </row>
    <row r="50" customFormat="false" ht="15" hidden="false" customHeight="false" outlineLevel="0" collapsed="false">
      <c r="A50" s="0" t="n">
        <v>8621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4.17</v>
      </c>
      <c r="H50" s="0" t="n">
        <v>38.81</v>
      </c>
      <c r="I50" s="0" t="n">
        <v>29.88</v>
      </c>
      <c r="J50" s="0" t="n">
        <v>29.89</v>
      </c>
      <c r="K50" s="0" t="n">
        <v>29.89</v>
      </c>
      <c r="L50" s="0" t="n">
        <v>30.08</v>
      </c>
      <c r="M50" s="0" t="n">
        <v>30.08</v>
      </c>
      <c r="N50" s="0" t="n">
        <v>30.08</v>
      </c>
      <c r="O50" s="0" t="n">
        <v>41.58</v>
      </c>
      <c r="P50" s="0" t="n">
        <v>32.89</v>
      </c>
      <c r="Q50" s="0" t="n">
        <v>35.43</v>
      </c>
      <c r="R50" s="0" t="n">
        <v>30.08</v>
      </c>
      <c r="S50" s="0" t="n">
        <v>59.76</v>
      </c>
      <c r="T50" s="0" t="n">
        <v>45.3</v>
      </c>
      <c r="U50" s="0" t="n">
        <v>30.07</v>
      </c>
      <c r="V50" s="0" t="n">
        <v>30.27</v>
      </c>
      <c r="W50" s="0" t="n">
        <v>30.08</v>
      </c>
      <c r="X50" s="0" t="n">
        <v>0</v>
      </c>
      <c r="Y50" s="0" t="n">
        <v>0</v>
      </c>
    </row>
    <row r="51" customFormat="false" ht="15" hidden="false" customHeight="false" outlineLevel="0" collapsed="false">
      <c r="A51" s="0" t="n">
        <v>8622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187.37</v>
      </c>
      <c r="H51" s="0" t="n">
        <v>356.58</v>
      </c>
      <c r="I51" s="0" t="n">
        <v>235.43</v>
      </c>
      <c r="J51" s="0" t="n">
        <v>209.2</v>
      </c>
      <c r="K51" s="0" t="n">
        <v>182.14</v>
      </c>
      <c r="L51" s="0" t="n">
        <v>207.52</v>
      </c>
      <c r="M51" s="0" t="n">
        <v>386.58</v>
      </c>
      <c r="N51" s="0" t="n">
        <v>538.58</v>
      </c>
      <c r="O51" s="0" t="n">
        <v>419.91</v>
      </c>
      <c r="P51" s="0" t="n">
        <v>343.48</v>
      </c>
      <c r="Q51" s="0" t="n">
        <v>342.43</v>
      </c>
      <c r="R51" s="0" t="n">
        <v>233.64</v>
      </c>
      <c r="S51" s="0" t="n">
        <v>286.64</v>
      </c>
      <c r="T51" s="0" t="n">
        <v>392.56</v>
      </c>
      <c r="U51" s="0" t="n">
        <v>325.89</v>
      </c>
      <c r="V51" s="0" t="n">
        <v>280.12</v>
      </c>
      <c r="W51" s="0" t="n">
        <v>251.73</v>
      </c>
      <c r="X51" s="0" t="n">
        <v>0</v>
      </c>
      <c r="Y51" s="0" t="n">
        <v>0</v>
      </c>
    </row>
    <row r="52" customFormat="false" ht="15" hidden="false" customHeight="false" outlineLevel="0" collapsed="false">
      <c r="A52" s="0" t="n">
        <v>8623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197.21</v>
      </c>
      <c r="H52" s="0" t="n">
        <v>107.96</v>
      </c>
      <c r="I52" s="0" t="n">
        <v>57.75</v>
      </c>
      <c r="J52" s="0" t="n">
        <v>57.76</v>
      </c>
      <c r="K52" s="0" t="n">
        <v>156.48</v>
      </c>
      <c r="L52" s="0" t="n">
        <v>109.34</v>
      </c>
      <c r="M52" s="0" t="n">
        <v>81.96</v>
      </c>
      <c r="N52" s="0" t="n">
        <v>104.55</v>
      </c>
      <c r="O52" s="0" t="n">
        <v>64.71</v>
      </c>
      <c r="P52" s="0" t="n">
        <v>144.05</v>
      </c>
      <c r="Q52" s="0" t="n">
        <v>114.68</v>
      </c>
      <c r="R52" s="0" t="n">
        <v>57.95</v>
      </c>
      <c r="S52" s="0" t="n">
        <v>155.67</v>
      </c>
      <c r="T52" s="0" t="n">
        <v>95.69</v>
      </c>
      <c r="U52" s="0" t="n">
        <v>73.01</v>
      </c>
      <c r="V52" s="0" t="n">
        <v>131.64</v>
      </c>
      <c r="W52" s="0" t="n">
        <v>214.16</v>
      </c>
      <c r="X52" s="0" t="n">
        <v>0</v>
      </c>
      <c r="Y52" s="0" t="n">
        <v>0</v>
      </c>
    </row>
    <row r="53" customFormat="false" ht="15" hidden="false" customHeight="false" outlineLevel="0" collapsed="false">
      <c r="A53" s="0" t="n">
        <v>8624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180.47</v>
      </c>
      <c r="H53" s="0" t="n">
        <v>158.91</v>
      </c>
      <c r="I53" s="0" t="n">
        <v>141.13</v>
      </c>
      <c r="J53" s="0" t="n">
        <v>152.98</v>
      </c>
      <c r="K53" s="0" t="n">
        <v>157.74</v>
      </c>
      <c r="L53" s="0" t="n">
        <v>113.65</v>
      </c>
      <c r="M53" s="0" t="n">
        <v>193.9</v>
      </c>
      <c r="N53" s="0" t="n">
        <v>208.65</v>
      </c>
      <c r="O53" s="0" t="n">
        <v>154.35</v>
      </c>
      <c r="P53" s="0" t="n">
        <v>155.61</v>
      </c>
      <c r="Q53" s="0" t="n">
        <v>97.8</v>
      </c>
      <c r="R53" s="0" t="n">
        <v>151.27</v>
      </c>
      <c r="S53" s="0" t="n">
        <v>251.03</v>
      </c>
      <c r="T53" s="0" t="n">
        <v>157.49</v>
      </c>
      <c r="U53" s="0" t="n">
        <v>190.46</v>
      </c>
      <c r="V53" s="0" t="n">
        <v>136.69</v>
      </c>
      <c r="W53" s="0" t="n">
        <v>63.08</v>
      </c>
      <c r="X53" s="0" t="n">
        <v>0</v>
      </c>
      <c r="Y53" s="0" t="n">
        <v>0</v>
      </c>
    </row>
    <row r="54" customFormat="false" ht="15" hidden="false" customHeight="false" outlineLevel="0" collapsed="false">
      <c r="A54" s="0" t="n">
        <v>8625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69.32</v>
      </c>
      <c r="H54" s="0" t="n">
        <v>68.18</v>
      </c>
      <c r="I54" s="0" t="n">
        <v>67.91</v>
      </c>
      <c r="J54" s="0" t="n">
        <v>65.5</v>
      </c>
      <c r="K54" s="0" t="n">
        <v>63</v>
      </c>
      <c r="L54" s="0" t="n">
        <v>66.74</v>
      </c>
      <c r="M54" s="0" t="n">
        <v>76.22</v>
      </c>
      <c r="N54" s="0" t="n">
        <v>103.09</v>
      </c>
      <c r="O54" s="0" t="n">
        <v>113.81</v>
      </c>
      <c r="P54" s="0" t="n">
        <v>63.43</v>
      </c>
      <c r="Q54" s="0" t="n">
        <v>65.43</v>
      </c>
      <c r="R54" s="0" t="n">
        <v>70.01</v>
      </c>
      <c r="S54" s="0" t="n">
        <v>68.52</v>
      </c>
      <c r="T54" s="0" t="n">
        <v>70.37</v>
      </c>
      <c r="U54" s="0" t="n">
        <v>71.34</v>
      </c>
      <c r="V54" s="0" t="n">
        <v>69.79</v>
      </c>
      <c r="W54" s="0" t="n">
        <v>67.31</v>
      </c>
      <c r="X54" s="0" t="n">
        <v>0</v>
      </c>
      <c r="Y54" s="0" t="n">
        <v>0</v>
      </c>
    </row>
    <row r="55" customFormat="false" ht="15" hidden="false" customHeight="false" outlineLevel="0" collapsed="false">
      <c r="A55" s="0" t="n">
        <v>8626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47.83</v>
      </c>
      <c r="H55" s="0" t="n">
        <v>50.78</v>
      </c>
      <c r="I55" s="0" t="n">
        <v>50.77</v>
      </c>
      <c r="J55" s="0" t="n">
        <v>50.78</v>
      </c>
      <c r="K55" s="0" t="n">
        <v>50.78</v>
      </c>
      <c r="L55" s="0" t="n">
        <v>50.97</v>
      </c>
      <c r="M55" s="0" t="n">
        <v>65.4</v>
      </c>
      <c r="N55" s="0" t="n">
        <v>50.97</v>
      </c>
      <c r="O55" s="0" t="n">
        <v>50.97</v>
      </c>
      <c r="P55" s="0" t="n">
        <v>50.97</v>
      </c>
      <c r="Q55" s="0" t="n">
        <v>66.67</v>
      </c>
      <c r="R55" s="0" t="n">
        <v>64.71</v>
      </c>
      <c r="S55" s="0" t="n">
        <v>50.97</v>
      </c>
      <c r="T55" s="0" t="n">
        <v>50.97</v>
      </c>
      <c r="U55" s="0" t="n">
        <v>50.96</v>
      </c>
      <c r="V55" s="0" t="n">
        <v>50.97</v>
      </c>
      <c r="W55" s="0" t="n">
        <v>50.97</v>
      </c>
      <c r="X55" s="0" t="n">
        <v>0</v>
      </c>
      <c r="Y55" s="0" t="n">
        <v>0</v>
      </c>
    </row>
    <row r="56" customFormat="false" ht="15" hidden="false" customHeight="false" outlineLevel="0" collapsed="false">
      <c r="A56" s="0" t="n">
        <v>8627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30.2</v>
      </c>
      <c r="H56" s="0" t="n">
        <v>34.09</v>
      </c>
      <c r="I56" s="0" t="n">
        <v>59.75</v>
      </c>
      <c r="J56" s="0" t="n">
        <v>34.51</v>
      </c>
      <c r="K56" s="0" t="n">
        <v>39.85</v>
      </c>
      <c r="L56" s="0" t="n">
        <v>53.43</v>
      </c>
      <c r="M56" s="0" t="n">
        <v>116.93</v>
      </c>
      <c r="N56" s="0" t="n">
        <v>93.33</v>
      </c>
      <c r="O56" s="0" t="n">
        <v>112.19</v>
      </c>
      <c r="P56" s="0" t="n">
        <v>101.59</v>
      </c>
      <c r="Q56" s="0" t="n">
        <v>86.7</v>
      </c>
      <c r="R56" s="0" t="n">
        <v>120.39</v>
      </c>
      <c r="S56" s="0" t="n">
        <v>129.97</v>
      </c>
      <c r="T56" s="0" t="n">
        <v>202.95</v>
      </c>
      <c r="U56" s="0" t="n">
        <v>104.89</v>
      </c>
      <c r="V56" s="0" t="n">
        <v>100.84</v>
      </c>
      <c r="W56" s="0" t="n">
        <v>34.7</v>
      </c>
      <c r="X56" s="0" t="n">
        <v>0</v>
      </c>
      <c r="Y56" s="0" t="n">
        <v>0</v>
      </c>
    </row>
    <row r="57" customFormat="false" ht="15" hidden="false" customHeight="false" outlineLevel="0" collapsed="false">
      <c r="A57" s="0" t="n">
        <v>8628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152.3</v>
      </c>
      <c r="H57" s="0" t="n">
        <v>155.74</v>
      </c>
      <c r="I57" s="0" t="n">
        <v>135.53</v>
      </c>
      <c r="J57" s="0" t="n">
        <v>151.45</v>
      </c>
      <c r="K57" s="0" t="n">
        <v>121.1</v>
      </c>
      <c r="L57" s="0" t="n">
        <v>117.22</v>
      </c>
      <c r="M57" s="0" t="n">
        <v>135.4</v>
      </c>
      <c r="N57" s="0" t="n">
        <v>157.11</v>
      </c>
      <c r="O57" s="0" t="n">
        <v>145.6</v>
      </c>
      <c r="P57" s="0" t="n">
        <v>133.59</v>
      </c>
      <c r="Q57" s="0" t="n">
        <v>124.12</v>
      </c>
      <c r="R57" s="0" t="n">
        <v>141.72</v>
      </c>
      <c r="S57" s="0" t="n">
        <v>181.57</v>
      </c>
      <c r="T57" s="0" t="n">
        <v>190.85</v>
      </c>
      <c r="U57" s="0" t="n">
        <v>144.71</v>
      </c>
      <c r="V57" s="0" t="n">
        <v>140.88</v>
      </c>
      <c r="W57" s="0" t="n">
        <v>121.29</v>
      </c>
      <c r="X57" s="0" t="n">
        <v>0</v>
      </c>
      <c r="Y57" s="0" t="n">
        <v>0</v>
      </c>
    </row>
    <row r="58" customFormat="false" ht="15" hidden="false" customHeight="false" outlineLevel="0" collapsed="false">
      <c r="A58" s="0" t="n">
        <v>8630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192.1</v>
      </c>
      <c r="H58" s="0" t="n">
        <v>178.04</v>
      </c>
      <c r="I58" s="0" t="n">
        <v>145.32</v>
      </c>
      <c r="J58" s="0" t="n">
        <v>133.89</v>
      </c>
      <c r="K58" s="0" t="n">
        <v>81.14</v>
      </c>
      <c r="L58" s="0" t="n">
        <v>70.79</v>
      </c>
      <c r="M58" s="0" t="n">
        <v>85.31</v>
      </c>
      <c r="N58" s="0" t="n">
        <v>127.02</v>
      </c>
      <c r="O58" s="0" t="n">
        <v>106.87</v>
      </c>
      <c r="P58" s="0" t="n">
        <v>97.92</v>
      </c>
      <c r="Q58" s="0" t="n">
        <v>105.82</v>
      </c>
      <c r="R58" s="0" t="n">
        <v>139.48</v>
      </c>
      <c r="S58" s="0" t="n">
        <v>194.34</v>
      </c>
      <c r="T58" s="0" t="n">
        <v>242.11</v>
      </c>
      <c r="U58" s="0" t="n">
        <v>171.01</v>
      </c>
      <c r="V58" s="0" t="n">
        <v>177.95</v>
      </c>
      <c r="W58" s="0" t="n">
        <v>93.5</v>
      </c>
      <c r="X58" s="0" t="n">
        <v>0</v>
      </c>
      <c r="Y58" s="0" t="n">
        <v>0</v>
      </c>
    </row>
    <row r="59" customFormat="false" ht="15" hidden="false" customHeight="false" outlineLevel="0" collapsed="false">
      <c r="A59" s="0" t="n">
        <v>8631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488.65</v>
      </c>
      <c r="H59" s="0" t="n">
        <v>537.73</v>
      </c>
      <c r="I59" s="0" t="n">
        <v>494.3</v>
      </c>
      <c r="J59" s="0" t="n">
        <v>528.99</v>
      </c>
      <c r="K59" s="0" t="n">
        <v>544.83</v>
      </c>
      <c r="L59" s="0" t="n">
        <v>537.05</v>
      </c>
      <c r="M59" s="0" t="n">
        <v>563.32</v>
      </c>
      <c r="N59" s="0" t="n">
        <v>575.52</v>
      </c>
      <c r="O59" s="0" t="n">
        <v>644.98</v>
      </c>
      <c r="P59" s="0" t="n">
        <v>529.15</v>
      </c>
      <c r="Q59" s="0" t="n">
        <v>488.22</v>
      </c>
      <c r="R59" s="0" t="n">
        <v>454.74</v>
      </c>
      <c r="S59" s="0" t="n">
        <v>450</v>
      </c>
      <c r="T59" s="0" t="n">
        <v>440.38</v>
      </c>
      <c r="U59" s="0" t="n">
        <v>457.36</v>
      </c>
      <c r="V59" s="0" t="n">
        <v>398.64</v>
      </c>
      <c r="W59" s="0" t="n">
        <v>437.08</v>
      </c>
      <c r="X59" s="0" t="n">
        <v>0</v>
      </c>
      <c r="Y59" s="0" t="n">
        <v>0</v>
      </c>
    </row>
    <row r="60" customFormat="false" ht="15" hidden="false" customHeight="false" outlineLevel="0" collapsed="false">
      <c r="A60" s="0" t="n">
        <v>8632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94.92</v>
      </c>
      <c r="H60" s="0" t="n">
        <v>86.01</v>
      </c>
      <c r="I60" s="0" t="n">
        <v>79.35</v>
      </c>
      <c r="J60" s="0" t="n">
        <v>78.97</v>
      </c>
      <c r="K60" s="0" t="n">
        <v>65.97</v>
      </c>
      <c r="L60" s="0" t="n">
        <v>67.69</v>
      </c>
      <c r="M60" s="0" t="n">
        <v>103.82</v>
      </c>
      <c r="N60" s="0" t="n">
        <v>132.38</v>
      </c>
      <c r="O60" s="0" t="n">
        <v>136.19</v>
      </c>
      <c r="P60" s="0" t="n">
        <v>77.82</v>
      </c>
      <c r="Q60" s="0" t="n">
        <v>64.73</v>
      </c>
      <c r="R60" s="0" t="n">
        <v>71.67</v>
      </c>
      <c r="S60" s="0" t="n">
        <v>82.72</v>
      </c>
      <c r="T60" s="0" t="n">
        <v>96.29</v>
      </c>
      <c r="U60" s="0" t="n">
        <v>71.93</v>
      </c>
      <c r="V60" s="0" t="n">
        <v>86.07</v>
      </c>
      <c r="W60" s="0" t="n">
        <v>73.45</v>
      </c>
      <c r="X60" s="0" t="n">
        <v>0</v>
      </c>
      <c r="Y60" s="0" t="n">
        <v>0</v>
      </c>
    </row>
    <row r="61" customFormat="false" ht="15" hidden="false" customHeight="false" outlineLevel="0" collapsed="false">
      <c r="A61" s="0" t="n">
        <v>8633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153.3</v>
      </c>
      <c r="H61" s="0" t="n">
        <v>235.52</v>
      </c>
      <c r="I61" s="0" t="n">
        <v>144.81</v>
      </c>
      <c r="J61" s="0" t="n">
        <v>170.73</v>
      </c>
      <c r="K61" s="0" t="n">
        <v>107.14</v>
      </c>
      <c r="L61" s="0" t="n">
        <v>64.89</v>
      </c>
      <c r="M61" s="0" t="n">
        <v>74.86</v>
      </c>
      <c r="N61" s="0" t="n">
        <v>64.9</v>
      </c>
      <c r="O61" s="0" t="n">
        <v>73.65</v>
      </c>
      <c r="P61" s="0" t="n">
        <v>68.86</v>
      </c>
      <c r="Q61" s="0" t="n">
        <v>64.9</v>
      </c>
      <c r="R61" s="0" t="n">
        <v>98.52</v>
      </c>
      <c r="S61" s="0" t="n">
        <v>222.19</v>
      </c>
      <c r="T61" s="0" t="n">
        <v>204.15</v>
      </c>
      <c r="U61" s="0" t="n">
        <v>117.32</v>
      </c>
      <c r="V61" s="0" t="n">
        <v>122.82</v>
      </c>
      <c r="W61" s="0" t="n">
        <v>64.9</v>
      </c>
      <c r="X61" s="0" t="n">
        <v>0</v>
      </c>
      <c r="Y61" s="0" t="n">
        <v>0</v>
      </c>
    </row>
    <row r="62" customFormat="false" ht="15" hidden="false" customHeight="false" outlineLevel="0" collapsed="false">
      <c r="A62" s="0" t="n">
        <v>8634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25.51</v>
      </c>
      <c r="H62" s="0" t="n">
        <v>36.23</v>
      </c>
      <c r="I62" s="0" t="n">
        <v>36.22</v>
      </c>
      <c r="J62" s="0" t="n">
        <v>36.23</v>
      </c>
      <c r="K62" s="0" t="n">
        <v>36.23</v>
      </c>
      <c r="L62" s="0" t="n">
        <v>36.42</v>
      </c>
      <c r="M62" s="0" t="n">
        <v>39.14</v>
      </c>
      <c r="N62" s="0" t="n">
        <v>36.42</v>
      </c>
      <c r="O62" s="0" t="n">
        <v>69.21</v>
      </c>
      <c r="P62" s="0" t="n">
        <v>36.42</v>
      </c>
      <c r="Q62" s="0" t="n">
        <v>36.42</v>
      </c>
      <c r="R62" s="0" t="n">
        <v>36.42</v>
      </c>
      <c r="S62" s="0" t="n">
        <v>36.42</v>
      </c>
      <c r="T62" s="0" t="n">
        <v>36.42</v>
      </c>
      <c r="U62" s="0" t="n">
        <v>36.41</v>
      </c>
      <c r="V62" s="0" t="n">
        <v>36.42</v>
      </c>
      <c r="W62" s="0" t="n">
        <v>36.42</v>
      </c>
      <c r="X62" s="0" t="n">
        <v>0</v>
      </c>
      <c r="Y62" s="0" t="n">
        <v>0</v>
      </c>
    </row>
    <row r="63" customFormat="false" ht="15" hidden="false" customHeight="false" outlineLevel="0" collapsed="false">
      <c r="A63" s="0" t="n">
        <v>8636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84.84</v>
      </c>
      <c r="H63" s="0" t="n">
        <v>87.6</v>
      </c>
      <c r="I63" s="0" t="n">
        <v>102.13</v>
      </c>
      <c r="J63" s="0" t="n">
        <v>112.73</v>
      </c>
      <c r="K63" s="0" t="n">
        <v>67.24</v>
      </c>
      <c r="L63" s="0" t="n">
        <v>70.09</v>
      </c>
      <c r="M63" s="0" t="n">
        <v>176.45</v>
      </c>
      <c r="N63" s="0" t="n">
        <v>216.18</v>
      </c>
      <c r="O63" s="0" t="n">
        <v>228.49</v>
      </c>
      <c r="P63" s="0" t="n">
        <v>167.21</v>
      </c>
      <c r="Q63" s="0" t="n">
        <v>89.58</v>
      </c>
      <c r="R63" s="0" t="n">
        <v>53.52</v>
      </c>
      <c r="S63" s="0" t="n">
        <v>94.91</v>
      </c>
      <c r="T63" s="0" t="n">
        <v>68.69</v>
      </c>
      <c r="U63" s="0" t="n">
        <v>52.1</v>
      </c>
      <c r="V63" s="0" t="n">
        <v>65.48</v>
      </c>
      <c r="W63" s="0" t="n">
        <v>54.69</v>
      </c>
      <c r="X63" s="0" t="n">
        <v>0</v>
      </c>
      <c r="Y63" s="0" t="n">
        <v>0</v>
      </c>
    </row>
    <row r="64" customFormat="false" ht="15" hidden="false" customHeight="false" outlineLevel="0" collapsed="false">
      <c r="A64" s="0" t="n">
        <v>8637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210.17</v>
      </c>
      <c r="H64" s="0" t="n">
        <v>158.23</v>
      </c>
      <c r="I64" s="0" t="n">
        <v>144.91</v>
      </c>
      <c r="J64" s="0" t="n">
        <v>177.92</v>
      </c>
      <c r="K64" s="0" t="n">
        <v>203.1</v>
      </c>
      <c r="L64" s="0" t="n">
        <v>248.87</v>
      </c>
      <c r="M64" s="0" t="n">
        <v>311.28</v>
      </c>
      <c r="N64" s="0" t="n">
        <v>316.34</v>
      </c>
      <c r="O64" s="0" t="n">
        <v>459.23</v>
      </c>
      <c r="P64" s="0" t="n">
        <v>343.62</v>
      </c>
      <c r="Q64" s="0" t="n">
        <v>268.93</v>
      </c>
      <c r="R64" s="0" t="n">
        <v>208.6</v>
      </c>
      <c r="S64" s="0" t="n">
        <v>225.91</v>
      </c>
      <c r="T64" s="0" t="n">
        <v>206.38</v>
      </c>
      <c r="U64" s="0" t="n">
        <v>249.36</v>
      </c>
      <c r="V64" s="0" t="n">
        <v>234.85</v>
      </c>
      <c r="W64" s="0" t="n">
        <v>245.83</v>
      </c>
      <c r="X64" s="0" t="n">
        <v>0</v>
      </c>
      <c r="Y64" s="0" t="n">
        <v>0</v>
      </c>
    </row>
    <row r="65" customFormat="false" ht="15" hidden="false" customHeight="false" outlineLevel="0" collapsed="false">
      <c r="A65" s="0" t="n">
        <v>8639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102.46</v>
      </c>
      <c r="H65" s="0" t="n">
        <v>89.21</v>
      </c>
      <c r="I65" s="0" t="n">
        <v>83.15</v>
      </c>
      <c r="J65" s="0" t="n">
        <v>72.06</v>
      </c>
      <c r="K65" s="0" t="n">
        <v>80.99</v>
      </c>
      <c r="L65" s="0" t="n">
        <v>82.21</v>
      </c>
      <c r="M65" s="0" t="n">
        <v>98.36</v>
      </c>
      <c r="N65" s="0" t="n">
        <v>101.02</v>
      </c>
      <c r="O65" s="0" t="n">
        <v>102.55</v>
      </c>
      <c r="P65" s="0" t="n">
        <v>85.84</v>
      </c>
      <c r="Q65" s="0" t="n">
        <v>73.62</v>
      </c>
      <c r="R65" s="0" t="n">
        <v>75.21</v>
      </c>
      <c r="S65" s="0" t="n">
        <v>82.48</v>
      </c>
      <c r="T65" s="0" t="n">
        <v>82.8</v>
      </c>
      <c r="U65" s="0" t="n">
        <v>76.5</v>
      </c>
      <c r="V65" s="0" t="n">
        <v>89.98</v>
      </c>
      <c r="W65" s="0" t="n">
        <v>96.87</v>
      </c>
      <c r="X65" s="0" t="n">
        <v>0</v>
      </c>
      <c r="Y65" s="0" t="n">
        <v>0</v>
      </c>
    </row>
    <row r="66" customFormat="false" ht="15" hidden="false" customHeight="false" outlineLevel="0" collapsed="false">
      <c r="A66" s="0" t="n">
        <v>8640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449.11</v>
      </c>
      <c r="G66" s="0" t="n">
        <v>662.18</v>
      </c>
      <c r="H66" s="0" t="n">
        <v>474.49</v>
      </c>
      <c r="I66" s="0" t="n">
        <v>515.45</v>
      </c>
      <c r="J66" s="0" t="n">
        <v>71.21</v>
      </c>
      <c r="K66" s="0" t="n">
        <v>492.58</v>
      </c>
      <c r="L66" s="0" t="n">
        <v>493.06</v>
      </c>
      <c r="M66" s="0" t="n">
        <v>616.1</v>
      </c>
      <c r="N66" s="0" t="n">
        <v>1183.11</v>
      </c>
      <c r="O66" s="0" t="n">
        <v>1678.46</v>
      </c>
      <c r="P66" s="0" t="n">
        <v>0</v>
      </c>
      <c r="Q66" s="0" t="n">
        <v>417.31</v>
      </c>
      <c r="R66" s="0" t="n">
        <v>248.18</v>
      </c>
      <c r="S66" s="0" t="n">
        <v>405.59</v>
      </c>
      <c r="T66" s="0" t="n">
        <v>379.31</v>
      </c>
      <c r="U66" s="0" t="n">
        <v>351.58</v>
      </c>
      <c r="V66" s="0" t="n">
        <v>359.92</v>
      </c>
      <c r="W66" s="0" t="n">
        <v>452.06</v>
      </c>
      <c r="X66" s="0" t="n">
        <v>0</v>
      </c>
      <c r="Y66" s="0" t="n">
        <v>0</v>
      </c>
    </row>
    <row r="67" customFormat="false" ht="15" hidden="false" customHeight="false" outlineLevel="0" collapsed="false">
      <c r="A67" s="0" t="n">
        <v>8642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85.15</v>
      </c>
      <c r="H67" s="0" t="n">
        <v>120.77</v>
      </c>
      <c r="I67" s="0" t="n">
        <v>92.2</v>
      </c>
      <c r="J67" s="0" t="n">
        <v>68.44</v>
      </c>
      <c r="K67" s="0" t="n">
        <v>57.76</v>
      </c>
      <c r="L67" s="0" t="n">
        <v>57.95</v>
      </c>
      <c r="M67" s="0" t="n">
        <v>84.98</v>
      </c>
      <c r="N67" s="0" t="n">
        <v>61.44</v>
      </c>
      <c r="O67" s="0" t="n">
        <v>101.42</v>
      </c>
      <c r="P67" s="0" t="n">
        <v>70.84</v>
      </c>
      <c r="Q67" s="0" t="n">
        <v>84.57</v>
      </c>
      <c r="R67" s="0" t="n">
        <v>67.08</v>
      </c>
      <c r="S67" s="0" t="n">
        <v>70.83</v>
      </c>
      <c r="T67" s="0" t="n">
        <v>70.11</v>
      </c>
      <c r="U67" s="0" t="n">
        <v>132.36</v>
      </c>
      <c r="V67" s="0" t="n">
        <v>104.69</v>
      </c>
      <c r="W67" s="0" t="n">
        <v>57.95</v>
      </c>
      <c r="X67" s="0" t="n">
        <v>0</v>
      </c>
      <c r="Y67" s="0" t="n">
        <v>0</v>
      </c>
    </row>
    <row r="68" customFormat="false" ht="15" hidden="false" customHeight="false" outlineLevel="0" collapsed="false">
      <c r="A68" s="0" t="n">
        <v>8645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41.66</v>
      </c>
      <c r="H68" s="0" t="n">
        <v>35.05</v>
      </c>
      <c r="I68" s="0" t="n">
        <v>34.81</v>
      </c>
      <c r="J68" s="0" t="n">
        <v>35.95</v>
      </c>
      <c r="K68" s="0" t="n">
        <v>31.75</v>
      </c>
      <c r="L68" s="0" t="n">
        <v>29.2</v>
      </c>
      <c r="M68" s="0" t="n">
        <v>31.73</v>
      </c>
      <c r="N68" s="0" t="n">
        <v>33.85</v>
      </c>
      <c r="O68" s="0" t="n">
        <v>33.05</v>
      </c>
      <c r="P68" s="0" t="n">
        <v>31.61</v>
      </c>
      <c r="Q68" s="0" t="n">
        <v>29.11</v>
      </c>
      <c r="R68" s="0" t="n">
        <v>28.47</v>
      </c>
      <c r="S68" s="0" t="n">
        <v>31.87</v>
      </c>
      <c r="T68" s="0" t="n">
        <v>30.7</v>
      </c>
      <c r="U68" s="0" t="n">
        <v>29.69</v>
      </c>
      <c r="V68" s="0" t="n">
        <v>30.16</v>
      </c>
      <c r="W68" s="0" t="n">
        <v>29.88</v>
      </c>
      <c r="X68" s="0" t="n">
        <v>0</v>
      </c>
      <c r="Y68" s="0" t="n">
        <v>0</v>
      </c>
    </row>
    <row r="69" customFormat="false" ht="15" hidden="false" customHeight="false" outlineLevel="0" collapsed="false">
      <c r="A69" s="0" t="n">
        <v>8646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358.67</v>
      </c>
      <c r="H69" s="0" t="n">
        <v>350.43</v>
      </c>
      <c r="I69" s="0" t="n">
        <v>337.5</v>
      </c>
      <c r="J69" s="0" t="n">
        <v>277.58</v>
      </c>
      <c r="K69" s="0" t="n">
        <v>256.26</v>
      </c>
      <c r="L69" s="0" t="n">
        <v>193.71</v>
      </c>
      <c r="M69" s="0" t="n">
        <v>181.85</v>
      </c>
      <c r="N69" s="0" t="n">
        <v>363.21</v>
      </c>
      <c r="O69" s="0" t="n">
        <v>369.07</v>
      </c>
      <c r="P69" s="0" t="n">
        <v>254.21</v>
      </c>
      <c r="Q69" s="0" t="n">
        <v>189.36</v>
      </c>
      <c r="R69" s="0" t="n">
        <v>231.97</v>
      </c>
      <c r="S69" s="0" t="n">
        <v>305.24</v>
      </c>
      <c r="T69" s="0" t="n">
        <v>452.36</v>
      </c>
      <c r="U69" s="0" t="n">
        <v>293.37</v>
      </c>
      <c r="V69" s="0" t="n">
        <v>376.52</v>
      </c>
      <c r="W69" s="0" t="n">
        <v>246.41</v>
      </c>
      <c r="X69" s="0" t="n">
        <v>0</v>
      </c>
      <c r="Y69" s="0" t="n">
        <v>0</v>
      </c>
    </row>
    <row r="70" customFormat="false" ht="15" hidden="false" customHeight="false" outlineLevel="0" collapsed="false">
      <c r="A70" s="0" t="n">
        <v>8647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118.32</v>
      </c>
      <c r="H70" s="0" t="n">
        <v>113.69</v>
      </c>
      <c r="I70" s="0" t="n">
        <v>92.56</v>
      </c>
      <c r="J70" s="0" t="n">
        <v>84.84</v>
      </c>
      <c r="K70" s="0" t="n">
        <v>76.2</v>
      </c>
      <c r="L70" s="0" t="n">
        <v>56.22</v>
      </c>
      <c r="M70" s="0" t="n">
        <v>54.26</v>
      </c>
      <c r="N70" s="0" t="n">
        <v>61.97</v>
      </c>
      <c r="O70" s="0" t="n">
        <v>68.04</v>
      </c>
      <c r="P70" s="0" t="n">
        <v>57.03</v>
      </c>
      <c r="Q70" s="0" t="n">
        <v>67.69</v>
      </c>
      <c r="R70" s="0" t="n">
        <v>86.22</v>
      </c>
      <c r="S70" s="0" t="n">
        <v>126.77</v>
      </c>
      <c r="T70" s="0" t="n">
        <v>120.39</v>
      </c>
      <c r="U70" s="0" t="n">
        <v>76.79</v>
      </c>
      <c r="V70" s="0" t="n">
        <v>111.2</v>
      </c>
      <c r="W70" s="0" t="n">
        <v>66.77</v>
      </c>
      <c r="X70" s="0" t="n">
        <v>0</v>
      </c>
      <c r="Y70" s="0" t="n">
        <v>0</v>
      </c>
    </row>
    <row r="71" customFormat="false" ht="15" hidden="false" customHeight="false" outlineLevel="0" collapsed="false">
      <c r="A71" s="0" t="n">
        <v>8648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36.63</v>
      </c>
      <c r="H71" s="0" t="n">
        <v>65.34</v>
      </c>
      <c r="I71" s="0" t="n">
        <v>88.68</v>
      </c>
      <c r="J71" s="0" t="n">
        <v>93.12</v>
      </c>
      <c r="K71" s="0" t="n">
        <v>84.43</v>
      </c>
      <c r="L71" s="0" t="n">
        <v>101.18</v>
      </c>
      <c r="M71" s="0" t="n">
        <v>101.75</v>
      </c>
      <c r="N71" s="0" t="n">
        <v>102.95</v>
      </c>
      <c r="O71" s="0" t="n">
        <v>100.4</v>
      </c>
      <c r="P71" s="0" t="n">
        <v>97.61</v>
      </c>
      <c r="Q71" s="0" t="n">
        <v>97.97</v>
      </c>
      <c r="R71" s="0" t="n">
        <v>102.17</v>
      </c>
      <c r="S71" s="0" t="n">
        <v>84.78</v>
      </c>
      <c r="T71" s="0" t="n">
        <v>86.04</v>
      </c>
      <c r="U71" s="0" t="n">
        <v>90.5</v>
      </c>
      <c r="V71" s="0" t="n">
        <v>92.13</v>
      </c>
      <c r="W71" s="0" t="n">
        <v>105.09</v>
      </c>
      <c r="X71" s="0" t="n">
        <v>0</v>
      </c>
      <c r="Y71" s="0" t="n">
        <v>0</v>
      </c>
    </row>
    <row r="72" customFormat="false" ht="15" hidden="false" customHeight="false" outlineLevel="0" collapsed="false">
      <c r="A72" s="0" t="n">
        <v>8650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47.1</v>
      </c>
      <c r="H72" s="0" t="n">
        <v>102.36</v>
      </c>
      <c r="I72" s="0" t="n">
        <v>78.98</v>
      </c>
      <c r="J72" s="0" t="n">
        <v>99.58</v>
      </c>
      <c r="K72" s="0" t="n">
        <v>74.5</v>
      </c>
      <c r="L72" s="0" t="n">
        <v>68.43</v>
      </c>
      <c r="M72" s="0" t="n">
        <v>74.5</v>
      </c>
      <c r="N72" s="0" t="n">
        <v>105.08</v>
      </c>
      <c r="O72" s="0" t="n">
        <v>138.22</v>
      </c>
      <c r="P72" s="0" t="n">
        <v>106.65</v>
      </c>
      <c r="Q72" s="0" t="n">
        <v>83.05</v>
      </c>
      <c r="R72" s="0" t="n">
        <v>64.55</v>
      </c>
      <c r="S72" s="0" t="n">
        <v>76.49</v>
      </c>
      <c r="T72" s="0" t="n">
        <v>91.62</v>
      </c>
      <c r="U72" s="0" t="n">
        <v>58.77</v>
      </c>
      <c r="V72" s="0" t="n">
        <v>58.18</v>
      </c>
      <c r="W72" s="0" t="n">
        <v>55.48</v>
      </c>
      <c r="X72" s="0" t="n">
        <v>0</v>
      </c>
      <c r="Y72" s="0" t="n">
        <v>0</v>
      </c>
    </row>
    <row r="73" customFormat="false" ht="15" hidden="false" customHeight="false" outlineLevel="0" collapsed="false">
      <c r="A73" s="0" t="n">
        <v>8651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179.27</v>
      </c>
      <c r="H73" s="0" t="n">
        <v>171.75</v>
      </c>
      <c r="I73" s="0" t="n">
        <v>160.16</v>
      </c>
      <c r="J73" s="0" t="n">
        <v>129.92</v>
      </c>
      <c r="K73" s="0" t="n">
        <v>139.63</v>
      </c>
      <c r="L73" s="0" t="n">
        <v>145.33</v>
      </c>
      <c r="M73" s="0" t="n">
        <v>125.55</v>
      </c>
      <c r="N73" s="0" t="n">
        <v>124.24</v>
      </c>
      <c r="O73" s="0" t="n">
        <v>120.84</v>
      </c>
      <c r="P73" s="0" t="n">
        <v>128.59</v>
      </c>
      <c r="Q73" s="0" t="n">
        <v>127.75</v>
      </c>
      <c r="R73" s="0" t="n">
        <v>133.81</v>
      </c>
      <c r="S73" s="0" t="n">
        <v>141.93</v>
      </c>
      <c r="T73" s="0" t="n">
        <v>138.58</v>
      </c>
      <c r="U73" s="0" t="n">
        <v>129.93</v>
      </c>
      <c r="V73" s="0" t="n">
        <v>125.39</v>
      </c>
      <c r="W73" s="0" t="n">
        <v>116.23</v>
      </c>
      <c r="X73" s="0" t="n">
        <v>0</v>
      </c>
      <c r="Y73" s="0" t="n">
        <v>0</v>
      </c>
    </row>
    <row r="74" customFormat="false" ht="15" hidden="false" customHeight="false" outlineLevel="0" collapsed="false">
      <c r="A74" s="0" t="n">
        <v>8653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60.01</v>
      </c>
      <c r="H74" s="0" t="n">
        <v>68.16</v>
      </c>
      <c r="I74" s="0" t="n">
        <v>67.64</v>
      </c>
      <c r="J74" s="0" t="n">
        <v>73.35</v>
      </c>
      <c r="K74" s="0" t="n">
        <v>53.01</v>
      </c>
      <c r="L74" s="0" t="n">
        <v>58.62</v>
      </c>
      <c r="M74" s="0" t="n">
        <v>72.58</v>
      </c>
      <c r="N74" s="0" t="n">
        <v>79.49</v>
      </c>
      <c r="O74" s="0" t="n">
        <v>70.45</v>
      </c>
      <c r="P74" s="0" t="n">
        <v>70.07</v>
      </c>
      <c r="Q74" s="0" t="n">
        <v>52.96</v>
      </c>
      <c r="R74" s="0" t="n">
        <v>59.33</v>
      </c>
      <c r="S74" s="0" t="n">
        <v>75.91</v>
      </c>
      <c r="T74" s="0" t="n">
        <v>71.54</v>
      </c>
      <c r="U74" s="0" t="n">
        <v>63.92</v>
      </c>
      <c r="V74" s="0" t="n">
        <v>69.46</v>
      </c>
      <c r="W74" s="0" t="n">
        <v>54.68</v>
      </c>
      <c r="X74" s="0" t="n">
        <v>0</v>
      </c>
      <c r="Y74" s="0" t="n">
        <v>0</v>
      </c>
    </row>
    <row r="75" customFormat="false" ht="15" hidden="false" customHeight="false" outlineLevel="0" collapsed="false">
      <c r="A75" s="0" t="n">
        <v>8655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24.29</v>
      </c>
      <c r="H75" s="0" t="n">
        <v>30.33</v>
      </c>
      <c r="I75" s="0" t="n">
        <v>30.41</v>
      </c>
      <c r="J75" s="0" t="n">
        <v>30.7</v>
      </c>
      <c r="K75" s="0" t="n">
        <v>30.44</v>
      </c>
      <c r="L75" s="0" t="n">
        <v>31.33</v>
      </c>
      <c r="M75" s="0" t="n">
        <v>30.63</v>
      </c>
      <c r="N75" s="0" t="n">
        <v>50.95</v>
      </c>
      <c r="O75" s="0" t="n">
        <v>143.88</v>
      </c>
      <c r="P75" s="0" t="n">
        <v>75.89</v>
      </c>
      <c r="Q75" s="0" t="n">
        <v>97.48</v>
      </c>
      <c r="R75" s="0" t="n">
        <v>138.15</v>
      </c>
      <c r="S75" s="0" t="n">
        <v>225.91</v>
      </c>
      <c r="T75" s="0" t="n">
        <v>280.97</v>
      </c>
      <c r="U75" s="0" t="n">
        <v>162.3</v>
      </c>
      <c r="V75" s="0" t="n">
        <v>213.17</v>
      </c>
      <c r="W75" s="0" t="n">
        <v>130.56</v>
      </c>
      <c r="X75" s="0" t="n">
        <v>0</v>
      </c>
      <c r="Y75" s="0" t="n">
        <v>0</v>
      </c>
    </row>
    <row r="76" customFormat="false" ht="15" hidden="false" customHeight="false" outlineLevel="0" collapsed="false">
      <c r="A76" s="0" t="n">
        <v>8656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139.72</v>
      </c>
      <c r="H76" s="0" t="n">
        <v>238.81</v>
      </c>
      <c r="I76" s="0" t="n">
        <v>213.22</v>
      </c>
      <c r="J76" s="0" t="n">
        <v>225.12</v>
      </c>
      <c r="K76" s="0" t="n">
        <v>105.27</v>
      </c>
      <c r="L76" s="0" t="n">
        <v>108.45</v>
      </c>
      <c r="M76" s="0" t="n">
        <v>111.84</v>
      </c>
      <c r="N76" s="0" t="n">
        <v>118.73</v>
      </c>
      <c r="O76" s="0" t="n">
        <v>117.75</v>
      </c>
      <c r="P76" s="0" t="n">
        <v>115.82</v>
      </c>
      <c r="Q76" s="0" t="n">
        <v>109.08</v>
      </c>
      <c r="R76" s="0" t="n">
        <v>115.93</v>
      </c>
      <c r="S76" s="0" t="n">
        <v>128.57</v>
      </c>
      <c r="T76" s="0" t="n">
        <v>124.52</v>
      </c>
      <c r="U76" s="0" t="n">
        <v>115.58</v>
      </c>
      <c r="V76" s="0" t="n">
        <v>122.89</v>
      </c>
      <c r="W76" s="0" t="n">
        <v>106.18</v>
      </c>
      <c r="X76" s="0" t="n">
        <v>0</v>
      </c>
      <c r="Y76" s="0" t="n">
        <v>0</v>
      </c>
    </row>
    <row r="77" customFormat="false" ht="15" hidden="false" customHeight="false" outlineLevel="0" collapsed="false">
      <c r="A77" s="0" t="n">
        <v>8657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393.41</v>
      </c>
      <c r="H77" s="0" t="n">
        <v>419.51</v>
      </c>
      <c r="I77" s="0" t="n">
        <v>389.06</v>
      </c>
      <c r="J77" s="0" t="n">
        <v>401.02</v>
      </c>
      <c r="K77" s="0" t="n">
        <v>407.94</v>
      </c>
      <c r="L77" s="0" t="n">
        <v>493.27</v>
      </c>
      <c r="M77" s="0" t="n">
        <v>521.53</v>
      </c>
      <c r="N77" s="0" t="n">
        <v>704.76</v>
      </c>
      <c r="O77" s="0" t="n">
        <v>749.93</v>
      </c>
      <c r="P77" s="0" t="n">
        <v>566.89</v>
      </c>
      <c r="Q77" s="0" t="n">
        <v>529.1</v>
      </c>
      <c r="R77" s="0" t="n">
        <v>324.93</v>
      </c>
      <c r="S77" s="0" t="n">
        <v>478.51</v>
      </c>
      <c r="T77" s="0" t="n">
        <v>445.62</v>
      </c>
      <c r="U77" s="0" t="n">
        <v>481.49</v>
      </c>
      <c r="V77" s="0" t="n">
        <v>416.01</v>
      </c>
      <c r="W77" s="0" t="n">
        <v>494.21</v>
      </c>
      <c r="X77" s="0" t="n">
        <v>0</v>
      </c>
      <c r="Y77" s="0" t="n">
        <v>0</v>
      </c>
    </row>
    <row r="78" customFormat="false" ht="15" hidden="false" customHeight="false" outlineLevel="0" collapsed="false">
      <c r="A78" s="0" t="n">
        <v>8658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172.66</v>
      </c>
      <c r="H78" s="0" t="n">
        <v>140.6</v>
      </c>
      <c r="I78" s="0" t="n">
        <v>158.47</v>
      </c>
      <c r="J78" s="0" t="n">
        <v>184.51</v>
      </c>
      <c r="K78" s="0" t="n">
        <v>194.33</v>
      </c>
      <c r="L78" s="0" t="n">
        <v>221.07</v>
      </c>
      <c r="M78" s="0" t="n">
        <v>286.14</v>
      </c>
      <c r="N78" s="0" t="n">
        <v>327.74</v>
      </c>
      <c r="O78" s="0" t="n">
        <v>322.68</v>
      </c>
      <c r="P78" s="0" t="n">
        <v>298.59</v>
      </c>
      <c r="Q78" s="0" t="n">
        <v>127.27</v>
      </c>
      <c r="R78" s="0" t="n">
        <v>86.75</v>
      </c>
      <c r="S78" s="0" t="n">
        <v>125.6</v>
      </c>
      <c r="T78" s="0" t="n">
        <v>117.49</v>
      </c>
      <c r="U78" s="0" t="n">
        <v>107.32</v>
      </c>
      <c r="V78" s="0" t="n">
        <v>98.2</v>
      </c>
      <c r="W78" s="0" t="n">
        <v>110.02</v>
      </c>
      <c r="X78" s="0" t="n">
        <v>0</v>
      </c>
      <c r="Y78" s="0" t="n">
        <v>0</v>
      </c>
    </row>
    <row r="79" customFormat="false" ht="15" hidden="false" customHeight="false" outlineLevel="0" collapsed="false">
      <c r="A79" s="0" t="n">
        <v>8659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75.72</v>
      </c>
      <c r="H79" s="0" t="n">
        <v>65.52</v>
      </c>
      <c r="I79" s="0" t="n">
        <v>59.6</v>
      </c>
      <c r="J79" s="0" t="n">
        <v>64.86</v>
      </c>
      <c r="K79" s="0" t="n">
        <v>58.86</v>
      </c>
      <c r="L79" s="0" t="n">
        <v>62.08</v>
      </c>
      <c r="M79" s="0" t="n">
        <v>68.69</v>
      </c>
      <c r="N79" s="0" t="n">
        <v>93.19</v>
      </c>
      <c r="O79" s="0" t="n">
        <v>44.32</v>
      </c>
      <c r="P79" s="0" t="n">
        <v>71.61</v>
      </c>
      <c r="Q79" s="0" t="n">
        <v>75.68</v>
      </c>
      <c r="R79" s="0" t="n">
        <v>82.53</v>
      </c>
      <c r="S79" s="0" t="n">
        <v>123.37</v>
      </c>
      <c r="T79" s="0" t="n">
        <v>111.46</v>
      </c>
      <c r="U79" s="0" t="n">
        <v>98.21</v>
      </c>
      <c r="V79" s="0" t="n">
        <v>102.11</v>
      </c>
      <c r="W79" s="0" t="n">
        <v>93.47</v>
      </c>
      <c r="X79" s="0" t="n">
        <v>0</v>
      </c>
      <c r="Y79" s="0" t="n">
        <v>0</v>
      </c>
    </row>
    <row r="80" customFormat="false" ht="15" hidden="false" customHeight="false" outlineLevel="0" collapsed="false">
      <c r="A80" s="0" t="n">
        <v>8660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194.59</v>
      </c>
      <c r="H80" s="0" t="n">
        <v>200.53</v>
      </c>
      <c r="I80" s="0" t="n">
        <v>189.95</v>
      </c>
      <c r="J80" s="0" t="n">
        <v>191.45</v>
      </c>
      <c r="K80" s="0" t="n">
        <v>170.59</v>
      </c>
      <c r="L80" s="0" t="n">
        <v>187.58</v>
      </c>
      <c r="M80" s="0" t="n">
        <v>243.75</v>
      </c>
      <c r="N80" s="0" t="n">
        <v>225.29</v>
      </c>
      <c r="O80" s="0" t="n">
        <v>265.1</v>
      </c>
      <c r="P80" s="0" t="n">
        <v>177.17</v>
      </c>
      <c r="Q80" s="0" t="n">
        <v>163.95</v>
      </c>
      <c r="R80" s="0" t="n">
        <v>163.55</v>
      </c>
      <c r="S80" s="0" t="n">
        <v>169.55</v>
      </c>
      <c r="T80" s="0" t="n">
        <v>163.22</v>
      </c>
      <c r="U80" s="0" t="n">
        <v>171.38</v>
      </c>
      <c r="V80" s="0" t="n">
        <v>159.33</v>
      </c>
      <c r="W80" s="0" t="n">
        <v>114.01</v>
      </c>
      <c r="X80" s="0" t="n">
        <v>0</v>
      </c>
      <c r="Y80" s="0" t="n">
        <v>0</v>
      </c>
    </row>
    <row r="81" customFormat="false" ht="15" hidden="false" customHeight="false" outlineLevel="0" collapsed="false">
      <c r="A81" s="0" t="n">
        <v>8662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133.65</v>
      </c>
      <c r="H81" s="0" t="n">
        <v>145.22</v>
      </c>
      <c r="I81" s="0" t="n">
        <v>137.24</v>
      </c>
      <c r="J81" s="0" t="n">
        <v>134.79</v>
      </c>
      <c r="K81" s="0" t="n">
        <v>106.91</v>
      </c>
      <c r="L81" s="0" t="n">
        <v>99.99</v>
      </c>
      <c r="M81" s="0" t="n">
        <v>105.79</v>
      </c>
      <c r="N81" s="0" t="n">
        <v>111.83</v>
      </c>
      <c r="O81" s="0" t="n">
        <v>115.89</v>
      </c>
      <c r="P81" s="0" t="n">
        <v>113.78</v>
      </c>
      <c r="Q81" s="0" t="n">
        <v>108.16</v>
      </c>
      <c r="R81" s="0" t="n">
        <v>116.05</v>
      </c>
      <c r="S81" s="0" t="n">
        <v>136.53</v>
      </c>
      <c r="T81" s="0" t="n">
        <v>161.18</v>
      </c>
      <c r="U81" s="0" t="n">
        <v>142.85</v>
      </c>
      <c r="V81" s="0" t="n">
        <v>135.28</v>
      </c>
      <c r="W81" s="0" t="n">
        <v>103.79</v>
      </c>
      <c r="X81" s="0" t="n">
        <v>0</v>
      </c>
      <c r="Y81" s="0" t="n">
        <v>0</v>
      </c>
    </row>
    <row r="82" customFormat="false" ht="15" hidden="false" customHeight="false" outlineLevel="0" collapsed="false">
      <c r="A82" s="0" t="n">
        <v>8663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88.32</v>
      </c>
      <c r="H82" s="0" t="n">
        <v>83.4</v>
      </c>
      <c r="I82" s="0" t="n">
        <v>82.42</v>
      </c>
      <c r="J82" s="0" t="n">
        <v>82.92</v>
      </c>
      <c r="K82" s="0" t="n">
        <v>82.87</v>
      </c>
      <c r="L82" s="0" t="n">
        <v>87.13</v>
      </c>
      <c r="M82" s="0" t="n">
        <v>84.8</v>
      </c>
      <c r="N82" s="0" t="n">
        <v>86.52</v>
      </c>
      <c r="O82" s="0" t="n">
        <v>83.41</v>
      </c>
      <c r="P82" s="0" t="n">
        <v>87.34</v>
      </c>
      <c r="Q82" s="0" t="n">
        <v>89.19</v>
      </c>
      <c r="R82" s="0" t="n">
        <v>86.85</v>
      </c>
      <c r="S82" s="0" t="n">
        <v>82.81</v>
      </c>
      <c r="T82" s="0" t="n">
        <v>59.72</v>
      </c>
      <c r="U82" s="0" t="n">
        <v>82.24</v>
      </c>
      <c r="V82" s="0" t="n">
        <v>84.62</v>
      </c>
      <c r="W82" s="0" t="n">
        <v>83.26</v>
      </c>
      <c r="X82" s="0" t="n">
        <v>0</v>
      </c>
      <c r="Y82" s="0" t="n">
        <v>0</v>
      </c>
    </row>
    <row r="83" customFormat="false" ht="15" hidden="false" customHeight="false" outlineLevel="0" collapsed="false">
      <c r="A83" s="0" t="n">
        <v>8665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66.43</v>
      </c>
      <c r="H83" s="0" t="n">
        <v>73.23</v>
      </c>
      <c r="I83" s="0" t="n">
        <v>88.95</v>
      </c>
      <c r="J83" s="0" t="n">
        <v>92.01</v>
      </c>
      <c r="K83" s="0" t="n">
        <v>89.3</v>
      </c>
      <c r="L83" s="0" t="n">
        <v>90.55</v>
      </c>
      <c r="M83" s="0" t="n">
        <v>96.07</v>
      </c>
      <c r="N83" s="0" t="n">
        <v>104.36</v>
      </c>
      <c r="O83" s="0" t="n">
        <v>101.37</v>
      </c>
      <c r="P83" s="0" t="n">
        <v>96.2</v>
      </c>
      <c r="Q83" s="0" t="n">
        <v>95.27</v>
      </c>
      <c r="R83" s="0" t="n">
        <v>94.89</v>
      </c>
      <c r="S83" s="0" t="n">
        <v>95.73</v>
      </c>
      <c r="T83" s="0" t="n">
        <v>94.77</v>
      </c>
      <c r="U83" s="0" t="n">
        <v>92.26</v>
      </c>
      <c r="V83" s="0" t="n">
        <v>97.02</v>
      </c>
      <c r="W83" s="0" t="n">
        <v>94.05</v>
      </c>
      <c r="X83" s="0" t="n">
        <v>0</v>
      </c>
      <c r="Y83" s="0" t="n">
        <v>0</v>
      </c>
    </row>
    <row r="84" customFormat="false" ht="15" hidden="false" customHeight="false" outlineLevel="0" collapsed="false">
      <c r="A84" s="0" t="n">
        <v>8666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67.16</v>
      </c>
      <c r="H84" s="0" t="n">
        <v>58.6</v>
      </c>
      <c r="I84" s="0" t="n">
        <v>56.07</v>
      </c>
      <c r="J84" s="0" t="n">
        <v>52.58</v>
      </c>
      <c r="K84" s="0" t="n">
        <v>50.55</v>
      </c>
      <c r="L84" s="0" t="n">
        <v>53.01</v>
      </c>
      <c r="M84" s="0" t="n">
        <v>43.93</v>
      </c>
      <c r="N84" s="0" t="n">
        <v>42.04</v>
      </c>
      <c r="O84" s="0" t="n">
        <v>43.36</v>
      </c>
      <c r="P84" s="0" t="n">
        <v>56.91</v>
      </c>
      <c r="Q84" s="0" t="n">
        <v>55.94</v>
      </c>
      <c r="R84" s="0" t="n">
        <v>57.3</v>
      </c>
      <c r="S84" s="0" t="n">
        <v>59</v>
      </c>
      <c r="T84" s="0" t="n">
        <v>61.26</v>
      </c>
      <c r="U84" s="0" t="n">
        <v>51.7</v>
      </c>
      <c r="V84" s="0" t="n">
        <v>60.92</v>
      </c>
      <c r="W84" s="0" t="n">
        <v>51.83</v>
      </c>
      <c r="X84" s="0" t="n">
        <v>0</v>
      </c>
      <c r="Y84" s="0" t="n">
        <v>0</v>
      </c>
    </row>
    <row r="85" customFormat="false" ht="15" hidden="false" customHeight="false" outlineLevel="0" collapsed="false">
      <c r="A85" s="0" t="n">
        <v>8667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242.74</v>
      </c>
      <c r="H85" s="0" t="n">
        <v>219.19</v>
      </c>
      <c r="I85" s="0" t="n">
        <v>209.34</v>
      </c>
      <c r="J85" s="0" t="n">
        <v>210.33</v>
      </c>
      <c r="K85" s="0" t="n">
        <v>189.9</v>
      </c>
      <c r="L85" s="0" t="n">
        <v>190.38</v>
      </c>
      <c r="M85" s="0" t="n">
        <v>193.93</v>
      </c>
      <c r="N85" s="0" t="n">
        <v>203.58</v>
      </c>
      <c r="O85" s="0" t="n">
        <v>205.73</v>
      </c>
      <c r="P85" s="0" t="n">
        <v>206.28</v>
      </c>
      <c r="Q85" s="0" t="n">
        <v>209.82</v>
      </c>
      <c r="R85" s="0" t="n">
        <v>233.02</v>
      </c>
      <c r="S85" s="0" t="n">
        <v>237.28</v>
      </c>
      <c r="T85" s="0" t="n">
        <v>266.33</v>
      </c>
      <c r="U85" s="0" t="n">
        <v>225.34</v>
      </c>
      <c r="V85" s="0" t="n">
        <v>236</v>
      </c>
      <c r="W85" s="0" t="n">
        <v>204.34</v>
      </c>
      <c r="X85" s="0" t="n">
        <v>0</v>
      </c>
      <c r="Y85" s="0" t="n">
        <v>0</v>
      </c>
    </row>
    <row r="86" customFormat="false" ht="15" hidden="false" customHeight="false" outlineLevel="0" collapsed="false">
      <c r="A86" s="0" t="n">
        <v>8670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271.49</v>
      </c>
      <c r="H86" s="0" t="n">
        <v>223.27</v>
      </c>
      <c r="I86" s="0" t="n">
        <v>165.31</v>
      </c>
      <c r="J86" s="0" t="n">
        <v>212.39</v>
      </c>
      <c r="K86" s="0" t="n">
        <v>192.81</v>
      </c>
      <c r="L86" s="0" t="n">
        <v>199.72</v>
      </c>
      <c r="M86" s="0" t="n">
        <v>242.68</v>
      </c>
      <c r="N86" s="0" t="n">
        <v>304.15</v>
      </c>
      <c r="O86" s="0" t="n">
        <v>226.56</v>
      </c>
      <c r="P86" s="0" t="n">
        <v>226.4</v>
      </c>
      <c r="Q86" s="0" t="n">
        <v>216.69</v>
      </c>
      <c r="R86" s="0" t="n">
        <v>185.6</v>
      </c>
      <c r="S86" s="0" t="n">
        <v>167.69</v>
      </c>
      <c r="T86" s="0" t="n">
        <v>176.58</v>
      </c>
      <c r="U86" s="0" t="n">
        <v>191.31</v>
      </c>
      <c r="V86" s="0" t="n">
        <v>206.85</v>
      </c>
      <c r="W86" s="0" t="n">
        <v>196.66</v>
      </c>
      <c r="X86" s="0" t="n">
        <v>0</v>
      </c>
      <c r="Y86" s="0" t="n">
        <v>0</v>
      </c>
    </row>
    <row r="87" customFormat="false" ht="15" hidden="false" customHeight="false" outlineLevel="0" collapsed="false">
      <c r="A87" s="0" t="n">
        <v>8671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59.65</v>
      </c>
      <c r="H87" s="0" t="n">
        <v>58.03</v>
      </c>
      <c r="I87" s="0" t="n">
        <v>88.58</v>
      </c>
      <c r="J87" s="0" t="n">
        <v>110.11</v>
      </c>
      <c r="K87" s="0" t="n">
        <v>86.86</v>
      </c>
      <c r="L87" s="0" t="n">
        <v>94.08</v>
      </c>
      <c r="M87" s="0" t="n">
        <v>60.44</v>
      </c>
      <c r="N87" s="0" t="n">
        <v>164.62</v>
      </c>
      <c r="O87" s="0" t="n">
        <v>102.38</v>
      </c>
      <c r="P87" s="0" t="n">
        <v>95.01</v>
      </c>
      <c r="Q87" s="0" t="n">
        <v>128.23</v>
      </c>
      <c r="R87" s="0" t="n">
        <v>157.68</v>
      </c>
      <c r="S87" s="0" t="n">
        <v>163.88</v>
      </c>
      <c r="T87" s="0" t="n">
        <v>215.59</v>
      </c>
      <c r="U87" s="0" t="n">
        <v>255.58</v>
      </c>
      <c r="V87" s="0" t="n">
        <v>212.36</v>
      </c>
      <c r="W87" s="0" t="n">
        <v>149.56</v>
      </c>
      <c r="X87" s="0" t="n">
        <v>0</v>
      </c>
      <c r="Y87" s="0" t="n">
        <v>0</v>
      </c>
    </row>
    <row r="88" customFormat="false" ht="15" hidden="false" customHeight="false" outlineLevel="0" collapsed="false">
      <c r="A88" s="0" t="n">
        <v>8672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71.29</v>
      </c>
      <c r="I88" s="0" t="n">
        <v>81.17</v>
      </c>
      <c r="J88" s="0" t="n">
        <v>67.38</v>
      </c>
      <c r="K88" s="0" t="n">
        <v>86.28</v>
      </c>
      <c r="L88" s="0" t="n">
        <v>82.2</v>
      </c>
      <c r="M88" s="0" t="n">
        <v>101.38</v>
      </c>
      <c r="N88" s="0" t="n">
        <v>107.26</v>
      </c>
      <c r="O88" s="0" t="n">
        <v>107.01</v>
      </c>
      <c r="P88" s="0" t="n">
        <v>97.17</v>
      </c>
      <c r="Q88" s="0" t="n">
        <v>98.27</v>
      </c>
      <c r="R88" s="0" t="n">
        <v>76.38</v>
      </c>
      <c r="S88" s="0" t="n">
        <v>108.71</v>
      </c>
      <c r="T88" s="0" t="n">
        <v>56.84</v>
      </c>
      <c r="U88" s="0" t="n">
        <v>83.29</v>
      </c>
      <c r="V88" s="0" t="n">
        <v>110.19</v>
      </c>
      <c r="W88" s="0" t="n">
        <v>105.17</v>
      </c>
      <c r="X88" s="0" t="n">
        <v>0</v>
      </c>
      <c r="Y88" s="0" t="n">
        <v>0</v>
      </c>
    </row>
    <row r="89" customFormat="false" ht="15" hidden="false" customHeight="false" outlineLevel="0" collapsed="false">
      <c r="A89" s="0" t="n">
        <v>8674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237.82</v>
      </c>
      <c r="J89" s="0" t="n">
        <v>194.8</v>
      </c>
      <c r="K89" s="0" t="n">
        <v>152.7</v>
      </c>
      <c r="L89" s="0" t="n">
        <v>84.08</v>
      </c>
      <c r="M89" s="0" t="n">
        <v>156.38</v>
      </c>
      <c r="N89" s="0" t="n">
        <v>191.84</v>
      </c>
      <c r="O89" s="0" t="n">
        <v>247.16</v>
      </c>
      <c r="P89" s="0" t="n">
        <v>137.84</v>
      </c>
      <c r="Q89" s="0" t="n">
        <v>112.15</v>
      </c>
      <c r="R89" s="0" t="n">
        <v>186.88</v>
      </c>
      <c r="S89" s="0" t="n">
        <v>247.21</v>
      </c>
      <c r="T89" s="0" t="n">
        <v>287.01</v>
      </c>
      <c r="U89" s="0" t="n">
        <v>230.81</v>
      </c>
      <c r="V89" s="0" t="n">
        <v>276.44</v>
      </c>
      <c r="W89" s="0" t="n">
        <v>139.84</v>
      </c>
      <c r="X89" s="0" t="n">
        <v>0</v>
      </c>
      <c r="Y89" s="0" t="n">
        <v>0</v>
      </c>
    </row>
    <row r="90" customFormat="false" ht="15" hidden="false" customHeight="false" outlineLevel="0" collapsed="false">
      <c r="A90" s="0" t="n">
        <v>8676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371.95</v>
      </c>
      <c r="J90" s="0" t="n">
        <v>624.44</v>
      </c>
      <c r="K90" s="0" t="n">
        <v>608.5</v>
      </c>
      <c r="L90" s="0" t="n">
        <v>558.97</v>
      </c>
      <c r="M90" s="0" t="n">
        <v>531.97</v>
      </c>
      <c r="N90" s="0" t="n">
        <v>602.51</v>
      </c>
      <c r="O90" s="0" t="n">
        <v>614.23</v>
      </c>
      <c r="P90" s="0" t="n">
        <v>527.74</v>
      </c>
      <c r="Q90" s="0" t="n">
        <v>518.28</v>
      </c>
      <c r="R90" s="0" t="n">
        <v>526.58</v>
      </c>
      <c r="S90" s="0" t="n">
        <v>689.52</v>
      </c>
      <c r="T90" s="0" t="n">
        <v>670.6</v>
      </c>
      <c r="U90" s="0" t="n">
        <v>530.95</v>
      </c>
      <c r="V90" s="0" t="n">
        <v>522.32</v>
      </c>
      <c r="W90" s="0" t="n">
        <v>506.43</v>
      </c>
      <c r="X90" s="0" t="n">
        <v>0</v>
      </c>
      <c r="Y90" s="0" t="n">
        <v>0</v>
      </c>
    </row>
    <row r="91" customFormat="false" ht="15" hidden="false" customHeight="false" outlineLevel="0" collapsed="false">
      <c r="A91" s="0" t="n">
        <v>8677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130.28</v>
      </c>
      <c r="K91" s="0" t="n">
        <v>86.89</v>
      </c>
      <c r="L91" s="0" t="n">
        <v>123.44</v>
      </c>
      <c r="M91" s="0" t="n">
        <v>100.73</v>
      </c>
      <c r="N91" s="0" t="n">
        <v>168.47</v>
      </c>
      <c r="O91" s="0" t="n">
        <v>174.45</v>
      </c>
      <c r="P91" s="0" t="n">
        <v>139.44</v>
      </c>
      <c r="Q91" s="0" t="n">
        <v>129.46</v>
      </c>
      <c r="R91" s="0" t="n">
        <v>108.57</v>
      </c>
      <c r="S91" s="0" t="n">
        <v>121.96</v>
      </c>
      <c r="T91" s="0" t="n">
        <v>139.72</v>
      </c>
      <c r="U91" s="0" t="n">
        <v>108.09</v>
      </c>
      <c r="V91" s="0" t="n">
        <v>113.96</v>
      </c>
      <c r="W91" s="0" t="n">
        <v>110.63</v>
      </c>
      <c r="X91" s="0" t="n">
        <v>0</v>
      </c>
      <c r="Y91" s="0" t="n">
        <v>0</v>
      </c>
    </row>
    <row r="92" customFormat="false" ht="15" hidden="false" customHeight="false" outlineLevel="0" collapsed="false">
      <c r="A92" s="0" t="n">
        <v>8678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156.99</v>
      </c>
      <c r="K92" s="0" t="n">
        <v>159.88</v>
      </c>
      <c r="L92" s="0" t="n">
        <v>155.71</v>
      </c>
      <c r="M92" s="0" t="n">
        <v>179.05</v>
      </c>
      <c r="N92" s="0" t="n">
        <v>158.95</v>
      </c>
      <c r="O92" s="0" t="n">
        <v>171.66</v>
      </c>
      <c r="P92" s="0" t="n">
        <v>160.19</v>
      </c>
      <c r="Q92" s="0" t="n">
        <v>168.94</v>
      </c>
      <c r="R92" s="0" t="n">
        <v>155.65</v>
      </c>
      <c r="S92" s="0" t="n">
        <v>129.09</v>
      </c>
      <c r="T92" s="0" t="n">
        <v>128.09</v>
      </c>
      <c r="U92" s="0" t="n">
        <v>127.88</v>
      </c>
      <c r="V92" s="0" t="n">
        <v>132.18</v>
      </c>
      <c r="W92" s="0" t="n">
        <v>145.46</v>
      </c>
      <c r="X92" s="0" t="n">
        <v>0</v>
      </c>
      <c r="Y92" s="0" t="n">
        <v>0</v>
      </c>
    </row>
    <row r="93" customFormat="false" ht="15" hidden="false" customHeight="false" outlineLevel="0" collapsed="false">
      <c r="A93" s="0" t="n">
        <v>8679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55.51</v>
      </c>
      <c r="K93" s="0" t="n">
        <v>54.59</v>
      </c>
      <c r="L93" s="0" t="n">
        <v>55.04</v>
      </c>
      <c r="M93" s="0" t="n">
        <v>57.65</v>
      </c>
      <c r="N93" s="0" t="n">
        <v>61.04</v>
      </c>
      <c r="O93" s="0" t="n">
        <v>63.23</v>
      </c>
      <c r="P93" s="0" t="n">
        <v>58.99</v>
      </c>
      <c r="Q93" s="0" t="n">
        <v>53.54</v>
      </c>
      <c r="R93" s="0" t="n">
        <v>53.16</v>
      </c>
      <c r="S93" s="0" t="n">
        <v>50.92</v>
      </c>
      <c r="T93" s="0" t="n">
        <v>52.69</v>
      </c>
      <c r="U93" s="0" t="n">
        <v>51.88</v>
      </c>
      <c r="V93" s="0" t="n">
        <v>51.56</v>
      </c>
      <c r="W93" s="0" t="n">
        <v>50.65</v>
      </c>
      <c r="X93" s="0" t="n">
        <v>0</v>
      </c>
      <c r="Y93" s="0" t="n">
        <v>0</v>
      </c>
    </row>
    <row r="94" customFormat="false" ht="15" hidden="false" customHeight="false" outlineLevel="0" collapsed="false">
      <c r="A94" s="0" t="n">
        <v>8680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112.02</v>
      </c>
      <c r="K94" s="0" t="n">
        <v>144.01</v>
      </c>
      <c r="L94" s="0" t="n">
        <v>145.69</v>
      </c>
      <c r="M94" s="0" t="n">
        <v>154.99</v>
      </c>
      <c r="N94" s="0" t="n">
        <v>145.89</v>
      </c>
      <c r="O94" s="0" t="n">
        <v>151.85</v>
      </c>
      <c r="P94" s="0" t="n">
        <v>136.86</v>
      </c>
      <c r="Q94" s="0" t="n">
        <v>134.53</v>
      </c>
      <c r="R94" s="0" t="n">
        <v>144.57</v>
      </c>
      <c r="S94" s="0" t="n">
        <v>150.52</v>
      </c>
      <c r="T94" s="0" t="n">
        <v>181.28</v>
      </c>
      <c r="U94" s="0" t="n">
        <v>153.51</v>
      </c>
      <c r="V94" s="0" t="n">
        <v>166.78</v>
      </c>
      <c r="W94" s="0" t="n">
        <v>143.64</v>
      </c>
      <c r="X94" s="0" t="n">
        <v>0</v>
      </c>
      <c r="Y94" s="0" t="n">
        <v>0</v>
      </c>
    </row>
    <row r="95" customFormat="false" ht="15" hidden="false" customHeight="false" outlineLevel="0" collapsed="false">
      <c r="A95" s="0" t="n">
        <v>8681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114.03</v>
      </c>
      <c r="K95" s="0" t="n">
        <v>0</v>
      </c>
      <c r="L95" s="0" t="n">
        <v>87.24</v>
      </c>
      <c r="M95" s="0" t="n">
        <v>101.39</v>
      </c>
      <c r="N95" s="0" t="n">
        <v>120.89</v>
      </c>
      <c r="O95" s="0" t="n">
        <v>93.58</v>
      </c>
      <c r="P95" s="0" t="n">
        <v>0</v>
      </c>
      <c r="Q95" s="0" t="n">
        <v>89.5</v>
      </c>
      <c r="R95" s="0" t="n">
        <v>107.26</v>
      </c>
      <c r="S95" s="0" t="n">
        <v>158.65</v>
      </c>
      <c r="T95" s="0" t="n">
        <v>169.19</v>
      </c>
      <c r="U95" s="0" t="n">
        <v>125.64</v>
      </c>
      <c r="V95" s="0" t="n">
        <v>130.05</v>
      </c>
      <c r="W95" s="0" t="n">
        <v>95.55</v>
      </c>
      <c r="X95" s="0" t="n">
        <v>0</v>
      </c>
      <c r="Y95" s="0" t="n">
        <v>0</v>
      </c>
    </row>
    <row r="96" customFormat="false" ht="15" hidden="false" customHeight="false" outlineLevel="0" collapsed="false">
      <c r="A96" s="0" t="n">
        <v>8682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60.82</v>
      </c>
      <c r="J96" s="0" t="n">
        <v>108.09</v>
      </c>
      <c r="K96" s="0" t="n">
        <v>85.8</v>
      </c>
      <c r="L96" s="0" t="n">
        <v>81.15</v>
      </c>
      <c r="M96" s="0" t="n">
        <v>80.82</v>
      </c>
      <c r="N96" s="0" t="n">
        <v>80.07</v>
      </c>
      <c r="O96" s="0" t="n">
        <v>80.14</v>
      </c>
      <c r="P96" s="0" t="n">
        <v>80.85</v>
      </c>
      <c r="Q96" s="0" t="n">
        <v>80.09</v>
      </c>
      <c r="R96" s="0" t="n">
        <v>90.46</v>
      </c>
      <c r="S96" s="0" t="n">
        <v>112.04</v>
      </c>
      <c r="T96" s="0" t="n">
        <v>121.6</v>
      </c>
      <c r="U96" s="0" t="n">
        <v>104.6</v>
      </c>
      <c r="V96" s="0" t="n">
        <v>109.16</v>
      </c>
      <c r="W96" s="0" t="n">
        <v>88.23</v>
      </c>
      <c r="X96" s="0" t="n">
        <v>0</v>
      </c>
      <c r="Y96" s="0" t="n">
        <v>0</v>
      </c>
    </row>
    <row r="97" customFormat="false" ht="15" hidden="false" customHeight="false" outlineLevel="0" collapsed="false">
      <c r="A97" s="0" t="n">
        <v>8683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71.25</v>
      </c>
      <c r="J97" s="0" t="n">
        <v>119.33</v>
      </c>
      <c r="K97" s="0" t="n">
        <v>141.22</v>
      </c>
      <c r="L97" s="0" t="n">
        <v>141.85</v>
      </c>
      <c r="M97" s="0" t="n">
        <v>148.12</v>
      </c>
      <c r="N97" s="0" t="n">
        <v>205.23</v>
      </c>
      <c r="O97" s="0" t="n">
        <v>219.62</v>
      </c>
      <c r="P97" s="0" t="n">
        <v>133.77</v>
      </c>
      <c r="Q97" s="0" t="n">
        <v>144.42</v>
      </c>
      <c r="R97" s="0" t="n">
        <v>102.84</v>
      </c>
      <c r="S97" s="0" t="n">
        <v>127.74</v>
      </c>
      <c r="T97" s="0" t="n">
        <v>119.1</v>
      </c>
      <c r="U97" s="0" t="n">
        <v>115.51</v>
      </c>
      <c r="V97" s="0" t="n">
        <v>113.22</v>
      </c>
      <c r="W97" s="0" t="n">
        <v>115.73</v>
      </c>
      <c r="X97" s="0" t="n">
        <v>0</v>
      </c>
      <c r="Y97" s="0" t="n">
        <v>0</v>
      </c>
    </row>
    <row r="98" customFormat="false" ht="15" hidden="false" customHeight="false" outlineLevel="0" collapsed="false">
      <c r="A98" s="0" t="n">
        <v>8685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91.49</v>
      </c>
      <c r="K98" s="0" t="n">
        <v>0</v>
      </c>
      <c r="L98" s="0" t="n">
        <v>100.61</v>
      </c>
      <c r="M98" s="0" t="n">
        <v>69.69</v>
      </c>
      <c r="N98" s="0" t="n">
        <v>101.34</v>
      </c>
      <c r="O98" s="0" t="n">
        <v>96.5</v>
      </c>
      <c r="P98" s="0" t="n">
        <v>109.71</v>
      </c>
      <c r="Q98" s="0" t="n">
        <v>99.05</v>
      </c>
      <c r="R98" s="0" t="n">
        <v>104.36</v>
      </c>
      <c r="S98" s="0" t="n">
        <v>112.78</v>
      </c>
      <c r="T98" s="0" t="n">
        <v>137.89</v>
      </c>
      <c r="U98" s="0" t="n">
        <v>93.58</v>
      </c>
      <c r="V98" s="0" t="n">
        <v>89.09</v>
      </c>
      <c r="W98" s="0" t="n">
        <v>85.99</v>
      </c>
      <c r="X98" s="0" t="n">
        <v>0</v>
      </c>
      <c r="Y98" s="0" t="n">
        <v>0</v>
      </c>
    </row>
    <row r="99" customFormat="false" ht="15" hidden="false" customHeight="false" outlineLevel="0" collapsed="false">
      <c r="A99" s="0" t="n">
        <v>8686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85.37</v>
      </c>
      <c r="M99" s="0" t="n">
        <v>85.27</v>
      </c>
      <c r="N99" s="0" t="n">
        <v>128.1</v>
      </c>
      <c r="O99" s="0" t="n">
        <v>138.43</v>
      </c>
      <c r="P99" s="0" t="n">
        <v>93.14</v>
      </c>
      <c r="Q99" s="0" t="n">
        <v>98.52</v>
      </c>
      <c r="R99" s="0" t="n">
        <v>114.92</v>
      </c>
      <c r="S99" s="0" t="n">
        <v>236.9</v>
      </c>
      <c r="T99" s="0" t="n">
        <v>220.23</v>
      </c>
      <c r="U99" s="0" t="n">
        <v>156.77</v>
      </c>
      <c r="V99" s="0" t="n">
        <v>189.43</v>
      </c>
      <c r="W99" s="0" t="n">
        <v>92.52</v>
      </c>
      <c r="X99" s="0" t="n">
        <v>0</v>
      </c>
      <c r="Y99" s="0" t="n">
        <v>0</v>
      </c>
    </row>
    <row r="100" customFormat="false" ht="15" hidden="false" customHeight="false" outlineLevel="0" collapsed="false">
      <c r="A100" s="0" t="n">
        <v>8687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29.23</v>
      </c>
      <c r="M100" s="0" t="n">
        <v>44.55</v>
      </c>
      <c r="N100" s="0" t="n">
        <v>26.01</v>
      </c>
      <c r="O100" s="0" t="n">
        <v>53.09</v>
      </c>
      <c r="P100" s="0" t="n">
        <v>48.21</v>
      </c>
      <c r="Q100" s="0" t="n">
        <v>52.08</v>
      </c>
      <c r="R100" s="0" t="n">
        <v>42.39</v>
      </c>
      <c r="S100" s="0" t="n">
        <v>63.74</v>
      </c>
      <c r="T100" s="0" t="n">
        <v>29.62</v>
      </c>
      <c r="U100" s="0" t="n">
        <v>52.02</v>
      </c>
      <c r="V100" s="0" t="n">
        <v>45.72</v>
      </c>
      <c r="W100" s="0" t="n">
        <v>51.48</v>
      </c>
      <c r="X100" s="0" t="n">
        <v>0</v>
      </c>
      <c r="Y100" s="0" t="n">
        <v>0</v>
      </c>
    </row>
    <row r="101" customFormat="false" ht="15" hidden="false" customHeight="false" outlineLevel="0" collapsed="false">
      <c r="A101" s="0" t="n">
        <v>8688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42.6</v>
      </c>
      <c r="M101" s="0" t="n">
        <v>0</v>
      </c>
      <c r="N101" s="0" t="n">
        <v>35.75</v>
      </c>
      <c r="O101" s="0" t="n">
        <v>36.09</v>
      </c>
      <c r="P101" s="0" t="n">
        <v>32.82</v>
      </c>
      <c r="Q101" s="0" t="n">
        <v>31.05</v>
      </c>
      <c r="R101" s="0" t="n">
        <v>30.64</v>
      </c>
      <c r="S101" s="0" t="n">
        <v>31.9</v>
      </c>
      <c r="T101" s="0" t="n">
        <v>33.88</v>
      </c>
      <c r="U101" s="0" t="n">
        <v>28.96</v>
      </c>
      <c r="V101" s="0" t="n">
        <v>29.65</v>
      </c>
      <c r="W101" s="0" t="n">
        <v>28.71</v>
      </c>
      <c r="X101" s="0" t="n">
        <v>0</v>
      </c>
      <c r="Y101" s="0" t="n">
        <v>0</v>
      </c>
    </row>
    <row r="102" customFormat="false" ht="15" hidden="false" customHeight="false" outlineLevel="0" collapsed="false">
      <c r="A102" s="0" t="n">
        <v>8689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119.86</v>
      </c>
      <c r="O102" s="0" t="n">
        <v>120.44</v>
      </c>
      <c r="P102" s="0" t="n">
        <v>133.01</v>
      </c>
      <c r="Q102" s="0" t="n">
        <v>119.55</v>
      </c>
      <c r="R102" s="0" t="n">
        <v>112.61</v>
      </c>
      <c r="S102" s="0" t="n">
        <v>80.83</v>
      </c>
      <c r="T102" s="0" t="n">
        <v>86.53</v>
      </c>
      <c r="U102" s="0" t="n">
        <v>41.27</v>
      </c>
      <c r="V102" s="0" t="n">
        <v>49.23</v>
      </c>
      <c r="W102" s="0" t="n">
        <v>34.7</v>
      </c>
      <c r="X102" s="0" t="n">
        <v>0</v>
      </c>
      <c r="Y102" s="0" t="n">
        <v>0</v>
      </c>
    </row>
    <row r="103" customFormat="false" ht="15" hidden="false" customHeight="false" outlineLevel="0" collapsed="false">
      <c r="A103" s="0" t="n">
        <v>8690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232.86</v>
      </c>
      <c r="O103" s="0" t="n">
        <v>319.29</v>
      </c>
      <c r="P103" s="0" t="n">
        <v>331.38</v>
      </c>
      <c r="Q103" s="0" t="n">
        <v>319.24</v>
      </c>
      <c r="R103" s="0" t="n">
        <v>236.66</v>
      </c>
      <c r="S103" s="0" t="n">
        <v>238.63</v>
      </c>
      <c r="T103" s="0" t="n">
        <v>231.31</v>
      </c>
      <c r="U103" s="0" t="n">
        <v>138.31</v>
      </c>
      <c r="V103" s="0" t="n">
        <v>250.68</v>
      </c>
      <c r="W103" s="0" t="n">
        <v>314.85</v>
      </c>
      <c r="X103" s="0" t="n">
        <v>0</v>
      </c>
      <c r="Y103" s="0" t="n">
        <v>0</v>
      </c>
    </row>
    <row r="104" customFormat="false" ht="15" hidden="false" customHeight="false" outlineLevel="0" collapsed="false">
      <c r="A104" s="0" t="n">
        <v>8692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48.02</v>
      </c>
      <c r="P104" s="0" t="n">
        <v>0</v>
      </c>
      <c r="Q104" s="0" t="n">
        <v>0</v>
      </c>
      <c r="R104" s="0" t="n">
        <v>52.29</v>
      </c>
      <c r="S104" s="0" t="n">
        <v>53.54</v>
      </c>
      <c r="T104" s="0" t="n">
        <v>37.74</v>
      </c>
      <c r="U104" s="0" t="n">
        <v>42.72</v>
      </c>
      <c r="V104" s="0" t="n">
        <v>47.49</v>
      </c>
      <c r="W104" s="0" t="n">
        <v>47.07</v>
      </c>
      <c r="X104" s="0" t="n">
        <v>0</v>
      </c>
      <c r="Y104" s="0" t="n">
        <v>0</v>
      </c>
    </row>
    <row r="105" customFormat="false" ht="15" hidden="false" customHeight="false" outlineLevel="0" collapsed="false">
      <c r="A105" s="0" t="n">
        <v>8693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101.99</v>
      </c>
      <c r="P105" s="0" t="n">
        <v>0</v>
      </c>
      <c r="Q105" s="0" t="n">
        <v>0</v>
      </c>
      <c r="R105" s="0" t="n">
        <v>54.46</v>
      </c>
      <c r="S105" s="0" t="n">
        <v>48.72</v>
      </c>
      <c r="T105" s="0" t="n">
        <v>55.89</v>
      </c>
      <c r="U105" s="0" t="n">
        <v>53.5</v>
      </c>
      <c r="V105" s="0" t="n">
        <v>52.85</v>
      </c>
      <c r="W105" s="0" t="n">
        <v>49.47</v>
      </c>
      <c r="X105" s="0" t="n">
        <v>0</v>
      </c>
      <c r="Y105" s="0" t="n">
        <v>0</v>
      </c>
    </row>
    <row r="106" customFormat="false" ht="15" hidden="false" customHeight="false" outlineLevel="0" collapsed="false">
      <c r="A106" s="0" t="n">
        <v>8694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30.58</v>
      </c>
      <c r="S106" s="0" t="n">
        <v>68.22</v>
      </c>
      <c r="T106" s="0" t="n">
        <v>116.82</v>
      </c>
      <c r="U106" s="0" t="n">
        <v>110.26</v>
      </c>
      <c r="V106" s="0" t="n">
        <v>109.66</v>
      </c>
      <c r="W106" s="0" t="n">
        <v>92.76</v>
      </c>
      <c r="X106" s="0" t="n">
        <v>0</v>
      </c>
      <c r="Y106" s="0" t="n">
        <v>0</v>
      </c>
    </row>
    <row r="107" customFormat="false" ht="15" hidden="false" customHeight="false" outlineLevel="0" collapsed="false">
      <c r="A107" s="0" t="n">
        <v>8695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42.26</v>
      </c>
      <c r="R107" s="0" t="n">
        <v>40.45</v>
      </c>
      <c r="S107" s="0" t="n">
        <v>40.36</v>
      </c>
      <c r="T107" s="0" t="n">
        <v>41.3</v>
      </c>
      <c r="U107" s="0" t="n">
        <v>40.68</v>
      </c>
      <c r="V107" s="0" t="n">
        <v>43.96</v>
      </c>
      <c r="W107" s="0" t="n">
        <v>41.92</v>
      </c>
      <c r="X107" s="0" t="n">
        <v>0</v>
      </c>
      <c r="Y107" s="0" t="n">
        <v>0</v>
      </c>
    </row>
    <row r="108" customFormat="false" ht="15" hidden="false" customHeight="false" outlineLevel="0" collapsed="false">
      <c r="A108" s="0" t="n">
        <v>8696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94.36</v>
      </c>
      <c r="R108" s="0" t="n">
        <v>70.41</v>
      </c>
      <c r="S108" s="0" t="n">
        <v>41.79</v>
      </c>
      <c r="T108" s="0" t="n">
        <v>42.14</v>
      </c>
      <c r="U108" s="0" t="n">
        <v>46.75</v>
      </c>
      <c r="V108" s="0" t="n">
        <v>40.63</v>
      </c>
      <c r="W108" s="0" t="n">
        <v>34.86</v>
      </c>
      <c r="X108" s="0" t="n">
        <v>0</v>
      </c>
      <c r="Y108" s="0" t="n">
        <v>0</v>
      </c>
    </row>
    <row r="109" customFormat="false" ht="15" hidden="false" customHeight="false" outlineLevel="0" collapsed="false">
      <c r="A109" s="0" t="n">
        <v>8697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65.76</v>
      </c>
      <c r="P109" s="0" t="n">
        <v>0</v>
      </c>
      <c r="Q109" s="0" t="n">
        <v>0</v>
      </c>
      <c r="R109" s="0" t="n">
        <v>37.24</v>
      </c>
      <c r="S109" s="0" t="n">
        <v>36.49</v>
      </c>
      <c r="T109" s="0" t="n">
        <v>38.72</v>
      </c>
      <c r="U109" s="0" t="n">
        <v>36.12</v>
      </c>
      <c r="V109" s="0" t="n">
        <v>34.5</v>
      </c>
      <c r="W109" s="0" t="n">
        <v>37.58</v>
      </c>
      <c r="X109" s="0" t="n">
        <v>0</v>
      </c>
      <c r="Y109" s="0" t="n">
        <v>0</v>
      </c>
    </row>
    <row r="110" customFormat="false" ht="15" hidden="false" customHeight="false" outlineLevel="0" collapsed="false">
      <c r="A110" s="0" t="n">
        <v>8698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104.92</v>
      </c>
      <c r="R110" s="0" t="n">
        <v>256.57</v>
      </c>
      <c r="S110" s="0" t="n">
        <v>406.3</v>
      </c>
      <c r="T110" s="0" t="n">
        <v>391.89</v>
      </c>
      <c r="U110" s="0" t="n">
        <v>260.7</v>
      </c>
      <c r="V110" s="0" t="n">
        <v>291.94</v>
      </c>
      <c r="W110" s="0" t="n">
        <v>227.31</v>
      </c>
      <c r="X110" s="0" t="n">
        <v>0</v>
      </c>
      <c r="Y110" s="0" t="n">
        <v>0</v>
      </c>
    </row>
    <row r="111" customFormat="false" ht="15" hidden="false" customHeight="false" outlineLevel="0" collapsed="false">
      <c r="A111" s="0" t="n">
        <v>8702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69.47</v>
      </c>
      <c r="U111" s="0" t="n">
        <v>119.54</v>
      </c>
      <c r="V111" s="0" t="n">
        <v>117.27</v>
      </c>
      <c r="W111" s="0" t="n">
        <v>89.59</v>
      </c>
      <c r="X111" s="0" t="n">
        <v>0</v>
      </c>
      <c r="Y111" s="0" t="n">
        <v>0</v>
      </c>
    </row>
    <row r="112" customFormat="false" ht="15" hidden="false" customHeight="false" outlineLevel="0" collapsed="false">
      <c r="A112" s="0" t="n">
        <v>8703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86.78</v>
      </c>
      <c r="U112" s="0" t="n">
        <v>195.72</v>
      </c>
      <c r="V112" s="0" t="n">
        <v>162.48</v>
      </c>
      <c r="W112" s="0" t="n">
        <v>142.15</v>
      </c>
      <c r="X112" s="0" t="n">
        <v>0</v>
      </c>
      <c r="Y112" s="0" t="n">
        <v>0</v>
      </c>
    </row>
    <row r="113" customFormat="false" ht="15" hidden="false" customHeight="false" outlineLevel="0" collapsed="false">
      <c r="A113" s="0" t="n">
        <v>8704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82.27</v>
      </c>
      <c r="V113" s="0" t="n">
        <v>78.03</v>
      </c>
      <c r="W113" s="0" t="n">
        <v>69.14</v>
      </c>
      <c r="X113" s="0" t="n">
        <v>0</v>
      </c>
      <c r="Y113" s="0" t="n">
        <v>0</v>
      </c>
    </row>
    <row r="114" customFormat="false" ht="15" hidden="false" customHeight="false" outlineLevel="0" collapsed="false">
      <c r="A114" s="0" t="n">
        <v>8706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53.48</v>
      </c>
      <c r="V114" s="0" t="n">
        <v>57.25</v>
      </c>
      <c r="W114" s="0" t="n">
        <v>56.12</v>
      </c>
      <c r="X114" s="0" t="n">
        <v>0</v>
      </c>
      <c r="Y114" s="0" t="n">
        <v>0</v>
      </c>
    </row>
    <row r="115" customFormat="false" ht="15" hidden="false" customHeight="false" outlineLevel="0" collapsed="false">
      <c r="A115" s="0" t="n">
        <v>8707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49.6</v>
      </c>
      <c r="W115" s="0" t="n">
        <v>40.88</v>
      </c>
      <c r="X115" s="0" t="n">
        <v>0</v>
      </c>
      <c r="Y115" s="0" t="n">
        <v>0</v>
      </c>
    </row>
    <row r="116" customFormat="false" ht="15" hidden="false" customHeight="false" outlineLevel="0" collapsed="false">
      <c r="A116" s="0" t="n">
        <v>8708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271.71</v>
      </c>
      <c r="V116" s="0" t="n">
        <v>96.34</v>
      </c>
      <c r="W116" s="0" t="n">
        <v>94.96</v>
      </c>
      <c r="X116" s="0" t="n">
        <v>0</v>
      </c>
      <c r="Y116" s="0" t="n">
        <v>0</v>
      </c>
    </row>
    <row r="117" customFormat="false" ht="15" hidden="false" customHeight="false" outlineLevel="0" collapsed="false">
      <c r="A117" s="0" t="n">
        <v>8709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107.46</v>
      </c>
      <c r="V117" s="0" t="n">
        <v>111.89</v>
      </c>
      <c r="W117" s="0" t="n">
        <v>117.07</v>
      </c>
      <c r="X117" s="0" t="n">
        <v>0</v>
      </c>
      <c r="Y117" s="0" t="n">
        <v>0</v>
      </c>
    </row>
    <row r="118" customFormat="false" ht="15" hidden="false" customHeight="false" outlineLevel="0" collapsed="false">
      <c r="A118" s="0" t="n">
        <v>8710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78.71</v>
      </c>
      <c r="V118" s="0" t="n">
        <v>82.54</v>
      </c>
      <c r="W118" s="0" t="n">
        <v>64.82</v>
      </c>
      <c r="X118" s="0" t="n">
        <v>0</v>
      </c>
      <c r="Y118" s="0" t="n">
        <v>0</v>
      </c>
    </row>
    <row r="119" customFormat="false" ht="15" hidden="false" customHeight="false" outlineLevel="0" collapsed="false">
      <c r="A119" s="0" t="n">
        <v>8711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62.66</v>
      </c>
      <c r="V119" s="0" t="n">
        <v>52.63</v>
      </c>
      <c r="W119" s="0" t="n">
        <v>53.78</v>
      </c>
      <c r="X119" s="0" t="n">
        <v>0</v>
      </c>
      <c r="Y119" s="0" t="n">
        <v>0</v>
      </c>
    </row>
    <row r="120" customFormat="false" ht="15" hidden="false" customHeight="false" outlineLevel="0" collapsed="false">
      <c r="A120" s="0" t="n">
        <v>8712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61.16</v>
      </c>
      <c r="V120" s="0" t="n">
        <v>87.04</v>
      </c>
      <c r="W120" s="0" t="n">
        <v>81.16</v>
      </c>
      <c r="X120" s="0" t="n">
        <v>0</v>
      </c>
      <c r="Y120" s="0" t="n">
        <v>0</v>
      </c>
    </row>
    <row r="121" customFormat="false" ht="15" hidden="false" customHeight="false" outlineLevel="0" collapsed="false">
      <c r="A121" s="0" t="n">
        <v>8714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45.1</v>
      </c>
      <c r="V121" s="0" t="n">
        <v>71.24</v>
      </c>
      <c r="W121" s="0" t="n">
        <v>68.52</v>
      </c>
      <c r="X121" s="0" t="n">
        <v>0</v>
      </c>
      <c r="Y121" s="0" t="n">
        <v>0</v>
      </c>
    </row>
    <row r="122" customFormat="false" ht="15" hidden="false" customHeight="false" outlineLevel="0" collapsed="false">
      <c r="A122" s="0" t="n">
        <v>8715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39.06</v>
      </c>
      <c r="V122" s="0" t="n">
        <v>57.14</v>
      </c>
      <c r="W122" s="0" t="n">
        <v>47.65</v>
      </c>
      <c r="X122" s="0" t="n">
        <v>0</v>
      </c>
      <c r="Y122" s="0" t="n">
        <v>0</v>
      </c>
    </row>
    <row r="123" customFormat="false" ht="15" hidden="false" customHeight="false" outlineLevel="0" collapsed="false">
      <c r="A123" s="0" t="n">
        <v>8716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14.59</v>
      </c>
      <c r="V123" s="0" t="n">
        <v>78.76</v>
      </c>
      <c r="W123" s="0" t="n">
        <v>73.51</v>
      </c>
      <c r="X123" s="0" t="n">
        <v>0</v>
      </c>
      <c r="Y123" s="0" t="n">
        <v>0</v>
      </c>
    </row>
    <row r="124" customFormat="false" ht="15" hidden="false" customHeight="false" outlineLevel="0" collapsed="false">
      <c r="A124" s="0" t="n">
        <v>8717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28.44</v>
      </c>
      <c r="V124" s="0" t="n">
        <v>72.12</v>
      </c>
      <c r="W124" s="0" t="n">
        <v>49.98</v>
      </c>
      <c r="X124" s="0" t="n">
        <v>0</v>
      </c>
      <c r="Y124" s="0" t="n">
        <v>0</v>
      </c>
    </row>
    <row r="125" customFormat="false" ht="15" hidden="false" customHeight="false" outlineLevel="0" collapsed="false">
      <c r="A125" s="0" t="n">
        <v>8718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10.51</v>
      </c>
      <c r="V125" s="0" t="n">
        <v>82.43</v>
      </c>
      <c r="W125" s="0" t="n">
        <v>48.26</v>
      </c>
      <c r="X125" s="0" t="n">
        <v>0</v>
      </c>
      <c r="Y125" s="0" t="n">
        <v>0</v>
      </c>
    </row>
    <row r="126" customFormat="false" ht="15" hidden="false" customHeight="false" outlineLevel="0" collapsed="false">
      <c r="A126" s="0" t="n">
        <v>8719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40.58</v>
      </c>
      <c r="X126" s="0" t="n">
        <v>0</v>
      </c>
      <c r="Y126" s="0" t="n">
        <v>0</v>
      </c>
    </row>
    <row r="127" customFormat="false" ht="15" hidden="false" customHeight="false" outlineLevel="0" collapsed="false">
      <c r="A127" s="0" t="n">
        <v>8720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47.83</v>
      </c>
      <c r="X127" s="0" t="n">
        <v>0</v>
      </c>
      <c r="Y127" s="0" t="n">
        <v>0</v>
      </c>
    </row>
    <row r="128" customFormat="false" ht="15" hidden="false" customHeight="false" outlineLevel="0" collapsed="false">
      <c r="A128" s="0" t="n">
        <v>8721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65.18</v>
      </c>
      <c r="X128" s="0" t="n">
        <v>0</v>
      </c>
      <c r="Y128" s="0" t="n">
        <v>0</v>
      </c>
    </row>
    <row r="129" customFormat="false" ht="15" hidden="false" customHeight="false" outlineLevel="0" collapsed="false">
      <c r="A129" s="0" t="n">
        <v>8722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66.33</v>
      </c>
      <c r="W129" s="0" t="n">
        <v>58.66</v>
      </c>
      <c r="X129" s="0" t="n">
        <v>0</v>
      </c>
      <c r="Y129" s="0" t="n">
        <v>0</v>
      </c>
    </row>
    <row r="130" customFormat="false" ht="15" hidden="false" customHeight="false" outlineLevel="0" collapsed="false">
      <c r="A130" s="0" t="n">
        <v>8723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77.85</v>
      </c>
      <c r="W130" s="0" t="n">
        <v>104.62</v>
      </c>
      <c r="X130" s="0" t="n">
        <v>0</v>
      </c>
      <c r="Y130" s="0" t="n">
        <v>0</v>
      </c>
    </row>
    <row r="131" customFormat="false" ht="15" hidden="false" customHeight="false" outlineLevel="0" collapsed="false">
      <c r="A131" s="0" t="n">
        <v>8724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26.05</v>
      </c>
      <c r="X131" s="0" t="n">
        <v>0</v>
      </c>
      <c r="Y131" s="0" t="n">
        <v>0</v>
      </c>
    </row>
    <row r="132" customFormat="false" ht="15" hidden="false" customHeight="false" outlineLevel="0" collapsed="false">
      <c r="A132" s="0" t="n">
        <v>8725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88.1</v>
      </c>
      <c r="X132" s="0" t="n">
        <v>0</v>
      </c>
      <c r="Y132" s="0" t="n">
        <v>0</v>
      </c>
    </row>
    <row r="133" customFormat="false" ht="15" hidden="false" customHeight="false" outlineLevel="0" collapsed="false">
      <c r="A133" s="0" t="n">
        <v>8726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58.7</v>
      </c>
      <c r="X133" s="0" t="n">
        <v>0</v>
      </c>
      <c r="Y133" s="0" t="n">
        <v>0</v>
      </c>
    </row>
    <row r="134" customFormat="false" ht="15" hidden="false" customHeight="false" outlineLevel="0" collapsed="false">
      <c r="A134" s="0" t="n">
        <v>8727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54.97</v>
      </c>
      <c r="X134" s="0" t="n">
        <v>0</v>
      </c>
      <c r="Y134" s="0" t="n">
        <v>0</v>
      </c>
    </row>
    <row r="135" customFormat="false" ht="15" hidden="false" customHeight="false" outlineLevel="0" collapsed="false">
      <c r="A135" s="0" t="n">
        <v>8728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33.35</v>
      </c>
      <c r="X135" s="0" t="n">
        <v>0</v>
      </c>
      <c r="Y135" s="0" t="n">
        <v>0</v>
      </c>
    </row>
    <row r="136" customFormat="false" ht="15" hidden="false" customHeight="false" outlineLevel="0" collapsed="false">
      <c r="A136" s="0" t="n">
        <v>8729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60.42</v>
      </c>
      <c r="X136" s="0" t="n">
        <v>0</v>
      </c>
      <c r="Y136" s="0" t="n">
        <v>0</v>
      </c>
    </row>
    <row r="137" customFormat="false" ht="15" hidden="false" customHeight="false" outlineLevel="0" collapsed="false">
      <c r="A137" s="0" t="n">
        <v>8730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480.78</v>
      </c>
      <c r="G137" s="0" t="n">
        <v>869.3</v>
      </c>
      <c r="H137" s="0" t="n">
        <v>484.66</v>
      </c>
      <c r="I137" s="0" t="n">
        <v>499.94</v>
      </c>
      <c r="J137" s="0" t="n">
        <v>802.97</v>
      </c>
      <c r="K137" s="0" t="n">
        <v>1074.48</v>
      </c>
      <c r="L137" s="0" t="n">
        <v>997.35</v>
      </c>
      <c r="M137" s="0" t="n">
        <v>1001.22</v>
      </c>
      <c r="N137" s="0" t="n">
        <v>1957.85</v>
      </c>
      <c r="O137" s="0" t="n">
        <v>79.62</v>
      </c>
      <c r="P137" s="0" t="n">
        <v>1019.69</v>
      </c>
      <c r="Q137" s="0" t="n">
        <v>699.4</v>
      </c>
      <c r="R137" s="0" t="n">
        <v>233.98</v>
      </c>
      <c r="S137" s="0" t="n">
        <v>803.7</v>
      </c>
      <c r="T137" s="0" t="n">
        <v>716.71</v>
      </c>
      <c r="U137" s="0" t="n">
        <v>712.12</v>
      </c>
      <c r="V137" s="0" t="n">
        <v>540.74</v>
      </c>
      <c r="W137" s="0" t="n">
        <v>624.71</v>
      </c>
      <c r="X137" s="0" t="n">
        <v>0</v>
      </c>
      <c r="Y13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2026-06-28T19:45:25Z</dcterms:created>
  <dc:creator>openpyxl</dc:creator>
  <dc:description/>
  <dc:language>en-US</dc:language>
  <cp:lastModifiedBy/>
  <dcterms:modified xsi:type="dcterms:W3CDTF">2026-06-29T20:00:24Z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